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53e2ae4ee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7bc430ef45e485b"/>
    <x:sheet xmlns:r="http://schemas.openxmlformats.org/officeDocument/2006/relationships" name="Assumptions" sheetId="2" r:id="Rb5b8c215ab534757"/>
    <x:sheet xmlns:r="http://schemas.openxmlformats.org/officeDocument/2006/relationships" name="National Market" sheetId="3" r:id="R9196f9fbaec04dec"/>
    <x:sheet xmlns:r="http://schemas.openxmlformats.org/officeDocument/2006/relationships" name="State Market" sheetId="4" r:id="Rcc6834e15a434bf0"/>
    <x:sheet xmlns:r="http://schemas.openxmlformats.org/officeDocument/2006/relationships" name="Institution Model" sheetId="5" r:id="Rdfcadfef0af8496d"/>
    <x:sheet xmlns:r="http://schemas.openxmlformats.org/officeDocument/2006/relationships" name="Data Dictionary" sheetId="6" r:id="R4eefbd138c5548a7"/>
    <x:sheet xmlns:r="http://schemas.openxmlformats.org/officeDocument/2006/relationships" name="Sources" sheetId="7" r:id="R95b426079d68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;[Red](0.0%);-"/>
    <x:numFmt numFmtId="201" formatCode="0.00"/>
    <x:numFmt numFmtId="202" formatCode="#,##0;[Red](#,##0);-"/>
    <x:numFmt numFmtId="203" formatCode="0.00x"/>
    <x:numFmt numFmtId="204" formatCode="$#,##0;[Red]($#,##0);-"/>
    <x:numFmt numFmtId="205" formatCode="0.0000"/>
  </x:numFmts>
  <x:fonts count="11">
    <x:font>
      <x:sz val="11"/>
      <x:name val="Carlito"/>
    </x:font>
    <x:font>
      <x:b/>
      <x:sz val="20"/>
      <x:color rgb="FF17365D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i/>
      <x:sz val="11"/>
      <x:color rgb="FF666666"/>
      <x:name val="Carlito"/>
    </x:font>
    <x:font>
      <x:sz val="11"/>
      <x:color rgb="FF000000"/>
      <x:name val="Carlito"/>
    </x:font>
    <x:font>
      <x:b/>
      <x:sz val="12"/>
      <x:color rgb="FFFFFFFF"/>
      <x:name val="Carlito"/>
    </x:font>
    <x:font>
      <x:b/>
      <x:sz val="11"/>
      <x:color rgb="FF17365D"/>
      <x:name val="Carlito"/>
    </x:font>
    <x:font>
      <x:b/>
      <x:sz val="15"/>
      <x:color rgb="FF17365D"/>
      <x:name val="Carlito"/>
    </x:font>
    <x:font>
      <x:sz val="11"/>
      <x:color rgb="FFC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0" fontId="3" fillId="3" borderId="0" xfId="0" applyNumberFormat="1" applyFont="1" applyFill="1" applyBorder="1"/>
    <x:xf numFmtId="200" fontId="3" fillId="0" borderId="0" xfId="0" applyNumberFormat="1" applyFont="1" applyFill="1" applyBorder="1"/>
    <x:xf numFmtId="200" fontId="3" fillId="3" borderId="1" xfId="0" applyNumberFormat="1" applyFont="1" applyFill="1" applyBorder="1"/>
    <x:xf numFmtId="200" fontId="3" fillId="0" borderId="1" xfId="0" applyNumberFormat="1" applyFont="1" applyFill="1" applyBorder="1"/>
    <x:xf numFmtId="201" fontId="3" fillId="3" borderId="0" xfId="0" applyNumberFormat="1" applyFont="1" applyFill="1" applyBorder="1"/>
    <x:xf numFmtId="201" fontId="3" fillId="0" borderId="0" xfId="0" applyNumberFormat="1" applyFont="1" applyFill="1" applyBorder="1"/>
    <x:xf numFmtId="201" fontId="3" fillId="3" borderId="1" xfId="0" applyNumberFormat="1" applyFont="1" applyFill="1" applyBorder="1"/>
    <x:xf numFmtId="201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4" fontId="3" fillId="0" borderId="0" xfId="0" applyNumberFormat="1" applyFont="1" applyFill="1" applyBorder="1"/>
    <x:xf numFmtId="204" fontId="3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205" fontId="3" fillId="0" borderId="0" xfId="0" applyNumberFormat="1" applyFont="1" applyFill="1" applyBorder="1"/>
    <x:xf numFmtId="205" fontId="3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left"/>
    </x:xf>
    <x:xf numFmtId="0" fontId="7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202" fontId="9" fillId="5" borderId="0" xfId="0" applyNumberFormat="1" applyFont="1" applyFill="1" applyBorder="1" applyAlignment="1">
      <x:alignment horizontal="center"/>
    </x:xf>
    <x:xf numFmtId="202" fontId="9" fillId="5" borderId="1" xfId="0" applyNumberFormat="1" applyFont="1" applyFill="1" applyBorder="1" applyAlignment="1">
      <x:alignment horizontal="center"/>
    </x:xf>
    <x:xf numFmtId="200" fontId="9" fillId="5" borderId="0" xfId="0" applyNumberFormat="1" applyFont="1" applyFill="1" applyBorder="1" applyAlignment="1">
      <x:alignment horizontal="center"/>
    </x:xf>
    <x:xf numFmtId="200" fontId="9" fillId="5" borderId="1" xfId="0" applyNumberFormat="1" applyFont="1" applyFill="1" applyBorder="1" applyAlignment="1">
      <x:alignment horizontal="center"/>
    </x:xf>
    <x:xf numFmtId="204" fontId="9" fillId="5" borderId="0" xfId="0" applyNumberFormat="1" applyFont="1" applyFill="1" applyBorder="1" applyAlignment="1">
      <x:alignment horizontal="center"/>
    </x:xf>
    <x:xf numFmtId="204" fontId="9" fillId="5" borderId="1" xfId="0" applyNumberFormat="1" applyFont="1" applyFill="1" applyBorder="1" applyAlignment="1">
      <x:alignment horizontal="center"/>
    </x:xf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e1cc76d8840e2" /><Relationship Type="http://schemas.openxmlformats.org/officeDocument/2006/relationships/theme" Target="/xl/theme/theme1.xml" Id="Rbe3b5244c3454cfe" /><Relationship Type="http://schemas.openxmlformats.org/officeDocument/2006/relationships/sharedStrings" Target="/xl/sharedStrings.xml" Id="R756b9090503040b5" /><Relationship Type="http://schemas.openxmlformats.org/officeDocument/2006/relationships/worksheet" Target="/xl/worksheets/sheet1.xml" Id="R77bc430ef45e485b" /><Relationship Type="http://schemas.openxmlformats.org/officeDocument/2006/relationships/worksheet" Target="/xl/worksheets/sheet2.xml" Id="Rb5b8c215ab534757" /><Relationship Type="http://schemas.openxmlformats.org/officeDocument/2006/relationships/worksheet" Target="/xl/worksheets/sheet3.xml" Id="R9196f9fbaec04dec" /><Relationship Type="http://schemas.openxmlformats.org/officeDocument/2006/relationships/worksheet" Target="/xl/worksheets/sheet4.xml" Id="Rcc6834e15a434bf0" /><Relationship Type="http://schemas.openxmlformats.org/officeDocument/2006/relationships/worksheet" Target="/xl/worksheets/sheet5.xml" Id="Rdfcadfef0af8496d" /><Relationship Type="http://schemas.openxmlformats.org/officeDocument/2006/relationships/worksheet" Target="/xl/worksheets/sheet6.xml" Id="R4eefbd138c5548a7" /><Relationship Type="http://schemas.openxmlformats.org/officeDocument/2006/relationships/worksheet" Target="/xl/worksheets/sheet7.xml" Id="R95b426079d684d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b0aa3900f54f48" /><Relationship Type="http://schemas.openxmlformats.org/officeDocument/2006/relationships/chart" Target="/xl/drawings/charts/chart2.xml" Id="Rf1057c2bcc5043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National Student Market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Projected high-school graduates</c:v>
          </c:tx>
          <c:cat>
            <c:strRef>
              <c:f>'National Market'!$A$4:$A$7</c:f>
              <c:strCache>
                <c:ptCount val="0"/>
              </c:strCache>
            </c:strRef>
          </c:cat>
          <c:val>
            <c:numRef>
              <c:f>'National Market'!$B$4:$B$7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College-going rate</c:v>
          </c:tx>
          <c:cat>
            <c:strRef>
              <c:f>'National Market'!$A$4:$A$7</c:f>
              <c:strCache>
                <c:ptCount val="0"/>
              </c:strCache>
            </c:strRef>
          </c:cat>
          <c:val>
            <c:numRef>
              <c:f>'National Market'!$C$4:$C$7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Likely college entrants</c:v>
          </c:tx>
          <c:cat>
            <c:strRef>
              <c:f>'National Market'!$A$4:$A$7</c:f>
              <c:strCache>
                <c:ptCount val="0"/>
              </c:strCache>
            </c:strRef>
          </c:cat>
          <c:val>
            <c:numRef>
              <c:f>'National Market'!$D$4:$D$7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Four-year share</c:v>
          </c:tx>
          <c:cat>
            <c:strRef>
              <c:f>'National Market'!$A$4:$A$7</c:f>
              <c:strCache>
                <c:ptCount val="0"/>
              </c:strCache>
            </c:strRef>
          </c:cat>
          <c:val>
            <c:numRef>
              <c:f>'National Market'!$E$4:$E$7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4"/>
          <c:order val="4"/>
          <c:tx>
            <c:v>Likely four-year entrants</c:v>
          </c:tx>
          <c:cat>
            <c:strRef>
              <c:f>'National Market'!$A$4:$A$7</c:f>
              <c:strCache>
                <c:ptCount val="0"/>
              </c:strCache>
            </c:strRef>
          </c:cat>
          <c:val>
            <c:numRef>
              <c:f>'National Market'!$F$4:$F$7</c:f>
              <c:numCache>
                <c:formatCode>#,##0;[Red](#,##0);-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Default 2035 Funding-Gap Cases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State</c:v>
          </c:tx>
          <c:cat>
            <c:strRef>
              <c:f>'Dashboard'!$A$14:$A$28</c:f>
              <c:strCache>
                <c:ptCount val="0"/>
              </c:strCache>
            </c:strRef>
          </c:cat>
          <c:val>
            <c:numRef>
              <c:f>'Dashboard'!$B$14:$B$28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Scope</c:v>
          </c:tx>
          <c:cat>
            <c:strRef>
              <c:f>'Dashboard'!$A$14:$A$28</c:f>
              <c:strCache>
                <c:ptCount val="0"/>
              </c:strCache>
            </c:strRef>
          </c:cat>
          <c:val>
            <c:numRef>
              <c:f>'Dashboard'!$C$14:$C$28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Dynamic funding gap</c:v>
          </c:tx>
          <c:cat>
            <c:strRef>
              <c:f>'Dashboard'!$A$14:$A$28</c:f>
              <c:strCache>
                <c:ptCount val="0"/>
              </c:strCache>
            </c:strRef>
          </c:cat>
          <c:val>
            <c:numRef>
              <c:f>'Dashboard'!$D$14:$D$28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23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b0aa3900f54f48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7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057c2bcc5043e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NationalMarketTable" displayName="NationalMarketTable" ref="A3:H7" headerRowCount="1">
  <x:tableColumns count="8">
    <x:tableColumn id="1" name="Class year"/>
    <x:tableColumn id="2" name="Projected high-school graduates"/>
    <x:tableColumn id="3" name="College-going rate"/>
    <x:tableColumn id="4" name="Likely college entrants"/>
    <x:tableColumn id="5" name="Four-year share"/>
    <x:tableColumn id="6" name="Likely four-year entrants"/>
    <x:tableColumn id="7" name="Change from 2026"/>
    <x:tableColumn id="8" name="Scenario note"/>
  </x:tableColumns>
  <x:tableStyleInfo name="TableStyleMedium2" showRowStripes="1"/>
</x:table>
</file>

<file path=xl/tables/table2.xml><?xml version="1.0" encoding="utf-8"?>
<x:table xmlns:x="http://schemas.openxmlformats.org/spreadsheetml/2006/main" id="3" name="StateMarketTable" displayName="StateMarketTable" ref="A3:P207" headerRowCount="1">
  <x:tableColumns count="16">
    <x:tableColumn id="1" name="State"/>
    <x:tableColumn id="2" name="State name"/>
    <x:tableColumn id="3" name="Class year"/>
    <x:tableColumn id="4" name="Projected high-school graduates"/>
    <x:tableColumn id="5" name="Change from 2026"/>
    <x:tableColumn id="6" name="College-going rate"/>
    <x:tableColumn id="7" name="Likely college entrants"/>
    <x:tableColumn id="8" name="Four-year share"/>
    <x:tableColumn id="9" name="Likely four-year entrants"/>
    <x:tableColumn id="10" name="Low scenario"/>
    <x:tableColumn id="11" name="High scenario"/>
    <x:tableColumn id="12" name="Current four-year UG enrollment"/>
    <x:tableColumn id="13" name="Institution count"/>
    <x:tableColumn id="14" name="Annual capacity proxy"/>
    <x:tableColumn id="15" name="Local pool coverage proxy"/>
    <x:tableColumn id="16" name="Interpretation"/>
  </x:tableColumns>
  <x:tableStyleInfo name="TableStyleMedium2" showRowStripes="1"/>
</x:table>
</file>

<file path=xl/tables/table3.xml><?xml version="1.0" encoding="utf-8"?>
<x:table xmlns:x="http://schemas.openxmlformats.org/spreadsheetml/2006/main" id="1" name="InstitutionModelTable" displayName="InstitutionModelTable" ref="A3:AH1852" headerRowCount="1">
  <x:tableColumns count="34">
    <x:tableColumn id="1" name="UNITID"/>
    <x:tableColumn id="2" name="Institution"/>
    <x:tableColumn id="3" name="State"/>
    <x:tableColumn id="4" name="Control"/>
    <x:tableColumn id="5" name="Current UG enrollment"/>
    <x:tableColumn id="6" name="Admission rate"/>
    <x:tableColumn id="7" name="Market scope proxy"/>
    <x:tableColumn id="8" name="State weight"/>
    <x:tableColumn id="9" name="State change 2030"/>
    <x:tableColumn id="10" name="State change 2035"/>
    <x:tableColumn id="11" name="State change 2041"/>
    <x:tableColumn id="12" name="Selected state change"/>
    <x:tableColumn id="13" name="Selected national change"/>
    <x:tableColumn id="14" name="Blended market change"/>
    <x:tableColumn id="15" name="Market-share change"/>
    <x:tableColumn id="16" name="Projected UG enrollment"/>
    <x:tableColumn id="17" name="UG enrollment change"/>
    <x:tableColumn id="18" name="Finance data?"/>
    <x:tableColumn id="19" name="Net tuition revenue / FTE"/>
    <x:tableColumn id="20" name="Instructional expense / FTE"/>
    <x:tableColumn id="21" name="Current UG FTE proxy"/>
    <x:tableColumn id="22" name="Projected UG FTE proxy"/>
    <x:tableColumn id="23" name="FTE change"/>
    <x:tableColumn id="24" name="Tuition revenue change"/>
    <x:tableColumn id="25" name="Adjustable expense change"/>
    <x:tableColumn id="26" name="Net operating impact"/>
    <x:tableColumn id="27" name="Funding gap proxy"/>
    <x:tableColumn id="28" name="Gap % of tuition proxy"/>
    <x:tableColumn id="29" name="Students to close gap"/>
    <x:tableColumn id="30" name="Tuition increase % to close"/>
    <x:tableColumn id="31" name="Risk band"/>
    <x:tableColumn id="32" name="Latitude"/>
    <x:tableColumn id="33" name="Longitude"/>
    <x:tableColumn id="34" name="Model limitation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3:E9" headerRowCount="1">
  <x:tableColumns count="5">
    <x:tableColumn id="1" name="Source"/>
    <x:tableColumn id="2" name="Use"/>
    <x:tableColumn id="3" name="Vintage"/>
    <x:tableColumn id="4" name="URL"/>
    <x:tableColumn id="5" name="Local 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9921c0c7f845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24aeff0731c48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37afc070e8b4b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910e8b22eb14f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232dd317b686497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  <x:col min="9" max="9" width="15" hidden="0" customWidth="1"/>
    <x:col min="10" max="10" width="18" hidden="0" customWidth="1"/>
  </x:cols>
  <x:sheetData>
    <x:row r="1">
      <x:c r="A1" s="3" t="str">
        <x:v>The Future College Market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7" t="str">
        <x:v>Future student demand, institutional enrollment exposure, and an editable tuition-contribution pressure scenario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4">
      <x:c r="A4" s="64" t="str">
        <x:v>Selected Scenario</x:v>
      </x:c>
      <x:c r="B4" s="64"/>
      <x:c r="C4" s="64"/>
      <x:c r="D4" s="64"/>
      <x:c r="E4" s="64"/>
      <x:c r="F4" s="64"/>
      <x:c r="G4" s="64"/>
      <x:c r="H4" s="64"/>
      <x:c r="I4" s="64"/>
      <x:c r="J4" s="64"/>
    </x:row>
    <x:row r="5">
      <x:c r="A5" t="str">
        <x:v>Projection year</x:v>
      </x:c>
      <x:c r="B5" s="32" t="n">
        <x:f>Assumptions!B4</x:f>
        <x:v>2035</x:v>
      </x:c>
      <x:c r="D5" t="str">
        <x:v>College-going rate</x:v>
      </x:c>
      <x:c r="E5" s="36" t="n">
        <x:f>Assumptions!B5</x:f>
        <x:v>0.628</x:v>
      </x:c>
      <x:c r="G5" t="str">
        <x:v>Four-year share</x:v>
      </x:c>
      <x:c r="H5" s="36" t="n">
        <x:f>Assumptions!B6</x:f>
        <x:v>0.6666666666666666</x:v>
      </x:c>
      <x:c r="J5" t="str">
        <x:v>Edit on Assumptions sheet</x:v>
      </x:c>
    </x:row>
    <x:row r="7">
      <x:c r="A7" s="64" t="str">
        <x:v>Key Outputs</x:v>
      </x:c>
      <x:c r="B7" s="64"/>
      <x:c r="C7" s="64"/>
      <x:c r="D7" s="64"/>
      <x:c r="E7" s="64"/>
      <x:c r="F7" s="64"/>
      <x:c r="G7" s="64"/>
      <x:c r="H7" s="64"/>
      <x:c r="I7" s="64"/>
      <x:c r="J7" s="64"/>
    </x:row>
    <x:row r="8">
      <x:c r="A8" s="70" t="str">
        <x:v>Likely national four-year entrants</x:v>
      </x:c>
      <x:c r="B8" s="70" t="str"/>
      <x:c r="C8" s="70" t="str">
        <x:v>National market change</x:v>
      </x:c>
      <x:c r="D8" s="70" t="str"/>
      <x:c r="E8" s="70" t="str">
        <x:v>Projected UG enrollment</x:v>
      </x:c>
      <x:c r="F8" s="70" t="str"/>
      <x:c r="G8" s="70" t="str">
        <x:v>Annual funding gap proxy</x:v>
      </x:c>
      <x:c r="H8" s="70" t="str"/>
      <x:c r="I8" s="70" t="str">
        <x:v>Institutions modeled</x:v>
      </x:c>
      <x:c r="J8" s="70" t="str"/>
    </x:row>
    <x:row r="9">
      <x:c r="A9" s="80" t="n">
        <x:f>SUMIF('National Market'!$A$4:$A$7,Assumptions!$B$4,'National Market'!$F$4:$F$7)</x:f>
        <x:v>1534314.528</x:v>
      </x:c>
      <x:c r="B9" s="80"/>
      <x:c r="C9" s="82" t="n">
        <x:f>Assumptions!$B$19</x:f>
        <x:v>-0.04739891965741583</x:v>
      </x:c>
      <x:c r="D9" s="82"/>
      <x:c r="E9" s="80" t="n">
        <x:f>SUM('Institution Model'!$P$4:$P$1852)</x:f>
        <x:v>8060993.532555873</x:v>
      </x:c>
      <x:c r="F9" s="80"/>
      <x:c r="G9" s="84" t="n">
        <x:f>SUM('Institution Model'!$AA$4:$AA$1852)</x:f>
        <x:v>3306275705.272417</x:v>
      </x:c>
      <x:c r="H9" s="84"/>
      <x:c r="I9" s="80" t="n">
        <x:v>1849</x:v>
      </x:c>
      <x:c r="J9" s="80"/>
    </x:row>
    <x:row r="12">
      <x:c r="A12" s="64" t="str">
        <x:v>Top default 2035 pressure cases</x:v>
      </x:c>
      <x:c r="B12" s="64"/>
      <x:c r="C12" s="64"/>
      <x:c r="D12" s="64"/>
      <x:c r="E12" s="64"/>
      <x:c r="F12" s="64"/>
      <x:c r="H12" s="64" t="str">
        <x:v>Read this first</x:v>
      </x:c>
      <x:c r="I12" s="64"/>
      <x:c r="J12" s="64"/>
    </x:row>
    <x:row r="13">
      <x:c r="A13" s="10" t="str">
        <x:v>Institution</x:v>
      </x:c>
      <x:c r="B13" s="10" t="str">
        <x:v>State</x:v>
      </x:c>
      <x:c r="C13" s="10" t="str">
        <x:v>Scope</x:v>
      </x:c>
      <x:c r="D13" s="10" t="str">
        <x:v>Dynamic funding gap</x:v>
      </x:c>
      <x:c r="E13" s="10" t="str">
        <x:v>Gap % of tuition</x:v>
      </x:c>
      <x:c r="F13" s="10" t="str">
        <x:v>Dynamic risk band</x:v>
      </x:c>
      <x:c r="H13" s="90" t="str">
        <x:v>The funding gap is not an official institutional deficit. It estimates the loss of undergraduate net-tuition contribution after a limited variable instructional-cost adjustment. It excludes appropriations, grants, gifts, auxiliaries, hospitals, graduate enrollment, debt service, investment returns, and strategic responses. Finance inputs are older than the demographic projections.</x:v>
      </x:c>
      <x:c r="I13" s="90"/>
      <x:c r="J13" s="90"/>
    </x:row>
    <x:row r="14">
      <x:c r="A14" s="16" t="str">
        <x:v>New York University</x:v>
      </x:c>
      <x:c r="B14" s="16" t="str">
        <x:v>NY</x:v>
      </x:c>
      <x:c r="C14" s="16" t="str">
        <x:v>National</x:v>
      </x:c>
      <x:c r="D14" s="86" t="n">
        <x:f>'Institution Model'!AA1135</x:f>
        <x:v>46594439.543440595</x:v>
      </x:c>
      <x:c r="E14" s="36" t="n">
        <x:f>'Institution Model'!AB1135</x:f>
        <x:v>0.05398586621811205</x:v>
      </x:c>
      <x:c r="F14" s="32" t="str">
        <x:f>'Institution Model'!AE1135</x:f>
        <x:v>High</x:v>
      </x:c>
      <x:c r="H14" s="90"/>
      <x:c r="I14" s="90"/>
      <x:c r="J14" s="90"/>
    </x:row>
    <x:row r="15">
      <x:c r="A15" s="16" t="str">
        <x:v>Syracuse University</x:v>
      </x:c>
      <x:c r="B15" s="16" t="str">
        <x:v>NY</x:v>
      </x:c>
      <x:c r="C15" s="16" t="str">
        <x:v>Statewide</x:v>
      </x:c>
      <x:c r="D15" s="86" t="n">
        <x:f>'Institution Model'!AA1185</x:f>
        <x:v>31233843.007107507</x:v>
      </x:c>
      <x:c r="E15" s="36" t="n">
        <x:f>'Institution Model'!AB1185</x:f>
        <x:v>0.08728245633233325</x:v>
      </x:c>
      <x:c r="F15" s="32" t="str">
        <x:f>'Institution Model'!AE1185</x:f>
        <x:v>High</x:v>
      </x:c>
      <x:c r="H15" s="90"/>
      <x:c r="I15" s="90"/>
      <x:c r="J15" s="90"/>
    </x:row>
    <x:row r="16">
      <x:c r="A16" s="16" t="str">
        <x:v>Excelsior College</x:v>
      </x:c>
      <x:c r="B16" s="16" t="str">
        <x:v>NY</x:v>
      </x:c>
      <x:c r="C16" s="16" t="str">
        <x:v>National</x:v>
      </x:c>
      <x:c r="D16" s="86" t="n">
        <x:f>'Institution Model'!AA1098</x:f>
        <x:v>27717068.349634305</x:v>
      </x:c>
      <x:c r="E16" s="36" t="n">
        <x:f>'Institution Model'!AB1098</x:f>
        <x:v>0.06807504467293272</x:v>
      </x:c>
      <x:c r="F16" s="32" t="str">
        <x:f>'Institution Model'!AE1098</x:f>
        <x:v>High</x:v>
      </x:c>
      <x:c r="H16" s="90"/>
      <x:c r="I16" s="90"/>
      <x:c r="J16" s="90"/>
    </x:row>
    <x:row r="17">
      <x:c r="A17" s="16" t="str">
        <x:v>DePaul University</x:v>
      </x:c>
      <x:c r="B17" s="16" t="str">
        <x:v>IL</x:v>
      </x:c>
      <x:c r="C17" s="16" t="str">
        <x:v>Statewide</x:v>
      </x:c>
      <x:c r="D17" s="86" t="n">
        <x:f>'Institution Model'!AA426</x:f>
        <x:v>25861124.55141765</x:v>
      </x:c>
      <x:c r="E17" s="36" t="n">
        <x:f>'Institution Model'!AB426</x:f>
        <x:v>0.08739477944524947</x:v>
      </x:c>
      <x:c r="F17" s="32" t="str">
        <x:f>'Institution Model'!AE426</x:f>
        <x:v>High</x:v>
      </x:c>
      <x:c r="H17" s="90"/>
      <x:c r="I17" s="90"/>
      <x:c r="J17" s="90"/>
    </x:row>
    <x:row r="18">
      <x:c r="A18" s="16" t="str">
        <x:v>Temple University</x:v>
      </x:c>
      <x:c r="B18" s="16" t="str">
        <x:v>PA</x:v>
      </x:c>
      <x:c r="C18" s="16" t="str">
        <x:v>National</x:v>
      </x:c>
      <x:c r="D18" s="86" t="n">
        <x:f>'Institution Model'!AA1453</x:f>
        <x:v>25536986.334229637</x:v>
      </x:c>
      <x:c r="E18" s="36" t="n">
        <x:f>'Institution Model'!AB1453</x:f>
        <x:v>0.045999763007029223</x:v>
      </x:c>
      <x:c r="F18" s="32" t="str">
        <x:f>'Institution Model'!AE1453</x:f>
        <x:v>Moderate</x:v>
      </x:c>
      <x:c r="H18" s="90"/>
      <x:c r="I18" s="90"/>
      <x:c r="J18" s="90"/>
    </x:row>
    <x:row r="19">
      <x:c r="A19" s="16" t="str">
        <x:v>University of California-Berkeley</x:v>
      </x:c>
      <x:c r="B19" s="16" t="str">
        <x:v>CA</x:v>
      </x:c>
      <x:c r="C19" s="16" t="str">
        <x:v>National</x:v>
      </x:c>
      <x:c r="D19" s="86" t="n">
        <x:f>'Institution Model'!AA173</x:f>
        <x:v>23943082.954830997</x:v>
      </x:c>
      <x:c r="E19" s="36" t="n">
        <x:f>'Institution Model'!AB173</x:f>
        <x:v>0.04856373668234649</x:v>
      </x:c>
      <x:c r="F19" s="32" t="str">
        <x:f>'Institution Model'!AE173</x:f>
        <x:v>Moderate</x:v>
      </x:c>
      <x:c r="H19" s="90"/>
      <x:c r="I19" s="90"/>
      <x:c r="J19" s="90"/>
    </x:row>
    <x:row r="20">
      <x:c r="A20" s="16" t="str">
        <x:v>Drexel University</x:v>
      </x:c>
      <x:c r="B20" s="16" t="str">
        <x:v>PA</x:v>
      </x:c>
      <x:c r="C20" s="16" t="str">
        <x:v>Statewide</x:v>
      </x:c>
      <x:c r="D20" s="86" t="n">
        <x:f>'Institution Model'!AA1379</x:f>
        <x:v>22528716.012856647</x:v>
      </x:c>
      <x:c r="E20" s="36" t="n">
        <x:f>'Institution Model'!AB1379</x:f>
        <x:v>0.05880224941324724</x:v>
      </x:c>
      <x:c r="F20" s="32" t="str">
        <x:f>'Institution Model'!AE1379</x:f>
        <x:v>High</x:v>
      </x:c>
      <x:c r="H20" s="90"/>
      <x:c r="I20" s="90"/>
      <x:c r="J20" s="90"/>
    </x:row>
    <x:row r="21">
      <x:c r="A21" s="16" t="str">
        <x:v>University of Southern California</x:v>
      </x:c>
      <x:c r="B21" s="16" t="str">
        <x:v>CA</x:v>
      </x:c>
      <x:c r="C21" s="16" t="str">
        <x:v>National</x:v>
      </x:c>
      <x:c r="D21" s="86" t="n">
        <x:f>'Institution Model'!AA186</x:f>
        <x:v>22274948.992128775</x:v>
      </x:c>
      <x:c r="E21" s="36" t="n">
        <x:f>'Institution Model'!AB186</x:f>
        <x:v>0.03744879494378467</x:v>
      </x:c>
      <x:c r="F21" s="32" t="str">
        <x:f>'Institution Model'!AE186</x:f>
        <x:v>Moderate</x:v>
      </x:c>
      <x:c r="H21" s="90"/>
      <x:c r="I21" s="90"/>
      <x:c r="J21" s="90"/>
    </x:row>
    <x:row r="22">
      <x:c r="A22" s="16" t="str">
        <x:v>University of Michigan-Ann Arbor</x:v>
      </x:c>
      <x:c r="B22" s="16" t="str">
        <x:v>MI</x:v>
      </x:c>
      <x:c r="C22" s="16" t="str">
        <x:v>National</x:v>
      </x:c>
      <x:c r="D22" s="86" t="n">
        <x:f>'Institution Model'!AA781</x:f>
        <x:v>21606739.231228203</x:v>
      </x:c>
      <x:c r="E22" s="36" t="n">
        <x:f>'Institution Model'!AB781</x:f>
        <x:v>0.033927789385393016</x:v>
      </x:c>
      <x:c r="F22" s="32" t="str">
        <x:f>'Institution Model'!AE781</x:f>
        <x:v>Moderate</x:v>
      </x:c>
      <x:c r="H22" s="90"/>
      <x:c r="I22" s="90"/>
      <x:c r="J22" s="90"/>
    </x:row>
    <x:row r="23">
      <x:c r="A23" s="16" t="str">
        <x:v>Michigan State University</x:v>
      </x:c>
      <x:c r="B23" s="16" t="str">
        <x:v>MI</x:v>
      </x:c>
      <x:c r="C23" s="16" t="str">
        <x:v>National</x:v>
      </x:c>
      <x:c r="D23" s="86" t="n">
        <x:f>'Institution Model'!AA768</x:f>
        <x:v>20868896.220825534</x:v>
      </x:c>
      <x:c r="E23" s="36" t="n">
        <x:f>'Institution Model'!AB768</x:f>
        <x:v>0.03427965263027647</x:v>
      </x:c>
      <x:c r="F23" s="32" t="str">
        <x:f>'Institution Model'!AE768</x:f>
        <x:v>Moderate</x:v>
      </x:c>
    </x:row>
    <x:row r="24">
      <x:c r="A24" s="16" t="str">
        <x:v>Indiana University-Bloomington</x:v>
      </x:c>
      <x:c r="B24" s="16" t="str">
        <x:v>IN</x:v>
      </x:c>
      <x:c r="C24" s="16" t="str">
        <x:v>National</x:v>
      </x:c>
      <x:c r="D24" s="86" t="n">
        <x:f>'Institution Model'!AA502</x:f>
        <x:v>20501985.117149968</x:v>
      </x:c>
      <x:c r="E24" s="36" t="n">
        <x:f>'Institution Model'!AB502</x:f>
        <x:v>0.03845249193844941</x:v>
      </x:c>
      <x:c r="F24" s="32" t="str">
        <x:f>'Institution Model'!AE502</x:f>
        <x:v>Moderate</x:v>
      </x:c>
    </x:row>
    <x:row r="25">
      <x:c r="A25" s="16" t="str">
        <x:v>Rochester Institute of Technology</x:v>
      </x:c>
      <x:c r="B25" s="16" t="str">
        <x:v>NY</x:v>
      </x:c>
      <x:c r="C25" s="16" t="str">
        <x:v>Statewide</x:v>
      </x:c>
      <x:c r="D25" s="86" t="n">
        <x:f>'Institution Model'!AA1152</x:f>
        <x:v>20443490.485237252</x:v>
      </x:c>
      <x:c r="E25" s="36" t="n">
        <x:f>'Institution Model'!AB1152</x:f>
        <x:v>0.08024489541075024</x:v>
      </x:c>
      <x:c r="F25" s="32" t="str">
        <x:f>'Institution Model'!AE1152</x:f>
        <x:v>High</x:v>
      </x:c>
    </x:row>
    <x:row r="26">
      <x:c r="A26" s="16" t="str">
        <x:v>Loyola Marymount University</x:v>
      </x:c>
      <x:c r="B26" s="16" t="str">
        <x:v>CA</x:v>
      </x:c>
      <x:c r="C26" s="16" t="str">
        <x:v>Regional</x:v>
      </x:c>
      <x:c r="D26" s="86" t="n">
        <x:f>'Institution Model'!AA132</x:f>
        <x:v>20311068.035788767</x:v>
      </x:c>
      <x:c r="E26" s="36" t="n">
        <x:f>'Institution Model'!AB132</x:f>
        <x:v>0.10696659962703907</x:v>
      </x:c>
      <x:c r="F26" s="32" t="str">
        <x:f>'Institution Model'!AE132</x:f>
        <x:v>Severe</x:v>
      </x:c>
    </x:row>
    <x:row r="27">
      <x:c r="A27" s="16" t="str">
        <x:v>Northeastern University</x:v>
      </x:c>
      <x:c r="B27" s="16" t="str">
        <x:v>MA</x:v>
      </x:c>
      <x:c r="C27" s="16" t="str">
        <x:v>National</x:v>
      </x:c>
      <x:c r="D27" s="86" t="n">
        <x:f>'Institution Model'!AA662</x:f>
        <x:v>20077408.16877742</x:v>
      </x:c>
      <x:c r="E27" s="36" t="n">
        <x:f>'Institution Model'!AB662</x:f>
        <x:v>0.04149816102681172</x:v>
      </x:c>
      <x:c r="F27" s="32" t="str">
        <x:f>'Institution Model'!AE662</x:f>
        <x:v>Moderate</x:v>
      </x:c>
    </x:row>
    <x:row r="28">
      <x:c r="A28" s="16" t="str">
        <x:v>University of Colorado Boulder</x:v>
      </x:c>
      <x:c r="B28" s="16" t="str">
        <x:v>CO</x:v>
      </x:c>
      <x:c r="C28" s="16" t="str">
        <x:v>National</x:v>
      </x:c>
      <x:c r="D28" s="86" t="n">
        <x:f>'Institution Model'!AA210</x:f>
        <x:v>19996289.224285938</x:v>
      </x:c>
      <x:c r="E28" s="36" t="n">
        <x:f>'Institution Model'!AB210</x:f>
        <x:v>0.04273544516650902</x:v>
      </x:c>
      <x:c r="F28" s="32" t="str">
        <x:f>'Institution Model'!AE210</x:f>
        <x:v>Moderate</x:v>
      </x:c>
    </x:row>
    <x:row r="29">
      <x:c r="A29" s="16" t="str">
        <x:v>Loyola University Chicago</x:v>
      </x:c>
      <x:c r="B29" s="16" t="str">
        <x:v>IL</x:v>
      </x:c>
      <x:c r="C29" s="16" t="str">
        <x:v>Statewide</x:v>
      </x:c>
      <x:c r="D29" s="86" t="n">
        <x:f>'Institution Model'!AA445</x:f>
        <x:v>19609502.159659747</x:v>
      </x:c>
      <x:c r="E29" s="36" t="n">
        <x:f>'Institution Model'!AB445</x:f>
        <x:v>0.08984821013418286</x:v>
      </x:c>
      <x:c r="F29" s="32" t="str">
        <x:f>'Institution Model'!AE445</x:f>
        <x:v>High</x:v>
      </x:c>
    </x:row>
    <x:row r="30">
      <x:c r="A30" s="16" t="str">
        <x:v>Cornell University</x:v>
      </x:c>
      <x:c r="B30" s="16" t="str">
        <x:v>NY</x:v>
      </x:c>
      <x:c r="C30" s="16" t="str">
        <x:v>National</x:v>
      </x:c>
      <x:c r="D30" s="86" t="n">
        <x:f>'Institution Model'!AA1091</x:f>
        <x:v>19520266.47468126</x:v>
      </x:c>
      <x:c r="E30" s="36" t="n">
        <x:f>'Institution Model'!AB1091</x:f>
        <x:v>0.05078168948660516</x:v>
      </x:c>
      <x:c r="F30" s="32" t="str">
        <x:f>'Institution Model'!AE1091</x:f>
        <x:v>High</x:v>
      </x:c>
    </x:row>
    <x:row r="31">
      <x:c r="A31" s="16" t="str">
        <x:v>Arizona State University-Tempe</x:v>
      </x:c>
      <x:c r="B31" s="16" t="str">
        <x:v>AZ</x:v>
      </x:c>
      <x:c r="C31" s="16" t="str">
        <x:v>National</x:v>
      </x:c>
      <x:c r="D31" s="86" t="n">
        <x:f>'Institution Model'!AA64</x:f>
        <x:v>19158584.867159016</x:v>
      </x:c>
      <x:c r="E31" s="36" t="n">
        <x:f>'Institution Model'!AB64</x:f>
        <x:v>0.029508016874058195</x:v>
      </x:c>
      <x:c r="F31" s="32" t="str">
        <x:f>'Institution Model'!AE64</x:f>
        <x:v>Moderate</x:v>
      </x:c>
    </x:row>
    <x:row r="32">
      <x:c r="A32" s="16" t="str">
        <x:v>The New School</x:v>
      </x:c>
      <x:c r="B32" s="16" t="str">
        <x:v>NY</x:v>
      </x:c>
      <x:c r="C32" s="16" t="str">
        <x:v>Regional</x:v>
      </x:c>
      <x:c r="D32" s="86" t="n">
        <x:f>'Institution Model'!AA1193</x:f>
        <x:v>19076782.078983694</x:v>
      </x:c>
      <x:c r="E32" s="36" t="n">
        <x:f>'Institution Model'!AB1193</x:f>
        <x:v>0.11115012425850533</x:v>
      </x:c>
      <x:c r="F32" s="32" t="str">
        <x:f>'Institution Model'!AE1193</x:f>
        <x:v>Severe</x:v>
      </x:c>
    </x:row>
    <x:row r="33">
      <x:c r="A33" s="16" t="str">
        <x:v>University of California-San Diego</x:v>
      </x:c>
      <x:c r="B33" s="16" t="str">
        <x:v>CA</x:v>
      </x:c>
      <x:c r="C33" s="16" t="str">
        <x:v>National</x:v>
      </x:c>
      <x:c r="D33" s="86" t="n">
        <x:f>'Institution Model'!AA179</x:f>
        <x:v>18993489.804031037</x:v>
      </x:c>
      <x:c r="E33" s="36" t="n">
        <x:f>'Institution Model'!AB179</x:f>
        <x:v>0.04506749216440488</x:v>
      </x:c>
      <x:c r="F33" s="32" t="str">
        <x:f>'Institution Model'!AE179</x:f>
        <x:v>Moderate</x:v>
      </x:c>
    </x:row>
  </x:sheetData>
  <x:mergeCells>
    <x:mergeCell ref="A1:J1"/>
    <x:mergeCell ref="A2:J2"/>
    <x:mergeCell ref="A4:J4"/>
    <x:mergeCell ref="A7:J7"/>
    <x:mergeCell ref="A9:B9"/>
    <x:mergeCell ref="C9:D9"/>
    <x:mergeCell ref="E9:F9"/>
    <x:mergeCell ref="G9:H9"/>
    <x:mergeCell ref="I9:J9"/>
    <x:mergeCell ref="A12:F12"/>
    <x:mergeCell ref="H12:J12"/>
    <x:mergeCell ref="H13:J22"/>
  </x:mergeCells>
  <x:pageMargins left="0.7" right="0.7" top="0.75" bottom="0.75" header="0.3" footer="0.3"/>
  <x:drawing xmlns:r="http://schemas.openxmlformats.org/officeDocument/2006/relationships" r:id="Rec9921c0c7f84509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" t="str">
        <x:v>Model Assumptions</x:v>
      </x:c>
      <x:c r="B1" s="3"/>
      <x:c r="C1" s="3"/>
      <x:c r="D1" s="3"/>
    </x:row>
    <x:row r="3">
      <x:c r="A3" s="10" t="str">
        <x:v>Assumption</x:v>
      </x:c>
      <x:c r="B3" s="10" t="str">
        <x:v>Central / Selected</x:v>
      </x:c>
      <x:c r="C3" s="10" t="str">
        <x:v>Low</x:v>
      </x:c>
      <x:c r="D3" s="10" t="str">
        <x:v>High</x:v>
      </x:c>
    </x:row>
    <x:row r="4">
      <x:c r="A4" t="str">
        <x:v>Projection year</x:v>
      </x:c>
      <x:c r="B4" s="18" t="n">
        <x:v>2035</x:v>
      </x:c>
      <x:c r="C4" s="16" t="n">
        <x:v>2030</x:v>
      </x:c>
      <x:c r="D4" s="16" t="n">
        <x:v>2041</x:v>
      </x:c>
    </x:row>
    <x:row r="5">
      <x:c r="A5" t="str">
        <x:v>College-going rate</x:v>
      </x:c>
      <x:c r="B5" s="20" t="n">
        <x:v>0.628</x:v>
      </x:c>
      <x:c r="C5" s="21" t="n">
        <x:v>0.578</x:v>
      </x:c>
      <x:c r="D5" s="21" t="n">
        <x:v>0.678</x:v>
      </x:c>
    </x:row>
    <x:row r="6">
      <x:c r="A6" t="str">
        <x:v>Four-year share</x:v>
      </x:c>
      <x:c r="B6" s="20" t="n">
        <x:v>0.6666666666666666</x:v>
      </x:c>
      <x:c r="C6" s="21" t="n">
        <x:v>0.6166666666666666</x:v>
      </x:c>
      <x:c r="D6" s="21" t="n">
        <x:v>0.7166666666666667</x:v>
      </x:c>
    </x:row>
    <x:row r="7">
      <x:c r="A7" t="str">
        <x:v>Undergraduate cohort divisor</x:v>
      </x:c>
      <x:c r="B7" s="24" t="n">
        <x:v>4.25</x:v>
      </x:c>
      <x:c r="C7" s="25" t="n">
        <x:v>4</x:v>
      </x:c>
      <x:c r="D7" s="25" t="n">
        <x:v>4.5</x:v>
      </x:c>
    </x:row>
    <x:row r="8">
      <x:c r="A8" t="str">
        <x:v>Headcount-to-FTE factor</x:v>
      </x:c>
      <x:c r="B8" s="20" t="n">
        <x:v>0.85</x:v>
      </x:c>
      <x:c r="C8" s="21" t="n">
        <x:v>0.75</x:v>
      </x:c>
      <x:c r="D8" s="21" t="n">
        <x:v>0.95</x:v>
      </x:c>
    </x:row>
    <x:row r="9">
      <x:c r="A9" t="str">
        <x:v>Variable instructional expense share</x:v>
      </x:c>
      <x:c r="B9" s="20" t="n">
        <x:v>0.3</x:v>
      </x:c>
      <x:c r="C9" s="21" t="n">
        <x:v>0.2</x:v>
      </x:c>
      <x:c r="D9" s="21" t="n">
        <x:v>0.4</x:v>
      </x:c>
    </x:row>
    <x:row r="10">
      <x:c r="A10" t="str">
        <x:v>Institution market-share change</x:v>
      </x:c>
      <x:c r="B10" s="20" t="n">
        <x:v>0</x:v>
      </x:c>
      <x:c r="C10" s="21" t="n">
        <x:v>-0.02</x:v>
      </x:c>
      <x:c r="D10" s="21" t="n">
        <x:v>0.02</x:v>
      </x:c>
    </x:row>
    <x:row r="11">
      <x:c r="A11" t="str">
        <x:v>National recruiter: state weight</x:v>
      </x:c>
      <x:c r="B11" s="20" t="n">
        <x:v>0.25</x:v>
      </x:c>
      <x:c r="C11" s="21" t="n">
        <x:v>0.1</x:v>
      </x:c>
      <x:c r="D11" s="21" t="n">
        <x:v>0.4</x:v>
      </x:c>
    </x:row>
    <x:row r="12">
      <x:c r="A12" t="str">
        <x:v>Statewide recruiter: state weight</x:v>
      </x:c>
      <x:c r="B12" s="20" t="n">
        <x:v>0.6</x:v>
      </x:c>
      <x:c r="C12" s="21" t="n">
        <x:v>0.45</x:v>
      </x:c>
      <x:c r="D12" s="21" t="n">
        <x:v>0.75</x:v>
      </x:c>
    </x:row>
    <x:row r="13">
      <x:c r="A13" t="str">
        <x:v>Regional recruiter: state weight</x:v>
      </x:c>
      <x:c r="B13" s="20" t="n">
        <x:v>0.85</x:v>
      </x:c>
      <x:c r="C13" s="21" t="n">
        <x:v>0.75</x:v>
      </x:c>
      <x:c r="D13" s="21" t="n">
        <x:v>0.95</x:v>
      </x:c>
    </x:row>
    <x:row r="16">
      <x:c r="A16" s="10" t="str">
        <x:v>National graduate market change</x:v>
      </x:c>
      <x:c r="B16" s="10" t="str">
        <x:v>2030</x:v>
      </x:c>
      <x:c r="C16" s="10" t="str">
        <x:v>2035</x:v>
      </x:c>
      <x:c r="D16" s="10" t="str">
        <x:v>2041</x:v>
      </x:c>
    </x:row>
    <x:row r="17">
      <x:c r="A17" t="str">
        <x:v>Change from 2026</x:v>
      </x:c>
      <x:c r="B17" s="21" t="n">
        <x:v>-0.048361979489554896</x:v>
      </x:c>
      <x:c r="C17" s="21" t="n">
        <x:v>-0.04739891965741583</x:v>
      </x:c>
      <x:c r="D17" s="21" t="n">
        <x:v>-0.11013505452010375</x:v>
      </x:c>
    </x:row>
    <x:row r="19">
      <x:c r="A19" t="str">
        <x:v>Selected national change</x:v>
      </x:c>
      <x:c r="B19" s="28" t="n">
        <x:f>IF(B4=2030,B17,IF(B4=2035,C17,D17))</x:f>
        <x:v>-0.04739891965741583</x:v>
      </x:c>
    </x:row>
    <x:row r="22">
      <x:c r="A22" s="10" t="str">
        <x:v>Interpretation</x:v>
      </x:c>
      <x:c r="B22" s="10" t="str">
        <x:v>Value</x:v>
      </x:c>
      <x:c r="C22" s="10" t="str">
        <x:v>Source / note</x:v>
      </x:c>
      <x:c r="D22" s="10" t="str">
        <x:v>Editable?</x:v>
      </x:c>
    </x:row>
    <x:row r="23">
      <x:c r="A23" s="30" t="str">
        <x:v>College-going rate</x:v>
      </x:c>
      <x:c r="B23" s="30" t="str">
        <x:v>62.8%</x:v>
      </x:c>
      <x:c r="C23" s="30" t="str">
        <x:v>BLS October 2024 recent high-school graduate enrollment</x:v>
      </x:c>
      <x:c r="D23" s="30" t="str">
        <x:v>Yes</x:v>
      </x:c>
    </x:row>
    <x:row r="24">
      <x:c r="A24" s="30" t="str">
        <x:v>Four-year share</x:v>
      </x:c>
      <x:c r="B24" s="30" t="str">
        <x:v>Two-thirds</x:v>
      </x:c>
      <x:c r="C24" s="30" t="str">
        <x:v>BLS: about 2 in 3 enrolled recent graduates attended four-year colleges</x:v>
      </x:c>
      <x:c r="D24" s="30" t="str">
        <x:v>Yes</x:v>
      </x:c>
    </x:row>
    <x:row r="25">
      <x:c r="A25" s="30" t="str">
        <x:v>Finance proxy</x:v>
      </x:c>
      <x:c r="B25" s="30" t="str">
        <x:v>Net tuition less adjustable instructional cost</x:v>
      </x:c>
      <x:c r="C25" s="30" t="str">
        <x:v>Does not equal total institutional operating budget</x:v>
      </x:c>
      <x:c r="D25" s="30" t="str">
        <x:v>Yes</x:v>
      </x:c>
    </x:row>
    <x:row r="26">
      <x:c r="A26" s="30" t="str">
        <x:v>Institutional data vintage</x:v>
      </x:c>
      <x:c r="B26" s="30" t="str">
        <x:v>2024 enrollment / 2022 finance</x:v>
      </x:c>
      <x:c r="C26" s="30" t="str">
        <x:v>Official Scorecard has a newer June 2026 release not ingested here</x:v>
      </x:c>
      <x:c r="D26" s="30" t="str">
        <x:v>No</x:v>
      </x:c>
    </x:row>
  </x:sheetData>
  <x:mergeCells>
    <x:mergeCell ref="A1:D1"/>
  </x:mergeCells>
  <x:dataValidations count="1">
    <x:dataValidation type="list" sqref="B4">
      <x:formula1>"2030,2035,2041"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0" hidden="0" customWidth="1"/>
  </x:cols>
  <x:sheetData>
    <x:row r="1">
      <x:c r="A1" s="3" t="str">
        <x:v>National Market Outlook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Class year</x:v>
      </x:c>
      <x:c r="B3" s="10" t="str">
        <x:v>Projected high-school graduates</x:v>
      </x:c>
      <x:c r="C3" s="10" t="str">
        <x:v>College-going rate</x:v>
      </x:c>
      <x:c r="D3" s="10" t="str">
        <x:v>Likely college entrants</x:v>
      </x:c>
      <x:c r="E3" s="10" t="str">
        <x:v>Four-year share</x:v>
      </x:c>
      <x:c r="F3" s="10" t="str">
        <x:v>Likely four-year entrants</x:v>
      </x:c>
      <x:c r="G3" s="10" t="str">
        <x:v>Change from 2026</x:v>
      </x:c>
      <x:c r="H3" s="10" t="str">
        <x:v>Scenario note</x:v>
      </x:c>
    </x:row>
    <x:row r="4">
      <x:c r="A4" s="16" t="n">
        <x:v>2026</x:v>
      </x:c>
      <x:c r="B4" s="34" t="n">
        <x:v>3847113</x:v>
      </x:c>
      <x:c r="C4" s="36" t="n">
        <x:f>Assumptions!$B$5</x:f>
        <x:v>0.628</x:v>
      </x:c>
      <x:c r="D4" s="38" t="n">
        <x:f>B4*C4</x:f>
        <x:v>2415986.964</x:v>
      </x:c>
      <x:c r="E4" s="36" t="n">
        <x:f>Assumptions!$B$6</x:f>
        <x:v>0.6666666666666666</x:v>
      </x:c>
      <x:c r="F4" s="38" t="n">
        <x:f>D4*E4</x:f>
        <x:v>1610657.976</x:v>
      </x:c>
      <x:c r="G4" s="21" t="n">
        <x:v>0</x:v>
      </x:c>
      <x:c r="H4" s="16" t="str">
        <x:v>Central scenario; rates held constant across years</x:v>
      </x:c>
    </x:row>
    <x:row r="5">
      <x:c r="A5" s="16" t="n">
        <x:v>2030</x:v>
      </x:c>
      <x:c r="B5" s="34" t="n">
        <x:v>3661059</x:v>
      </x:c>
      <x:c r="C5" s="36" t="n">
        <x:f>Assumptions!$B$5</x:f>
        <x:v>0.628</x:v>
      </x:c>
      <x:c r="D5" s="38" t="n">
        <x:f>B5*C5</x:f>
        <x:v>2299145.052</x:v>
      </x:c>
      <x:c r="E5" s="36" t="n">
        <x:f>Assumptions!$B$6</x:f>
        <x:v>0.6666666666666666</x:v>
      </x:c>
      <x:c r="F5" s="38" t="n">
        <x:f>D5*E5</x:f>
        <x:v>1532763.368</x:v>
      </x:c>
      <x:c r="G5" s="21" t="n">
        <x:v>-0.048361979489554896</x:v>
      </x:c>
      <x:c r="H5" s="16" t="str">
        <x:v>Central scenario; rates held constant across years</x:v>
      </x:c>
    </x:row>
    <x:row r="6">
      <x:c r="A6" s="16" t="n">
        <x:v>2035</x:v>
      </x:c>
      <x:c r="B6" s="34" t="n">
        <x:v>3664764</x:v>
      </x:c>
      <x:c r="C6" s="36" t="n">
        <x:f>Assumptions!$B$5</x:f>
        <x:v>0.628</x:v>
      </x:c>
      <x:c r="D6" s="38" t="n">
        <x:f>B6*C6</x:f>
        <x:v>2301471.792</x:v>
      </x:c>
      <x:c r="E6" s="36" t="n">
        <x:f>Assumptions!$B$6</x:f>
        <x:v>0.6666666666666666</x:v>
      </x:c>
      <x:c r="F6" s="38" t="n">
        <x:f>D6*E6</x:f>
        <x:v>1534314.528</x:v>
      </x:c>
      <x:c r="G6" s="21" t="n">
        <x:v>-0.04739891965741583</x:v>
      </x:c>
      <x:c r="H6" s="16" t="str">
        <x:v>Central scenario; rates held constant across years</x:v>
      </x:c>
    </x:row>
    <x:row r="7">
      <x:c r="A7" s="16" t="n">
        <x:v>2041</x:v>
      </x:c>
      <x:c r="B7" s="34" t="n">
        <x:v>3423411</x:v>
      </x:c>
      <x:c r="C7" s="36" t="n">
        <x:f>Assumptions!$B$5</x:f>
        <x:v>0.628</x:v>
      </x:c>
      <x:c r="D7" s="38" t="n">
        <x:f>B7*C7</x:f>
        <x:v>2149902.108</x:v>
      </x:c>
      <x:c r="E7" s="36" t="n">
        <x:f>Assumptions!$B$6</x:f>
        <x:v>0.6666666666666666</x:v>
      </x:c>
      <x:c r="F7" s="38" t="n">
        <x:f>D7*E7</x:f>
        <x:v>1433268.072</x:v>
      </x:c>
      <x:c r="G7" s="21" t="n">
        <x:v>-0.11013505452010375</x:v>
      </x:c>
      <x:c r="H7" s="16" t="str">
        <x:v>Central scenario; rates held constant across years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24aeff0731c484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7" hidden="0" customWidth="1"/>
    <x:col min="13" max="13" width="17" hidden="0" customWidth="1"/>
    <x:col min="14" max="14" width="17" hidden="0" customWidth="1"/>
    <x:col min="15" max="15" width="16" hidden="0" customWidth="1"/>
    <x:col min="16" max="16" width="40" hidden="0" customWidth="1"/>
  </x:cols>
  <x:sheetData>
    <x:row r="1">
      <x:c r="A1" s="3" t="str">
        <x:v>State and Local Market Outlook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>
      <x:c r="A3" s="10" t="str">
        <x:v>State</x:v>
      </x:c>
      <x:c r="B3" s="10" t="str">
        <x:v>State name</x:v>
      </x:c>
      <x:c r="C3" s="10" t="str">
        <x:v>Class year</x:v>
      </x:c>
      <x:c r="D3" s="10" t="str">
        <x:v>Projected high-school graduates</x:v>
      </x:c>
      <x:c r="E3" s="10" t="str">
        <x:v>Change from 2026</x:v>
      </x:c>
      <x:c r="F3" s="10" t="str">
        <x:v>College-going rate</x:v>
      </x:c>
      <x:c r="G3" s="10" t="str">
        <x:v>Likely college entrants</x:v>
      </x:c>
      <x:c r="H3" s="10" t="str">
        <x:v>Four-year share</x:v>
      </x:c>
      <x:c r="I3" s="10" t="str">
        <x:v>Likely four-year entrants</x:v>
      </x:c>
      <x:c r="J3" s="10" t="str">
        <x:v>Low scenario</x:v>
      </x:c>
      <x:c r="K3" s="10" t="str">
        <x:v>High scenario</x:v>
      </x:c>
      <x:c r="L3" s="10" t="str">
        <x:v>Current four-year UG enrollment</x:v>
      </x:c>
      <x:c r="M3" s="10" t="str">
        <x:v>Institution count</x:v>
      </x:c>
      <x:c r="N3" s="10" t="str">
        <x:v>Annual capacity proxy</x:v>
      </x:c>
      <x:c r="O3" s="10" t="str">
        <x:v>Local pool coverage proxy</x:v>
      </x:c>
      <x:c r="P3" s="10" t="str">
        <x:v>Interpretation</x:v>
      </x:c>
    </x:row>
    <x:row r="4">
      <x:c r="A4" s="16" t="str">
        <x:v>AK</x:v>
      </x:c>
      <x:c r="B4" s="16" t="str">
        <x:v>Alaska</x:v>
      </x:c>
      <x:c r="C4" s="16" t="n">
        <x:v>2026</x:v>
      </x:c>
      <x:c r="D4" s="34" t="n">
        <x:v>8879</x:v>
      </x:c>
      <x:c r="E4" s="21" t="n">
        <x:v>0</x:v>
      </x:c>
      <x:c r="F4" s="36" t="n">
        <x:f>Assumptions!$B$5</x:f>
        <x:v>0.628</x:v>
      </x:c>
      <x:c r="G4" s="38" t="n">
        <x:f>D4*F4</x:f>
        <x:v>5576.012</x:v>
      </x:c>
      <x:c r="H4" s="36" t="n">
        <x:f>Assumptions!$B$6</x:f>
        <x:v>0.6666666666666666</x:v>
      </x:c>
      <x:c r="I4" s="38" t="n">
        <x:f>G4*H4</x:f>
        <x:v>3717.341333333333</x:v>
      </x:c>
      <x:c r="J4" s="40" t="n">
        <x:f>D4*Assumptions!$C$5*Assumptions!$C$6</x:f>
        <x:v>3164.7715666666663</x:v>
      </x:c>
      <x:c r="K4" s="40" t="n">
        <x:f>D4*Assumptions!$D$5*Assumptions!$D$6</x:f>
        <x:v>4314.306100000001</x:v>
      </x:c>
      <x:c r="L4" s="34" t="n">
        <x:v>19406</x:v>
      </x:c>
      <x:c r="M4" s="34" t="n">
        <x:v>4</x:v>
      </x:c>
      <x:c r="N4" s="38" t="n">
        <x:f>IF(L4=0,0,L4/Assumptions!$B$7)</x:f>
        <x:v>4566.117647058823</x:v>
      </x:c>
      <x:c r="O4" s="42" t="n">
        <x:f>IF(N4=0,0,I4/N4)</x:f>
        <x:v>0.8141142258408052</x:v>
      </x:c>
      <x:c r="P4" s="44" t="str">
        <x:v>Coverage below 1.0 indicates reliance on imported, transfer, adult, international, or higher-participation demand.</x:v>
      </x:c>
    </x:row>
    <x:row r="5">
      <x:c r="A5" s="16" t="str">
        <x:v>AK</x:v>
      </x:c>
      <x:c r="B5" s="16" t="str">
        <x:v>Alaska</x:v>
      </x:c>
      <x:c r="C5" s="16" t="n">
        <x:v>2030</x:v>
      </x:c>
      <x:c r="D5" s="34" t="n">
        <x:v>8878</x:v>
      </x:c>
      <x:c r="E5" s="21" t="n">
        <x:v>-0.00011262529564137758</x:v>
      </x:c>
      <x:c r="F5" s="36" t="n">
        <x:f>Assumptions!$B$5</x:f>
        <x:v>0.628</x:v>
      </x:c>
      <x:c r="G5" s="38" t="n">
        <x:f>D5*F5</x:f>
        <x:v>5575.384</x:v>
      </x:c>
      <x:c r="H5" s="36" t="n">
        <x:f>Assumptions!$B$6</x:f>
        <x:v>0.6666666666666666</x:v>
      </x:c>
      <x:c r="I5" s="38" t="n">
        <x:f>G5*H5</x:f>
        <x:v>3716.9226666666664</x:v>
      </x:c>
      <x:c r="J5" s="40" t="n">
        <x:f>D5*Assumptions!$C$5*Assumptions!$C$6</x:f>
        <x:v>3164.4151333333325</x:v>
      </x:c>
      <x:c r="K5" s="40" t="n">
        <x:f>D5*Assumptions!$D$5*Assumptions!$D$6</x:f>
        <x:v>4313.8202</x:v>
      </x:c>
      <x:c r="L5" s="34" t="n">
        <x:v>19406</x:v>
      </x:c>
      <x:c r="M5" s="34" t="n">
        <x:v>4</x:v>
      </x:c>
      <x:c r="N5" s="38" t="n">
        <x:f>IF(L5=0,0,L5/Assumptions!$B$7)</x:f>
        <x:v>4566.117647058823</x:v>
      </x:c>
      <x:c r="O5" s="42" t="n">
        <x:f>IF(N5=0,0,I5/N5)</x:f>
        <x:v>0.8140225359854341</x:v>
      </x:c>
      <x:c r="P5" s="44" t="str">
        <x:v>Coverage below 1.0 indicates reliance on imported, transfer, adult, international, or higher-participation demand.</x:v>
      </x:c>
    </x:row>
    <x:row r="6">
      <x:c r="A6" s="16" t="str">
        <x:v>AK</x:v>
      </x:c>
      <x:c r="B6" s="16" t="str">
        <x:v>Alaska</x:v>
      </x:c>
      <x:c r="C6" s="16" t="n">
        <x:v>2035</x:v>
      </x:c>
      <x:c r="D6" s="34" t="n">
        <x:v>8334</x:v>
      </x:c>
      <x:c r="E6" s="21" t="n">
        <x:v>-0.06138078612456355</x:v>
      </x:c>
      <x:c r="F6" s="36" t="n">
        <x:f>Assumptions!$B$5</x:f>
        <x:v>0.628</x:v>
      </x:c>
      <x:c r="G6" s="38" t="n">
        <x:f>D6*F6</x:f>
        <x:v>5233.752</x:v>
      </x:c>
      <x:c r="H6" s="36" t="n">
        <x:f>Assumptions!$B$6</x:f>
        <x:v>0.6666666666666666</x:v>
      </x:c>
      <x:c r="I6" s="38" t="n">
        <x:f>G6*H6</x:f>
        <x:v>3489.168</x:v>
      </x:c>
      <x:c r="J6" s="40" t="n">
        <x:f>D6*Assumptions!$C$5*Assumptions!$C$6</x:f>
        <x:v>2970.5153999999993</x:v>
      </x:c>
      <x:c r="K6" s="40" t="n">
        <x:f>D6*Assumptions!$D$5*Assumptions!$D$6</x:f>
        <x:v>4049.4906</x:v>
      </x:c>
      <x:c r="L6" s="34" t="n">
        <x:v>19406</x:v>
      </x:c>
      <x:c r="M6" s="34" t="n">
        <x:v>4</x:v>
      </x:c>
      <x:c r="N6" s="38" t="n">
        <x:f>IF(L6=0,0,L6/Assumptions!$B$7)</x:f>
        <x:v>4566.117647058823</x:v>
      </x:c>
      <x:c r="O6" s="42" t="n">
        <x:f>IF(N6=0,0,I6/N6)</x:f>
        <x:v>0.7641432546635062</x:v>
      </x:c>
      <x:c r="P6" s="44" t="str">
        <x:v>Coverage below 1.0 indicates reliance on imported, transfer, adult, international, or higher-participation demand.</x:v>
      </x:c>
    </x:row>
    <x:row r="7">
      <x:c r="A7" s="16" t="str">
        <x:v>AK</x:v>
      </x:c>
      <x:c r="B7" s="16" t="str">
        <x:v>Alaska</x:v>
      </x:c>
      <x:c r="C7" s="16" t="n">
        <x:v>2041</x:v>
      </x:c>
      <x:c r="D7" s="34" t="n">
        <x:v>7170</x:v>
      </x:c>
      <x:c r="E7" s="21" t="n">
        <x:v>-0.19247663025115436</x:v>
      </x:c>
      <x:c r="F7" s="36" t="n">
        <x:f>Assumptions!$B$5</x:f>
        <x:v>0.628</x:v>
      </x:c>
      <x:c r="G7" s="38" t="n">
        <x:f>D7*F7</x:f>
        <x:v>4502.76</x:v>
      </x:c>
      <x:c r="H7" s="36" t="n">
        <x:f>Assumptions!$B$6</x:f>
        <x:v>0.6666666666666666</x:v>
      </x:c>
      <x:c r="I7" s="38" t="n">
        <x:f>G7*H7</x:f>
        <x:v>3001.84</x:v>
      </x:c>
      <x:c r="J7" s="40" t="n">
        <x:f>D7*Assumptions!$C$5*Assumptions!$C$6</x:f>
        <x:v>2555.626999999999</x:v>
      </x:c>
      <x:c r="K7" s="40" t="n">
        <x:f>D7*Assumptions!$D$5*Assumptions!$D$6</x:f>
        <x:v>3483.9030000000002</x:v>
      </x:c>
      <x:c r="L7" s="34" t="n">
        <x:v>19406</x:v>
      </x:c>
      <x:c r="M7" s="34" t="n">
        <x:v>4</x:v>
      </x:c>
      <x:c r="N7" s="38" t="n">
        <x:f>IF(L7=0,0,L7/Assumptions!$B$7)</x:f>
        <x:v>4566.117647058823</x:v>
      </x:c>
      <x:c r="O7" s="42" t="n">
        <x:f>IF(N7=0,0,I7/N7)</x:f>
        <x:v>0.6574162630114398</x:v>
      </x:c>
      <x:c r="P7" s="44" t="str">
        <x:v>Coverage below 1.0 indicates reliance on imported, transfer, adult, international, or higher-participation demand.</x:v>
      </x:c>
    </x:row>
    <x:row r="8">
      <x:c r="A8" s="16" t="str">
        <x:v>AL</x:v>
      </x:c>
      <x:c r="B8" s="16" t="str">
        <x:v>Alabama</x:v>
      </x:c>
      <x:c r="C8" s="16" t="n">
        <x:v>2026</x:v>
      </x:c>
      <x:c r="D8" s="34" t="n">
        <x:v>55546</x:v>
      </x:c>
      <x:c r="E8" s="21" t="n">
        <x:v>0</x:v>
      </x:c>
      <x:c r="F8" s="36" t="n">
        <x:f>Assumptions!$B$5</x:f>
        <x:v>0.628</x:v>
      </x:c>
      <x:c r="G8" s="38" t="n">
        <x:f>D8*F8</x:f>
        <x:v>34882.888</x:v>
      </x:c>
      <x:c r="H8" s="36" t="n">
        <x:f>Assumptions!$B$6</x:f>
        <x:v>0.6666666666666666</x:v>
      </x:c>
      <x:c r="I8" s="38" t="n">
        <x:f>G8*H8</x:f>
        <x:v>23255.258666666665</x:v>
      </x:c>
      <x:c r="J8" s="40" t="n">
        <x:f>D8*Assumptions!$C$5*Assumptions!$C$6</x:f>
        <x:v>19798.44593333333</x:v>
      </x:c>
      <x:c r="K8" s="40" t="n">
        <x:f>D8*Assumptions!$D$5*Assumptions!$D$6</x:f>
        <x:v>26989.8014</x:v>
      </x:c>
      <x:c r="L8" s="34" t="n">
        <x:v>148138</x:v>
      </x:c>
      <x:c r="M8" s="34" t="n">
        <x:v>32</x:v>
      </x:c>
      <x:c r="N8" s="38" t="n">
        <x:f>IF(L8=0,0,L8/Assumptions!$B$7)</x:f>
        <x:v>34856</x:v>
      </x:c>
      <x:c r="O8" s="42" t="n">
        <x:f>IF(N8=0,0,I8/N8)</x:f>
        <x:v>0.6671809348940402</x:v>
      </x:c>
      <x:c r="P8" s="44" t="str">
        <x:v>Coverage below 1.0 indicates reliance on imported, transfer, adult, international, or higher-participation demand.</x:v>
      </x:c>
    </x:row>
    <x:row r="9">
      <x:c r="A9" s="16" t="str">
        <x:v>AL</x:v>
      </x:c>
      <x:c r="B9" s="16" t="str">
        <x:v>Alabama</x:v>
      </x:c>
      <x:c r="C9" s="16" t="n">
        <x:v>2030</x:v>
      </x:c>
      <x:c r="D9" s="34" t="n">
        <x:v>52926</x:v>
      </x:c>
      <x:c r="E9" s="21" t="n">
        <x:v>-0.047168112915421445</x:v>
      </x:c>
      <x:c r="F9" s="36" t="n">
        <x:f>Assumptions!$B$5</x:f>
        <x:v>0.628</x:v>
      </x:c>
      <x:c r="G9" s="38" t="n">
        <x:f>D9*F9</x:f>
        <x:v>33237.528</x:v>
      </x:c>
      <x:c r="H9" s="36" t="n">
        <x:f>Assumptions!$B$6</x:f>
        <x:v>0.6666666666666666</x:v>
      </x:c>
      <x:c r="I9" s="38" t="n">
        <x:f>G9*H9</x:f>
        <x:v>22158.352</x:v>
      </x:c>
      <x:c r="J9" s="40" t="n">
        <x:f>D9*Assumptions!$C$5*Assumptions!$C$6</x:f>
        <x:v>18864.590599999996</x:v>
      </x:c>
      <x:c r="K9" s="40" t="n">
        <x:f>D9*Assumptions!$D$5*Assumptions!$D$6</x:f>
        <x:v>25716.743400000003</x:v>
      </x:c>
      <x:c r="L9" s="34" t="n">
        <x:v>148138</x:v>
      </x:c>
      <x:c r="M9" s="34" t="n">
        <x:v>32</x:v>
      </x:c>
      <x:c r="N9" s="38" t="n">
        <x:f>IF(L9=0,0,L9/Assumptions!$B$7)</x:f>
        <x:v>34856</x:v>
      </x:c>
      <x:c r="O9" s="42" t="n">
        <x:f>IF(N9=0,0,I9/N9)</x:f>
        <x:v>0.6357112692219417</x:v>
      </x:c>
      <x:c r="P9" s="44" t="str">
        <x:v>Coverage below 1.0 indicates reliance on imported, transfer, adult, international, or higher-participation demand.</x:v>
      </x:c>
    </x:row>
    <x:row r="10">
      <x:c r="A10" s="16" t="str">
        <x:v>AL</x:v>
      </x:c>
      <x:c r="B10" s="16" t="str">
        <x:v>Alabama</x:v>
      </x:c>
      <x:c r="C10" s="16" t="n">
        <x:v>2035</x:v>
      </x:c>
      <x:c r="D10" s="34" t="n">
        <x:v>55235</x:v>
      </x:c>
      <x:c r="E10" s="21" t="n">
        <x:v>-0.005598963021639758</x:v>
      </x:c>
      <x:c r="F10" s="36" t="n">
        <x:f>Assumptions!$B$5</x:f>
        <x:v>0.628</x:v>
      </x:c>
      <x:c r="G10" s="38" t="n">
        <x:f>D10*F10</x:f>
        <x:v>34687.58</x:v>
      </x:c>
      <x:c r="H10" s="36" t="n">
        <x:f>Assumptions!$B$6</x:f>
        <x:v>0.6666666666666666</x:v>
      </x:c>
      <x:c r="I10" s="38" t="n">
        <x:f>G10*H10</x:f>
        <x:v>23125.053333333333</x:v>
      </x:c>
      <x:c r="J10" s="40" t="n">
        <x:f>D10*Assumptions!$C$5*Assumptions!$C$6</x:f>
        <x:v>19687.595166666662</x:v>
      </x:c>
      <x:c r="K10" s="40" t="n">
        <x:f>D10*Assumptions!$D$5*Assumptions!$D$6</x:f>
        <x:v>26838.6865</x:v>
      </x:c>
      <x:c r="L10" s="34" t="n">
        <x:v>148138</x:v>
      </x:c>
      <x:c r="M10" s="34" t="n">
        <x:v>32</x:v>
      </x:c>
      <x:c r="N10" s="38" t="n">
        <x:f>IF(L10=0,0,L10/Assumptions!$B$7)</x:f>
        <x:v>34856</x:v>
      </x:c>
      <x:c r="O10" s="42" t="n">
        <x:f>IF(N10=0,0,I10/N10)</x:f>
        <x:v>0.6634454135108255</x:v>
      </x:c>
      <x:c r="P10" s="44" t="str">
        <x:v>Coverage below 1.0 indicates reliance on imported, transfer, adult, international, or higher-participation demand.</x:v>
      </x:c>
    </x:row>
    <x:row r="11">
      <x:c r="A11" s="16" t="str">
        <x:v>AL</x:v>
      </x:c>
      <x:c r="B11" s="16" t="str">
        <x:v>Alabama</x:v>
      </x:c>
      <x:c r="C11" s="16" t="n">
        <x:v>2041</x:v>
      </x:c>
      <x:c r="D11" s="34" t="n">
        <x:v>54262</x:v>
      </x:c>
      <x:c r="E11" s="21" t="n">
        <x:v>-0.023115975947863077</x:v>
      </x:c>
      <x:c r="F11" s="36" t="n">
        <x:f>Assumptions!$B$5</x:f>
        <x:v>0.628</x:v>
      </x:c>
      <x:c r="G11" s="38" t="n">
        <x:f>D11*F11</x:f>
        <x:v>34076.536</x:v>
      </x:c>
      <x:c r="H11" s="36" t="n">
        <x:f>Assumptions!$B$6</x:f>
        <x:v>0.6666666666666666</x:v>
      </x:c>
      <x:c r="I11" s="38" t="n">
        <x:f>G11*H11</x:f>
        <x:v>22717.690666666665</x:v>
      </x:c>
      <x:c r="J11" s="40" t="n">
        <x:f>D11*Assumptions!$C$5*Assumptions!$C$6</x:f>
        <x:v>19340.78553333333</x:v>
      </x:c>
      <x:c r="K11" s="40" t="n">
        <x:f>D11*Assumptions!$D$5*Assumptions!$D$6</x:f>
        <x:v>26365.905800000004</x:v>
      </x:c>
      <x:c r="L11" s="34" t="n">
        <x:v>148138</x:v>
      </x:c>
      <x:c r="M11" s="34" t="n">
        <x:v>32</x:v>
      </x:c>
      <x:c r="N11" s="38" t="n">
        <x:f>IF(L11=0,0,L11/Assumptions!$B$7)</x:f>
        <x:v>34856</x:v>
      </x:c>
      <x:c r="O11" s="42" t="n">
        <x:f>IF(N11=0,0,I11/N11)</x:f>
        <x:v>0.6517583964501568</x:v>
      </x:c>
      <x:c r="P11" s="44" t="str">
        <x:v>Coverage below 1.0 indicates reliance on imported, transfer, adult, international, or higher-participation demand.</x:v>
      </x:c>
    </x:row>
    <x:row r="12">
      <x:c r="A12" s="16" t="str">
        <x:v>AR</x:v>
      </x:c>
      <x:c r="B12" s="16" t="str">
        <x:v>Arkansas</x:v>
      </x:c>
      <x:c r="C12" s="16" t="n">
        <x:v>2026</x:v>
      </x:c>
      <x:c r="D12" s="34" t="n">
        <x:v>35867</x:v>
      </x:c>
      <x:c r="E12" s="21" t="n">
        <x:v>0</x:v>
      </x:c>
      <x:c r="F12" s="36" t="n">
        <x:f>Assumptions!$B$5</x:f>
        <x:v>0.628</x:v>
      </x:c>
      <x:c r="G12" s="38" t="n">
        <x:f>D12*F12</x:f>
        <x:v>22524.476</x:v>
      </x:c>
      <x:c r="H12" s="36" t="n">
        <x:f>Assumptions!$B$6</x:f>
        <x:v>0.6666666666666666</x:v>
      </x:c>
      <x:c r="I12" s="38" t="n">
        <x:f>G12*H12</x:f>
        <x:v>15016.317333333332</x:v>
      </x:c>
      <x:c r="J12" s="40" t="n">
        <x:f>D12*Assumptions!$C$5*Assumptions!$C$6</x:f>
        <x:v>12784.194366666665</x:v>
      </x:c>
      <x:c r="K12" s="40" t="n">
        <x:f>D12*Assumptions!$D$5*Assumptions!$D$6</x:f>
        <x:v>17427.7753</x:v>
      </x:c>
      <x:c r="L12" s="34" t="n">
        <x:v>84099</x:v>
      </x:c>
      <x:c r="M12" s="34" t="n">
        <x:v>20</x:v>
      </x:c>
      <x:c r="N12" s="38" t="n">
        <x:f>IF(L12=0,0,L12/Assumptions!$B$7)</x:f>
        <x:v>19788</x:v>
      </x:c>
      <x:c r="O12" s="42" t="n">
        <x:f>IF(N12=0,0,I12/N12)</x:f>
        <x:v>0.7588597803382521</x:v>
      </x:c>
      <x:c r="P12" s="44" t="str">
        <x:v>Coverage below 1.0 indicates reliance on imported, transfer, adult, international, or higher-participation demand.</x:v>
      </x:c>
    </x:row>
    <x:row r="13">
      <x:c r="A13" s="16" t="str">
        <x:v>AR</x:v>
      </x:c>
      <x:c r="B13" s="16" t="str">
        <x:v>Arkansas</x:v>
      </x:c>
      <x:c r="C13" s="16" t="n">
        <x:v>2030</x:v>
      </x:c>
      <x:c r="D13" s="34" t="n">
        <x:v>34255</x:v>
      </x:c>
      <x:c r="E13" s="21" t="n">
        <x:v>-0.0449438202247191</x:v>
      </x:c>
      <x:c r="F13" s="36" t="n">
        <x:f>Assumptions!$B$5</x:f>
        <x:v>0.628</x:v>
      </x:c>
      <x:c r="G13" s="38" t="n">
        <x:f>D13*F13</x:f>
        <x:v>21512.14</x:v>
      </x:c>
      <x:c r="H13" s="36" t="n">
        <x:f>Assumptions!$B$6</x:f>
        <x:v>0.6666666666666666</x:v>
      </x:c>
      <x:c r="I13" s="38" t="n">
        <x:f>G13*H13</x:f>
        <x:v>14341.426666666666</x:v>
      </x:c>
      <x:c r="J13" s="40" t="n">
        <x:f>D13*Assumptions!$C$5*Assumptions!$C$6</x:f>
        <x:v>12209.623833333331</x:v>
      </x:c>
      <x:c r="K13" s="40" t="n">
        <x:f>D13*Assumptions!$D$5*Assumptions!$D$6</x:f>
        <x:v>16644.504500000003</x:v>
      </x:c>
      <x:c r="L13" s="34" t="n">
        <x:v>84099</x:v>
      </x:c>
      <x:c r="M13" s="34" t="n">
        <x:v>20</x:v>
      </x:c>
      <x:c r="N13" s="38" t="n">
        <x:f>IF(L13=0,0,L13/Assumptions!$B$7)</x:f>
        <x:v>19788</x:v>
      </x:c>
      <x:c r="O13" s="42" t="n">
        <x:f>IF(N13=0,0,I13/N13)</x:f>
        <x:v>0.7247537227949599</x:v>
      </x:c>
      <x:c r="P13" s="44" t="str">
        <x:v>Coverage below 1.0 indicates reliance on imported, transfer, adult, international, or higher-participation demand.</x:v>
      </x:c>
    </x:row>
    <x:row r="14">
      <x:c r="A14" s="16" t="str">
        <x:v>AR</x:v>
      </x:c>
      <x:c r="B14" s="16" t="str">
        <x:v>Arkansas</x:v>
      </x:c>
      <x:c r="C14" s="16" t="n">
        <x:v>2035</x:v>
      </x:c>
      <x:c r="D14" s="34" t="n">
        <x:v>34497</x:v>
      </x:c>
      <x:c r="E14" s="21" t="n">
        <x:v>-0.03819667103465585</x:v>
      </x:c>
      <x:c r="F14" s="36" t="n">
        <x:f>Assumptions!$B$5</x:f>
        <x:v>0.628</x:v>
      </x:c>
      <x:c r="G14" s="38" t="n">
        <x:f>D14*F14</x:f>
        <x:v>21664.116</x:v>
      </x:c>
      <x:c r="H14" s="36" t="n">
        <x:f>Assumptions!$B$6</x:f>
        <x:v>0.6666666666666666</x:v>
      </x:c>
      <x:c r="I14" s="38" t="n">
        <x:f>G14*H14</x:f>
        <x:v>14442.744</x:v>
      </x:c>
      <x:c r="J14" s="40" t="n">
        <x:f>D14*Assumptions!$C$5*Assumptions!$C$6</x:f>
        <x:v>12295.880699999998</x:v>
      </x:c>
      <x:c r="K14" s="40" t="n">
        <x:f>D14*Assumptions!$D$5*Assumptions!$D$6</x:f>
        <x:v>16762.0923</x:v>
      </x:c>
      <x:c r="L14" s="34" t="n">
        <x:v>84099</x:v>
      </x:c>
      <x:c r="M14" s="34" t="n">
        <x:v>20</x:v>
      </x:c>
      <x:c r="N14" s="38" t="n">
        <x:f>IF(L14=0,0,L14/Assumptions!$B$7)</x:f>
        <x:v>19788</x:v>
      </x:c>
      <x:c r="O14" s="42" t="n">
        <x:f>IF(N14=0,0,I14/N14)</x:f>
        <x:v>0.7298738629472408</x:v>
      </x:c>
      <x:c r="P14" s="44" t="str">
        <x:v>Coverage below 1.0 indicates reliance on imported, transfer, adult, international, or higher-participation demand.</x:v>
      </x:c>
    </x:row>
    <x:row r="15">
      <x:c r="A15" s="16" t="str">
        <x:v>AR</x:v>
      </x:c>
      <x:c r="B15" s="16" t="str">
        <x:v>Arkansas</x:v>
      </x:c>
      <x:c r="C15" s="16" t="n">
        <x:v>2041</x:v>
      </x:c>
      <x:c r="D15" s="34" t="n">
        <x:v>32330</x:v>
      </x:c>
      <x:c r="E15" s="21" t="n">
        <x:v>-0.09861432514567714</x:v>
      </x:c>
      <x:c r="F15" s="36" t="n">
        <x:f>Assumptions!$B$5</x:f>
        <x:v>0.628</x:v>
      </x:c>
      <x:c r="G15" s="38" t="n">
        <x:f>D15*F15</x:f>
        <x:v>20303.24</x:v>
      </x:c>
      <x:c r="H15" s="36" t="n">
        <x:f>Assumptions!$B$6</x:f>
        <x:v>0.6666666666666666</x:v>
      </x:c>
      <x:c r="I15" s="38" t="n">
        <x:f>G15*H15</x:f>
        <x:v>13535.493333333334</x:v>
      </x:c>
      <x:c r="J15" s="40" t="n">
        <x:f>D15*Assumptions!$C$5*Assumptions!$C$6</x:f>
        <x:v>11523.489666666665</x:v>
      </x:c>
      <x:c r="K15" s="40" t="n">
        <x:f>D15*Assumptions!$D$5*Assumptions!$D$6</x:f>
        <x:v>15709.147</x:v>
      </x:c>
      <x:c r="L15" s="34" t="n">
        <x:v>84099</x:v>
      </x:c>
      <x:c r="M15" s="34" t="n">
        <x:v>20</x:v>
      </x:c>
      <x:c r="N15" s="38" t="n">
        <x:f>IF(L15=0,0,L15/Assumptions!$B$7)</x:f>
        <x:v>19788</x:v>
      </x:c>
      <x:c r="O15" s="42" t="n">
        <x:f>IF(N15=0,0,I15/N15)</x:f>
        <x:v>0.6840253352199986</x:v>
      </x:c>
      <x:c r="P15" s="44" t="str">
        <x:v>Coverage below 1.0 indicates reliance on imported, transfer, adult, international, or higher-participation demand.</x:v>
      </x:c>
    </x:row>
    <x:row r="16">
      <x:c r="A16" s="16" t="str">
        <x:v>AZ</x:v>
      </x:c>
      <x:c r="B16" s="16" t="str">
        <x:v>Arizona</x:v>
      </x:c>
      <x:c r="C16" s="16" t="n">
        <x:v>2026</x:v>
      </x:c>
      <x:c r="D16" s="34" t="n">
        <x:v>85942</x:v>
      </x:c>
      <x:c r="E16" s="21" t="n">
        <x:v>0</x:v>
      </x:c>
      <x:c r="F16" s="36" t="n">
        <x:f>Assumptions!$B$5</x:f>
        <x:v>0.628</x:v>
      </x:c>
      <x:c r="G16" s="38" t="n">
        <x:f>D16*F16</x:f>
        <x:v>53971.576</x:v>
      </x:c>
      <x:c r="H16" s="36" t="n">
        <x:f>Assumptions!$B$6</x:f>
        <x:v>0.6666666666666666</x:v>
      </x:c>
      <x:c r="I16" s="38" t="n">
        <x:f>G16*H16</x:f>
        <x:v>35981.05066666666</x:v>
      </x:c>
      <x:c r="J16" s="40" t="n">
        <x:f>D16*Assumptions!$C$5*Assumptions!$C$6</x:f>
        <x:v>30632.593533333325</x:v>
      </x:c>
      <x:c r="K16" s="40" t="n">
        <x:f>D16*Assumptions!$D$5*Assumptions!$D$6</x:f>
        <x:v>41759.217800000006</x:v>
      </x:c>
      <x:c r="L16" s="34" t="n">
        <x:v>135491</x:v>
      </x:c>
      <x:c r="M16" s="34" t="n">
        <x:v>14</x:v>
      </x:c>
      <x:c r="N16" s="38" t="n">
        <x:f>IF(L16=0,0,L16/Assumptions!$B$7)</x:f>
        <x:v>31880.235294117647</x:v>
      </x:c>
      <x:c r="O16" s="42" t="n">
        <x:f>IF(N16=0,0,I16/N16)</x:f>
        <x:v>1.1286319042101196</x:v>
      </x:c>
      <x:c r="P16" s="44" t="str">
        <x:v>Coverage below 1.0 indicates reliance on imported, transfer, adult, international, or higher-participation demand.</x:v>
      </x:c>
    </x:row>
    <x:row r="17">
      <x:c r="A17" s="16" t="str">
        <x:v>AZ</x:v>
      </x:c>
      <x:c r="B17" s="16" t="str">
        <x:v>Arizona</x:v>
      </x:c>
      <x:c r="C17" s="16" t="n">
        <x:v>2030</x:v>
      </x:c>
      <x:c r="D17" s="34" t="n">
        <x:v>84186</x:v>
      </x:c>
      <x:c r="E17" s="21" t="n">
        <x:v>-0.02043238463149566</x:v>
      </x:c>
      <x:c r="F17" s="36" t="n">
        <x:f>Assumptions!$B$5</x:f>
        <x:v>0.628</x:v>
      </x:c>
      <x:c r="G17" s="38" t="n">
        <x:f>D17*F17</x:f>
        <x:v>52868.808</x:v>
      </x:c>
      <x:c r="H17" s="36" t="n">
        <x:f>Assumptions!$B$6</x:f>
        <x:v>0.6666666666666666</x:v>
      </x:c>
      <x:c r="I17" s="38" t="n">
        <x:f>G17*H17</x:f>
        <x:v>35245.871999999996</x:v>
      </x:c>
      <x:c r="J17" s="40" t="n">
        <x:f>D17*Assumptions!$C$5*Assumptions!$C$6</x:f>
        <x:v>30006.696599999992</x:v>
      </x:c>
      <x:c r="K17" s="40" t="n">
        <x:f>D17*Assumptions!$D$5*Assumptions!$D$6</x:f>
        <x:v>40905.9774</x:v>
      </x:c>
      <x:c r="L17" s="34" t="n">
        <x:v>135491</x:v>
      </x:c>
      <x:c r="M17" s="34" t="n">
        <x:v>14</x:v>
      </x:c>
      <x:c r="N17" s="38" t="n">
        <x:f>IF(L17=0,0,L17/Assumptions!$B$7)</x:f>
        <x:v>31880.235294117647</x:v>
      </x:c>
      <x:c r="O17" s="42" t="n">
        <x:f>IF(N17=0,0,I17/N17)</x:f>
        <x:v>1.1055712630359211</x:v>
      </x:c>
      <x:c r="P17" s="44" t="str">
        <x:v>Coverage below 1.0 indicates reliance on imported, transfer, adult, international, or higher-participation demand.</x:v>
      </x:c>
    </x:row>
    <x:row r="18">
      <x:c r="A18" s="16" t="str">
        <x:v>AZ</x:v>
      </x:c>
      <x:c r="B18" s="16" t="str">
        <x:v>Arizona</x:v>
      </x:c>
      <x:c r="C18" s="16" t="n">
        <x:v>2035</x:v>
      </x:c>
      <x:c r="D18" s="34" t="n">
        <x:v>85262</x:v>
      </x:c>
      <x:c r="E18" s="21" t="n">
        <x:v>-0.007912312955248857</x:v>
      </x:c>
      <x:c r="F18" s="36" t="n">
        <x:f>Assumptions!$B$5</x:f>
        <x:v>0.628</x:v>
      </x:c>
      <x:c r="G18" s="38" t="n">
        <x:f>D18*F18</x:f>
        <x:v>53544.536</x:v>
      </x:c>
      <x:c r="H18" s="36" t="n">
        <x:f>Assumptions!$B$6</x:f>
        <x:v>0.6666666666666666</x:v>
      </x:c>
      <x:c r="I18" s="38" t="n">
        <x:f>G18*H18</x:f>
        <x:v>35696.35733333333</x:v>
      </x:c>
      <x:c r="J18" s="40" t="n">
        <x:f>D18*Assumptions!$C$5*Assumptions!$C$6</x:f>
        <x:v>30390.21886666666</x:v>
      </x:c>
      <x:c r="K18" s="40" t="n">
        <x:f>D18*Assumptions!$D$5*Assumptions!$D$6</x:f>
        <x:v>41428.8058</x:v>
      </x:c>
      <x:c r="L18" s="34" t="n">
        <x:v>135491</x:v>
      </x:c>
      <x:c r="M18" s="34" t="n">
        <x:v>14</x:v>
      </x:c>
      <x:c r="N18" s="38" t="n">
        <x:f>IF(L18=0,0,L18/Assumptions!$B$7)</x:f>
        <x:v>31880.235294117647</x:v>
      </x:c>
      <x:c r="O18" s="42" t="n">
        <x:f>IF(N18=0,0,I18/N18)</x:f>
        <x:v>1.1197018153727307</x:v>
      </x:c>
      <x:c r="P18" s="44" t="str">
        <x:v>Coverage below 1.0 indicates reliance on imported, transfer, adult, international, or higher-participation demand.</x:v>
      </x:c>
    </x:row>
    <x:row r="19">
      <x:c r="A19" s="16" t="str">
        <x:v>AZ</x:v>
      </x:c>
      <x:c r="B19" s="16" t="str">
        <x:v>Arizona</x:v>
      </x:c>
      <x:c r="C19" s="16" t="n">
        <x:v>2041</x:v>
      </x:c>
      <x:c r="D19" s="34" t="n">
        <x:v>81428</x:v>
      </x:c>
      <x:c r="E19" s="21" t="n">
        <x:v>-0.052523795117637495</x:v>
      </x:c>
      <x:c r="F19" s="36" t="n">
        <x:f>Assumptions!$B$5</x:f>
        <x:v>0.628</x:v>
      </x:c>
      <x:c r="G19" s="38" t="n">
        <x:f>D19*F19</x:f>
        <x:v>51136.784</x:v>
      </x:c>
      <x:c r="H19" s="36" t="n">
        <x:f>Assumptions!$B$6</x:f>
        <x:v>0.6666666666666666</x:v>
      </x:c>
      <x:c r="I19" s="38" t="n">
        <x:f>G19*H19</x:f>
        <x:v>34091.18933333333</x:v>
      </x:c>
      <x:c r="J19" s="40" t="n">
        <x:f>D19*Assumptions!$C$5*Assumptions!$C$6</x:f>
        <x:v>29023.653466666663</x:v>
      </x:c>
      <x:c r="K19" s="40" t="n">
        <x:f>D19*Assumptions!$D$5*Assumptions!$D$6</x:f>
        <x:v>39565.8652</x:v>
      </x:c>
      <x:c r="L19" s="34" t="n">
        <x:v>135491</x:v>
      </x:c>
      <x:c r="M19" s="34" t="n">
        <x:v>14</x:v>
      </x:c>
      <x:c r="N19" s="38" t="n">
        <x:f>IF(L19=0,0,L19/Assumptions!$B$7)</x:f>
        <x:v>31880.235294117647</x:v>
      </x:c>
      <x:c r="O19" s="42" t="n">
        <x:f>IF(N19=0,0,I19/N19)</x:f>
        <x:v>1.0693518733101581</x:v>
      </x:c>
      <x:c r="P19" s="44" t="str">
        <x:v>Coverage below 1.0 indicates reliance on imported, transfer, adult, international, or higher-participation demand.</x:v>
      </x:c>
    </x:row>
    <x:row r="20">
      <x:c r="A20" s="16" t="str">
        <x:v>CA</x:v>
      </x:c>
      <x:c r="B20" s="16" t="str">
        <x:v>California</x:v>
      </x:c>
      <x:c r="C20" s="16" t="n">
        <x:v>2026</x:v>
      </x:c>
      <x:c r="D20" s="34" t="n">
        <x:v>466446</x:v>
      </x:c>
      <x:c r="E20" s="21" t="n">
        <x:v>0</x:v>
      </x:c>
      <x:c r="F20" s="36" t="n">
        <x:f>Assumptions!$B$5</x:f>
        <x:v>0.628</x:v>
      </x:c>
      <x:c r="G20" s="38" t="n">
        <x:f>D20*F20</x:f>
        <x:v>292928.088</x:v>
      </x:c>
      <x:c r="H20" s="36" t="n">
        <x:f>Assumptions!$B$6</x:f>
        <x:v>0.6666666666666666</x:v>
      </x:c>
      <x:c r="I20" s="38" t="n">
        <x:f>G20*H20</x:f>
        <x:v>195285.392</x:v>
      </x:c>
      <x:c r="J20" s="40" t="n">
        <x:f>D20*Assumptions!$C$5*Assumptions!$C$6</x:f>
        <x:v>166256.90259999997</x:v>
      </x:c>
      <x:c r="K20" s="40" t="n">
        <x:f>D20*Assumptions!$D$5*Assumptions!$D$6</x:f>
        <x:v>226646.11140000002</x:v>
      </x:c>
      <x:c r="L20" s="34" t="n">
        <x:v>773450</x:v>
      </x:c>
      <x:c r="M20" s="34" t="n">
        <x:v>122</x:v>
      </x:c>
      <x:c r="N20" s="38" t="n">
        <x:f>IF(L20=0,0,L20/Assumptions!$B$7)</x:f>
        <x:v>181988.23529411765</x:v>
      </x:c>
      <x:c r="O20" s="42" t="n">
        <x:f>IF(N20=0,0,I20/N20)</x:f>
        <x:v>1.0730660236602236</x:v>
      </x:c>
      <x:c r="P20" s="44" t="str">
        <x:v>Coverage below 1.0 indicates reliance on imported, transfer, adult, international, or higher-participation demand.</x:v>
      </x:c>
    </x:row>
    <x:row r="21">
      <x:c r="A21" s="16" t="str">
        <x:v>CA</x:v>
      </x:c>
      <x:c r="B21" s="16" t="str">
        <x:v>California</x:v>
      </x:c>
      <x:c r="C21" s="16" t="n">
        <x:v>2030</x:v>
      </x:c>
      <x:c r="D21" s="34" t="n">
        <x:v>435481</x:v>
      </x:c>
      <x:c r="E21" s="21" t="n">
        <x:v>-0.06638496203204658</x:v>
      </x:c>
      <x:c r="F21" s="36" t="n">
        <x:f>Assumptions!$B$5</x:f>
        <x:v>0.628</x:v>
      </x:c>
      <x:c r="G21" s="38" t="n">
        <x:f>D21*F21</x:f>
        <x:v>273482.068</x:v>
      </x:c>
      <x:c r="H21" s="36" t="n">
        <x:f>Assumptions!$B$6</x:f>
        <x:v>0.6666666666666666</x:v>
      </x:c>
      <x:c r="I21" s="38" t="n">
        <x:f>G21*H21</x:f>
        <x:v>182321.3786666667</x:v>
      </x:c>
      <x:c r="J21" s="40" t="n">
        <x:f>D21*Assumptions!$C$5*Assumptions!$C$6</x:f>
        <x:v>155219.9444333333</x:v>
      </x:c>
      <x:c r="K21" s="40" t="n">
        <x:f>D21*Assumptions!$D$5*Assumptions!$D$6</x:f>
        <x:v>211600.21790000002</x:v>
      </x:c>
      <x:c r="L21" s="34" t="n">
        <x:v>773450</x:v>
      </x:c>
      <x:c r="M21" s="34" t="n">
        <x:v>122</x:v>
      </x:c>
      <x:c r="N21" s="38" t="n">
        <x:f>IF(L21=0,0,L21/Assumptions!$B$7)</x:f>
        <x:v>181988.23529411765</x:v>
      </x:c>
      <x:c r="O21" s="42" t="n">
        <x:f>IF(N21=0,0,I21/N21)</x:f>
        <x:v>1.0018305764216606</x:v>
      </x:c>
      <x:c r="P21" s="44" t="str">
        <x:v>Coverage below 1.0 indicates reliance on imported, transfer, adult, international, or higher-participation demand.</x:v>
      </x:c>
    </x:row>
    <x:row r="22">
      <x:c r="A22" s="16" t="str">
        <x:v>CA</x:v>
      </x:c>
      <x:c r="B22" s="16" t="str">
        <x:v>California</x:v>
      </x:c>
      <x:c r="C22" s="16" t="n">
        <x:v>2035</x:v>
      </x:c>
      <x:c r="D22" s="34" t="n">
        <x:v>402356</x:v>
      </x:c>
      <x:c r="E22" s="21" t="n">
        <x:v>-0.13740068518113568</x:v>
      </x:c>
      <x:c r="F22" s="36" t="n">
        <x:f>Assumptions!$B$5</x:f>
        <x:v>0.628</x:v>
      </x:c>
      <x:c r="G22" s="38" t="n">
        <x:f>D22*F22</x:f>
        <x:v>252679.568</x:v>
      </x:c>
      <x:c r="H22" s="36" t="n">
        <x:f>Assumptions!$B$6</x:f>
        <x:v>0.6666666666666666</x:v>
      </x:c>
      <x:c r="I22" s="38" t="n">
        <x:f>G22*H22</x:f>
        <x:v>168453.0453333333</x:v>
      </x:c>
      <x:c r="J22" s="40" t="n">
        <x:f>D22*Assumptions!$C$5*Assumptions!$C$6</x:f>
        <x:v>143413.09026666664</x:v>
      </x:c>
      <x:c r="K22" s="40" t="n">
        <x:f>D22*Assumptions!$D$5*Assumptions!$D$6</x:f>
        <x:v>195504.78040000002</x:v>
      </x:c>
      <x:c r="L22" s="34" t="n">
        <x:v>773450</x:v>
      </x:c>
      <x:c r="M22" s="34" t="n">
        <x:v>122</x:v>
      </x:c>
      <x:c r="N22" s="38" t="n">
        <x:f>IF(L22=0,0,L22/Assumptions!$B$7)</x:f>
        <x:v>181988.23529411765</x:v>
      </x:c>
      <x:c r="O22" s="42" t="n">
        <x:f>IF(N22=0,0,I22/N22)</x:f>
        <x:v>0.9256260167647121</x:v>
      </x:c>
      <x:c r="P22" s="44" t="str">
        <x:v>Coverage below 1.0 indicates reliance on imported, transfer, adult, international, or higher-participation demand.</x:v>
      </x:c>
    </x:row>
    <x:row r="23">
      <x:c r="A23" s="16" t="str">
        <x:v>CA</x:v>
      </x:c>
      <x:c r="B23" s="16" t="str">
        <x:v>California</x:v>
      </x:c>
      <x:c r="C23" s="16" t="n">
        <x:v>2041</x:v>
      </x:c>
      <x:c r="D23" s="34" t="n">
        <x:v>339022</x:v>
      </x:c>
      <x:c r="E23" s="21" t="n">
        <x:v>-0.2731806039713064</x:v>
      </x:c>
      <x:c r="F23" s="36" t="n">
        <x:f>Assumptions!$B$5</x:f>
        <x:v>0.628</x:v>
      </x:c>
      <x:c r="G23" s="38" t="n">
        <x:f>D23*F23</x:f>
        <x:v>212905.816</x:v>
      </x:c>
      <x:c r="H23" s="36" t="n">
        <x:f>Assumptions!$B$6</x:f>
        <x:v>0.6666666666666666</x:v>
      </x:c>
      <x:c r="I23" s="38" t="n">
        <x:f>G23*H23</x:f>
        <x:v>141937.21066666665</x:v>
      </x:c>
      <x:c r="J23" s="40" t="n">
        <x:f>D23*Assumptions!$C$5*Assumptions!$C$6</x:f>
        <x:v>120838.7415333333</x:v>
      </x:c>
      <x:c r="K23" s="40" t="n">
        <x:f>D23*Assumptions!$D$5*Assumptions!$D$6</x:f>
        <x:v>164730.78980000003</x:v>
      </x:c>
      <x:c r="L23" s="34" t="n">
        <x:v>773450</x:v>
      </x:c>
      <x:c r="M23" s="34" t="n">
        <x:v>122</x:v>
      </x:c>
      <x:c r="N23" s="38" t="n">
        <x:f>IF(L23=0,0,L23/Assumptions!$B$7)</x:f>
        <x:v>181988.23529411765</x:v>
      </x:c>
      <x:c r="O23" s="42" t="n">
        <x:f>IF(N23=0,0,I23/N23)</x:f>
        <x:v>0.7799251992156355</x:v>
      </x:c>
      <x:c r="P23" s="44" t="str">
        <x:v>Coverage below 1.0 indicates reliance on imported, transfer, adult, international, or higher-participation demand.</x:v>
      </x:c>
    </x:row>
    <x:row r="24">
      <x:c r="A24" s="16" t="str">
        <x:v>CO</x:v>
      </x:c>
      <x:c r="B24" s="16" t="str">
        <x:v>Colorado</x:v>
      </x:c>
      <x:c r="C24" s="16" t="n">
        <x:v>2026</x:v>
      </x:c>
      <x:c r="D24" s="34" t="n">
        <x:v>65391</x:v>
      </x:c>
      <x:c r="E24" s="21" t="n">
        <x:v>0</x:v>
      </x:c>
      <x:c r="F24" s="36" t="n">
        <x:f>Assumptions!$B$5</x:f>
        <x:v>0.628</x:v>
      </x:c>
      <x:c r="G24" s="38" t="n">
        <x:f>D24*F24</x:f>
        <x:v>41065.548</x:v>
      </x:c>
      <x:c r="H24" s="36" t="n">
        <x:f>Assumptions!$B$6</x:f>
        <x:v>0.6666666666666666</x:v>
      </x:c>
      <x:c r="I24" s="38" t="n">
        <x:f>G24*H24</x:f>
        <x:v>27377.032</x:v>
      </x:c>
      <x:c r="J24" s="40" t="n">
        <x:f>D24*Assumptions!$C$5*Assumptions!$C$6</x:f>
        <x:v>23307.532099999997</x:v>
      </x:c>
      <x:c r="K24" s="40" t="n">
        <x:f>D24*Assumptions!$D$5*Assumptions!$D$6</x:f>
        <x:v>31773.486900000004</x:v>
      </x:c>
      <x:c r="L24" s="34" t="n">
        <x:v>147069</x:v>
      </x:c>
      <x:c r="M24" s="34" t="n">
        <x:v>20</x:v>
      </x:c>
      <x:c r="N24" s="38" t="n">
        <x:f>IF(L24=0,0,L24/Assumptions!$B$7)</x:f>
        <x:v>34604.470588235294</x:v>
      </x:c>
      <x:c r="O24" s="42" t="n">
        <x:f>IF(N24=0,0,I24/N24)</x:f>
        <x:v>0.7911414778097355</x:v>
      </x:c>
      <x:c r="P24" s="44" t="str">
        <x:v>Coverage below 1.0 indicates reliance on imported, transfer, adult, international, or higher-participation demand.</x:v>
      </x:c>
    </x:row>
    <x:row r="25">
      <x:c r="A25" s="16" t="str">
        <x:v>CO</x:v>
      </x:c>
      <x:c r="B25" s="16" t="str">
        <x:v>Colorado</x:v>
      </x:c>
      <x:c r="C25" s="16" t="n">
        <x:v>2030</x:v>
      </x:c>
      <x:c r="D25" s="34" t="n">
        <x:v>60300</x:v>
      </x:c>
      <x:c r="E25" s="21" t="n">
        <x:v>-0.07785475065375969</x:v>
      </x:c>
      <x:c r="F25" s="36" t="n">
        <x:f>Assumptions!$B$5</x:f>
        <x:v>0.628</x:v>
      </x:c>
      <x:c r="G25" s="38" t="n">
        <x:f>D25*F25</x:f>
        <x:v>37868.4</x:v>
      </x:c>
      <x:c r="H25" s="36" t="n">
        <x:f>Assumptions!$B$6</x:f>
        <x:v>0.6666666666666666</x:v>
      </x:c>
      <x:c r="I25" s="38" t="n">
        <x:f>G25*H25</x:f>
        <x:v>25245.6</x:v>
      </x:c>
      <x:c r="J25" s="40" t="n">
        <x:f>D25*Assumptions!$C$5*Assumptions!$C$6</x:f>
        <x:v>21492.929999999993</x:v>
      </x:c>
      <x:c r="K25" s="40" t="n">
        <x:f>D25*Assumptions!$D$5*Assumptions!$D$6</x:f>
        <x:v>29299.77</x:v>
      </x:c>
      <x:c r="L25" s="34" t="n">
        <x:v>147069</x:v>
      </x:c>
      <x:c r="M25" s="34" t="n">
        <x:v>20</x:v>
      </x:c>
      <x:c r="N25" s="38" t="n">
        <x:f>IF(L25=0,0,L25/Assumptions!$B$7)</x:f>
        <x:v>34604.470588235294</x:v>
      </x:c>
      <x:c r="O25" s="42" t="n">
        <x:f>IF(N25=0,0,I25/N25)</x:f>
        <x:v>0.7295473553230116</x:v>
      </x:c>
      <x:c r="P25" s="44" t="str">
        <x:v>Coverage below 1.0 indicates reliance on imported, transfer, adult, international, or higher-participation demand.</x:v>
      </x:c>
    </x:row>
    <x:row r="26">
      <x:c r="A26" s="16" t="str">
        <x:v>CO</x:v>
      </x:c>
      <x:c r="B26" s="16" t="str">
        <x:v>Colorado</x:v>
      </x:c>
      <x:c r="C26" s="16" t="n">
        <x:v>2035</x:v>
      </x:c>
      <x:c r="D26" s="34" t="n">
        <x:v>59557</x:v>
      </x:c>
      <x:c r="E26" s="21" t="n">
        <x:v>-0.08921717055863954</x:v>
      </x:c>
      <x:c r="F26" s="36" t="n">
        <x:f>Assumptions!$B$5</x:f>
        <x:v>0.628</x:v>
      </x:c>
      <x:c r="G26" s="38" t="n">
        <x:f>D26*F26</x:f>
        <x:v>37401.796</x:v>
      </x:c>
      <x:c r="H26" s="36" t="n">
        <x:f>Assumptions!$B$6</x:f>
        <x:v>0.6666666666666666</x:v>
      </x:c>
      <x:c r="I26" s="38" t="n">
        <x:f>G26*H26</x:f>
        <x:v>24934.530666666666</x:v>
      </x:c>
      <x:c r="J26" s="40" t="n">
        <x:f>D26*Assumptions!$C$5*Assumptions!$C$6</x:f>
        <x:v>21228.10003333333</x:v>
      </x:c>
      <x:c r="K26" s="40" t="n">
        <x:f>D26*Assumptions!$D$5*Assumptions!$D$6</x:f>
        <x:v>28938.746300000003</x:v>
      </x:c>
      <x:c r="L26" s="34" t="n">
        <x:v>147069</x:v>
      </x:c>
      <x:c r="M26" s="34" t="n">
        <x:v>20</x:v>
      </x:c>
      <x:c r="N26" s="38" t="n">
        <x:f>IF(L26=0,0,L26/Assumptions!$B$7)</x:f>
        <x:v>34604.470588235294</x:v>
      </x:c>
      <x:c r="O26" s="42" t="n">
        <x:f>IF(N26=0,0,I26/N26)</x:f>
        <x:v>0.7205580736479702</x:v>
      </x:c>
      <x:c r="P26" s="44" t="str">
        <x:v>Coverage below 1.0 indicates reliance on imported, transfer, adult, international, or higher-participation demand.</x:v>
      </x:c>
    </x:row>
    <x:row r="27">
      <x:c r="A27" s="16" t="str">
        <x:v>CO</x:v>
      </x:c>
      <x:c r="B27" s="16" t="str">
        <x:v>Colorado</x:v>
      </x:c>
      <x:c r="C27" s="16" t="n">
        <x:v>2041</x:v>
      </x:c>
      <x:c r="D27" s="34" t="n">
        <x:v>56457</x:v>
      </x:c>
      <x:c r="E27" s="21" t="n">
        <x:v>-0.13662430609716936</x:v>
      </x:c>
      <x:c r="F27" s="36" t="n">
        <x:f>Assumptions!$B$5</x:f>
        <x:v>0.628</x:v>
      </x:c>
      <x:c r="G27" s="38" t="n">
        <x:f>D27*F27</x:f>
        <x:v>35454.996</x:v>
      </x:c>
      <x:c r="H27" s="36" t="n">
        <x:f>Assumptions!$B$6</x:f>
        <x:v>0.6666666666666666</x:v>
      </x:c>
      <x:c r="I27" s="38" t="n">
        <x:f>G27*H27</x:f>
        <x:v>23636.663999999997</x:v>
      </x:c>
      <x:c r="J27" s="40" t="n">
        <x:f>D27*Assumptions!$C$5*Assumptions!$C$6</x:f>
        <x:v>20123.156699999996</x:v>
      </x:c>
      <x:c r="K27" s="40" t="n">
        <x:f>D27*Assumptions!$D$5*Assumptions!$D$6</x:f>
        <x:v>27432.456300000005</x:v>
      </x:c>
      <x:c r="L27" s="34" t="n">
        <x:v>147069</x:v>
      </x:c>
      <x:c r="M27" s="34" t="n">
        <x:v>20</x:v>
      </x:c>
      <x:c r="N27" s="38" t="n">
        <x:f>IF(L27=0,0,L27/Assumptions!$B$7)</x:f>
        <x:v>34604.470588235294</x:v>
      </x:c>
      <x:c r="O27" s="42" t="n">
        <x:f>IF(N27=0,0,I27/N27)</x:f>
        <x:v>0.6830523223792913</x:v>
      </x:c>
      <x:c r="P27" s="44" t="str">
        <x:v>Coverage below 1.0 indicates reliance on imported, transfer, adult, international, or higher-participation demand.</x:v>
      </x:c>
    </x:row>
    <x:row r="28">
      <x:c r="A28" s="16" t="str">
        <x:v>CT</x:v>
      </x:c>
      <x:c r="B28" s="16" t="str">
        <x:v>Connecticut</x:v>
      </x:c>
      <x:c r="C28" s="16" t="n">
        <x:v>2026</x:v>
      </x:c>
      <x:c r="D28" s="34" t="n">
        <x:v>44448</x:v>
      </x:c>
      <x:c r="E28" s="21" t="n">
        <x:v>0</x:v>
      </x:c>
      <x:c r="F28" s="36" t="n">
        <x:f>Assumptions!$B$5</x:f>
        <x:v>0.628</x:v>
      </x:c>
      <x:c r="G28" s="38" t="n">
        <x:f>D28*F28</x:f>
        <x:v>27913.344</x:v>
      </x:c>
      <x:c r="H28" s="36" t="n">
        <x:f>Assumptions!$B$6</x:f>
        <x:v>0.6666666666666666</x:v>
      </x:c>
      <x:c r="I28" s="38" t="n">
        <x:f>G28*H28</x:f>
        <x:v>18608.896</x:v>
      </x:c>
      <x:c r="J28" s="40" t="n">
        <x:f>D28*Assumptions!$C$5*Assumptions!$C$6</x:f>
        <x:v>15842.748799999998</x:v>
      </x:c>
      <x:c r="K28" s="40" t="n">
        <x:f>D28*Assumptions!$D$5*Assumptions!$D$6</x:f>
        <x:v>21597.2832</x:v>
      </x:c>
      <x:c r="L28" s="34" t="n">
        <x:v>96109</x:v>
      </x:c>
      <x:c r="M28" s="34" t="n">
        <x:v>23</x:v>
      </x:c>
      <x:c r="N28" s="38" t="n">
        <x:f>IF(L28=0,0,L28/Assumptions!$B$7)</x:f>
        <x:v>22613.882352941175</x:v>
      </x:c>
      <x:c r="O28" s="42" t="n">
        <x:f>IF(N28=0,0,I28/N28)</x:f>
        <x:v>0.8228970023619017</x:v>
      </x:c>
      <x:c r="P28" s="44" t="str">
        <x:v>Coverage below 1.0 indicates reliance on imported, transfer, adult, international, or higher-participation demand.</x:v>
      </x:c>
    </x:row>
    <x:row r="29">
      <x:c r="A29" s="16" t="str">
        <x:v>CT</x:v>
      </x:c>
      <x:c r="B29" s="16" t="str">
        <x:v>Connecticut</x:v>
      </x:c>
      <x:c r="C29" s="16" t="n">
        <x:v>2030</x:v>
      </x:c>
      <x:c r="D29" s="34" t="n">
        <x:v>42528</x:v>
      </x:c>
      <x:c r="E29" s="21" t="n">
        <x:v>-0.043196544276457916</x:v>
      </x:c>
      <x:c r="F29" s="36" t="n">
        <x:f>Assumptions!$B$5</x:f>
        <x:v>0.628</x:v>
      </x:c>
      <x:c r="G29" s="38" t="n">
        <x:f>D29*F29</x:f>
        <x:v>26707.584</x:v>
      </x:c>
      <x:c r="H29" s="36" t="n">
        <x:f>Assumptions!$B$6</x:f>
        <x:v>0.6666666666666666</x:v>
      </x:c>
      <x:c r="I29" s="38" t="n">
        <x:f>G29*H29</x:f>
        <x:v>17805.055999999997</x:v>
      </x:c>
      <x:c r="J29" s="40" t="n">
        <x:f>D29*Assumptions!$C$5*Assumptions!$C$6</x:f>
        <x:v>15158.396799999997</x:v>
      </x:c>
      <x:c r="K29" s="40" t="n">
        <x:f>D29*Assumptions!$D$5*Assumptions!$D$6</x:f>
        <x:v>20664.3552</x:v>
      </x:c>
      <x:c r="L29" s="34" t="n">
        <x:v>96109</x:v>
      </x:c>
      <x:c r="M29" s="34" t="n">
        <x:v>23</x:v>
      </x:c>
      <x:c r="N29" s="38" t="n">
        <x:f>IF(L29=0,0,L29/Assumptions!$B$7)</x:f>
        <x:v>22613.882352941175</x:v>
      </x:c>
      <x:c r="O29" s="42" t="n">
        <x:f>IF(N29=0,0,I29/N29)</x:f>
        <x:v>0.7873506955644112</x:v>
      </x:c>
      <x:c r="P29" s="44" t="str">
        <x:v>Coverage below 1.0 indicates reliance on imported, transfer, adult, international, or higher-participation demand.</x:v>
      </x:c>
    </x:row>
    <x:row r="30">
      <x:c r="A30" s="16" t="str">
        <x:v>CT</x:v>
      </x:c>
      <x:c r="B30" s="16" t="str">
        <x:v>Connecticut</x:v>
      </x:c>
      <x:c r="C30" s="16" t="n">
        <x:v>2035</x:v>
      </x:c>
      <x:c r="D30" s="34" t="n">
        <x:v>43091</x:v>
      </x:c>
      <x:c r="E30" s="21" t="n">
        <x:v>-0.0305300575953924</x:v>
      </x:c>
      <x:c r="F30" s="36" t="n">
        <x:f>Assumptions!$B$5</x:f>
        <x:v>0.628</x:v>
      </x:c>
      <x:c r="G30" s="38" t="n">
        <x:f>D30*F30</x:f>
        <x:v>27061.148</x:v>
      </x:c>
      <x:c r="H30" s="36" t="n">
        <x:f>Assumptions!$B$6</x:f>
        <x:v>0.6666666666666666</x:v>
      </x:c>
      <x:c r="I30" s="38" t="n">
        <x:f>G30*H30</x:f>
        <x:v>18040.765333333333</x:v>
      </x:c>
      <x:c r="J30" s="40" t="n">
        <x:f>D30*Assumptions!$C$5*Assumptions!$C$6</x:f>
        <x:v>15359.068766666664</x:v>
      </x:c>
      <x:c r="K30" s="40" t="n">
        <x:f>D30*Assumptions!$D$5*Assumptions!$D$6</x:f>
        <x:v>20937.9169</x:v>
      </x:c>
      <x:c r="L30" s="34" t="n">
        <x:v>96109</x:v>
      </x:c>
      <x:c r="M30" s="34" t="n">
        <x:v>23</x:v>
      </x:c>
      <x:c r="N30" s="38" t="n">
        <x:f>IF(L30=0,0,L30/Assumptions!$B$7)</x:f>
        <x:v>22613.882352941175</x:v>
      </x:c>
      <x:c r="O30" s="42" t="n">
        <x:f>IF(N30=0,0,I30/N30)</x:f>
        <x:v>0.797773909484717</x:v>
      </x:c>
      <x:c r="P30" s="44" t="str">
        <x:v>Coverage below 1.0 indicates reliance on imported, transfer, adult, international, or higher-participation demand.</x:v>
      </x:c>
    </x:row>
    <x:row r="31">
      <x:c r="A31" s="16" t="str">
        <x:v>CT</x:v>
      </x:c>
      <x:c r="B31" s="16" t="str">
        <x:v>Connecticut</x:v>
      </x:c>
      <x:c r="C31" s="16" t="n">
        <x:v>2041</x:v>
      </x:c>
      <x:c r="D31" s="34" t="n">
        <x:v>42405</x:v>
      </x:c>
      <x:c r="E31" s="21" t="n">
        <x:v>-0.04596382289416845</x:v>
      </x:c>
      <x:c r="F31" s="36" t="n">
        <x:f>Assumptions!$B$5</x:f>
        <x:v>0.628</x:v>
      </x:c>
      <x:c r="G31" s="38" t="n">
        <x:f>D31*F31</x:f>
        <x:v>26630.34</x:v>
      </x:c>
      <x:c r="H31" s="36" t="n">
        <x:f>Assumptions!$B$6</x:f>
        <x:v>0.6666666666666666</x:v>
      </x:c>
      <x:c r="I31" s="38" t="n">
        <x:f>G31*H31</x:f>
        <x:v>17753.559999999998</x:v>
      </x:c>
      <x:c r="J31" s="40" t="n">
        <x:f>D31*Assumptions!$C$5*Assumptions!$C$6</x:f>
        <x:v>15114.555499999997</x:v>
      </x:c>
      <x:c r="K31" s="40" t="n">
        <x:f>D31*Assumptions!$D$5*Assumptions!$D$6</x:f>
        <x:v>20604.589500000002</x:v>
      </x:c>
      <x:c r="L31" s="34" t="n">
        <x:v>96109</x:v>
      </x:c>
      <x:c r="M31" s="34" t="n">
        <x:v>23</x:v>
      </x:c>
      <x:c r="N31" s="38" t="n">
        <x:f>IF(L31=0,0,L31/Assumptions!$B$7)</x:f>
        <x:v>22613.882352941175</x:v>
      </x:c>
      <x:c r="O31" s="42" t="n">
        <x:f>IF(N31=0,0,I31/N31)</x:f>
        <x:v>0.785073510285197</x:v>
      </x:c>
      <x:c r="P31" s="44" t="str">
        <x:v>Coverage below 1.0 indicates reliance on imported, transfer, adult, international, or higher-participation demand.</x:v>
      </x:c>
    </x:row>
    <x:row r="32">
      <x:c r="A32" s="16" t="str">
        <x:v>DC</x:v>
      </x:c>
      <x:c r="B32" s="16" t="str">
        <x:v>District of Columbia</x:v>
      </x:c>
      <x:c r="C32" s="16" t="n">
        <x:v>2026</x:v>
      </x:c>
      <x:c r="D32" s="34" t="n">
        <x:v>7252</x:v>
      </x:c>
      <x:c r="E32" s="21" t="n">
        <x:v>0</x:v>
      </x:c>
      <x:c r="F32" s="36" t="n">
        <x:f>Assumptions!$B$5</x:f>
        <x:v>0.628</x:v>
      </x:c>
      <x:c r="G32" s="38" t="n">
        <x:f>D32*F32</x:f>
        <x:v>4554.256</x:v>
      </x:c>
      <x:c r="H32" s="36" t="n">
        <x:f>Assumptions!$B$6</x:f>
        <x:v>0.6666666666666666</x:v>
      </x:c>
      <x:c r="I32" s="38" t="n">
        <x:f>G32*H32</x:f>
        <x:v>3036.170666666667</x:v>
      </x:c>
      <x:c r="J32" s="40" t="n">
        <x:f>D32*Assumptions!$C$5*Assumptions!$C$6</x:f>
        <x:v>2584.854533333333</x:v>
      </x:c>
      <x:c r="K32" s="40" t="n">
        <x:f>D32*Assumptions!$D$5*Assumptions!$D$6</x:f>
        <x:v>3523.7468000000003</x:v>
      </x:c>
      <x:c r="L32" s="34" t="n">
        <x:v>42379</x:v>
      </x:c>
      <x:c r="M32" s="34" t="n">
        <x:v>8</x:v>
      </x:c>
      <x:c r="N32" s="38" t="n">
        <x:f>IF(L32=0,0,L32/Assumptions!$B$7)</x:f>
        <x:v>9971.529411764706</x:v>
      </x:c>
      <x:c r="O32" s="42" t="n">
        <x:f>IF(N32=0,0,I32/N32)</x:f>
        <x:v>0.3044839503842312</x:v>
      </x:c>
      <x:c r="P32" s="44" t="str">
        <x:v>Coverage below 1.0 indicates reliance on imported, transfer, adult, international, or higher-participation demand.</x:v>
      </x:c>
    </x:row>
    <x:row r="33">
      <x:c r="A33" s="16" t="str">
        <x:v>DC</x:v>
      </x:c>
      <x:c r="B33" s="16" t="str">
        <x:v>District of Columbia</x:v>
      </x:c>
      <x:c r="C33" s="16" t="n">
        <x:v>2030</x:v>
      </x:c>
      <x:c r="D33" s="34" t="n">
        <x:v>8699</x:v>
      </x:c>
      <x:c r="E33" s="21" t="n">
        <x:v>0.1995311638168782</x:v>
      </x:c>
      <x:c r="F33" s="36" t="n">
        <x:f>Assumptions!$B$5</x:f>
        <x:v>0.628</x:v>
      </x:c>
      <x:c r="G33" s="38" t="n">
        <x:f>D33*F33</x:f>
        <x:v>5462.972</x:v>
      </x:c>
      <x:c r="H33" s="36" t="n">
        <x:f>Assumptions!$B$6</x:f>
        <x:v>0.6666666666666666</x:v>
      </x:c>
      <x:c r="I33" s="38" t="n">
        <x:f>G33*H33</x:f>
        <x:v>3641.981333333333</x:v>
      </x:c>
      <x:c r="J33" s="40" t="n">
        <x:f>D33*Assumptions!$C$5*Assumptions!$C$6</x:f>
        <x:v>3100.6135666666664</x:v>
      </x:c>
      <x:c r="K33" s="40" t="n">
        <x:f>D33*Assumptions!$D$5*Assumptions!$D$6</x:f>
        <x:v>4226.8441</x:v>
      </x:c>
      <x:c r="L33" s="34" t="n">
        <x:v>42379</x:v>
      </x:c>
      <x:c r="M33" s="34" t="n">
        <x:v>8</x:v>
      </x:c>
      <x:c r="N33" s="38" t="n">
        <x:f>IF(L33=0,0,L33/Assumptions!$B$7)</x:f>
        <x:v>9971.529411764706</x:v>
      </x:c>
      <x:c r="O33" s="42" t="n">
        <x:f>IF(N33=0,0,I33/N33)</x:f>
        <x:v>0.3652379873679574</x:v>
      </x:c>
      <x:c r="P33" s="44" t="str">
        <x:v>Coverage below 1.0 indicates reliance on imported, transfer, adult, international, or higher-participation demand.</x:v>
      </x:c>
    </x:row>
    <x:row r="34">
      <x:c r="A34" s="16" t="str">
        <x:v>DC</x:v>
      </x:c>
      <x:c r="B34" s="16" t="str">
        <x:v>District of Columbia</x:v>
      </x:c>
      <x:c r="C34" s="16" t="n">
        <x:v>2035</x:v>
      </x:c>
      <x:c r="D34" s="34" t="n">
        <x:v>9072</x:v>
      </x:c>
      <x:c r="E34" s="21" t="n">
        <x:v>0.2509652509652509</x:v>
      </x:c>
      <x:c r="F34" s="36" t="n">
        <x:f>Assumptions!$B$5</x:f>
        <x:v>0.628</x:v>
      </x:c>
      <x:c r="G34" s="38" t="n">
        <x:f>D34*F34</x:f>
        <x:v>5697.216</x:v>
      </x:c>
      <x:c r="H34" s="36" t="n">
        <x:f>Assumptions!$B$6</x:f>
        <x:v>0.6666666666666666</x:v>
      </x:c>
      <x:c r="I34" s="38" t="n">
        <x:f>G34*H34</x:f>
        <x:v>3798.1440000000002</x:v>
      </x:c>
      <x:c r="J34" s="40" t="n">
        <x:f>D34*Assumptions!$C$5*Assumptions!$C$6</x:f>
        <x:v>3233.5631999999996</x:v>
      </x:c>
      <x:c r="K34" s="40" t="n">
        <x:f>D34*Assumptions!$D$5*Assumptions!$D$6</x:f>
        <x:v>4408.0848000000005</x:v>
      </x:c>
      <x:c r="L34" s="34" t="n">
        <x:v>42379</x:v>
      </x:c>
      <x:c r="M34" s="34" t="n">
        <x:v>8</x:v>
      </x:c>
      <x:c r="N34" s="38" t="n">
        <x:f>IF(L34=0,0,L34/Assumptions!$B$7)</x:f>
        <x:v>9971.529411764706</x:v>
      </x:c>
      <x:c r="O34" s="42" t="n">
        <x:f>IF(N34=0,0,I34/N34)</x:f>
        <x:v>0.3808988414073008</x:v>
      </x:c>
      <x:c r="P34" s="44" t="str">
        <x:v>Coverage below 1.0 indicates reliance on imported, transfer, adult, international, or higher-participation demand.</x:v>
      </x:c>
    </x:row>
    <x:row r="35">
      <x:c r="A35" s="16" t="str">
        <x:v>DC</x:v>
      </x:c>
      <x:c r="B35" s="16" t="str">
        <x:v>District of Columbia</x:v>
      </x:c>
      <x:c r="C35" s="16" t="n">
        <x:v>2041</x:v>
      </x:c>
      <x:c r="D35" s="34" t="n">
        <x:v>7529</x:v>
      </x:c>
      <x:c r="E35" s="21" t="n">
        <x:v>0.038196359624931064</x:v>
      </x:c>
      <x:c r="F35" s="36" t="n">
        <x:f>Assumptions!$B$5</x:f>
        <x:v>0.628</x:v>
      </x:c>
      <x:c r="G35" s="38" t="n">
        <x:f>D35*F35</x:f>
        <x:v>4728.212</x:v>
      </x:c>
      <x:c r="H35" s="36" t="n">
        <x:f>Assumptions!$B$6</x:f>
        <x:v>0.6666666666666666</x:v>
      </x:c>
      <x:c r="I35" s="38" t="n">
        <x:f>G35*H35</x:f>
        <x:v>3152.1413333333335</x:v>
      </x:c>
      <x:c r="J35" s="40" t="n">
        <x:f>D35*Assumptions!$C$5*Assumptions!$C$6</x:f>
        <x:v>2683.586566666666</x:v>
      </x:c>
      <x:c r="K35" s="40" t="n">
        <x:f>D35*Assumptions!$D$5*Assumptions!$D$6</x:f>
        <x:v>3658.3411</x:v>
      </x:c>
      <x:c r="L35" s="34" t="n">
        <x:v>42379</x:v>
      </x:c>
      <x:c r="M35" s="34" t="n">
        <x:v>8</x:v>
      </x:c>
      <x:c r="N35" s="38" t="n">
        <x:f>IF(L35=0,0,L35/Assumptions!$B$7)</x:f>
        <x:v>9971.529411764706</x:v>
      </x:c>
      <x:c r="O35" s="42" t="n">
        <x:f>IF(N35=0,0,I35/N35)</x:f>
        <x:v>0.31611412885312695</x:v>
      </x:c>
      <x:c r="P35" s="44" t="str">
        <x:v>Coverage below 1.0 indicates reliance on imported, transfer, adult, international, or higher-participation demand.</x:v>
      </x:c>
    </x:row>
    <x:row r="36">
      <x:c r="A36" s="16" t="str">
        <x:v>DE</x:v>
      </x:c>
      <x:c r="B36" s="16" t="str">
        <x:v>Delaware</x:v>
      </x:c>
      <x:c r="C36" s="16" t="n">
        <x:v>2026</x:v>
      </x:c>
      <x:c r="D36" s="34" t="n">
        <x:v>11807</x:v>
      </x:c>
      <x:c r="E36" s="21" t="n">
        <x:v>0</x:v>
      </x:c>
      <x:c r="F36" s="36" t="n">
        <x:f>Assumptions!$B$5</x:f>
        <x:v>0.628</x:v>
      </x:c>
      <x:c r="G36" s="38" t="n">
        <x:f>D36*F36</x:f>
        <x:v>7414.796</x:v>
      </x:c>
      <x:c r="H36" s="36" t="n">
        <x:f>Assumptions!$B$6</x:f>
        <x:v>0.6666666666666666</x:v>
      </x:c>
      <x:c r="I36" s="38" t="n">
        <x:f>G36*H36</x:f>
        <x:v>4943.1973333333335</x:v>
      </x:c>
      <x:c r="J36" s="40" t="n">
        <x:f>D36*Assumptions!$C$5*Assumptions!$C$6</x:f>
        <x:v>4208.408366666666</x:v>
      </x:c>
      <x:c r="K36" s="40" t="n">
        <x:f>D36*Assumptions!$D$5*Assumptions!$D$6</x:f>
        <x:v>5737.0213</x:v>
      </x:c>
      <x:c r="L36" s="34" t="n">
        <x:v>32894</x:v>
      </x:c>
      <x:c r="M36" s="34" t="n">
        <x:v>6</x:v>
      </x:c>
      <x:c r="N36" s="38" t="n">
        <x:f>IF(L36=0,0,L36/Assumptions!$B$7)</x:f>
        <x:v>7739.764705882353</x:v>
      </x:c>
      <x:c r="O36" s="42" t="n">
        <x:f>IF(N36=0,0,I36/N36)</x:f>
        <x:v>0.6386754017956668</x:v>
      </x:c>
      <x:c r="P36" s="44" t="str">
        <x:v>Coverage below 1.0 indicates reliance on imported, transfer, adult, international, or higher-participation demand.</x:v>
      </x:c>
    </x:row>
    <x:row r="37">
      <x:c r="A37" s="16" t="str">
        <x:v>DE</x:v>
      </x:c>
      <x:c r="B37" s="16" t="str">
        <x:v>Delaware</x:v>
      </x:c>
      <x:c r="C37" s="16" t="n">
        <x:v>2030</x:v>
      </x:c>
      <x:c r="D37" s="34" t="n">
        <x:v>12106</x:v>
      </x:c>
      <x:c r="E37" s="21" t="n">
        <x:v>0.025323960362496845</x:v>
      </x:c>
      <x:c r="F37" s="36" t="n">
        <x:f>Assumptions!$B$5</x:f>
        <x:v>0.628</x:v>
      </x:c>
      <x:c r="G37" s="38" t="n">
        <x:f>D37*F37</x:f>
        <x:v>7602.568</x:v>
      </x:c>
      <x:c r="H37" s="36" t="n">
        <x:f>Assumptions!$B$6</x:f>
        <x:v>0.6666666666666666</x:v>
      </x:c>
      <x:c r="I37" s="38" t="n">
        <x:f>G37*H37</x:f>
        <x:v>5068.3786666666665</x:v>
      </x:c>
      <x:c r="J37" s="40" t="n">
        <x:f>D37*Assumptions!$C$5*Assumptions!$C$6</x:f>
        <x:v>4314.981933333333</x:v>
      </x:c>
      <x:c r="K37" s="40" t="n">
        <x:f>D37*Assumptions!$D$5*Assumptions!$D$6</x:f>
        <x:v>5882.3054</x:v>
      </x:c>
      <x:c r="L37" s="34" t="n">
        <x:v>32894</x:v>
      </x:c>
      <x:c r="M37" s="34" t="n">
        <x:v>6</x:v>
      </x:c>
      <x:c r="N37" s="38" t="n">
        <x:f>IF(L37=0,0,L37/Assumptions!$B$7)</x:f>
        <x:v>7739.764705882353</x:v>
      </x:c>
      <x:c r="O37" s="42" t="n">
        <x:f>IF(N37=0,0,I37/N37)</x:f>
        <x:v>0.6548491923552421</x:v>
      </x:c>
      <x:c r="P37" s="44" t="str">
        <x:v>Coverage below 1.0 indicates reliance on imported, transfer, adult, international, or higher-participation demand.</x:v>
      </x:c>
    </x:row>
    <x:row r="38">
      <x:c r="A38" s="16" t="str">
        <x:v>DE</x:v>
      </x:c>
      <x:c r="B38" s="16" t="str">
        <x:v>Delaware</x:v>
      </x:c>
      <x:c r="C38" s="16" t="n">
        <x:v>2035</x:v>
      </x:c>
      <x:c r="D38" s="34" t="n">
        <x:v>12597</x:v>
      </x:c>
      <x:c r="E38" s="21" t="n">
        <x:v>0.06690946048954016</x:v>
      </x:c>
      <x:c r="F38" s="36" t="n">
        <x:f>Assumptions!$B$5</x:f>
        <x:v>0.628</x:v>
      </x:c>
      <x:c r="G38" s="38" t="n">
        <x:f>D38*F38</x:f>
        <x:v>7910.916</x:v>
      </x:c>
      <x:c r="H38" s="36" t="n">
        <x:f>Assumptions!$B$6</x:f>
        <x:v>0.6666666666666666</x:v>
      </x:c>
      <x:c r="I38" s="38" t="n">
        <x:f>G38*H38</x:f>
        <x:v>5273.9439999999995</x:v>
      </x:c>
      <x:c r="J38" s="40" t="n">
        <x:f>D38*Assumptions!$C$5*Assumptions!$C$6</x:f>
        <x:v>4489.990699999999</x:v>
      </x:c>
      <x:c r="K38" s="40" t="n">
        <x:f>D38*Assumptions!$D$5*Assumptions!$D$6</x:f>
        <x:v>6120.882300000001</x:v>
      </x:c>
      <x:c r="L38" s="34" t="n">
        <x:v>32894</x:v>
      </x:c>
      <x:c r="M38" s="34" t="n">
        <x:v>6</x:v>
      </x:c>
      <x:c r="N38" s="38" t="n">
        <x:f>IF(L38=0,0,L38/Assumptions!$B$7)</x:f>
        <x:v>7739.764705882353</x:v>
      </x:c>
      <x:c r="O38" s="42" t="n">
        <x:f>IF(N38=0,0,I38/N38)</x:f>
        <x:v>0.6814088283577552</x:v>
      </x:c>
      <x:c r="P38" s="44" t="str">
        <x:v>Coverage below 1.0 indicates reliance on imported, transfer, adult, international, or higher-participation demand.</x:v>
      </x:c>
    </x:row>
    <x:row r="39">
      <x:c r="A39" s="16" t="str">
        <x:v>DE</x:v>
      </x:c>
      <x:c r="B39" s="16" t="str">
        <x:v>Delaware</x:v>
      </x:c>
      <x:c r="C39" s="16" t="n">
        <x:v>2041</x:v>
      </x:c>
      <x:c r="D39" s="34" t="n">
        <x:v>12087</x:v>
      </x:c>
      <x:c r="E39" s="21" t="n">
        <x:v>0.02371474548996355</x:v>
      </x:c>
      <x:c r="F39" s="36" t="n">
        <x:f>Assumptions!$B$5</x:f>
        <x:v>0.628</x:v>
      </x:c>
      <x:c r="G39" s="38" t="n">
        <x:f>D39*F39</x:f>
        <x:v>7590.636</x:v>
      </x:c>
      <x:c r="H39" s="36" t="n">
        <x:f>Assumptions!$B$6</x:f>
        <x:v>0.6666666666666666</x:v>
      </x:c>
      <x:c r="I39" s="38" t="n">
        <x:f>G39*H39</x:f>
        <x:v>5060.424</x:v>
      </x:c>
      <x:c r="J39" s="40" t="n">
        <x:f>D39*Assumptions!$C$5*Assumptions!$C$6</x:f>
        <x:v>4308.2096999999985</x:v>
      </x:c>
      <x:c r="K39" s="40" t="n">
        <x:f>D39*Assumptions!$D$5*Assumptions!$D$6</x:f>
        <x:v>5873.073300000001</x:v>
      </x:c>
      <x:c r="L39" s="34" t="n">
        <x:v>32894</x:v>
      </x:c>
      <x:c r="M39" s="34" t="n">
        <x:v>6</x:v>
      </x:c>
      <x:c r="N39" s="38" t="n">
        <x:f>IF(L39=0,0,L39/Assumptions!$B$7)</x:f>
        <x:v>7739.764705882353</x:v>
      </x:c>
      <x:c r="O39" s="42" t="n">
        <x:f>IF(N39=0,0,I39/N39)</x:f>
        <x:v>0.6538214263999513</x:v>
      </x:c>
      <x:c r="P39" s="44" t="str">
        <x:v>Coverage below 1.0 indicates reliance on imported, transfer, adult, international, or higher-participation demand.</x:v>
      </x:c>
    </x:row>
    <x:row r="40">
      <x:c r="A40" s="16" t="str">
        <x:v>FL</x:v>
      </x:c>
      <x:c r="B40" s="16" t="str">
        <x:v>Florida</x:v>
      </x:c>
      <x:c r="C40" s="16" t="n">
        <x:v>2026</x:v>
      </x:c>
      <x:c r="D40" s="34" t="n">
        <x:v>238645</x:v>
      </x:c>
      <x:c r="E40" s="21" t="n">
        <x:v>0</x:v>
      </x:c>
      <x:c r="F40" s="36" t="n">
        <x:f>Assumptions!$B$5</x:f>
        <x:v>0.628</x:v>
      </x:c>
      <x:c r="G40" s="38" t="n">
        <x:f>D40*F40</x:f>
        <x:v>149869.06</x:v>
      </x:c>
      <x:c r="H40" s="36" t="n">
        <x:f>Assumptions!$B$6</x:f>
        <x:v>0.6666666666666666</x:v>
      </x:c>
      <x:c r="I40" s="38" t="n">
        <x:f>G40*H40</x:f>
        <x:v>99912.70666666667</x:v>
      </x:c>
      <x:c r="J40" s="40" t="n">
        <x:f>D40*Assumptions!$C$5*Assumptions!$C$6</x:f>
        <x:v>85061.03283333332</x:v>
      </x:c>
      <x:c r="K40" s="40" t="n">
        <x:f>D40*Assumptions!$D$5*Assumptions!$D$6</x:f>
        <x:v>115957.6055</x:v>
      </x:c>
      <x:c r="L40" s="34" t="n">
        <x:v>368602</x:v>
      </x:c>
      <x:c r="M40" s="34" t="n">
        <x:v>63</x:v>
      </x:c>
      <x:c r="N40" s="38" t="n">
        <x:f>IF(L40=0,0,L40/Assumptions!$B$7)</x:f>
        <x:v>86729.88235294117</x:v>
      </x:c>
      <x:c r="O40" s="42" t="n">
        <x:f>IF(N40=0,0,I40/N40)</x:f>
        <x:v>1.1519986417147312</x:v>
      </x:c>
      <x:c r="P40" s="44" t="str">
        <x:v>Coverage below 1.0 indicates reliance on imported, transfer, adult, international, or higher-participation demand.</x:v>
      </x:c>
    </x:row>
    <x:row r="41">
      <x:c r="A41" s="16" t="str">
        <x:v>FL</x:v>
      </x:c>
      <x:c r="B41" s="16" t="str">
        <x:v>Florida</x:v>
      </x:c>
      <x:c r="C41" s="16" t="n">
        <x:v>2030</x:v>
      </x:c>
      <x:c r="D41" s="34" t="n">
        <x:v>234121</x:v>
      </x:c>
      <x:c r="E41" s="21" t="n">
        <x:v>-0.01895702822183576</x:v>
      </x:c>
      <x:c r="F41" s="36" t="n">
        <x:f>Assumptions!$B$5</x:f>
        <x:v>0.628</x:v>
      </x:c>
      <x:c r="G41" s="38" t="n">
        <x:f>D41*F41</x:f>
        <x:v>147027.988</x:v>
      </x:c>
      <x:c r="H41" s="36" t="n">
        <x:f>Assumptions!$B$6</x:f>
        <x:v>0.6666666666666666</x:v>
      </x:c>
      <x:c r="I41" s="38" t="n">
        <x:f>G41*H41</x:f>
        <x:v>98018.65866666667</x:v>
      </x:c>
      <x:c r="J41" s="40" t="n">
        <x:f>D41*Assumptions!$C$5*Assumptions!$C$6</x:f>
        <x:v>83448.52843333333</x:v>
      </x:c>
      <x:c r="K41" s="40" t="n">
        <x:f>D41*Assumptions!$D$5*Assumptions!$D$6</x:f>
        <x:v>113759.3939</x:v>
      </x:c>
      <x:c r="L41" s="34" t="n">
        <x:v>368602</x:v>
      </x:c>
      <x:c r="M41" s="34" t="n">
        <x:v>63</x:v>
      </x:c>
      <x:c r="N41" s="38" t="n">
        <x:f>IF(L41=0,0,L41/Assumptions!$B$7)</x:f>
        <x:v>86729.88235294117</x:v>
      </x:c>
      <x:c r="O41" s="42" t="n">
        <x:f>IF(N41=0,0,I41/N41)</x:f>
        <x:v>1.1301601709522286</x:v>
      </x:c>
      <x:c r="P41" s="44" t="str">
        <x:v>Coverage below 1.0 indicates reliance on imported, transfer, adult, international, or higher-participation demand.</x:v>
      </x:c>
    </x:row>
    <x:row r="42">
      <x:c r="A42" s="16" t="str">
        <x:v>FL</x:v>
      </x:c>
      <x:c r="B42" s="16" t="str">
        <x:v>Florida</x:v>
      </x:c>
      <x:c r="C42" s="16" t="n">
        <x:v>2035</x:v>
      </x:c>
      <x:c r="D42" s="34" t="n">
        <x:v>251771</x:v>
      </x:c>
      <x:c r="E42" s="21" t="n">
        <x:v>0.0550021999203838</x:v>
      </x:c>
      <x:c r="F42" s="36" t="n">
        <x:f>Assumptions!$B$5</x:f>
        <x:v>0.628</x:v>
      </x:c>
      <x:c r="G42" s="38" t="n">
        <x:f>D42*F42</x:f>
        <x:v>158112.188</x:v>
      </x:c>
      <x:c r="H42" s="36" t="n">
        <x:f>Assumptions!$B$6</x:f>
        <x:v>0.6666666666666666</x:v>
      </x:c>
      <x:c r="I42" s="38" t="n">
        <x:f>G42*H42</x:f>
        <x:v>105408.12533333333</x:v>
      </x:c>
      <x:c r="J42" s="40" t="n">
        <x:f>D42*Assumptions!$C$5*Assumptions!$C$6</x:f>
        <x:v>89739.57676666664</x:v>
      </x:c>
      <x:c r="K42" s="40" t="n">
        <x:f>D42*Assumptions!$D$5*Assumptions!$D$6</x:f>
        <x:v>122335.5289</x:v>
      </x:c>
      <x:c r="L42" s="34" t="n">
        <x:v>368602</x:v>
      </x:c>
      <x:c r="M42" s="34" t="n">
        <x:v>63</x:v>
      </x:c>
      <x:c r="N42" s="38" t="n">
        <x:f>IF(L42=0,0,L42/Assumptions!$B$7)</x:f>
        <x:v>86729.88235294117</x:v>
      </x:c>
      <x:c r="O42" s="42" t="n">
        <x:f>IF(N42=0,0,I42/N42)</x:f>
        <x:v>1.2153611013143355</x:v>
      </x:c>
      <x:c r="P42" s="44" t="str">
        <x:v>Coverage below 1.0 indicates reliance on imported, transfer, adult, international, or higher-participation demand.</x:v>
      </x:c>
    </x:row>
    <x:row r="43">
      <x:c r="A43" s="16" t="str">
        <x:v>FL</x:v>
      </x:c>
      <x:c r="B43" s="16" t="str">
        <x:v>Florida</x:v>
      </x:c>
      <x:c r="C43" s="16" t="n">
        <x:v>2041</x:v>
      </x:c>
      <x:c r="D43" s="34" t="n">
        <x:v>247409</x:v>
      </x:c>
      <x:c r="E43" s="21" t="n">
        <x:v>0.03672400427413103</x:v>
      </x:c>
      <x:c r="F43" s="36" t="n">
        <x:f>Assumptions!$B$5</x:f>
        <x:v>0.628</x:v>
      </x:c>
      <x:c r="G43" s="38" t="n">
        <x:f>D43*F43</x:f>
        <x:v>155372.852</x:v>
      </x:c>
      <x:c r="H43" s="36" t="n">
        <x:f>Assumptions!$B$6</x:f>
        <x:v>0.6666666666666666</x:v>
      </x:c>
      <x:c r="I43" s="38" t="n">
        <x:f>G43*H43</x:f>
        <x:v>103581.90133333334</x:v>
      </x:c>
      <x:c r="J43" s="40" t="n">
        <x:f>D43*Assumptions!$C$5*Assumptions!$C$6</x:f>
        <x:v>88184.81456666665</x:v>
      </x:c>
      <x:c r="K43" s="40" t="n">
        <x:f>D43*Assumptions!$D$5*Assumptions!$D$6</x:f>
        <x:v>120216.03310000002</x:v>
      </x:c>
      <x:c r="L43" s="34" t="n">
        <x:v>368602</x:v>
      </x:c>
      <x:c r="M43" s="34" t="n">
        <x:v>63</x:v>
      </x:c>
      <x:c r="N43" s="38" t="n">
        <x:f>IF(L43=0,0,L43/Assumptions!$B$7)</x:f>
        <x:v>86729.88235294117</x:v>
      </x:c>
      <x:c r="O43" s="42" t="n">
        <x:f>IF(N43=0,0,I43/N43)</x:f>
        <x:v>1.1943046447568562</x:v>
      </x:c>
      <x:c r="P43" s="44" t="str">
        <x:v>Coverage below 1.0 indicates reliance on imported, transfer, adult, international, or higher-participation demand.</x:v>
      </x:c>
    </x:row>
    <x:row r="44">
      <x:c r="A44" s="16" t="str">
        <x:v>GA</x:v>
      </x:c>
      <x:c r="B44" s="16" t="str">
        <x:v>Georgia</x:v>
      </x:c>
      <x:c r="C44" s="16" t="n">
        <x:v>2026</x:v>
      </x:c>
      <x:c r="D44" s="34" t="n">
        <x:v>132754</x:v>
      </x:c>
      <x:c r="E44" s="21" t="n">
        <x:v>0</x:v>
      </x:c>
      <x:c r="F44" s="36" t="n">
        <x:f>Assumptions!$B$5</x:f>
        <x:v>0.628</x:v>
      </x:c>
      <x:c r="G44" s="38" t="n">
        <x:f>D44*F44</x:f>
        <x:v>83369.512</x:v>
      </x:c>
      <x:c r="H44" s="36" t="n">
        <x:f>Assumptions!$B$6</x:f>
        <x:v>0.6666666666666666</x:v>
      </x:c>
      <x:c r="I44" s="38" t="n">
        <x:f>G44*H44</x:f>
        <x:v>55579.674666666666</x:v>
      </x:c>
      <x:c r="J44" s="40" t="n">
        <x:f>D44*Assumptions!$C$5*Assumptions!$C$6</x:f>
        <x:v>47317.950733333324</x:v>
      </x:c>
      <x:c r="K44" s="40" t="n">
        <x:f>D44*Assumptions!$D$5*Assumptions!$D$6</x:f>
        <x:v>64505.1686</x:v>
      </x:c>
      <x:c r="L44" s="34" t="n">
        <x:v>261362</x:v>
      </x:c>
      <x:c r="M44" s="34" t="n">
        <x:v>50</x:v>
      </x:c>
      <x:c r="N44" s="38" t="n">
        <x:f>IF(L44=0,0,L44/Assumptions!$B$7)</x:f>
        <x:v>61496.94117647059</x:v>
      </x:c>
      <x:c r="O44" s="42" t="n">
        <x:f>IF(N44=0,0,I44/N44)</x:f>
        <x:v>0.903779498677441</x:v>
      </x:c>
      <x:c r="P44" s="44" t="str">
        <x:v>Coverage below 1.0 indicates reliance on imported, transfer, adult, international, or higher-participation demand.</x:v>
      </x:c>
    </x:row>
    <x:row r="45">
      <x:c r="A45" s="16" t="str">
        <x:v>GA</x:v>
      </x:c>
      <x:c r="B45" s="16" t="str">
        <x:v>Georgia</x:v>
      </x:c>
      <x:c r="C45" s="16" t="n">
        <x:v>2030</x:v>
      </x:c>
      <x:c r="D45" s="34" t="n">
        <x:v>127882</x:v>
      </x:c>
      <x:c r="E45" s="21" t="n">
        <x:v>-0.03669945915000683</x:v>
      </x:c>
      <x:c r="F45" s="36" t="n">
        <x:f>Assumptions!$B$5</x:f>
        <x:v>0.628</x:v>
      </x:c>
      <x:c r="G45" s="38" t="n">
        <x:f>D45*F45</x:f>
        <x:v>80309.896</x:v>
      </x:c>
      <x:c r="H45" s="36" t="n">
        <x:f>Assumptions!$B$6</x:f>
        <x:v>0.6666666666666666</x:v>
      </x:c>
      <x:c r="I45" s="38" t="n">
        <x:f>G45*H45</x:f>
        <x:v>53539.93066666666</x:v>
      </x:c>
      <x:c r="J45" s="40" t="n">
        <x:f>D45*Assumptions!$C$5*Assumptions!$C$6</x:f>
        <x:v>45581.40753333332</x:v>
      </x:c>
      <x:c r="K45" s="40" t="n">
        <x:f>D45*Assumptions!$D$5*Assumptions!$D$6</x:f>
        <x:v>62137.8638</x:v>
      </x:c>
      <x:c r="L45" s="34" t="n">
        <x:v>261362</x:v>
      </x:c>
      <x:c r="M45" s="34" t="n">
        <x:v>50</x:v>
      </x:c>
      <x:c r="N45" s="38" t="n">
        <x:f>IF(L45=0,0,L45/Assumptions!$B$7)</x:f>
        <x:v>61496.94117647059</x:v>
      </x:c>
      <x:c r="O45" s="42" t="n">
        <x:f>IF(N45=0,0,I45/N45)</x:f>
        <x:v>0.8706112798851146</x:v>
      </x:c>
      <x:c r="P45" s="44" t="str">
        <x:v>Coverage below 1.0 indicates reliance on imported, transfer, adult, international, or higher-participation demand.</x:v>
      </x:c>
    </x:row>
    <x:row r="46">
      <x:c r="A46" s="16" t="str">
        <x:v>GA</x:v>
      </x:c>
      <x:c r="B46" s="16" t="str">
        <x:v>Georgia</x:v>
      </x:c>
      <x:c r="C46" s="16" t="n">
        <x:v>2035</x:v>
      </x:c>
      <x:c r="D46" s="34" t="n">
        <x:v>131414</x:v>
      </x:c>
      <x:c r="E46" s="21" t="n">
        <x:v>-0.010093857812193963</x:v>
      </x:c>
      <x:c r="F46" s="36" t="n">
        <x:f>Assumptions!$B$5</x:f>
        <x:v>0.628</x:v>
      </x:c>
      <x:c r="G46" s="38" t="n">
        <x:f>D46*F46</x:f>
        <x:v>82527.992</x:v>
      </x:c>
      <x:c r="H46" s="36" t="n">
        <x:f>Assumptions!$B$6</x:f>
        <x:v>0.6666666666666666</x:v>
      </x:c>
      <x:c r="I46" s="38" t="n">
        <x:f>G46*H46</x:f>
        <x:v>55018.66133333333</x:v>
      </x:c>
      <x:c r="J46" s="40" t="n">
        <x:f>D46*Assumptions!$C$5*Assumptions!$C$6</x:f>
        <x:v>46840.33006666666</x:v>
      </x:c>
      <x:c r="K46" s="40" t="n">
        <x:f>D46*Assumptions!$D$5*Assumptions!$D$6</x:f>
        <x:v>63854.062600000005</x:v>
      </x:c>
      <x:c r="L46" s="34" t="n">
        <x:v>261362</x:v>
      </x:c>
      <x:c r="M46" s="34" t="n">
        <x:v>50</x:v>
      </x:c>
      <x:c r="N46" s="38" t="n">
        <x:f>IF(L46=0,0,L46/Assumptions!$B$7)</x:f>
        <x:v>61496.94117647059</x:v>
      </x:c>
      <x:c r="O46" s="42" t="n">
        <x:f>IF(N46=0,0,I46/N46)</x:f>
        <x:v>0.8946568769242149</x:v>
      </x:c>
      <x:c r="P46" s="44" t="str">
        <x:v>Coverage below 1.0 indicates reliance on imported, transfer, adult, international, or higher-participation demand.</x:v>
      </x:c>
    </x:row>
    <x:row r="47">
      <x:c r="A47" s="16" t="str">
        <x:v>GA</x:v>
      </x:c>
      <x:c r="B47" s="16" t="str">
        <x:v>Georgia</x:v>
      </x:c>
      <x:c r="C47" s="16" t="n">
        <x:v>2041</x:v>
      </x:c>
      <x:c r="D47" s="34" t="n">
        <x:v>126851</x:v>
      </x:c>
      <x:c r="E47" s="21" t="n">
        <x:v>-0.044465703481627705</x:v>
      </x:c>
      <x:c r="F47" s="36" t="n">
        <x:f>Assumptions!$B$5</x:f>
        <x:v>0.628</x:v>
      </x:c>
      <x:c r="G47" s="38" t="n">
        <x:f>D47*F47</x:f>
        <x:v>79662.428</x:v>
      </x:c>
      <x:c r="H47" s="36" t="n">
        <x:f>Assumptions!$B$6</x:f>
        <x:v>0.6666666666666666</x:v>
      </x:c>
      <x:c r="I47" s="38" t="n">
        <x:f>G47*H47</x:f>
        <x:v>53108.28533333333</x:v>
      </x:c>
      <x:c r="J47" s="40" t="n">
        <x:f>D47*Assumptions!$C$5*Assumptions!$C$6</x:f>
        <x:v>45213.924766666656</x:v>
      </x:c>
      <x:c r="K47" s="40" t="n">
        <x:f>D47*Assumptions!$D$5*Assumptions!$D$6</x:f>
        <x:v>61636.9009</x:v>
      </x:c>
      <x:c r="L47" s="34" t="n">
        <x:v>261362</x:v>
      </x:c>
      <x:c r="M47" s="34" t="n">
        <x:v>50</x:v>
      </x:c>
      <x:c r="N47" s="38" t="n">
        <x:f>IF(L47=0,0,L47/Assumptions!$B$7)</x:f>
        <x:v>61496.94117647059</x:v>
      </x:c>
      <x:c r="O47" s="42" t="n">
        <x:f>IF(N47=0,0,I47/N47)</x:f>
        <x:v>0.8635923074764758</x:v>
      </x:c>
      <x:c r="P47" s="44" t="str">
        <x:v>Coverage below 1.0 indicates reliance on imported, transfer, adult, international, or higher-participation demand.</x:v>
      </x:c>
    </x:row>
    <x:row r="48">
      <x:c r="A48" s="16" t="str">
        <x:v>HI</x:v>
      </x:c>
      <x:c r="B48" s="16" t="str">
        <x:v>Hawaii</x:v>
      </x:c>
      <x:c r="C48" s="16" t="n">
        <x:v>2026</x:v>
      </x:c>
      <x:c r="D48" s="34" t="n">
        <x:v>13929</x:v>
      </x:c>
      <x:c r="E48" s="21" t="n">
        <x:v>0</x:v>
      </x:c>
      <x:c r="F48" s="36" t="n">
        <x:f>Assumptions!$B$5</x:f>
        <x:v>0.628</x:v>
      </x:c>
      <x:c r="G48" s="38" t="n">
        <x:f>D48*F48</x:f>
        <x:v>8747.412</x:v>
      </x:c>
      <x:c r="H48" s="36" t="n">
        <x:f>Assumptions!$B$6</x:f>
        <x:v>0.6666666666666666</x:v>
      </x:c>
      <x:c r="I48" s="38" t="n">
        <x:f>G48*H48</x:f>
        <x:v>5831.608</x:v>
      </x:c>
      <x:c r="J48" s="40" t="n">
        <x:f>D48*Assumptions!$C$5*Assumptions!$C$6</x:f>
        <x:v>4964.759899999999</x:v>
      </x:c>
      <x:c r="K48" s="40" t="n">
        <x:f>D48*Assumptions!$D$5*Assumptions!$D$6</x:f>
        <x:v>6768.101100000001</x:v>
      </x:c>
      <x:c r="L48" s="34" t="n">
        <x:v>27327</x:v>
      </x:c>
      <x:c r="M48" s="34" t="n">
        <x:v>7</x:v>
      </x:c>
      <x:c r="N48" s="38" t="n">
        <x:f>IF(L48=0,0,L48/Assumptions!$B$7)</x:f>
        <x:v>6429.882352941177</x:v>
      </x:c>
      <x:c r="O48" s="42" t="n">
        <x:f>IF(N48=0,0,I48/N48)</x:f>
        <x:v>0.9069540747246313</x:v>
      </x:c>
      <x:c r="P48" s="44" t="str">
        <x:v>Coverage below 1.0 indicates reliance on imported, transfer, adult, international, or higher-participation demand.</x:v>
      </x:c>
    </x:row>
    <x:row r="49">
      <x:c r="A49" s="16" t="str">
        <x:v>HI</x:v>
      </x:c>
      <x:c r="B49" s="16" t="str">
        <x:v>Hawaii</x:v>
      </x:c>
      <x:c r="C49" s="16" t="n">
        <x:v>2030</x:v>
      </x:c>
      <x:c r="D49" s="34" t="n">
        <x:v>12650</x:v>
      </x:c>
      <x:c r="E49" s="21" t="n">
        <x:v>-0.09182281570823458</x:v>
      </x:c>
      <x:c r="F49" s="36" t="n">
        <x:f>Assumptions!$B$5</x:f>
        <x:v>0.628</x:v>
      </x:c>
      <x:c r="G49" s="38" t="n">
        <x:f>D49*F49</x:f>
        <x:v>7944.2</x:v>
      </x:c>
      <x:c r="H49" s="36" t="n">
        <x:f>Assumptions!$B$6</x:f>
        <x:v>0.6666666666666666</x:v>
      </x:c>
      <x:c r="I49" s="38" t="n">
        <x:f>G49*H49</x:f>
        <x:v>5296.133333333333</x:v>
      </x:c>
      <x:c r="J49" s="40" t="n">
        <x:f>D49*Assumptions!$C$5*Assumptions!$C$6</x:f>
        <x:v>4508.881666666666</x:v>
      </x:c>
      <x:c r="K49" s="40" t="n">
        <x:f>D49*Assumptions!$D$5*Assumptions!$D$6</x:f>
        <x:v>6146.635</x:v>
      </x:c>
      <x:c r="L49" s="34" t="n">
        <x:v>27327</x:v>
      </x:c>
      <x:c r="M49" s="34" t="n">
        <x:v>7</x:v>
      </x:c>
      <x:c r="N49" s="38" t="n">
        <x:f>IF(L49=0,0,L49/Assumptions!$B$7)</x:f>
        <x:v>6429.882352941177</x:v>
      </x:c>
      <x:c r="O49" s="42" t="n">
        <x:f>IF(N49=0,0,I49/N49)</x:f>
        <x:v>0.823674997865359</x:v>
      </x:c>
      <x:c r="P49" s="44" t="str">
        <x:v>Coverage below 1.0 indicates reliance on imported, transfer, adult, international, or higher-participation demand.</x:v>
      </x:c>
    </x:row>
    <x:row r="50">
      <x:c r="A50" s="16" t="str">
        <x:v>HI</x:v>
      </x:c>
      <x:c r="B50" s="16" t="str">
        <x:v>Hawaii</x:v>
      </x:c>
      <x:c r="C50" s="16" t="n">
        <x:v>2035</x:v>
      </x:c>
      <x:c r="D50" s="34" t="n">
        <x:v>11450</x:v>
      </x:c>
      <x:c r="E50" s="21" t="n">
        <x:v>-0.17797401105607003</x:v>
      </x:c>
      <x:c r="F50" s="36" t="n">
        <x:f>Assumptions!$B$5</x:f>
        <x:v>0.628</x:v>
      </x:c>
      <x:c r="G50" s="38" t="n">
        <x:f>D50*F50</x:f>
        <x:v>7190.6</x:v>
      </x:c>
      <x:c r="H50" s="36" t="n">
        <x:f>Assumptions!$B$6</x:f>
        <x:v>0.6666666666666666</x:v>
      </x:c>
      <x:c r="I50" s="38" t="n">
        <x:f>G50*H50</x:f>
        <x:v>4793.733333333334</x:v>
      </x:c>
      <x:c r="J50" s="40" t="n">
        <x:f>D50*Assumptions!$C$5*Assumptions!$C$6</x:f>
        <x:v>4081.161666666666</x:v>
      </x:c>
      <x:c r="K50" s="40" t="n">
        <x:f>D50*Assumptions!$D$5*Assumptions!$D$6</x:f>
        <x:v>5563.555</x:v>
      </x:c>
      <x:c r="L50" s="34" t="n">
        <x:v>27327</x:v>
      </x:c>
      <x:c r="M50" s="34" t="n">
        <x:v>7</x:v>
      </x:c>
      <x:c r="N50" s="38" t="n">
        <x:f>IF(L50=0,0,L50/Assumptions!$B$7)</x:f>
        <x:v>6429.882352941177</x:v>
      </x:c>
      <x:c r="O50" s="42" t="n">
        <x:f>IF(N50=0,0,I50/N50)</x:f>
        <x:v>0.745539820202242</x:v>
      </x:c>
      <x:c r="P50" s="44" t="str">
        <x:v>Coverage below 1.0 indicates reliance on imported, transfer, adult, international, or higher-participation demand.</x:v>
      </x:c>
    </x:row>
    <x:row r="51">
      <x:c r="A51" s="16" t="str">
        <x:v>HI</x:v>
      </x:c>
      <x:c r="B51" s="16" t="str">
        <x:v>Hawaii</x:v>
      </x:c>
      <x:c r="C51" s="16" t="n">
        <x:v>2041</x:v>
      </x:c>
      <x:c r="D51" s="34" t="n">
        <x:v>9582</x:v>
      </x:c>
      <x:c r="E51" s="21" t="n">
        <x:v>-0.3120827051475339</x:v>
      </x:c>
      <x:c r="F51" s="36" t="n">
        <x:f>Assumptions!$B$5</x:f>
        <x:v>0.628</x:v>
      </x:c>
      <x:c r="G51" s="38" t="n">
        <x:f>D51*F51</x:f>
        <x:v>6017.496</x:v>
      </x:c>
      <x:c r="H51" s="36" t="n">
        <x:f>Assumptions!$B$6</x:f>
        <x:v>0.6666666666666666</x:v>
      </x:c>
      <x:c r="I51" s="38" t="n">
        <x:f>G51*H51</x:f>
        <x:v>4011.6639999999998</x:v>
      </x:c>
      <x:c r="J51" s="40" t="n">
        <x:f>D51*Assumptions!$C$5*Assumptions!$C$6</x:f>
        <x:v>3415.3441999999995</x:v>
      </x:c>
      <x:c r="K51" s="40" t="n">
        <x:f>D51*Assumptions!$D$5*Assumptions!$D$6</x:f>
        <x:v>4655.893800000001</x:v>
      </x:c>
      <x:c r="L51" s="34" t="n">
        <x:v>27327</x:v>
      </x:c>
      <x:c r="M51" s="34" t="n">
        <x:v>7</x:v>
      </x:c>
      <x:c r="N51" s="38" t="n">
        <x:f>IF(L51=0,0,L51/Assumptions!$B$7)</x:f>
        <x:v>6429.882352941177</x:v>
      </x:c>
      <x:c r="O51" s="42" t="n">
        <x:f>IF(N51=0,0,I51/N51)</x:f>
        <x:v>0.6239093936399897</x:v>
      </x:c>
      <x:c r="P51" s="44" t="str">
        <x:v>Coverage below 1.0 indicates reliance on imported, transfer, adult, international, or higher-participation demand.</x:v>
      </x:c>
    </x:row>
    <x:row r="52">
      <x:c r="A52" s="16" t="str">
        <x:v>IA</x:v>
      </x:c>
      <x:c r="B52" s="16" t="str">
        <x:v>Iowa</x:v>
      </x:c>
      <x:c r="C52" s="16" t="n">
        <x:v>2026</x:v>
      </x:c>
      <x:c r="D52" s="34" t="n">
        <x:v>39893</x:v>
      </x:c>
      <x:c r="E52" s="21" t="n">
        <x:v>0</x:v>
      </x:c>
      <x:c r="F52" s="36" t="n">
        <x:f>Assumptions!$B$5</x:f>
        <x:v>0.628</x:v>
      </x:c>
      <x:c r="G52" s="38" t="n">
        <x:f>D52*F52</x:f>
        <x:v>25052.804</x:v>
      </x:c>
      <x:c r="H52" s="36" t="n">
        <x:f>Assumptions!$B$6</x:f>
        <x:v>0.6666666666666666</x:v>
      </x:c>
      <x:c r="I52" s="38" t="n">
        <x:f>G52*H52</x:f>
        <x:v>16701.869333333332</x:v>
      </x:c>
      <x:c r="J52" s="40" t="n">
        <x:f>D52*Assumptions!$C$5*Assumptions!$C$6</x:f>
        <x:v>14219.194966666664</x:v>
      </x:c>
      <x:c r="K52" s="40" t="n">
        <x:f>D52*Assumptions!$D$5*Assumptions!$D$6</x:f>
        <x:v>19384.008700000002</x:v>
      </x:c>
      <x:c r="L52" s="34" t="n">
        <x:v>100603</x:v>
      </x:c>
      <x:c r="M52" s="34" t="n">
        <x:v>32</x:v>
      </x:c>
      <x:c r="N52" s="38" t="n">
        <x:f>IF(L52=0,0,L52/Assumptions!$B$7)</x:f>
        <x:v>23671.29411764706</x:v>
      </x:c>
      <x:c r="O52" s="42" t="n">
        <x:f>IF(N52=0,0,I52/N52)</x:f>
        <x:v>0.7055748304391187</x:v>
      </x:c>
      <x:c r="P52" s="44" t="str">
        <x:v>Coverage below 1.0 indicates reliance on imported, transfer, adult, international, or higher-participation demand.</x:v>
      </x:c>
    </x:row>
    <x:row r="53">
      <x:c r="A53" s="16" t="str">
        <x:v>IA</x:v>
      </x:c>
      <x:c r="B53" s="16" t="str">
        <x:v>Iowa</x:v>
      </x:c>
      <x:c r="C53" s="16" t="n">
        <x:v>2030</x:v>
      </x:c>
      <x:c r="D53" s="34" t="n">
        <x:v>38192</x:v>
      </x:c>
      <x:c r="E53" s="21" t="n">
        <x:v>-0.04263905948412006</x:v>
      </x:c>
      <x:c r="F53" s="36" t="n">
        <x:f>Assumptions!$B$5</x:f>
        <x:v>0.628</x:v>
      </x:c>
      <x:c r="G53" s="38" t="n">
        <x:f>D53*F53</x:f>
        <x:v>23984.576</x:v>
      </x:c>
      <x:c r="H53" s="36" t="n">
        <x:f>Assumptions!$B$6</x:f>
        <x:v>0.6666666666666666</x:v>
      </x:c>
      <x:c r="I53" s="38" t="n">
        <x:f>G53*H53</x:f>
        <x:v>15989.717333333334</x:v>
      </x:c>
      <x:c r="J53" s="40" t="n">
        <x:f>D53*Assumptions!$C$5*Assumptions!$C$6</x:f>
        <x:v>13612.901866666663</x:v>
      </x:c>
      <x:c r="K53" s="40" t="n">
        <x:f>D53*Assumptions!$D$5*Assumptions!$D$6</x:f>
        <x:v>18557.492800000004</x:v>
      </x:c>
      <x:c r="L53" s="34" t="n">
        <x:v>100603</x:v>
      </x:c>
      <x:c r="M53" s="34" t="n">
        <x:v>32</x:v>
      </x:c>
      <x:c r="N53" s="38" t="n">
        <x:f>IF(L53=0,0,L53/Assumptions!$B$7)</x:f>
        <x:v>23671.29411764706</x:v>
      </x:c>
      <x:c r="O53" s="42" t="n">
        <x:f>IF(N53=0,0,I53/N53)</x:f>
        <x:v>0.6754897832735273</x:v>
      </x:c>
      <x:c r="P53" s="44" t="str">
        <x:v>Coverage below 1.0 indicates reliance on imported, transfer, adult, international, or higher-participation demand.</x:v>
      </x:c>
    </x:row>
    <x:row r="54">
      <x:c r="A54" s="16" t="str">
        <x:v>IA</x:v>
      </x:c>
      <x:c r="B54" s="16" t="str">
        <x:v>Iowa</x:v>
      </x:c>
      <x:c r="C54" s="16" t="n">
        <x:v>2035</x:v>
      </x:c>
      <x:c r="D54" s="34" t="n">
        <x:v>38769</x:v>
      </x:c>
      <x:c r="E54" s="21" t="n">
        <x:v>-0.028175369112375614</x:v>
      </x:c>
      <x:c r="F54" s="36" t="n">
        <x:f>Assumptions!$B$5</x:f>
        <x:v>0.628</x:v>
      </x:c>
      <x:c r="G54" s="38" t="n">
        <x:f>D54*F54</x:f>
        <x:v>24346.932</x:v>
      </x:c>
      <x:c r="H54" s="36" t="n">
        <x:f>Assumptions!$B$6</x:f>
        <x:v>0.6666666666666666</x:v>
      </x:c>
      <x:c r="I54" s="38" t="n">
        <x:f>G54*H54</x:f>
        <x:v>16231.288</x:v>
      </x:c>
      <x:c r="J54" s="40" t="n">
        <x:f>D54*Assumptions!$C$5*Assumptions!$C$6</x:f>
        <x:v>13818.563899999997</x:v>
      </x:c>
      <x:c r="K54" s="40" t="n">
        <x:f>D54*Assumptions!$D$5*Assumptions!$D$6</x:f>
        <x:v>18837.8571</x:v>
      </x:c>
      <x:c r="L54" s="34" t="n">
        <x:v>100603</x:v>
      </x:c>
      <x:c r="M54" s="34" t="n">
        <x:v>32</x:v>
      </x:c>
      <x:c r="N54" s="38" t="n">
        <x:f>IF(L54=0,0,L54/Assumptions!$B$7)</x:f>
        <x:v>23671.29411764706</x:v>
      </x:c>
      <x:c r="O54" s="42" t="n">
        <x:f>IF(N54=0,0,I54/N54)</x:f>
        <x:v>0.6856949991550948</x:v>
      </x:c>
      <x:c r="P54" s="44" t="str">
        <x:v>Coverage below 1.0 indicates reliance on imported, transfer, adult, international, or higher-participation demand.</x:v>
      </x:c>
    </x:row>
    <x:row r="55">
      <x:c r="A55" s="16" t="str">
        <x:v>IA</x:v>
      </x:c>
      <x:c r="B55" s="16" t="str">
        <x:v>Iowa</x:v>
      </x:c>
      <x:c r="C55" s="16" t="n">
        <x:v>2041</x:v>
      </x:c>
      <x:c r="D55" s="34" t="n">
        <x:v>36299</x:v>
      </x:c>
      <x:c r="E55" s="21" t="n">
        <x:v>-0.0900909934073647</x:v>
      </x:c>
      <x:c r="F55" s="36" t="n">
        <x:f>Assumptions!$B$5</x:f>
        <x:v>0.628</x:v>
      </x:c>
      <x:c r="G55" s="38" t="n">
        <x:f>D55*F55</x:f>
        <x:v>22795.772</x:v>
      </x:c>
      <x:c r="H55" s="36" t="n">
        <x:f>Assumptions!$B$6</x:f>
        <x:v>0.6666666666666666</x:v>
      </x:c>
      <x:c r="I55" s="38" t="n">
        <x:f>G55*H55</x:f>
        <x:v>15197.181333333334</x:v>
      </x:c>
      <x:c r="J55" s="40" t="n">
        <x:f>D55*Assumptions!$C$5*Assumptions!$C$6</x:f>
        <x:v>12938.173566666665</x:v>
      </x:c>
      <x:c r="K55" s="40" t="n">
        <x:f>D55*Assumptions!$D$5*Assumptions!$D$6</x:f>
        <x:v>17637.684100000002</x:v>
      </x:c>
      <x:c r="L55" s="34" t="n">
        <x:v>100603</x:v>
      </x:c>
      <x:c r="M55" s="34" t="n">
        <x:v>32</x:v>
      </x:c>
      <x:c r="N55" s="38" t="n">
        <x:f>IF(L55=0,0,L55/Assumptions!$B$7)</x:f>
        <x:v>23671.29411764706</x:v>
      </x:c>
      <x:c r="O55" s="42" t="n">
        <x:f>IF(N55=0,0,I55/N55)</x:f>
        <x:v>0.6420088930416257</x:v>
      </x:c>
      <x:c r="P55" s="44" t="str">
        <x:v>Coverage below 1.0 indicates reliance on imported, transfer, adult, international, or higher-participation demand.</x:v>
      </x:c>
    </x:row>
    <x:row r="56">
      <x:c r="A56" s="16" t="str">
        <x:v>ID</x:v>
      </x:c>
      <x:c r="B56" s="16" t="str">
        <x:v>Idaho</x:v>
      </x:c>
      <x:c r="C56" s="16" t="n">
        <x:v>2026</x:v>
      </x:c>
      <x:c r="D56" s="34" t="n">
        <x:v>24058</x:v>
      </x:c>
      <x:c r="E56" s="21" t="n">
        <x:v>0</x:v>
      </x:c>
      <x:c r="F56" s="36" t="n">
        <x:f>Assumptions!$B$5</x:f>
        <x:v>0.628</x:v>
      </x:c>
      <x:c r="G56" s="38" t="n">
        <x:f>D56*F56</x:f>
        <x:v>15108.424</x:v>
      </x:c>
      <x:c r="H56" s="36" t="n">
        <x:f>Assumptions!$B$6</x:f>
        <x:v>0.6666666666666666</x:v>
      </x:c>
      <x:c r="I56" s="38" t="n">
        <x:f>G56*H56</x:f>
        <x:v>10072.282666666666</x:v>
      </x:c>
      <x:c r="J56" s="40" t="n">
        <x:f>D56*Assumptions!$C$5*Assumptions!$C$6</x:f>
        <x:v>8575.073133333331</x:v>
      </x:c>
      <x:c r="K56" s="40" t="n">
        <x:f>D56*Assumptions!$D$5*Assumptions!$D$6</x:f>
        <x:v>11689.7822</x:v>
      </x:c>
      <x:c r="L56" s="34" t="n">
        <x:v>66687</x:v>
      </x:c>
      <x:c r="M56" s="34" t="n">
        <x:v>8</x:v>
      </x:c>
      <x:c r="N56" s="38" t="n">
        <x:f>IF(L56=0,0,L56/Assumptions!$B$7)</x:f>
        <x:v>15691.058823529413</x:v>
      </x:c>
      <x:c r="O56" s="42" t="n">
        <x:f>IF(N56=0,0,I56/N56)</x:f>
        <x:v>0.6419122367677857</x:v>
      </x:c>
      <x:c r="P56" s="44" t="str">
        <x:v>Coverage below 1.0 indicates reliance on imported, transfer, adult, international, or higher-participation demand.</x:v>
      </x:c>
    </x:row>
    <x:row r="57">
      <x:c r="A57" s="16" t="str">
        <x:v>ID</x:v>
      </x:c>
      <x:c r="B57" s="16" t="str">
        <x:v>Idaho</x:v>
      </x:c>
      <x:c r="C57" s="16" t="n">
        <x:v>2030</x:v>
      </x:c>
      <x:c r="D57" s="34" t="n">
        <x:v>24257</x:v>
      </x:c>
      <x:c r="E57" s="21" t="n">
        <x:v>0.008271676781112403</x:v>
      </x:c>
      <x:c r="F57" s="36" t="n">
        <x:f>Assumptions!$B$5</x:f>
        <x:v>0.628</x:v>
      </x:c>
      <x:c r="G57" s="38" t="n">
        <x:f>D57*F57</x:f>
        <x:v>15233.396</x:v>
      </x:c>
      <x:c r="H57" s="36" t="n">
        <x:f>Assumptions!$B$6</x:f>
        <x:v>0.6666666666666666</x:v>
      </x:c>
      <x:c r="I57" s="38" t="n">
        <x:f>G57*H57</x:f>
        <x:v>10155.597333333333</x:v>
      </x:c>
      <x:c r="J57" s="40" t="n">
        <x:f>D57*Assumptions!$C$5*Assumptions!$C$6</x:f>
        <x:v>8646.003366666664</x:v>
      </x:c>
      <x:c r="K57" s="40" t="n">
        <x:f>D57*Assumptions!$D$5*Assumptions!$D$6</x:f>
        <x:v>11786.476300000002</x:v>
      </x:c>
      <x:c r="L57" s="34" t="n">
        <x:v>66687</x:v>
      </x:c>
      <x:c r="M57" s="34" t="n">
        <x:v>8</x:v>
      </x:c>
      <x:c r="N57" s="38" t="n">
        <x:f>IF(L57=0,0,L57/Assumptions!$B$7)</x:f>
        <x:v>15691.058823529413</x:v>
      </x:c>
      <x:c r="O57" s="42" t="n">
        <x:f>IF(N57=0,0,I57/N57)</x:f>
        <x:v>0.6472219273121698</x:v>
      </x:c>
      <x:c r="P57" s="44" t="str">
        <x:v>Coverage below 1.0 indicates reliance on imported, transfer, adult, international, or higher-participation demand.</x:v>
      </x:c>
    </x:row>
    <x:row r="58">
      <x:c r="A58" s="16" t="str">
        <x:v>ID</x:v>
      </x:c>
      <x:c r="B58" s="16" t="str">
        <x:v>Idaho</x:v>
      </x:c>
      <x:c r="C58" s="16" t="n">
        <x:v>2035</x:v>
      </x:c>
      <x:c r="D58" s="34" t="n">
        <x:v>25509</x:v>
      </x:c>
      <x:c r="E58" s="21" t="n">
        <x:v>0.06031257793665312</x:v>
      </x:c>
      <x:c r="F58" s="36" t="n">
        <x:f>Assumptions!$B$5</x:f>
        <x:v>0.628</x:v>
      </x:c>
      <x:c r="G58" s="38" t="n">
        <x:f>D58*F58</x:f>
        <x:v>16019.652</x:v>
      </x:c>
      <x:c r="H58" s="36" t="n">
        <x:f>Assumptions!$B$6</x:f>
        <x:v>0.6666666666666666</x:v>
      </x:c>
      <x:c r="I58" s="38" t="n">
        <x:f>G58*H58</x:f>
        <x:v>10679.768</x:v>
      </x:c>
      <x:c r="J58" s="40" t="n">
        <x:f>D58*Assumptions!$C$5*Assumptions!$C$6</x:f>
        <x:v>9092.257899999999</x:v>
      </x:c>
      <x:c r="K58" s="40" t="n">
        <x:f>D58*Assumptions!$D$5*Assumptions!$D$6</x:f>
        <x:v>12394.823100000001</x:v>
      </x:c>
      <x:c r="L58" s="34" t="n">
        <x:v>66687</x:v>
      </x:c>
      <x:c r="M58" s="34" t="n">
        <x:v>8</x:v>
      </x:c>
      <x:c r="N58" s="38" t="n">
        <x:f>IF(L58=0,0,L58/Assumptions!$B$7)</x:f>
        <x:v>15691.058823529413</x:v>
      </x:c>
      <x:c r="O58" s="42" t="n">
        <x:f>IF(N58=0,0,I58/N58)</x:f>
        <x:v>0.6806276185763341</x:v>
      </x:c>
      <x:c r="P58" s="44" t="str">
        <x:v>Coverage below 1.0 indicates reliance on imported, transfer, adult, international, or higher-participation demand.</x:v>
      </x:c>
    </x:row>
    <x:row r="59">
      <x:c r="A59" s="16" t="str">
        <x:v>ID</x:v>
      </x:c>
      <x:c r="B59" s="16" t="str">
        <x:v>Idaho</x:v>
      </x:c>
      <x:c r="C59" s="16" t="n">
        <x:v>2041</x:v>
      </x:c>
      <x:c r="D59" s="34" t="n">
        <x:v>25907</x:v>
      </x:c>
      <x:c r="E59" s="21" t="n">
        <x:v>0.0768559314988777</x:v>
      </x:c>
      <x:c r="F59" s="36" t="n">
        <x:f>Assumptions!$B$5</x:f>
        <x:v>0.628</x:v>
      </x:c>
      <x:c r="G59" s="38" t="n">
        <x:f>D59*F59</x:f>
        <x:v>16269.596</x:v>
      </x:c>
      <x:c r="H59" s="36" t="n">
        <x:f>Assumptions!$B$6</x:f>
        <x:v>0.6666666666666666</x:v>
      </x:c>
      <x:c r="I59" s="38" t="n">
        <x:f>G59*H59</x:f>
        <x:v>10846.397333333332</x:v>
      </x:c>
      <x:c r="J59" s="40" t="n">
        <x:f>D59*Assumptions!$C$5*Assumptions!$C$6</x:f>
        <x:v>9234.118366666666</x:v>
      </x:c>
      <x:c r="K59" s="40" t="n">
        <x:f>D59*Assumptions!$D$5*Assumptions!$D$6</x:f>
        <x:v>12588.2113</x:v>
      </x:c>
      <x:c r="L59" s="34" t="n">
        <x:v>66687</x:v>
      </x:c>
      <x:c r="M59" s="34" t="n">
        <x:v>8</x:v>
      </x:c>
      <x:c r="N59" s="38" t="n">
        <x:f>IF(L59=0,0,L59/Assumptions!$B$7)</x:f>
        <x:v>15691.058823529413</x:v>
      </x:c>
      <x:c r="O59" s="42" t="n">
        <x:f>IF(N59=0,0,I59/N59)</x:f>
        <x:v>0.6912469996651021</x:v>
      </x:c>
      <x:c r="P59" s="44" t="str">
        <x:v>Coverage below 1.0 indicates reliance on imported, transfer, adult, international, or higher-participation demand.</x:v>
      </x:c>
    </x:row>
    <x:row r="60">
      <x:c r="A60" s="16" t="str">
        <x:v>IL</x:v>
      </x:c>
      <x:c r="B60" s="16" t="str">
        <x:v>Illinois</x:v>
      </x:c>
      <x:c r="C60" s="16" t="n">
        <x:v>2026</x:v>
      </x:c>
      <x:c r="D60" s="34" t="n">
        <x:v>138905</x:v>
      </x:c>
      <x:c r="E60" s="21" t="n">
        <x:v>0</x:v>
      </x:c>
      <x:c r="F60" s="36" t="n">
        <x:f>Assumptions!$B$5</x:f>
        <x:v>0.628</x:v>
      </x:c>
      <x:c r="G60" s="38" t="n">
        <x:f>D60*F60</x:f>
        <x:v>87232.34</x:v>
      </x:c>
      <x:c r="H60" s="36" t="n">
        <x:f>Assumptions!$B$6</x:f>
        <x:v>0.6666666666666666</x:v>
      </x:c>
      <x:c r="I60" s="38" t="n">
        <x:f>G60*H60</x:f>
        <x:v>58154.893333333326</x:v>
      </x:c>
      <x:c r="J60" s="40" t="n">
        <x:f>D60*Assumptions!$C$5*Assumptions!$C$6</x:f>
        <x:v>49510.37216666666</x:v>
      </x:c>
      <x:c r="K60" s="40" t="n">
        <x:f>D60*Assumptions!$D$5*Assumptions!$D$6</x:f>
        <x:v>67493.93950000001</x:v>
      </x:c>
      <x:c r="L60" s="34" t="n">
        <x:v>270420</x:v>
      </x:c>
      <x:c r="M60" s="34" t="n">
        <x:v>72</x:v>
      </x:c>
      <x:c r="N60" s="38" t="n">
        <x:f>IF(L60=0,0,L60/Assumptions!$B$7)</x:f>
        <x:v>63628.23529411765</x:v>
      </x:c>
      <x:c r="O60" s="42" t="n">
        <x:f>IF(N60=0,0,I60/N60)</x:f>
        <x:v>0.9139793531050463</x:v>
      </x:c>
      <x:c r="P60" s="44" t="str">
        <x:v>Coverage below 1.0 indicates reliance on imported, transfer, adult, international, or higher-participation demand.</x:v>
      </x:c>
    </x:row>
    <x:row r="61">
      <x:c r="A61" s="16" t="str">
        <x:v>IL</x:v>
      </x:c>
      <x:c r="B61" s="16" t="str">
        <x:v>Illinois</x:v>
      </x:c>
      <x:c r="C61" s="16" t="n">
        <x:v>2030</x:v>
      </x:c>
      <x:c r="D61" s="34" t="n">
        <x:v>124210</x:v>
      </x:c>
      <x:c r="E61" s="21" t="n">
        <x:v>-0.10579172815953353</x:v>
      </x:c>
      <x:c r="F61" s="36" t="n">
        <x:f>Assumptions!$B$5</x:f>
        <x:v>0.628</x:v>
      </x:c>
      <x:c r="G61" s="38" t="n">
        <x:f>D61*F61</x:f>
        <x:v>78003.88</x:v>
      </x:c>
      <x:c r="H61" s="36" t="n">
        <x:f>Assumptions!$B$6</x:f>
        <x:v>0.6666666666666666</x:v>
      </x:c>
      <x:c r="I61" s="38" t="n">
        <x:f>G61*H61</x:f>
        <x:v>52002.58666666667</x:v>
      </x:c>
      <x:c r="J61" s="40" t="n">
        <x:f>D61*Assumptions!$C$5*Assumptions!$C$6</x:f>
        <x:v>44272.58433333332</x:v>
      </x:c>
      <x:c r="K61" s="40" t="n">
        <x:f>D61*Assumptions!$D$5*Assumptions!$D$6</x:f>
        <x:v>60353.639</x:v>
      </x:c>
      <x:c r="L61" s="34" t="n">
        <x:v>270420</x:v>
      </x:c>
      <x:c r="M61" s="34" t="n">
        <x:v>72</x:v>
      </x:c>
      <x:c r="N61" s="38" t="n">
        <x:f>IF(L61=0,0,L61/Assumptions!$B$7)</x:f>
        <x:v>63628.23529411765</x:v>
      </x:c>
      <x:c r="O61" s="42" t="n">
        <x:f>IF(N61=0,0,I61/N61)</x:f>
        <x:v>0.8172878978379311</x:v>
      </x:c>
      <x:c r="P61" s="44" t="str">
        <x:v>Coverage below 1.0 indicates reliance on imported, transfer, adult, international, or higher-participation demand.</x:v>
      </x:c>
    </x:row>
    <x:row r="62">
      <x:c r="A62" s="16" t="str">
        <x:v>IL</x:v>
      </x:c>
      <x:c r="B62" s="16" t="str">
        <x:v>Illinois</x:v>
      </x:c>
      <x:c r="C62" s="16" t="n">
        <x:v>2035</x:v>
      </x:c>
      <x:c r="D62" s="34" t="n">
        <x:v>119005</x:v>
      </x:c>
      <x:c r="E62" s="21" t="n">
        <x:v>-0.14326338144775208</x:v>
      </x:c>
      <x:c r="F62" s="36" t="n">
        <x:f>Assumptions!$B$5</x:f>
        <x:v>0.628</x:v>
      </x:c>
      <x:c r="G62" s="38" t="n">
        <x:f>D62*F62</x:f>
        <x:v>74735.14</x:v>
      </x:c>
      <x:c r="H62" s="36" t="n">
        <x:f>Assumptions!$B$6</x:f>
        <x:v>0.6666666666666666</x:v>
      </x:c>
      <x:c r="I62" s="38" t="n">
        <x:f>G62*H62</x:f>
        <x:v>49823.426666666666</x:v>
      </x:c>
      <x:c r="J62" s="40" t="n">
        <x:f>D62*Assumptions!$C$5*Assumptions!$C$6</x:f>
        <x:v>42417.34883333333</x:v>
      </x:c>
      <x:c r="K62" s="40" t="n">
        <x:f>D62*Assumptions!$D$5*Assumptions!$D$6</x:f>
        <x:v>57824.5295</x:v>
      </x:c>
      <x:c r="L62" s="34" t="n">
        <x:v>270420</x:v>
      </x:c>
      <x:c r="M62" s="34" t="n">
        <x:v>72</x:v>
      </x:c>
      <x:c r="N62" s="38" t="n">
        <x:f>IF(L62=0,0,L62/Assumptions!$B$7)</x:f>
        <x:v>63628.23529411765</x:v>
      </x:c>
      <x:c r="O62" s="42" t="n">
        <x:f>IF(N62=0,0,I62/N62)</x:f>
        <x:v>0.7830395804057885</x:v>
      </x:c>
      <x:c r="P62" s="44" t="str">
        <x:v>Coverage below 1.0 indicates reliance on imported, transfer, adult, international, or higher-participation demand.</x:v>
      </x:c>
    </x:row>
    <x:row r="63">
      <x:c r="A63" s="16" t="str">
        <x:v>IL</x:v>
      </x:c>
      <x:c r="B63" s="16" t="str">
        <x:v>Illinois</x:v>
      </x:c>
      <x:c r="C63" s="16" t="n">
        <x:v>2041</x:v>
      </x:c>
      <x:c r="D63" s="34" t="n">
        <x:v>99067</x:v>
      </x:c>
      <x:c r="E63" s="21" t="n">
        <x:v>-0.2868003311615852</x:v>
      </x:c>
      <x:c r="F63" s="36" t="n">
        <x:f>Assumptions!$B$5</x:f>
        <x:v>0.628</x:v>
      </x:c>
      <x:c r="G63" s="38" t="n">
        <x:f>D63*F63</x:f>
        <x:v>62214.076</x:v>
      </x:c>
      <x:c r="H63" s="36" t="n">
        <x:f>Assumptions!$B$6</x:f>
        <x:v>0.6666666666666666</x:v>
      </x:c>
      <x:c r="I63" s="38" t="n">
        <x:f>G63*H63</x:f>
        <x:v>41476.05066666666</x:v>
      </x:c>
      <x:c r="J63" s="40" t="n">
        <x:f>D63*Assumptions!$C$5*Assumptions!$C$6</x:f>
        <x:v>35310.781033333325</x:v>
      </x:c>
      <x:c r="K63" s="40" t="n">
        <x:f>D63*Assumptions!$D$5*Assumptions!$D$6</x:f>
        <x:v>48136.655300000006</x:v>
      </x:c>
      <x:c r="L63" s="34" t="n">
        <x:v>270420</x:v>
      </x:c>
      <x:c r="M63" s="34" t="n">
        <x:v>72</x:v>
      </x:c>
      <x:c r="N63" s="38" t="n">
        <x:f>IF(L63=0,0,L63/Assumptions!$B$7)</x:f>
        <x:v>63628.23529411765</x:v>
      </x:c>
      <x:c r="O63" s="42" t="n">
        <x:f>IF(N63=0,0,I63/N63)</x:f>
        <x:v>0.6518497719596675</x:v>
      </x:c>
      <x:c r="P63" s="44" t="str">
        <x:v>Coverage below 1.0 indicates reliance on imported, transfer, adult, international, or higher-participation demand.</x:v>
      </x:c>
    </x:row>
    <x:row r="64">
      <x:c r="A64" s="16" t="str">
        <x:v>IN</x:v>
      </x:c>
      <x:c r="B64" s="16" t="str">
        <x:v>Indiana</x:v>
      </x:c>
      <x:c r="C64" s="16" t="n">
        <x:v>2026</x:v>
      </x:c>
      <x:c r="D64" s="34" t="n">
        <x:v>77246</x:v>
      </x:c>
      <x:c r="E64" s="21" t="n">
        <x:v>0</x:v>
      </x:c>
      <x:c r="F64" s="36" t="n">
        <x:f>Assumptions!$B$5</x:f>
        <x:v>0.628</x:v>
      </x:c>
      <x:c r="G64" s="38" t="n">
        <x:f>D64*F64</x:f>
        <x:v>48510.488</x:v>
      </x:c>
      <x:c r="H64" s="36" t="n">
        <x:f>Assumptions!$B$6</x:f>
        <x:v>0.6666666666666666</x:v>
      </x:c>
      <x:c r="I64" s="38" t="n">
        <x:f>G64*H64</x:f>
        <x:v>32340.32533333333</x:v>
      </x:c>
      <x:c r="J64" s="40" t="n">
        <x:f>D64*Assumptions!$C$5*Assumptions!$C$6</x:f>
        <x:v>27533.04926666666</x:v>
      </x:c>
      <x:c r="K64" s="40" t="n">
        <x:f>D64*Assumptions!$D$5*Assumptions!$D$6</x:f>
        <x:v>37533.8314</x:v>
      </x:c>
      <x:c r="L64" s="34" t="n">
        <x:v>225950</x:v>
      </x:c>
      <x:c r="M64" s="34" t="n">
        <x:v>46</x:v>
      </x:c>
      <x:c r="N64" s="38" t="n">
        <x:f>IF(L64=0,0,L64/Assumptions!$B$7)</x:f>
        <x:v>53164.705882352944</x:v>
      </x:c>
      <x:c r="O64" s="42" t="n">
        <x:f>IF(N64=0,0,I64/N64)</x:f>
        <x:v>0.6083044154311424</x:v>
      </x:c>
      <x:c r="P64" s="44" t="str">
        <x:v>Coverage below 1.0 indicates reliance on imported, transfer, adult, international, or higher-participation demand.</x:v>
      </x:c>
    </x:row>
    <x:row r="65">
      <x:c r="A65" s="16" t="str">
        <x:v>IN</x:v>
      </x:c>
      <x:c r="B65" s="16" t="str">
        <x:v>Indiana</x:v>
      </x:c>
      <x:c r="C65" s="16" t="n">
        <x:v>2030</x:v>
      </x:c>
      <x:c r="D65" s="34" t="n">
        <x:v>72817</x:v>
      </x:c>
      <x:c r="E65" s="21" t="n">
        <x:v>-0.05733630220335029</x:v>
      </x:c>
      <x:c r="F65" s="36" t="n">
        <x:f>Assumptions!$B$5</x:f>
        <x:v>0.628</x:v>
      </x:c>
      <x:c r="G65" s="38" t="n">
        <x:f>D65*F65</x:f>
        <x:v>45729.076</x:v>
      </x:c>
      <x:c r="H65" s="36" t="n">
        <x:f>Assumptions!$B$6</x:f>
        <x:v>0.6666666666666666</x:v>
      </x:c>
      <x:c r="I65" s="38" t="n">
        <x:f>G65*H65</x:f>
        <x:v>30486.050666666666</x:v>
      </x:c>
      <x:c r="J65" s="40" t="n">
        <x:f>D65*Assumptions!$C$5*Assumptions!$C$6</x:f>
        <x:v>25954.406033333325</x:v>
      </x:c>
      <x:c r="K65" s="40" t="n">
        <x:f>D65*Assumptions!$D$5*Assumptions!$D$6</x:f>
        <x:v>35381.780300000006</x:v>
      </x:c>
      <x:c r="L65" s="34" t="n">
        <x:v>225950</x:v>
      </x:c>
      <x:c r="M65" s="34" t="n">
        <x:v>46</x:v>
      </x:c>
      <x:c r="N65" s="38" t="n">
        <x:f>IF(L65=0,0,L65/Assumptions!$B$7)</x:f>
        <x:v>53164.705882352944</x:v>
      </x:c>
      <x:c r="O65" s="42" t="n">
        <x:f>IF(N65=0,0,I65/N65)</x:f>
        <x:v>0.5734264896363502</x:v>
      </x:c>
      <x:c r="P65" s="44" t="str">
        <x:v>Coverage below 1.0 indicates reliance on imported, transfer, adult, international, or higher-participation demand.</x:v>
      </x:c>
    </x:row>
    <x:row r="66">
      <x:c r="A66" s="16" t="str">
        <x:v>IN</x:v>
      </x:c>
      <x:c r="B66" s="16" t="str">
        <x:v>Indiana</x:v>
      </x:c>
      <x:c r="C66" s="16" t="n">
        <x:v>2035</x:v>
      </x:c>
      <x:c r="D66" s="34" t="n">
        <x:v>72575</x:v>
      </x:c>
      <x:c r="E66" s="21" t="n">
        <x:v>-0.06046915050617507</x:v>
      </x:c>
      <x:c r="F66" s="36" t="n">
        <x:f>Assumptions!$B$5</x:f>
        <x:v>0.628</x:v>
      </x:c>
      <x:c r="G66" s="38" t="n">
        <x:f>D66*F66</x:f>
        <x:v>45577.1</x:v>
      </x:c>
      <x:c r="H66" s="36" t="n">
        <x:f>Assumptions!$B$6</x:f>
        <x:v>0.6666666666666666</x:v>
      </x:c>
      <x:c r="I66" s="38" t="n">
        <x:f>G66*H66</x:f>
        <x:v>30384.73333333333</x:v>
      </x:c>
      <x:c r="J66" s="40" t="n">
        <x:f>D66*Assumptions!$C$5*Assumptions!$C$6</x:f>
        <x:v>25868.149166666662</x:v>
      </x:c>
      <x:c r="K66" s="40" t="n">
        <x:f>D66*Assumptions!$D$5*Assumptions!$D$6</x:f>
        <x:v>35264.192500000005</x:v>
      </x:c>
      <x:c r="L66" s="34" t="n">
        <x:v>225950</x:v>
      </x:c>
      <x:c r="M66" s="34" t="n">
        <x:v>46</x:v>
      </x:c>
      <x:c r="N66" s="38" t="n">
        <x:f>IF(L66=0,0,L66/Assumptions!$B$7)</x:f>
        <x:v>53164.705882352944</x:v>
      </x:c>
      <x:c r="O66" s="42" t="n">
        <x:f>IF(N66=0,0,I66/N66)</x:f>
        <x:v>0.5715207641808658</x:v>
      </x:c>
      <x:c r="P66" s="44" t="str">
        <x:v>Coverage below 1.0 indicates reliance on imported, transfer, adult, international, or higher-participation demand.</x:v>
      </x:c>
    </x:row>
    <x:row r="67">
      <x:c r="A67" s="16" t="str">
        <x:v>IN</x:v>
      </x:c>
      <x:c r="B67" s="16" t="str">
        <x:v>Indiana</x:v>
      </x:c>
      <x:c r="C67" s="16" t="n">
        <x:v>2041</x:v>
      </x:c>
      <x:c r="D67" s="34" t="n">
        <x:v>69494</x:v>
      </x:c>
      <x:c r="E67" s="21" t="n">
        <x:v>-0.10035471092354298</x:v>
      </x:c>
      <x:c r="F67" s="36" t="n">
        <x:f>Assumptions!$B$5</x:f>
        <x:v>0.628</x:v>
      </x:c>
      <x:c r="G67" s="38" t="n">
        <x:f>D67*F67</x:f>
        <x:v>43642.232</x:v>
      </x:c>
      <x:c r="H67" s="36" t="n">
        <x:f>Assumptions!$B$6</x:f>
        <x:v>0.6666666666666666</x:v>
      </x:c>
      <x:c r="I67" s="38" t="n">
        <x:f>G67*H67</x:f>
        <x:v>29094.821333333333</x:v>
      </x:c>
      <x:c r="J67" s="40" t="n">
        <x:f>D67*Assumptions!$C$5*Assumptions!$C$6</x:f>
        <x:v>24769.978066666663</x:v>
      </x:c>
      <x:c r="K67" s="40" t="n">
        <x:f>D67*Assumptions!$D$5*Assumptions!$D$6</x:f>
        <x:v>33767.1346</x:v>
      </x:c>
      <x:c r="L67" s="34" t="n">
        <x:v>225950</x:v>
      </x:c>
      <x:c r="M67" s="34" t="n">
        <x:v>46</x:v>
      </x:c>
      <x:c r="N67" s="38" t="n">
        <x:f>IF(L67=0,0,L67/Assumptions!$B$7)</x:f>
        <x:v>53164.705882352944</x:v>
      </x:c>
      <x:c r="O67" s="42" t="n">
        <x:f>IF(N67=0,0,I67/N67)</x:f>
        <x:v>0.5472582016670354</x:v>
      </x:c>
      <x:c r="P67" s="44" t="str">
        <x:v>Coverage below 1.0 indicates reliance on imported, transfer, adult, international, or higher-participation demand.</x:v>
      </x:c>
    </x:row>
    <x:row r="68">
      <x:c r="A68" s="16" t="str">
        <x:v>KS</x:v>
      </x:c>
      <x:c r="B68" s="16" t="str">
        <x:v>Kansas</x:v>
      </x:c>
      <x:c r="C68" s="16" t="n">
        <x:v>2026</x:v>
      </x:c>
      <x:c r="D68" s="34" t="n">
        <x:v>37673</x:v>
      </x:c>
      <x:c r="E68" s="21" t="n">
        <x:v>0</x:v>
      </x:c>
      <x:c r="F68" s="36" t="n">
        <x:f>Assumptions!$B$5</x:f>
        <x:v>0.628</x:v>
      </x:c>
      <x:c r="G68" s="38" t="n">
        <x:f>D68*F68</x:f>
        <x:v>23658.644</x:v>
      </x:c>
      <x:c r="H68" s="36" t="n">
        <x:f>Assumptions!$B$6</x:f>
        <x:v>0.6666666666666666</x:v>
      </x:c>
      <x:c r="I68" s="38" t="n">
        <x:f>G68*H68</x:f>
        <x:v>15772.429333333333</x:v>
      </x:c>
      <x:c r="J68" s="40" t="n">
        <x:f>D68*Assumptions!$C$5*Assumptions!$C$6</x:f>
        <x:v>13427.912966666665</x:v>
      </x:c>
      <x:c r="K68" s="40" t="n">
        <x:f>D68*Assumptions!$D$5*Assumptions!$D$6</x:f>
        <x:v>18305.3107</x:v>
      </x:c>
      <x:c r="L68" s="34" t="n">
        <x:v>90877</x:v>
      </x:c>
      <x:c r="M68" s="34" t="n">
        <x:v>27</x:v>
      </x:c>
      <x:c r="N68" s="38" t="n">
        <x:f>IF(L68=0,0,L68/Assumptions!$B$7)</x:f>
        <x:v>21382.823529411766</x:v>
      </x:c>
      <x:c r="O68" s="42" t="n">
        <x:f>IF(N68=0,0,I68/N68)</x:f>
        <x:v>0.7376214517057854</x:v>
      </x:c>
      <x:c r="P68" s="44" t="str">
        <x:v>Coverage below 1.0 indicates reliance on imported, transfer, adult, international, or higher-participation demand.</x:v>
      </x:c>
    </x:row>
    <x:row r="69">
      <x:c r="A69" s="16" t="str">
        <x:v>KS</x:v>
      </x:c>
      <x:c r="B69" s="16" t="str">
        <x:v>Kansas</x:v>
      </x:c>
      <x:c r="C69" s="16" t="n">
        <x:v>2030</x:v>
      </x:c>
      <x:c r="D69" s="34" t="n">
        <x:v>36660</x:v>
      </x:c>
      <x:c r="E69" s="21" t="n">
        <x:v>-0.026889284102672995</x:v>
      </x:c>
      <x:c r="F69" s="36" t="n">
        <x:f>Assumptions!$B$5</x:f>
        <x:v>0.628</x:v>
      </x:c>
      <x:c r="G69" s="38" t="n">
        <x:f>D69*F69</x:f>
        <x:v>23022.48</x:v>
      </x:c>
      <x:c r="H69" s="36" t="n">
        <x:f>Assumptions!$B$6</x:f>
        <x:v>0.6666666666666666</x:v>
      </x:c>
      <x:c r="I69" s="38" t="n">
        <x:f>G69*H69</x:f>
        <x:v>15348.32</x:v>
      </x:c>
      <x:c r="J69" s="40" t="n">
        <x:f>D69*Assumptions!$C$5*Assumptions!$C$6</x:f>
        <x:v>13066.845999999998</x:v>
      </x:c>
      <x:c r="K69" s="40" t="n">
        <x:f>D69*Assumptions!$D$5*Assumptions!$D$6</x:f>
        <x:v>17813.094</x:v>
      </x:c>
      <x:c r="L69" s="34" t="n">
        <x:v>90877</x:v>
      </x:c>
      <x:c r="M69" s="34" t="n">
        <x:v>27</x:v>
      </x:c>
      <x:c r="N69" s="38" t="n">
        <x:f>IF(L69=0,0,L69/Assumptions!$B$7)</x:f>
        <x:v>21382.823529411766</x:v>
      </x:c>
      <x:c r="O69" s="42" t="n">
        <x:f>IF(N69=0,0,I69/N69)</x:f>
        <x:v>0.7177873389306425</x:v>
      </x:c>
      <x:c r="P69" s="44" t="str">
        <x:v>Coverage below 1.0 indicates reliance on imported, transfer, adult, international, or higher-participation demand.</x:v>
      </x:c>
    </x:row>
    <x:row r="70">
      <x:c r="A70" s="16" t="str">
        <x:v>KS</x:v>
      </x:c>
      <x:c r="B70" s="16" t="str">
        <x:v>Kansas</x:v>
      </x:c>
      <x:c r="C70" s="16" t="n">
        <x:v>2035</x:v>
      </x:c>
      <x:c r="D70" s="34" t="n">
        <x:v>34967</x:v>
      </x:c>
      <x:c r="E70" s="21" t="n">
        <x:v>-0.07182863058423805</x:v>
      </x:c>
      <x:c r="F70" s="36" t="n">
        <x:f>Assumptions!$B$5</x:f>
        <x:v>0.628</x:v>
      </x:c>
      <x:c r="G70" s="38" t="n">
        <x:f>D70*F70</x:f>
        <x:v>21959.276</x:v>
      </x:c>
      <x:c r="H70" s="36" t="n">
        <x:f>Assumptions!$B$6</x:f>
        <x:v>0.6666666666666666</x:v>
      </x:c>
      <x:c r="I70" s="38" t="n">
        <x:f>G70*H70</x:f>
        <x:v>14639.517333333333</x:v>
      </x:c>
      <x:c r="J70" s="40" t="n">
        <x:f>D70*Assumptions!$C$5*Assumptions!$C$6</x:f>
        <x:v>12463.404366666664</x:v>
      </x:c>
      <x:c r="K70" s="40" t="n">
        <x:f>D70*Assumptions!$D$5*Assumptions!$D$6</x:f>
        <x:v>16990.4653</x:v>
      </x:c>
      <x:c r="L70" s="34" t="n">
        <x:v>90877</x:v>
      </x:c>
      <x:c r="M70" s="34" t="n">
        <x:v>27</x:v>
      </x:c>
      <x:c r="N70" s="38" t="n">
        <x:f>IF(L70=0,0,L70/Assumptions!$B$7)</x:f>
        <x:v>21382.823529411766</x:v>
      </x:c>
      <x:c r="O70" s="42" t="n">
        <x:f>IF(N70=0,0,I70/N70)</x:f>
        <x:v>0.6846391129402012</x:v>
      </x:c>
      <x:c r="P70" s="44" t="str">
        <x:v>Coverage below 1.0 indicates reliance on imported, transfer, adult, international, or higher-participation demand.</x:v>
      </x:c>
    </x:row>
    <x:row r="71">
      <x:c r="A71" s="16" t="str">
        <x:v>KS</x:v>
      </x:c>
      <x:c r="B71" s="16" t="str">
        <x:v>Kansas</x:v>
      </x:c>
      <x:c r="C71" s="16" t="n">
        <x:v>2041</x:v>
      </x:c>
      <x:c r="D71" s="34" t="n">
        <x:v>32554</x:v>
      </x:c>
      <x:c r="E71" s="21" t="n">
        <x:v>-0.13587980781992404</x:v>
      </x:c>
      <x:c r="F71" s="36" t="n">
        <x:f>Assumptions!$B$5</x:f>
        <x:v>0.628</x:v>
      </x:c>
      <x:c r="G71" s="38" t="n">
        <x:f>D71*F71</x:f>
        <x:v>20443.912</x:v>
      </x:c>
      <x:c r="H71" s="36" t="n">
        <x:f>Assumptions!$B$6</x:f>
        <x:v>0.6666666666666666</x:v>
      </x:c>
      <x:c r="I71" s="38" t="n">
        <x:f>G71*H71</x:f>
        <x:v>13629.274666666666</x:v>
      </x:c>
      <x:c r="J71" s="40" t="n">
        <x:f>D71*Assumptions!$C$5*Assumptions!$C$6</x:f>
        <x:v>11603.330733333332</x:v>
      </x:c>
      <x:c r="K71" s="40" t="n">
        <x:f>D71*Assumptions!$D$5*Assumptions!$D$6</x:f>
        <x:v>15817.9886</x:v>
      </x:c>
      <x:c r="L71" s="34" t="n">
        <x:v>90877</x:v>
      </x:c>
      <x:c r="M71" s="34" t="n">
        <x:v>27</x:v>
      </x:c>
      <x:c r="N71" s="38" t="n">
        <x:f>IF(L71=0,0,L71/Assumptions!$B$7)</x:f>
        <x:v>21382.823529411766</x:v>
      </x:c>
      <x:c r="O71" s="42" t="n">
        <x:f>IF(N71=0,0,I71/N71)</x:f>
        <x:v>0.6373935906041499</x:v>
      </x:c>
      <x:c r="P71" s="44" t="str">
        <x:v>Coverage below 1.0 indicates reliance on imported, transfer, adult, international, or higher-participation demand.</x:v>
      </x:c>
    </x:row>
    <x:row r="72">
      <x:c r="A72" s="16" t="str">
        <x:v>KY</x:v>
      </x:c>
      <x:c r="B72" s="16" t="str">
        <x:v>Kentucky</x:v>
      </x:c>
      <x:c r="C72" s="16" t="n">
        <x:v>2026</x:v>
      </x:c>
      <x:c r="D72" s="34" t="n">
        <x:v>50499</x:v>
      </x:c>
      <x:c r="E72" s="21" t="n">
        <x:v>0</x:v>
      </x:c>
      <x:c r="F72" s="36" t="n">
        <x:f>Assumptions!$B$5</x:f>
        <x:v>0.628</x:v>
      </x:c>
      <x:c r="G72" s="38" t="n">
        <x:f>D72*F72</x:f>
        <x:v>31713.372</x:v>
      </x:c>
      <x:c r="H72" s="36" t="n">
        <x:f>Assumptions!$B$6</x:f>
        <x:v>0.6666666666666666</x:v>
      </x:c>
      <x:c r="I72" s="38" t="n">
        <x:f>G72*H72</x:f>
        <x:v>21142.248</x:v>
      </x:c>
      <x:c r="J72" s="40" t="n">
        <x:f>D72*Assumptions!$C$5*Assumptions!$C$6</x:f>
        <x:v>17999.526899999997</x:v>
      </x:c>
      <x:c r="K72" s="40" t="n">
        <x:f>D72*Assumptions!$D$5*Assumptions!$D$6</x:f>
        <x:v>24537.4641</x:v>
      </x:c>
      <x:c r="L72" s="34" t="n">
        <x:v>117317</x:v>
      </x:c>
      <x:c r="M72" s="34" t="n">
        <x:v>29</x:v>
      </x:c>
      <x:c r="N72" s="38" t="n">
        <x:f>IF(L72=0,0,L72/Assumptions!$B$7)</x:f>
        <x:v>27604</x:v>
      </x:c>
      <x:c r="O72" s="42" t="n">
        <x:f>IF(N72=0,0,I72/N72)</x:f>
        <x:v>0.765912476452688</x:v>
      </x:c>
      <x:c r="P72" s="44" t="str">
        <x:v>Coverage below 1.0 indicates reliance on imported, transfer, adult, international, or higher-participation demand.</x:v>
      </x:c>
    </x:row>
    <x:row r="73">
      <x:c r="A73" s="16" t="str">
        <x:v>KY</x:v>
      </x:c>
      <x:c r="B73" s="16" t="str">
        <x:v>Kentucky</x:v>
      </x:c>
      <x:c r="C73" s="16" t="n">
        <x:v>2030</x:v>
      </x:c>
      <x:c r="D73" s="34" t="n">
        <x:v>44440</x:v>
      </x:c>
      <x:c r="E73" s="21" t="n">
        <x:v>-0.11998257391235467</x:v>
      </x:c>
      <x:c r="F73" s="36" t="n">
        <x:f>Assumptions!$B$5</x:f>
        <x:v>0.628</x:v>
      </x:c>
      <x:c r="G73" s="38" t="n">
        <x:f>D73*F73</x:f>
        <x:v>27908.32</x:v>
      </x:c>
      <x:c r="H73" s="36" t="n">
        <x:f>Assumptions!$B$6</x:f>
        <x:v>0.6666666666666666</x:v>
      </x:c>
      <x:c r="I73" s="38" t="n">
        <x:f>G73*H73</x:f>
        <x:v>18605.546666666665</x:v>
      </x:c>
      <x:c r="J73" s="40" t="n">
        <x:f>D73*Assumptions!$C$5*Assumptions!$C$6</x:f>
        <x:v>15839.89733333333</x:v>
      </x:c>
      <x:c r="K73" s="40" t="n">
        <x:f>D73*Assumptions!$D$5*Assumptions!$D$6</x:f>
        <x:v>21593.396000000004</x:v>
      </x:c>
      <x:c r="L73" s="34" t="n">
        <x:v>117317</x:v>
      </x:c>
      <x:c r="M73" s="34" t="n">
        <x:v>29</x:v>
      </x:c>
      <x:c r="N73" s="38" t="n">
        <x:f>IF(L73=0,0,L73/Assumptions!$B$7)</x:f>
        <x:v>27604</x:v>
      </x:c>
      <x:c r="O73" s="42" t="n">
        <x:f>IF(N73=0,0,I73/N73)</x:f>
        <x:v>0.6740163261363087</x:v>
      </x:c>
      <x:c r="P73" s="44" t="str">
        <x:v>Coverage below 1.0 indicates reliance on imported, transfer, adult, international, or higher-participation demand.</x:v>
      </x:c>
    </x:row>
    <x:row r="74">
      <x:c r="A74" s="16" t="str">
        <x:v>KY</x:v>
      </x:c>
      <x:c r="B74" s="16" t="str">
        <x:v>Kentucky</x:v>
      </x:c>
      <x:c r="C74" s="16" t="n">
        <x:v>2035</x:v>
      </x:c>
      <x:c r="D74" s="34" t="n">
        <x:v>48080</x:v>
      </x:c>
      <x:c r="E74" s="21" t="n">
        <x:v>-0.047901938652250564</x:v>
      </x:c>
      <x:c r="F74" s="36" t="n">
        <x:f>Assumptions!$B$5</x:f>
        <x:v>0.628</x:v>
      </x:c>
      <x:c r="G74" s="38" t="n">
        <x:f>D74*F74</x:f>
        <x:v>30194.24</x:v>
      </x:c>
      <x:c r="H74" s="36" t="n">
        <x:f>Assumptions!$B$6</x:f>
        <x:v>0.6666666666666666</x:v>
      </x:c>
      <x:c r="I74" s="38" t="n">
        <x:f>G74*H74</x:f>
        <x:v>20129.493333333332</x:v>
      </x:c>
      <x:c r="J74" s="40" t="n">
        <x:f>D74*Assumptions!$C$5*Assumptions!$C$6</x:f>
        <x:v>17137.31466666666</x:v>
      </x:c>
      <x:c r="K74" s="40" t="n">
        <x:f>D74*Assumptions!$D$5*Assumptions!$D$6</x:f>
        <x:v>23362.072</x:v>
      </x:c>
      <x:c r="L74" s="34" t="n">
        <x:v>117317</x:v>
      </x:c>
      <x:c r="M74" s="34" t="n">
        <x:v>29</x:v>
      </x:c>
      <x:c r="N74" s="38" t="n">
        <x:f>IF(L74=0,0,L74/Assumptions!$B$7)</x:f>
        <x:v>27604</x:v>
      </x:c>
      <x:c r="O74" s="42" t="n">
        <x:f>IF(N74=0,0,I74/N74)</x:f>
        <x:v>0.729223783992658</x:v>
      </x:c>
      <x:c r="P74" s="44" t="str">
        <x:v>Coverage below 1.0 indicates reliance on imported, transfer, adult, international, or higher-participation demand.</x:v>
      </x:c>
    </x:row>
    <x:row r="75">
      <x:c r="A75" s="16" t="str">
        <x:v>KY</x:v>
      </x:c>
      <x:c r="B75" s="16" t="str">
        <x:v>Kentucky</x:v>
      </x:c>
      <x:c r="C75" s="16" t="n">
        <x:v>2041</x:v>
      </x:c>
      <x:c r="D75" s="34" t="n">
        <x:v>45762</x:v>
      </x:c>
      <x:c r="E75" s="21" t="n">
        <x:v>-0.09380383769975642</x:v>
      </x:c>
      <x:c r="F75" s="36" t="n">
        <x:f>Assumptions!$B$5</x:f>
        <x:v>0.628</x:v>
      </x:c>
      <x:c r="G75" s="38" t="n">
        <x:f>D75*F75</x:f>
        <x:v>28738.536</x:v>
      </x:c>
      <x:c r="H75" s="36" t="n">
        <x:f>Assumptions!$B$6</x:f>
        <x:v>0.6666666666666666</x:v>
      </x:c>
      <x:c r="I75" s="38" t="n">
        <x:f>G75*H75</x:f>
        <x:v>19159.023999999998</x:v>
      </x:c>
      <x:c r="J75" s="40" t="n">
        <x:f>D75*Assumptions!$C$5*Assumptions!$C$6</x:f>
        <x:v>16311.102199999996</x:v>
      </x:c>
      <x:c r="K75" s="40" t="n">
        <x:f>D75*Assumptions!$D$5*Assumptions!$D$6</x:f>
        <x:v>22235.755800000003</x:v>
      </x:c>
      <x:c r="L75" s="34" t="n">
        <x:v>117317</x:v>
      </x:c>
      <x:c r="M75" s="34" t="n">
        <x:v>29</x:v>
      </x:c>
      <x:c r="N75" s="38" t="n">
        <x:f>IF(L75=0,0,L75/Assumptions!$B$7)</x:f>
        <x:v>27604</x:v>
      </x:c>
      <x:c r="O75" s="42" t="n">
        <x:f>IF(N75=0,0,I75/N75)</x:f>
        <x:v>0.6940669468193015</x:v>
      </x:c>
      <x:c r="P75" s="44" t="str">
        <x:v>Coverage below 1.0 indicates reliance on imported, transfer, adult, international, or higher-participation demand.</x:v>
      </x:c>
    </x:row>
    <x:row r="76">
      <x:c r="A76" s="16" t="str">
        <x:v>LA</x:v>
      </x:c>
      <x:c r="B76" s="16" t="str">
        <x:v>Louisiana</x:v>
      </x:c>
      <x:c r="C76" s="16" t="n">
        <x:v>2026</x:v>
      </x:c>
      <x:c r="D76" s="34" t="n">
        <x:v>53296</x:v>
      </x:c>
      <x:c r="E76" s="21" t="n">
        <x:v>0</x:v>
      </x:c>
      <x:c r="F76" s="36" t="n">
        <x:f>Assumptions!$B$5</x:f>
        <x:v>0.628</x:v>
      </x:c>
      <x:c r="G76" s="38" t="n">
        <x:f>D76*F76</x:f>
        <x:v>33469.888</x:v>
      </x:c>
      <x:c r="H76" s="36" t="n">
        <x:f>Assumptions!$B$6</x:f>
        <x:v>0.6666666666666666</x:v>
      </x:c>
      <x:c r="I76" s="38" t="n">
        <x:f>G76*H76</x:f>
        <x:v>22313.258666666665</x:v>
      </x:c>
      <x:c r="J76" s="40" t="n">
        <x:f>D76*Assumptions!$C$5*Assumptions!$C$6</x:f>
        <x:v>18996.470933333327</x:v>
      </x:c>
      <x:c r="K76" s="40" t="n">
        <x:f>D76*Assumptions!$D$5*Assumptions!$D$6</x:f>
        <x:v>25896.526400000002</x:v>
      </x:c>
      <x:c r="L76" s="34" t="n">
        <x:v>123806</x:v>
      </x:c>
      <x:c r="M76" s="34" t="n">
        <x:v>25</x:v>
      </x:c>
      <x:c r="N76" s="38" t="n">
        <x:f>IF(L76=0,0,L76/Assumptions!$B$7)</x:f>
        <x:v>29130.823529411766</x:v>
      </x:c>
      <x:c r="O76" s="42" t="n">
        <x:f>IF(N76=0,0,I76/N76)</x:f>
        <x:v>0.7659673144543344</x:v>
      </x:c>
      <x:c r="P76" s="44" t="str">
        <x:v>Coverage below 1.0 indicates reliance on imported, transfer, adult, international, or higher-participation demand.</x:v>
      </x:c>
    </x:row>
    <x:row r="77">
      <x:c r="A77" s="16" t="str">
        <x:v>LA</x:v>
      </x:c>
      <x:c r="B77" s="16" t="str">
        <x:v>Louisiana</x:v>
      </x:c>
      <x:c r="C77" s="16" t="n">
        <x:v>2030</x:v>
      </x:c>
      <x:c r="D77" s="34" t="n">
        <x:v>50745</x:v>
      </x:c>
      <x:c r="E77" s="21" t="n">
        <x:v>-0.047864755328730135</x:v>
      </x:c>
      <x:c r="F77" s="36" t="n">
        <x:f>Assumptions!$B$5</x:f>
        <x:v>0.628</x:v>
      </x:c>
      <x:c r="G77" s="38" t="n">
        <x:f>D77*F77</x:f>
        <x:v>31867.86</x:v>
      </x:c>
      <x:c r="H77" s="36" t="n">
        <x:f>Assumptions!$B$6</x:f>
        <x:v>0.6666666666666666</x:v>
      </x:c>
      <x:c r="I77" s="38" t="n">
        <x:f>G77*H77</x:f>
        <x:v>21245.239999999998</x:v>
      </x:c>
      <x:c r="J77" s="40" t="n">
        <x:f>D77*Assumptions!$C$5*Assumptions!$C$6</x:f>
        <x:v>18087.209499999997</x:v>
      </x:c>
      <x:c r="K77" s="40" t="n">
        <x:f>D77*Assumptions!$D$5*Assumptions!$D$6</x:f>
        <x:v>24656.9955</x:v>
      </x:c>
      <x:c r="L77" s="34" t="n">
        <x:v>123806</x:v>
      </x:c>
      <x:c r="M77" s="34" t="n">
        <x:v>25</x:v>
      </x:c>
      <x:c r="N77" s="38" t="n">
        <x:f>IF(L77=0,0,L77/Assumptions!$B$7)</x:f>
        <x:v>29130.823529411766</x:v>
      </x:c>
      <x:c r="O77" s="42" t="n">
        <x:f>IF(N77=0,0,I77/N77)</x:f>
        <x:v>0.7293044763581732</x:v>
      </x:c>
      <x:c r="P77" s="44" t="str">
        <x:v>Coverage below 1.0 indicates reliance on imported, transfer, adult, international, or higher-participation demand.</x:v>
      </x:c>
    </x:row>
    <x:row r="78">
      <x:c r="A78" s="16" t="str">
        <x:v>LA</x:v>
      </x:c>
      <x:c r="B78" s="16" t="str">
        <x:v>Louisiana</x:v>
      </x:c>
      <x:c r="C78" s="16" t="n">
        <x:v>2035</x:v>
      </x:c>
      <x:c r="D78" s="34" t="n">
        <x:v>52289</x:v>
      </x:c>
      <x:c r="E78" s="21" t="n">
        <x:v>-0.018894476133293314</x:v>
      </x:c>
      <x:c r="F78" s="36" t="n">
        <x:f>Assumptions!$B$5</x:f>
        <x:v>0.628</x:v>
      </x:c>
      <x:c r="G78" s="38" t="n">
        <x:f>D78*F78</x:f>
        <x:v>32837.492</x:v>
      </x:c>
      <x:c r="H78" s="36" t="n">
        <x:f>Assumptions!$B$6</x:f>
        <x:v>0.6666666666666666</x:v>
      </x:c>
      <x:c r="I78" s="38" t="n">
        <x:f>G78*H78</x:f>
        <x:v>21891.66133333333</x:v>
      </x:c>
      <x:c r="J78" s="40" t="n">
        <x:f>D78*Assumptions!$C$5*Assumptions!$C$6</x:f>
        <x:v>18637.542566666663</x:v>
      </x:c>
      <x:c r="K78" s="40" t="n">
        <x:f>D78*Assumptions!$D$5*Assumptions!$D$6</x:f>
        <x:v>25407.225100000003</x:v>
      </x:c>
      <x:c r="L78" s="34" t="n">
        <x:v>123806</x:v>
      </x:c>
      <x:c r="M78" s="34" t="n">
        <x:v>25</x:v>
      </x:c>
      <x:c r="N78" s="38" t="n">
        <x:f>IF(L78=0,0,L78/Assumptions!$B$7)</x:f>
        <x:v>29130.823529411766</x:v>
      </x:c>
      <x:c r="O78" s="42" t="n">
        <x:f>IF(N78=0,0,I78/N78)</x:f>
        <x:v>0.7514947633124941</x:v>
      </x:c>
      <x:c r="P78" s="44" t="str">
        <x:v>Coverage below 1.0 indicates reliance on imported, transfer, adult, international, or higher-participation demand.</x:v>
      </x:c>
    </x:row>
    <x:row r="79">
      <x:c r="A79" s="16" t="str">
        <x:v>LA</x:v>
      </x:c>
      <x:c r="B79" s="16" t="str">
        <x:v>Louisiana</x:v>
      </x:c>
      <x:c r="C79" s="16" t="n">
        <x:v>2041</x:v>
      </x:c>
      <x:c r="D79" s="34" t="n">
        <x:v>47061</x:v>
      </x:c>
      <x:c r="E79" s="21" t="n">
        <x:v>-0.11698814169918947</x:v>
      </x:c>
      <x:c r="F79" s="36" t="n">
        <x:f>Assumptions!$B$5</x:f>
        <x:v>0.628</x:v>
      </x:c>
      <x:c r="G79" s="38" t="n">
        <x:f>D79*F79</x:f>
        <x:v>29554.308</x:v>
      </x:c>
      <x:c r="H79" s="36" t="n">
        <x:f>Assumptions!$B$6</x:f>
        <x:v>0.6666666666666666</x:v>
      </x:c>
      <x:c r="I79" s="38" t="n">
        <x:f>G79*H79</x:f>
        <x:v>19702.872</x:v>
      </x:c>
      <x:c r="J79" s="40" t="n">
        <x:f>D79*Assumptions!$C$5*Assumptions!$C$6</x:f>
        <x:v>16774.109099999998</x:v>
      </x:c>
      <x:c r="K79" s="40" t="n">
        <x:f>D79*Assumptions!$D$5*Assumptions!$D$6</x:f>
        <x:v>22866.9399</x:v>
      </x:c>
      <x:c r="L79" s="34" t="n">
        <x:v>123806</x:v>
      </x:c>
      <x:c r="M79" s="34" t="n">
        <x:v>25</x:v>
      </x:c>
      <x:c r="N79" s="38" t="n">
        <x:f>IF(L79=0,0,L79/Assumptions!$B$7)</x:f>
        <x:v>29130.823529411766</x:v>
      </x:c>
      <x:c r="O79" s="42" t="n">
        <x:f>IF(N79=0,0,I79/N79)</x:f>
        <x:v>0.6763582217340032</x:v>
      </x:c>
      <x:c r="P79" s="44" t="str">
        <x:v>Coverage below 1.0 indicates reliance on imported, transfer, adult, international, or higher-participation demand.</x:v>
      </x:c>
    </x:row>
    <x:row r="80">
      <x:c r="A80" s="16" t="str">
        <x:v>MA</x:v>
      </x:c>
      <x:c r="B80" s="16" t="str">
        <x:v>Massachusetts</x:v>
      </x:c>
      <x:c r="C80" s="16" t="n">
        <x:v>2026</x:v>
      </x:c>
      <x:c r="D80" s="34" t="n">
        <x:v>77056</x:v>
      </x:c>
      <x:c r="E80" s="21" t="n">
        <x:v>0</x:v>
      </x:c>
      <x:c r="F80" s="36" t="n">
        <x:f>Assumptions!$B$5</x:f>
        <x:v>0.628</x:v>
      </x:c>
      <x:c r="G80" s="38" t="n">
        <x:f>D80*F80</x:f>
        <x:v>48391.168</x:v>
      </x:c>
      <x:c r="H80" s="36" t="n">
        <x:f>Assumptions!$B$6</x:f>
        <x:v>0.6666666666666666</x:v>
      </x:c>
      <x:c r="I80" s="38" t="n">
        <x:f>G80*H80</x:f>
        <x:v>32260.778666666665</x:v>
      </x:c>
      <x:c r="J80" s="40" t="n">
        <x:f>D80*Assumptions!$C$5*Assumptions!$C$6</x:f>
        <x:v>27465.326933333326</x:v>
      </x:c>
      <x:c r="K80" s="40" t="n">
        <x:f>D80*Assumptions!$D$5*Assumptions!$D$6</x:f>
        <x:v>37441.5104</x:v>
      </x:c>
      <x:c r="L80" s="34" t="n">
        <x:v>257560</x:v>
      </x:c>
      <x:c r="M80" s="34" t="n">
        <x:v>78</x:v>
      </x:c>
      <x:c r="N80" s="38" t="n">
        <x:f>IF(L80=0,0,L80/Assumptions!$B$7)</x:f>
        <x:v>60602.35294117647</x:v>
      </x:c>
      <x:c r="O80" s="42" t="n">
        <x:f>IF(N80=0,0,I80/N80)</x:f>
        <x:v>0.5323354144018222</x:v>
      </x:c>
      <x:c r="P80" s="44" t="str">
        <x:v>Coverage below 1.0 indicates reliance on imported, transfer, adult, international, or higher-participation demand.</x:v>
      </x:c>
    </x:row>
    <x:row r="81">
      <x:c r="A81" s="16" t="str">
        <x:v>MA</x:v>
      </x:c>
      <x:c r="B81" s="16" t="str">
        <x:v>Massachusetts</x:v>
      </x:c>
      <x:c r="C81" s="16" t="n">
        <x:v>2030</x:v>
      </x:c>
      <x:c r="D81" s="34" t="n">
        <x:v>72708</x:v>
      </x:c>
      <x:c r="E81" s="21" t="n">
        <x:v>-0.056426495016611344</x:v>
      </x:c>
      <x:c r="F81" s="36" t="n">
        <x:f>Assumptions!$B$5</x:f>
        <x:v>0.628</x:v>
      </x:c>
      <x:c r="G81" s="38" t="n">
        <x:f>D81*F81</x:f>
        <x:v>45660.624</x:v>
      </x:c>
      <x:c r="H81" s="36" t="n">
        <x:f>Assumptions!$B$6</x:f>
        <x:v>0.6666666666666666</x:v>
      </x:c>
      <x:c r="I81" s="38" t="n">
        <x:f>G81*H81</x:f>
        <x:v>30440.416</x:v>
      </x:c>
      <x:c r="J81" s="40" t="n">
        <x:f>D81*Assumptions!$C$5*Assumptions!$C$6</x:f>
        <x:v>25915.554799999994</x:v>
      </x:c>
      <x:c r="K81" s="40" t="n">
        <x:f>D81*Assumptions!$D$5*Assumptions!$D$6</x:f>
        <x:v>35328.817200000005</x:v>
      </x:c>
      <x:c r="L81" s="34" t="n">
        <x:v>257560</x:v>
      </x:c>
      <x:c r="M81" s="34" t="n">
        <x:v>78</x:v>
      </x:c>
      <x:c r="N81" s="38" t="n">
        <x:f>IF(L81=0,0,L81/Assumptions!$B$7)</x:f>
        <x:v>60602.35294117647</x:v>
      </x:c>
      <x:c r="O81" s="42" t="n">
        <x:f>IF(N81=0,0,I81/N81)</x:f>
        <x:v>0.5022975927939122</x:v>
      </x:c>
      <x:c r="P81" s="44" t="str">
        <x:v>Coverage below 1.0 indicates reliance on imported, transfer, adult, international, or higher-participation demand.</x:v>
      </x:c>
    </x:row>
    <x:row r="82">
      <x:c r="A82" s="16" t="str">
        <x:v>MA</x:v>
      </x:c>
      <x:c r="B82" s="16" t="str">
        <x:v>Massachusetts</x:v>
      </x:c>
      <x:c r="C82" s="16" t="n">
        <x:v>2035</x:v>
      </x:c>
      <x:c r="D82" s="34" t="n">
        <x:v>73434</x:v>
      </x:c>
      <x:c r="E82" s="21" t="n">
        <x:v>-0.047004775747508276</x:v>
      </x:c>
      <x:c r="F82" s="36" t="n">
        <x:f>Assumptions!$B$5</x:f>
        <x:v>0.628</x:v>
      </x:c>
      <x:c r="G82" s="38" t="n">
        <x:f>D82*F82</x:f>
        <x:v>46116.552</x:v>
      </x:c>
      <x:c r="H82" s="36" t="n">
        <x:f>Assumptions!$B$6</x:f>
        <x:v>0.6666666666666666</x:v>
      </x:c>
      <x:c r="I82" s="38" t="n">
        <x:f>G82*H82</x:f>
        <x:v>30744.368000000002</x:v>
      </x:c>
      <x:c r="J82" s="40" t="n">
        <x:f>D82*Assumptions!$C$5*Assumptions!$C$6</x:f>
        <x:v>26174.325399999994</x:v>
      </x:c>
      <x:c r="K82" s="40" t="n">
        <x:f>D82*Assumptions!$D$5*Assumptions!$D$6</x:f>
        <x:v>35681.5806</x:v>
      </x:c>
      <x:c r="L82" s="34" t="n">
        <x:v>257560</x:v>
      </x:c>
      <x:c r="M82" s="34" t="n">
        <x:v>78</x:v>
      </x:c>
      <x:c r="N82" s="38" t="n">
        <x:f>IF(L82=0,0,L82/Assumptions!$B$7)</x:f>
        <x:v>60602.35294117647</x:v>
      </x:c>
      <x:c r="O82" s="42" t="n">
        <x:f>IF(N82=0,0,I82/N82)</x:f>
        <x:v>0.5073131076254077</x:v>
      </x:c>
      <x:c r="P82" s="44" t="str">
        <x:v>Coverage below 1.0 indicates reliance on imported, transfer, adult, international, or higher-participation demand.</x:v>
      </x:c>
    </x:row>
    <x:row r="83">
      <x:c r="A83" s="16" t="str">
        <x:v>MA</x:v>
      </x:c>
      <x:c r="B83" s="16" t="str">
        <x:v>Massachusetts</x:v>
      </x:c>
      <x:c r="C83" s="16" t="n">
        <x:v>2041</x:v>
      </x:c>
      <x:c r="D83" s="34" t="n">
        <x:v>69464</x:v>
      </x:c>
      <x:c r="E83" s="21" t="n">
        <x:v>-0.09852574750830567</x:v>
      </x:c>
      <x:c r="F83" s="36" t="n">
        <x:f>Assumptions!$B$5</x:f>
        <x:v>0.628</x:v>
      </x:c>
      <x:c r="G83" s="38" t="n">
        <x:f>D83*F83</x:f>
        <x:v>43623.392</x:v>
      </x:c>
      <x:c r="H83" s="36" t="n">
        <x:f>Assumptions!$B$6</x:f>
        <x:v>0.6666666666666666</x:v>
      </x:c>
      <x:c r="I83" s="38" t="n">
        <x:f>G83*H83</x:f>
        <x:v>29082.261333333332</x:v>
      </x:c>
      <x:c r="J83" s="40" t="n">
        <x:f>D83*Assumptions!$C$5*Assumptions!$C$6</x:f>
        <x:v>24759.28506666666</x:v>
      </x:c>
      <x:c r="K83" s="40" t="n">
        <x:f>D83*Assumptions!$D$5*Assumptions!$D$6</x:f>
        <x:v>33752.5576</x:v>
      </x:c>
      <x:c r="L83" s="34" t="n">
        <x:v>257560</x:v>
      </x:c>
      <x:c r="M83" s="34" t="n">
        <x:v>78</x:v>
      </x:c>
      <x:c r="N83" s="38" t="n">
        <x:f>IF(L83=0,0,L83/Assumptions!$B$7)</x:f>
        <x:v>60602.35294117647</x:v>
      </x:c>
      <x:c r="O83" s="42" t="n">
        <x:f>IF(N83=0,0,I83/N83)</x:f>
        <x:v>0.479886669772739</x:v>
      </x:c>
      <x:c r="P83" s="44" t="str">
        <x:v>Coverage below 1.0 indicates reliance on imported, transfer, adult, international, or higher-participation demand.</x:v>
      </x:c>
    </x:row>
    <x:row r="84">
      <x:c r="A84" s="16" t="str">
        <x:v>MD</x:v>
      </x:c>
      <x:c r="B84" s="16" t="str">
        <x:v>Maryland</x:v>
      </x:c>
      <x:c r="C84" s="16" t="n">
        <x:v>2026</x:v>
      </x:c>
      <x:c r="D84" s="34" t="n">
        <x:v>74094</x:v>
      </x:c>
      <x:c r="E84" s="21" t="n">
        <x:v>0</x:v>
      </x:c>
      <x:c r="F84" s="36" t="n">
        <x:f>Assumptions!$B$5</x:f>
        <x:v>0.628</x:v>
      </x:c>
      <x:c r="G84" s="38" t="n">
        <x:f>D84*F84</x:f>
        <x:v>46531.032</x:v>
      </x:c>
      <x:c r="H84" s="36" t="n">
        <x:f>Assumptions!$B$6</x:f>
        <x:v>0.6666666666666666</x:v>
      </x:c>
      <x:c r="I84" s="38" t="n">
        <x:f>G84*H84</x:f>
        <x:v>31020.688</x:v>
      </x:c>
      <x:c r="J84" s="40" t="n">
        <x:f>D84*Assumptions!$C$5*Assumptions!$C$6</x:f>
        <x:v>26409.571399999993</x:v>
      </x:c>
      <x:c r="K84" s="40" t="n">
        <x:f>D84*Assumptions!$D$5*Assumptions!$D$6</x:f>
        <x:v>36002.274600000004</x:v>
      </x:c>
      <x:c r="L84" s="34" t="n">
        <x:v>153979</x:v>
      </x:c>
      <x:c r="M84" s="34" t="n">
        <x:v>31</x:v>
      </x:c>
      <x:c r="N84" s="38" t="n">
        <x:f>IF(L84=0,0,L84/Assumptions!$B$7)</x:f>
        <x:v>36230.35294117647</x:v>
      </x:c>
      <x:c r="O84" s="42" t="n">
        <x:f>IF(N84=0,0,I84/N84)</x:f>
        <x:v>0.8562071711077485</x:v>
      </x:c>
      <x:c r="P84" s="44" t="str">
        <x:v>Coverage below 1.0 indicates reliance on imported, transfer, adult, international, or higher-participation demand.</x:v>
      </x:c>
    </x:row>
    <x:row r="85">
      <x:c r="A85" s="16" t="str">
        <x:v>MD</x:v>
      </x:c>
      <x:c r="B85" s="16" t="str">
        <x:v>Maryland</x:v>
      </x:c>
      <x:c r="C85" s="16" t="n">
        <x:v>2030</x:v>
      </x:c>
      <x:c r="D85" s="34" t="n">
        <x:v>68766</x:v>
      </x:c>
      <x:c r="E85" s="21" t="n">
        <x:v>-0.07190865657138235</x:v>
      </x:c>
      <x:c r="F85" s="36" t="n">
        <x:f>Assumptions!$B$5</x:f>
        <x:v>0.628</x:v>
      </x:c>
      <x:c r="G85" s="38" t="n">
        <x:f>D85*F85</x:f>
        <x:v>43185.048</x:v>
      </x:c>
      <x:c r="H85" s="36" t="n">
        <x:f>Assumptions!$B$6</x:f>
        <x:v>0.6666666666666666</x:v>
      </x:c>
      <x:c r="I85" s="38" t="n">
        <x:f>G85*H85</x:f>
        <x:v>28790.032</x:v>
      </x:c>
      <x:c r="J85" s="40" t="n">
        <x:f>D85*Assumptions!$C$5*Assumptions!$C$6</x:f>
        <x:v>24510.494599999998</x:v>
      </x:c>
      <x:c r="K85" s="40" t="n">
        <x:f>D85*Assumptions!$D$5*Assumptions!$D$6</x:f>
        <x:v>33413.3994</x:v>
      </x:c>
      <x:c r="L85" s="34" t="n">
        <x:v>153979</x:v>
      </x:c>
      <x:c r="M85" s="34" t="n">
        <x:v>31</x:v>
      </x:c>
      <x:c r="N85" s="38" t="n">
        <x:f>IF(L85=0,0,L85/Assumptions!$B$7)</x:f>
        <x:v>36230.35294117647</x:v>
      </x:c>
      <x:c r="O85" s="42" t="n">
        <x:f>IF(N85=0,0,I85/N85)</x:f>
        <x:v>0.7946384636866066</x:v>
      </x:c>
      <x:c r="P85" s="44" t="str">
        <x:v>Coverage below 1.0 indicates reliance on imported, transfer, adult, international, or higher-participation demand.</x:v>
      </x:c>
    </x:row>
    <x:row r="86">
      <x:c r="A86" s="16" t="str">
        <x:v>MD</x:v>
      </x:c>
      <x:c r="B86" s="16" t="str">
        <x:v>Maryland</x:v>
      </x:c>
      <x:c r="C86" s="16" t="n">
        <x:v>2035</x:v>
      </x:c>
      <x:c r="D86" s="34" t="n">
        <x:v>68981</x:v>
      </x:c>
      <x:c r="E86" s="21" t="n">
        <x:v>-0.06900693713391093</x:v>
      </x:c>
      <x:c r="F86" s="36" t="n">
        <x:f>Assumptions!$B$5</x:f>
        <x:v>0.628</x:v>
      </x:c>
      <x:c r="G86" s="38" t="n">
        <x:f>D86*F86</x:f>
        <x:v>43320.068</x:v>
      </x:c>
      <x:c r="H86" s="36" t="n">
        <x:f>Assumptions!$B$6</x:f>
        <x:v>0.6666666666666666</x:v>
      </x:c>
      <x:c r="I86" s="38" t="n">
        <x:f>G86*H86</x:f>
        <x:v>28880.04533333333</x:v>
      </x:c>
      <x:c r="J86" s="40" t="n">
        <x:f>D86*Assumptions!$C$5*Assumptions!$C$6</x:f>
        <x:v>24587.12776666666</x:v>
      </x:c>
      <x:c r="K86" s="40" t="n">
        <x:f>D86*Assumptions!$D$5*Assumptions!$D$6</x:f>
        <x:v>33517.867900000005</x:v>
      </x:c>
      <x:c r="L86" s="34" t="n">
        <x:v>153979</x:v>
      </x:c>
      <x:c r="M86" s="34" t="n">
        <x:v>31</x:v>
      </x:c>
      <x:c r="N86" s="38" t="n">
        <x:f>IF(L86=0,0,L86/Assumptions!$B$7)</x:f>
        <x:v>36230.35294117647</x:v>
      </x:c>
      <x:c r="O86" s="42" t="n">
        <x:f>IF(N86=0,0,I86/N86)</x:f>
        <x:v>0.7971229366775123</x:v>
      </x:c>
      <x:c r="P86" s="44" t="str">
        <x:v>Coverage below 1.0 indicates reliance on imported, transfer, adult, international, or higher-participation demand.</x:v>
      </x:c>
    </x:row>
    <x:row r="87">
      <x:c r="A87" s="16" t="str">
        <x:v>MD</x:v>
      </x:c>
      <x:c r="B87" s="16" t="str">
        <x:v>Maryland</x:v>
      </x:c>
      <x:c r="C87" s="16" t="n">
        <x:v>2041</x:v>
      </x:c>
      <x:c r="D87" s="34" t="n">
        <x:v>62752</x:v>
      </x:c>
      <x:c r="E87" s="21" t="n">
        <x:v>-0.15307582260371955</x:v>
      </x:c>
      <x:c r="F87" s="36" t="n">
        <x:f>Assumptions!$B$5</x:f>
        <x:v>0.628</x:v>
      </x:c>
      <x:c r="G87" s="38" t="n">
        <x:f>D87*F87</x:f>
        <x:v>39408.256</x:v>
      </x:c>
      <x:c r="H87" s="36" t="n">
        <x:f>Assumptions!$B$6</x:f>
        <x:v>0.6666666666666666</x:v>
      </x:c>
      <x:c r="I87" s="38" t="n">
        <x:f>G87*H87</x:f>
        <x:v>26272.170666666665</x:v>
      </x:c>
      <x:c r="J87" s="40" t="n">
        <x:f>D87*Assumptions!$C$5*Assumptions!$C$6</x:f>
        <x:v>22366.904533333327</x:v>
      </x:c>
      <x:c r="K87" s="40" t="n">
        <x:f>D87*Assumptions!$D$5*Assumptions!$D$6</x:f>
        <x:v>30491.1968</x:v>
      </x:c>
      <x:c r="L87" s="34" t="n">
        <x:v>153979</x:v>
      </x:c>
      <x:c r="M87" s="34" t="n">
        <x:v>31</x:v>
      </x:c>
      <x:c r="N87" s="38" t="n">
        <x:f>IF(L87=0,0,L87/Assumptions!$B$7)</x:f>
        <x:v>36230.35294117647</x:v>
      </x:c>
      <x:c r="O87" s="42" t="n">
        <x:f>IF(N87=0,0,I87/N87)</x:f>
        <x:v>0.7251425540712262</x:v>
      </x:c>
      <x:c r="P87" s="44" t="str">
        <x:v>Coverage below 1.0 indicates reliance on imported, transfer, adult, international, or higher-participation demand.</x:v>
      </x:c>
    </x:row>
    <x:row r="88">
      <x:c r="A88" s="16" t="str">
        <x:v>ME</x:v>
      </x:c>
      <x:c r="B88" s="16" t="str">
        <x:v>Maine</x:v>
      </x:c>
      <x:c r="C88" s="16" t="n">
        <x:v>2026</x:v>
      </x:c>
      <x:c r="D88" s="34" t="n">
        <x:v>13698</x:v>
      </x:c>
      <x:c r="E88" s="21" t="n">
        <x:v>0</x:v>
      </x:c>
      <x:c r="F88" s="36" t="n">
        <x:f>Assumptions!$B$5</x:f>
        <x:v>0.628</x:v>
      </x:c>
      <x:c r="G88" s="38" t="n">
        <x:f>D88*F88</x:f>
        <x:v>8602.344</x:v>
      </x:c>
      <x:c r="H88" s="36" t="n">
        <x:f>Assumptions!$B$6</x:f>
        <x:v>0.6666666666666666</x:v>
      </x:c>
      <x:c r="I88" s="38" t="n">
        <x:f>G88*H88</x:f>
        <x:v>5734.895999999999</x:v>
      </x:c>
      <x:c r="J88" s="40" t="n">
        <x:f>D88*Assumptions!$C$5*Assumptions!$C$6</x:f>
        <x:v>4882.423799999999</x:v>
      </x:c>
      <x:c r="K88" s="40" t="n">
        <x:f>D88*Assumptions!$D$5*Assumptions!$D$6</x:f>
        <x:v>6655.858200000001</x:v>
      </x:c>
      <x:c r="L88" s="34" t="n">
        <x:v>37329</x:v>
      </x:c>
      <x:c r="M88" s="34" t="n">
        <x:v>18</x:v>
      </x:c>
      <x:c r="N88" s="38" t="n">
        <x:f>IF(L88=0,0,L88/Assumptions!$B$7)</x:f>
        <x:v>8783.29411764706</x:v>
      </x:c>
      <x:c r="O88" s="42" t="n">
        <x:f>IF(N88=0,0,I88/N88)</x:f>
        <x:v>0.6529322510648555</x:v>
      </x:c>
      <x:c r="P88" s="44" t="str">
        <x:v>Coverage below 1.0 indicates reliance on imported, transfer, adult, international, or higher-participation demand.</x:v>
      </x:c>
    </x:row>
    <x:row r="89">
      <x:c r="A89" s="16" t="str">
        <x:v>ME</x:v>
      </x:c>
      <x:c r="B89" s="16" t="str">
        <x:v>Maine</x:v>
      </x:c>
      <x:c r="C89" s="16" t="n">
        <x:v>2030</x:v>
      </x:c>
      <x:c r="D89" s="34" t="n">
        <x:v>12938</x:v>
      </x:c>
      <x:c r="E89" s="21" t="n">
        <x:v>-0.05548255219740106</x:v>
      </x:c>
      <x:c r="F89" s="36" t="n">
        <x:f>Assumptions!$B$5</x:f>
        <x:v>0.628</x:v>
      </x:c>
      <x:c r="G89" s="38" t="n">
        <x:f>D89*F89</x:f>
        <x:v>8125.064</x:v>
      </x:c>
      <x:c r="H89" s="36" t="n">
        <x:f>Assumptions!$B$6</x:f>
        <x:v>0.6666666666666666</x:v>
      </x:c>
      <x:c r="I89" s="38" t="n">
        <x:f>G89*H89</x:f>
        <x:v>5416.709333333333</x:v>
      </x:c>
      <x:c r="J89" s="40" t="n">
        <x:f>D89*Assumptions!$C$5*Assumptions!$C$6</x:f>
        <x:v>4611.534466666666</x:v>
      </x:c>
      <x:c r="K89" s="40" t="n">
        <x:f>D89*Assumptions!$D$5*Assumptions!$D$6</x:f>
        <x:v>6286.5742</x:v>
      </x:c>
      <x:c r="L89" s="34" t="n">
        <x:v>37329</x:v>
      </x:c>
      <x:c r="M89" s="34" t="n">
        <x:v>18</x:v>
      </x:c>
      <x:c r="N89" s="38" t="n">
        <x:f>IF(L89=0,0,L89/Assumptions!$B$7)</x:f>
        <x:v>8783.29411764706</x:v>
      </x:c>
      <x:c r="O89" s="42" t="n">
        <x:f>IF(N89=0,0,I89/N89)</x:f>
        <x:v>0.6167059033637833</x:v>
      </x:c>
      <x:c r="P89" s="44" t="str">
        <x:v>Coverage below 1.0 indicates reliance on imported, transfer, adult, international, or higher-participation demand.</x:v>
      </x:c>
    </x:row>
    <x:row r="90">
      <x:c r="A90" s="16" t="str">
        <x:v>ME</x:v>
      </x:c>
      <x:c r="B90" s="16" t="str">
        <x:v>Maine</x:v>
      </x:c>
      <x:c r="C90" s="16" t="n">
        <x:v>2035</x:v>
      </x:c>
      <x:c r="D90" s="34" t="n">
        <x:v>13446</x:v>
      </x:c>
      <x:c r="E90" s="21" t="n">
        <x:v>-0.018396846254927768</x:v>
      </x:c>
      <x:c r="F90" s="36" t="n">
        <x:f>Assumptions!$B$5</x:f>
        <x:v>0.628</x:v>
      </x:c>
      <x:c r="G90" s="38" t="n">
        <x:f>D90*F90</x:f>
        <x:v>8444.088</x:v>
      </x:c>
      <x:c r="H90" s="36" t="n">
        <x:f>Assumptions!$B$6</x:f>
        <x:v>0.6666666666666666</x:v>
      </x:c>
      <x:c r="I90" s="38" t="n">
        <x:f>G90*H90</x:f>
        <x:v>5629.392</x:v>
      </x:c>
      <x:c r="J90" s="40" t="n">
        <x:f>D90*Assumptions!$C$5*Assumptions!$C$6</x:f>
        <x:v>4792.602599999999</x:v>
      </x:c>
      <x:c r="K90" s="40" t="n">
        <x:f>D90*Assumptions!$D$5*Assumptions!$D$6</x:f>
        <x:v>6533.411400000001</x:v>
      </x:c>
      <x:c r="L90" s="34" t="n">
        <x:v>37329</x:v>
      </x:c>
      <x:c r="M90" s="34" t="n">
        <x:v>18</x:v>
      </x:c>
      <x:c r="N90" s="38" t="n">
        <x:f>IF(L90=0,0,L90/Assumptions!$B$7)</x:f>
        <x:v>8783.29411764706</x:v>
      </x:c>
      <x:c r="O90" s="42" t="n">
        <x:f>IF(N90=0,0,I90/N90)</x:f>
        <x:v>0.6409203568271317</x:v>
      </x:c>
      <x:c r="P90" s="44" t="str">
        <x:v>Coverage below 1.0 indicates reliance on imported, transfer, adult, international, or higher-participation demand.</x:v>
      </x:c>
    </x:row>
    <x:row r="91">
      <x:c r="A91" s="16" t="str">
        <x:v>ME</x:v>
      </x:c>
      <x:c r="B91" s="16" t="str">
        <x:v>Maine</x:v>
      </x:c>
      <x:c r="C91" s="16" t="n">
        <x:v>2041</x:v>
      </x:c>
      <x:c r="D91" s="34" t="n">
        <x:v>12718</x:v>
      </x:c>
      <x:c r="E91" s="21" t="n">
        <x:v>-0.07154329099138557</x:v>
      </x:c>
      <x:c r="F91" s="36" t="n">
        <x:f>Assumptions!$B$5</x:f>
        <x:v>0.628</x:v>
      </x:c>
      <x:c r="G91" s="38" t="n">
        <x:f>D91*F91</x:f>
        <x:v>7986.904</x:v>
      </x:c>
      <x:c r="H91" s="36" t="n">
        <x:f>Assumptions!$B$6</x:f>
        <x:v>0.6666666666666666</x:v>
      </x:c>
      <x:c r="I91" s="38" t="n">
        <x:f>G91*H91</x:f>
        <x:v>5324.602666666667</x:v>
      </x:c>
      <x:c r="J91" s="40" t="n">
        <x:f>D91*Assumptions!$C$5*Assumptions!$C$6</x:f>
        <x:v>4533.119133333333</x:v>
      </x:c>
      <x:c r="K91" s="40" t="n">
        <x:f>D91*Assumptions!$D$5*Assumptions!$D$6</x:f>
        <x:v>6179.6762</x:v>
      </x:c>
      <x:c r="L91" s="34" t="n">
        <x:v>37329</x:v>
      </x:c>
      <x:c r="M91" s="34" t="n">
        <x:v>18</x:v>
      </x:c>
      <x:c r="N91" s="38" t="n">
        <x:f>IF(L91=0,0,L91/Assumptions!$B$7)</x:f>
        <x:v>8783.29411764706</x:v>
      </x:c>
      <x:c r="O91" s="42" t="n">
        <x:f>IF(N91=0,0,I91/N91)</x:f>
        <x:v>0.6062193290292622</x:v>
      </x:c>
      <x:c r="P91" s="44" t="str">
        <x:v>Coverage below 1.0 indicates reliance on imported, transfer, adult, international, or higher-participation demand.</x:v>
      </x:c>
    </x:row>
    <x:row r="92">
      <x:c r="A92" s="16" t="str">
        <x:v>MI</x:v>
      </x:c>
      <x:c r="B92" s="16" t="str">
        <x:v>Michigan</x:v>
      </x:c>
      <x:c r="C92" s="16" t="n">
        <x:v>2026</x:v>
      </x:c>
      <x:c r="D92" s="34" t="n">
        <x:v>100573</x:v>
      </x:c>
      <x:c r="E92" s="21" t="n">
        <x:v>0</x:v>
      </x:c>
      <x:c r="F92" s="36" t="n">
        <x:f>Assumptions!$B$5</x:f>
        <x:v>0.628</x:v>
      </x:c>
      <x:c r="G92" s="38" t="n">
        <x:f>D92*F92</x:f>
        <x:v>63159.844</x:v>
      </x:c>
      <x:c r="H92" s="36" t="n">
        <x:f>Assumptions!$B$6</x:f>
        <x:v>0.6666666666666666</x:v>
      </x:c>
      <x:c r="I92" s="38" t="n">
        <x:f>G92*H92</x:f>
        <x:v>42106.562666666665</x:v>
      </x:c>
      <x:c r="J92" s="40" t="n">
        <x:f>D92*Assumptions!$C$5*Assumptions!$C$6</x:f>
        <x:v>35847.569633333325</x:v>
      </x:c>
      <x:c r="K92" s="40" t="n">
        <x:f>D92*Assumptions!$D$5*Assumptions!$D$6</x:f>
        <x:v>48868.4207</x:v>
      </x:c>
      <x:c r="L92" s="34" t="n">
        <x:v>276174</x:v>
      </x:c>
      <x:c r="M92" s="34" t="n">
        <x:v>47</x:v>
      </x:c>
      <x:c r="N92" s="38" t="n">
        <x:f>IF(L92=0,0,L92/Assumptions!$B$7)</x:f>
        <x:v>64982.117647058825</x:v>
      </x:c>
      <x:c r="O92" s="42" t="n">
        <x:f>IF(N92=0,0,I92/N92)</x:f>
        <x:v>0.647971537267568</x:v>
      </x:c>
      <x:c r="P92" s="44" t="str">
        <x:v>Coverage below 1.0 indicates reliance on imported, transfer, adult, international, or higher-participation demand.</x:v>
      </x:c>
    </x:row>
    <x:row r="93">
      <x:c r="A93" s="16" t="str">
        <x:v>MI</x:v>
      </x:c>
      <x:c r="B93" s="16" t="str">
        <x:v>Michigan</x:v>
      </x:c>
      <x:c r="C93" s="16" t="n">
        <x:v>2030</x:v>
      </x:c>
      <x:c r="D93" s="34" t="n">
        <x:v>95746</x:v>
      </x:c>
      <x:c r="E93" s="21" t="n">
        <x:v>-0.04799498871466501</x:v>
      </x:c>
      <x:c r="F93" s="36" t="n">
        <x:f>Assumptions!$B$5</x:f>
        <x:v>0.628</x:v>
      </x:c>
      <x:c r="G93" s="38" t="n">
        <x:f>D93*F93</x:f>
        <x:v>60128.488</x:v>
      </x:c>
      <x:c r="H93" s="36" t="n">
        <x:f>Assumptions!$B$6</x:f>
        <x:v>0.6666666666666666</x:v>
      </x:c>
      <x:c r="I93" s="38" t="n">
        <x:f>G93*H93</x:f>
        <x:v>40085.65866666666</x:v>
      </x:c>
      <x:c r="J93" s="40" t="n">
        <x:f>D93*Assumptions!$C$5*Assumptions!$C$6</x:f>
        <x:v>34127.065933333324</x:v>
      </x:c>
      <x:c r="K93" s="40" t="n">
        <x:f>D93*Assumptions!$D$5*Assumptions!$D$6</x:f>
        <x:v>46522.981400000004</x:v>
      </x:c>
      <x:c r="L93" s="34" t="n">
        <x:v>276174</x:v>
      </x:c>
      <x:c r="M93" s="34" t="n">
        <x:v>47</x:v>
      </x:c>
      <x:c r="N93" s="38" t="n">
        <x:f>IF(L93=0,0,L93/Assumptions!$B$7)</x:f>
        <x:v>64982.117647058825</x:v>
      </x:c>
      <x:c r="O93" s="42" t="n">
        <x:f>IF(N93=0,0,I93/N93)</x:f>
        <x:v>0.6168721506489869</x:v>
      </x:c>
      <x:c r="P93" s="44" t="str">
        <x:v>Coverage below 1.0 indicates reliance on imported, transfer, adult, international, or higher-participation demand.</x:v>
      </x:c>
    </x:row>
    <x:row r="94">
      <x:c r="A94" s="16" t="str">
        <x:v>MI</x:v>
      </x:c>
      <x:c r="B94" s="16" t="str">
        <x:v>Michigan</x:v>
      </x:c>
      <x:c r="C94" s="16" t="n">
        <x:v>2035</x:v>
      </x:c>
      <x:c r="D94" s="34" t="n">
        <x:v>96183</x:v>
      </x:c>
      <x:c r="E94" s="21" t="n">
        <x:v>-0.043649886152347106</x:v>
      </x:c>
      <x:c r="F94" s="36" t="n">
        <x:f>Assumptions!$B$5</x:f>
        <x:v>0.628</x:v>
      </x:c>
      <x:c r="G94" s="38" t="n">
        <x:f>D94*F94</x:f>
        <x:v>60402.924</x:v>
      </x:c>
      <x:c r="H94" s="36" t="n">
        <x:f>Assumptions!$B$6</x:f>
        <x:v>0.6666666666666666</x:v>
      </x:c>
      <x:c r="I94" s="38" t="n">
        <x:f>G94*H94</x:f>
        <x:v>40268.615999999995</x:v>
      </x:c>
      <x:c r="J94" s="40" t="n">
        <x:f>D94*Assumptions!$C$5*Assumptions!$C$6</x:f>
        <x:v>34282.8273</x:v>
      </x:c>
      <x:c r="K94" s="40" t="n">
        <x:f>D94*Assumptions!$D$5*Assumptions!$D$6</x:f>
        <x:v>46735.31970000001</x:v>
      </x:c>
      <x:c r="L94" s="34" t="n">
        <x:v>276174</x:v>
      </x:c>
      <x:c r="M94" s="34" t="n">
        <x:v>47</x:v>
      </x:c>
      <x:c r="N94" s="38" t="n">
        <x:f>IF(L94=0,0,L94/Assumptions!$B$7)</x:f>
        <x:v>64982.117647058825</x:v>
      </x:c>
      <x:c r="O94" s="42" t="n">
        <x:f>IF(N94=0,0,I94/N94)</x:f>
        <x:v>0.6196876534358773</x:v>
      </x:c>
      <x:c r="P94" s="44" t="str">
        <x:v>Coverage below 1.0 indicates reliance on imported, transfer, adult, international, or higher-participation demand.</x:v>
      </x:c>
    </x:row>
    <x:row r="95">
      <x:c r="A95" s="16" t="str">
        <x:v>MI</x:v>
      </x:c>
      <x:c r="B95" s="16" t="str">
        <x:v>Michigan</x:v>
      </x:c>
      <x:c r="C95" s="16" t="n">
        <x:v>2041</x:v>
      </x:c>
      <x:c r="D95" s="34" t="n">
        <x:v>85131</x:v>
      </x:c>
      <x:c r="E95" s="21" t="n">
        <x:v>-0.15354021457051092</x:v>
      </x:c>
      <x:c r="F95" s="36" t="n">
        <x:f>Assumptions!$B$5</x:f>
        <x:v>0.628</x:v>
      </x:c>
      <x:c r="G95" s="38" t="n">
        <x:f>D95*F95</x:f>
        <x:v>53462.268000000004</x:v>
      </x:c>
      <x:c r="H95" s="36" t="n">
        <x:f>Assumptions!$B$6</x:f>
        <x:v>0.6666666666666666</x:v>
      </x:c>
      <x:c r="I95" s="38" t="n">
        <x:f>G95*H95</x:f>
        <x:v>35641.512</x:v>
      </x:c>
      <x:c r="J95" s="40" t="n">
        <x:f>D95*Assumptions!$C$5*Assumptions!$C$6</x:f>
        <x:v>30343.526099999992</x:v>
      </x:c>
      <x:c r="K95" s="40" t="n">
        <x:f>D95*Assumptions!$D$5*Assumptions!$D$6</x:f>
        <x:v>41365.15290000001</x:v>
      </x:c>
      <x:c r="L95" s="34" t="n">
        <x:v>276174</x:v>
      </x:c>
      <x:c r="M95" s="34" t="n">
        <x:v>47</x:v>
      </x:c>
      <x:c r="N95" s="38" t="n">
        <x:f>IF(L95=0,0,L95/Assumptions!$B$7)</x:f>
        <x:v>64982.117647058825</x:v>
      </x:c>
      <x:c r="O95" s="42" t="n">
        <x:f>IF(N95=0,0,I95/N95)</x:f>
        <x:v>0.5484818483999218</x:v>
      </x:c>
      <x:c r="P95" s="44" t="str">
        <x:v>Coverage below 1.0 indicates reliance on imported, transfer, adult, international, or higher-participation demand.</x:v>
      </x:c>
    </x:row>
    <x:row r="96">
      <x:c r="A96" s="16" t="str">
        <x:v>MN</x:v>
      </x:c>
      <x:c r="B96" s="16" t="str">
        <x:v>Minnesota</x:v>
      </x:c>
      <x:c r="C96" s="16" t="n">
        <x:v>2026</x:v>
      </x:c>
      <x:c r="D96" s="34" t="n">
        <x:v>67286</x:v>
      </x:c>
      <x:c r="E96" s="21" t="n">
        <x:v>0</x:v>
      </x:c>
      <x:c r="F96" s="36" t="n">
        <x:f>Assumptions!$B$5</x:f>
        <x:v>0.628</x:v>
      </x:c>
      <x:c r="G96" s="38" t="n">
        <x:f>D96*F96</x:f>
        <x:v>42255.608</x:v>
      </x:c>
      <x:c r="H96" s="36" t="n">
        <x:f>Assumptions!$B$6</x:f>
        <x:v>0.6666666666666666</x:v>
      </x:c>
      <x:c r="I96" s="38" t="n">
        <x:f>G96*H96</x:f>
        <x:v>28170.405333333332</x:v>
      </x:c>
      <x:c r="J96" s="40" t="n">
        <x:f>D96*Assumptions!$C$5*Assumptions!$C$6</x:f>
        <x:v>23982.97326666666</x:v>
      </x:c>
      <x:c r="K96" s="40" t="n">
        <x:f>D96*Assumptions!$D$5*Assumptions!$D$6</x:f>
        <x:v>32694.267400000004</x:v>
      </x:c>
      <x:c r="L96" s="34" t="n">
        <x:v>138286</x:v>
      </x:c>
      <x:c r="M96" s="34" t="n">
        <x:v>37</x:v>
      </x:c>
      <x:c r="N96" s="38" t="n">
        <x:f>IF(L96=0,0,L96/Assumptions!$B$7)</x:f>
        <x:v>32537.882352941175</x:v>
      </x:c>
      <x:c r="O96" s="42" t="n">
        <x:f>IF(N96=0,0,I96/N96)</x:f>
        <x:v>0.8657725486793072</x:v>
      </x:c>
      <x:c r="P96" s="44" t="str">
        <x:v>Coverage below 1.0 indicates reliance on imported, transfer, adult, international, or higher-participation demand.</x:v>
      </x:c>
    </x:row>
    <x:row r="97">
      <x:c r="A97" s="16" t="str">
        <x:v>MN</x:v>
      </x:c>
      <x:c r="B97" s="16" t="str">
        <x:v>Minnesota</x:v>
      </x:c>
      <x:c r="C97" s="16" t="n">
        <x:v>2030</x:v>
      </x:c>
      <x:c r="D97" s="34" t="n">
        <x:v>64403</x:v>
      </x:c>
      <x:c r="E97" s="21" t="n">
        <x:v>-0.04284695181761433</x:v>
      </x:c>
      <x:c r="F97" s="36" t="n">
        <x:f>Assumptions!$B$5</x:f>
        <x:v>0.628</x:v>
      </x:c>
      <x:c r="G97" s="38" t="n">
        <x:f>D97*F97</x:f>
        <x:v>40445.084</x:v>
      </x:c>
      <x:c r="H97" s="36" t="n">
        <x:f>Assumptions!$B$6</x:f>
        <x:v>0.6666666666666666</x:v>
      </x:c>
      <x:c r="I97" s="38" t="n">
        <x:f>G97*H97</x:f>
        <x:v>26963.389333333333</x:v>
      </x:c>
      <x:c r="J97" s="40" t="n">
        <x:f>D97*Assumptions!$C$5*Assumptions!$C$6</x:f>
        <x:v>22955.37596666666</x:v>
      </x:c>
      <x:c r="K97" s="40" t="n">
        <x:f>D97*Assumptions!$D$5*Assumptions!$D$6</x:f>
        <x:v>31293.4177</x:v>
      </x:c>
      <x:c r="L97" s="34" t="n">
        <x:v>138286</x:v>
      </x:c>
      <x:c r="M97" s="34" t="n">
        <x:v>37</x:v>
      </x:c>
      <x:c r="N97" s="38" t="n">
        <x:f>IF(L97=0,0,L97/Assumptions!$B$7)</x:f>
        <x:v>32537.882352941175</x:v>
      </x:c>
      <x:c r="O97" s="42" t="n">
        <x:f>IF(N97=0,0,I97/N97)</x:f>
        <x:v>0.8286768340010316</x:v>
      </x:c>
      <x:c r="P97" s="44" t="str">
        <x:v>Coverage below 1.0 indicates reliance on imported, transfer, adult, international, or higher-participation demand.</x:v>
      </x:c>
    </x:row>
    <x:row r="98">
      <x:c r="A98" s="16" t="str">
        <x:v>MN</x:v>
      </x:c>
      <x:c r="B98" s="16" t="str">
        <x:v>Minnesota</x:v>
      </x:c>
      <x:c r="C98" s="16" t="n">
        <x:v>2035</x:v>
      </x:c>
      <x:c r="D98" s="34" t="n">
        <x:v>65154</x:v>
      </x:c>
      <x:c r="E98" s="21" t="n">
        <x:v>-0.03168564040067767</x:v>
      </x:c>
      <x:c r="F98" s="36" t="n">
        <x:f>Assumptions!$B$5</x:f>
        <x:v>0.628</x:v>
      </x:c>
      <x:c r="G98" s="38" t="n">
        <x:f>D98*F98</x:f>
        <x:v>40916.712</x:v>
      </x:c>
      <x:c r="H98" s="36" t="n">
        <x:f>Assumptions!$B$6</x:f>
        <x:v>0.6666666666666666</x:v>
      </x:c>
      <x:c r="I98" s="38" t="n">
        <x:f>G98*H98</x:f>
        <x:v>27277.807999999997</x:v>
      </x:c>
      <x:c r="J98" s="40" t="n">
        <x:f>D98*Assumptions!$C$5*Assumptions!$C$6</x:f>
        <x:v>23223.057399999994</x:v>
      </x:c>
      <x:c r="K98" s="40" t="n">
        <x:f>D98*Assumptions!$D$5*Assumptions!$D$6</x:f>
        <x:v>31658.328600000004</x:v>
      </x:c>
      <x:c r="L98" s="34" t="n">
        <x:v>138286</x:v>
      </x:c>
      <x:c r="M98" s="34" t="n">
        <x:v>37</x:v>
      </x:c>
      <x:c r="N98" s="38" t="n">
        <x:f>IF(L98=0,0,L98/Assumptions!$B$7)</x:f>
        <x:v>32537.882352941175</x:v>
      </x:c>
      <x:c r="O98" s="42" t="n">
        <x:f>IF(N98=0,0,I98/N98)</x:f>
        <x:v>0.8383399910330763</x:v>
      </x:c>
      <x:c r="P98" s="44" t="str">
        <x:v>Coverage below 1.0 indicates reliance on imported, transfer, adult, international, or higher-participation demand.</x:v>
      </x:c>
    </x:row>
    <x:row r="99">
      <x:c r="A99" s="16" t="str">
        <x:v>MN</x:v>
      </x:c>
      <x:c r="B99" s="16" t="str">
        <x:v>Minnesota</x:v>
      </x:c>
      <x:c r="C99" s="16" t="n">
        <x:v>2041</x:v>
      </x:c>
      <x:c r="D99" s="34" t="n">
        <x:v>58295</x:v>
      </x:c>
      <x:c r="E99" s="21" t="n">
        <x:v>-0.13362363641767971</x:v>
      </x:c>
      <x:c r="F99" s="36" t="n">
        <x:f>Assumptions!$B$5</x:f>
        <x:v>0.628</x:v>
      </x:c>
      <x:c r="G99" s="38" t="n">
        <x:f>D99*F99</x:f>
        <x:v>36609.26</x:v>
      </x:c>
      <x:c r="H99" s="36" t="n">
        <x:f>Assumptions!$B$6</x:f>
        <x:v>0.6666666666666666</x:v>
      </x:c>
      <x:c r="I99" s="38" t="n">
        <x:f>G99*H99</x:f>
        <x:v>24406.173333333332</x:v>
      </x:c>
      <x:c r="J99" s="40" t="n">
        <x:f>D99*Assumptions!$C$5*Assumptions!$C$6</x:f>
        <x:v>20778.28116666666</x:v>
      </x:c>
      <x:c r="K99" s="40" t="n">
        <x:f>D99*Assumptions!$D$5*Assumptions!$D$6</x:f>
        <x:v>28325.540500000003</x:v>
      </x:c>
      <x:c r="L99" s="34" t="n">
        <x:v>138286</x:v>
      </x:c>
      <x:c r="M99" s="34" t="n">
        <x:v>37</x:v>
      </x:c>
      <x:c r="N99" s="38" t="n">
        <x:f>IF(L99=0,0,L99/Assumptions!$B$7)</x:f>
        <x:v>32537.882352941175</x:v>
      </x:c>
      <x:c r="O99" s="42" t="n">
        <x:f>IF(N99=0,0,I99/N99)</x:f>
        <x:v>0.7500848724141754</x:v>
      </x:c>
      <x:c r="P99" s="44" t="str">
        <x:v>Coverage below 1.0 indicates reliance on imported, transfer, adult, international, or higher-participation demand.</x:v>
      </x:c>
    </x:row>
    <x:row r="100">
      <x:c r="A100" s="16" t="str">
        <x:v>MO</x:v>
      </x:c>
      <x:c r="B100" s="16" t="str">
        <x:v>Missouri</x:v>
      </x:c>
      <x:c r="C100" s="16" t="n">
        <x:v>2026</x:v>
      </x:c>
      <x:c r="D100" s="34" t="n">
        <x:v>68422</x:v>
      </x:c>
      <x:c r="E100" s="21" t="n">
        <x:v>0</x:v>
      </x:c>
      <x:c r="F100" s="36" t="n">
        <x:f>Assumptions!$B$5</x:f>
        <x:v>0.628</x:v>
      </x:c>
      <x:c r="G100" s="38" t="n">
        <x:f>D100*F100</x:f>
        <x:v>42969.016</x:v>
      </x:c>
      <x:c r="H100" s="36" t="n">
        <x:f>Assumptions!$B$6</x:f>
        <x:v>0.6666666666666666</x:v>
      </x:c>
      <x:c r="I100" s="38" t="n">
        <x:f>G100*H100</x:f>
        <x:v>28646.01066666667</x:v>
      </x:c>
      <x:c r="J100" s="40" t="n">
        <x:f>D100*Assumptions!$C$5*Assumptions!$C$6</x:f>
        <x:v>24387.88153333333</x:v>
      </x:c>
      <x:c r="K100" s="40" t="n">
        <x:f>D100*Assumptions!$D$5*Assumptions!$D$6</x:f>
        <x:v>33246.249800000005</x:v>
      </x:c>
      <x:c r="L100" s="34" t="n">
        <x:v>189500</x:v>
      </x:c>
      <x:c r="M100" s="34" t="n">
        <x:v>51</x:v>
      </x:c>
      <x:c r="N100" s="38" t="n">
        <x:f>IF(L100=0,0,L100/Assumptions!$B$7)</x:f>
        <x:v>44588.23529411765</x:v>
      </x:c>
      <x:c r="O100" s="42" t="n">
        <x:f>IF(N100=0,0,I100/N100)</x:f>
        <x:v>0.6424567036059806</x:v>
      </x:c>
      <x:c r="P100" s="44" t="str">
        <x:v>Coverage below 1.0 indicates reliance on imported, transfer, adult, international, or higher-participation demand.</x:v>
      </x:c>
    </x:row>
    <x:row r="101">
      <x:c r="A101" s="16" t="str">
        <x:v>MO</x:v>
      </x:c>
      <x:c r="B101" s="16" t="str">
        <x:v>Missouri</x:v>
      </x:c>
      <x:c r="C101" s="16" t="n">
        <x:v>2030</x:v>
      </x:c>
      <x:c r="D101" s="34" t="n">
        <x:v>64138</x:v>
      </x:c>
      <x:c r="E101" s="21" t="n">
        <x:v>-0.06261144076466629</x:v>
      </x:c>
      <x:c r="F101" s="36" t="n">
        <x:f>Assumptions!$B$5</x:f>
        <x:v>0.628</x:v>
      </x:c>
      <x:c r="G101" s="38" t="n">
        <x:f>D101*F101</x:f>
        <x:v>40278.664</x:v>
      </x:c>
      <x:c r="H101" s="36" t="n">
        <x:f>Assumptions!$B$6</x:f>
        <x:v>0.6666666666666666</x:v>
      </x:c>
      <x:c r="I101" s="38" t="n">
        <x:f>G101*H101</x:f>
        <x:v>26852.442666666662</x:v>
      </x:c>
      <x:c r="J101" s="40" t="n">
        <x:f>D101*Assumptions!$C$5*Assumptions!$C$6</x:f>
        <x:v>22860.921133333326</x:v>
      </x:c>
      <x:c r="K101" s="40" t="n">
        <x:f>D101*Assumptions!$D$5*Assumptions!$D$6</x:f>
        <x:v>31164.654200000004</x:v>
      </x:c>
      <x:c r="L101" s="34" t="n">
        <x:v>189500</x:v>
      </x:c>
      <x:c r="M101" s="34" t="n">
        <x:v>51</x:v>
      </x:c>
      <x:c r="N101" s="38" t="n">
        <x:f>IF(L101=0,0,L101/Assumptions!$B$7)</x:f>
        <x:v>44588.23529411765</x:v>
      </x:c>
      <x:c r="O101" s="42" t="n">
        <x:f>IF(N101=0,0,I101/N101)</x:f>
        <x:v>0.6022315637642919</x:v>
      </x:c>
      <x:c r="P101" s="44" t="str">
        <x:v>Coverage below 1.0 indicates reliance on imported, transfer, adult, international, or higher-participation demand.</x:v>
      </x:c>
    </x:row>
    <x:row r="102">
      <x:c r="A102" s="16" t="str">
        <x:v>MO</x:v>
      </x:c>
      <x:c r="B102" s="16" t="str">
        <x:v>Missouri</x:v>
      </x:c>
      <x:c r="C102" s="16" t="n">
        <x:v>2035</x:v>
      </x:c>
      <x:c r="D102" s="34" t="n">
        <x:v>64283</x:v>
      </x:c>
      <x:c r="E102" s="21" t="n">
        <x:v>-0.06049223933822456</x:v>
      </x:c>
      <x:c r="F102" s="36" t="n">
        <x:f>Assumptions!$B$5</x:f>
        <x:v>0.628</x:v>
      </x:c>
      <x:c r="G102" s="38" t="n">
        <x:f>D102*F102</x:f>
        <x:v>40369.724</x:v>
      </x:c>
      <x:c r="H102" s="36" t="n">
        <x:f>Assumptions!$B$6</x:f>
        <x:v>0.6666666666666666</x:v>
      </x:c>
      <x:c r="I102" s="38" t="n">
        <x:f>G102*H102</x:f>
        <x:v>26913.149333333335</x:v>
      </x:c>
      <x:c r="J102" s="40" t="n">
        <x:f>D102*Assumptions!$C$5*Assumptions!$C$6</x:f>
        <x:v>22912.603966666666</x:v>
      </x:c>
      <x:c r="K102" s="40" t="n">
        <x:f>D102*Assumptions!$D$5*Assumptions!$D$6</x:f>
        <x:v>31235.109700000005</x:v>
      </x:c>
      <x:c r="L102" s="34" t="n">
        <x:v>189500</x:v>
      </x:c>
      <x:c r="M102" s="34" t="n">
        <x:v>51</x:v>
      </x:c>
      <x:c r="N102" s="38" t="n">
        <x:f>IF(L102=0,0,L102/Assumptions!$B$7)</x:f>
        <x:v>44588.23529411765</x:v>
      </x:c>
      <x:c r="O102" s="42" t="n">
        <x:f>IF(N102=0,0,I102/N102)</x:f>
        <x:v>0.6035930589270009</x:v>
      </x:c>
      <x:c r="P102" s="44" t="str">
        <x:v>Coverage below 1.0 indicates reliance on imported, transfer, adult, international, or higher-participation demand.</x:v>
      </x:c>
    </x:row>
    <x:row r="103">
      <x:c r="A103" s="16" t="str">
        <x:v>MO</x:v>
      </x:c>
      <x:c r="B103" s="16" t="str">
        <x:v>Missouri</x:v>
      </x:c>
      <x:c r="C103" s="16" t="n">
        <x:v>2041</x:v>
      </x:c>
      <x:c r="D103" s="34" t="n">
        <x:v>58880</x:v>
      </x:c>
      <x:c r="E103" s="21" t="n">
        <x:v>-0.139458069042121</x:v>
      </x:c>
      <x:c r="F103" s="36" t="n">
        <x:f>Assumptions!$B$5</x:f>
        <x:v>0.628</x:v>
      </x:c>
      <x:c r="G103" s="38" t="n">
        <x:f>D103*F103</x:f>
        <x:v>36976.64</x:v>
      </x:c>
      <x:c r="H103" s="36" t="n">
        <x:f>Assumptions!$B$6</x:f>
        <x:v>0.6666666666666666</x:v>
      </x:c>
      <x:c r="I103" s="38" t="n">
        <x:f>G103*H103</x:f>
        <x:v>24651.09333333333</x:v>
      </x:c>
      <x:c r="J103" s="40" t="n">
        <x:f>D103*Assumptions!$C$5*Assumptions!$C$6</x:f>
        <x:v>20986.794666666665</x:v>
      </x:c>
      <x:c r="K103" s="40" t="n">
        <x:f>D103*Assumptions!$D$5*Assumptions!$D$6</x:f>
        <x:v>28609.792</x:v>
      </x:c>
      <x:c r="L103" s="34" t="n">
        <x:v>189500</x:v>
      </x:c>
      <x:c r="M103" s="34" t="n">
        <x:v>51</x:v>
      </x:c>
      <x:c r="N103" s="38" t="n">
        <x:f>IF(L103=0,0,L103/Assumptions!$B$7)</x:f>
        <x:v>44588.23529411765</x:v>
      </x:c>
      <x:c r="O103" s="42" t="n">
        <x:f>IF(N103=0,0,I103/N103)</x:f>
        <x:v>0.5528609322779242</x:v>
      </x:c>
      <x:c r="P103" s="44" t="str">
        <x:v>Coverage below 1.0 indicates reliance on imported, transfer, adult, international, or higher-participation demand.</x:v>
      </x:c>
    </x:row>
    <x:row r="104">
      <x:c r="A104" s="16" t="str">
        <x:v>MS</x:v>
      </x:c>
      <x:c r="B104" s="16" t="str">
        <x:v>Mississippi</x:v>
      </x:c>
      <x:c r="C104" s="16" t="n">
        <x:v>2026</x:v>
      </x:c>
      <x:c r="D104" s="34" t="n">
        <x:v>33708</x:v>
      </x:c>
      <x:c r="E104" s="21" t="n">
        <x:v>0</x:v>
      </x:c>
      <x:c r="F104" s="36" t="n">
        <x:f>Assumptions!$B$5</x:f>
        <x:v>0.628</x:v>
      </x:c>
      <x:c r="G104" s="38" t="n">
        <x:f>D104*F104</x:f>
        <x:v>21168.624</x:v>
      </x:c>
      <x:c r="H104" s="36" t="n">
        <x:f>Assumptions!$B$6</x:f>
        <x:v>0.6666666666666666</x:v>
      </x:c>
      <x:c r="I104" s="38" t="n">
        <x:f>G104*H104</x:f>
        <x:v>14112.416</x:v>
      </x:c>
      <x:c r="J104" s="40" t="n">
        <x:f>D104*Assumptions!$C$5*Assumptions!$C$6</x:f>
        <x:v>12014.654799999997</x:v>
      </x:c>
      <x:c r="K104" s="40" t="n">
        <x:f>D104*Assumptions!$D$5*Assumptions!$D$6</x:f>
        <x:v>16378.717200000001</x:v>
      </x:c>
      <x:c r="L104" s="34" t="n">
        <x:v>74170</x:v>
      </x:c>
      <x:c r="M104" s="34" t="n">
        <x:v>15</x:v>
      </x:c>
      <x:c r="N104" s="38" t="n">
        <x:f>IF(L104=0,0,L104/Assumptions!$B$7)</x:f>
        <x:v>17451.764705882353</x:v>
      </x:c>
      <x:c r="O104" s="42" t="n">
        <x:f>IF(N104=0,0,I104/N104)</x:f>
        <x:v>0.8086526628016718</x:v>
      </x:c>
      <x:c r="P104" s="44" t="str">
        <x:v>Coverage below 1.0 indicates reliance on imported, transfer, adult, international, or higher-participation demand.</x:v>
      </x:c>
    </x:row>
    <x:row r="105">
      <x:c r="A105" s="16" t="str">
        <x:v>MS</x:v>
      </x:c>
      <x:c r="B105" s="16" t="str">
        <x:v>Mississippi</x:v>
      </x:c>
      <x:c r="C105" s="16" t="n">
        <x:v>2030</x:v>
      </x:c>
      <x:c r="D105" s="34" t="n">
        <x:v>29644</x:v>
      </x:c>
      <x:c r="E105" s="21" t="n">
        <x:v>-0.120564851073929</x:v>
      </x:c>
      <x:c r="F105" s="36" t="n">
        <x:f>Assumptions!$B$5</x:f>
        <x:v>0.628</x:v>
      </x:c>
      <x:c r="G105" s="38" t="n">
        <x:f>D105*F105</x:f>
        <x:v>18616.432</x:v>
      </x:c>
      <x:c r="H105" s="36" t="n">
        <x:f>Assumptions!$B$6</x:f>
        <x:v>0.6666666666666666</x:v>
      </x:c>
      <x:c r="I105" s="38" t="n">
        <x:f>G105*H105</x:f>
        <x:v>12410.954666666667</x:v>
      </x:c>
      <x:c r="J105" s="40" t="n">
        <x:f>D105*Assumptions!$C$5*Assumptions!$C$6</x:f>
        <x:v>10566.109733333333</x:v>
      </x:c>
      <x:c r="K105" s="40" t="n">
        <x:f>D105*Assumptions!$D$5*Assumptions!$D$6</x:f>
        <x:v>14404.019600000001</x:v>
      </x:c>
      <x:c r="L105" s="34" t="n">
        <x:v>74170</x:v>
      </x:c>
      <x:c r="M105" s="34" t="n">
        <x:v>15</x:v>
      </x:c>
      <x:c r="N105" s="38" t="n">
        <x:f>IF(L105=0,0,L105/Assumptions!$B$7)</x:f>
        <x:v>17451.764705882353</x:v>
      </x:c>
      <x:c r="O105" s="42" t="n">
        <x:f>IF(N105=0,0,I105/N105)</x:f>
        <x:v>0.7111575749404521</x:v>
      </x:c>
      <x:c r="P105" s="44" t="str">
        <x:v>Coverage below 1.0 indicates reliance on imported, transfer, adult, international, or higher-participation demand.</x:v>
      </x:c>
    </x:row>
    <x:row r="106">
      <x:c r="A106" s="16" t="str">
        <x:v>MS</x:v>
      </x:c>
      <x:c r="B106" s="16" t="str">
        <x:v>Mississippi</x:v>
      </x:c>
      <x:c r="C106" s="16" t="n">
        <x:v>2035</x:v>
      </x:c>
      <x:c r="D106" s="34" t="n">
        <x:v>29445</x:v>
      </x:c>
      <x:c r="E106" s="21" t="n">
        <x:v>-0.12646849412602346</x:v>
      </x:c>
      <x:c r="F106" s="36" t="n">
        <x:f>Assumptions!$B$5</x:f>
        <x:v>0.628</x:v>
      </x:c>
      <x:c r="G106" s="38" t="n">
        <x:f>D106*F106</x:f>
        <x:v>18491.46</x:v>
      </x:c>
      <x:c r="H106" s="36" t="n">
        <x:f>Assumptions!$B$6</x:f>
        <x:v>0.6666666666666666</x:v>
      </x:c>
      <x:c r="I106" s="38" t="n">
        <x:f>G106*H106</x:f>
        <x:v>12327.64</x:v>
      </x:c>
      <x:c r="J106" s="40" t="n">
        <x:f>D106*Assumptions!$C$5*Assumptions!$C$6</x:f>
        <x:v>10495.179499999998</x:v>
      </x:c>
      <x:c r="K106" s="40" t="n">
        <x:f>D106*Assumptions!$D$5*Assumptions!$D$6</x:f>
        <x:v>14307.325500000003</x:v>
      </x:c>
      <x:c r="L106" s="34" t="n">
        <x:v>74170</x:v>
      </x:c>
      <x:c r="M106" s="34" t="n">
        <x:v>15</x:v>
      </x:c>
      <x:c r="N106" s="38" t="n">
        <x:f>IF(L106=0,0,L106/Assumptions!$B$7)</x:f>
        <x:v>17451.764705882353</x:v>
      </x:c>
      <x:c r="O106" s="42" t="n">
        <x:f>IF(N106=0,0,I106/N106)</x:f>
        <x:v>0.7063835782661453</x:v>
      </x:c>
      <x:c r="P106" s="44" t="str">
        <x:v>Coverage below 1.0 indicates reliance on imported, transfer, adult, international, or higher-participation demand.</x:v>
      </x:c>
    </x:row>
    <x:row r="107">
      <x:c r="A107" s="16" t="str">
        <x:v>MS</x:v>
      </x:c>
      <x:c r="B107" s="16" t="str">
        <x:v>Mississippi</x:v>
      </x:c>
      <x:c r="C107" s="16" t="n">
        <x:v>2041</x:v>
      </x:c>
      <x:c r="D107" s="34" t="n">
        <x:v>27003</x:v>
      </x:c>
      <x:c r="E107" s="21" t="n">
        <x:v>-0.19891420434318263</x:v>
      </x:c>
      <x:c r="F107" s="36" t="n">
        <x:f>Assumptions!$B$5</x:f>
        <x:v>0.628</x:v>
      </x:c>
      <x:c r="G107" s="38" t="n">
        <x:f>D107*F107</x:f>
        <x:v>16957.884000000002</x:v>
      </x:c>
      <x:c r="H107" s="36" t="n">
        <x:f>Assumptions!$B$6</x:f>
        <x:v>0.6666666666666666</x:v>
      </x:c>
      <x:c r="I107" s="38" t="n">
        <x:f>G107*H107</x:f>
        <x:v>11305.256000000001</x:v>
      </x:c>
      <x:c r="J107" s="40" t="n">
        <x:f>D107*Assumptions!$C$5*Assumptions!$C$6</x:f>
        <x:v>9624.769299999998</x:v>
      </x:c>
      <x:c r="K107" s="40" t="n">
        <x:f>D107*Assumptions!$D$5*Assumptions!$D$6</x:f>
        <x:v>13120.7577</x:v>
      </x:c>
      <x:c r="L107" s="34" t="n">
        <x:v>74170</x:v>
      </x:c>
      <x:c r="M107" s="34" t="n">
        <x:v>15</x:v>
      </x:c>
      <x:c r="N107" s="38" t="n">
        <x:f>IF(L107=0,0,L107/Assumptions!$B$7)</x:f>
        <x:v>17451.764705882353</x:v>
      </x:c>
      <x:c r="O107" s="42" t="n">
        <x:f>IF(N107=0,0,I107/N107)</x:f>
        <x:v>0.6478001617904814</x:v>
      </x:c>
      <x:c r="P107" s="44" t="str">
        <x:v>Coverage below 1.0 indicates reliance on imported, transfer, adult, international, or higher-participation demand.</x:v>
      </x:c>
    </x:row>
    <x:row r="108">
      <x:c r="A108" s="16" t="str">
        <x:v>MT</x:v>
      </x:c>
      <x:c r="B108" s="16" t="str">
        <x:v>Montana</x:v>
      </x:c>
      <x:c r="C108" s="16" t="n">
        <x:v>2026</x:v>
      </x:c>
      <x:c r="D108" s="34" t="n">
        <x:v>10737</x:v>
      </x:c>
      <x:c r="E108" s="21" t="n">
        <x:v>0</x:v>
      </x:c>
      <x:c r="F108" s="36" t="n">
        <x:f>Assumptions!$B$5</x:f>
        <x:v>0.628</x:v>
      </x:c>
      <x:c r="G108" s="38" t="n">
        <x:f>D108*F108</x:f>
        <x:v>6742.836</x:v>
      </x:c>
      <x:c r="H108" s="36" t="n">
        <x:f>Assumptions!$B$6</x:f>
        <x:v>0.6666666666666666</x:v>
      </x:c>
      <x:c r="I108" s="38" t="n">
        <x:f>G108*H108</x:f>
        <x:v>4495.224</x:v>
      </x:c>
      <x:c r="J108" s="40" t="n">
        <x:f>D108*Assumptions!$C$5*Assumptions!$C$6</x:f>
        <x:v>3827.0246999999995</x:v>
      </x:c>
      <x:c r="K108" s="40" t="n">
        <x:f>D108*Assumptions!$D$5*Assumptions!$D$6</x:f>
        <x:v>5217.108300000001</x:v>
      </x:c>
      <x:c r="L108" s="34" t="n">
        <x:v>35181</x:v>
      </x:c>
      <x:c r="M108" s="34" t="n">
        <x:v>9</x:v>
      </x:c>
      <x:c r="N108" s="38" t="n">
        <x:f>IF(L108=0,0,L108/Assumptions!$B$7)</x:f>
        <x:v>8277.882352941177</x:v>
      </x:c>
      <x:c r="O108" s="42" t="n">
        <x:f>IF(N108=0,0,I108/N108)</x:f>
        <x:v>0.5430403342713397</x:v>
      </x:c>
      <x:c r="P108" s="44" t="str">
        <x:v>Coverage below 1.0 indicates reliance on imported, transfer, adult, international, or higher-participation demand.</x:v>
      </x:c>
    </x:row>
    <x:row r="109">
      <x:c r="A109" s="16" t="str">
        <x:v>MT</x:v>
      </x:c>
      <x:c r="B109" s="16" t="str">
        <x:v>Montana</x:v>
      </x:c>
      <x:c r="C109" s="16" t="n">
        <x:v>2030</x:v>
      </x:c>
      <x:c r="D109" s="34" t="n">
        <x:v>10692</x:v>
      </x:c>
      <x:c r="E109" s="21" t="n">
        <x:v>-0.00419111483654655</x:v>
      </x:c>
      <x:c r="F109" s="36" t="n">
        <x:f>Assumptions!$B$5</x:f>
        <x:v>0.628</x:v>
      </x:c>
      <x:c r="G109" s="38" t="n">
        <x:f>D109*F109</x:f>
        <x:v>6714.576</x:v>
      </x:c>
      <x:c r="H109" s="36" t="n">
        <x:f>Assumptions!$B$6</x:f>
        <x:v>0.6666666666666666</x:v>
      </x:c>
      <x:c r="I109" s="38" t="n">
        <x:f>G109*H109</x:f>
        <x:v>4476.384</x:v>
      </x:c>
      <x:c r="J109" s="40" t="n">
        <x:f>D109*Assumptions!$C$5*Assumptions!$C$6</x:f>
        <x:v>3810.985199999999</x:v>
      </x:c>
      <x:c r="K109" s="40" t="n">
        <x:f>D109*Assumptions!$D$5*Assumptions!$D$6</x:f>
        <x:v>5195.2428</x:v>
      </x:c>
      <x:c r="L109" s="34" t="n">
        <x:v>35181</x:v>
      </x:c>
      <x:c r="M109" s="34" t="n">
        <x:v>9</x:v>
      </x:c>
      <x:c r="N109" s="38" t="n">
        <x:f>IF(L109=0,0,L109/Assumptions!$B$7)</x:f>
        <x:v>8277.882352941177</x:v>
      </x:c>
      <x:c r="O109" s="42" t="n">
        <x:f>IF(N109=0,0,I109/N109)</x:f>
        <x:v>0.5407643898695318</x:v>
      </x:c>
      <x:c r="P109" s="44" t="str">
        <x:v>Coverage below 1.0 indicates reliance on imported, transfer, adult, international, or higher-participation demand.</x:v>
      </x:c>
    </x:row>
    <x:row r="110">
      <x:c r="A110" s="16" t="str">
        <x:v>MT</x:v>
      </x:c>
      <x:c r="B110" s="16" t="str">
        <x:v>Montana</x:v>
      </x:c>
      <x:c r="C110" s="16" t="n">
        <x:v>2035</x:v>
      </x:c>
      <x:c r="D110" s="34" t="n">
        <x:v>11218</x:v>
      </x:c>
      <x:c r="E110" s="21" t="n">
        <x:v>0.04479836080841948</x:v>
      </x:c>
      <x:c r="F110" s="36" t="n">
        <x:f>Assumptions!$B$5</x:f>
        <x:v>0.628</x:v>
      </x:c>
      <x:c r="G110" s="38" t="n">
        <x:f>D110*F110</x:f>
        <x:v>7044.904</x:v>
      </x:c>
      <x:c r="H110" s="36" t="n">
        <x:f>Assumptions!$B$6</x:f>
        <x:v>0.6666666666666666</x:v>
      </x:c>
      <x:c r="I110" s="38" t="n">
        <x:f>G110*H110</x:f>
        <x:v>4696.602666666667</x:v>
      </x:c>
      <x:c r="J110" s="40" t="n">
        <x:f>D110*Assumptions!$C$5*Assumptions!$C$6</x:f>
        <x:v>3998.4691333333326</x:v>
      </x:c>
      <x:c r="K110" s="40" t="n">
        <x:f>D110*Assumptions!$D$5*Assumptions!$D$6</x:f>
        <x:v>5450.8262</x:v>
      </x:c>
      <x:c r="L110" s="34" t="n">
        <x:v>35181</x:v>
      </x:c>
      <x:c r="M110" s="34" t="n">
        <x:v>9</x:v>
      </x:c>
      <x:c r="N110" s="38" t="n">
        <x:f>IF(L110=0,0,L110/Assumptions!$B$7)</x:f>
        <x:v>8277.882352941177</x:v>
      </x:c>
      <x:c r="O110" s="42" t="n">
        <x:f>IF(N110=0,0,I110/N110)</x:f>
        <x:v>0.5673676510995518</x:v>
      </x:c>
      <x:c r="P110" s="44" t="str">
        <x:v>Coverage below 1.0 indicates reliance on imported, transfer, adult, international, or higher-participation demand.</x:v>
      </x:c>
    </x:row>
    <x:row r="111">
      <x:c r="A111" s="16" t="str">
        <x:v>MT</x:v>
      </x:c>
      <x:c r="B111" s="16" t="str">
        <x:v>Montana</x:v>
      </x:c>
      <x:c r="C111" s="16" t="n">
        <x:v>2041</x:v>
      </x:c>
      <x:c r="D111" s="34" t="n">
        <x:v>10520</x:v>
      </x:c>
      <x:c r="E111" s="21" t="n">
        <x:v>-0.020210487100679853</x:v>
      </x:c>
      <x:c r="F111" s="36" t="n">
        <x:f>Assumptions!$B$5</x:f>
        <x:v>0.628</x:v>
      </x:c>
      <x:c r="G111" s="38" t="n">
        <x:f>D111*F111</x:f>
        <x:v>6606.56</x:v>
      </x:c>
      <x:c r="H111" s="36" t="n">
        <x:f>Assumptions!$B$6</x:f>
        <x:v>0.6666666666666666</x:v>
      </x:c>
      <x:c r="I111" s="38" t="n">
        <x:f>G111*H111</x:f>
        <x:v>4404.373333333333</x:v>
      </x:c>
      <x:c r="J111" s="40" t="n">
        <x:f>D111*Assumptions!$C$5*Assumptions!$C$6</x:f>
        <x:v>3749.678666666666</x:v>
      </x:c>
      <x:c r="K111" s="40" t="n">
        <x:f>D111*Assumptions!$D$5*Assumptions!$D$6</x:f>
        <x:v>5111.668000000001</x:v>
      </x:c>
      <x:c r="L111" s="34" t="n">
        <x:v>35181</x:v>
      </x:c>
      <x:c r="M111" s="34" t="n">
        <x:v>9</x:v>
      </x:c>
      <x:c r="N111" s="38" t="n">
        <x:f>IF(L111=0,0,L111/Assumptions!$B$7)</x:f>
        <x:v>8277.882352941177</x:v>
      </x:c>
      <x:c r="O111" s="42" t="n">
        <x:f>IF(N111=0,0,I111/N111)</x:f>
        <x:v>0.5320652246003998</x:v>
      </x:c>
      <x:c r="P111" s="44" t="str">
        <x:v>Coverage below 1.0 indicates reliance on imported, transfer, adult, international, or higher-participation demand.</x:v>
      </x:c>
    </x:row>
    <x:row r="112">
      <x:c r="A112" s="16" t="str">
        <x:v>NC</x:v>
      </x:c>
      <x:c r="B112" s="16" t="str">
        <x:v>North Carolina</x:v>
      </x:c>
      <x:c r="C112" s="16" t="n">
        <x:v>2026</x:v>
      </x:c>
      <x:c r="D112" s="34" t="n">
        <x:v>121551</x:v>
      </x:c>
      <x:c r="E112" s="21" t="n">
        <x:v>0</x:v>
      </x:c>
      <x:c r="F112" s="36" t="n">
        <x:f>Assumptions!$B$5</x:f>
        <x:v>0.628</x:v>
      </x:c>
      <x:c r="G112" s="38" t="n">
        <x:f>D112*F112</x:f>
        <x:v>76334.028</x:v>
      </x:c>
      <x:c r="H112" s="36" t="n">
        <x:f>Assumptions!$B$6</x:f>
        <x:v>0.6666666666666666</x:v>
      </x:c>
      <x:c r="I112" s="38" t="n">
        <x:f>G112*H112</x:f>
        <x:v>50889.352</x:v>
      </x:c>
      <x:c r="J112" s="40" t="n">
        <x:f>D112*Assumptions!$C$5*Assumptions!$C$6</x:f>
        <x:v>43324.828099999984</x:v>
      </x:c>
      <x:c r="K112" s="40" t="n">
        <x:f>D112*Assumptions!$D$5*Assumptions!$D$6</x:f>
        <x:v>59061.630900000004</x:v>
      </x:c>
      <x:c r="L112" s="34" t="n">
        <x:v>241612</x:v>
      </x:c>
      <x:c r="M112" s="34" t="n">
        <x:v>58</x:v>
      </x:c>
      <x:c r="N112" s="38" t="n">
        <x:f>IF(L112=0,0,L112/Assumptions!$B$7)</x:f>
        <x:v>56849.882352941175</x:v>
      </x:c>
      <x:c r="O112" s="42" t="n">
        <x:f>IF(N112=0,0,I112/N112)</x:f>
        <x:v>0.8951531629223715</x:v>
      </x:c>
      <x:c r="P112" s="44" t="str">
        <x:v>Coverage below 1.0 indicates reliance on imported, transfer, adult, international, or higher-participation demand.</x:v>
      </x:c>
    </x:row>
    <x:row r="113">
      <x:c r="A113" s="16" t="str">
        <x:v>NC</x:v>
      </x:c>
      <x:c r="B113" s="16" t="str">
        <x:v>North Carolina</x:v>
      </x:c>
      <x:c r="C113" s="16" t="n">
        <x:v>2030</x:v>
      </x:c>
      <x:c r="D113" s="34" t="n">
        <x:v>118193</x:v>
      </x:c>
      <x:c r="E113" s="21" t="n">
        <x:v>-0.027626263872777668</x:v>
      </x:c>
      <x:c r="F113" s="36" t="n">
        <x:f>Assumptions!$B$5</x:f>
        <x:v>0.628</x:v>
      </x:c>
      <x:c r="G113" s="38" t="n">
        <x:f>D113*F113</x:f>
        <x:v>74225.204</x:v>
      </x:c>
      <x:c r="H113" s="36" t="n">
        <x:f>Assumptions!$B$6</x:f>
        <x:v>0.6666666666666666</x:v>
      </x:c>
      <x:c r="I113" s="38" t="n">
        <x:f>G113*H113</x:f>
        <x:v>49483.46933333333</x:v>
      </x:c>
      <x:c r="J113" s="40" t="n">
        <x:f>D113*Assumptions!$C$5*Assumptions!$C$6</x:f>
        <x:v>42127.92496666665</x:v>
      </x:c>
      <x:c r="K113" s="40" t="n">
        <x:f>D113*Assumptions!$D$5*Assumptions!$D$6</x:f>
        <x:v>57429.97870000001</x:v>
      </x:c>
      <x:c r="L113" s="34" t="n">
        <x:v>241612</x:v>
      </x:c>
      <x:c r="M113" s="34" t="n">
        <x:v>58</x:v>
      </x:c>
      <x:c r="N113" s="38" t="n">
        <x:f>IF(L113=0,0,L113/Assumptions!$B$7)</x:f>
        <x:v>56849.882352941175</x:v>
      </x:c>
      <x:c r="O113" s="42" t="n">
        <x:f>IF(N113=0,0,I113/N113)</x:f>
        <x:v>0.8704234254369263</x:v>
      </x:c>
      <x:c r="P113" s="44" t="str">
        <x:v>Coverage below 1.0 indicates reliance on imported, transfer, adult, international, or higher-participation demand.</x:v>
      </x:c>
    </x:row>
    <x:row r="114">
      <x:c r="A114" s="16" t="str">
        <x:v>NC</x:v>
      </x:c>
      <x:c r="B114" s="16" t="str">
        <x:v>North Carolina</x:v>
      </x:c>
      <x:c r="C114" s="16" t="n">
        <x:v>2035</x:v>
      </x:c>
      <x:c r="D114" s="34" t="n">
        <x:v>123253</x:v>
      </x:c>
      <x:c r="E114" s="21" t="n">
        <x:v>0.014002352921818728</x:v>
      </x:c>
      <x:c r="F114" s="36" t="n">
        <x:f>Assumptions!$B$5</x:f>
        <x:v>0.628</x:v>
      </x:c>
      <x:c r="G114" s="38" t="n">
        <x:f>D114*F114</x:f>
        <x:v>77402.884</x:v>
      </x:c>
      <x:c r="H114" s="36" t="n">
        <x:f>Assumptions!$B$6</x:f>
        <x:v>0.6666666666666666</x:v>
      </x:c>
      <x:c r="I114" s="38" t="n">
        <x:f>G114*H114</x:f>
        <x:v>51601.922666666665</x:v>
      </x:c>
      <x:c r="J114" s="40" t="n">
        <x:f>D114*Assumptions!$C$5*Assumptions!$C$6</x:f>
        <x:v>43931.47763333333</x:v>
      </x:c>
      <x:c r="K114" s="40" t="n">
        <x:f>D114*Assumptions!$D$5*Assumptions!$D$6</x:f>
        <x:v>59888.6327</x:v>
      </x:c>
      <x:c r="L114" s="34" t="n">
        <x:v>241612</x:v>
      </x:c>
      <x:c r="M114" s="34" t="n">
        <x:v>58</x:v>
      </x:c>
      <x:c r="N114" s="38" t="n">
        <x:f>IF(L114=0,0,L114/Assumptions!$B$7)</x:f>
        <x:v>56849.882352941175</x:v>
      </x:c>
      <x:c r="O114" s="42" t="n">
        <x:f>IF(N114=0,0,I114/N114)</x:f>
        <x:v>0.9076874134286929</x:v>
      </x:c>
      <x:c r="P114" s="44" t="str">
        <x:v>Coverage below 1.0 indicates reliance on imported, transfer, adult, international, or higher-participation demand.</x:v>
      </x:c>
    </x:row>
    <x:row r="115">
      <x:c r="A115" s="16" t="str">
        <x:v>NC</x:v>
      </x:c>
      <x:c r="B115" s="16" t="str">
        <x:v>North Carolina</x:v>
      </x:c>
      <x:c r="C115" s="16" t="n">
        <x:v>2041</x:v>
      </x:c>
      <x:c r="D115" s="34" t="n">
        <x:v>122719</x:v>
      </x:c>
      <x:c r="E115" s="21" t="n">
        <x:v>0.009609135260096657</x:v>
      </x:c>
      <x:c r="F115" s="36" t="n">
        <x:f>Assumptions!$B$5</x:f>
        <x:v>0.628</x:v>
      </x:c>
      <x:c r="G115" s="38" t="n">
        <x:f>D115*F115</x:f>
        <x:v>77067.532</x:v>
      </x:c>
      <x:c r="H115" s="36" t="n">
        <x:f>Assumptions!$B$6</x:f>
        <x:v>0.6666666666666666</x:v>
      </x:c>
      <x:c r="I115" s="38" t="n">
        <x:f>G115*H115</x:f>
        <x:v>51378.354666666666</x:v>
      </x:c>
      <x:c r="J115" s="40" t="n">
        <x:f>D115*Assumptions!$C$5*Assumptions!$C$6</x:f>
        <x:v>43741.142233333325</x:v>
      </x:c>
      <x:c r="K115" s="40" t="n">
        <x:f>D115*Assumptions!$D$5*Assumptions!$D$6</x:f>
        <x:v>59629.1621</x:v>
      </x:c>
      <x:c r="L115" s="34" t="n">
        <x:v>241612</x:v>
      </x:c>
      <x:c r="M115" s="34" t="n">
        <x:v>58</x:v>
      </x:c>
      <x:c r="N115" s="38" t="n">
        <x:f>IF(L115=0,0,L115/Assumptions!$B$7)</x:f>
        <x:v>56849.882352941175</x:v>
      </x:c>
      <x:c r="O115" s="42" t="n">
        <x:f>IF(N115=0,0,I115/N115)</x:f>
        <x:v>0.9037548107433958</x:v>
      </x:c>
      <x:c r="P115" s="44" t="str">
        <x:v>Coverage below 1.0 indicates reliance on imported, transfer, adult, international, or higher-participation demand.</x:v>
      </x:c>
    </x:row>
    <x:row r="116">
      <x:c r="A116" s="16" t="str">
        <x:v>ND</x:v>
      </x:c>
      <x:c r="B116" s="16" t="str">
        <x:v>North Dakota</x:v>
      </x:c>
      <x:c r="C116" s="16" t="n">
        <x:v>2026</x:v>
      </x:c>
      <x:c r="D116" s="34" t="n">
        <x:v>8637</x:v>
      </x:c>
      <x:c r="E116" s="21" t="n">
        <x:v>0</x:v>
      </x:c>
      <x:c r="F116" s="36" t="n">
        <x:f>Assumptions!$B$5</x:f>
        <x:v>0.628</x:v>
      </x:c>
      <x:c r="G116" s="38" t="n">
        <x:f>D116*F116</x:f>
        <x:v>5424.036</x:v>
      </x:c>
      <x:c r="H116" s="36" t="n">
        <x:f>Assumptions!$B$6</x:f>
        <x:v>0.6666666666666666</x:v>
      </x:c>
      <x:c r="I116" s="38" t="n">
        <x:f>G116*H116</x:f>
        <x:v>3616.024</x:v>
      </x:c>
      <x:c r="J116" s="40" t="n">
        <x:f>D116*Assumptions!$C$5*Assumptions!$C$6</x:f>
        <x:v>3078.5146999999993</x:v>
      </x:c>
      <x:c r="K116" s="40" t="n">
        <x:f>D116*Assumptions!$D$5*Assumptions!$D$6</x:f>
        <x:v>4196.7183</x:v>
      </x:c>
      <x:c r="L116" s="34" t="n">
        <x:v>30942</x:v>
      </x:c>
      <x:c r="M116" s="34" t="n">
        <x:v>9</x:v>
      </x:c>
      <x:c r="N116" s="38" t="n">
        <x:f>IF(L116=0,0,L116/Assumptions!$B$7)</x:f>
        <x:v>7280.470588235294</x:v>
      </x:c>
      <x:c r="O116" s="42" t="n">
        <x:f>IF(N116=0,0,I116/N116)</x:f>
        <x:v>0.4966744877512766</x:v>
      </x:c>
      <x:c r="P116" s="44" t="str">
        <x:v>Coverage below 1.0 indicates reliance on imported, transfer, adult, international, or higher-participation demand.</x:v>
      </x:c>
    </x:row>
    <x:row r="117">
      <x:c r="A117" s="16" t="str">
        <x:v>ND</x:v>
      </x:c>
      <x:c r="B117" s="16" t="str">
        <x:v>North Dakota</x:v>
      </x:c>
      <x:c r="C117" s="16" t="n">
        <x:v>2030</x:v>
      </x:c>
      <x:c r="D117" s="34" t="n">
        <x:v>9291</x:v>
      </x:c>
      <x:c r="E117" s="21" t="n">
        <x:v>0.075720736366794</x:v>
      </x:c>
      <x:c r="F117" s="36" t="n">
        <x:f>Assumptions!$B$5</x:f>
        <x:v>0.628</x:v>
      </x:c>
      <x:c r="G117" s="38" t="n">
        <x:f>D117*F117</x:f>
        <x:v>5834.748</x:v>
      </x:c>
      <x:c r="H117" s="36" t="n">
        <x:f>Assumptions!$B$6</x:f>
        <x:v>0.6666666666666666</x:v>
      </x:c>
      <x:c r="I117" s="38" t="n">
        <x:f>G117*H117</x:f>
        <x:v>3889.8319999999994</x:v>
      </x:c>
      <x:c r="J117" s="40" t="n">
        <x:f>D117*Assumptions!$C$5*Assumptions!$C$6</x:f>
        <x:v>3311.622099999999</x:v>
      </x:c>
      <x:c r="K117" s="40" t="n">
        <x:f>D117*Assumptions!$D$5*Assumptions!$D$6</x:f>
        <x:v>4514.4969</x:v>
      </x:c>
      <x:c r="L117" s="34" t="n">
        <x:v>30942</x:v>
      </x:c>
      <x:c r="M117" s="34" t="n">
        <x:v>9</x:v>
      </x:c>
      <x:c r="N117" s="38" t="n">
        <x:f>IF(L117=0,0,L117/Assumptions!$B$7)</x:f>
        <x:v>7280.470588235294</x:v>
      </x:c>
      <x:c r="O117" s="42" t="n">
        <x:f>IF(N117=0,0,I117/N117)</x:f>
        <x:v>0.5342830456984035</x:v>
      </x:c>
      <x:c r="P117" s="44" t="str">
        <x:v>Coverage below 1.0 indicates reliance on imported, transfer, adult, international, or higher-participation demand.</x:v>
      </x:c>
    </x:row>
    <x:row r="118">
      <x:c r="A118" s="16" t="str">
        <x:v>ND</x:v>
      </x:c>
      <x:c r="B118" s="16" t="str">
        <x:v>North Dakota</x:v>
      </x:c>
      <x:c r="C118" s="16" t="n">
        <x:v>2035</x:v>
      </x:c>
      <x:c r="D118" s="34" t="n">
        <x:v>9771</x:v>
      </x:c>
      <x:c r="E118" s="21" t="n">
        <x:v>0.13129558874609248</x:v>
      </x:c>
      <x:c r="F118" s="36" t="n">
        <x:f>Assumptions!$B$5</x:f>
        <x:v>0.628</x:v>
      </x:c>
      <x:c r="G118" s="38" t="n">
        <x:f>D118*F118</x:f>
        <x:v>6136.188</x:v>
      </x:c>
      <x:c r="H118" s="36" t="n">
        <x:f>Assumptions!$B$6</x:f>
        <x:v>0.6666666666666666</x:v>
      </x:c>
      <x:c r="I118" s="38" t="n">
        <x:f>G118*H118</x:f>
        <x:v>4090.792</x:v>
      </x:c>
      <x:c r="J118" s="40" t="n">
        <x:f>D118*Assumptions!$C$5*Assumptions!$C$6</x:f>
        <x:v>3482.7100999999993</x:v>
      </x:c>
      <x:c r="K118" s="40" t="n">
        <x:f>D118*Assumptions!$D$5*Assumptions!$D$6</x:f>
        <x:v>4747.7289</x:v>
      </x:c>
      <x:c r="L118" s="34" t="n">
        <x:v>30942</x:v>
      </x:c>
      <x:c r="M118" s="34" t="n">
        <x:v>9</x:v>
      </x:c>
      <x:c r="N118" s="38" t="n">
        <x:f>IF(L118=0,0,L118/Assumptions!$B$7)</x:f>
        <x:v>7280.470588235294</x:v>
      </x:c>
      <x:c r="O118" s="42" t="n">
        <x:f>IF(N118=0,0,I118/N118)</x:f>
        <x:v>0.5618856570357443</x:v>
      </x:c>
      <x:c r="P118" s="44" t="str">
        <x:v>Coverage below 1.0 indicates reliance on imported, transfer, adult, international, or higher-participation demand.</x:v>
      </x:c>
    </x:row>
    <x:row r="119">
      <x:c r="A119" s="16" t="str">
        <x:v>ND</x:v>
      </x:c>
      <x:c r="B119" s="16" t="str">
        <x:v>North Dakota</x:v>
      </x:c>
      <x:c r="C119" s="16" t="n">
        <x:v>2041</x:v>
      </x:c>
      <x:c r="D119" s="34" t="n">
        <x:v>8690</x:v>
      </x:c>
      <x:c r="E119" s="21" t="n">
        <x:v>0.0061363899502142605</x:v>
      </x:c>
      <x:c r="F119" s="36" t="n">
        <x:f>Assumptions!$B$5</x:f>
        <x:v>0.628</x:v>
      </x:c>
      <x:c r="G119" s="38" t="n">
        <x:f>D119*F119</x:f>
        <x:v>5457.32</x:v>
      </x:c>
      <x:c r="H119" s="36" t="n">
        <x:f>Assumptions!$B$6</x:f>
        <x:v>0.6666666666666666</x:v>
      </x:c>
      <x:c r="I119" s="38" t="n">
        <x:f>G119*H119</x:f>
        <x:v>3638.213333333333</x:v>
      </x:c>
      <x:c r="J119" s="40" t="n">
        <x:f>D119*Assumptions!$C$5*Assumptions!$C$6</x:f>
        <x:v>3097.405666666666</x:v>
      </x:c>
      <x:c r="K119" s="40" t="n">
        <x:f>D119*Assumptions!$D$5*Assumptions!$D$6</x:f>
        <x:v>4222.4710000000005</x:v>
      </x:c>
      <x:c r="L119" s="34" t="n">
        <x:v>30942</x:v>
      </x:c>
      <x:c r="M119" s="34" t="n">
        <x:v>9</x:v>
      </x:c>
      <x:c r="N119" s="38" t="n">
        <x:f>IF(L119=0,0,L119/Assumptions!$B$7)</x:f>
        <x:v>7280.470588235294</x:v>
      </x:c>
      <x:c r="O119" s="42" t="n">
        <x:f>IF(N119=0,0,I119/N119)</x:f>
        <x:v>0.4997222760864413</x:v>
      </x:c>
      <x:c r="P119" s="44" t="str">
        <x:v>Coverage below 1.0 indicates reliance on imported, transfer, adult, international, or higher-participation demand.</x:v>
      </x:c>
    </x:row>
    <x:row r="120">
      <x:c r="A120" s="16" t="str">
        <x:v>NE</x:v>
      </x:c>
      <x:c r="B120" s="16" t="str">
        <x:v>Nebraska</x:v>
      </x:c>
      <x:c r="C120" s="16" t="n">
        <x:v>2026</x:v>
      </x:c>
      <x:c r="D120" s="34" t="n">
        <x:v>25492</x:v>
      </x:c>
      <x:c r="E120" s="21" t="n">
        <x:v>0</x:v>
      </x:c>
      <x:c r="F120" s="36" t="n">
        <x:f>Assumptions!$B$5</x:f>
        <x:v>0.628</x:v>
      </x:c>
      <x:c r="G120" s="38" t="n">
        <x:f>D120*F120</x:f>
        <x:v>16008.976</x:v>
      </x:c>
      <x:c r="H120" s="36" t="n">
        <x:f>Assumptions!$B$6</x:f>
        <x:v>0.6666666666666666</x:v>
      </x:c>
      <x:c r="I120" s="38" t="n">
        <x:f>G120*H120</x:f>
        <x:v>10672.650666666666</x:v>
      </x:c>
      <x:c r="J120" s="40" t="n">
        <x:f>D120*Assumptions!$C$5*Assumptions!$C$6</x:f>
        <x:v>9086.19853333333</x:v>
      </x:c>
      <x:c r="K120" s="40" t="n">
        <x:f>D120*Assumptions!$D$5*Assumptions!$D$6</x:f>
        <x:v>12386.562800000002</x:v>
      </x:c>
      <x:c r="L120" s="34" t="n">
        <x:v>66045</x:v>
      </x:c>
      <x:c r="M120" s="34" t="n">
        <x:v>23</x:v>
      </x:c>
      <x:c r="N120" s="38" t="n">
        <x:f>IF(L120=0,0,L120/Assumptions!$B$7)</x:f>
        <x:v>15540</x:v>
      </x:c>
      <x:c r="O120" s="42" t="n">
        <x:f>IF(N120=0,0,I120/N120)</x:f>
        <x:v>0.6867857571857572</x:v>
      </x:c>
      <x:c r="P120" s="44" t="str">
        <x:v>Coverage below 1.0 indicates reliance on imported, transfer, adult, international, or higher-participation demand.</x:v>
      </x:c>
    </x:row>
    <x:row r="121">
      <x:c r="A121" s="16" t="str">
        <x:v>NE</x:v>
      </x:c>
      <x:c r="B121" s="16" t="str">
        <x:v>Nebraska</x:v>
      </x:c>
      <x:c r="C121" s="16" t="n">
        <x:v>2030</x:v>
      </x:c>
      <x:c r="D121" s="34" t="n">
        <x:v>24909</x:v>
      </x:c>
      <x:c r="E121" s="21" t="n">
        <x:v>-0.02286991997489407</x:v>
      </x:c>
      <x:c r="F121" s="36" t="n">
        <x:f>Assumptions!$B$5</x:f>
        <x:v>0.628</x:v>
      </x:c>
      <x:c r="G121" s="38" t="n">
        <x:f>D121*F121</x:f>
        <x:v>15642.852</x:v>
      </x:c>
      <x:c r="H121" s="36" t="n">
        <x:f>Assumptions!$B$6</x:f>
        <x:v>0.6666666666666666</x:v>
      </x:c>
      <x:c r="I121" s="38" t="n">
        <x:f>G121*H121</x:f>
        <x:v>10428.568</x:v>
      </x:c>
      <x:c r="J121" s="40" t="n">
        <x:f>D121*Assumptions!$C$5*Assumptions!$C$6</x:f>
        <x:v>8878.397899999998</x:v>
      </x:c>
      <x:c r="K121" s="40" t="n">
        <x:f>D121*Assumptions!$D$5*Assumptions!$D$6</x:f>
        <x:v>12103.2831</x:v>
      </x:c>
      <x:c r="L121" s="34" t="n">
        <x:v>66045</x:v>
      </x:c>
      <x:c r="M121" s="34" t="n">
        <x:v>23</x:v>
      </x:c>
      <x:c r="N121" s="38" t="n">
        <x:f>IF(L121=0,0,L121/Assumptions!$B$7)</x:f>
        <x:v>15540</x:v>
      </x:c>
      <x:c r="O121" s="42" t="n">
        <x:f>IF(N121=0,0,I121/N121)</x:f>
        <x:v>0.6710790218790218</x:v>
      </x:c>
      <x:c r="P121" s="44" t="str">
        <x:v>Coverage below 1.0 indicates reliance on imported, transfer, adult, international, or higher-participation demand.</x:v>
      </x:c>
    </x:row>
    <x:row r="122">
      <x:c r="A122" s="16" t="str">
        <x:v>NE</x:v>
      </x:c>
      <x:c r="B122" s="16" t="str">
        <x:v>Nebraska</x:v>
      </x:c>
      <x:c r="C122" s="16" t="n">
        <x:v>2035</x:v>
      </x:c>
      <x:c r="D122" s="34" t="n">
        <x:v>25009</x:v>
      </x:c>
      <x:c r="E122" s="21" t="n">
        <x:v>-0.018947120665306794</x:v>
      </x:c>
      <x:c r="F122" s="36" t="n">
        <x:f>Assumptions!$B$5</x:f>
        <x:v>0.628</x:v>
      </x:c>
      <x:c r="G122" s="38" t="n">
        <x:f>D122*F122</x:f>
        <x:v>15705.652</x:v>
      </x:c>
      <x:c r="H122" s="36" t="n">
        <x:f>Assumptions!$B$6</x:f>
        <x:v>0.6666666666666666</x:v>
      </x:c>
      <x:c r="I122" s="38" t="n">
        <x:f>G122*H122</x:f>
        <x:v>10470.434666666666</x:v>
      </x:c>
      <x:c r="J122" s="40" t="n">
        <x:f>D122*Assumptions!$C$5*Assumptions!$C$6</x:f>
        <x:v>8914.041233333332</x:v>
      </x:c>
      <x:c r="K122" s="40" t="n">
        <x:f>D122*Assumptions!$D$5*Assumptions!$D$6</x:f>
        <x:v>12151.873100000003</x:v>
      </x:c>
      <x:c r="L122" s="34" t="n">
        <x:v>66045</x:v>
      </x:c>
      <x:c r="M122" s="34" t="n">
        <x:v>23</x:v>
      </x:c>
      <x:c r="N122" s="38" t="n">
        <x:f>IF(L122=0,0,L122/Assumptions!$B$7)</x:f>
        <x:v>15540</x:v>
      </x:c>
      <x:c r="O122" s="42" t="n">
        <x:f>IF(N122=0,0,I122/N122)</x:f>
        <x:v>0.6737731445731445</x:v>
      </x:c>
      <x:c r="P122" s="44" t="str">
        <x:v>Coverage below 1.0 indicates reliance on imported, transfer, adult, international, or higher-participation demand.</x:v>
      </x:c>
    </x:row>
    <x:row r="123">
      <x:c r="A123" s="16" t="str">
        <x:v>NE</x:v>
      </x:c>
      <x:c r="B123" s="16" t="str">
        <x:v>Nebraska</x:v>
      </x:c>
      <x:c r="C123" s="16" t="n">
        <x:v>2041</x:v>
      </x:c>
      <x:c r="D123" s="34" t="n">
        <x:v>23263</x:v>
      </x:c>
      <x:c r="E123" s="21" t="n">
        <x:v>-0.08743919661070143</x:v>
      </x:c>
      <x:c r="F123" s="36" t="n">
        <x:f>Assumptions!$B$5</x:f>
        <x:v>0.628</x:v>
      </x:c>
      <x:c r="G123" s="38" t="n">
        <x:f>D123*F123</x:f>
        <x:v>14609.164</x:v>
      </x:c>
      <x:c r="H123" s="36" t="n">
        <x:f>Assumptions!$B$6</x:f>
        <x:v>0.6666666666666666</x:v>
      </x:c>
      <x:c r="I123" s="38" t="n">
        <x:f>G123*H123</x:f>
        <x:v>9739.442666666666</x:v>
      </x:c>
      <x:c r="J123" s="40" t="n">
        <x:f>D123*Assumptions!$C$5*Assumptions!$C$6</x:f>
        <x:v>8291.708633333332</x:v>
      </x:c>
      <x:c r="K123" s="40" t="n">
        <x:f>D123*Assumptions!$D$5*Assumptions!$D$6</x:f>
        <x:v>11303.4917</x:v>
      </x:c>
      <x:c r="L123" s="34" t="n">
        <x:v>66045</x:v>
      </x:c>
      <x:c r="M123" s="34" t="n">
        <x:v>23</x:v>
      </x:c>
      <x:c r="N123" s="38" t="n">
        <x:f>IF(L123=0,0,L123/Assumptions!$B$7)</x:f>
        <x:v>15540</x:v>
      </x:c>
      <x:c r="O123" s="42" t="n">
        <x:f>IF(N123=0,0,I123/N123)</x:f>
        <x:v>0.6267337623337623</x:v>
      </x:c>
      <x:c r="P123" s="44" t="str">
        <x:v>Coverage below 1.0 indicates reliance on imported, transfer, adult, international, or higher-participation demand.</x:v>
      </x:c>
    </x:row>
    <x:row r="124">
      <x:c r="A124" s="16" t="str">
        <x:v>NH</x:v>
      </x:c>
      <x:c r="B124" s="16" t="str">
        <x:v>New Hampshire</x:v>
      </x:c>
      <x:c r="C124" s="16" t="n">
        <x:v>2026</x:v>
      </x:c>
      <x:c r="D124" s="34" t="n">
        <x:v>15213</x:v>
      </x:c>
      <x:c r="E124" s="21" t="n">
        <x:v>0</x:v>
      </x:c>
      <x:c r="F124" s="36" t="n">
        <x:f>Assumptions!$B$5</x:f>
        <x:v>0.628</x:v>
      </x:c>
      <x:c r="G124" s="38" t="n">
        <x:f>D124*F124</x:f>
        <x:v>9553.764</x:v>
      </x:c>
      <x:c r="H124" s="36" t="n">
        <x:f>Assumptions!$B$6</x:f>
        <x:v>0.6666666666666666</x:v>
      </x:c>
      <x:c r="I124" s="38" t="n">
        <x:f>G124*H124</x:f>
        <x:v>6369.1759999999995</x:v>
      </x:c>
      <x:c r="J124" s="40" t="n">
        <x:f>D124*Assumptions!$C$5*Assumptions!$C$6</x:f>
        <x:v>5422.420299999999</x:v>
      </x:c>
      <x:c r="K124" s="40" t="n">
        <x:f>D124*Assumptions!$D$5*Assumptions!$D$6</x:f>
        <x:v>7391.996700000001</x:v>
      </x:c>
      <x:c r="L124" s="34" t="n">
        <x:v>78416</x:v>
      </x:c>
      <x:c r="M124" s="34" t="n">
        <x:v>14</x:v>
      </x:c>
      <x:c r="N124" s="38" t="n">
        <x:f>IF(L124=0,0,L124/Assumptions!$B$7)</x:f>
        <x:v>18450.823529411766</x:v>
      </x:c>
      <x:c r="O124" s="42" t="n">
        <x:f>IF(N124=0,0,I124/N124)</x:f>
        <x:v>0.34519738318710463</x:v>
      </x:c>
      <x:c r="P124" s="44" t="str">
        <x:v>Coverage below 1.0 indicates reliance on imported, transfer, adult, international, or higher-participation demand.</x:v>
      </x:c>
    </x:row>
    <x:row r="125">
      <x:c r="A125" s="16" t="str">
        <x:v>NH</x:v>
      </x:c>
      <x:c r="B125" s="16" t="str">
        <x:v>New Hampshire</x:v>
      </x:c>
      <x:c r="C125" s="16" t="n">
        <x:v>2030</x:v>
      </x:c>
      <x:c r="D125" s="34" t="n">
        <x:v>14146</x:v>
      </x:c>
      <x:c r="E125" s="21" t="n">
        <x:v>-0.07013738250180768</x:v>
      </x:c>
      <x:c r="F125" s="36" t="n">
        <x:f>Assumptions!$B$5</x:f>
        <x:v>0.628</x:v>
      </x:c>
      <x:c r="G125" s="38" t="n">
        <x:f>D125*F125</x:f>
        <x:v>8883.688</x:v>
      </x:c>
      <x:c r="H125" s="36" t="n">
        <x:f>Assumptions!$B$6</x:f>
        <x:v>0.6666666666666666</x:v>
      </x:c>
      <x:c r="I125" s="38" t="n">
        <x:f>G125*H125</x:f>
        <x:v>5922.458666666666</x:v>
      </x:c>
      <x:c r="J125" s="40" t="n">
        <x:f>D125*Assumptions!$C$5*Assumptions!$C$6</x:f>
        <x:v>5042.105933333332</x:v>
      </x:c>
      <x:c r="K125" s="40" t="n">
        <x:f>D125*Assumptions!$D$5*Assumptions!$D$6</x:f>
        <x:v>6873.541400000001</x:v>
      </x:c>
      <x:c r="L125" s="34" t="n">
        <x:v>78416</x:v>
      </x:c>
      <x:c r="M125" s="34" t="n">
        <x:v>14</x:v>
      </x:c>
      <x:c r="N125" s="38" t="n">
        <x:f>IF(L125=0,0,L125/Assumptions!$B$7)</x:f>
        <x:v>18450.823529411766</x:v>
      </x:c>
      <x:c r="O125" s="42" t="n">
        <x:f>IF(N125=0,0,I125/N125)</x:f>
        <x:v>0.3209861422838876</x:v>
      </x:c>
      <x:c r="P125" s="44" t="str">
        <x:v>Coverage below 1.0 indicates reliance on imported, transfer, adult, international, or higher-participation demand.</x:v>
      </x:c>
    </x:row>
    <x:row r="126">
      <x:c r="A126" s="16" t="str">
        <x:v>NH</x:v>
      </x:c>
      <x:c r="B126" s="16" t="str">
        <x:v>New Hampshire</x:v>
      </x:c>
      <x:c r="C126" s="16" t="n">
        <x:v>2035</x:v>
      </x:c>
      <x:c r="D126" s="34" t="n">
        <x:v>14242</x:v>
      </x:c>
      <x:c r="E126" s="21" t="n">
        <x:v>-0.06382699007427861</x:v>
      </x:c>
      <x:c r="F126" s="36" t="n">
        <x:f>Assumptions!$B$5</x:f>
        <x:v>0.628</x:v>
      </x:c>
      <x:c r="G126" s="38" t="n">
        <x:f>D126*F126</x:f>
        <x:v>8943.976</x:v>
      </x:c>
      <x:c r="H126" s="36" t="n">
        <x:f>Assumptions!$B$6</x:f>
        <x:v>0.6666666666666666</x:v>
      </x:c>
      <x:c r="I126" s="38" t="n">
        <x:f>G126*H126</x:f>
        <x:v>5962.650666666666</x:v>
      </x:c>
      <x:c r="J126" s="40" t="n">
        <x:f>D126*Assumptions!$C$5*Assumptions!$C$6</x:f>
        <x:v>5076.323533333333</x:v>
      </x:c>
      <x:c r="K126" s="40" t="n">
        <x:f>D126*Assumptions!$D$5*Assumptions!$D$6</x:f>
        <x:v>6920.187800000001</x:v>
      </x:c>
      <x:c r="L126" s="34" t="n">
        <x:v>78416</x:v>
      </x:c>
      <x:c r="M126" s="34" t="n">
        <x:v>14</x:v>
      </x:c>
      <x:c r="N126" s="38" t="n">
        <x:f>IF(L126=0,0,L126/Assumptions!$B$7)</x:f>
        <x:v>18450.823529411766</x:v>
      </x:c>
      <x:c r="O126" s="42" t="n">
        <x:f>IF(N126=0,0,I126/N126)</x:f>
        <x:v>0.32316447323675435</x:v>
      </x:c>
      <x:c r="P126" s="44" t="str">
        <x:v>Coverage below 1.0 indicates reliance on imported, transfer, adult, international, or higher-participation demand.</x:v>
      </x:c>
    </x:row>
    <x:row r="127">
      <x:c r="A127" s="16" t="str">
        <x:v>NH</x:v>
      </x:c>
      <x:c r="B127" s="16" t="str">
        <x:v>New Hampshire</x:v>
      </x:c>
      <x:c r="C127" s="16" t="n">
        <x:v>2041</x:v>
      </x:c>
      <x:c r="D127" s="34" t="n">
        <x:v>13964</x:v>
      </x:c>
      <x:c r="E127" s="21" t="n">
        <x:v>-0.08210083481233155</x:v>
      </x:c>
      <x:c r="F127" s="36" t="n">
        <x:f>Assumptions!$B$5</x:f>
        <x:v>0.628</x:v>
      </x:c>
      <x:c r="G127" s="38" t="n">
        <x:f>D127*F127</x:f>
        <x:v>8769.392</x:v>
      </x:c>
      <x:c r="H127" s="36" t="n">
        <x:f>Assumptions!$B$6</x:f>
        <x:v>0.6666666666666666</x:v>
      </x:c>
      <x:c r="I127" s="38" t="n">
        <x:f>G127*H127</x:f>
        <x:v>5846.261333333333</x:v>
      </x:c>
      <x:c r="J127" s="40" t="n">
        <x:f>D127*Assumptions!$C$5*Assumptions!$C$6</x:f>
        <x:v>4977.235066666665</x:v>
      </x:c>
      <x:c r="K127" s="40" t="n">
        <x:f>D127*Assumptions!$D$5*Assumptions!$D$6</x:f>
        <x:v>6785.1076</x:v>
      </x:c>
      <x:c r="L127" s="34" t="n">
        <x:v>78416</x:v>
      </x:c>
      <x:c r="M127" s="34" t="n">
        <x:v>14</x:v>
      </x:c>
      <x:c r="N127" s="38" t="n">
        <x:f>IF(L127=0,0,L127/Assumptions!$B$7)</x:f>
        <x:v>18450.823529411766</x:v>
      </x:c>
      <x:c r="O127" s="42" t="n">
        <x:f>IF(N127=0,0,I127/N127)</x:f>
        <x:v>0.31685638985241105</x:v>
      </x:c>
      <x:c r="P127" s="44" t="str">
        <x:v>Coverage below 1.0 indicates reliance on imported, transfer, adult, international, or higher-participation demand.</x:v>
      </x:c>
    </x:row>
    <x:row r="128">
      <x:c r="A128" s="16" t="str">
        <x:v>NJ</x:v>
      </x:c>
      <x:c r="B128" s="16" t="str">
        <x:v>New Jersey</x:v>
      </x:c>
      <x:c r="C128" s="16" t="n">
        <x:v>2026</x:v>
      </x:c>
      <x:c r="D128" s="34" t="n">
        <x:v>109903</x:v>
      </x:c>
      <x:c r="E128" s="21" t="n">
        <x:v>0</x:v>
      </x:c>
      <x:c r="F128" s="36" t="n">
        <x:f>Assumptions!$B$5</x:f>
        <x:v>0.628</x:v>
      </x:c>
      <x:c r="G128" s="38" t="n">
        <x:f>D128*F128</x:f>
        <x:v>69019.084</x:v>
      </x:c>
      <x:c r="H128" s="36" t="n">
        <x:f>Assumptions!$B$6</x:f>
        <x:v>0.6666666666666666</x:v>
      </x:c>
      <x:c r="I128" s="38" t="n">
        <x:f>G128*H128</x:f>
        <x:v>46012.72266666667</x:v>
      </x:c>
      <x:c r="J128" s="40" t="n">
        <x:f>D128*Assumptions!$C$5*Assumptions!$C$6</x:f>
        <x:v>39173.09263333333</x:v>
      </x:c>
      <x:c r="K128" s="40" t="n">
        <x:f>D128*Assumptions!$D$5*Assumptions!$D$6</x:f>
        <x:v>53401.86770000001</x:v>
      </x:c>
      <x:c r="L128" s="34" t="n">
        <x:v>188055</x:v>
      </x:c>
      <x:c r="M128" s="34" t="n">
        <x:v>39</x:v>
      </x:c>
      <x:c r="N128" s="38" t="n">
        <x:f>IF(L128=0,0,L128/Assumptions!$B$7)</x:f>
        <x:v>44248.23529411765</x:v>
      </x:c>
      <x:c r="O128" s="42" t="n">
        <x:f>IF(N128=0,0,I128/N128)</x:f>
        <x:v>1.039877011158083</x:v>
      </x:c>
      <x:c r="P128" s="44" t="str">
        <x:v>Coverage below 1.0 indicates reliance on imported, transfer, adult, international, or higher-participation demand.</x:v>
      </x:c>
    </x:row>
    <x:row r="129">
      <x:c r="A129" s="16" t="str">
        <x:v>NJ</x:v>
      </x:c>
      <x:c r="B129" s="16" t="str">
        <x:v>New Jersey</x:v>
      </x:c>
      <x:c r="C129" s="16" t="n">
        <x:v>2030</x:v>
      </x:c>
      <x:c r="D129" s="34" t="n">
        <x:v>108465</x:v>
      </x:c>
      <x:c r="E129" s="21" t="n">
        <x:v>-0.013084265215690172</x:v>
      </x:c>
      <x:c r="F129" s="36" t="n">
        <x:f>Assumptions!$B$5</x:f>
        <x:v>0.628</x:v>
      </x:c>
      <x:c r="G129" s="38" t="n">
        <x:f>D129*F129</x:f>
        <x:v>68116.02</x:v>
      </x:c>
      <x:c r="H129" s="36" t="n">
        <x:f>Assumptions!$B$6</x:f>
        <x:v>0.6666666666666666</x:v>
      </x:c>
      <x:c r="I129" s="38" t="n">
        <x:f>G129*H129</x:f>
        <x:v>45410.68</x:v>
      </x:c>
      <x:c r="J129" s="40" t="n">
        <x:f>D129*Assumptions!$C$5*Assumptions!$C$6</x:f>
        <x:v>38660.54149999999</x:v>
      </x:c>
      <x:c r="K129" s="40" t="n">
        <x:f>D129*Assumptions!$D$5*Assumptions!$D$6</x:f>
        <x:v>52703.143500000006</x:v>
      </x:c>
      <x:c r="L129" s="34" t="n">
        <x:v>188055</x:v>
      </x:c>
      <x:c r="M129" s="34" t="n">
        <x:v>39</x:v>
      </x:c>
      <x:c r="N129" s="38" t="n">
        <x:f>IF(L129=0,0,L129/Assumptions!$B$7)</x:f>
        <x:v>44248.23529411765</x:v>
      </x:c>
      <x:c r="O129" s="42" t="n">
        <x:f>IF(N129=0,0,I129/N129)</x:f>
        <x:v>1.0262709845523914</x:v>
      </x:c>
      <x:c r="P129" s="44" t="str">
        <x:v>Coverage below 1.0 indicates reliance on imported, transfer, adult, international, or higher-participation demand.</x:v>
      </x:c>
    </x:row>
    <x:row r="130">
      <x:c r="A130" s="16" t="str">
        <x:v>NJ</x:v>
      </x:c>
      <x:c r="B130" s="16" t="str">
        <x:v>New Jersey</x:v>
      </x:c>
      <x:c r="C130" s="16" t="n">
        <x:v>2035</x:v>
      </x:c>
      <x:c r="D130" s="34" t="n">
        <x:v>108372</x:v>
      </x:c>
      <x:c r="E130" s="21" t="n">
        <x:v>-0.013930465956343285</x:v>
      </x:c>
      <x:c r="F130" s="36" t="n">
        <x:f>Assumptions!$B$5</x:f>
        <x:v>0.628</x:v>
      </x:c>
      <x:c r="G130" s="38" t="n">
        <x:f>D130*F130</x:f>
        <x:v>68057.616</x:v>
      </x:c>
      <x:c r="H130" s="36" t="n">
        <x:f>Assumptions!$B$6</x:f>
        <x:v>0.6666666666666666</x:v>
      </x:c>
      <x:c r="I130" s="38" t="n">
        <x:f>G130*H130</x:f>
        <x:v>45371.74399999999</x:v>
      </x:c>
      <x:c r="J130" s="40" t="n">
        <x:f>D130*Assumptions!$C$5*Assumptions!$C$6</x:f>
        <x:v>38627.39319999999</x:v>
      </x:c>
      <x:c r="K130" s="40" t="n">
        <x:f>D130*Assumptions!$D$5*Assumptions!$D$6</x:f>
        <x:v>52657.9548</x:v>
      </x:c>
      <x:c r="L130" s="34" t="n">
        <x:v>188055</x:v>
      </x:c>
      <x:c r="M130" s="34" t="n">
        <x:v>39</x:v>
      </x:c>
      <x:c r="N130" s="38" t="n">
        <x:f>IF(L130=0,0,L130/Assumptions!$B$7)</x:f>
        <x:v>44248.23529411765</x:v>
      </x:c>
      <x:c r="O130" s="42" t="n">
        <x:f>IF(N130=0,0,I130/N130)</x:f>
        <x:v>1.0253910398553612</x:v>
      </x:c>
      <x:c r="P130" s="44" t="str">
        <x:v>Coverage below 1.0 indicates reliance on imported, transfer, adult, international, or higher-participation demand.</x:v>
      </x:c>
    </x:row>
    <x:row r="131">
      <x:c r="A131" s="16" t="str">
        <x:v>NJ</x:v>
      </x:c>
      <x:c r="B131" s="16" t="str">
        <x:v>New Jersey</x:v>
      </x:c>
      <x:c r="C131" s="16" t="n">
        <x:v>2041</x:v>
      </x:c>
      <x:c r="D131" s="34" t="n">
        <x:v>107973</x:v>
      </x:c>
      <x:c r="E131" s="21" t="n">
        <x:v>-0.01756094010172604</x:v>
      </x:c>
      <x:c r="F131" s="36" t="n">
        <x:f>Assumptions!$B$5</x:f>
        <x:v>0.628</x:v>
      </x:c>
      <x:c r="G131" s="38" t="n">
        <x:f>D131*F131</x:f>
        <x:v>67807.044</x:v>
      </x:c>
      <x:c r="H131" s="36" t="n">
        <x:f>Assumptions!$B$6</x:f>
        <x:v>0.6666666666666666</x:v>
      </x:c>
      <x:c r="I131" s="38" t="n">
        <x:f>G131*H131</x:f>
        <x:v>45204.695999999996</x:v>
      </x:c>
      <x:c r="J131" s="40" t="n">
        <x:f>D131*Assumptions!$C$5*Assumptions!$C$6</x:f>
        <x:v>38485.17629999999</x:v>
      </x:c>
      <x:c r="K131" s="40" t="n">
        <x:f>D131*Assumptions!$D$5*Assumptions!$D$6</x:f>
        <x:v>52464.080700000006</x:v>
      </x:c>
      <x:c r="L131" s="34" t="n">
        <x:v>188055</x:v>
      </x:c>
      <x:c r="M131" s="34" t="n">
        <x:v>39</x:v>
      </x:c>
      <x:c r="N131" s="38" t="n">
        <x:f>IF(L131=0,0,L131/Assumptions!$B$7)</x:f>
        <x:v>44248.23529411765</x:v>
      </x:c>
      <x:c r="O131" s="42" t="n">
        <x:f>IF(N131=0,0,I131/N131)</x:f>
        <x:v>1.021615793251974</x:v>
      </x:c>
      <x:c r="P131" s="44" t="str">
        <x:v>Coverage below 1.0 indicates reliance on imported, transfer, adult, international, or higher-participation demand.</x:v>
      </x:c>
    </x:row>
    <x:row r="132">
      <x:c r="A132" s="16" t="str">
        <x:v>NM</x:v>
      </x:c>
      <x:c r="B132" s="16" t="str">
        <x:v>New Mexico</x:v>
      </x:c>
      <x:c r="C132" s="16" t="n">
        <x:v>2026</x:v>
      </x:c>
      <x:c r="D132" s="34" t="n">
        <x:v>22162</x:v>
      </x:c>
      <x:c r="E132" s="21" t="n">
        <x:v>0</x:v>
      </x:c>
      <x:c r="F132" s="36" t="n">
        <x:f>Assumptions!$B$5</x:f>
        <x:v>0.628</x:v>
      </x:c>
      <x:c r="G132" s="38" t="n">
        <x:f>D132*F132</x:f>
        <x:v>13917.736</x:v>
      </x:c>
      <x:c r="H132" s="36" t="n">
        <x:f>Assumptions!$B$6</x:f>
        <x:v>0.6666666666666666</x:v>
      </x:c>
      <x:c r="I132" s="38" t="n">
        <x:f>G132*H132</x:f>
        <x:v>9278.490666666667</x:v>
      </x:c>
      <x:c r="J132" s="40" t="n">
        <x:f>D132*Assumptions!$C$5*Assumptions!$C$6</x:f>
        <x:v>7899.275533333332</x:v>
      </x:c>
      <x:c r="K132" s="40" t="n">
        <x:f>D132*Assumptions!$D$5*Assumptions!$D$6</x:f>
        <x:v>10768.515800000001</x:v>
      </x:c>
      <x:c r="L132" s="34" t="n">
        <x:v>41929</x:v>
      </x:c>
      <x:c r="M132" s="34" t="n">
        <x:v>9</x:v>
      </x:c>
      <x:c r="N132" s="38" t="n">
        <x:f>IF(L132=0,0,L132/Assumptions!$B$7)</x:f>
        <x:v>9865.64705882353</x:v>
      </x:c>
      <x:c r="O132" s="42" t="n">
        <x:f>IF(N132=0,0,I132/N132)</x:f>
        <x:v>0.9404847559763727</x:v>
      </x:c>
      <x:c r="P132" s="44" t="str">
        <x:v>Coverage below 1.0 indicates reliance on imported, transfer, adult, international, or higher-participation demand.</x:v>
      </x:c>
    </x:row>
    <x:row r="133">
      <x:c r="A133" s="16" t="str">
        <x:v>NM</x:v>
      </x:c>
      <x:c r="B133" s="16" t="str">
        <x:v>New Mexico</x:v>
      </x:c>
      <x:c r="C133" s="16" t="n">
        <x:v>2030</x:v>
      </x:c>
      <x:c r="D133" s="34" t="n">
        <x:v>20634</x:v>
      </x:c>
      <x:c r="E133" s="21" t="n">
        <x:v>-0.06894684595253131</x:v>
      </x:c>
      <x:c r="F133" s="36" t="n">
        <x:f>Assumptions!$B$5</x:f>
        <x:v>0.628</x:v>
      </x:c>
      <x:c r="G133" s="38" t="n">
        <x:f>D133*F133</x:f>
        <x:v>12958.152</x:v>
      </x:c>
      <x:c r="H133" s="36" t="n">
        <x:f>Assumptions!$B$6</x:f>
        <x:v>0.6666666666666666</x:v>
      </x:c>
      <x:c r="I133" s="38" t="n">
        <x:f>G133*H133</x:f>
        <x:v>8638.768</x:v>
      </x:c>
      <x:c r="J133" s="40" t="n">
        <x:f>D133*Assumptions!$C$5*Assumptions!$C$6</x:f>
        <x:v>7354.6453999999985</x:v>
      </x:c>
      <x:c r="K133" s="40" t="n">
        <x:f>D133*Assumptions!$D$5*Assumptions!$D$6</x:f>
        <x:v>10026.0606</x:v>
      </x:c>
      <x:c r="L133" s="34" t="n">
        <x:v>41929</x:v>
      </x:c>
      <x:c r="M133" s="34" t="n">
        <x:v>9</x:v>
      </x:c>
      <x:c r="N133" s="38" t="n">
        <x:f>IF(L133=0,0,L133/Assumptions!$B$7)</x:f>
        <x:v>9865.64705882353</x:v>
      </x:c>
      <x:c r="O133" s="42" t="n">
        <x:f>IF(N133=0,0,I133/N133)</x:f>
        <x:v>0.8756412983853658</x:v>
      </x:c>
      <x:c r="P133" s="44" t="str">
        <x:v>Coverage below 1.0 indicates reliance on imported, transfer, adult, international, or higher-participation demand.</x:v>
      </x:c>
    </x:row>
    <x:row r="134">
      <x:c r="A134" s="16" t="str">
        <x:v>NM</x:v>
      </x:c>
      <x:c r="B134" s="16" t="str">
        <x:v>New Mexico</x:v>
      </x:c>
      <x:c r="C134" s="16" t="n">
        <x:v>2035</x:v>
      </x:c>
      <x:c r="D134" s="34" t="n">
        <x:v>19426</x:v>
      </x:c>
      <x:c r="E134" s="21" t="n">
        <x:v>-0.1234545618626478</x:v>
      </x:c>
      <x:c r="F134" s="36" t="n">
        <x:f>Assumptions!$B$5</x:f>
        <x:v>0.628</x:v>
      </x:c>
      <x:c r="G134" s="38" t="n">
        <x:f>D134*F134</x:f>
        <x:v>12199.528</x:v>
      </x:c>
      <x:c r="H134" s="36" t="n">
        <x:f>Assumptions!$B$6</x:f>
        <x:v>0.6666666666666666</x:v>
      </x:c>
      <x:c r="I134" s="38" t="n">
        <x:f>G134*H134</x:f>
        <x:v>8133.018666666667</x:v>
      </x:c>
      <x:c r="J134" s="40" t="n">
        <x:f>D134*Assumptions!$C$5*Assumptions!$C$6</x:f>
        <x:v>6924.073933333332</x:v>
      </x:c>
      <x:c r="K134" s="40" t="n">
        <x:f>D134*Assumptions!$D$5*Assumptions!$D$6</x:f>
        <x:v>9439.093400000002</x:v>
      </x:c>
      <x:c r="L134" s="34" t="n">
        <x:v>41929</x:v>
      </x:c>
      <x:c r="M134" s="34" t="n">
        <x:v>9</x:v>
      </x:c>
      <x:c r="N134" s="38" t="n">
        <x:f>IF(L134=0,0,L134/Assumptions!$B$7)</x:f>
        <x:v>9865.64705882353</x:v>
      </x:c>
      <x:c r="O134" s="42" t="n">
        <x:f>IF(N134=0,0,I134/N134)</x:f>
        <x:v>0.8243776224888104</x:v>
      </x:c>
      <x:c r="P134" s="44" t="str">
        <x:v>Coverage below 1.0 indicates reliance on imported, transfer, adult, international, or higher-participation demand.</x:v>
      </x:c>
    </x:row>
    <x:row r="135">
      <x:c r="A135" s="16" t="str">
        <x:v>NM</x:v>
      </x:c>
      <x:c r="B135" s="16" t="str">
        <x:v>New Mexico</x:v>
      </x:c>
      <x:c r="C135" s="16" t="n">
        <x:v>2041</x:v>
      </x:c>
      <x:c r="D135" s="34" t="n">
        <x:v>17104</x:v>
      </x:c>
      <x:c r="E135" s="21" t="n">
        <x:v>-0.2282284992329212</x:v>
      </x:c>
      <x:c r="F135" s="36" t="n">
        <x:f>Assumptions!$B$5</x:f>
        <x:v>0.628</x:v>
      </x:c>
      <x:c r="G135" s="38" t="n">
        <x:f>D135*F135</x:f>
        <x:v>10741.312</x:v>
      </x:c>
      <x:c r="H135" s="36" t="n">
        <x:f>Assumptions!$B$6</x:f>
        <x:v>0.6666666666666666</x:v>
      </x:c>
      <x:c r="I135" s="38" t="n">
        <x:f>G135*H135</x:f>
        <x:v>7160.874666666667</x:v>
      </x:c>
      <x:c r="J135" s="40" t="n">
        <x:f>D135*Assumptions!$C$5*Assumptions!$C$6</x:f>
        <x:v>6096.435733333332</x:v>
      </x:c>
      <x:c r="K135" s="40" t="n">
        <x:f>D135*Assumptions!$D$5*Assumptions!$D$6</x:f>
        <x:v>8310.8336</x:v>
      </x:c>
      <x:c r="L135" s="34" t="n">
        <x:v>41929</x:v>
      </x:c>
      <x:c r="M135" s="34" t="n">
        <x:v>9</x:v>
      </x:c>
      <x:c r="N135" s="38" t="n">
        <x:f>IF(L135=0,0,L135/Assumptions!$B$7)</x:f>
        <x:v>9865.64705882353</x:v>
      </x:c>
      <x:c r="O135" s="42" t="n">
        <x:f>IF(N135=0,0,I135/N135)</x:f>
        <x:v>0.725839331568445</x:v>
      </x:c>
      <x:c r="P135" s="44" t="str">
        <x:v>Coverage below 1.0 indicates reliance on imported, transfer, adult, international, or higher-participation demand.</x:v>
      </x:c>
    </x:row>
    <x:row r="136">
      <x:c r="A136" s="16" t="str">
        <x:v>NV</x:v>
      </x:c>
      <x:c r="B136" s="16" t="str">
        <x:v>Nevada</x:v>
      </x:c>
      <x:c r="C136" s="16" t="n">
        <x:v>2026</x:v>
      </x:c>
      <x:c r="D136" s="34" t="n">
        <x:v>34639</x:v>
      </x:c>
      <x:c r="E136" s="21" t="n">
        <x:v>0</x:v>
      </x:c>
      <x:c r="F136" s="36" t="n">
        <x:f>Assumptions!$B$5</x:f>
        <x:v>0.628</x:v>
      </x:c>
      <x:c r="G136" s="38" t="n">
        <x:f>D136*F136</x:f>
        <x:v>21753.292</x:v>
      </x:c>
      <x:c r="H136" s="36" t="n">
        <x:f>Assumptions!$B$6</x:f>
        <x:v>0.6666666666666666</x:v>
      </x:c>
      <x:c r="I136" s="38" t="n">
        <x:f>G136*H136</x:f>
        <x:v>14502.194666666666</x:v>
      </x:c>
      <x:c r="J136" s="40" t="n">
        <x:f>D136*Assumptions!$C$5*Assumptions!$C$6</x:f>
        <x:v>12346.49423333333</x:v>
      </x:c>
      <x:c r="K136" s="40" t="n">
        <x:f>D136*Assumptions!$D$5*Assumptions!$D$6</x:f>
        <x:v>16831.0901</x:v>
      </x:c>
      <x:c r="L136" s="34" t="n">
        <x:v>44683</x:v>
      </x:c>
      <x:c r="M136" s="34" t="n">
        <x:v>6</x:v>
      </x:c>
      <x:c r="N136" s="38" t="n">
        <x:f>IF(L136=0,0,L136/Assumptions!$B$7)</x:f>
        <x:v>10513.64705882353</x:v>
      </x:c>
      <x:c r="O136" s="42" t="n">
        <x:f>IF(N136=0,0,I136/N136)</x:f>
        <x:v>1.3793686040179336</x:v>
      </x:c>
      <x:c r="P136" s="44" t="str">
        <x:v>Coverage below 1.0 indicates reliance on imported, transfer, adult, international, or higher-participation demand.</x:v>
      </x:c>
    </x:row>
    <x:row r="137">
      <x:c r="A137" s="16" t="str">
        <x:v>NV</x:v>
      </x:c>
      <x:c r="B137" s="16" t="str">
        <x:v>Nevada</x:v>
      </x:c>
      <x:c r="C137" s="16" t="n">
        <x:v>2030</x:v>
      </x:c>
      <x:c r="D137" s="34" t="n">
        <x:v>33321</x:v>
      </x:c>
      <x:c r="E137" s="21" t="n">
        <x:v>-0.038049597274748104</x:v>
      </x:c>
      <x:c r="F137" s="36" t="n">
        <x:f>Assumptions!$B$5</x:f>
        <x:v>0.628</x:v>
      </x:c>
      <x:c r="G137" s="38" t="n">
        <x:f>D137*F137</x:f>
        <x:v>20925.588</x:v>
      </x:c>
      <x:c r="H137" s="36" t="n">
        <x:f>Assumptions!$B$6</x:f>
        <x:v>0.6666666666666666</x:v>
      </x:c>
      <x:c r="I137" s="38" t="n">
        <x:f>G137*H137</x:f>
        <x:v>13950.392</x:v>
      </x:c>
      <x:c r="J137" s="40" t="n">
        <x:f>D137*Assumptions!$C$5*Assumptions!$C$6</x:f>
        <x:v>11876.715099999996</x:v>
      </x:c>
      <x:c r="K137" s="40" t="n">
        <x:f>D137*Assumptions!$D$5*Assumptions!$D$6</x:f>
        <x:v>16190.673900000002</x:v>
      </x:c>
      <x:c r="L137" s="34" t="n">
        <x:v>44683</x:v>
      </x:c>
      <x:c r="M137" s="34" t="n">
        <x:v>6</x:v>
      </x:c>
      <x:c r="N137" s="38" t="n">
        <x:f>IF(L137=0,0,L137/Assumptions!$B$7)</x:f>
        <x:v>10513.64705882353</x:v>
      </x:c>
      <x:c r="O137" s="42" t="n">
        <x:f>IF(N137=0,0,I137/N137)</x:f>
        <x:v>1.32688418414162</x:v>
      </x:c>
      <x:c r="P137" s="44" t="str">
        <x:v>Coverage below 1.0 indicates reliance on imported, transfer, adult, international, or higher-participation demand.</x:v>
      </x:c>
    </x:row>
    <x:row r="138">
      <x:c r="A138" s="16" t="str">
        <x:v>NV</x:v>
      </x:c>
      <x:c r="B138" s="16" t="str">
        <x:v>Nevada</x:v>
      </x:c>
      <x:c r="C138" s="16" t="n">
        <x:v>2035</x:v>
      </x:c>
      <x:c r="D138" s="34" t="n">
        <x:v>34299</x:v>
      </x:c>
      <x:c r="E138" s="21" t="n">
        <x:v>-0.009815525852362894</x:v>
      </x:c>
      <x:c r="F138" s="36" t="n">
        <x:f>Assumptions!$B$5</x:f>
        <x:v>0.628</x:v>
      </x:c>
      <x:c r="G138" s="38" t="n">
        <x:f>D138*F138</x:f>
        <x:v>21539.772</x:v>
      </x:c>
      <x:c r="H138" s="36" t="n">
        <x:f>Assumptions!$B$6</x:f>
        <x:v>0.6666666666666666</x:v>
      </x:c>
      <x:c r="I138" s="38" t="n">
        <x:f>G138*H138</x:f>
        <x:v>14359.848</x:v>
      </x:c>
      <x:c r="J138" s="40" t="n">
        <x:f>D138*Assumptions!$C$5*Assumptions!$C$6</x:f>
        <x:v>12225.306899999998</x:v>
      </x:c>
      <x:c r="K138" s="40" t="n">
        <x:f>D138*Assumptions!$D$5*Assumptions!$D$6</x:f>
        <x:v>16665.884100000003</x:v>
      </x:c>
      <x:c r="L138" s="34" t="n">
        <x:v>44683</x:v>
      </x:c>
      <x:c r="M138" s="34" t="n">
        <x:v>6</x:v>
      </x:c>
      <x:c r="N138" s="38" t="n">
        <x:f>IF(L138=0,0,L138/Assumptions!$B$7)</x:f>
        <x:v>10513.64705882353</x:v>
      </x:c>
      <x:c r="O138" s="42" t="n">
        <x:f>IF(N138=0,0,I138/N138)</x:f>
        <x:v>1.365829375825258</x:v>
      </x:c>
      <x:c r="P138" s="44" t="str">
        <x:v>Coverage below 1.0 indicates reliance on imported, transfer, adult, international, or higher-participation demand.</x:v>
      </x:c>
    </x:row>
    <x:row r="139">
      <x:c r="A139" s="16" t="str">
        <x:v>NV</x:v>
      </x:c>
      <x:c r="B139" s="16" t="str">
        <x:v>Nevada</x:v>
      </x:c>
      <x:c r="C139" s="16" t="n">
        <x:v>2041</x:v>
      </x:c>
      <x:c r="D139" s="34" t="n">
        <x:v>30156</x:v>
      </x:c>
      <x:c r="E139" s="21" t="n">
        <x:v>-0.12942059528277372</x:v>
      </x:c>
      <x:c r="F139" s="36" t="n">
        <x:f>Assumptions!$B$5</x:f>
        <x:v>0.628</x:v>
      </x:c>
      <x:c r="G139" s="38" t="n">
        <x:f>D139*F139</x:f>
        <x:v>18937.968</x:v>
      </x:c>
      <x:c r="H139" s="36" t="n">
        <x:f>Assumptions!$B$6</x:f>
        <x:v>0.6666666666666666</x:v>
      </x:c>
      <x:c r="I139" s="38" t="n">
        <x:f>G139*H139</x:f>
        <x:v>12625.312</x:v>
      </x:c>
      <x:c r="J139" s="40" t="n">
        <x:f>D139*Assumptions!$C$5*Assumptions!$C$6</x:f>
        <x:v>10748.603599999997</x:v>
      </x:c>
      <x:c r="K139" s="40" t="n">
        <x:f>D139*Assumptions!$D$5*Assumptions!$D$6</x:f>
        <x:v>14652.8004</x:v>
      </x:c>
      <x:c r="L139" s="34" t="n">
        <x:v>44683</x:v>
      </x:c>
      <x:c r="M139" s="34" t="n">
        <x:v>6</x:v>
      </x:c>
      <x:c r="N139" s="38" t="n">
        <x:f>IF(L139=0,0,L139/Assumptions!$B$7)</x:f>
        <x:v>10513.64705882353</x:v>
      </x:c>
      <x:c r="O139" s="42" t="n">
        <x:f>IF(N139=0,0,I139/N139)</x:f>
        <x:v>1.200849898171564</x:v>
      </x:c>
      <x:c r="P139" s="44" t="str">
        <x:v>Coverage below 1.0 indicates reliance on imported, transfer, adult, international, or higher-participation demand.</x:v>
      </x:c>
    </x:row>
    <x:row r="140">
      <x:c r="A140" s="16" t="str">
        <x:v>NY</x:v>
      </x:c>
      <x:c r="B140" s="16" t="str">
        <x:v>New York</x:v>
      </x:c>
      <x:c r="C140" s="16" t="n">
        <x:v>2026</x:v>
      </x:c>
      <x:c r="D140" s="34" t="n">
        <x:v>200655</x:v>
      </x:c>
      <x:c r="E140" s="21" t="n">
        <x:v>0</x:v>
      </x:c>
      <x:c r="F140" s="36" t="n">
        <x:f>Assumptions!$B$5</x:f>
        <x:v>0.628</x:v>
      </x:c>
      <x:c r="G140" s="38" t="n">
        <x:f>D140*F140</x:f>
        <x:v>126011.34</x:v>
      </x:c>
      <x:c r="H140" s="36" t="n">
        <x:f>Assumptions!$B$6</x:f>
        <x:v>0.6666666666666666</x:v>
      </x:c>
      <x:c r="I140" s="38" t="n">
        <x:f>G140*H140</x:f>
        <x:v>84007.56</x:v>
      </x:c>
      <x:c r="J140" s="40" t="n">
        <x:f>D140*Assumptions!$C$5*Assumptions!$C$6</x:f>
        <x:v>71520.13049999998</x:v>
      </x:c>
      <x:c r="K140" s="40" t="n">
        <x:f>D140*Assumptions!$D$5*Assumptions!$D$6</x:f>
        <x:v>97498.2645</x:v>
      </x:c>
      <x:c r="L140" s="34" t="n">
        <x:v>629007</x:v>
      </x:c>
      <x:c r="M140" s="34" t="n">
        <x:v>171</x:v>
      </x:c>
      <x:c r="N140" s="38" t="n">
        <x:f>IF(L140=0,0,L140/Assumptions!$B$7)</x:f>
        <x:v>148001.64705882352</x:v>
      </x:c>
      <x:c r="O140" s="42" t="n">
        <x:f>IF(N140=0,0,I140/N140)</x:f>
        <x:v>0.5676123318182469</x:v>
      </x:c>
      <x:c r="P140" s="44" t="str">
        <x:v>Coverage below 1.0 indicates reliance on imported, transfer, adult, international, or higher-participation demand.</x:v>
      </x:c>
    </x:row>
    <x:row r="141">
      <x:c r="A141" s="16" t="str">
        <x:v>NY</x:v>
      </x:c>
      <x:c r="B141" s="16" t="str">
        <x:v>New York</x:v>
      </x:c>
      <x:c r="C141" s="16" t="n">
        <x:v>2030</x:v>
      </x:c>
      <x:c r="D141" s="34" t="n">
        <x:v>183242</x:v>
      </x:c>
      <x:c r="E141" s="21" t="n">
        <x:v>-0.08678079290324192</x:v>
      </x:c>
      <x:c r="F141" s="36" t="n">
        <x:f>Assumptions!$B$5</x:f>
        <x:v>0.628</x:v>
      </x:c>
      <x:c r="G141" s="38" t="n">
        <x:f>D141*F141</x:f>
        <x:v>115075.976</x:v>
      </x:c>
      <x:c r="H141" s="36" t="n">
        <x:f>Assumptions!$B$6</x:f>
        <x:v>0.6666666666666666</x:v>
      </x:c>
      <x:c r="I141" s="38" t="n">
        <x:f>G141*H141</x:f>
        <x:v>76717.31733333333</x:v>
      </x:c>
      <x:c r="J141" s="40" t="n">
        <x:f>D141*Assumptions!$C$5*Assumptions!$C$6</x:f>
        <x:v>65313.55686666665</x:v>
      </x:c>
      <x:c r="K141" s="40" t="n">
        <x:f>D141*Assumptions!$D$5*Assumptions!$D$6</x:f>
        <x:v>89037.2878</x:v>
      </x:c>
      <x:c r="L141" s="34" t="n">
        <x:v>629007</x:v>
      </x:c>
      <x:c r="M141" s="34" t="n">
        <x:v>171</x:v>
      </x:c>
      <x:c r="N141" s="38" t="n">
        <x:f>IF(L141=0,0,L141/Assumptions!$B$7)</x:f>
        <x:v>148001.64705882352</x:v>
      </x:c>
      <x:c r="O141" s="42" t="n">
        <x:f>IF(N141=0,0,I141/N141)</x:f>
        <x:v>0.5183544836014014</x:v>
      </x:c>
      <x:c r="P141" s="44" t="str">
        <x:v>Coverage below 1.0 indicates reliance on imported, transfer, adult, international, or higher-participation demand.</x:v>
      </x:c>
    </x:row>
    <x:row r="142">
      <x:c r="A142" s="16" t="str">
        <x:v>NY</x:v>
      </x:c>
      <x:c r="B142" s="16" t="str">
        <x:v>New York</x:v>
      </x:c>
      <x:c r="C142" s="16" t="n">
        <x:v>2035</x:v>
      </x:c>
      <x:c r="D142" s="34" t="n">
        <x:v>171389</x:v>
      </x:c>
      <x:c r="E142" s="21" t="n">
        <x:v>-0.14585233360743566</x:v>
      </x:c>
      <x:c r="F142" s="36" t="n">
        <x:f>Assumptions!$B$5</x:f>
        <x:v>0.628</x:v>
      </x:c>
      <x:c r="G142" s="38" t="n">
        <x:f>D142*F142</x:f>
        <x:v>107632.292</x:v>
      </x:c>
      <x:c r="H142" s="36" t="n">
        <x:f>Assumptions!$B$6</x:f>
        <x:v>0.6666666666666666</x:v>
      </x:c>
      <x:c r="I142" s="38" t="n">
        <x:f>G142*H142</x:f>
        <x:v>71754.86133333333</x:v>
      </x:c>
      <x:c r="J142" s="40" t="n">
        <x:f>D142*Assumptions!$C$5*Assumptions!$C$6</x:f>
        <x:v>61088.752566666655</x:v>
      </x:c>
      <x:c r="K142" s="40" t="n">
        <x:f>D142*Assumptions!$D$5*Assumptions!$D$6</x:f>
        <x:v>83277.91510000001</x:v>
      </x:c>
      <x:c r="L142" s="34" t="n">
        <x:v>629007</x:v>
      </x:c>
      <x:c r="M142" s="34" t="n">
        <x:v>171</x:v>
      </x:c>
      <x:c r="N142" s="38" t="n">
        <x:f>IF(L142=0,0,L142/Assumptions!$B$7)</x:f>
        <x:v>148001.64705882352</x:v>
      </x:c>
      <x:c r="O142" s="42" t="n">
        <x:f>IF(N142=0,0,I142/N142)</x:f>
        <x:v>0.48482474863819747</x:v>
      </x:c>
      <x:c r="P142" s="44" t="str">
        <x:v>Coverage below 1.0 indicates reliance on imported, transfer, adult, international, or higher-participation demand.</x:v>
      </x:c>
    </x:row>
    <x:row r="143">
      <x:c r="A143" s="16" t="str">
        <x:v>NY</x:v>
      </x:c>
      <x:c r="B143" s="16" t="str">
        <x:v>New York</x:v>
      </x:c>
      <x:c r="C143" s="16" t="n">
        <x:v>2041</x:v>
      </x:c>
      <x:c r="D143" s="34" t="n">
        <x:v>150533</x:v>
      </x:c>
      <x:c r="E143" s="21" t="n">
        <x:v>-0.24979193142458445</x:v>
      </x:c>
      <x:c r="F143" s="36" t="n">
        <x:f>Assumptions!$B$5</x:f>
        <x:v>0.628</x:v>
      </x:c>
      <x:c r="G143" s="38" t="n">
        <x:f>D143*F143</x:f>
        <x:v>94534.724</x:v>
      </x:c>
      <x:c r="H143" s="36" t="n">
        <x:f>Assumptions!$B$6</x:f>
        <x:v>0.6666666666666666</x:v>
      </x:c>
      <x:c r="I143" s="38" t="n">
        <x:f>G143*H143</x:f>
        <x:v>63023.149333333335</x:v>
      </x:c>
      <x:c r="J143" s="40" t="n">
        <x:f>D143*Assumptions!$C$5*Assumptions!$C$6</x:f>
        <x:v>53654.978966666655</x:v>
      </x:c>
      <x:c r="K143" s="40" t="n">
        <x:f>D143*Assumptions!$D$5*Assumptions!$D$6</x:f>
        <x:v>73143.98470000002</x:v>
      </x:c>
      <x:c r="L143" s="34" t="n">
        <x:v>629007</x:v>
      </x:c>
      <x:c r="M143" s="34" t="n">
        <x:v>171</x:v>
      </x:c>
      <x:c r="N143" s="38" t="n">
        <x:f>IF(L143=0,0,L143/Assumptions!$B$7)</x:f>
        <x:v>148001.64705882352</x:v>
      </x:c>
      <x:c r="O143" s="42" t="n">
        <x:f>IF(N143=0,0,I143/N143)</x:f>
        <x:v>0.4258273511529549</x:v>
      </x:c>
      <x:c r="P143" s="44" t="str">
        <x:v>Coverage below 1.0 indicates reliance on imported, transfer, adult, international, or higher-participation demand.</x:v>
      </x:c>
    </x:row>
    <x:row r="144">
      <x:c r="A144" s="16" t="str">
        <x:v>OH</x:v>
      </x:c>
      <x:c r="B144" s="16" t="str">
        <x:v>Ohio</x:v>
      </x:c>
      <x:c r="C144" s="16" t="n">
        <x:v>2026</x:v>
      </x:c>
      <x:c r="D144" s="34" t="n">
        <x:v>141163</x:v>
      </x:c>
      <x:c r="E144" s="21" t="n">
        <x:v>0</x:v>
      </x:c>
      <x:c r="F144" s="36" t="n">
        <x:f>Assumptions!$B$5</x:f>
        <x:v>0.628</x:v>
      </x:c>
      <x:c r="G144" s="38" t="n">
        <x:f>D144*F144</x:f>
        <x:v>88650.364</x:v>
      </x:c>
      <x:c r="H144" s="36" t="n">
        <x:f>Assumptions!$B$6</x:f>
        <x:v>0.6666666666666666</x:v>
      </x:c>
      <x:c r="I144" s="38" t="n">
        <x:f>G144*H144</x:f>
        <x:v>59100.242666666665</x:v>
      </x:c>
      <x:c r="J144" s="40" t="n">
        <x:f>D144*Assumptions!$C$5*Assumptions!$C$6</x:f>
        <x:v>50315.19863333332</x:v>
      </x:c>
      <x:c r="K144" s="40" t="n">
        <x:f>D144*Assumptions!$D$5*Assumptions!$D$6</x:f>
        <x:v>68591.10170000001</x:v>
      </x:c>
      <x:c r="L144" s="34" t="n">
        <x:v>315689</x:v>
      </x:c>
      <x:c r="M144" s="34" t="n">
        <x:v>72</x:v>
      </x:c>
      <x:c r="N144" s="38" t="n">
        <x:f>IF(L144=0,0,L144/Assumptions!$B$7)</x:f>
        <x:v>74279.76470588235</x:v>
      </x:c>
      <x:c r="O144" s="42" t="n">
        <x:f>IF(N144=0,0,I144/N144)</x:f>
        <x:v>0.7956439132606247</x:v>
      </x:c>
      <x:c r="P144" s="44" t="str">
        <x:v>Coverage below 1.0 indicates reliance on imported, transfer, adult, international, or higher-participation demand.</x:v>
      </x:c>
    </x:row>
    <x:row r="145">
      <x:c r="A145" s="16" t="str">
        <x:v>OH</x:v>
      </x:c>
      <x:c r="B145" s="16" t="str">
        <x:v>Ohio</x:v>
      </x:c>
      <x:c r="C145" s="16" t="n">
        <x:v>2030</x:v>
      </x:c>
      <x:c r="D145" s="34" t="n">
        <x:v>134175</x:v>
      </x:c>
      <x:c r="E145" s="21" t="n">
        <x:v>-0.04950305674999822</x:v>
      </x:c>
      <x:c r="F145" s="36" t="n">
        <x:f>Assumptions!$B$5</x:f>
        <x:v>0.628</x:v>
      </x:c>
      <x:c r="G145" s="38" t="n">
        <x:f>D145*F145</x:f>
        <x:v>84261.9</x:v>
      </x:c>
      <x:c r="H145" s="36" t="n">
        <x:f>Assumptions!$B$6</x:f>
        <x:v>0.6666666666666666</x:v>
      </x:c>
      <x:c r="I145" s="38" t="n">
        <x:f>G145*H145</x:f>
        <x:v>56174.59999999999</x:v>
      </x:c>
      <x:c r="J145" s="40" t="n">
        <x:f>D145*Assumptions!$C$5*Assumptions!$C$6</x:f>
        <x:v>47824.44249999999</x:v>
      </x:c>
      <x:c r="K145" s="40" t="n">
        <x:f>D145*Assumptions!$D$5*Assumptions!$D$6</x:f>
        <x:v>65195.63250000001</x:v>
      </x:c>
      <x:c r="L145" s="34" t="n">
        <x:v>315689</x:v>
      </x:c>
      <x:c r="M145" s="34" t="n">
        <x:v>72</x:v>
      </x:c>
      <x:c r="N145" s="38" t="n">
        <x:f>IF(L145=0,0,L145/Assumptions!$B$7)</x:f>
        <x:v>74279.76470588235</x:v>
      </x:c>
      <x:c r="O145" s="42" t="n">
        <x:f>IF(N145=0,0,I145/N145)</x:f>
        <x:v>0.7562571074696932</x:v>
      </x:c>
      <x:c r="P145" s="44" t="str">
        <x:v>Coverage below 1.0 indicates reliance on imported, transfer, adult, international, or higher-participation demand.</x:v>
      </x:c>
    </x:row>
    <x:row r="146">
      <x:c r="A146" s="16" t="str">
        <x:v>OH</x:v>
      </x:c>
      <x:c r="B146" s="16" t="str">
        <x:v>Ohio</x:v>
      </x:c>
      <x:c r="C146" s="16" t="n">
        <x:v>2035</x:v>
      </x:c>
      <x:c r="D146" s="34" t="n">
        <x:v>134895</x:v>
      </x:c>
      <x:c r="E146" s="21" t="n">
        <x:v>-0.04440257007856163</x:v>
      </x:c>
      <x:c r="F146" s="36" t="n">
        <x:f>Assumptions!$B$5</x:f>
        <x:v>0.628</x:v>
      </x:c>
      <x:c r="G146" s="38" t="n">
        <x:f>D146*F146</x:f>
        <x:v>84714.06</x:v>
      </x:c>
      <x:c r="H146" s="36" t="n">
        <x:f>Assumptions!$B$6</x:f>
        <x:v>0.6666666666666666</x:v>
      </x:c>
      <x:c r="I146" s="38" t="n">
        <x:f>G146*H146</x:f>
        <x:v>56476.03999999999</x:v>
      </x:c>
      <x:c r="J146" s="40" t="n">
        <x:f>D146*Assumptions!$C$5*Assumptions!$C$6</x:f>
        <x:v>48081.074499999995</x:v>
      </x:c>
      <x:c r="K146" s="40" t="n">
        <x:f>D146*Assumptions!$D$5*Assumptions!$D$6</x:f>
        <x:v>65545.4805</x:v>
      </x:c>
      <x:c r="L146" s="34" t="n">
        <x:v>315689</x:v>
      </x:c>
      <x:c r="M146" s="34" t="n">
        <x:v>72</x:v>
      </x:c>
      <x:c r="N146" s="38" t="n">
        <x:f>IF(L146=0,0,L146/Assumptions!$B$7)</x:f>
        <x:v>74279.76470588235</x:v>
      </x:c>
      <x:c r="O146" s="42" t="n">
        <x:f>IF(N146=0,0,I146/N146)</x:f>
        <x:v>0.7603152786444887</x:v>
      </x:c>
      <x:c r="P146" s="44" t="str">
        <x:v>Coverage below 1.0 indicates reliance on imported, transfer, adult, international, or higher-participation demand.</x:v>
      </x:c>
    </x:row>
    <x:row r="147">
      <x:c r="A147" s="16" t="str">
        <x:v>OH</x:v>
      </x:c>
      <x:c r="B147" s="16" t="str">
        <x:v>Ohio</x:v>
      </x:c>
      <x:c r="C147" s="16" t="n">
        <x:v>2041</x:v>
      </x:c>
      <x:c r="D147" s="34" t="n">
        <x:v>124461</x:v>
      </x:c>
      <x:c r="E147" s="21" t="n">
        <x:v>-0.11831712275879658</x:v>
      </x:c>
      <x:c r="F147" s="36" t="n">
        <x:f>Assumptions!$B$5</x:f>
        <x:v>0.628</x:v>
      </x:c>
      <x:c r="G147" s="38" t="n">
        <x:f>D147*F147</x:f>
        <x:v>78161.508</x:v>
      </x:c>
      <x:c r="H147" s="36" t="n">
        <x:f>Assumptions!$B$6</x:f>
        <x:v>0.6666666666666666</x:v>
      </x:c>
      <x:c r="I147" s="38" t="n">
        <x:f>G147*H147</x:f>
        <x:v>52107.672</x:v>
      </x:c>
      <x:c r="J147" s="40" t="n">
        <x:f>D147*Assumptions!$C$5*Assumptions!$C$6</x:f>
        <x:v>44362.0491</x:v>
      </x:c>
      <x:c r="K147" s="40" t="n">
        <x:f>D147*Assumptions!$D$5*Assumptions!$D$6</x:f>
        <x:v>60475.5999</x:v>
      </x:c>
      <x:c r="L147" s="34" t="n">
        <x:v>315689</x:v>
      </x:c>
      <x:c r="M147" s="34" t="n">
        <x:v>72</x:v>
      </x:c>
      <x:c r="N147" s="38" t="n">
        <x:f>IF(L147=0,0,L147/Assumptions!$B$7)</x:f>
        <x:v>74279.76470588235</x:v>
      </x:c>
      <x:c r="O147" s="42" t="n">
        <x:f>IF(N147=0,0,I147/N147)</x:f>
        <x:v>0.701505614703078</x:v>
      </x:c>
      <x:c r="P147" s="44" t="str">
        <x:v>Coverage below 1.0 indicates reliance on imported, transfer, adult, international, or higher-participation demand.</x:v>
      </x:c>
    </x:row>
    <x:row r="148">
      <x:c r="A148" s="16" t="str">
        <x:v>OK</x:v>
      </x:c>
      <x:c r="B148" s="16" t="str">
        <x:v>Oklahoma</x:v>
      </x:c>
      <x:c r="C148" s="16" t="n">
        <x:v>2026</x:v>
      </x:c>
      <x:c r="D148" s="34" t="n">
        <x:v>50769</x:v>
      </x:c>
      <x:c r="E148" s="21" t="n">
        <x:v>0</x:v>
      </x:c>
      <x:c r="F148" s="36" t="n">
        <x:f>Assumptions!$B$5</x:f>
        <x:v>0.628</x:v>
      </x:c>
      <x:c r="G148" s="38" t="n">
        <x:f>D148*F148</x:f>
        <x:v>31882.932</x:v>
      </x:c>
      <x:c r="H148" s="36" t="n">
        <x:f>Assumptions!$B$6</x:f>
        <x:v>0.6666666666666666</x:v>
      </x:c>
      <x:c r="I148" s="38" t="n">
        <x:f>G148*H148</x:f>
        <x:v>21255.288</x:v>
      </x:c>
      <x:c r="J148" s="40" t="n">
        <x:f>D148*Assumptions!$C$5*Assumptions!$C$6</x:f>
        <x:v>18095.763899999994</x:v>
      </x:c>
      <x:c r="K148" s="40" t="n">
        <x:f>D148*Assumptions!$D$5*Assumptions!$D$6</x:f>
        <x:v>24668.657100000004</x:v>
      </x:c>
      <x:c r="L148" s="34" t="n">
        <x:v>103051</x:v>
      </x:c>
      <x:c r="M148" s="34" t="n">
        <x:v>26</x:v>
      </x:c>
      <x:c r="N148" s="38" t="n">
        <x:f>IF(L148=0,0,L148/Assumptions!$B$7)</x:f>
        <x:v>24247.29411764706</x:v>
      </x:c>
      <x:c r="O148" s="42" t="n">
        <x:f>IF(N148=0,0,I148/N148)</x:f>
        <x:v>0.8766045356182861</x:v>
      </x:c>
      <x:c r="P148" s="44" t="str">
        <x:v>Coverage below 1.0 indicates reliance on imported, transfer, adult, international, or higher-participation demand.</x:v>
      </x:c>
    </x:row>
    <x:row r="149">
      <x:c r="A149" s="16" t="str">
        <x:v>OK</x:v>
      </x:c>
      <x:c r="B149" s="16" t="str">
        <x:v>Oklahoma</x:v>
      </x:c>
      <x:c r="C149" s="16" t="n">
        <x:v>2030</x:v>
      </x:c>
      <x:c r="D149" s="34" t="n">
        <x:v>49595</x:v>
      </x:c>
      <x:c r="E149" s="21" t="n">
        <x:v>-0.023124347534912992</x:v>
      </x:c>
      <x:c r="F149" s="36" t="n">
        <x:f>Assumptions!$B$5</x:f>
        <x:v>0.628</x:v>
      </x:c>
      <x:c r="G149" s="38" t="n">
        <x:f>D149*F149</x:f>
        <x:v>31145.66</x:v>
      </x:c>
      <x:c r="H149" s="36" t="n">
        <x:f>Assumptions!$B$6</x:f>
        <x:v>0.6666666666666666</x:v>
      </x:c>
      <x:c r="I149" s="38" t="n">
        <x:f>G149*H149</x:f>
        <x:v>20763.77333333333</x:v>
      </x:c>
      <x:c r="J149" s="40" t="n">
        <x:f>D149*Assumptions!$C$5*Assumptions!$C$6</x:f>
        <x:v>17677.311166666663</x:v>
      </x:c>
      <x:c r="K149" s="40" t="n">
        <x:f>D149*Assumptions!$D$5*Assumptions!$D$6</x:f>
        <x:v>24098.2105</x:v>
      </x:c>
      <x:c r="L149" s="34" t="n">
        <x:v>103051</x:v>
      </x:c>
      <x:c r="M149" s="34" t="n">
        <x:v>26</x:v>
      </x:c>
      <x:c r="N149" s="38" t="n">
        <x:f>IF(L149=0,0,L149/Assumptions!$B$7)</x:f>
        <x:v>24247.29411764706</x:v>
      </x:c>
      <x:c r="O149" s="42" t="n">
        <x:f>IF(N149=0,0,I149/N149)</x:f>
        <x:v>0.8563336276859677</x:v>
      </x:c>
      <x:c r="P149" s="44" t="str">
        <x:v>Coverage below 1.0 indicates reliance on imported, transfer, adult, international, or higher-participation demand.</x:v>
      </x:c>
    </x:row>
    <x:row r="150">
      <x:c r="A150" s="16" t="str">
        <x:v>OK</x:v>
      </x:c>
      <x:c r="B150" s="16" t="str">
        <x:v>Oklahoma</x:v>
      </x:c>
      <x:c r="C150" s="16" t="n">
        <x:v>2035</x:v>
      </x:c>
      <x:c r="D150" s="34" t="n">
        <x:v>48457</x:v>
      </x:c>
      <x:c r="E150" s="21" t="n">
        <x:v>-0.04553960093758003</x:v>
      </x:c>
      <x:c r="F150" s="36" t="n">
        <x:f>Assumptions!$B$5</x:f>
        <x:v>0.628</x:v>
      </x:c>
      <x:c r="G150" s="38" t="n">
        <x:f>D150*F150</x:f>
        <x:v>30430.996</x:v>
      </x:c>
      <x:c r="H150" s="36" t="n">
        <x:f>Assumptions!$B$6</x:f>
        <x:v>0.6666666666666666</x:v>
      </x:c>
      <x:c r="I150" s="38" t="n">
        <x:f>G150*H150</x:f>
        <x:v>20287.330666666665</x:v>
      </x:c>
      <x:c r="J150" s="40" t="n">
        <x:f>D150*Assumptions!$C$5*Assumptions!$C$6</x:f>
        <x:v>17271.69003333333</x:v>
      </x:c>
      <x:c r="K150" s="40" t="n">
        <x:f>D150*Assumptions!$D$5*Assumptions!$D$6</x:f>
        <x:v>23545.256300000005</x:v>
      </x:c>
      <x:c r="L150" s="34" t="n">
        <x:v>103051</x:v>
      </x:c>
      <x:c r="M150" s="34" t="n">
        <x:v>26</x:v>
      </x:c>
      <x:c r="N150" s="38" t="n">
        <x:f>IF(L150=0,0,L150/Assumptions!$B$7)</x:f>
        <x:v>24247.29411764706</x:v>
      </x:c>
      <x:c r="O150" s="42" t="n">
        <x:f>IF(N150=0,0,I150/N150)</x:f>
        <x:v>0.8366843148861566</x:v>
      </x:c>
      <x:c r="P150" s="44" t="str">
        <x:v>Coverage below 1.0 indicates reliance on imported, transfer, adult, international, or higher-participation demand.</x:v>
      </x:c>
    </x:row>
    <x:row r="151">
      <x:c r="A151" s="16" t="str">
        <x:v>OK</x:v>
      </x:c>
      <x:c r="B151" s="16" t="str">
        <x:v>Oklahoma</x:v>
      </x:c>
      <x:c r="C151" s="16" t="n">
        <x:v>2041</x:v>
      </x:c>
      <x:c r="D151" s="34" t="n">
        <x:v>46250</x:v>
      </x:c>
      <x:c r="E151" s="21" t="n">
        <x:v>-0.08901101065610906</x:v>
      </x:c>
      <x:c r="F151" s="36" t="n">
        <x:f>Assumptions!$B$5</x:f>
        <x:v>0.628</x:v>
      </x:c>
      <x:c r="G151" s="38" t="n">
        <x:f>D151*F151</x:f>
        <x:v>29045</x:v>
      </x:c>
      <x:c r="H151" s="36" t="n">
        <x:f>Assumptions!$B$6</x:f>
        <x:v>0.6666666666666666</x:v>
      </x:c>
      <x:c r="I151" s="38" t="n">
        <x:f>G151*H151</x:f>
        <x:v>19363.333333333332</x:v>
      </x:c>
      <x:c r="J151" s="40" t="n">
        <x:f>D151*Assumptions!$C$5*Assumptions!$C$6</x:f>
        <x:v>16485.04166666666</x:v>
      </x:c>
      <x:c r="K151" s="40" t="n">
        <x:f>D151*Assumptions!$D$5*Assumptions!$D$6</x:f>
        <x:v>22472.875000000004</x:v>
      </x:c>
      <x:c r="L151" s="34" t="n">
        <x:v>103051</x:v>
      </x:c>
      <x:c r="M151" s="34" t="n">
        <x:v>26</x:v>
      </x:c>
      <x:c r="N151" s="38" t="n">
        <x:f>IF(L151=0,0,L151/Assumptions!$B$7)</x:f>
        <x:v>24247.29411764706</x:v>
      </x:c>
      <x:c r="O151" s="42" t="n">
        <x:f>IF(N151=0,0,I151/N151)</x:f>
        <x:v>0.7985770799571732</x:v>
      </x:c>
      <x:c r="P151" s="44" t="str">
        <x:v>Coverage below 1.0 indicates reliance on imported, transfer, adult, international, or higher-participation demand.</x:v>
      </x:c>
    </x:row>
    <x:row r="152">
      <x:c r="A152" s="16" t="str">
        <x:v>OR</x:v>
      </x:c>
      <x:c r="B152" s="16" t="str">
        <x:v>Oregon</x:v>
      </x:c>
      <x:c r="C152" s="16" t="n">
        <x:v>2026</x:v>
      </x:c>
      <x:c r="D152" s="34" t="n">
        <x:v>42839</x:v>
      </x:c>
      <x:c r="E152" s="21" t="n">
        <x:v>0</x:v>
      </x:c>
      <x:c r="F152" s="36" t="n">
        <x:f>Assumptions!$B$5</x:f>
        <x:v>0.628</x:v>
      </x:c>
      <x:c r="G152" s="38" t="n">
        <x:f>D152*F152</x:f>
        <x:v>26902.892</x:v>
      </x:c>
      <x:c r="H152" s="36" t="n">
        <x:f>Assumptions!$B$6</x:f>
        <x:v>0.6666666666666666</x:v>
      </x:c>
      <x:c r="I152" s="38" t="n">
        <x:f>G152*H152</x:f>
        <x:v>17935.261333333332</x:v>
      </x:c>
      <x:c r="J152" s="40" t="n">
        <x:f>D152*Assumptions!$C$5*Assumptions!$C$6</x:f>
        <x:v>15269.247566666663</x:v>
      </x:c>
      <x:c r="K152" s="40" t="n">
        <x:f>D152*Assumptions!$D$5*Assumptions!$D$6</x:f>
        <x:v>20815.470100000002</x:v>
      </x:c>
      <x:c r="L152" s="34" t="n">
        <x:v>101753</x:v>
      </x:c>
      <x:c r="M152" s="34" t="n">
        <x:v>29</x:v>
      </x:c>
      <x:c r="N152" s="38" t="n">
        <x:f>IF(L152=0,0,L152/Assumptions!$B$7)</x:f>
        <x:v>23941.882352941175</x:v>
      </x:c>
      <x:c r="O152" s="42" t="n">
        <x:f>IF(N152=0,0,I152/N152)</x:f>
        <x:v>0.7491165927949708</x:v>
      </x:c>
      <x:c r="P152" s="44" t="str">
        <x:v>Coverage below 1.0 indicates reliance on imported, transfer, adult, international, or higher-participation demand.</x:v>
      </x:c>
    </x:row>
    <x:row r="153">
      <x:c r="A153" s="16" t="str">
        <x:v>OR</x:v>
      </x:c>
      <x:c r="B153" s="16" t="str">
        <x:v>Oregon</x:v>
      </x:c>
      <x:c r="C153" s="16" t="n">
        <x:v>2030</x:v>
      </x:c>
      <x:c r="D153" s="34" t="n">
        <x:v>39182</x:v>
      </x:c>
      <x:c r="E153" s="21" t="n">
        <x:v>-0.08536613833189388</x:v>
      </x:c>
      <x:c r="F153" s="36" t="n">
        <x:f>Assumptions!$B$5</x:f>
        <x:v>0.628</x:v>
      </x:c>
      <x:c r="G153" s="38" t="n">
        <x:f>D153*F153</x:f>
        <x:v>24606.296</x:v>
      </x:c>
      <x:c r="H153" s="36" t="n">
        <x:f>Assumptions!$B$6</x:f>
        <x:v>0.6666666666666666</x:v>
      </x:c>
      <x:c r="I153" s="38" t="n">
        <x:f>G153*H153</x:f>
        <x:v>16404.19733333333</x:v>
      </x:c>
      <x:c r="J153" s="40" t="n">
        <x:f>D153*Assumptions!$C$5*Assumptions!$C$6</x:f>
        <x:v>13965.770866666664</x:v>
      </x:c>
      <x:c r="K153" s="40" t="n">
        <x:f>D153*Assumptions!$D$5*Assumptions!$D$6</x:f>
        <x:v>19038.5338</x:v>
      </x:c>
      <x:c r="L153" s="34" t="n">
        <x:v>101753</x:v>
      </x:c>
      <x:c r="M153" s="34" t="n">
        <x:v>29</x:v>
      </x:c>
      <x:c r="N153" s="38" t="n">
        <x:f>IF(L153=0,0,L153/Assumptions!$B$7)</x:f>
        <x:v>23941.882352941175</x:v>
      </x:c>
      <x:c r="O153" s="42" t="n">
        <x:f>IF(N153=0,0,I153/N153)</x:f>
        <x:v>0.6851674021077183</x:v>
      </x:c>
      <x:c r="P153" s="44" t="str">
        <x:v>Coverage below 1.0 indicates reliance on imported, transfer, adult, international, or higher-participation demand.</x:v>
      </x:c>
    </x:row>
    <x:row r="154">
      <x:c r="A154" s="16" t="str">
        <x:v>OR</x:v>
      </x:c>
      <x:c r="B154" s="16" t="str">
        <x:v>Oregon</x:v>
      </x:c>
      <x:c r="C154" s="16" t="n">
        <x:v>2035</x:v>
      </x:c>
      <x:c r="D154" s="34" t="n">
        <x:v>38349</x:v>
      </x:c>
      <x:c r="E154" s="21" t="n">
        <x:v>-0.10481103667219127</x:v>
      </x:c>
      <x:c r="F154" s="36" t="n">
        <x:f>Assumptions!$B$5</x:f>
        <x:v>0.628</x:v>
      </x:c>
      <x:c r="G154" s="38" t="n">
        <x:f>D154*F154</x:f>
        <x:v>24083.172</x:v>
      </x:c>
      <x:c r="H154" s="36" t="n">
        <x:f>Assumptions!$B$6</x:f>
        <x:v>0.6666666666666666</x:v>
      </x:c>
      <x:c r="I154" s="38" t="n">
        <x:f>G154*H154</x:f>
        <x:v>16055.447999999999</x:v>
      </x:c>
      <x:c r="J154" s="40" t="n">
        <x:f>D154*Assumptions!$C$5*Assumptions!$C$6</x:f>
        <x:v>13668.861899999996</x:v>
      </x:c>
      <x:c r="K154" s="40" t="n">
        <x:f>D154*Assumptions!$D$5*Assumptions!$D$6</x:f>
        <x:v>18633.779100000003</x:v>
      </x:c>
      <x:c r="L154" s="34" t="n">
        <x:v>101753</x:v>
      </x:c>
      <x:c r="M154" s="34" t="n">
        <x:v>29</x:v>
      </x:c>
      <x:c r="N154" s="38" t="n">
        <x:f>IF(L154=0,0,L154/Assumptions!$B$7)</x:f>
        <x:v>23941.882352941175</x:v>
      </x:c>
      <x:c r="O154" s="42" t="n">
        <x:f>IF(N154=0,0,I154/N154)</x:f>
        <x:v>0.6706009061157902</x:v>
      </x:c>
      <x:c r="P154" s="44" t="str">
        <x:v>Coverage below 1.0 indicates reliance on imported, transfer, adult, international, or higher-participation demand.</x:v>
      </x:c>
    </x:row>
    <x:row r="155">
      <x:c r="A155" s="16" t="str">
        <x:v>OR</x:v>
      </x:c>
      <x:c r="B155" s="16" t="str">
        <x:v>Oregon</x:v>
      </x:c>
      <x:c r="C155" s="16" t="n">
        <x:v>2041</x:v>
      </x:c>
      <x:c r="D155" s="34" t="n">
        <x:v>33272</x:v>
      </x:c>
      <x:c r="E155" s="21" t="n">
        <x:v>-0.22332454072223906</x:v>
      </x:c>
      <x:c r="F155" s="36" t="n">
        <x:f>Assumptions!$B$5</x:f>
        <x:v>0.628</x:v>
      </x:c>
      <x:c r="G155" s="38" t="n">
        <x:f>D155*F155</x:f>
        <x:v>20894.816</x:v>
      </x:c>
      <x:c r="H155" s="36" t="n">
        <x:f>Assumptions!$B$6</x:f>
        <x:v>0.6666666666666666</x:v>
      </x:c>
      <x:c r="I155" s="38" t="n">
        <x:f>G155*H155</x:f>
        <x:v>13929.877333333332</x:v>
      </x:c>
      <x:c r="J155" s="40" t="n">
        <x:f>D155*Assumptions!$C$5*Assumptions!$C$6</x:f>
        <x:v>11859.249866666665</x:v>
      </x:c>
      <x:c r="K155" s="40" t="n">
        <x:f>D155*Assumptions!$D$5*Assumptions!$D$6</x:f>
        <x:v>16166.864800000001</x:v>
      </x:c>
      <x:c r="L155" s="34" t="n">
        <x:v>101753</x:v>
      </x:c>
      <x:c r="M155" s="34" t="n">
        <x:v>29</x:v>
      </x:c>
      <x:c r="N155" s="38" t="n">
        <x:f>IF(L155=0,0,L155/Assumptions!$B$7)</x:f>
        <x:v>23941.882352941175</x:v>
      </x:c>
      <x:c r="O155" s="42" t="n">
        <x:f>IF(N155=0,0,I155/N155)</x:f>
        <x:v>0.5818204737616254</x:v>
      </x:c>
      <x:c r="P155" s="44" t="str">
        <x:v>Coverage below 1.0 indicates reliance on imported, transfer, adult, international, or higher-participation demand.</x:v>
      </x:c>
    </x:row>
    <x:row r="156">
      <x:c r="A156" s="16" t="str">
        <x:v>PA</x:v>
      </x:c>
      <x:c r="B156" s="16" t="str">
        <x:v>Pennsylvania</x:v>
      </x:c>
      <x:c r="C156" s="16" t="n">
        <x:v>2026</x:v>
      </x:c>
      <x:c r="D156" s="34" t="n">
        <x:v>139630</x:v>
      </x:c>
      <x:c r="E156" s="21" t="n">
        <x:v>0</x:v>
      </x:c>
      <x:c r="F156" s="36" t="n">
        <x:f>Assumptions!$B$5</x:f>
        <x:v>0.628</x:v>
      </x:c>
      <x:c r="G156" s="38" t="n">
        <x:f>D156*F156</x:f>
        <x:v>87687.64</x:v>
      </x:c>
      <x:c r="H156" s="36" t="n">
        <x:f>Assumptions!$B$6</x:f>
        <x:v>0.6666666666666666</x:v>
      </x:c>
      <x:c r="I156" s="38" t="n">
        <x:f>G156*H156</x:f>
        <x:v>58458.426666666666</x:v>
      </x:c>
      <x:c r="J156" s="40" t="n">
        <x:f>D156*Assumptions!$C$5*Assumptions!$C$6</x:f>
        <x:v>49768.78633333333</x:v>
      </x:c>
      <x:c r="K156" s="40" t="n">
        <x:f>D156*Assumptions!$D$5*Assumptions!$D$6</x:f>
        <x:v>67846.217</x:v>
      </x:c>
      <x:c r="L156" s="34" t="n">
        <x:v>401612</x:v>
      </x:c>
      <x:c r="M156" s="34" t="n">
        <x:v>120</x:v>
      </x:c>
      <x:c r="N156" s="38" t="n">
        <x:f>IF(L156=0,0,L156/Assumptions!$B$7)</x:f>
        <x:v>94496.94117647059</x:v>
      </x:c>
      <x:c r="O156" s="42" t="n">
        <x:f>IF(N156=0,0,I156/N156)</x:f>
        <x:v>0.6186277136473346</x:v>
      </x:c>
      <x:c r="P156" s="44" t="str">
        <x:v>Coverage below 1.0 indicates reliance on imported, transfer, adult, international, or higher-participation demand.</x:v>
      </x:c>
    </x:row>
    <x:row r="157">
      <x:c r="A157" s="16" t="str">
        <x:v>PA</x:v>
      </x:c>
      <x:c r="B157" s="16" t="str">
        <x:v>Pennsylvania</x:v>
      </x:c>
      <x:c r="C157" s="16" t="n">
        <x:v>2030</x:v>
      </x:c>
      <x:c r="D157" s="34" t="n">
        <x:v>129575</x:v>
      </x:c>
      <x:c r="E157" s="21" t="n">
        <x:v>-0.07201174532693544</x:v>
      </x:c>
      <x:c r="F157" s="36" t="n">
        <x:f>Assumptions!$B$5</x:f>
        <x:v>0.628</x:v>
      </x:c>
      <x:c r="G157" s="38" t="n">
        <x:f>D157*F157</x:f>
        <x:v>81373.1</x:v>
      </x:c>
      <x:c r="H157" s="36" t="n">
        <x:f>Assumptions!$B$6</x:f>
        <x:v>0.6666666666666666</x:v>
      </x:c>
      <x:c r="I157" s="38" t="n">
        <x:f>G157*H157</x:f>
        <x:v>54248.73333333334</x:v>
      </x:c>
      <x:c r="J157" s="40" t="n">
        <x:f>D157*Assumptions!$C$5*Assumptions!$C$6</x:f>
        <x:v>46184.84916666665</x:v>
      </x:c>
      <x:c r="K157" s="40" t="n">
        <x:f>D157*Assumptions!$D$5*Assumptions!$D$6</x:f>
        <x:v>62960.49250000001</x:v>
      </x:c>
      <x:c r="L157" s="34" t="n">
        <x:v>401612</x:v>
      </x:c>
      <x:c r="M157" s="34" t="n">
        <x:v>120</x:v>
      </x:c>
      <x:c r="N157" s="38" t="n">
        <x:f>IF(L157=0,0,L157/Assumptions!$B$7)</x:f>
        <x:v>94496.94117647059</x:v>
      </x:c>
      <x:c r="O157" s="42" t="n">
        <x:f>IF(N157=0,0,I157/N157)</x:f>
        <x:v>0.5740792522799784</x:v>
      </x:c>
      <x:c r="P157" s="44" t="str">
        <x:v>Coverage below 1.0 indicates reliance on imported, transfer, adult, international, or higher-participation demand.</x:v>
      </x:c>
    </x:row>
    <x:row r="158">
      <x:c r="A158" s="16" t="str">
        <x:v>PA</x:v>
      </x:c>
      <x:c r="B158" s="16" t="str">
        <x:v>Pennsylvania</x:v>
      </x:c>
      <x:c r="C158" s="16" t="n">
        <x:v>2035</x:v>
      </x:c>
      <x:c r="D158" s="34" t="n">
        <x:v>127318</x:v>
      </x:c>
      <x:c r="E158" s="21" t="n">
        <x:v>-0.08817589343264343</x:v>
      </x:c>
      <x:c r="F158" s="36" t="n">
        <x:f>Assumptions!$B$5</x:f>
        <x:v>0.628</x:v>
      </x:c>
      <x:c r="G158" s="38" t="n">
        <x:f>D158*F158</x:f>
        <x:v>79955.704</x:v>
      </x:c>
      <x:c r="H158" s="36" t="n">
        <x:f>Assumptions!$B$6</x:f>
        <x:v>0.6666666666666666</x:v>
      </x:c>
      <x:c r="I158" s="38" t="n">
        <x:f>G158*H158</x:f>
        <x:v>53303.80266666666</x:v>
      </x:c>
      <x:c r="J158" s="40" t="n">
        <x:f>D158*Assumptions!$C$5*Assumptions!$C$6</x:f>
        <x:v>45380.37913333332</x:v>
      </x:c>
      <x:c r="K158" s="40" t="n">
        <x:f>D158*Assumptions!$D$5*Assumptions!$D$6</x:f>
        <x:v>61863.81620000001</x:v>
      </x:c>
      <x:c r="L158" s="34" t="n">
        <x:v>401612</x:v>
      </x:c>
      <x:c r="M158" s="34" t="n">
        <x:v>120</x:v>
      </x:c>
      <x:c r="N158" s="38" t="n">
        <x:f>IF(L158=0,0,L158/Assumptions!$B$7)</x:f>
        <x:v>94496.94117647059</x:v>
      </x:c>
      <x:c r="O158" s="42" t="n">
        <x:f>IF(N158=0,0,I158/N158)</x:f>
        <x:v>0.5640796622942873</x:v>
      </x:c>
      <x:c r="P158" s="44" t="str">
        <x:v>Coverage below 1.0 indicates reliance on imported, transfer, adult, international, or higher-participation demand.</x:v>
      </x:c>
    </x:row>
    <x:row r="159">
      <x:c r="A159" s="16" t="str">
        <x:v>PA</x:v>
      </x:c>
      <x:c r="B159" s="16" t="str">
        <x:v>Pennsylvania</x:v>
      </x:c>
      <x:c r="C159" s="16" t="n">
        <x:v>2041</x:v>
      </x:c>
      <x:c r="D159" s="34" t="n">
        <x:v>116928</x:v>
      </x:c>
      <x:c r="E159" s="21" t="n">
        <x:v>-0.16258683663969065</x:v>
      </x:c>
      <x:c r="F159" s="36" t="n">
        <x:f>Assumptions!$B$5</x:f>
        <x:v>0.628</x:v>
      </x:c>
      <x:c r="G159" s="38" t="n">
        <x:f>D159*F159</x:f>
        <x:v>73430.784</x:v>
      </x:c>
      <x:c r="H159" s="36" t="n">
        <x:f>Assumptions!$B$6</x:f>
        <x:v>0.6666666666666666</x:v>
      </x:c>
      <x:c r="I159" s="38" t="n">
        <x:f>G159*H159</x:f>
        <x:v>48953.856</x:v>
      </x:c>
      <x:c r="J159" s="40" t="n">
        <x:f>D159*Assumptions!$C$5*Assumptions!$C$6</x:f>
        <x:v>41677.03679999999</x:v>
      </x:c>
      <x:c r="K159" s="40" t="n">
        <x:f>D159*Assumptions!$D$5*Assumptions!$D$6</x:f>
        <x:v>56815.315200000005</x:v>
      </x:c>
      <x:c r="L159" s="34" t="n">
        <x:v>401612</x:v>
      </x:c>
      <x:c r="M159" s="34" t="n">
        <x:v>120</x:v>
      </x:c>
      <x:c r="N159" s="38" t="n">
        <x:f>IF(L159=0,0,L159/Assumptions!$B$7)</x:f>
        <x:v>94496.94117647059</x:v>
      </x:c>
      <x:c r="O159" s="42" t="n">
        <x:f>IF(N159=0,0,I159/N159)</x:f>
        <x:v>0.51804699062777</x:v>
      </x:c>
      <x:c r="P159" s="44" t="str">
        <x:v>Coverage below 1.0 indicates reliance on imported, transfer, adult, international, or higher-participation demand.</x:v>
      </x:c>
    </x:row>
    <x:row r="160">
      <x:c r="A160" s="16" t="str">
        <x:v>RI</x:v>
      </x:c>
      <x:c r="B160" s="16" t="str">
        <x:v>Rhode Island</x:v>
      </x:c>
      <x:c r="C160" s="16" t="n">
        <x:v>2026</x:v>
      </x:c>
      <x:c r="D160" s="34" t="n">
        <x:v>11199</x:v>
      </x:c>
      <x:c r="E160" s="21" t="n">
        <x:v>0</x:v>
      </x:c>
      <x:c r="F160" s="36" t="n">
        <x:f>Assumptions!$B$5</x:f>
        <x:v>0.628</x:v>
      </x:c>
      <x:c r="G160" s="38" t="n">
        <x:f>D160*F160</x:f>
        <x:v>7032.972</x:v>
      </x:c>
      <x:c r="H160" s="36" t="n">
        <x:f>Assumptions!$B$6</x:f>
        <x:v>0.6666666666666666</x:v>
      </x:c>
      <x:c r="I160" s="38" t="n">
        <x:f>G160*H160</x:f>
        <x:v>4688.647999999999</x:v>
      </x:c>
      <x:c r="J160" s="40" t="n">
        <x:f>D160*Assumptions!$C$5*Assumptions!$C$6</x:f>
        <x:v>3991.6968999999995</x:v>
      </x:c>
      <x:c r="K160" s="40" t="n">
        <x:f>D160*Assumptions!$D$5*Assumptions!$D$6</x:f>
        <x:v>5441.5941</x:v>
      </x:c>
      <x:c r="L160" s="34" t="n">
        <x:v>51639</x:v>
      </x:c>
      <x:c r="M160" s="34" t="n">
        <x:v>10</x:v>
      </x:c>
      <x:c r="N160" s="38" t="n">
        <x:f>IF(L160=0,0,L160/Assumptions!$B$7)</x:f>
        <x:v>12150.35294117647</x:v>
      </x:c>
      <x:c r="O160" s="42" t="n">
        <x:f>IF(N160=0,0,I160/N160)</x:f>
        <x:v>0.38588574527004776</x:v>
      </x:c>
      <x:c r="P160" s="44" t="str">
        <x:v>Coverage below 1.0 indicates reliance on imported, transfer, adult, international, or higher-participation demand.</x:v>
      </x:c>
    </x:row>
    <x:row r="161">
      <x:c r="A161" s="16" t="str">
        <x:v>RI</x:v>
      </x:c>
      <x:c r="B161" s="16" t="str">
        <x:v>Rhode Island</x:v>
      </x:c>
      <x:c r="C161" s="16" t="n">
        <x:v>2030</x:v>
      </x:c>
      <x:c r="D161" s="34" t="n">
        <x:v>10366</x:v>
      </x:c>
      <x:c r="E161" s="21" t="n">
        <x:v>-0.07438164121796587</x:v>
      </x:c>
      <x:c r="F161" s="36" t="n">
        <x:f>Assumptions!$B$5</x:f>
        <x:v>0.628</x:v>
      </x:c>
      <x:c r="G161" s="38" t="n">
        <x:f>D161*F161</x:f>
        <x:v>6509.848</x:v>
      </x:c>
      <x:c r="H161" s="36" t="n">
        <x:f>Assumptions!$B$6</x:f>
        <x:v>0.6666666666666666</x:v>
      </x:c>
      <x:c r="I161" s="38" t="n">
        <x:f>G161*H161</x:f>
        <x:v>4339.898666666666</x:v>
      </x:c>
      <x:c r="J161" s="40" t="n">
        <x:f>D161*Assumptions!$C$5*Assumptions!$C$6</x:f>
        <x:v>3694.7879333333326</x:v>
      </x:c>
      <x:c r="K161" s="40" t="n">
        <x:f>D161*Assumptions!$D$5*Assumptions!$D$6</x:f>
        <x:v>5036.8394</x:v>
      </x:c>
      <x:c r="L161" s="34" t="n">
        <x:v>51639</x:v>
      </x:c>
      <x:c r="M161" s="34" t="n">
        <x:v>10</x:v>
      </x:c>
      <x:c r="N161" s="38" t="n">
        <x:f>IF(L161=0,0,L161/Assumptions!$B$7)</x:f>
        <x:v>12150.35294117647</x:v>
      </x:c>
      <x:c r="O161" s="42" t="n">
        <x:f>IF(N161=0,0,I161/N161)</x:f>
        <x:v>0.3571829302142437</x:v>
      </x:c>
      <x:c r="P161" s="44" t="str">
        <x:v>Coverage below 1.0 indicates reliance on imported, transfer, adult, international, or higher-participation demand.</x:v>
      </x:c>
    </x:row>
    <x:row r="162">
      <x:c r="A162" s="16" t="str">
        <x:v>RI</x:v>
      </x:c>
      <x:c r="B162" s="16" t="str">
        <x:v>Rhode Island</x:v>
      </x:c>
      <x:c r="C162" s="16" t="n">
        <x:v>2035</x:v>
      </x:c>
      <x:c r="D162" s="34" t="n">
        <x:v>10341</x:v>
      </x:c>
      <x:c r="E162" s="21" t="n">
        <x:v>-0.07661398339137426</x:v>
      </x:c>
      <x:c r="F162" s="36" t="n">
        <x:f>Assumptions!$B$5</x:f>
        <x:v>0.628</x:v>
      </x:c>
      <x:c r="G162" s="38" t="n">
        <x:f>D162*F162</x:f>
        <x:v>6494.148</x:v>
      </x:c>
      <x:c r="H162" s="36" t="n">
        <x:f>Assumptions!$B$6</x:f>
        <x:v>0.6666666666666666</x:v>
      </x:c>
      <x:c r="I162" s="38" t="n">
        <x:f>G162*H162</x:f>
        <x:v>4329.432</x:v>
      </x:c>
      <x:c r="J162" s="40" t="n">
        <x:f>D162*Assumptions!$C$5*Assumptions!$C$6</x:f>
        <x:v>3685.8770999999997</x:v>
      </x:c>
      <x:c r="K162" s="40" t="n">
        <x:f>D162*Assumptions!$D$5*Assumptions!$D$6</x:f>
        <x:v>5024.691900000001</x:v>
      </x:c>
      <x:c r="L162" s="34" t="n">
        <x:v>51639</x:v>
      </x:c>
      <x:c r="M162" s="34" t="n">
        <x:v>10</x:v>
      </x:c>
      <x:c r="N162" s="38" t="n">
        <x:f>IF(L162=0,0,L162/Assumptions!$B$7)</x:f>
        <x:v>12150.35294117647</x:v>
      </x:c>
      <x:c r="O162" s="42" t="n">
        <x:f>IF(N162=0,0,I162/N162)</x:f>
        <x:v>0.3563215011909603</x:v>
      </x:c>
      <x:c r="P162" s="44" t="str">
        <x:v>Coverage below 1.0 indicates reliance on imported, transfer, adult, international, or higher-participation demand.</x:v>
      </x:c>
    </x:row>
    <x:row r="163">
      <x:c r="A163" s="16" t="str">
        <x:v>RI</x:v>
      </x:c>
      <x:c r="B163" s="16" t="str">
        <x:v>Rhode Island</x:v>
      </x:c>
      <x:c r="C163" s="16" t="n">
        <x:v>2041</x:v>
      </x:c>
      <x:c r="D163" s="34" t="n">
        <x:v>9492</x:v>
      </x:c>
      <x:c r="E163" s="21" t="n">
        <x:v>-0.15242432360032143</x:v>
      </x:c>
      <x:c r="F163" s="36" t="n">
        <x:f>Assumptions!$B$5</x:f>
        <x:v>0.628</x:v>
      </x:c>
      <x:c r="G163" s="38" t="n">
        <x:f>D163*F163</x:f>
        <x:v>5960.976</x:v>
      </x:c>
      <x:c r="H163" s="36" t="n">
        <x:f>Assumptions!$B$6</x:f>
        <x:v>0.6666666666666666</x:v>
      </x:c>
      <x:c r="I163" s="38" t="n">
        <x:f>G163*H163</x:f>
        <x:v>3973.9839999999995</x:v>
      </x:c>
      <x:c r="J163" s="40" t="n">
        <x:f>D163*Assumptions!$C$5*Assumptions!$C$6</x:f>
        <x:v>3383.265199999999</x:v>
      </x:c>
      <x:c r="K163" s="40" t="n">
        <x:f>D163*Assumptions!$D$5*Assumptions!$D$6</x:f>
        <x:v>4612.1628</x:v>
      </x:c>
      <x:c r="L163" s="34" t="n">
        <x:v>51639</x:v>
      </x:c>
      <x:c r="M163" s="34" t="n">
        <x:v>10</x:v>
      </x:c>
      <x:c r="N163" s="38" t="n">
        <x:f>IF(L163=0,0,L163/Assumptions!$B$7)</x:f>
        <x:v>12150.35294117647</x:v>
      </x:c>
      <x:c r="O163" s="42" t="n">
        <x:f>IF(N163=0,0,I163/N163)</x:f>
        <x:v>0.32706737156025484</x:v>
      </x:c>
      <x:c r="P163" s="44" t="str">
        <x:v>Coverage below 1.0 indicates reliance on imported, transfer, adult, international, or higher-participation demand.</x:v>
      </x:c>
    </x:row>
    <x:row r="164">
      <x:c r="A164" s="16" t="str">
        <x:v>SC</x:v>
      </x:c>
      <x:c r="B164" s="16" t="str">
        <x:v>South Carolina</x:v>
      </x:c>
      <x:c r="C164" s="16" t="n">
        <x:v>2026</x:v>
      </x:c>
      <x:c r="D164" s="34" t="n">
        <x:v>58790</x:v>
      </x:c>
      <x:c r="E164" s="21" t="n">
        <x:v>0</x:v>
      </x:c>
      <x:c r="F164" s="36" t="n">
        <x:f>Assumptions!$B$5</x:f>
        <x:v>0.628</x:v>
      </x:c>
      <x:c r="G164" s="38" t="n">
        <x:f>D164*F164</x:f>
        <x:v>36920.12</x:v>
      </x:c>
      <x:c r="H164" s="36" t="n">
        <x:f>Assumptions!$B$6</x:f>
        <x:v>0.6666666666666666</x:v>
      </x:c>
      <x:c r="I164" s="38" t="n">
        <x:f>G164*H164</x:f>
        <x:v>24613.413333333334</x:v>
      </x:c>
      <x:c r="J164" s="40" t="n">
        <x:f>D164*Assumptions!$C$5*Assumptions!$C$6</x:f>
        <x:v>20954.71566666666</x:v>
      </x:c>
      <x:c r="K164" s="40" t="n">
        <x:f>D164*Assumptions!$D$5*Assumptions!$D$6</x:f>
        <x:v>28566.061</x:v>
      </x:c>
      <x:c r="L164" s="34" t="n">
        <x:v>117260</x:v>
      </x:c>
      <x:c r="M164" s="34" t="n">
        <x:v>32</x:v>
      </x:c>
      <x:c r="N164" s="38" t="n">
        <x:f>IF(L164=0,0,L164/Assumptions!$B$7)</x:f>
        <x:v>27590.58823529412</x:v>
      </x:c>
      <x:c r="O164" s="42" t="n">
        <x:f>IF(N164=0,0,I164/N164)</x:f>
        <x:v>0.892094547728694</x:v>
      </x:c>
      <x:c r="P164" s="44" t="str">
        <x:v>Coverage below 1.0 indicates reliance on imported, transfer, adult, international, or higher-participation demand.</x:v>
      </x:c>
    </x:row>
    <x:row r="165">
      <x:c r="A165" s="16" t="str">
        <x:v>SC</x:v>
      </x:c>
      <x:c r="B165" s="16" t="str">
        <x:v>South Carolina</x:v>
      </x:c>
      <x:c r="C165" s="16" t="n">
        <x:v>2030</x:v>
      </x:c>
      <x:c r="D165" s="34" t="n">
        <x:v>57870</x:v>
      </x:c>
      <x:c r="E165" s="21" t="n">
        <x:v>-0.015648919884334034</x:v>
      </x:c>
      <x:c r="F165" s="36" t="n">
        <x:f>Assumptions!$B$5</x:f>
        <x:v>0.628</x:v>
      </x:c>
      <x:c r="G165" s="38" t="n">
        <x:f>D165*F165</x:f>
        <x:v>36342.36</x:v>
      </x:c>
      <x:c r="H165" s="36" t="n">
        <x:f>Assumptions!$B$6</x:f>
        <x:v>0.6666666666666666</x:v>
      </x:c>
      <x:c r="I165" s="38" t="n">
        <x:f>G165*H165</x:f>
        <x:v>24228.239999999998</x:v>
      </x:c>
      <x:c r="J165" s="40" t="n">
        <x:f>D165*Assumptions!$C$5*Assumptions!$C$6</x:f>
        <x:v>20626.797</x:v>
      </x:c>
      <x:c r="K165" s="40" t="n">
        <x:f>D165*Assumptions!$D$5*Assumptions!$D$6</x:f>
        <x:v>28119.033</x:v>
      </x:c>
      <x:c r="L165" s="34" t="n">
        <x:v>117260</x:v>
      </x:c>
      <x:c r="M165" s="34" t="n">
        <x:v>32</x:v>
      </x:c>
      <x:c r="N165" s="38" t="n">
        <x:f>IF(L165=0,0,L165/Assumptions!$B$7)</x:f>
        <x:v>27590.58823529412</x:v>
      </x:c>
      <x:c r="O165" s="42" t="n">
        <x:f>IF(N165=0,0,I165/N165)</x:f>
        <x:v>0.8781342316220364</x:v>
      </x:c>
      <x:c r="P165" s="44" t="str">
        <x:v>Coverage below 1.0 indicates reliance on imported, transfer, adult, international, or higher-participation demand.</x:v>
      </x:c>
    </x:row>
    <x:row r="166">
      <x:c r="A166" s="16" t="str">
        <x:v>SC</x:v>
      </x:c>
      <x:c r="B166" s="16" t="str">
        <x:v>South Carolina</x:v>
      </x:c>
      <x:c r="C166" s="16" t="n">
        <x:v>2035</x:v>
      </x:c>
      <x:c r="D166" s="34" t="n">
        <x:v>60992</x:v>
      </x:c>
      <x:c r="E166" s="21" t="n">
        <x:v>0.03745534954924312</x:v>
      </x:c>
      <x:c r="F166" s="36" t="n">
        <x:f>Assumptions!$B$5</x:f>
        <x:v>0.628</x:v>
      </x:c>
      <x:c r="G166" s="38" t="n">
        <x:f>D166*F166</x:f>
        <x:v>38302.976</x:v>
      </x:c>
      <x:c r="H166" s="36" t="n">
        <x:f>Assumptions!$B$6</x:f>
        <x:v>0.6666666666666666</x:v>
      </x:c>
      <x:c r="I166" s="38" t="n">
        <x:f>G166*H166</x:f>
        <x:v>25535.317333333332</x:v>
      </x:c>
      <x:c r="J166" s="40" t="n">
        <x:f>D166*Assumptions!$C$5*Assumptions!$C$6</x:f>
        <x:v>21739.58186666666</x:v>
      </x:c>
      <x:c r="K166" s="40" t="n">
        <x:f>D166*Assumptions!$D$5*Assumptions!$D$6</x:f>
        <x:v>29636.0128</x:v>
      </x:c>
      <x:c r="L166" s="34" t="n">
        <x:v>117260</x:v>
      </x:c>
      <x:c r="M166" s="34" t="n">
        <x:v>32</x:v>
      </x:c>
      <x:c r="N166" s="38" t="n">
        <x:f>IF(L166=0,0,L166/Assumptions!$B$7)</x:f>
        <x:v>27590.58823529412</x:v>
      </x:c>
      <x:c r="O166" s="42" t="n">
        <x:f>IF(N166=0,0,I166/N166)</x:f>
        <x:v>0.9255082608448462</x:v>
      </x:c>
      <x:c r="P166" s="44" t="str">
        <x:v>Coverage below 1.0 indicates reliance on imported, transfer, adult, international, or higher-participation demand.</x:v>
      </x:c>
    </x:row>
    <x:row r="167">
      <x:c r="A167" s="16" t="str">
        <x:v>SC</x:v>
      </x:c>
      <x:c r="B167" s="16" t="str">
        <x:v>South Carolina</x:v>
      </x:c>
      <x:c r="C167" s="16" t="n">
        <x:v>2041</x:v>
      </x:c>
      <x:c r="D167" s="34" t="n">
        <x:v>61735</x:v>
      </x:c>
      <x:c r="E167" s="21" t="n">
        <x:v>0.050093553325395446</x:v>
      </x:c>
      <x:c r="F167" s="36" t="n">
        <x:f>Assumptions!$B$5</x:f>
        <x:v>0.628</x:v>
      </x:c>
      <x:c r="G167" s="38" t="n">
        <x:f>D167*F167</x:f>
        <x:v>38769.58</x:v>
      </x:c>
      <x:c r="H167" s="36" t="n">
        <x:f>Assumptions!$B$6</x:f>
        <x:v>0.6666666666666666</x:v>
      </x:c>
      <x:c r="I167" s="38" t="n">
        <x:f>G167*H167</x:f>
        <x:v>25846.386666666665</x:v>
      </x:c>
      <x:c r="J167" s="40" t="n">
        <x:f>D167*Assumptions!$C$5*Assumptions!$C$6</x:f>
        <x:v>22004.411833333328</x:v>
      </x:c>
      <x:c r="K167" s="40" t="n">
        <x:f>D167*Assumptions!$D$5*Assumptions!$D$6</x:f>
        <x:v>29997.036500000002</x:v>
      </x:c>
      <x:c r="L167" s="34" t="n">
        <x:v>117260</x:v>
      </x:c>
      <x:c r="M167" s="34" t="n">
        <x:v>32</x:v>
      </x:c>
      <x:c r="N167" s="38" t="n">
        <x:f>IF(L167=0,0,L167/Assumptions!$B$7)</x:f>
        <x:v>27590.58823529412</x:v>
      </x:c>
      <x:c r="O167" s="42" t="n">
        <x:f>IF(N167=0,0,I167/N167)</x:f>
        <x:v>0.9367827335266359</x:v>
      </x:c>
      <x:c r="P167" s="44" t="str">
        <x:v>Coverage below 1.0 indicates reliance on imported, transfer, adult, international, or higher-participation demand.</x:v>
      </x:c>
    </x:row>
    <x:row r="168">
      <x:c r="A168" s="16" t="str">
        <x:v>SD</x:v>
      </x:c>
      <x:c r="B168" s="16" t="str">
        <x:v>South Dakota</x:v>
      </x:c>
      <x:c r="C168" s="16" t="n">
        <x:v>2026</x:v>
      </x:c>
      <x:c r="D168" s="34" t="n">
        <x:v>10613</x:v>
      </x:c>
      <x:c r="E168" s="21" t="n">
        <x:v>0</x:v>
      </x:c>
      <x:c r="F168" s="36" t="n">
        <x:f>Assumptions!$B$5</x:f>
        <x:v>0.628</x:v>
      </x:c>
      <x:c r="G168" s="38" t="n">
        <x:f>D168*F168</x:f>
        <x:v>6664.964</x:v>
      </x:c>
      <x:c r="H168" s="36" t="n">
        <x:f>Assumptions!$B$6</x:f>
        <x:v>0.6666666666666666</x:v>
      </x:c>
      <x:c r="I168" s="38" t="n">
        <x:f>G168*H168</x:f>
        <x:v>4443.309333333333</x:v>
      </x:c>
      <x:c r="J168" s="40" t="n">
        <x:f>D168*Assumptions!$C$5*Assumptions!$C$6</x:f>
        <x:v>3782.8269666666656</x:v>
      </x:c>
      <x:c r="K168" s="40" t="n">
        <x:f>D168*Assumptions!$D$5*Assumptions!$D$6</x:f>
        <x:v>5156.8567</x:v>
      </x:c>
      <x:c r="L168" s="34" t="n">
        <x:v>29890</x:v>
      </x:c>
      <x:c r="M168" s="34" t="n">
        <x:v>11</x:v>
      </x:c>
      <x:c r="N168" s="38" t="n">
        <x:f>IF(L168=0,0,L168/Assumptions!$B$7)</x:f>
        <x:v>7032.941176470588</x:v>
      </x:c>
      <x:c r="O168" s="42" t="n">
        <x:f>IF(N168=0,0,I168/N168)</x:f>
        <x:v>0.6317853685736589</x:v>
      </x:c>
      <x:c r="P168" s="44" t="str">
        <x:v>Coverage below 1.0 indicates reliance on imported, transfer, adult, international, or higher-participation demand.</x:v>
      </x:c>
    </x:row>
    <x:row r="169">
      <x:c r="A169" s="16" t="str">
        <x:v>SD</x:v>
      </x:c>
      <x:c r="B169" s="16" t="str">
        <x:v>South Dakota</x:v>
      </x:c>
      <x:c r="C169" s="16" t="n">
        <x:v>2030</x:v>
      </x:c>
      <x:c r="D169" s="34" t="n">
        <x:v>10677</x:v>
      </x:c>
      <x:c r="E169" s="21" t="n">
        <x:v>0.006030340148873936</x:v>
      </x:c>
      <x:c r="F169" s="36" t="n">
        <x:f>Assumptions!$B$5</x:f>
        <x:v>0.628</x:v>
      </x:c>
      <x:c r="G169" s="38" t="n">
        <x:f>D169*F169</x:f>
        <x:v>6705.156</x:v>
      </x:c>
      <x:c r="H169" s="36" t="n">
        <x:f>Assumptions!$B$6</x:f>
        <x:v>0.6666666666666666</x:v>
      </x:c>
      <x:c r="I169" s="38" t="n">
        <x:f>G169*H169</x:f>
        <x:v>4470.103999999999</x:v>
      </x:c>
      <x:c r="J169" s="40" t="n">
        <x:f>D169*Assumptions!$C$5*Assumptions!$C$6</x:f>
        <x:v>3805.638699999999</x:v>
      </x:c>
      <x:c r="K169" s="40" t="n">
        <x:f>D169*Assumptions!$D$5*Assumptions!$D$6</x:f>
        <x:v>5187.9543</x:v>
      </x:c>
      <x:c r="L169" s="34" t="n">
        <x:v>29890</x:v>
      </x:c>
      <x:c r="M169" s="34" t="n">
        <x:v>11</x:v>
      </x:c>
      <x:c r="N169" s="38" t="n">
        <x:f>IF(L169=0,0,L169/Assumptions!$B$7)</x:f>
        <x:v>7032.941176470588</x:v>
      </x:c>
      <x:c r="O169" s="42" t="n">
        <x:f>IF(N169=0,0,I169/N169)</x:f>
        <x:v>0.6355952492472398</x:v>
      </x:c>
      <x:c r="P169" s="44" t="str">
        <x:v>Coverage below 1.0 indicates reliance on imported, transfer, adult, international, or higher-participation demand.</x:v>
      </x:c>
    </x:row>
    <x:row r="170">
      <x:c r="A170" s="16" t="str">
        <x:v>SD</x:v>
      </x:c>
      <x:c r="B170" s="16" t="str">
        <x:v>South Dakota</x:v>
      </x:c>
      <x:c r="C170" s="16" t="n">
        <x:v>2035</x:v>
      </x:c>
      <x:c r="D170" s="34" t="n">
        <x:v>11196</x:v>
      </x:c>
      <x:c r="E170" s="21" t="n">
        <x:v>0.05493262979364921</x:v>
      </x:c>
      <x:c r="F170" s="36" t="n">
        <x:f>Assumptions!$B$5</x:f>
        <x:v>0.628</x:v>
      </x:c>
      <x:c r="G170" s="38" t="n">
        <x:f>D170*F170</x:f>
        <x:v>7031.088</x:v>
      </x:c>
      <x:c r="H170" s="36" t="n">
        <x:f>Assumptions!$B$6</x:f>
        <x:v>0.6666666666666666</x:v>
      </x:c>
      <x:c r="I170" s="38" t="n">
        <x:f>G170*H170</x:f>
        <x:v>4687.392</x:v>
      </x:c>
      <x:c r="J170" s="40" t="n">
        <x:f>D170*Assumptions!$C$5*Assumptions!$C$6</x:f>
        <x:v>3990.6275999999993</x:v>
      </x:c>
      <x:c r="K170" s="40" t="n">
        <x:f>D170*Assumptions!$D$5*Assumptions!$D$6</x:f>
        <x:v>5440.1364</x:v>
      </x:c>
      <x:c r="L170" s="34" t="n">
        <x:v>29890</x:v>
      </x:c>
      <x:c r="M170" s="34" t="n">
        <x:v>11</x:v>
      </x:c>
      <x:c r="N170" s="38" t="n">
        <x:f>IF(L170=0,0,L170/Assumptions!$B$7)</x:f>
        <x:v>7032.941176470588</x:v>
      </x:c>
      <x:c r="O170" s="42" t="n">
        <x:f>IF(N170=0,0,I170/N170)</x:f>
        <x:v>0.66649100033456</x:v>
      </x:c>
      <x:c r="P170" s="44" t="str">
        <x:v>Coverage below 1.0 indicates reliance on imported, transfer, adult, international, or higher-participation demand.</x:v>
      </x:c>
    </x:row>
    <x:row r="171">
      <x:c r="A171" s="16" t="str">
        <x:v>SD</x:v>
      </x:c>
      <x:c r="B171" s="16" t="str">
        <x:v>South Dakota</x:v>
      </x:c>
      <x:c r="C171" s="16" t="n">
        <x:v>2041</x:v>
      </x:c>
      <x:c r="D171" s="34" t="n">
        <x:v>10357</x:v>
      </x:c>
      <x:c r="E171" s="21" t="n">
        <x:v>-0.024121360595496077</x:v>
      </x:c>
      <x:c r="F171" s="36" t="n">
        <x:f>Assumptions!$B$5</x:f>
        <x:v>0.628</x:v>
      </x:c>
      <x:c r="G171" s="38" t="n">
        <x:f>D171*F171</x:f>
        <x:v>6504.196</x:v>
      </x:c>
      <x:c r="H171" s="36" t="n">
        <x:f>Assumptions!$B$6</x:f>
        <x:v>0.6666666666666666</x:v>
      </x:c>
      <x:c r="I171" s="38" t="n">
        <x:f>G171*H171</x:f>
        <x:v>4336.130666666666</x:v>
      </x:c>
      <x:c r="J171" s="40" t="n">
        <x:f>D171*Assumptions!$C$5*Assumptions!$C$6</x:f>
        <x:v>3691.5800333333327</x:v>
      </x:c>
      <x:c r="K171" s="40" t="n">
        <x:f>D171*Assumptions!$D$5*Assumptions!$D$6</x:f>
        <x:v>5032.4663</x:v>
      </x:c>
      <x:c r="L171" s="34" t="n">
        <x:v>29890</x:v>
      </x:c>
      <x:c r="M171" s="34" t="n">
        <x:v>11</x:v>
      </x:c>
      <x:c r="N171" s="38" t="n">
        <x:f>IF(L171=0,0,L171/Assumptions!$B$7)</x:f>
        <x:v>7032.941176470588</x:v>
      </x:c>
      <x:c r="O171" s="42" t="n">
        <x:f>IF(N171=0,0,I171/N171)</x:f>
        <x:v>0.6165458458793353</x:v>
      </x:c>
      <x:c r="P171" s="44" t="str">
        <x:v>Coverage below 1.0 indicates reliance on imported, transfer, adult, international, or higher-participation demand.</x:v>
      </x:c>
    </x:row>
    <x:row r="172">
      <x:c r="A172" s="16" t="str">
        <x:v>TN</x:v>
      </x:c>
      <x:c r="B172" s="16" t="str">
        <x:v>Tennessee</x:v>
      </x:c>
      <x:c r="C172" s="16" t="n">
        <x:v>2026</x:v>
      </x:c>
      <x:c r="D172" s="34" t="n">
        <x:v>74939</x:v>
      </x:c>
      <x:c r="E172" s="21" t="n">
        <x:v>0</x:v>
      </x:c>
      <x:c r="F172" s="36" t="n">
        <x:f>Assumptions!$B$5</x:f>
        <x:v>0.628</x:v>
      </x:c>
      <x:c r="G172" s="38" t="n">
        <x:f>D172*F172</x:f>
        <x:v>47061.692</x:v>
      </x:c>
      <x:c r="H172" s="36" t="n">
        <x:f>Assumptions!$B$6</x:f>
        <x:v>0.6666666666666666</x:v>
      </x:c>
      <x:c r="I172" s="38" t="n">
        <x:f>G172*H172</x:f>
        <x:v>31374.461333333333</x:v>
      </x:c>
      <x:c r="J172" s="40" t="n">
        <x:f>D172*Assumptions!$C$5*Assumptions!$C$6</x:f>
        <x:v>26710.757566666663</x:v>
      </x:c>
      <x:c r="K172" s="40" t="n">
        <x:f>D172*Assumptions!$D$5*Assumptions!$D$6</x:f>
        <x:v>36412.860100000005</x:v>
      </x:c>
      <x:c r="L172" s="34" t="n">
        <x:v>166588</x:v>
      </x:c>
      <x:c r="M172" s="34" t="n">
        <x:v>45</x:v>
      </x:c>
      <x:c r="N172" s="38" t="n">
        <x:f>IF(L172=0,0,L172/Assumptions!$B$7)</x:f>
        <x:v>39197.17647058824</x:v>
      </x:c>
      <x:c r="O172" s="42" t="n">
        <x:f>IF(N172=0,0,I172/N172)</x:f>
        <x:v>0.8004265653388398</x:v>
      </x:c>
      <x:c r="P172" s="44" t="str">
        <x:v>Coverage below 1.0 indicates reliance on imported, transfer, adult, international, or higher-participation demand.</x:v>
      </x:c>
    </x:row>
    <x:row r="173">
      <x:c r="A173" s="16" t="str">
        <x:v>TN</x:v>
      </x:c>
      <x:c r="B173" s="16" t="str">
        <x:v>Tennessee</x:v>
      </x:c>
      <x:c r="C173" s="16" t="n">
        <x:v>2030</x:v>
      </x:c>
      <x:c r="D173" s="34" t="n">
        <x:v>74906</x:v>
      </x:c>
      <x:c r="E173" s="21" t="n">
        <x:v>-0.0004403581579685012</x:v>
      </x:c>
      <x:c r="F173" s="36" t="n">
        <x:f>Assumptions!$B$5</x:f>
        <x:v>0.628</x:v>
      </x:c>
      <x:c r="G173" s="38" t="n">
        <x:f>D173*F173</x:f>
        <x:v>47040.968</x:v>
      </x:c>
      <x:c r="H173" s="36" t="n">
        <x:f>Assumptions!$B$6</x:f>
        <x:v>0.6666666666666666</x:v>
      </x:c>
      <x:c r="I173" s="38" t="n">
        <x:f>G173*H173</x:f>
        <x:v>31360.645333333334</x:v>
      </x:c>
      <x:c r="J173" s="40" t="n">
        <x:f>D173*Assumptions!$C$5*Assumptions!$C$6</x:f>
        <x:v>26698.99526666666</x:v>
      </x:c>
      <x:c r="K173" s="40" t="n">
        <x:f>D173*Assumptions!$D$5*Assumptions!$D$6</x:f>
        <x:v>36396.8254</x:v>
      </x:c>
      <x:c r="L173" s="34" t="n">
        <x:v>166588</x:v>
      </x:c>
      <x:c r="M173" s="34" t="n">
        <x:v>45</x:v>
      </x:c>
      <x:c r="N173" s="38" t="n">
        <x:f>IF(L173=0,0,L173/Assumptions!$B$7)</x:f>
        <x:v>39197.17647058824</x:v>
      </x:c>
      <x:c r="O173" s="42" t="n">
        <x:f>IF(N173=0,0,I173/N173)</x:f>
        <x:v>0.8000740909709383</x:v>
      </x:c>
      <x:c r="P173" s="44" t="str">
        <x:v>Coverage below 1.0 indicates reliance on imported, transfer, adult, international, or higher-participation demand.</x:v>
      </x:c>
    </x:row>
    <x:row r="174">
      <x:c r="A174" s="16" t="str">
        <x:v>TN</x:v>
      </x:c>
      <x:c r="B174" s="16" t="str">
        <x:v>Tennessee</x:v>
      </x:c>
      <x:c r="C174" s="16" t="n">
        <x:v>2035</x:v>
      </x:c>
      <x:c r="D174" s="34" t="n">
        <x:v>79662</x:v>
      </x:c>
      <x:c r="E174" s="21" t="n">
        <x:v>0.06302459333591326</x:v>
      </x:c>
      <x:c r="F174" s="36" t="n">
        <x:f>Assumptions!$B$5</x:f>
        <x:v>0.628</x:v>
      </x:c>
      <x:c r="G174" s="38" t="n">
        <x:f>D174*F174</x:f>
        <x:v>50027.736</x:v>
      </x:c>
      <x:c r="H174" s="36" t="n">
        <x:f>Assumptions!$B$6</x:f>
        <x:v>0.6666666666666666</x:v>
      </x:c>
      <x:c r="I174" s="38" t="n">
        <x:f>G174*H174</x:f>
        <x:v>33351.82399999999</x:v>
      </x:c>
      <x:c r="J174" s="40" t="n">
        <x:f>D174*Assumptions!$C$5*Assumptions!$C$6</x:f>
        <x:v>28394.192199999994</x:v>
      </x:c>
      <x:c r="K174" s="40" t="n">
        <x:f>D174*Assumptions!$D$5*Assumptions!$D$6</x:f>
        <x:v>38707.7658</x:v>
      </x:c>
      <x:c r="L174" s="34" t="n">
        <x:v>166588</x:v>
      </x:c>
      <x:c r="M174" s="34" t="n">
        <x:v>45</x:v>
      </x:c>
      <x:c r="N174" s="38" t="n">
        <x:f>IF(L174=0,0,L174/Assumptions!$B$7)</x:f>
        <x:v>39197.17647058824</x:v>
      </x:c>
      <x:c r="O174" s="42" t="n">
        <x:f>IF(N174=0,0,I174/N174)</x:f>
        <x:v>0.8508731241145818</x:v>
      </x:c>
      <x:c r="P174" s="44" t="str">
        <x:v>Coverage below 1.0 indicates reliance on imported, transfer, adult, international, or higher-participation demand.</x:v>
      </x:c>
    </x:row>
    <x:row r="175">
      <x:c r="A175" s="16" t="str">
        <x:v>TN</x:v>
      </x:c>
      <x:c r="B175" s="16" t="str">
        <x:v>Tennessee</x:v>
      </x:c>
      <x:c r="C175" s="16" t="n">
        <x:v>2041</x:v>
      </x:c>
      <x:c r="D175" s="34" t="n">
        <x:v>81459</x:v>
      </x:c>
      <x:c r="E175" s="21" t="n">
        <x:v>0.08700409666528786</x:v>
      </x:c>
      <x:c r="F175" s="36" t="n">
        <x:f>Assumptions!$B$5</x:f>
        <x:v>0.628</x:v>
      </x:c>
      <x:c r="G175" s="38" t="n">
        <x:f>D175*F175</x:f>
        <x:v>51156.252</x:v>
      </x:c>
      <x:c r="H175" s="36" t="n">
        <x:f>Assumptions!$B$6</x:f>
        <x:v>0.6666666666666666</x:v>
      </x:c>
      <x:c r="I175" s="38" t="n">
        <x:f>G175*H175</x:f>
        <x:v>34104.168</x:v>
      </x:c>
      <x:c r="J175" s="40" t="n">
        <x:f>D175*Assumptions!$C$5*Assumptions!$C$6</x:f>
        <x:v>29034.702899999993</x:v>
      </x:c>
      <x:c r="K175" s="40" t="n">
        <x:f>D175*Assumptions!$D$5*Assumptions!$D$6</x:f>
        <x:v>39580.928100000005</x:v>
      </x:c>
      <x:c r="L175" s="34" t="n">
        <x:v>166588</x:v>
      </x:c>
      <x:c r="M175" s="34" t="n">
        <x:v>45</x:v>
      </x:c>
      <x:c r="N175" s="38" t="n">
        <x:f>IF(L175=0,0,L175/Assumptions!$B$7)</x:f>
        <x:v>39197.17647058824</x:v>
      </x:c>
      <x:c r="O175" s="42" t="n">
        <x:f>IF(N175=0,0,I175/N175)</x:f>
        <x:v>0.8700669556030445</x:v>
      </x:c>
      <x:c r="P175" s="44" t="str">
        <x:v>Coverage below 1.0 indicates reliance on imported, transfer, adult, international, or higher-participation demand.</x:v>
      </x:c>
    </x:row>
    <x:row r="176">
      <x:c r="A176" s="16" t="str">
        <x:v>TX</x:v>
      </x:c>
      <x:c r="B176" s="16" t="str">
        <x:v>Texas</x:v>
      </x:c>
      <x:c r="C176" s="16" t="n">
        <x:v>2026</x:v>
      </x:c>
      <x:c r="D176" s="34" t="n">
        <x:v>410890</x:v>
      </x:c>
      <x:c r="E176" s="21" t="n">
        <x:v>0</x:v>
      </x:c>
      <x:c r="F176" s="36" t="n">
        <x:f>Assumptions!$B$5</x:f>
        <x:v>0.628</x:v>
      </x:c>
      <x:c r="G176" s="38" t="n">
        <x:f>D176*F176</x:f>
        <x:v>258038.92</x:v>
      </x:c>
      <x:c r="H176" s="36" t="n">
        <x:f>Assumptions!$B$6</x:f>
        <x:v>0.6666666666666666</x:v>
      </x:c>
      <x:c r="I176" s="38" t="n">
        <x:f>G176*H176</x:f>
        <x:v>172025.94666666666</x:v>
      </x:c>
      <x:c r="J176" s="40" t="n">
        <x:f>D176*Assumptions!$C$5*Assumptions!$C$6</x:f>
        <x:v>146454.8923333333</x:v>
      </x:c>
      <x:c r="K176" s="40" t="n">
        <x:f>D176*Assumptions!$D$5*Assumptions!$D$6</x:f>
        <x:v>199651.45100000003</x:v>
      </x:c>
      <x:c r="L176" s="34" t="n">
        <x:v>588544</x:v>
      </x:c>
      <x:c r="M176" s="34" t="n">
        <x:v>87</x:v>
      </x:c>
      <x:c r="N176" s="38" t="n">
        <x:f>IF(L176=0,0,L176/Assumptions!$B$7)</x:f>
        <x:v>138480.9411764706</x:v>
      </x:c>
      <x:c r="O176" s="42" t="n">
        <x:f>IF(N176=0,0,I176/N176)</x:f>
        <x:v>1.2422355394555602</x:v>
      </x:c>
      <x:c r="P176" s="44" t="str">
        <x:v>Coverage below 1.0 indicates reliance on imported, transfer, adult, international, or higher-participation demand.</x:v>
      </x:c>
    </x:row>
    <x:row r="177">
      <x:c r="A177" s="16" t="str">
        <x:v>TX</x:v>
      </x:c>
      <x:c r="B177" s="16" t="str">
        <x:v>Texas</x:v>
      </x:c>
      <x:c r="C177" s="16" t="n">
        <x:v>2030</x:v>
      </x:c>
      <x:c r="D177" s="34" t="n">
        <x:v>399411</x:v>
      </x:c>
      <x:c r="E177" s="21" t="n">
        <x:v>-0.027936917423154628</x:v>
      </x:c>
      <x:c r="F177" s="36" t="n">
        <x:f>Assumptions!$B$5</x:f>
        <x:v>0.628</x:v>
      </x:c>
      <x:c r="G177" s="38" t="n">
        <x:f>D177*F177</x:f>
        <x:v>250830.108</x:v>
      </x:c>
      <x:c r="H177" s="36" t="n">
        <x:f>Assumptions!$B$6</x:f>
        <x:v>0.6666666666666666</x:v>
      </x:c>
      <x:c r="I177" s="38" t="n">
        <x:f>G177*H177</x:f>
        <x:v>167220.072</x:v>
      </x:c>
      <x:c r="J177" s="40" t="n">
        <x:f>D177*Assumptions!$C$5*Assumptions!$C$6</x:f>
        <x:v>142363.39409999998</x:v>
      </x:c>
      <x:c r="K177" s="40" t="n">
        <x:f>D177*Assumptions!$D$5*Assumptions!$D$6</x:f>
        <x:v>194073.8049</x:v>
      </x:c>
      <x:c r="L177" s="34" t="n">
        <x:v>588544</x:v>
      </x:c>
      <x:c r="M177" s="34" t="n">
        <x:v>87</x:v>
      </x:c>
      <x:c r="N177" s="38" t="n">
        <x:f>IF(L177=0,0,L177/Assumptions!$B$7)</x:f>
        <x:v>138480.9411764706</x:v>
      </x:c>
      <x:c r="O177" s="42" t="n">
        <x:f>IF(N177=0,0,I177/N177)</x:f>
        <x:v>1.2075313077696823</x:v>
      </x:c>
      <x:c r="P177" s="44" t="str">
        <x:v>Coverage below 1.0 indicates reliance on imported, transfer, adult, international, or higher-participation demand.</x:v>
      </x:c>
    </x:row>
    <x:row r="178">
      <x:c r="A178" s="16" t="str">
        <x:v>TX</x:v>
      </x:c>
      <x:c r="B178" s="16" t="str">
        <x:v>Texas</x:v>
      </x:c>
      <x:c r="C178" s="16" t="n">
        <x:v>2035</x:v>
      </x:c>
      <x:c r="D178" s="34" t="n">
        <x:v>410286</x:v>
      </x:c>
      <x:c r="E178" s="21" t="n">
        <x:v>-0.0014699797999464526</x:v>
      </x:c>
      <x:c r="F178" s="36" t="n">
        <x:f>Assumptions!$B$5</x:f>
        <x:v>0.628</x:v>
      </x:c>
      <x:c r="G178" s="38" t="n">
        <x:f>D178*F178</x:f>
        <x:v>257659.608</x:v>
      </x:c>
      <x:c r="H178" s="36" t="n">
        <x:f>Assumptions!$B$6</x:f>
        <x:v>0.6666666666666666</x:v>
      </x:c>
      <x:c r="I178" s="38" t="n">
        <x:f>G178*H178</x:f>
        <x:v>171773.072</x:v>
      </x:c>
      <x:c r="J178" s="40" t="n">
        <x:f>D178*Assumptions!$C$5*Assumptions!$C$6</x:f>
        <x:v>146239.60659999997</x:v>
      </x:c>
      <x:c r="K178" s="40" t="n">
        <x:f>D178*Assumptions!$D$5*Assumptions!$D$6</x:f>
        <x:v>199357.9674</x:v>
      </x:c>
      <x:c r="L178" s="34" t="n">
        <x:v>588544</x:v>
      </x:c>
      <x:c r="M178" s="34" t="n">
        <x:v>87</x:v>
      </x:c>
      <x:c r="N178" s="38" t="n">
        <x:f>IF(L178=0,0,L178/Assumptions!$B$7)</x:f>
        <x:v>138480.9411764706</x:v>
      </x:c>
      <x:c r="O178" s="42" t="n">
        <x:f>IF(N178=0,0,I178/N178)</x:f>
        <x:v>1.2404094783057849</x:v>
      </x:c>
      <x:c r="P178" s="44" t="str">
        <x:v>Coverage below 1.0 indicates reliance on imported, transfer, adult, international, or higher-participation demand.</x:v>
      </x:c>
    </x:row>
    <x:row r="179">
      <x:c r="A179" s="16" t="str">
        <x:v>TX</x:v>
      </x:c>
      <x:c r="B179" s="16" t="str">
        <x:v>Texas</x:v>
      </x:c>
      <x:c r="C179" s="16" t="n">
        <x:v>2041</x:v>
      </x:c>
      <x:c r="D179" s="34" t="n">
        <x:v>414861</x:v>
      </x:c>
      <x:c r="E179" s="21" t="n">
        <x:v>0.009664387062230828</x:v>
      </x:c>
      <x:c r="F179" s="36" t="n">
        <x:f>Assumptions!$B$5</x:f>
        <x:v>0.628</x:v>
      </x:c>
      <x:c r="G179" s="38" t="n">
        <x:f>D179*F179</x:f>
        <x:v>260532.708</x:v>
      </x:c>
      <x:c r="H179" s="36" t="n">
        <x:f>Assumptions!$B$6</x:f>
        <x:v>0.6666666666666666</x:v>
      </x:c>
      <x:c r="I179" s="38" t="n">
        <x:f>G179*H179</x:f>
        <x:v>173688.472</x:v>
      </x:c>
      <x:c r="J179" s="40" t="n">
        <x:f>D179*Assumptions!$C$5*Assumptions!$C$6</x:f>
        <x:v>147870.28909999997</x:v>
      </x:c>
      <x:c r="K179" s="40" t="n">
        <x:f>D179*Assumptions!$D$5*Assumptions!$D$6</x:f>
        <x:v>201580.95990000002</x:v>
      </x:c>
      <x:c r="L179" s="34" t="n">
        <x:v>588544</x:v>
      </x:c>
      <x:c r="M179" s="34" t="n">
        <x:v>87</x:v>
      </x:c>
      <x:c r="N179" s="38" t="n">
        <x:f>IF(L179=0,0,L179/Assumptions!$B$7)</x:f>
        <x:v>138480.9411764706</x:v>
      </x:c>
      <x:c r="O179" s="42" t="n">
        <x:f>IF(N179=0,0,I179/N179)</x:f>
        <x:v>1.2542409845313178</x:v>
      </x:c>
      <x:c r="P179" s="44" t="str">
        <x:v>Coverage below 1.0 indicates reliance on imported, transfer, adult, international, or higher-participation demand.</x:v>
      </x:c>
    </x:row>
    <x:row r="180">
      <x:c r="A180" s="16" t="str">
        <x:v>UT</x:v>
      </x:c>
      <x:c r="B180" s="16" t="str">
        <x:v>Utah</x:v>
      </x:c>
      <x:c r="C180" s="16" t="n">
        <x:v>2026</x:v>
      </x:c>
      <x:c r="D180" s="34" t="n">
        <x:v>50201</x:v>
      </x:c>
      <x:c r="E180" s="21" t="n">
        <x:v>0</x:v>
      </x:c>
      <x:c r="F180" s="36" t="n">
        <x:f>Assumptions!$B$5</x:f>
        <x:v>0.628</x:v>
      </x:c>
      <x:c r="G180" s="38" t="n">
        <x:f>D180*F180</x:f>
        <x:v>31526.228</x:v>
      </x:c>
      <x:c r="H180" s="36" t="n">
        <x:f>Assumptions!$B$6</x:f>
        <x:v>0.6666666666666666</x:v>
      </x:c>
      <x:c r="I180" s="38" t="n">
        <x:f>G180*H180</x:f>
        <x:v>21017.48533333333</x:v>
      </x:c>
      <x:c r="J180" s="40" t="n">
        <x:f>D180*Assumptions!$C$5*Assumptions!$C$6</x:f>
        <x:v>17893.30976666666</x:v>
      </x:c>
      <x:c r="K180" s="40" t="n">
        <x:f>D180*Assumptions!$D$5*Assumptions!$D$6</x:f>
        <x:v>24392.665900000004</x:v>
      </x:c>
      <x:c r="L180" s="34" t="n">
        <x:v>181754</x:v>
      </x:c>
      <x:c r="M180" s="34" t="n">
        <x:v>9</x:v>
      </x:c>
      <x:c r="N180" s="38" t="n">
        <x:f>IF(L180=0,0,L180/Assumptions!$B$7)</x:f>
        <x:v>42765.64705882353</x:v>
      </x:c>
      <x:c r="O180" s="42" t="n">
        <x:f>IF(N180=0,0,I180/N180)</x:f>
        <x:v>0.49145720405969967</x:v>
      </x:c>
      <x:c r="P180" s="44" t="str">
        <x:v>Coverage below 1.0 indicates reliance on imported, transfer, adult, international, or higher-participation demand.</x:v>
      </x:c>
    </x:row>
    <x:row r="181">
      <x:c r="A181" s="16" t="str">
        <x:v>UT</x:v>
      </x:c>
      <x:c r="B181" s="16" t="str">
        <x:v>Utah</x:v>
      </x:c>
      <x:c r="C181" s="16" t="n">
        <x:v>2030</x:v>
      </x:c>
      <x:c r="D181" s="34" t="n">
        <x:v>48443</x:v>
      </x:c>
      <x:c r="E181" s="21" t="n">
        <x:v>-0.03501922272464697</x:v>
      </x:c>
      <x:c r="F181" s="36" t="n">
        <x:f>Assumptions!$B$5</x:f>
        <x:v>0.628</x:v>
      </x:c>
      <x:c r="G181" s="38" t="n">
        <x:f>D181*F181</x:f>
        <x:v>30422.204</x:v>
      </x:c>
      <x:c r="H181" s="36" t="n">
        <x:f>Assumptions!$B$6</x:f>
        <x:v>0.6666666666666666</x:v>
      </x:c>
      <x:c r="I181" s="38" t="n">
        <x:f>G181*H181</x:f>
        <x:v>20281.469333333334</x:v>
      </x:c>
      <x:c r="J181" s="40" t="n">
        <x:f>D181*Assumptions!$C$5*Assumptions!$C$6</x:f>
        <x:v>17266.699966666663</x:v>
      </x:c>
      <x:c r="K181" s="40" t="n">
        <x:f>D181*Assumptions!$D$5*Assumptions!$D$6</x:f>
        <x:v>23538.4537</x:v>
      </x:c>
      <x:c r="L181" s="34" t="n">
        <x:v>181754</x:v>
      </x:c>
      <x:c r="M181" s="34" t="n">
        <x:v>9</x:v>
      </x:c>
      <x:c r="N181" s="38" t="n">
        <x:f>IF(L181=0,0,L181/Assumptions!$B$7)</x:f>
        <x:v>42765.64705882353</x:v>
      </x:c>
      <x:c r="O181" s="42" t="n">
        <x:f>IF(N181=0,0,I181/N181)</x:f>
        <x:v>0.47424675477110084</x:v>
      </x:c>
      <x:c r="P181" s="44" t="str">
        <x:v>Coverage below 1.0 indicates reliance on imported, transfer, adult, international, or higher-participation demand.</x:v>
      </x:c>
    </x:row>
    <x:row r="182">
      <x:c r="A182" s="16" t="str">
        <x:v>UT</x:v>
      </x:c>
      <x:c r="B182" s="16" t="str">
        <x:v>Utah</x:v>
      </x:c>
      <x:c r="C182" s="16" t="n">
        <x:v>2035</x:v>
      </x:c>
      <x:c r="D182" s="34" t="n">
        <x:v>48337</x:v>
      </x:c>
      <x:c r="E182" s="21" t="n">
        <x:v>-0.03713073444752102</x:v>
      </x:c>
      <x:c r="F182" s="36" t="n">
        <x:f>Assumptions!$B$5</x:f>
        <x:v>0.628</x:v>
      </x:c>
      <x:c r="G182" s="38" t="n">
        <x:f>D182*F182</x:f>
        <x:v>30355.636</x:v>
      </x:c>
      <x:c r="H182" s="36" t="n">
        <x:f>Assumptions!$B$6</x:f>
        <x:v>0.6666666666666666</x:v>
      </x:c>
      <x:c r="I182" s="38" t="n">
        <x:f>G182*H182</x:f>
        <x:v>20237.090666666663</x:v>
      </x:c>
      <x:c r="J182" s="40" t="n">
        <x:f>D182*Assumptions!$C$5*Assumptions!$C$6</x:f>
        <x:v>17228.918033333328</x:v>
      </x:c>
      <x:c r="K182" s="40" t="n">
        <x:f>D182*Assumptions!$D$5*Assumptions!$D$6</x:f>
        <x:v>23486.948300000004</x:v>
      </x:c>
      <x:c r="L182" s="34" t="n">
        <x:v>181754</x:v>
      </x:c>
      <x:c r="M182" s="34" t="n">
        <x:v>9</x:v>
      </x:c>
      <x:c r="N182" s="38" t="n">
        <x:f>IF(L182=0,0,L182/Assumptions!$B$7)</x:f>
        <x:v>42765.64705882353</x:v>
      </x:c>
      <x:c r="O182" s="42" t="n">
        <x:f>IF(N182=0,0,I182/N182)</x:f>
        <x:v>0.4732090371234378</x:v>
      </x:c>
      <x:c r="P182" s="44" t="str">
        <x:v>Coverage below 1.0 indicates reliance on imported, transfer, adult, international, or higher-participation demand.</x:v>
      </x:c>
    </x:row>
    <x:row r="183">
      <x:c r="A183" s="16" t="str">
        <x:v>UT</x:v>
      </x:c>
      <x:c r="B183" s="16" t="str">
        <x:v>Utah</x:v>
      </x:c>
      <x:c r="C183" s="16" t="n">
        <x:v>2041</x:v>
      </x:c>
      <x:c r="D183" s="34" t="n">
        <x:v>44908</x:v>
      </x:c>
      <x:c r="E183" s="21" t="n">
        <x:v>-0.10543614669030499</x:v>
      </x:c>
      <x:c r="F183" s="36" t="n">
        <x:f>Assumptions!$B$5</x:f>
        <x:v>0.628</x:v>
      </x:c>
      <x:c r="G183" s="38" t="n">
        <x:f>D183*F183</x:f>
        <x:v>28202.224</x:v>
      </x:c>
      <x:c r="H183" s="36" t="n">
        <x:f>Assumptions!$B$6</x:f>
        <x:v>0.6666666666666666</x:v>
      </x:c>
      <x:c r="I183" s="38" t="n">
        <x:f>G183*H183</x:f>
        <x:v>18801.482666666663</x:v>
      </x:c>
      <x:c r="J183" s="40" t="n">
        <x:f>D183*Assumptions!$C$5*Assumptions!$C$6</x:f>
        <x:v>16006.70813333333</x:v>
      </x:c>
      <x:c r="K183" s="40" t="n">
        <x:f>D183*Assumptions!$D$5*Assumptions!$D$6</x:f>
        <x:v>21820.7972</x:v>
      </x:c>
      <x:c r="L183" s="34" t="n">
        <x:v>181754</x:v>
      </x:c>
      <x:c r="M183" s="34" t="n">
        <x:v>9</x:v>
      </x:c>
      <x:c r="N183" s="38" t="n">
        <x:f>IF(L183=0,0,L183/Assumptions!$B$7)</x:f>
        <x:v>42765.64705882353</x:v>
      </x:c>
      <x:c r="O183" s="42" t="n">
        <x:f>IF(N183=0,0,I183/N183)</x:f>
        <x:v>0.439639850200454</x:v>
      </x:c>
      <x:c r="P183" s="44" t="str">
        <x:v>Coverage below 1.0 indicates reliance on imported, transfer, adult, international, or higher-participation demand.</x:v>
      </x:c>
    </x:row>
    <x:row r="184">
      <x:c r="A184" s="16" t="str">
        <x:v>VA</x:v>
      </x:c>
      <x:c r="B184" s="16" t="str">
        <x:v>Virginia</x:v>
      </x:c>
      <x:c r="C184" s="16" t="n">
        <x:v>2026</x:v>
      </x:c>
      <x:c r="D184" s="34" t="n">
        <x:v>102981</x:v>
      </x:c>
      <x:c r="E184" s="21" t="n">
        <x:v>0</x:v>
      </x:c>
      <x:c r="F184" s="36" t="n">
        <x:f>Assumptions!$B$5</x:f>
        <x:v>0.628</x:v>
      </x:c>
      <x:c r="G184" s="38" t="n">
        <x:f>D184*F184</x:f>
        <x:v>64672.068</x:v>
      </x:c>
      <x:c r="H184" s="36" t="n">
        <x:f>Assumptions!$B$6</x:f>
        <x:v>0.6666666666666666</x:v>
      </x:c>
      <x:c r="I184" s="38" t="n">
        <x:f>G184*H184</x:f>
        <x:v>43114.712</x:v>
      </x:c>
      <x:c r="J184" s="40" t="n">
        <x:f>D184*Assumptions!$C$5*Assumptions!$C$6</x:f>
        <x:v>36705.861099999995</x:v>
      </x:c>
      <x:c r="K184" s="40" t="n">
        <x:f>D184*Assumptions!$D$5*Assumptions!$D$6</x:f>
        <x:v>50038.4679</x:v>
      </x:c>
      <x:c r="L184" s="34" t="n">
        <x:v>252690</x:v>
      </x:c>
      <x:c r="M184" s="34" t="n">
        <x:v>44</x:v>
      </x:c>
      <x:c r="N184" s="38" t="n">
        <x:f>IF(L184=0,0,L184/Assumptions!$B$7)</x:f>
        <x:v>59456.470588235294</x:v>
      </x:c>
      <x:c r="O184" s="42" t="n">
        <x:f>IF(N184=0,0,I184/N184)</x:f>
        <x:v>0.7251475167200918</x:v>
      </x:c>
      <x:c r="P184" s="44" t="str">
        <x:v>Coverage below 1.0 indicates reliance on imported, transfer, adult, international, or higher-participation demand.</x:v>
      </x:c>
    </x:row>
    <x:row r="185">
      <x:c r="A185" s="16" t="str">
        <x:v>VA</x:v>
      </x:c>
      <x:c r="B185" s="16" t="str">
        <x:v>Virginia</x:v>
      </x:c>
      <x:c r="C185" s="16" t="n">
        <x:v>2030</x:v>
      </x:c>
      <x:c r="D185" s="34" t="n">
        <x:v>100188</x:v>
      </x:c>
      <x:c r="E185" s="21" t="n">
        <x:v>-0.02712150785096279</x:v>
      </x:c>
      <x:c r="F185" s="36" t="n">
        <x:f>Assumptions!$B$5</x:f>
        <x:v>0.628</x:v>
      </x:c>
      <x:c r="G185" s="38" t="n">
        <x:f>D185*F185</x:f>
        <x:v>62918.064</x:v>
      </x:c>
      <x:c r="H185" s="36" t="n">
        <x:f>Assumptions!$B$6</x:f>
        <x:v>0.6666666666666666</x:v>
      </x:c>
      <x:c r="I185" s="38" t="n">
        <x:f>G185*H185</x:f>
        <x:v>41945.376</x:v>
      </x:c>
      <x:c r="J185" s="40" t="n">
        <x:f>D185*Assumptions!$C$5*Assumptions!$C$6</x:f>
        <x:v>35710.34279999999</x:v>
      </x:c>
      <x:c r="K185" s="40" t="n">
        <x:f>D185*Assumptions!$D$5*Assumptions!$D$6</x:f>
        <x:v>48681.349200000004</x:v>
      </x:c>
      <x:c r="L185" s="34" t="n">
        <x:v>252690</x:v>
      </x:c>
      <x:c r="M185" s="34" t="n">
        <x:v>44</x:v>
      </x:c>
      <x:c r="N185" s="38" t="n">
        <x:f>IF(L185=0,0,L185/Assumptions!$B$7)</x:f>
        <x:v>59456.470588235294</x:v>
      </x:c>
      <x:c r="O185" s="42" t="n">
        <x:f>IF(N185=0,0,I185/N185)</x:f>
        <x:v>0.7054804226522616</x:v>
      </x:c>
      <x:c r="P185" s="44" t="str">
        <x:v>Coverage below 1.0 indicates reliance on imported, transfer, adult, international, or higher-participation demand.</x:v>
      </x:c>
    </x:row>
    <x:row r="186">
      <x:c r="A186" s="16" t="str">
        <x:v>VA</x:v>
      </x:c>
      <x:c r="B186" s="16" t="str">
        <x:v>Virginia</x:v>
      </x:c>
      <x:c r="C186" s="16" t="n">
        <x:v>2035</x:v>
      </x:c>
      <x:c r="D186" s="34" t="n">
        <x:v>102267</x:v>
      </x:c>
      <x:c r="E186" s="21" t="n">
        <x:v>-0.00693331779648676</x:v>
      </x:c>
      <x:c r="F186" s="36" t="n">
        <x:f>Assumptions!$B$5</x:f>
        <x:v>0.628</x:v>
      </x:c>
      <x:c r="G186" s="38" t="n">
        <x:f>D186*F186</x:f>
        <x:v>64223.676</x:v>
      </x:c>
      <x:c r="H186" s="36" t="n">
        <x:f>Assumptions!$B$6</x:f>
        <x:v>0.6666666666666666</x:v>
      </x:c>
      <x:c r="I186" s="38" t="n">
        <x:f>G186*H186</x:f>
        <x:v>42815.784</x:v>
      </x:c>
      <x:c r="J186" s="40" t="n">
        <x:f>D186*Assumptions!$C$5*Assumptions!$C$6</x:f>
        <x:v>36451.36769999999</x:v>
      </x:c>
      <x:c r="K186" s="40" t="n">
        <x:f>D186*Assumptions!$D$5*Assumptions!$D$6</x:f>
        <x:v>49691.535299999996</x:v>
      </x:c>
      <x:c r="L186" s="34" t="n">
        <x:v>252690</x:v>
      </x:c>
      <x:c r="M186" s="34" t="n">
        <x:v>44</x:v>
      </x:c>
      <x:c r="N186" s="38" t="n">
        <x:f>IF(L186=0,0,L186/Assumptions!$B$7)</x:f>
        <x:v>59456.470588235294</x:v>
      </x:c>
      <x:c r="O186" s="42" t="n">
        <x:f>IF(N186=0,0,I186/N186)</x:f>
        <x:v>0.7201198385373382</x:v>
      </x:c>
      <x:c r="P186" s="44" t="str">
        <x:v>Coverage below 1.0 indicates reliance on imported, transfer, adult, international, or higher-participation demand.</x:v>
      </x:c>
    </x:row>
    <x:row r="187">
      <x:c r="A187" s="16" t="str">
        <x:v>VA</x:v>
      </x:c>
      <x:c r="B187" s="16" t="str">
        <x:v>Virginia</x:v>
      </x:c>
      <x:c r="C187" s="16" t="n">
        <x:v>2041</x:v>
      </x:c>
      <x:c r="D187" s="34" t="n">
        <x:v>93984</x:v>
      </x:c>
      <x:c r="E187" s="21" t="n">
        <x:v>-0.0873656305532089</x:v>
      </x:c>
      <x:c r="F187" s="36" t="n">
        <x:f>Assumptions!$B$5</x:f>
        <x:v>0.628</x:v>
      </x:c>
      <x:c r="G187" s="38" t="n">
        <x:f>D187*F187</x:f>
        <x:v>59021.952</x:v>
      </x:c>
      <x:c r="H187" s="36" t="n">
        <x:f>Assumptions!$B$6</x:f>
        <x:v>0.6666666666666666</x:v>
      </x:c>
      <x:c r="I187" s="38" t="n">
        <x:f>G187*H187</x:f>
        <x:v>39347.96799999999</x:v>
      </x:c>
      <x:c r="J187" s="40" t="n">
        <x:f>D187*Assumptions!$C$5*Assumptions!$C$6</x:f>
        <x:v>33499.03039999999</x:v>
      </x:c>
      <x:c r="K187" s="40" t="n">
        <x:f>D187*Assumptions!$D$5*Assumptions!$D$6</x:f>
        <x:v>45666.825600000004</x:v>
      </x:c>
      <x:c r="L187" s="34" t="n">
        <x:v>252690</x:v>
      </x:c>
      <x:c r="M187" s="34" t="n">
        <x:v>44</x:v>
      </x:c>
      <x:c r="N187" s="38" t="n">
        <x:f>IF(L187=0,0,L187/Assumptions!$B$7)</x:f>
        <x:v>59456.470588235294</x:v>
      </x:c>
      <x:c r="O187" s="42" t="n">
        <x:f>IF(N187=0,0,I187/N187)</x:f>
        <x:v>0.6617945466777473</x:v>
      </x:c>
      <x:c r="P187" s="44" t="str">
        <x:v>Coverage below 1.0 indicates reliance on imported, transfer, adult, international, or higher-participation demand.</x:v>
      </x:c>
    </x:row>
    <x:row r="188">
      <x:c r="A188" s="16" t="str">
        <x:v>VT</x:v>
      </x:c>
      <x:c r="B188" s="16" t="str">
        <x:v>Vermont</x:v>
      </x:c>
      <x:c r="C188" s="16" t="n">
        <x:v>2026</x:v>
      </x:c>
      <x:c r="D188" s="34" t="n">
        <x:v>5851</x:v>
      </x:c>
      <x:c r="E188" s="21" t="n">
        <x:v>0</x:v>
      </x:c>
      <x:c r="F188" s="36" t="n">
        <x:f>Assumptions!$B$5</x:f>
        <x:v>0.628</x:v>
      </x:c>
      <x:c r="G188" s="38" t="n">
        <x:f>D188*F188</x:f>
        <x:v>3674.428</x:v>
      </x:c>
      <x:c r="H188" s="36" t="n">
        <x:f>Assumptions!$B$6</x:f>
        <x:v>0.6666666666666666</x:v>
      </x:c>
      <x:c r="I188" s="38" t="n">
        <x:f>G188*H188</x:f>
        <x:v>2449.6186666666663</x:v>
      </x:c>
      <x:c r="J188" s="40" t="n">
        <x:f>D188*Assumptions!$C$5*Assumptions!$C$6</x:f>
        <x:v>2085.4914333333327</x:v>
      </x:c>
      <x:c r="K188" s="40" t="n">
        <x:f>D188*Assumptions!$D$5*Assumptions!$D$6</x:f>
        <x:v>2843.0009</x:v>
      </x:c>
      <x:c r="L188" s="34" t="n">
        <x:v>27314</x:v>
      </x:c>
      <x:c r="M188" s="34" t="n">
        <x:v>16</x:v>
      </x:c>
      <x:c r="N188" s="38" t="n">
        <x:f>IF(L188=0,0,L188/Assumptions!$B$7)</x:f>
        <x:v>6426.823529411765</x:v>
      </x:c>
      <x:c r="O188" s="42" t="n">
        <x:f>IF(N188=0,0,I188/N188)</x:f>
        <x:v>0.381155427009348</x:v>
      </x:c>
      <x:c r="P188" s="44" t="str">
        <x:v>Coverage below 1.0 indicates reliance on imported, transfer, adult, international, or higher-participation demand.</x:v>
      </x:c>
    </x:row>
    <x:row r="189">
      <x:c r="A189" s="16" t="str">
        <x:v>VT</x:v>
      </x:c>
      <x:c r="B189" s="16" t="str">
        <x:v>Vermont</x:v>
      </x:c>
      <x:c r="C189" s="16" t="n">
        <x:v>2030</x:v>
      </x:c>
      <x:c r="D189" s="34" t="n">
        <x:v>5518</x:v>
      </x:c>
      <x:c r="E189" s="21" t="n">
        <x:v>-0.056913348145616105</x:v>
      </x:c>
      <x:c r="F189" s="36" t="n">
        <x:f>Assumptions!$B$5</x:f>
        <x:v>0.628</x:v>
      </x:c>
      <x:c r="G189" s="38" t="n">
        <x:f>D189*F189</x:f>
        <x:v>3465.304</x:v>
      </x:c>
      <x:c r="H189" s="36" t="n">
        <x:f>Assumptions!$B$6</x:f>
        <x:v>0.6666666666666666</x:v>
      </x:c>
      <x:c r="I189" s="38" t="n">
        <x:f>G189*H189</x:f>
        <x:v>2310.2026666666666</x:v>
      </x:c>
      <x:c r="J189" s="40" t="n">
        <x:f>D189*Assumptions!$C$5*Assumptions!$C$6</x:f>
        <x:v>1966.799133333333</x:v>
      </x:c>
      <x:c r="K189" s="40" t="n">
        <x:f>D189*Assumptions!$D$5*Assumptions!$D$6</x:f>
        <x:v>2681.1962000000003</x:v>
      </x:c>
      <x:c r="L189" s="34" t="n">
        <x:v>27314</x:v>
      </x:c>
      <x:c r="M189" s="34" t="n">
        <x:v>16</x:v>
      </x:c>
      <x:c r="N189" s="38" t="n">
        <x:f>IF(L189=0,0,L189/Assumptions!$B$7)</x:f>
        <x:v>6426.823529411765</x:v>
      </x:c>
      <x:c r="O189" s="42" t="n">
        <x:f>IF(N189=0,0,I189/N189)</x:f>
        <x:v>0.35946259549437404</x:v>
      </x:c>
      <x:c r="P189" s="44" t="str">
        <x:v>Coverage below 1.0 indicates reliance on imported, transfer, adult, international, or higher-participation demand.</x:v>
      </x:c>
    </x:row>
    <x:row r="190">
      <x:c r="A190" s="16" t="str">
        <x:v>VT</x:v>
      </x:c>
      <x:c r="B190" s="16" t="str">
        <x:v>Vermont</x:v>
      </x:c>
      <x:c r="C190" s="16" t="n">
        <x:v>2035</x:v>
      </x:c>
      <x:c r="D190" s="34" t="n">
        <x:v>5504</x:v>
      </x:c>
      <x:c r="E190" s="21" t="n">
        <x:v>-0.05930610152110749</x:v>
      </x:c>
      <x:c r="F190" s="36" t="n">
        <x:f>Assumptions!$B$5</x:f>
        <x:v>0.628</x:v>
      </x:c>
      <x:c r="G190" s="38" t="n">
        <x:f>D190*F190</x:f>
        <x:v>3456.512</x:v>
      </x:c>
      <x:c r="H190" s="36" t="n">
        <x:f>Assumptions!$B$6</x:f>
        <x:v>0.6666666666666666</x:v>
      </x:c>
      <x:c r="I190" s="38" t="n">
        <x:f>G190*H190</x:f>
        <x:v>2304.3413333333333</x:v>
      </x:c>
      <x:c r="J190" s="40" t="n">
        <x:f>D190*Assumptions!$C$5*Assumptions!$C$6</x:f>
        <x:v>1961.8090666666662</x:v>
      </x:c>
      <x:c r="K190" s="40" t="n">
        <x:f>D190*Assumptions!$D$5*Assumptions!$D$6</x:f>
        <x:v>2674.3936000000003</x:v>
      </x:c>
      <x:c r="L190" s="34" t="n">
        <x:v>27314</x:v>
      </x:c>
      <x:c r="M190" s="34" t="n">
        <x:v>16</x:v>
      </x:c>
      <x:c r="N190" s="38" t="n">
        <x:f>IF(L190=0,0,L190/Assumptions!$B$7)</x:f>
        <x:v>6426.823529411765</x:v>
      </x:c>
      <x:c r="O190" s="42" t="n">
        <x:f>IF(N190=0,0,I190/N190)</x:f>
        <x:v>0.3585505845598106</x:v>
      </x:c>
      <x:c r="P190" s="44" t="str">
        <x:v>Coverage below 1.0 indicates reliance on imported, transfer, adult, international, or higher-participation demand.</x:v>
      </x:c>
    </x:row>
    <x:row r="191">
      <x:c r="A191" s="16" t="str">
        <x:v>VT</x:v>
      </x:c>
      <x:c r="B191" s="16" t="str">
        <x:v>Vermont</x:v>
      </x:c>
      <x:c r="C191" s="16" t="n">
        <x:v>2041</x:v>
      </x:c>
      <x:c r="D191" s="34" t="n">
        <x:v>4921</x:v>
      </x:c>
      <x:c r="E191" s="21" t="n">
        <x:v>-0.15894718851478384</x:v>
      </x:c>
      <x:c r="F191" s="36" t="n">
        <x:f>Assumptions!$B$5</x:f>
        <x:v>0.628</x:v>
      </x:c>
      <x:c r="G191" s="38" t="n">
        <x:f>D191*F191</x:f>
        <x:v>3090.388</x:v>
      </x:c>
      <x:c r="H191" s="36" t="n">
        <x:f>Assumptions!$B$6</x:f>
        <x:v>0.6666666666666666</x:v>
      </x:c>
      <x:c r="I191" s="38" t="n">
        <x:f>G191*H191</x:f>
        <x:v>2060.2586666666666</x:v>
      </x:c>
      <x:c r="J191" s="40" t="n">
        <x:f>D191*Assumptions!$C$5*Assumptions!$C$6</x:f>
        <x:v>1754.008433333333</x:v>
      </x:c>
      <x:c r="K191" s="40" t="n">
        <x:f>D191*Assumptions!$D$5*Assumptions!$D$6</x:f>
        <x:v>2391.1139000000003</x:v>
      </x:c>
      <x:c r="L191" s="34" t="n">
        <x:v>27314</x:v>
      </x:c>
      <x:c r="M191" s="34" t="n">
        <x:v>16</x:v>
      </x:c>
      <x:c r="N191" s="38" t="n">
        <x:f>IF(L191=0,0,L191/Assumptions!$B$7)</x:f>
        <x:v>6426.823529411765</x:v>
      </x:c>
      <x:c r="O191" s="42" t="n">
        <x:f>IF(N191=0,0,I191/N191)</x:f>
        <x:v>0.3205718434990603</x:v>
      </x:c>
      <x:c r="P191" s="44" t="str">
        <x:v>Coverage below 1.0 indicates reliance on imported, transfer, adult, international, or higher-participation demand.</x:v>
      </x:c>
    </x:row>
    <x:row r="192">
      <x:c r="A192" s="16" t="str">
        <x:v>WA</x:v>
      </x:c>
      <x:c r="B192" s="16" t="str">
        <x:v>Washington</x:v>
      </x:c>
      <x:c r="C192" s="16" t="n">
        <x:v>2026</x:v>
      </x:c>
      <x:c r="D192" s="34" t="n">
        <x:v>83554</x:v>
      </x:c>
      <x:c r="E192" s="21" t="n">
        <x:v>0</x:v>
      </x:c>
      <x:c r="F192" s="36" t="n">
        <x:f>Assumptions!$B$5</x:f>
        <x:v>0.628</x:v>
      </x:c>
      <x:c r="G192" s="38" t="n">
        <x:f>D192*F192</x:f>
        <x:v>52471.912</x:v>
      </x:c>
      <x:c r="H192" s="36" t="n">
        <x:f>Assumptions!$B$6</x:f>
        <x:v>0.6666666666666666</x:v>
      </x:c>
      <x:c r="I192" s="38" t="n">
        <x:f>G192*H192</x:f>
        <x:v>34981.274666666664</x:v>
      </x:c>
      <x:c r="J192" s="40" t="n">
        <x:f>D192*Assumptions!$C$5*Assumptions!$C$6</x:f>
        <x:v>29781.43073333333</x:v>
      </x:c>
      <x:c r="K192" s="40" t="n">
        <x:f>D192*Assumptions!$D$5*Assumptions!$D$6</x:f>
        <x:v>40598.8886</x:v>
      </x:c>
      <x:c r="L192" s="34" t="n">
        <x:v>131408</x:v>
      </x:c>
      <x:c r="M192" s="34" t="n">
        <x:v>27</x:v>
      </x:c>
      <x:c r="N192" s="38" t="n">
        <x:f>IF(L192=0,0,L192/Assumptions!$B$7)</x:f>
        <x:v>30919.529411764706</x:v>
      </x:c>
      <x:c r="O192" s="42" t="n">
        <x:f>IF(N192=0,0,I192/N192)</x:f>
        <x:v>1.1313650411948537</x:v>
      </x:c>
      <x:c r="P192" s="44" t="str">
        <x:v>Coverage below 1.0 indicates reliance on imported, transfer, adult, international, or higher-participation demand.</x:v>
      </x:c>
    </x:row>
    <x:row r="193">
      <x:c r="A193" s="16" t="str">
        <x:v>WA</x:v>
      </x:c>
      <x:c r="B193" s="16" t="str">
        <x:v>Washington</x:v>
      </x:c>
      <x:c r="C193" s="16" t="n">
        <x:v>2030</x:v>
      </x:c>
      <x:c r="D193" s="34" t="n">
        <x:v>79259</x:v>
      </x:c>
      <x:c r="E193" s="21" t="n">
        <x:v>-0.05140388251908945</x:v>
      </x:c>
      <x:c r="F193" s="36" t="n">
        <x:f>Assumptions!$B$5</x:f>
        <x:v>0.628</x:v>
      </x:c>
      <x:c r="G193" s="38" t="n">
        <x:f>D193*F193</x:f>
        <x:v>49774.652</x:v>
      </x:c>
      <x:c r="H193" s="36" t="n">
        <x:f>Assumptions!$B$6</x:f>
        <x:v>0.6666666666666666</x:v>
      </x:c>
      <x:c r="I193" s="38" t="n">
        <x:f>G193*H193</x:f>
        <x:v>33183.10133333333</x:v>
      </x:c>
      <x:c r="J193" s="40" t="n">
        <x:f>D193*Assumptions!$C$5*Assumptions!$C$6</x:f>
        <x:v>28250.54956666666</x:v>
      </x:c>
      <x:c r="K193" s="40" t="n">
        <x:f>D193*Assumptions!$D$5*Assumptions!$D$6</x:f>
        <x:v>38511.9481</x:v>
      </x:c>
      <x:c r="L193" s="34" t="n">
        <x:v>131408</x:v>
      </x:c>
      <x:c r="M193" s="34" t="n">
        <x:v>27</x:v>
      </x:c>
      <x:c r="N193" s="38" t="n">
        <x:f>IF(L193=0,0,L193/Assumptions!$B$7)</x:f>
        <x:v>30919.529411764706</x:v>
      </x:c>
      <x:c r="O193" s="42" t="n">
        <x:f>IF(N193=0,0,I193/N193)</x:f>
        <x:v>1.0732084855310686</x:v>
      </x:c>
      <x:c r="P193" s="44" t="str">
        <x:v>Coverage below 1.0 indicates reliance on imported, transfer, adult, international, or higher-participation demand.</x:v>
      </x:c>
    </x:row>
    <x:row r="194">
      <x:c r="A194" s="16" t="str">
        <x:v>WA</x:v>
      </x:c>
      <x:c r="B194" s="16" t="str">
        <x:v>Washington</x:v>
      </x:c>
      <x:c r="C194" s="16" t="n">
        <x:v>2035</x:v>
      </x:c>
      <x:c r="D194" s="34" t="n">
        <x:v>80777</x:v>
      </x:c>
      <x:c r="E194" s="21" t="n">
        <x:v>-0.033235991095578954</x:v>
      </x:c>
      <x:c r="F194" s="36" t="n">
        <x:f>Assumptions!$B$5</x:f>
        <x:v>0.628</x:v>
      </x:c>
      <x:c r="G194" s="38" t="n">
        <x:f>D194*F194</x:f>
        <x:v>50727.956</x:v>
      </x:c>
      <x:c r="H194" s="36" t="n">
        <x:f>Assumptions!$B$6</x:f>
        <x:v>0.6666666666666666</x:v>
      </x:c>
      <x:c r="I194" s="38" t="n">
        <x:f>G194*H194</x:f>
        <x:v>33818.63733333333</x:v>
      </x:c>
      <x:c r="J194" s="40" t="n">
        <x:f>D194*Assumptions!$C$5*Assumptions!$C$6</x:f>
        <x:v>28791.61536666666</x:v>
      </x:c>
      <x:c r="K194" s="40" t="n">
        <x:f>D194*Assumptions!$D$5*Assumptions!$D$6</x:f>
        <x:v>39249.5443</x:v>
      </x:c>
      <x:c r="L194" s="34" t="n">
        <x:v>131408</x:v>
      </x:c>
      <x:c r="M194" s="34" t="n">
        <x:v>27</x:v>
      </x:c>
      <x:c r="N194" s="38" t="n">
        <x:f>IF(L194=0,0,L194/Assumptions!$B$7)</x:f>
        <x:v>30919.529411764706</x:v>
      </x:c>
      <x:c r="O194" s="42" t="n">
        <x:f>IF(N194=0,0,I194/N194)</x:f>
        <x:v>1.0937630027598522</x:v>
      </x:c>
      <x:c r="P194" s="44" t="str">
        <x:v>Coverage below 1.0 indicates reliance on imported, transfer, adult, international, or higher-participation demand.</x:v>
      </x:c>
    </x:row>
    <x:row r="195">
      <x:c r="A195" s="16" t="str">
        <x:v>WA</x:v>
      </x:c>
      <x:c r="B195" s="16" t="str">
        <x:v>Washington</x:v>
      </x:c>
      <x:c r="C195" s="16" t="n">
        <x:v>2041</x:v>
      </x:c>
      <x:c r="D195" s="34" t="n">
        <x:v>73935</x:v>
      </x:c>
      <x:c r="E195" s="21" t="n">
        <x:v>-0.11512315388850325</x:v>
      </x:c>
      <x:c r="F195" s="36" t="n">
        <x:f>Assumptions!$B$5</x:f>
        <x:v>0.628</x:v>
      </x:c>
      <x:c r="G195" s="38" t="n">
        <x:f>D195*F195</x:f>
        <x:v>46431.18</x:v>
      </x:c>
      <x:c r="H195" s="36" t="n">
        <x:f>Assumptions!$B$6</x:f>
        <x:v>0.6666666666666666</x:v>
      </x:c>
      <x:c r="I195" s="38" t="n">
        <x:f>G195*H195</x:f>
        <x:v>30954.12</x:v>
      </x:c>
      <x:c r="J195" s="40" t="n">
        <x:f>D195*Assumptions!$C$5*Assumptions!$C$6</x:f>
        <x:v>26352.898499999996</x:v>
      </x:c>
      <x:c r="K195" s="40" t="n">
        <x:f>D195*Assumptions!$D$5*Assumptions!$D$6</x:f>
        <x:v>35925.0165</x:v>
      </x:c>
      <x:c r="L195" s="34" t="n">
        <x:v>131408</x:v>
      </x:c>
      <x:c r="M195" s="34" t="n">
        <x:v>27</x:v>
      </x:c>
      <x:c r="N195" s="38" t="n">
        <x:f>IF(L195=0,0,L195/Assumptions!$B$7)</x:f>
        <x:v>30919.529411764706</x:v>
      </x:c>
      <x:c r="O195" s="42" t="n">
        <x:f>IF(N195=0,0,I195/N195)</x:f>
        <x:v>1.0011187294533057</x:v>
      </x:c>
      <x:c r="P195" s="44" t="str">
        <x:v>Coverage below 1.0 indicates reliance on imported, transfer, adult, international, or higher-participation demand.</x:v>
      </x:c>
    </x:row>
    <x:row r="196">
      <x:c r="A196" s="16" t="str">
        <x:v>WI</x:v>
      </x:c>
      <x:c r="B196" s="16" t="str">
        <x:v>Wisconsin</x:v>
      </x:c>
      <x:c r="C196" s="16" t="n">
        <x:v>2026</x:v>
      </x:c>
      <x:c r="D196" s="34" t="n">
        <x:v>67781</x:v>
      </x:c>
      <x:c r="E196" s="21" t="n">
        <x:v>0</x:v>
      </x:c>
      <x:c r="F196" s="36" t="n">
        <x:f>Assumptions!$B$5</x:f>
        <x:v>0.628</x:v>
      </x:c>
      <x:c r="G196" s="38" t="n">
        <x:f>D196*F196</x:f>
        <x:v>42566.468</x:v>
      </x:c>
      <x:c r="H196" s="36" t="n">
        <x:f>Assumptions!$B$6</x:f>
        <x:v>0.6666666666666666</x:v>
      </x:c>
      <x:c r="I196" s="38" t="n">
        <x:f>G196*H196</x:f>
        <x:v>28377.645333333334</x:v>
      </x:c>
      <x:c r="J196" s="40" t="n">
        <x:f>D196*Assumptions!$C$5*Assumptions!$C$6</x:f>
        <x:v>24159.407766666664</x:v>
      </x:c>
      <x:c r="K196" s="40" t="n">
        <x:f>D196*Assumptions!$D$5*Assumptions!$D$6</x:f>
        <x:v>32934.7879</x:v>
      </x:c>
      <x:c r="L196" s="34" t="n">
        <x:v>174100</x:v>
      </x:c>
      <x:c r="M196" s="34" t="n">
        <x:v>37</x:v>
      </x:c>
      <x:c r="N196" s="38" t="n">
        <x:f>IF(L196=0,0,L196/Assumptions!$B$7)</x:f>
        <x:v>40964.705882352944</x:v>
      </x:c>
      <x:c r="O196" s="42" t="n">
        <x:f>IF(N196=0,0,I196/N196)</x:f>
        <x:v>0.6927340187631629</x:v>
      </x:c>
      <x:c r="P196" s="44" t="str">
        <x:v>Coverage below 1.0 indicates reliance on imported, transfer, adult, international, or higher-participation demand.</x:v>
      </x:c>
    </x:row>
    <x:row r="197">
      <x:c r="A197" s="16" t="str">
        <x:v>WI</x:v>
      </x:c>
      <x:c r="B197" s="16" t="str">
        <x:v>Wisconsin</x:v>
      </x:c>
      <x:c r="C197" s="16" t="n">
        <x:v>2030</x:v>
      </x:c>
      <x:c r="D197" s="34" t="n">
        <x:v>63368</x:v>
      </x:c>
      <x:c r="E197" s="21" t="n">
        <x:v>-0.06510674082707546</x:v>
      </x:c>
      <x:c r="F197" s="36" t="n">
        <x:f>Assumptions!$B$5</x:f>
        <x:v>0.628</x:v>
      </x:c>
      <x:c r="G197" s="38" t="n">
        <x:f>D197*F197</x:f>
        <x:v>39795.104</x:v>
      </x:c>
      <x:c r="H197" s="36" t="n">
        <x:f>Assumptions!$B$6</x:f>
        <x:v>0.6666666666666666</x:v>
      </x:c>
      <x:c r="I197" s="38" t="n">
        <x:f>G197*H197</x:f>
        <x:v>26530.069333333333</x:v>
      </x:c>
      <x:c r="J197" s="40" t="n">
        <x:f>D197*Assumptions!$C$5*Assumptions!$C$6</x:f>
        <x:v>22586.46746666666</x:v>
      </x:c>
      <x:c r="K197" s="40" t="n">
        <x:f>D197*Assumptions!$D$5*Assumptions!$D$6</x:f>
        <x:v>30790.5112</x:v>
      </x:c>
      <x:c r="L197" s="34" t="n">
        <x:v>174100</x:v>
      </x:c>
      <x:c r="M197" s="34" t="n">
        <x:v>37</x:v>
      </x:c>
      <x:c r="N197" s="38" t="n">
        <x:f>IF(L197=0,0,L197/Assumptions!$B$7)</x:f>
        <x:v>40964.705882352944</x:v>
      </x:c>
      <x:c r="O197" s="42" t="n">
        <x:f>IF(N197=0,0,I197/N197)</x:f>
        <x:v>0.6476323645414512</x:v>
      </x:c>
      <x:c r="P197" s="44" t="str">
        <x:v>Coverage below 1.0 indicates reliance on imported, transfer, adult, international, or higher-participation demand.</x:v>
      </x:c>
    </x:row>
    <x:row r="198">
      <x:c r="A198" s="16" t="str">
        <x:v>WI</x:v>
      </x:c>
      <x:c r="B198" s="16" t="str">
        <x:v>Wisconsin</x:v>
      </x:c>
      <x:c r="C198" s="16" t="n">
        <x:v>2035</x:v>
      </x:c>
      <x:c r="D198" s="34" t="n">
        <x:v>62090</x:v>
      </x:c>
      <x:c r="E198" s="21" t="n">
        <x:v>-0.08396158215429106</x:v>
      </x:c>
      <x:c r="F198" s="36" t="n">
        <x:f>Assumptions!$B$5</x:f>
        <x:v>0.628</x:v>
      </x:c>
      <x:c r="G198" s="38" t="n">
        <x:f>D198*F198</x:f>
        <x:v>38992.52</x:v>
      </x:c>
      <x:c r="H198" s="36" t="n">
        <x:f>Assumptions!$B$6</x:f>
        <x:v>0.6666666666666666</x:v>
      </x:c>
      <x:c r="I198" s="38" t="n">
        <x:f>G198*H198</x:f>
        <x:v>25995.01333333333</x:v>
      </x:c>
      <x:c r="J198" s="40" t="n">
        <x:f>D198*Assumptions!$C$5*Assumptions!$C$6</x:f>
        <x:v>22130.945666666663</x:v>
      </x:c>
      <x:c r="K198" s="40" t="n">
        <x:f>D198*Assumptions!$D$5*Assumptions!$D$6</x:f>
        <x:v>30169.531000000003</x:v>
      </x:c>
      <x:c r="L198" s="34" t="n">
        <x:v>174100</x:v>
      </x:c>
      <x:c r="M198" s="34" t="n">
        <x:v>37</x:v>
      </x:c>
      <x:c r="N198" s="38" t="n">
        <x:f>IF(L198=0,0,L198/Assumptions!$B$7)</x:f>
        <x:v>40964.705882352944</x:v>
      </x:c>
      <x:c r="O198" s="42" t="n">
        <x:f>IF(N198=0,0,I198/N198)</x:f>
        <x:v>0.6345709745357073</x:v>
      </x:c>
      <x:c r="P198" s="44" t="str">
        <x:v>Coverage below 1.0 indicates reliance on imported, transfer, adult, international, or higher-participation demand.</x:v>
      </x:c>
    </x:row>
    <x:row r="199">
      <x:c r="A199" s="16" t="str">
        <x:v>WI</x:v>
      </x:c>
      <x:c r="B199" s="16" t="str">
        <x:v>Wisconsin</x:v>
      </x:c>
      <x:c r="C199" s="16" t="n">
        <x:v>2041</x:v>
      </x:c>
      <x:c r="D199" s="34" t="n">
        <x:v>56910</x:v>
      </x:c>
      <x:c r="E199" s="21" t="n">
        <x:v>-0.16038417845708974</x:v>
      </x:c>
      <x:c r="F199" s="36" t="n">
        <x:f>Assumptions!$B$5</x:f>
        <x:v>0.628</x:v>
      </x:c>
      <x:c r="G199" s="38" t="n">
        <x:f>D199*F199</x:f>
        <x:v>35739.48</x:v>
      </x:c>
      <x:c r="H199" s="36" t="n">
        <x:f>Assumptions!$B$6</x:f>
        <x:v>0.6666666666666666</x:v>
      </x:c>
      <x:c r="I199" s="38" t="n">
        <x:f>G199*H199</x:f>
        <x:v>23826.32</x:v>
      </x:c>
      <x:c r="J199" s="40" t="n">
        <x:f>D199*Assumptions!$C$5*Assumptions!$C$6</x:f>
        <x:v>20284.620999999996</x:v>
      </x:c>
      <x:c r="K199" s="40" t="n">
        <x:f>D199*Assumptions!$D$5*Assumptions!$D$6</x:f>
        <x:v>27652.569000000003</x:v>
      </x:c>
      <x:c r="L199" s="34" t="n">
        <x:v>174100</x:v>
      </x:c>
      <x:c r="M199" s="34" t="n">
        <x:v>37</x:v>
      </x:c>
      <x:c r="N199" s="38" t="n">
        <x:f>IF(L199=0,0,L199/Assumptions!$B$7)</x:f>
        <x:v>40964.705882352944</x:v>
      </x:c>
      <x:c r="O199" s="42" t="n">
        <x:f>IF(N199=0,0,I199/N199)</x:f>
        <x:v>0.5816304422745548</x:v>
      </x:c>
      <x:c r="P199" s="44" t="str">
        <x:v>Coverage below 1.0 indicates reliance on imported, transfer, adult, international, or higher-participation demand.</x:v>
      </x:c>
    </x:row>
    <x:row r="200">
      <x:c r="A200" s="16" t="str">
        <x:v>WV</x:v>
      </x:c>
      <x:c r="B200" s="16" t="str">
        <x:v>West Virginia</x:v>
      </x:c>
      <x:c r="C200" s="16" t="n">
        <x:v>2026</x:v>
      </x:c>
      <x:c r="D200" s="34" t="n">
        <x:v>17352</x:v>
      </x:c>
      <x:c r="E200" s="21" t="n">
        <x:v>0</x:v>
      </x:c>
      <x:c r="F200" s="36" t="n">
        <x:f>Assumptions!$B$5</x:f>
        <x:v>0.628</x:v>
      </x:c>
      <x:c r="G200" s="38" t="n">
        <x:f>D200*F200</x:f>
        <x:v>10897.056</x:v>
      </x:c>
      <x:c r="H200" s="36" t="n">
        <x:f>Assumptions!$B$6</x:f>
        <x:v>0.6666666666666666</x:v>
      </x:c>
      <x:c r="I200" s="38" t="n">
        <x:f>G200*H200</x:f>
        <x:v>7264.704</x:v>
      </x:c>
      <x:c r="J200" s="40" t="n">
        <x:f>D200*Assumptions!$C$5*Assumptions!$C$6</x:f>
        <x:v>6184.8312</x:v>
      </x:c>
      <x:c r="K200" s="40" t="n">
        <x:f>D200*Assumptions!$D$5*Assumptions!$D$6</x:f>
        <x:v>8431.336800000001</x:v>
      </x:c>
      <x:c r="L200" s="34" t="n">
        <x:v>54562</x:v>
      </x:c>
      <x:c r="M200" s="34" t="n">
        <x:v>18</x:v>
      </x:c>
      <x:c r="N200" s="38" t="n">
        <x:f>IF(L200=0,0,L200/Assumptions!$B$7)</x:f>
        <x:v>12838.117647058823</x:v>
      </x:c>
      <x:c r="O200" s="42" t="n">
        <x:f>IF(N200=0,0,I200/N200)</x:f>
        <x:v>0.565869872805249</x:v>
      </x:c>
      <x:c r="P200" s="44" t="str">
        <x:v>Coverage below 1.0 indicates reliance on imported, transfer, adult, international, or higher-participation demand.</x:v>
      </x:c>
    </x:row>
    <x:row r="201">
      <x:c r="A201" s="16" t="str">
        <x:v>WV</x:v>
      </x:c>
      <x:c r="B201" s="16" t="str">
        <x:v>West Virginia</x:v>
      </x:c>
      <x:c r="C201" s="16" t="n">
        <x:v>2030</x:v>
      </x:c>
      <x:c r="D201" s="34" t="n">
        <x:v>16084</x:v>
      </x:c>
      <x:c r="E201" s="21" t="n">
        <x:v>-0.07307514983863528</x:v>
      </x:c>
      <x:c r="F201" s="36" t="n">
        <x:f>Assumptions!$B$5</x:f>
        <x:v>0.628</x:v>
      </x:c>
      <x:c r="G201" s="38" t="n">
        <x:f>D201*F201</x:f>
        <x:v>10100.752</x:v>
      </x:c>
      <x:c r="H201" s="36" t="n">
        <x:f>Assumptions!$B$6</x:f>
        <x:v>0.6666666666666666</x:v>
      </x:c>
      <x:c r="I201" s="38" t="n">
        <x:f>G201*H201</x:f>
        <x:v>6733.834666666667</x:v>
      </x:c>
      <x:c r="J201" s="40" t="n">
        <x:f>D201*Assumptions!$C$5*Assumptions!$C$6</x:f>
        <x:v>5732.873733333332</x:v>
      </x:c>
      <x:c r="K201" s="40" t="n">
        <x:f>D201*Assumptions!$D$5*Assumptions!$D$6</x:f>
        <x:v>7815.2156</x:v>
      </x:c>
      <x:c r="L201" s="34" t="n">
        <x:v>54562</x:v>
      </x:c>
      <x:c r="M201" s="34" t="n">
        <x:v>18</x:v>
      </x:c>
      <x:c r="N201" s="38" t="n">
        <x:f>IF(L201=0,0,L201/Assumptions!$B$7)</x:f>
        <x:v>12838.117647058823</x:v>
      </x:c>
      <x:c r="O201" s="42" t="n">
        <x:f>IF(N201=0,0,I201/N201)</x:f>
        <x:v>0.524518847060836</x:v>
      </x:c>
      <x:c r="P201" s="44" t="str">
        <x:v>Coverage below 1.0 indicates reliance on imported, transfer, adult, international, or higher-participation demand.</x:v>
      </x:c>
    </x:row>
    <x:row r="202">
      <x:c r="A202" s="16" t="str">
        <x:v>WV</x:v>
      </x:c>
      <x:c r="B202" s="16" t="str">
        <x:v>West Virginia</x:v>
      </x:c>
      <x:c r="C202" s="16" t="n">
        <x:v>2035</x:v>
      </x:c>
      <x:c r="D202" s="34" t="n">
        <x:v>15092</x:v>
      </x:c>
      <x:c r="E202" s="21" t="n">
        <x:v>-0.13024435223605346</x:v>
      </x:c>
      <x:c r="F202" s="36" t="n">
        <x:f>Assumptions!$B$5</x:f>
        <x:v>0.628</x:v>
      </x:c>
      <x:c r="G202" s="38" t="n">
        <x:f>D202*F202</x:f>
        <x:v>9477.776</x:v>
      </x:c>
      <x:c r="H202" s="36" t="n">
        <x:f>Assumptions!$B$6</x:f>
        <x:v>0.6666666666666666</x:v>
      </x:c>
      <x:c r="I202" s="38" t="n">
        <x:f>G202*H202</x:f>
        <x:v>6318.517333333333</x:v>
      </x:c>
      <x:c r="J202" s="40" t="n">
        <x:f>D202*Assumptions!$C$5*Assumptions!$C$6</x:f>
        <x:v>5379.291866666666</x:v>
      </x:c>
      <x:c r="K202" s="40" t="n">
        <x:f>D202*Assumptions!$D$5*Assumptions!$D$6</x:f>
        <x:v>7333.2028</x:v>
      </x:c>
      <x:c r="L202" s="34" t="n">
        <x:v>54562</x:v>
      </x:c>
      <x:c r="M202" s="34" t="n">
        <x:v>18</x:v>
      </x:c>
      <x:c r="N202" s="38" t="n">
        <x:f>IF(L202=0,0,L202/Assumptions!$B$7)</x:f>
        <x:v>12838.117647058823</x:v>
      </x:c>
      <x:c r="O202" s="42" t="n">
        <x:f>IF(N202=0,0,I202/N202)</x:f>
        <x:v>0.4921685177718314</x:v>
      </x:c>
      <x:c r="P202" s="44" t="str">
        <x:v>Coverage below 1.0 indicates reliance on imported, transfer, adult, international, or higher-participation demand.</x:v>
      </x:c>
    </x:row>
    <x:row r="203">
      <x:c r="A203" s="16" t="str">
        <x:v>WV</x:v>
      </x:c>
      <x:c r="B203" s="16" t="str">
        <x:v>West Virginia</x:v>
      </x:c>
      <x:c r="C203" s="16" t="n">
        <x:v>2041</x:v>
      </x:c>
      <x:c r="D203" s="34" t="n">
        <x:v>13388</x:v>
      </x:c>
      <x:c r="E203" s="21" t="n">
        <x:v>-0.22844628861226368</x:v>
      </x:c>
      <x:c r="F203" s="36" t="n">
        <x:f>Assumptions!$B$5</x:f>
        <x:v>0.628</x:v>
      </x:c>
      <x:c r="G203" s="38" t="n">
        <x:f>D203*F203</x:f>
        <x:v>8407.664</x:v>
      </x:c>
      <x:c r="H203" s="36" t="n">
        <x:f>Assumptions!$B$6</x:f>
        <x:v>0.6666666666666666</x:v>
      </x:c>
      <x:c r="I203" s="38" t="n">
        <x:f>G203*H203</x:f>
        <x:v>5605.109333333334</x:v>
      </x:c>
      <x:c r="J203" s="40" t="n">
        <x:f>D203*Assumptions!$C$5*Assumptions!$C$6</x:f>
        <x:v>4771.929466666666</x:v>
      </x:c>
      <x:c r="K203" s="40" t="n">
        <x:f>D203*Assumptions!$D$5*Assumptions!$D$6</x:f>
        <x:v>6505.229200000001</x:v>
      </x:c>
      <x:c r="L203" s="34" t="n">
        <x:v>54562</x:v>
      </x:c>
      <x:c r="M203" s="34" t="n">
        <x:v>18</x:v>
      </x:c>
      <x:c r="N203" s="38" t="n">
        <x:f>IF(L203=0,0,L203/Assumptions!$B$7)</x:f>
        <x:v>12838.117647058823</x:v>
      </x:c>
      <x:c r="O203" s="42" t="n">
        <x:f>IF(N203=0,0,I203/N203)</x:f>
        <x:v>0.43659900052539624</x:v>
      </x:c>
      <x:c r="P203" s="44" t="str">
        <x:v>Coverage below 1.0 indicates reliance on imported, transfer, adult, international, or higher-participation demand.</x:v>
      </x:c>
    </x:row>
    <x:row r="204">
      <x:c r="A204" s="16" t="str">
        <x:v>WY</x:v>
      </x:c>
      <x:c r="B204" s="16" t="str">
        <x:v>Wyoming</x:v>
      </x:c>
      <x:c r="C204" s="16" t="n">
        <x:v>2026</x:v>
      </x:c>
      <x:c r="D204" s="34" t="n">
        <x:v>6259</x:v>
      </x:c>
      <x:c r="E204" s="21" t="n">
        <x:v>0</x:v>
      </x:c>
      <x:c r="F204" s="36" t="n">
        <x:f>Assumptions!$B$5</x:f>
        <x:v>0.628</x:v>
      </x:c>
      <x:c r="G204" s="38" t="n">
        <x:f>D204*F204</x:f>
        <x:v>3930.652</x:v>
      </x:c>
      <x:c r="H204" s="36" t="n">
        <x:f>Assumptions!$B$6</x:f>
        <x:v>0.6666666666666666</x:v>
      </x:c>
      <x:c r="I204" s="38" t="n">
        <x:f>G204*H204</x:f>
        <x:v>2620.4346666666665</x:v>
      </x:c>
      <x:c r="J204" s="40" t="n">
        <x:f>D204*Assumptions!$C$5*Assumptions!$C$6</x:f>
        <x:v>2230.916233333333</x:v>
      </x:c>
      <x:c r="K204" s="40" t="n">
        <x:f>D204*Assumptions!$D$5*Assumptions!$D$6</x:f>
        <x:v>3041.2481</x:v>
      </x:c>
      <x:c r="L204" s="34" t="n">
        <x:v>9842</x:v>
      </x:c>
      <x:c r="M204" s="34" t="n">
        <x:v>1</x:v>
      </x:c>
      <x:c r="N204" s="38" t="n">
        <x:f>IF(L204=0,0,L204/Assumptions!$B$7)</x:f>
        <x:v>2315.764705882353</x:v>
      </x:c>
      <x:c r="O204" s="42" t="n">
        <x:f>IF(N204=0,0,I204/N204)</x:f>
        <x:v>1.131563435616067</x:v>
      </x:c>
      <x:c r="P204" s="44" t="str">
        <x:v>Coverage below 1.0 indicates reliance on imported, transfer, adult, international, or higher-participation demand.</x:v>
      </x:c>
    </x:row>
    <x:row r="205">
      <x:c r="A205" s="16" t="str">
        <x:v>WY</x:v>
      </x:c>
      <x:c r="B205" s="16" t="str">
        <x:v>Wyoming</x:v>
      </x:c>
      <x:c r="C205" s="16" t="n">
        <x:v>2030</x:v>
      </x:c>
      <x:c r="D205" s="34" t="n">
        <x:v>5873</x:v>
      </x:c>
      <x:c r="E205" s="21" t="n">
        <x:v>-0.06167119348138683</x:v>
      </x:c>
      <x:c r="F205" s="36" t="n">
        <x:f>Assumptions!$B$5</x:f>
        <x:v>0.628</x:v>
      </x:c>
      <x:c r="G205" s="38" t="n">
        <x:f>D205*F205</x:f>
        <x:v>3688.244</x:v>
      </x:c>
      <x:c r="H205" s="36" t="n">
        <x:f>Assumptions!$B$6</x:f>
        <x:v>0.6666666666666666</x:v>
      </x:c>
      <x:c r="I205" s="38" t="n">
        <x:f>G205*H205</x:f>
        <x:v>2458.829333333333</x:v>
      </x:c>
      <x:c r="J205" s="40" t="n">
        <x:f>D205*Assumptions!$C$5*Assumptions!$C$6</x:f>
        <x:v>2093.332966666666</x:v>
      </x:c>
      <x:c r="K205" s="40" t="n">
        <x:f>D205*Assumptions!$D$5*Assumptions!$D$6</x:f>
        <x:v>2853.6907</x:v>
      </x:c>
      <x:c r="L205" s="34" t="n">
        <x:v>9842</x:v>
      </x:c>
      <x:c r="M205" s="34" t="n">
        <x:v>1</x:v>
      </x:c>
      <x:c r="N205" s="38" t="n">
        <x:f>IF(L205=0,0,L205/Assumptions!$B$7)</x:f>
        <x:v>2315.764705882353</x:v>
      </x:c>
      <x:c r="O205" s="42" t="n">
        <x:f>IF(N205=0,0,I205/N205)</x:f>
        <x:v>1.0617785680417258</x:v>
      </x:c>
      <x:c r="P205" s="44" t="str">
        <x:v>Coverage below 1.0 indicates reliance on imported, transfer, adult, international, or higher-participation demand.</x:v>
      </x:c>
    </x:row>
    <x:row r="206">
      <x:c r="A206" s="16" t="str">
        <x:v>WY</x:v>
      </x:c>
      <x:c r="B206" s="16" t="str">
        <x:v>Wyoming</x:v>
      </x:c>
      <x:c r="C206" s="16" t="n">
        <x:v>2035</x:v>
      </x:c>
      <x:c r="D206" s="34" t="n">
        <x:v>5466</x:v>
      </x:c>
      <x:c r="E206" s="21" t="n">
        <x:v>-0.12669755552005113</x:v>
      </x:c>
      <x:c r="F206" s="36" t="n">
        <x:f>Assumptions!$B$5</x:f>
        <x:v>0.628</x:v>
      </x:c>
      <x:c r="G206" s="38" t="n">
        <x:f>D206*F206</x:f>
        <x:v>3432.648</x:v>
      </x:c>
      <x:c r="H206" s="36" t="n">
        <x:f>Assumptions!$B$6</x:f>
        <x:v>0.6666666666666666</x:v>
      </x:c>
      <x:c r="I206" s="38" t="n">
        <x:f>G206*H206</x:f>
        <x:v>2288.432</x:v>
      </x:c>
      <x:c r="J206" s="40" t="n">
        <x:f>D206*Assumptions!$C$5*Assumptions!$C$6</x:f>
        <x:v>1948.2645999999997</x:v>
      </x:c>
      <x:c r="K206" s="40" t="n">
        <x:f>D206*Assumptions!$D$5*Assumptions!$D$6</x:f>
        <x:v>2655.9294000000004</x:v>
      </x:c>
      <x:c r="L206" s="34" t="n">
        <x:v>9842</x:v>
      </x:c>
      <x:c r="M206" s="34" t="n">
        <x:v>1</x:v>
      </x:c>
      <x:c r="N206" s="38" t="n">
        <x:f>IF(L206=0,0,L206/Assumptions!$B$7)</x:f>
        <x:v>2315.764705882353</x:v>
      </x:c>
      <x:c r="O206" s="42" t="n">
        <x:f>IF(N206=0,0,I206/N206)</x:f>
        <x:v>0.9881971144076406</x:v>
      </x:c>
      <x:c r="P206" s="44" t="str">
        <x:v>Coverage below 1.0 indicates reliance on imported, transfer, adult, international, or higher-participation demand.</x:v>
      </x:c>
    </x:row>
    <x:row r="207">
      <x:c r="A207" s="16" t="str">
        <x:v>WY</x:v>
      </x:c>
      <x:c r="B207" s="16" t="str">
        <x:v>Wyoming</x:v>
      </x:c>
      <x:c r="C207" s="16" t="n">
        <x:v>2041</x:v>
      </x:c>
      <x:c r="D207" s="34" t="n">
        <x:v>4709</x:v>
      </x:c>
      <x:c r="E207" s="21" t="n">
        <x:v>-0.24764339351334075</x:v>
      </x:c>
      <x:c r="F207" s="36" t="n">
        <x:f>Assumptions!$B$5</x:f>
        <x:v>0.628</x:v>
      </x:c>
      <x:c r="G207" s="38" t="n">
        <x:f>D207*F207</x:f>
        <x:v>2957.252</x:v>
      </x:c>
      <x:c r="H207" s="36" t="n">
        <x:f>Assumptions!$B$6</x:f>
        <x:v>0.6666666666666666</x:v>
      </x:c>
      <x:c r="I207" s="38" t="n">
        <x:f>G207*H207</x:f>
        <x:v>1971.5013333333332</x:v>
      </x:c>
      <x:c r="J207" s="40" t="n">
        <x:f>D207*Assumptions!$C$5*Assumptions!$C$6</x:f>
        <x:v>1678.4445666666663</x:v>
      </x:c>
      <x:c r="K207" s="40" t="n">
        <x:f>D207*Assumptions!$D$5*Assumptions!$D$6</x:f>
        <x:v>2288.1031000000003</x:v>
      </x:c>
      <x:c r="L207" s="34" t="n">
        <x:v>9842</x:v>
      </x:c>
      <x:c r="M207" s="34" t="n">
        <x:v>1</x:v>
      </x:c>
      <x:c r="N207" s="38" t="n">
        <x:f>IF(L207=0,0,L207/Assumptions!$B$7)</x:f>
        <x:v>2315.764705882353</x:v>
      </x:c>
      <x:c r="O207" s="42" t="n">
        <x:f>IF(N207=0,0,I207/N207)</x:f>
        <x:v>0.8513392264444894</x:v>
      </x:c>
      <x:c r="P207" s="44" t="str">
        <x:v>Coverage below 1.0 indicates reliance on imported, transfer, adult, international, or higher-participation demand.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637afc070e8b4b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8" hidden="0" customWidth="1"/>
    <x:col min="4" max="4" width="18" hidden="0" customWidth="1"/>
    <x:col min="5" max="5" width="17" hidden="0" customWidth="1"/>
    <x:col min="6" max="6" width="13" hidden="0" customWidth="1"/>
    <x:col min="7" max="7" width="16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5" hidden="0" customWidth="1"/>
    <x:col min="13" max="13" width="15" hidden="0" customWidth="1"/>
    <x:col min="14" max="14" width="16" hidden="0" customWidth="1"/>
    <x:col min="15" max="15" width="15" hidden="0" customWidth="1"/>
    <x:col min="16" max="16" width="18" hidden="0" customWidth="1"/>
    <x:col min="17" max="17" width="17" hidden="0" customWidth="1"/>
    <x:col min="18" max="18" width="12" hidden="0" customWidth="1"/>
    <x:col min="19" max="19" width="18" hidden="0" customWidth="1"/>
    <x:col min="20" max="20" width="18" hidden="0" customWidth="1"/>
    <x:col min="21" max="21" width="16" hidden="0" customWidth="1"/>
    <x:col min="22" max="22" width="16" hidden="0" customWidth="1"/>
    <x:col min="23" max="23" width="14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6" hidden="0" customWidth="1"/>
    <x:col min="29" max="29" width="16" hidden="0" customWidth="1"/>
    <x:col min="30" max="30" width="16" hidden="0" customWidth="1"/>
    <x:col min="31" max="31" width="13" hidden="0" customWidth="1"/>
    <x:col min="32" max="32" width="12" hidden="0" customWidth="1"/>
    <x:col min="33" max="33" width="12" hidden="0" customWidth="1"/>
    <x:col min="34" max="34" width="38" hidden="0" customWidth="1"/>
  </x:cols>
  <x:sheetData>
    <x:row r="1">
      <x:c r="A1" s="3" t="str">
        <x:v>Institution Enrollment and Financial-Pressure Model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>
      <x:c r="A2" s="47" t="str">
        <x:v>Blue cells are source inputs; green formulas link to assumptions; black formulas are same-sheet calculations. Market scope and weights are heuristic.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  <x:c r="AA2" s="47"/>
      <x:c r="AB2" s="47"/>
      <x:c r="AC2" s="47"/>
      <x:c r="AD2" s="47"/>
      <x:c r="AE2" s="47"/>
      <x:c r="AF2" s="47"/>
      <x:c r="AG2" s="47"/>
      <x:c r="AH2" s="47"/>
    </x:row>
    <x:row r="3">
      <x:c r="A3" s="10" t="str">
        <x:v>UNITID</x:v>
      </x:c>
      <x:c r="B3" s="10" t="str">
        <x:v>Institution</x:v>
      </x:c>
      <x:c r="C3" s="10" t="str">
        <x:v>State</x:v>
      </x:c>
      <x:c r="D3" s="10" t="str">
        <x:v>Control</x:v>
      </x:c>
      <x:c r="E3" s="10" t="str">
        <x:v>Current UG enrollment</x:v>
      </x:c>
      <x:c r="F3" s="10" t="str">
        <x:v>Admission rate</x:v>
      </x:c>
      <x:c r="G3" s="10" t="str">
        <x:v>Market scope proxy</x:v>
      </x:c>
      <x:c r="H3" s="10" t="str">
        <x:v>State weight</x:v>
      </x:c>
      <x:c r="I3" s="10" t="str">
        <x:v>State change 2030</x:v>
      </x:c>
      <x:c r="J3" s="10" t="str">
        <x:v>State change 2035</x:v>
      </x:c>
      <x:c r="K3" s="10" t="str">
        <x:v>State change 2041</x:v>
      </x:c>
      <x:c r="L3" s="10" t="str">
        <x:v>Selected state change</x:v>
      </x:c>
      <x:c r="M3" s="10" t="str">
        <x:v>Selected national change</x:v>
      </x:c>
      <x:c r="N3" s="10" t="str">
        <x:v>Blended market change</x:v>
      </x:c>
      <x:c r="O3" s="10" t="str">
        <x:v>Market-share change</x:v>
      </x:c>
      <x:c r="P3" s="10" t="str">
        <x:v>Projected UG enrollment</x:v>
      </x:c>
      <x:c r="Q3" s="10" t="str">
        <x:v>UG enrollment change</x:v>
      </x:c>
      <x:c r="R3" s="10" t="str">
        <x:v>Finance data?</x:v>
      </x:c>
      <x:c r="S3" s="10" t="str">
        <x:v>Net tuition revenue / FTE</x:v>
      </x:c>
      <x:c r="T3" s="10" t="str">
        <x:v>Instructional expense / FTE</x:v>
      </x:c>
      <x:c r="U3" s="10" t="str">
        <x:v>Current UG FTE proxy</x:v>
      </x:c>
      <x:c r="V3" s="10" t="str">
        <x:v>Projected UG FTE proxy</x:v>
      </x:c>
      <x:c r="W3" s="10" t="str">
        <x:v>FTE change</x:v>
      </x:c>
      <x:c r="X3" s="10" t="str">
        <x:v>Tuition revenue change</x:v>
      </x:c>
      <x:c r="Y3" s="10" t="str">
        <x:v>Adjustable expense change</x:v>
      </x:c>
      <x:c r="Z3" s="10" t="str">
        <x:v>Net operating impact</x:v>
      </x:c>
      <x:c r="AA3" s="10" t="str">
        <x:v>Funding gap proxy</x:v>
      </x:c>
      <x:c r="AB3" s="10" t="str">
        <x:v>Gap % of tuition proxy</x:v>
      </x:c>
      <x:c r="AC3" s="10" t="str">
        <x:v>Students to close gap</x:v>
      </x:c>
      <x:c r="AD3" s="10" t="str">
        <x:v>Tuition increase % to close</x:v>
      </x:c>
      <x:c r="AE3" s="10" t="str">
        <x:v>Risk band</x:v>
      </x:c>
      <x:c r="AF3" s="10" t="str">
        <x:v>Latitude</x:v>
      </x:c>
      <x:c r="AG3" s="10" t="str">
        <x:v>Longitude</x:v>
      </x:c>
      <x:c r="AH3" s="10" t="str">
        <x:v>Model limitation</x:v>
      </x:c>
    </x:row>
    <x:row r="4">
      <x:c r="A4" s="16" t="n">
        <x:v>102669</x:v>
      </x:c>
      <x:c r="B4" s="16" t="str">
        <x:v>Alaska Pacific University</x:v>
      </x:c>
      <x:c r="C4" s="16" t="str">
        <x:v>AK</x:v>
      </x:c>
      <x:c r="D4" s="16" t="str">
        <x:v>Private nonprofit</x:v>
      </x:c>
      <x:c r="E4" s="34" t="n">
        <x:v>254</x:v>
      </x:c>
      <x:c r="F4" s="21"/>
      <x:c r="G4" s="16" t="str">
        <x:v>Regional</x:v>
      </x:c>
      <x:c r="H4" s="36" t="n">
        <x:f>IF(G4="National",Assumptions!$B$11,IF(G4="Statewide",Assumptions!$B$12,Assumptions!$B$13))</x:f>
        <x:v>0.85</x:v>
      </x:c>
      <x:c r="I4" s="21" t="n">
        <x:v>-0.00011262529564137758</x:v>
      </x:c>
      <x:c r="J4" s="21" t="n">
        <x:v>-0.06138078612456355</x:v>
      </x:c>
      <x:c r="K4" s="21" t="n">
        <x:v>-0.19247663025115436</x:v>
      </x:c>
      <x:c r="L4" s="36" t="n">
        <x:f>IF(Assumptions!$B$4=2030,I4,IF(Assumptions!$B$4=2035,J4,K4))</x:f>
        <x:v>-0.06138078612456355</x:v>
      </x:c>
      <x:c r="M4" s="36" t="n">
        <x:f>Assumptions!$B$19</x:f>
        <x:v>-0.04739891965741583</x:v>
      </x:c>
      <x:c r="N4" s="52" t="n">
        <x:f>H4*L4+(1-H4)*M4+O4</x:f>
        <x:v>-0.05928350615449139</x:v>
      </x:c>
      <x:c r="O4" s="36" t="n">
        <x:f>Assumptions!$B$10</x:f>
        <x:v>0</x:v>
      </x:c>
      <x:c r="P4" s="54" t="n">
        <x:f>E4*(1+N4)</x:f>
        <x:v>238.94198943675917</x:v>
      </x:c>
      <x:c r="Q4" s="54" t="n">
        <x:f>P4-E4</x:f>
        <x:v>-15.058010563240828</x:v>
      </x:c>
      <x:c r="R4" s="16" t="str">
        <x:v>No</x:v>
      </x:c>
      <x:c r="S4" s="56"/>
      <x:c r="T4" s="56"/>
      <x:c r="U4" s="40" t="n">
        <x:f>E4*Assumptions!$B$8</x:f>
        <x:v>215.9</x:v>
      </x:c>
      <x:c r="V4" s="40" t="n">
        <x:f>P4*Assumptions!$B$8</x:f>
        <x:v>203.1006910212453</x:v>
      </x:c>
      <x:c r="W4" s="54" t="n">
        <x:f>V4-U4</x:f>
        <x:v>-12.79930897875471</x:v>
      </x:c>
      <x:c r="X4" s="58" t="str">
        <x:f>IF(R4="No","",W4*S4)</x:f>
      </x:c>
      <x:c r="Y4" s="58" t="str">
        <x:f>IF(R4="No","",W4*T4*Assumptions!$B$9)</x:f>
      </x:c>
      <x:c r="Z4" s="58" t="str">
        <x:f>IF(R4="No","",X4-Y4)</x:f>
      </x:c>
      <x:c r="AA4" s="58" t="str">
        <x:f>IF(R4="No","",MAX(0,-Z4))</x:f>
      </x:c>
      <x:c r="AB4" s="52" t="str">
        <x:f>IF(OR(R4="No",U4*S4=0),"",AA4/(U4*S4))</x:f>
      </x:c>
      <x:c r="AC4" s="54" t="str">
        <x:f>IF(OR(R4="No",S4-T4*Assumptions!$B$9&lt;=0),"",AA4/(Assumptions!$B$8*(S4-T4*Assumptions!$B$9)))</x:f>
      </x:c>
      <x:c r="AD4" s="52" t="str">
        <x:f>IF(OR(R4="No",U4*S4=0),"",AA4/(U4*S4))</x:f>
      </x:c>
      <x:c r="AE4" s="50" t="str">
        <x:f>IF(R4="No","No finance data",IF(AB4&gt;=10%,"Severe",IF(AB4&gt;=5%,"High",IF(AB4&gt;=2%,"Moderate","Low"))))</x:f>
        <x:v>No finance data</x:v>
      </x:c>
      <x:c r="AF4" s="60"/>
      <x:c r="AG4" s="60"/>
      <x:c r="AH4" s="44" t="str">
        <x:v>Undergraduate tuition-contribution proxy only; not an audited total institutional budget.</x:v>
      </x:c>
    </x:row>
    <x:row r="5">
      <x:c r="A5" s="16" t="n">
        <x:v>102553</x:v>
      </x:c>
      <x:c r="B5" s="16" t="str">
        <x:v>University of Alaska Anchorage</x:v>
      </x:c>
      <x:c r="C5" s="16" t="str">
        <x:v>AK</x:v>
      </x:c>
      <x:c r="D5" s="16" t="str">
        <x:v>Public</x:v>
      </x:c>
      <x:c r="E5" s="34" t="n">
        <x:v>12348</x:v>
      </x:c>
      <x:c r="F5" s="21" t="n">
        <x:v>0.6905</x:v>
      </x:c>
      <x:c r="G5" s="16" t="str">
        <x:v>Statewide</x:v>
      </x:c>
      <x:c r="H5" s="36" t="n">
        <x:f>IF(G5="National",Assumptions!$B$11,IF(G5="Statewide",Assumptions!$B$12,Assumptions!$B$13))</x:f>
        <x:v>0.6</x:v>
      </x:c>
      <x:c r="I5" s="21" t="n">
        <x:v>-0.00011262529564137758</x:v>
      </x:c>
      <x:c r="J5" s="21" t="n">
        <x:v>-0.06138078612456355</x:v>
      </x:c>
      <x:c r="K5" s="21" t="n">
        <x:v>-0.19247663025115436</x:v>
      </x:c>
      <x:c r="L5" s="36" t="n">
        <x:f>IF(Assumptions!$B$4=2030,I5,IF(Assumptions!$B$4=2035,J5,K5))</x:f>
        <x:v>-0.06138078612456355</x:v>
      </x:c>
      <x:c r="M5" s="36" t="n">
        <x:f>Assumptions!$B$19</x:f>
        <x:v>-0.04739891965741583</x:v>
      </x:c>
      <x:c r="N5" s="52" t="n">
        <x:f>H5*L5+(1-H5)*M5+O5</x:f>
        <x:v>-0.05578803953770446</x:v>
      </x:c>
      <x:c r="O5" s="36" t="n">
        <x:f>Assumptions!$B$10</x:f>
        <x:v>0</x:v>
      </x:c>
      <x:c r="P5" s="54" t="n">
        <x:f>E5*(1+N5)</x:f>
        <x:v>11659.129287788424</x:v>
      </x:c>
      <x:c r="Q5" s="54" t="n">
        <x:f>P5-E5</x:f>
        <x:v>-688.8707122115757</x:v>
      </x:c>
      <x:c r="R5" s="16" t="str">
        <x:v>Yes</x:v>
      </x:c>
      <x:c r="S5" s="56" t="n">
        <x:v>8106</x:v>
      </x:c>
      <x:c r="T5" s="56" t="n">
        <x:v>13122</x:v>
      </x:c>
      <x:c r="U5" s="40" t="n">
        <x:f>E5*Assumptions!$B$8</x:f>
        <x:v>10495.8</x:v>
      </x:c>
      <x:c r="V5" s="40" t="n">
        <x:f>P5*Assumptions!$B$8</x:f>
        <x:v>9910.25989462016</x:v>
      </x:c>
      <x:c r="W5" s="54" t="n">
        <x:f>V5-U5</x:f>
        <x:v>-585.5401053798396</x:v>
      </x:c>
      <x:c r="X5" s="58" t="n">
        <x:f>IF(R5="No","",W5*S5)</x:f>
        <x:v>-4746388.09420898</x:v>
      </x:c>
      <x:c r="Y5" s="58" t="n">
        <x:f>IF(R5="No","",W5*T5*Assumptions!$B$9)</x:f>
        <x:v>-2305037.1788382763</x:v>
      </x:c>
      <x:c r="Z5" s="58" t="n">
        <x:f>IF(R5="No","",X5-Y5)</x:f>
        <x:v>-2441350.9153707037</x:v>
      </x:c>
      <x:c r="AA5" s="58" t="n">
        <x:f>IF(R5="No","",MAX(0,-Z5))</x:f>
        <x:v>2441350.9153707037</x:v>
      </x:c>
      <x:c r="AB5" s="52" t="n">
        <x:f>IF(OR(R5="No",U5*S5=0),"",AA5/(U5*S5))</x:f>
        <x:v>0.028695121150814885</x:v>
      </x:c>
      <x:c r="AC5" s="54" t="n">
        <x:f>IF(OR(R5="No",S5-T5*Assumptions!$B$9&lt;=0),"",AA5/(Assumptions!$B$8*(S5-T5*Assumptions!$B$9)))</x:f>
        <x:v>688.8707122115761</x:v>
      </x:c>
      <x:c r="AD5" s="52" t="n">
        <x:f>IF(OR(R5="No",U5*S5=0),"",AA5/(U5*S5))</x:f>
        <x:v>0.028695121150814885</x:v>
      </x:c>
      <x:c r="AE5" s="50" t="str">
        <x:f>IF(R5="No","No finance data",IF(AB5&gt;=10%,"Severe",IF(AB5&gt;=5%,"High",IF(AB5&gt;=2%,"Moderate","Low"))))</x:f>
        <x:v>Moderate</x:v>
      </x:c>
      <x:c r="AF5" s="60" t="n">
        <x:v>61.190163</x:v>
      </x:c>
      <x:c r="AG5" s="60" t="n">
        <x:v>-149.82619</x:v>
      </x:c>
      <x:c r="AH5" s="44" t="str">
        <x:v>Undergraduate tuition-contribution proxy only; not an audited total institutional budget.</x:v>
      </x:c>
    </x:row>
    <x:row r="6">
      <x:c r="A6" s="16" t="n">
        <x:v>102614</x:v>
      </x:c>
      <x:c r="B6" s="16" t="str">
        <x:v>University of Alaska Fairbanks</x:v>
      </x:c>
      <x:c r="C6" s="16" t="str">
        <x:v>AK</x:v>
      </x:c>
      <x:c r="D6" s="16" t="str">
        <x:v>Public</x:v>
      </x:c>
      <x:c r="E6" s="34" t="n">
        <x:v>5432</x:v>
      </x:c>
      <x:c r="F6" s="21" t="n">
        <x:v>0.6469</x:v>
      </x:c>
      <x:c r="G6" s="16" t="str">
        <x:v>Statewide</x:v>
      </x:c>
      <x:c r="H6" s="36" t="n">
        <x:f>IF(G6="National",Assumptions!$B$11,IF(G6="Statewide",Assumptions!$B$12,Assumptions!$B$13))</x:f>
        <x:v>0.6</x:v>
      </x:c>
      <x:c r="I6" s="21" t="n">
        <x:v>-0.00011262529564137758</x:v>
      </x:c>
      <x:c r="J6" s="21" t="n">
        <x:v>-0.06138078612456355</x:v>
      </x:c>
      <x:c r="K6" s="21" t="n">
        <x:v>-0.19247663025115436</x:v>
      </x:c>
      <x:c r="L6" s="36" t="n">
        <x:f>IF(Assumptions!$B$4=2030,I6,IF(Assumptions!$B$4=2035,J6,K6))</x:f>
        <x:v>-0.06138078612456355</x:v>
      </x:c>
      <x:c r="M6" s="36" t="n">
        <x:f>Assumptions!$B$19</x:f>
        <x:v>-0.04739891965741583</x:v>
      </x:c>
      <x:c r="N6" s="52" t="n">
        <x:f>H6*L6+(1-H6)*M6+O6</x:f>
        <x:v>-0.05578803953770446</x:v>
      </x:c>
      <x:c r="O6" s="36" t="n">
        <x:f>Assumptions!$B$10</x:f>
        <x:v>0</x:v>
      </x:c>
      <x:c r="P6" s="54" t="n">
        <x:f>E6*(1+N6)</x:f>
        <x:v>5128.959369231189</x:v>
      </x:c>
      <x:c r="Q6" s="54" t="n">
        <x:f>P6-E6</x:f>
        <x:v>-303.04063076881084</x:v>
      </x:c>
      <x:c r="R6" s="16" t="str">
        <x:v>Yes</x:v>
      </x:c>
      <x:c r="S6" s="56" t="n">
        <x:v>9274</x:v>
      </x:c>
      <x:c r="T6" s="56" t="n">
        <x:v>19104</x:v>
      </x:c>
      <x:c r="U6" s="40" t="n">
        <x:f>E6*Assumptions!$B$8</x:f>
        <x:v>4617.2</x:v>
      </x:c>
      <x:c r="V6" s="40" t="n">
        <x:f>P6*Assumptions!$B$8</x:f>
        <x:v>4359.6154638465105</x:v>
      </x:c>
      <x:c r="W6" s="54" t="n">
        <x:f>V6-U6</x:f>
        <x:v>-257.58453615348935</x:v>
      </x:c>
      <x:c r="X6" s="58" t="n">
        <x:f>IF(R6="No","",W6*S6)</x:f>
        <x:v>-2388838.98828746</x:v>
      </x:c>
      <x:c r="Y6" s="58" t="n">
        <x:f>IF(R6="No","",W6*T6*Assumptions!$B$9)</x:f>
        <x:v>-1476268.4936028782</x:v>
      </x:c>
      <x:c r="Z6" s="58" t="n">
        <x:f>IF(R6="No","",X6-Y6)</x:f>
        <x:v>-912570.4946845819</x:v>
      </x:c>
      <x:c r="AA6" s="58" t="n">
        <x:f>IF(R6="No","",MAX(0,-Z6))</x:f>
        <x:v>912570.4946845819</x:v>
      </x:c>
      <x:c r="AB6" s="52" t="n">
        <x:f>IF(OR(R6="No",U6*S6=0),"",AA6/(U6*S6))</x:f>
        <x:v>0.021311825153566916</x:v>
      </x:c>
      <x:c r="AC6" s="54" t="n">
        <x:f>IF(OR(R6="No",S6-T6*Assumptions!$B$9&lt;=0),"",AA6/(Assumptions!$B$8*(S6-T6*Assumptions!$B$9)))</x:f>
        <x:v>303.0406307688109</x:v>
      </x:c>
      <x:c r="AD6" s="52" t="n">
        <x:f>IF(OR(R6="No",U6*S6=0),"",AA6/(U6*S6))</x:f>
        <x:v>0.021311825153566916</x:v>
      </x:c>
      <x:c r="AE6" s="50" t="str">
        <x:f>IF(R6="No","No finance data",IF(AB6&gt;=10%,"Severe",IF(AB6&gt;=5%,"High",IF(AB6&gt;=2%,"Moderate","Low"))))</x:f>
        <x:v>Moderate</x:v>
      </x:c>
      <x:c r="AF6" s="60" t="n">
        <x:v>64.85756</x:v>
      </x:c>
      <x:c r="AG6" s="60" t="n">
        <x:v>-147.823146</x:v>
      </x:c>
      <x:c r="AH6" s="44" t="str">
        <x:v>Undergraduate tuition-contribution proxy only; not an audited total institutional budget.</x:v>
      </x:c>
    </x:row>
    <x:row r="7">
      <x:c r="A7" s="16" t="n">
        <x:v>102632</x:v>
      </x:c>
      <x:c r="B7" s="16" t="str">
        <x:v>University of Alaska Southeast</x:v>
      </x:c>
      <x:c r="C7" s="16" t="str">
        <x:v>AK</x:v>
      </x:c>
      <x:c r="D7" s="16" t="str">
        <x:v>Public</x:v>
      </x:c>
      <x:c r="E7" s="34" t="n">
        <x:v>1372</x:v>
      </x:c>
      <x:c r="F7" s="21"/>
      <x:c r="G7" s="16" t="str">
        <x:v>Regional</x:v>
      </x:c>
      <x:c r="H7" s="36" t="n">
        <x:f>IF(G7="National",Assumptions!$B$11,IF(G7="Statewide",Assumptions!$B$12,Assumptions!$B$13))</x:f>
        <x:v>0.85</x:v>
      </x:c>
      <x:c r="I7" s="21" t="n">
        <x:v>-0.00011262529564137758</x:v>
      </x:c>
      <x:c r="J7" s="21" t="n">
        <x:v>-0.06138078612456355</x:v>
      </x:c>
      <x:c r="K7" s="21" t="n">
        <x:v>-0.19247663025115436</x:v>
      </x:c>
      <x:c r="L7" s="36" t="n">
        <x:f>IF(Assumptions!$B$4=2030,I7,IF(Assumptions!$B$4=2035,J7,K7))</x:f>
        <x:v>-0.06138078612456355</x:v>
      </x:c>
      <x:c r="M7" s="36" t="n">
        <x:f>Assumptions!$B$19</x:f>
        <x:v>-0.04739891965741583</x:v>
      </x:c>
      <x:c r="N7" s="52" t="n">
        <x:f>H7*L7+(1-H7)*M7+O7</x:f>
        <x:v>-0.05928350615449139</x:v>
      </x:c>
      <x:c r="O7" s="36" t="n">
        <x:f>Assumptions!$B$10</x:f>
        <x:v>0</x:v>
      </x:c>
      <x:c r="P7" s="54" t="n">
        <x:f>E7*(1+N7)</x:f>
        <x:v>1290.6630295560378</x:v>
      </x:c>
      <x:c r="Q7" s="54" t="n">
        <x:f>P7-E7</x:f>
        <x:v>-81.33697044396217</x:v>
      </x:c>
      <x:c r="R7" s="16" t="str">
        <x:v>No</x:v>
      </x:c>
      <x:c r="S7" s="56"/>
      <x:c r="T7" s="56"/>
      <x:c r="U7" s="40" t="n">
        <x:f>E7*Assumptions!$B$8</x:f>
        <x:v>1166.2</x:v>
      </x:c>
      <x:c r="V7" s="40" t="n">
        <x:f>P7*Assumptions!$B$8</x:f>
        <x:v>1097.063575122632</x:v>
      </x:c>
      <x:c r="W7" s="54" t="n">
        <x:f>V7-U7</x:f>
        <x:v>-69.13642487736797</x:v>
      </x:c>
      <x:c r="X7" s="58" t="str">
        <x:f>IF(R7="No","",W7*S7)</x:f>
      </x:c>
      <x:c r="Y7" s="58" t="str">
        <x:f>IF(R7="No","",W7*T7*Assumptions!$B$9)</x:f>
      </x:c>
      <x:c r="Z7" s="58" t="str">
        <x:f>IF(R7="No","",X7-Y7)</x:f>
      </x:c>
      <x:c r="AA7" s="58" t="str">
        <x:f>IF(R7="No","",MAX(0,-Z7))</x:f>
      </x:c>
      <x:c r="AB7" s="52" t="str">
        <x:f>IF(OR(R7="No",U7*S7=0),"",AA7/(U7*S7))</x:f>
      </x:c>
      <x:c r="AC7" s="54" t="str">
        <x:f>IF(OR(R7="No",S7-T7*Assumptions!$B$9&lt;=0),"",AA7/(Assumptions!$B$8*(S7-T7*Assumptions!$B$9)))</x:f>
      </x:c>
      <x:c r="AD7" s="52" t="str">
        <x:f>IF(OR(R7="No",U7*S7=0),"",AA7/(U7*S7))</x:f>
      </x:c>
      <x:c r="AE7" s="50" t="str">
        <x:f>IF(R7="No","No finance data",IF(AB7&gt;=10%,"Severe",IF(AB7&gt;=5%,"High",IF(AB7&gt;=2%,"Moderate","Low"))))</x:f>
        <x:v>No finance data</x:v>
      </x:c>
      <x:c r="AF7" s="60"/>
      <x:c r="AG7" s="60"/>
      <x:c r="AH7" s="44" t="str">
        <x:v>Undergraduate tuition-contribution proxy only; not an audited total institutional budget.</x:v>
      </x:c>
    </x:row>
    <x:row r="8">
      <x:c r="A8" s="16" t="n">
        <x:v>100654</x:v>
      </x:c>
      <x:c r="B8" s="16" t="str">
        <x:v>Alabama A &amp; M University</x:v>
      </x:c>
      <x:c r="C8" s="16" t="str">
        <x:v>AL</x:v>
      </x:c>
      <x:c r="D8" s="16" t="str">
        <x:v>Public</x:v>
      </x:c>
      <x:c r="E8" s="34" t="n">
        <x:v>4505</x:v>
      </x:c>
      <x:c r="F8" s="21" t="n">
        <x:v>0.716</x:v>
      </x:c>
      <x:c r="G8" s="16" t="str">
        <x:v>Regional</x:v>
      </x:c>
      <x:c r="H8" s="36" t="n">
        <x:f>IF(G8="National",Assumptions!$B$11,IF(G8="Statewide",Assumptions!$B$12,Assumptions!$B$13))</x:f>
        <x:v>0.85</x:v>
      </x:c>
      <x:c r="I8" s="21" t="n">
        <x:v>-0.047168112915421445</x:v>
      </x:c>
      <x:c r="J8" s="21" t="n">
        <x:v>-0.005598963021639758</x:v>
      </x:c>
      <x:c r="K8" s="21" t="n">
        <x:v>-0.023115975947863077</x:v>
      </x:c>
      <x:c r="L8" s="36" t="n">
        <x:f>IF(Assumptions!$B$4=2030,I8,IF(Assumptions!$B$4=2035,J8,K8))</x:f>
        <x:v>-0.005598963021639758</x:v>
      </x:c>
      <x:c r="M8" s="36" t="n">
        <x:f>Assumptions!$B$19</x:f>
        <x:v>-0.04739891965741583</x:v>
      </x:c>
      <x:c r="N8" s="52" t="n">
        <x:f>H8*L8+(1-H8)*M8+O8</x:f>
        <x:v>-0.01186895651700617</x:v>
      </x:c>
      <x:c r="O8" s="36" t="n">
        <x:f>Assumptions!$B$10</x:f>
        <x:v>0</x:v>
      </x:c>
      <x:c r="P8" s="54" t="n">
        <x:f>E8*(1+N8)</x:f>
        <x:v>4451.530350890887</x:v>
      </x:c>
      <x:c r="Q8" s="54" t="n">
        <x:f>P8-E8</x:f>
        <x:v>-53.46964910911265</x:v>
      </x:c>
      <x:c r="R8" s="16" t="str">
        <x:v>Yes</x:v>
      </x:c>
      <x:c r="S8" s="56" t="n">
        <x:v>9243</x:v>
      </x:c>
      <x:c r="T8" s="56" t="n">
        <x:v>7699</x:v>
      </x:c>
      <x:c r="U8" s="40" t="n">
        <x:f>E8*Assumptions!$B$8</x:f>
        <x:v>3829.25</x:v>
      </x:c>
      <x:c r="V8" s="40" t="n">
        <x:f>P8*Assumptions!$B$8</x:f>
        <x:v>3783.800798257254</x:v>
      </x:c>
      <x:c r="W8" s="54" t="n">
        <x:f>V8-U8</x:f>
        <x:v>-45.44920174274603</x:v>
      </x:c>
      <x:c r="X8" s="58" t="n">
        <x:f>IF(R8="No","",W8*S8)</x:f>
        <x:v>-420086.9717082015</x:v>
      </x:c>
      <x:c r="Y8" s="58" t="n">
        <x:f>IF(R8="No","",W8*T8*Assumptions!$B$9)</x:f>
        <x:v>-104974.0212652205</x:v>
      </x:c>
      <x:c r="Z8" s="58" t="n">
        <x:f>IF(R8="No","",X8-Y8)</x:f>
        <x:v>-315112.95044298103</x:v>
      </x:c>
      <x:c r="AA8" s="58" t="n">
        <x:f>IF(R8="No","",MAX(0,-Z8))</x:f>
        <x:v>315112.95044298103</x:v>
      </x:c>
      <x:c r="AB8" s="52" t="n">
        <x:f>IF(OR(R8="No",U8*S8=0),"",AA8/(U8*S8))</x:f>
        <x:v>0.008903065695051298</x:v>
      </x:c>
      <x:c r="AC8" s="54" t="n">
        <x:f>IF(OR(R8="No",S8-T8*Assumptions!$B$9&lt;=0),"",AA8/(Assumptions!$B$8*(S8-T8*Assumptions!$B$9)))</x:f>
        <x:v>53.46964910911297</x:v>
      </x:c>
      <x:c r="AD8" s="52" t="n">
        <x:f>IF(OR(R8="No",U8*S8=0),"",AA8/(U8*S8))</x:f>
        <x:v>0.008903065695051298</x:v>
      </x:c>
      <x:c r="AE8" s="50" t="str">
        <x:f>IF(R8="No","No finance data",IF(AB8&gt;=10%,"Severe",IF(AB8&gt;=5%,"High",IF(AB8&gt;=2%,"Moderate","Low"))))</x:f>
        <x:v>Low</x:v>
      </x:c>
      <x:c r="AF8" s="60" t="n">
        <x:v>34.783368</x:v>
      </x:c>
      <x:c r="AG8" s="60" t="n">
        <x:v>-86.568502</x:v>
      </x:c>
      <x:c r="AH8" s="44" t="str">
        <x:v>Undergraduate tuition-contribution proxy only; not an audited total institutional budget.</x:v>
      </x:c>
    </x:row>
    <x:row r="9">
      <x:c r="A9" s="16" t="n">
        <x:v>100724</x:v>
      </x:c>
      <x:c r="B9" s="16" t="str">
        <x:v>Alabama State University</x:v>
      </x:c>
      <x:c r="C9" s="16" t="str">
        <x:v>AL</x:v>
      </x:c>
      <x:c r="D9" s="16" t="str">
        <x:v>Public</x:v>
      </x:c>
      <x:c r="E9" s="34" t="n">
        <x:v>4740</x:v>
      </x:c>
      <x:c r="F9" s="21" t="n">
        <x:v>0.9799</x:v>
      </x:c>
      <x:c r="G9" s="16" t="str">
        <x:v>Regional</x:v>
      </x:c>
      <x:c r="H9" s="36" t="n">
        <x:f>IF(G9="National",Assumptions!$B$11,IF(G9="Statewide",Assumptions!$B$12,Assumptions!$B$13))</x:f>
        <x:v>0.85</x:v>
      </x:c>
      <x:c r="I9" s="21" t="n">
        <x:v>-0.047168112915421445</x:v>
      </x:c>
      <x:c r="J9" s="21" t="n">
        <x:v>-0.005598963021639758</x:v>
      </x:c>
      <x:c r="K9" s="21" t="n">
        <x:v>-0.023115975947863077</x:v>
      </x:c>
      <x:c r="L9" s="36" t="n">
        <x:f>IF(Assumptions!$B$4=2030,I9,IF(Assumptions!$B$4=2035,J9,K9))</x:f>
        <x:v>-0.005598963021639758</x:v>
      </x:c>
      <x:c r="M9" s="36" t="n">
        <x:f>Assumptions!$B$19</x:f>
        <x:v>-0.04739891965741583</x:v>
      </x:c>
      <x:c r="N9" s="52" t="n">
        <x:f>H9*L9+(1-H9)*M9+O9</x:f>
        <x:v>-0.01186895651700617</x:v>
      </x:c>
      <x:c r="O9" s="36" t="n">
        <x:f>Assumptions!$B$10</x:f>
        <x:v>0</x:v>
      </x:c>
      <x:c r="P9" s="54" t="n">
        <x:f>E9*(1+N9)</x:f>
        <x:v>4683.741146109391</x:v>
      </x:c>
      <x:c r="Q9" s="54" t="n">
        <x:f>P9-E9</x:f>
        <x:v>-56.258853890609316</x:v>
      </x:c>
      <x:c r="R9" s="16" t="str">
        <x:v>Yes</x:v>
      </x:c>
      <x:c r="S9" s="56" t="n">
        <x:v>8535</x:v>
      </x:c>
      <x:c r="T9" s="56" t="n">
        <x:v>9459</x:v>
      </x:c>
      <x:c r="U9" s="40" t="n">
        <x:f>E9*Assumptions!$B$8</x:f>
        <x:v>4029</x:v>
      </x:c>
      <x:c r="V9" s="40" t="n">
        <x:f>P9*Assumptions!$B$8</x:f>
        <x:v>3981.179974192982</x:v>
      </x:c>
      <x:c r="W9" s="54" t="n">
        <x:f>V9-U9</x:f>
        <x:v>-47.82002580701783</x:v>
      </x:c>
      <x:c r="X9" s="58" t="n">
        <x:f>IF(R9="No","",W9*S9)</x:f>
        <x:v>-408143.92026289715</x:v>
      </x:c>
      <x:c r="Y9" s="58" t="n">
        <x:f>IF(R9="No","",W9*T9*Assumptions!$B$9)</x:f>
        <x:v>-135698.8872325745</x:v>
      </x:c>
      <x:c r="Z9" s="58" t="n">
        <x:f>IF(R9="No","",X9-Y9)</x:f>
        <x:v>-272445.03303032264</x:v>
      </x:c>
      <x:c r="AA9" s="58" t="n">
        <x:f>IF(R9="No","",MAX(0,-Z9))</x:f>
        <x:v>272445.03303032264</x:v>
      </x:c>
      <x:c r="AB9" s="52" t="n">
        <x:f>IF(OR(R9="No",U9*S9=0),"",AA9/(U9*S9))</x:f>
        <x:v>0.007922789216677118</x:v>
      </x:c>
      <x:c r="AC9" s="54" t="n">
        <x:f>IF(OR(R9="No",S9-T9*Assumptions!$B$9&lt;=0),"",AA9/(Assumptions!$B$8*(S9-T9*Assumptions!$B$9)))</x:f>
        <x:v>56.2588538906092</x:v>
      </x:c>
      <x:c r="AD9" s="52" t="n">
        <x:f>IF(OR(R9="No",U9*S9=0),"",AA9/(U9*S9))</x:f>
        <x:v>0.007922789216677118</x:v>
      </x:c>
      <x:c r="AE9" s="50" t="str">
        <x:f>IF(R9="No","No finance data",IF(AB9&gt;=10%,"Severe",IF(AB9&gt;=5%,"High",IF(AB9&gt;=2%,"Moderate","Low"))))</x:f>
        <x:v>Low</x:v>
      </x:c>
      <x:c r="AF9" s="60" t="n">
        <x:v>32.364317</x:v>
      </x:c>
      <x:c r="AG9" s="60" t="n">
        <x:v>-86.295677</x:v>
      </x:c>
      <x:c r="AH9" s="44" t="str">
        <x:v>Undergraduate tuition-contribution proxy only; not an audited total institutional budget.</x:v>
      </x:c>
    </x:row>
    <x:row r="10">
      <x:c r="A10" s="16" t="n">
        <x:v>100690</x:v>
      </x:c>
      <x:c r="B10" s="16" t="str">
        <x:v>Amridge University</x:v>
      </x:c>
      <x:c r="C10" s="16" t="str">
        <x:v>AL</x:v>
      </x:c>
      <x:c r="D10" s="16" t="str">
        <x:v>Private nonprofit</x:v>
      </x:c>
      <x:c r="E10" s="34" t="n">
        <x:v>308</x:v>
      </x:c>
      <x:c r="F10" s="21"/>
      <x:c r="G10" s="16" t="str">
        <x:v>Regional</x:v>
      </x:c>
      <x:c r="H10" s="36" t="n">
        <x:f>IF(G10="National",Assumptions!$B$11,IF(G10="Statewide",Assumptions!$B$12,Assumptions!$B$13))</x:f>
        <x:v>0.85</x:v>
      </x:c>
      <x:c r="I10" s="21" t="n">
        <x:v>-0.047168112915421445</x:v>
      </x:c>
      <x:c r="J10" s="21" t="n">
        <x:v>-0.005598963021639758</x:v>
      </x:c>
      <x:c r="K10" s="21" t="n">
        <x:v>-0.023115975947863077</x:v>
      </x:c>
      <x:c r="L10" s="36" t="n">
        <x:f>IF(Assumptions!$B$4=2030,I10,IF(Assumptions!$B$4=2035,J10,K10))</x:f>
        <x:v>-0.005598963021639758</x:v>
      </x:c>
      <x:c r="M10" s="36" t="n">
        <x:f>Assumptions!$B$19</x:f>
        <x:v>-0.04739891965741583</x:v>
      </x:c>
      <x:c r="N10" s="52" t="n">
        <x:f>H10*L10+(1-H10)*M10+O10</x:f>
        <x:v>-0.01186895651700617</x:v>
      </x:c>
      <x:c r="O10" s="36" t="n">
        <x:f>Assumptions!$B$10</x:f>
        <x:v>0</x:v>
      </x:c>
      <x:c r="P10" s="54" t="n">
        <x:f>E10*(1+N10)</x:f>
        <x:v>304.3443613927621</x:v>
      </x:c>
      <x:c r="Q10" s="54" t="n">
        <x:f>P10-E10</x:f>
        <x:v>-3.655638607237904</x:v>
      </x:c>
      <x:c r="R10" s="16" t="str">
        <x:v>No</x:v>
      </x:c>
      <x:c r="S10" s="56"/>
      <x:c r="T10" s="56"/>
      <x:c r="U10" s="40" t="n">
        <x:f>E10*Assumptions!$B$8</x:f>
        <x:v>261.8</x:v>
      </x:c>
      <x:c r="V10" s="40" t="n">
        <x:f>P10*Assumptions!$B$8</x:f>
        <x:v>258.6927071838478</x:v>
      </x:c>
      <x:c r="W10" s="54" t="n">
        <x:f>V10-U10</x:f>
        <x:v>-3.10729281615221</x:v>
      </x:c>
      <x:c r="X10" s="58" t="str">
        <x:f>IF(R10="No","",W10*S10)</x:f>
      </x:c>
      <x:c r="Y10" s="58" t="str">
        <x:f>IF(R10="No","",W10*T10*Assumptions!$B$9)</x:f>
      </x:c>
      <x:c r="Z10" s="58" t="str">
        <x:f>IF(R10="No","",X10-Y10)</x:f>
      </x:c>
      <x:c r="AA10" s="58" t="str">
        <x:f>IF(R10="No","",MAX(0,-Z10))</x:f>
      </x:c>
      <x:c r="AB10" s="52" t="str">
        <x:f>IF(OR(R10="No",U10*S10=0),"",AA10/(U10*S10))</x:f>
      </x:c>
      <x:c r="AC10" s="54" t="str">
        <x:f>IF(OR(R10="No",S10-T10*Assumptions!$B$9&lt;=0),"",AA10/(Assumptions!$B$8*(S10-T10*Assumptions!$B$9)))</x:f>
      </x:c>
      <x:c r="AD10" s="52" t="str">
        <x:f>IF(OR(R10="No",U10*S10=0),"",AA10/(U10*S10))</x:f>
      </x:c>
      <x:c r="AE10" s="50" t="str">
        <x:f>IF(R10="No","No finance data",IF(AB10&gt;=10%,"Severe",IF(AB10&gt;=5%,"High",IF(AB10&gt;=2%,"Moderate","Low"))))</x:f>
        <x:v>No finance data</x:v>
      </x:c>
      <x:c r="AF10" s="60"/>
      <x:c r="AG10" s="60"/>
      <x:c r="AH10" s="44" t="str">
        <x:v>Undergraduate tuition-contribution proxy only; not an audited total institutional budget.</x:v>
      </x:c>
    </x:row>
    <x:row r="11">
      <x:c r="A11" s="16" t="n">
        <x:v>100812</x:v>
      </x:c>
      <x:c r="B11" s="16" t="str">
        <x:v>Athens State University</x:v>
      </x:c>
      <x:c r="C11" s="16" t="str">
        <x:v>AL</x:v>
      </x:c>
      <x:c r="D11" s="16" t="str">
        <x:v>Public</x:v>
      </x:c>
      <x:c r="E11" s="34" t="n">
        <x:v>2904</x:v>
      </x:c>
      <x:c r="F11" s="21"/>
      <x:c r="G11" s="16" t="str">
        <x:v>Regional</x:v>
      </x:c>
      <x:c r="H11" s="36" t="n">
        <x:f>IF(G11="National",Assumptions!$B$11,IF(G11="Statewide",Assumptions!$B$12,Assumptions!$B$13))</x:f>
        <x:v>0.85</x:v>
      </x:c>
      <x:c r="I11" s="21" t="n">
        <x:v>-0.047168112915421445</x:v>
      </x:c>
      <x:c r="J11" s="21" t="n">
        <x:v>-0.005598963021639758</x:v>
      </x:c>
      <x:c r="K11" s="21" t="n">
        <x:v>-0.023115975947863077</x:v>
      </x:c>
      <x:c r="L11" s="36" t="n">
        <x:f>IF(Assumptions!$B$4=2030,I11,IF(Assumptions!$B$4=2035,J11,K11))</x:f>
        <x:v>-0.005598963021639758</x:v>
      </x:c>
      <x:c r="M11" s="36" t="n">
        <x:f>Assumptions!$B$19</x:f>
        <x:v>-0.04739891965741583</x:v>
      </x:c>
      <x:c r="N11" s="52" t="n">
        <x:f>H11*L11+(1-H11)*M11+O11</x:f>
        <x:v>-0.01186895651700617</x:v>
      </x:c>
      <x:c r="O11" s="36" t="n">
        <x:f>Assumptions!$B$10</x:f>
        <x:v>0</x:v>
      </x:c>
      <x:c r="P11" s="54" t="n">
        <x:f>E11*(1+N11)</x:f>
        <x:v>2869.532550274614</x:v>
      </x:c>
      <x:c r="Q11" s="54" t="n">
        <x:f>P11-E11</x:f>
        <x:v>-34.467449725385904</x:v>
      </x:c>
      <x:c r="R11" s="16" t="str">
        <x:v>Yes</x:v>
      </x:c>
      <x:c r="S11" s="56" t="n">
        <x:v>6761</x:v>
      </x:c>
      <x:c r="T11" s="56" t="n">
        <x:v>7908</x:v>
      </x:c>
      <x:c r="U11" s="40" t="n">
        <x:f>E11*Assumptions!$B$8</x:f>
        <x:v>2468.4</x:v>
      </x:c>
      <x:c r="V11" s="40" t="n">
        <x:f>P11*Assumptions!$B$8</x:f>
        <x:v>2439.102667733422</x:v>
      </x:c>
      <x:c r="W11" s="54" t="n">
        <x:f>V11-U11</x:f>
        <x:v>-29.297332266577996</x:v>
      </x:c>
      <x:c r="X11" s="58" t="n">
        <x:f>IF(R11="No","",W11*S11)</x:f>
        <x:v>-198079.26345433382</x:v>
      </x:c>
      <x:c r="Y11" s="58" t="n">
        <x:f>IF(R11="No","",W11*T11*Assumptions!$B$9)</x:f>
        <x:v>-69504.99106922963</x:v>
      </x:c>
      <x:c r="Z11" s="58" t="n">
        <x:f>IF(R11="No","",X11-Y11)</x:f>
        <x:v>-128574.2723851042</x:v>
      </x:c>
      <x:c r="AA11" s="58" t="n">
        <x:f>IF(R11="No","",MAX(0,-Z11))</x:f>
        <x:v>128574.2723851042</x:v>
      </x:c>
      <x:c r="AB11" s="52" t="n">
        <x:f>IF(OR(R11="No",U11*S11=0),"",AA11/(U11*S11))</x:f>
        <x:v>0.007704200942247185</x:v>
      </x:c>
      <x:c r="AC11" s="54" t="n">
        <x:f>IF(OR(R11="No",S11-T11*Assumptions!$B$9&lt;=0),"",AA11/(Assumptions!$B$8*(S11-T11*Assumptions!$B$9)))</x:f>
        <x:v>34.467449725385876</x:v>
      </x:c>
      <x:c r="AD11" s="52" t="n">
        <x:f>IF(OR(R11="No",U11*S11=0),"",AA11/(U11*S11))</x:f>
        <x:v>0.007704200942247185</x:v>
      </x:c>
      <x:c r="AE11" s="50" t="str">
        <x:f>IF(R11="No","No finance data",IF(AB11&gt;=10%,"Severe",IF(AB11&gt;=5%,"High",IF(AB11&gt;=2%,"Moderate","Low"))))</x:f>
        <x:v>Low</x:v>
      </x:c>
      <x:c r="AF11" s="60" t="n">
        <x:v>34.806793</x:v>
      </x:c>
      <x:c r="AG11" s="60" t="n">
        <x:v>-86.964698</x:v>
      </x:c>
      <x:c r="AH11" s="44" t="str">
        <x:v>Undergraduate tuition-contribution proxy only; not an audited total institutional budget.</x:v>
      </x:c>
    </x:row>
    <x:row r="12">
      <x:c r="A12" s="16" t="n">
        <x:v>100858</x:v>
      </x:c>
      <x:c r="B12" s="16" t="str">
        <x:v>Auburn University</x:v>
      </x:c>
      <x:c r="C12" s="16" t="str">
        <x:v>AL</x:v>
      </x:c>
      <x:c r="D12" s="16" t="str">
        <x:v>Public</x:v>
      </x:c>
      <x:c r="E12" s="34" t="n">
        <x:v>21551</x:v>
      </x:c>
      <x:c r="F12" s="21" t="n">
        <x:v>0.7118</x:v>
      </x:c>
      <x:c r="G12" s="16" t="str">
        <x:v>Statewide</x:v>
      </x:c>
      <x:c r="H12" s="36" t="n">
        <x:f>IF(G12="National",Assumptions!$B$11,IF(G12="Statewide",Assumptions!$B$12,Assumptions!$B$13))</x:f>
        <x:v>0.6</x:v>
      </x:c>
      <x:c r="I12" s="21" t="n">
        <x:v>-0.047168112915421445</x:v>
      </x:c>
      <x:c r="J12" s="21" t="n">
        <x:v>-0.005598963021639758</x:v>
      </x:c>
      <x:c r="K12" s="21" t="n">
        <x:v>-0.023115975947863077</x:v>
      </x:c>
      <x:c r="L12" s="36" t="n">
        <x:f>IF(Assumptions!$B$4=2030,I12,IF(Assumptions!$B$4=2035,J12,K12))</x:f>
        <x:v>-0.005598963021639758</x:v>
      </x:c>
      <x:c r="M12" s="36" t="n">
        <x:f>Assumptions!$B$19</x:f>
        <x:v>-0.04739891965741583</x:v>
      </x:c>
      <x:c r="N12" s="52" t="n">
        <x:f>H12*L12+(1-H12)*M12+O12</x:f>
        <x:v>-0.022318945675950188</x:v>
      </x:c>
      <x:c r="O12" s="36" t="n">
        <x:f>Assumptions!$B$10</x:f>
        <x:v>0</x:v>
      </x:c>
      <x:c r="P12" s="54" t="n">
        <x:f>E12*(1+N12)</x:f>
        <x:v>21070.0044017376</x:v>
      </x:c>
      <x:c r="Q12" s="54" t="n">
        <x:f>P12-E12</x:f>
        <x:v>-480.9955982624015</x:v>
      </x:c>
      <x:c r="R12" s="16" t="str">
        <x:v>Yes</x:v>
      </x:c>
      <x:c r="S12" s="56" t="n">
        <x:v>17273</x:v>
      </x:c>
      <x:c r="T12" s="56" t="n">
        <x:v>8180</x:v>
      </x:c>
      <x:c r="U12" s="40" t="n">
        <x:f>E12*Assumptions!$B$8</x:f>
        <x:v>18318.35</x:v>
      </x:c>
      <x:c r="V12" s="40" t="n">
        <x:f>P12*Assumptions!$B$8</x:f>
        <x:v>17909.503741476958</x:v>
      </x:c>
      <x:c r="W12" s="54" t="n">
        <x:f>V12-U12</x:f>
        <x:v>-408.8462585230409</x:v>
      </x:c>
      <x:c r="X12" s="58" t="n">
        <x:f>IF(R12="No","",W12*S12)</x:f>
        <x:v>-7062001.4234684855</x:v>
      </x:c>
      <x:c r="Y12" s="58" t="n">
        <x:f>IF(R12="No","",W12*T12*Assumptions!$B$9)</x:f>
        <x:v>-1003308.7184155423</x:v>
      </x:c>
      <x:c r="Z12" s="58" t="n">
        <x:f>IF(R12="No","",X12-Y12)</x:f>
        <x:v>-6058692.705052943</x:v>
      </x:c>
      <x:c r="AA12" s="58" t="n">
        <x:f>IF(R12="No","",MAX(0,-Z12))</x:f>
        <x:v>6058692.705052943</x:v>
      </x:c>
      <x:c r="AB12" s="52" t="n">
        <x:f>IF(OR(R12="No",U12*S12=0),"",AA12/(U12*S12))</x:f>
        <x:v>0.019148060902674978</x:v>
      </x:c>
      <x:c r="AC12" s="54" t="n">
        <x:f>IF(OR(R12="No",S12-T12*Assumptions!$B$9&lt;=0),"",AA12/(Assumptions!$B$8*(S12-T12*Assumptions!$B$9)))</x:f>
        <x:v>480.9955982624011</x:v>
      </x:c>
      <x:c r="AD12" s="52" t="n">
        <x:f>IF(OR(R12="No",U12*S12=0),"",AA12/(U12*S12))</x:f>
        <x:v>0.019148060902674978</x:v>
      </x:c>
      <x:c r="AE12" s="50" t="str">
        <x:f>IF(R12="No","No finance data",IF(AB12&gt;=10%,"Severe",IF(AB12&gt;=5%,"High",IF(AB12&gt;=2%,"Moderate","Low"))))</x:f>
        <x:v>Low</x:v>
      </x:c>
      <x:c r="AF12" s="60" t="n">
        <x:v>32.599378</x:v>
      </x:c>
      <x:c r="AG12" s="60" t="n">
        <x:v>-85.488258</x:v>
      </x:c>
      <x:c r="AH12" s="44" t="str">
        <x:v>Undergraduate tuition-contribution proxy only; not an audited total institutional budget.</x:v>
      </x:c>
    </x:row>
    <x:row r="13">
      <x:c r="A13" s="16" t="n">
        <x:v>100830</x:v>
      </x:c>
      <x:c r="B13" s="16" t="str">
        <x:v>Auburn University at Montgomery</x:v>
      </x:c>
      <x:c r="C13" s="16" t="str">
        <x:v>AL</x:v>
      </x:c>
      <x:c r="D13" s="16" t="str">
        <x:v>Public</x:v>
      </x:c>
      <x:c r="E13" s="34" t="n">
        <x:v>4142</x:v>
      </x:c>
      <x:c r="F13" s="21" t="n">
        <x:v>0.968</x:v>
      </x:c>
      <x:c r="G13" s="16" t="str">
        <x:v>Regional</x:v>
      </x:c>
      <x:c r="H13" s="36" t="n">
        <x:f>IF(G13="National",Assumptions!$B$11,IF(G13="Statewide",Assumptions!$B$12,Assumptions!$B$13))</x:f>
        <x:v>0.85</x:v>
      </x:c>
      <x:c r="I13" s="21" t="n">
        <x:v>-0.047168112915421445</x:v>
      </x:c>
      <x:c r="J13" s="21" t="n">
        <x:v>-0.005598963021639758</x:v>
      </x:c>
      <x:c r="K13" s="21" t="n">
        <x:v>-0.023115975947863077</x:v>
      </x:c>
      <x:c r="L13" s="36" t="n">
        <x:f>IF(Assumptions!$B$4=2030,I13,IF(Assumptions!$B$4=2035,J13,K13))</x:f>
        <x:v>-0.005598963021639758</x:v>
      </x:c>
      <x:c r="M13" s="36" t="n">
        <x:f>Assumptions!$B$19</x:f>
        <x:v>-0.04739891965741583</x:v>
      </x:c>
      <x:c r="N13" s="52" t="n">
        <x:f>H13*L13+(1-H13)*M13+O13</x:f>
        <x:v>-0.01186895651700617</x:v>
      </x:c>
      <x:c r="O13" s="36" t="n">
        <x:f>Assumptions!$B$10</x:f>
        <x:v>0</x:v>
      </x:c>
      <x:c r="P13" s="54" t="n">
        <x:f>E13*(1+N13)</x:f>
        <x:v>4092.8387821065608</x:v>
      </x:c>
      <x:c r="Q13" s="54" t="n">
        <x:f>P13-E13</x:f>
        <x:v>-49.16121789343924</x:v>
      </x:c>
      <x:c r="R13" s="16" t="str">
        <x:v>Yes</x:v>
      </x:c>
      <x:c r="S13" s="56" t="n">
        <x:v>7879</x:v>
      </x:c>
      <x:c r="T13" s="56" t="n">
        <x:v>7040</x:v>
      </x:c>
      <x:c r="U13" s="40" t="n">
        <x:f>E13*Assumptions!$B$8</x:f>
        <x:v>3520.7</x:v>
      </x:c>
      <x:c r="V13" s="40" t="n">
        <x:f>P13*Assumptions!$B$8</x:f>
        <x:v>3478.9129647905766</x:v>
      </x:c>
      <x:c r="W13" s="54" t="n">
        <x:f>V13-U13</x:f>
        <x:v>-41.787035209423266</x:v>
      </x:c>
      <x:c r="X13" s="58" t="n">
        <x:f>IF(R13="No","",W13*S13)</x:f>
        <x:v>-329240.05041504593</x:v>
      </x:c>
      <x:c r="Y13" s="58" t="n">
        <x:f>IF(R13="No","",W13*T13*Assumptions!$B$9)</x:f>
        <x:v>-88254.21836230194</x:v>
      </x:c>
      <x:c r="Z13" s="58" t="n">
        <x:f>IF(R13="No","",X13-Y13)</x:f>
        <x:v>-240985.832052744</x:v>
      </x:c>
      <x:c r="AA13" s="58" t="n">
        <x:f>IF(R13="No","",MAX(0,-Z13))</x:f>
        <x:v>240985.832052744</x:v>
      </x:c>
      <x:c r="AB13" s="52" t="n">
        <x:f>IF(OR(R13="No",U13*S13=0),"",AA13/(U13*S13))</x:f>
        <x:v>0.008687431429568982</x:v>
      </x:c>
      <x:c r="AC13" s="54" t="n">
        <x:f>IF(OR(R13="No",S13-T13*Assumptions!$B$9&lt;=0),"",AA13/(Assumptions!$B$8*(S13-T13*Assumptions!$B$9)))</x:f>
        <x:v>49.161217893439144</x:v>
      </x:c>
      <x:c r="AD13" s="52" t="n">
        <x:f>IF(OR(R13="No",U13*S13=0),"",AA13/(U13*S13))</x:f>
        <x:v>0.008687431429568982</x:v>
      </x:c>
      <x:c r="AE13" s="50" t="str">
        <x:f>IF(R13="No","No finance data",IF(AB13&gt;=10%,"Severe",IF(AB13&gt;=5%,"High",IF(AB13&gt;=2%,"Moderate","Low"))))</x:f>
        <x:v>Low</x:v>
      </x:c>
      <x:c r="AF13" s="60" t="n">
        <x:v>32.36736</x:v>
      </x:c>
      <x:c r="AG13" s="60" t="n">
        <x:v>-86.177544</x:v>
      </x:c>
      <x:c r="AH13" s="44" t="str">
        <x:v>Undergraduate tuition-contribution proxy only; not an audited total institutional budget.</x:v>
      </x:c>
    </x:row>
    <x:row r="14">
      <x:c r="A14" s="16" t="n">
        <x:v>100937</x:v>
      </x:c>
      <x:c r="B14" s="16" t="str">
        <x:v>Birmingham Southern College</x:v>
      </x:c>
      <x:c r="C14" s="16" t="str">
        <x:v>AL</x:v>
      </x:c>
      <x:c r="D14" s="16" t="str">
        <x:v>Private nonprofit</x:v>
      </x:c>
      <x:c r="E14" s="34" t="n">
        <x:v>1346</x:v>
      </x:c>
      <x:c r="F14" s="21" t="n">
        <x:v>0.6591</x:v>
      </x:c>
      <x:c r="G14" s="16" t="str">
        <x:v>Regional</x:v>
      </x:c>
      <x:c r="H14" s="36" t="n">
        <x:f>IF(G14="National",Assumptions!$B$11,IF(G14="Statewide",Assumptions!$B$12,Assumptions!$B$13))</x:f>
        <x:v>0.85</x:v>
      </x:c>
      <x:c r="I14" s="21" t="n">
        <x:v>-0.047168112915421445</x:v>
      </x:c>
      <x:c r="J14" s="21" t="n">
        <x:v>-0.005598963021639758</x:v>
      </x:c>
      <x:c r="K14" s="21" t="n">
        <x:v>-0.023115975947863077</x:v>
      </x:c>
      <x:c r="L14" s="36" t="n">
        <x:f>IF(Assumptions!$B$4=2030,I14,IF(Assumptions!$B$4=2035,J14,K14))</x:f>
        <x:v>-0.005598963021639758</x:v>
      </x:c>
      <x:c r="M14" s="36" t="n">
        <x:f>Assumptions!$B$19</x:f>
        <x:v>-0.04739891965741583</x:v>
      </x:c>
      <x:c r="N14" s="52" t="n">
        <x:f>H14*L14+(1-H14)*M14+O14</x:f>
        <x:v>-0.01186895651700617</x:v>
      </x:c>
      <x:c r="O14" s="36" t="n">
        <x:f>Assumptions!$B$10</x:f>
        <x:v>0</x:v>
      </x:c>
      <x:c r="P14" s="54" t="n">
        <x:f>E14*(1+N14)</x:f>
        <x:v>1330.0243845281097</x:v>
      </x:c>
      <x:c r="Q14" s="54" t="n">
        <x:f>P14-E14</x:f>
        <x:v>-15.97561547189025</x:v>
      </x:c>
      <x:c r="R14" s="16" t="str">
        <x:v>Yes</x:v>
      </x:c>
      <x:c r="S14" s="56" t="n">
        <x:v>10137</x:v>
      </x:c>
      <x:c r="T14" s="56" t="n">
        <x:v>11867</x:v>
      </x:c>
      <x:c r="U14" s="40" t="n">
        <x:f>E14*Assumptions!$B$8</x:f>
        <x:v>1144.1</x:v>
      </x:c>
      <x:c r="V14" s="40" t="n">
        <x:f>P14*Assumptions!$B$8</x:f>
        <x:v>1130.5207268488932</x:v>
      </x:c>
      <x:c r="W14" s="54" t="n">
        <x:f>V14-U14</x:f>
        <x:v>-13.57927315110669</x:v>
      </x:c>
      <x:c r="X14" s="58" t="n">
        <x:f>IF(R14="No","",W14*S14)</x:f>
        <x:v>-137653.09193276853</x:v>
      </x:c>
      <x:c r="Y14" s="58" t="n">
        <x:f>IF(R14="No","",W14*T14*Assumptions!$B$9)</x:f>
        <x:v>-48343.57034525493</x:v>
      </x:c>
      <x:c r="Z14" s="58" t="n">
        <x:f>IF(R14="No","",X14-Y14)</x:f>
        <x:v>-89309.52158751359</x:v>
      </x:c>
      <x:c r="AA14" s="58" t="n">
        <x:f>IF(R14="No","",MAX(0,-Z14))</x:f>
        <x:v>89309.52158751359</x:v>
      </x:c>
      <x:c r="AB14" s="52" t="n">
        <x:f>IF(OR(R14="No",U14*S14=0),"",AA14/(U14*S14))</x:f>
        <x:v>0.007700595848544687</x:v>
      </x:c>
      <x:c r="AC14" s="54" t="n">
        <x:f>IF(OR(R14="No",S14-T14*Assumptions!$B$9&lt;=0),"",AA14/(Assumptions!$B$8*(S14-T14*Assumptions!$B$9)))</x:f>
        <x:v>15.975615471890224</x:v>
      </x:c>
      <x:c r="AD14" s="52" t="n">
        <x:f>IF(OR(R14="No",U14*S14=0),"",AA14/(U14*S14))</x:f>
        <x:v>0.007700595848544687</x:v>
      </x:c>
      <x:c r="AE14" s="50" t="str">
        <x:f>IF(R14="No","No finance data",IF(AB14&gt;=10%,"Severe",IF(AB14&gt;=5%,"High",IF(AB14&gt;=2%,"Moderate","Low"))))</x:f>
        <x:v>Low</x:v>
      </x:c>
      <x:c r="AF14" s="60" t="n">
        <x:v>33.513774</x:v>
      </x:c>
      <x:c r="AG14" s="60" t="n">
        <x:v>-86.850552</x:v>
      </x:c>
      <x:c r="AH14" s="44" t="str">
        <x:v>Undergraduate tuition-contribution proxy only; not an audited total institutional budget.</x:v>
      </x:c>
    </x:row>
    <x:row r="15">
      <x:c r="A15" s="16" t="n">
        <x:v>101189</x:v>
      </x:c>
      <x:c r="B15" s="16" t="str">
        <x:v>Faulkner University</x:v>
      </x:c>
      <x:c r="C15" s="16" t="str">
        <x:v>AL</x:v>
      </x:c>
      <x:c r="D15" s="16" t="str">
        <x:v>Private nonprofit</x:v>
      </x:c>
      <x:c r="E15" s="34" t="n">
        <x:v>2282</x:v>
      </x:c>
      <x:c r="F15" s="21" t="n">
        <x:v>0.646</x:v>
      </x:c>
      <x:c r="G15" s="16" t="str">
        <x:v>Regional</x:v>
      </x:c>
      <x:c r="H15" s="36" t="n">
        <x:f>IF(G15="National",Assumptions!$B$11,IF(G15="Statewide",Assumptions!$B$12,Assumptions!$B$13))</x:f>
        <x:v>0.85</x:v>
      </x:c>
      <x:c r="I15" s="21" t="n">
        <x:v>-0.047168112915421445</x:v>
      </x:c>
      <x:c r="J15" s="21" t="n">
        <x:v>-0.005598963021639758</x:v>
      </x:c>
      <x:c r="K15" s="21" t="n">
        <x:v>-0.023115975947863077</x:v>
      </x:c>
      <x:c r="L15" s="36" t="n">
        <x:f>IF(Assumptions!$B$4=2030,I15,IF(Assumptions!$B$4=2035,J15,K15))</x:f>
        <x:v>-0.005598963021639758</x:v>
      </x:c>
      <x:c r="M15" s="36" t="n">
        <x:f>Assumptions!$B$19</x:f>
        <x:v>-0.04739891965741583</x:v>
      </x:c>
      <x:c r="N15" s="52" t="n">
        <x:f>H15*L15+(1-H15)*M15+O15</x:f>
        <x:v>-0.01186895651700617</x:v>
      </x:c>
      <x:c r="O15" s="36" t="n">
        <x:f>Assumptions!$B$10</x:f>
        <x:v>0</x:v>
      </x:c>
      <x:c r="P15" s="54" t="n">
        <x:f>E15*(1+N15)</x:f>
        <x:v>2254.915041228192</x:v>
      </x:c>
      <x:c r="Q15" s="54" t="n">
        <x:f>P15-E15</x:f>
        <x:v>-27.084958771808033</x:v>
      </x:c>
      <x:c r="R15" s="16" t="str">
        <x:v>Yes</x:v>
      </x:c>
      <x:c r="S15" s="56" t="n">
        <x:v>13718</x:v>
      </x:c>
      <x:c r="T15" s="56" t="n">
        <x:v>7932</x:v>
      </x:c>
      <x:c r="U15" s="40" t="n">
        <x:f>E15*Assumptions!$B$8</x:f>
        <x:v>1939.7</x:v>
      </x:c>
      <x:c r="V15" s="40" t="n">
        <x:f>P15*Assumptions!$B$8</x:f>
        <x:v>1916.677785043963</x:v>
      </x:c>
      <x:c r="W15" s="54" t="n">
        <x:f>V15-U15</x:f>
        <x:v>-23.022214956037033</x:v>
      </x:c>
      <x:c r="X15" s="58" t="n">
        <x:f>IF(R15="No","",W15*S15)</x:f>
        <x:v>-315818.74476691603</x:v>
      </x:c>
      <x:c r="Y15" s="58" t="n">
        <x:f>IF(R15="No","",W15*T15*Assumptions!$B$9)</x:f>
        <x:v>-54783.662709385724</x:v>
      </x:c>
      <x:c r="Z15" s="58" t="n">
        <x:f>IF(R15="No","",X15-Y15)</x:f>
        <x:v>-261035.0820575303</x:v>
      </x:c>
      <x:c r="AA15" s="58" t="n">
        <x:f>IF(R15="No","",MAX(0,-Z15))</x:f>
        <x:v>261035.0820575303</x:v>
      </x:c>
      <x:c r="AB15" s="52" t="n">
        <x:f>IF(OR(R15="No",U15*S15=0),"",AA15/(U15*S15))</x:f>
        <x:v>0.009810101805833483</x:v>
      </x:c>
      <x:c r="AC15" s="54" t="n">
        <x:f>IF(OR(R15="No",S15-T15*Assumptions!$B$9&lt;=0),"",AA15/(Assumptions!$B$8*(S15-T15*Assumptions!$B$9)))</x:f>
        <x:v>27.084958771808274</x:v>
      </x:c>
      <x:c r="AD15" s="52" t="n">
        <x:f>IF(OR(R15="No",U15*S15=0),"",AA15/(U15*S15))</x:f>
        <x:v>0.009810101805833483</x:v>
      </x:c>
      <x:c r="AE15" s="50" t="str">
        <x:f>IF(R15="No","No finance data",IF(AB15&gt;=10%,"Severe",IF(AB15&gt;=5%,"High",IF(AB15&gt;=2%,"Moderate","Low"))))</x:f>
        <x:v>Low</x:v>
      </x:c>
      <x:c r="AF15" s="60" t="n">
        <x:v>32.384181</x:v>
      </x:c>
      <x:c r="AG15" s="60" t="n">
        <x:v>-86.21641</x:v>
      </x:c>
      <x:c r="AH15" s="44" t="str">
        <x:v>Undergraduate tuition-contribution proxy only; not an audited total institutional budget.</x:v>
      </x:c>
    </x:row>
    <x:row r="16">
      <x:c r="A16" s="16" t="n">
        <x:v>101453</x:v>
      </x:c>
      <x:c r="B16" s="16" t="str">
        <x:v>Heritage Christian University</x:v>
      </x:c>
      <x:c r="C16" s="16" t="str">
        <x:v>AL</x:v>
      </x:c>
      <x:c r="D16" s="16" t="str">
        <x:v>Private nonprofit</x:v>
      </x:c>
      <x:c r="E16" s="34" t="n">
        <x:v>58</x:v>
      </x:c>
      <x:c r="F16" s="21"/>
      <x:c r="G16" s="16" t="str">
        <x:v>Regional</x:v>
      </x:c>
      <x:c r="H16" s="36" t="n">
        <x:f>IF(G16="National",Assumptions!$B$11,IF(G16="Statewide",Assumptions!$B$12,Assumptions!$B$13))</x:f>
        <x:v>0.85</x:v>
      </x:c>
      <x:c r="I16" s="21" t="n">
        <x:v>-0.047168112915421445</x:v>
      </x:c>
      <x:c r="J16" s="21" t="n">
        <x:v>-0.005598963021639758</x:v>
      </x:c>
      <x:c r="K16" s="21" t="n">
        <x:v>-0.023115975947863077</x:v>
      </x:c>
      <x:c r="L16" s="36" t="n">
        <x:f>IF(Assumptions!$B$4=2030,I16,IF(Assumptions!$B$4=2035,J16,K16))</x:f>
        <x:v>-0.005598963021639758</x:v>
      </x:c>
      <x:c r="M16" s="36" t="n">
        <x:f>Assumptions!$B$19</x:f>
        <x:v>-0.04739891965741583</x:v>
      </x:c>
      <x:c r="N16" s="52" t="n">
        <x:f>H16*L16+(1-H16)*M16+O16</x:f>
        <x:v>-0.01186895651700617</x:v>
      </x:c>
      <x:c r="O16" s="36" t="n">
        <x:f>Assumptions!$B$10</x:f>
        <x:v>0</x:v>
      </x:c>
      <x:c r="P16" s="54" t="n">
        <x:f>E16*(1+N16)</x:f>
        <x:v>57.31160052201364</x:v>
      </x:c>
      <x:c r="Q16" s="54" t="n">
        <x:f>P16-E16</x:f>
        <x:v>-0.6883994779863585</x:v>
      </x:c>
      <x:c r="R16" s="16" t="str">
        <x:v>No</x:v>
      </x:c>
      <x:c r="S16" s="56"/>
      <x:c r="T16" s="56"/>
      <x:c r="U16" s="40" t="n">
        <x:f>E16*Assumptions!$B$8</x:f>
        <x:v>49.3</x:v>
      </x:c>
      <x:c r="V16" s="40" t="n">
        <x:f>P16*Assumptions!$B$8</x:f>
        <x:v>48.71486044371159</x:v>
      </x:c>
      <x:c r="W16" s="54" t="n">
        <x:f>V16-U16</x:f>
        <x:v>-0.5851395562884036</x:v>
      </x:c>
      <x:c r="X16" s="58" t="str">
        <x:f>IF(R16="No","",W16*S16)</x:f>
      </x:c>
      <x:c r="Y16" s="58" t="str">
        <x:f>IF(R16="No","",W16*T16*Assumptions!$B$9)</x:f>
      </x:c>
      <x:c r="Z16" s="58" t="str">
        <x:f>IF(R16="No","",X16-Y16)</x:f>
      </x:c>
      <x:c r="AA16" s="58" t="str">
        <x:f>IF(R16="No","",MAX(0,-Z16))</x:f>
      </x:c>
      <x:c r="AB16" s="52" t="str">
        <x:f>IF(OR(R16="No",U16*S16=0),"",AA16/(U16*S16))</x:f>
      </x:c>
      <x:c r="AC16" s="54" t="str">
        <x:f>IF(OR(R16="No",S16-T16*Assumptions!$B$9&lt;=0),"",AA16/(Assumptions!$B$8*(S16-T16*Assumptions!$B$9)))</x:f>
      </x:c>
      <x:c r="AD16" s="52" t="str">
        <x:f>IF(OR(R16="No",U16*S16=0),"",AA16/(U16*S16))</x:f>
      </x:c>
      <x:c r="AE16" s="50" t="str">
        <x:f>IF(R16="No","No finance data",IF(AB16&gt;=10%,"Severe",IF(AB16&gt;=5%,"High",IF(AB16&gt;=2%,"Moderate","Low"))))</x:f>
        <x:v>No finance data</x:v>
      </x:c>
      <x:c r="AF16" s="60"/>
      <x:c r="AG16" s="60"/>
      <x:c r="AH16" s="44" t="str">
        <x:v>Undergraduate tuition-contribution proxy only; not an audited total institutional budget.</x:v>
      </x:c>
    </x:row>
    <x:row r="17">
      <x:c r="A17" s="16" t="n">
        <x:v>101435</x:v>
      </x:c>
      <x:c r="B17" s="16" t="str">
        <x:v>Huntingdon College</x:v>
      </x:c>
      <x:c r="C17" s="16" t="str">
        <x:v>AL</x:v>
      </x:c>
      <x:c r="D17" s="16" t="str">
        <x:v>Private nonprofit</x:v>
      </x:c>
      <x:c r="E17" s="34" t="n">
        <x:v>1160</x:v>
      </x:c>
      <x:c r="F17" s="21" t="n">
        <x:v>0.693</x:v>
      </x:c>
      <x:c r="G17" s="16" t="str">
        <x:v>Regional</x:v>
      </x:c>
      <x:c r="H17" s="36" t="n">
        <x:f>IF(G17="National",Assumptions!$B$11,IF(G17="Statewide",Assumptions!$B$12,Assumptions!$B$13))</x:f>
        <x:v>0.85</x:v>
      </x:c>
      <x:c r="I17" s="21" t="n">
        <x:v>-0.047168112915421445</x:v>
      </x:c>
      <x:c r="J17" s="21" t="n">
        <x:v>-0.005598963021639758</x:v>
      </x:c>
      <x:c r="K17" s="21" t="n">
        <x:v>-0.023115975947863077</x:v>
      </x:c>
      <x:c r="L17" s="36" t="n">
        <x:f>IF(Assumptions!$B$4=2030,I17,IF(Assumptions!$B$4=2035,J17,K17))</x:f>
        <x:v>-0.005598963021639758</x:v>
      </x:c>
      <x:c r="M17" s="36" t="n">
        <x:f>Assumptions!$B$19</x:f>
        <x:v>-0.04739891965741583</x:v>
      </x:c>
      <x:c r="N17" s="52" t="n">
        <x:f>H17*L17+(1-H17)*M17+O17</x:f>
        <x:v>-0.01186895651700617</x:v>
      </x:c>
      <x:c r="O17" s="36" t="n">
        <x:f>Assumptions!$B$10</x:f>
        <x:v>0</x:v>
      </x:c>
      <x:c r="P17" s="54" t="n">
        <x:f>E17*(1+N17)</x:f>
        <x:v>1146.232010440273</x:v>
      </x:c>
      <x:c r="Q17" s="54" t="n">
        <x:f>P17-E17</x:f>
        <x:v>-13.767989559727084</x:v>
      </x:c>
      <x:c r="R17" s="16" t="str">
        <x:v>Yes</x:v>
      </x:c>
      <x:c r="S17" s="56" t="n">
        <x:v>13368</x:v>
      </x:c>
      <x:c r="T17" s="56" t="n">
        <x:v>7326</x:v>
      </x:c>
      <x:c r="U17" s="40" t="n">
        <x:f>E17*Assumptions!$B$8</x:f>
        <x:v>986</x:v>
      </x:c>
      <x:c r="V17" s="40" t="n">
        <x:f>P17*Assumptions!$B$8</x:f>
        <x:v>974.297208874232</x:v>
      </x:c>
      <x:c r="W17" s="54" t="n">
        <x:f>V17-U17</x:f>
        <x:v>-11.702791125768044</x:v>
      </x:c>
      <x:c r="X17" s="58" t="n">
        <x:f>IF(R17="No","",W17*S17)</x:f>
        <x:v>-156442.91176926723</x:v>
      </x:c>
      <x:c r="Y17" s="58" t="n">
        <x:f>IF(R17="No","",W17*T17*Assumptions!$B$9)</x:f>
        <x:v>-25720.39433621301</x:v>
      </x:c>
      <x:c r="Z17" s="58" t="n">
        <x:f>IF(R17="No","",X17-Y17)</x:f>
        <x:v>-130722.51743305422</x:v>
      </x:c>
      <x:c r="AA17" s="58" t="n">
        <x:f>IF(R17="No","",MAX(0,-Z17))</x:f>
        <x:v>130722.51743305422</x:v>
      </x:c>
      <x:c r="AB17" s="52" t="n">
        <x:f>IF(OR(R17="No",U17*S17=0),"",AA17/(U17*S17))</x:f>
        <x:v>0.009917610568990267</x:v>
      </x:c>
      <x:c r="AC17" s="54" t="n">
        <x:f>IF(OR(R17="No",S17-T17*Assumptions!$B$9&lt;=0),"",AA17/(Assumptions!$B$8*(S17-T17*Assumptions!$B$9)))</x:f>
        <x:v>13.767989559727113</x:v>
      </x:c>
      <x:c r="AD17" s="52" t="n">
        <x:f>IF(OR(R17="No",U17*S17=0),"",AA17/(U17*S17))</x:f>
        <x:v>0.009917610568990267</x:v>
      </x:c>
      <x:c r="AE17" s="50" t="str">
        <x:f>IF(R17="No","No finance data",IF(AB17&gt;=10%,"Severe",IF(AB17&gt;=5%,"High",IF(AB17&gt;=2%,"Moderate","Low"))))</x:f>
        <x:v>Low</x:v>
      </x:c>
      <x:c r="AF17" s="60" t="n">
        <x:v>32.351034</x:v>
      </x:c>
      <x:c r="AG17" s="60" t="n">
        <x:v>-86.284366</x:v>
      </x:c>
      <x:c r="AH17" s="44" t="str">
        <x:v>Undergraduate tuition-contribution proxy only; not an audited total institutional budget.</x:v>
      </x:c>
    </x:row>
    <x:row r="18">
      <x:c r="A18" s="16" t="n">
        <x:v>449348</x:v>
      </x:c>
      <x:c r="B18" s="16" t="str">
        <x:v>Huntsville Bible College</x:v>
      </x:c>
      <x:c r="C18" s="16" t="str">
        <x:v>AL</x:v>
      </x:c>
      <x:c r="D18" s="16" t="str">
        <x:v>Private nonprofit</x:v>
      </x:c>
      <x:c r="E18" s="34" t="n">
        <x:v>133</x:v>
      </x:c>
      <x:c r="F18" s="21"/>
      <x:c r="G18" s="16" t="str">
        <x:v>Regional</x:v>
      </x:c>
      <x:c r="H18" s="36" t="n">
        <x:f>IF(G18="National",Assumptions!$B$11,IF(G18="Statewide",Assumptions!$B$12,Assumptions!$B$13))</x:f>
        <x:v>0.85</x:v>
      </x:c>
      <x:c r="I18" s="21" t="n">
        <x:v>-0.047168112915421445</x:v>
      </x:c>
      <x:c r="J18" s="21" t="n">
        <x:v>-0.005598963021639758</x:v>
      </x:c>
      <x:c r="K18" s="21" t="n">
        <x:v>-0.023115975947863077</x:v>
      </x:c>
      <x:c r="L18" s="36" t="n">
        <x:f>IF(Assumptions!$B$4=2030,I18,IF(Assumptions!$B$4=2035,J18,K18))</x:f>
        <x:v>-0.005598963021639758</x:v>
      </x:c>
      <x:c r="M18" s="36" t="n">
        <x:f>Assumptions!$B$19</x:f>
        <x:v>-0.04739891965741583</x:v>
      </x:c>
      <x:c r="N18" s="52" t="n">
        <x:f>H18*L18+(1-H18)*M18+O18</x:f>
        <x:v>-0.01186895651700617</x:v>
      </x:c>
      <x:c r="O18" s="36" t="n">
        <x:f>Assumptions!$B$10</x:f>
        <x:v>0</x:v>
      </x:c>
      <x:c r="P18" s="54" t="n">
        <x:f>E18*(1+N18)</x:f>
        <x:v>131.42142878323818</x:v>
      </x:c>
      <x:c r="Q18" s="54" t="n">
        <x:f>P18-E18</x:f>
        <x:v>-1.5785712167618158</x:v>
      </x:c>
      <x:c r="R18" s="16" t="str">
        <x:v>No</x:v>
      </x:c>
      <x:c r="S18" s="56"/>
      <x:c r="T18" s="56"/>
      <x:c r="U18" s="40" t="n">
        <x:f>E18*Assumptions!$B$8</x:f>
        <x:v>113.05</x:v>
      </x:c>
      <x:c r="V18" s="40" t="n">
        <x:f>P18*Assumptions!$B$8</x:f>
        <x:v>111.70821446575245</x:v>
      </x:c>
      <x:c r="W18" s="54" t="n">
        <x:f>V18-U18</x:f>
        <x:v>-1.341785534247549</x:v>
      </x:c>
      <x:c r="X18" s="58" t="str">
        <x:f>IF(R18="No","",W18*S18)</x:f>
      </x:c>
      <x:c r="Y18" s="58" t="str">
        <x:f>IF(R18="No","",W18*T18*Assumptions!$B$9)</x:f>
      </x:c>
      <x:c r="Z18" s="58" t="str">
        <x:f>IF(R18="No","",X18-Y18)</x:f>
      </x:c>
      <x:c r="AA18" s="58" t="str">
        <x:f>IF(R18="No","",MAX(0,-Z18))</x:f>
      </x:c>
      <x:c r="AB18" s="52" t="str">
        <x:f>IF(OR(R18="No",U18*S18=0),"",AA18/(U18*S18))</x:f>
      </x:c>
      <x:c r="AC18" s="54" t="str">
        <x:f>IF(OR(R18="No",S18-T18*Assumptions!$B$9&lt;=0),"",AA18/(Assumptions!$B$8*(S18-T18*Assumptions!$B$9)))</x:f>
      </x:c>
      <x:c r="AD18" s="52" t="str">
        <x:f>IF(OR(R18="No",U18*S18=0),"",AA18/(U18*S18))</x:f>
      </x:c>
      <x:c r="AE18" s="50" t="str">
        <x:f>IF(R18="No","No finance data",IF(AB18&gt;=10%,"Severe",IF(AB18&gt;=5%,"High",IF(AB18&gt;=2%,"Moderate","Low"))))</x:f>
        <x:v>No finance data</x:v>
      </x:c>
      <x:c r="AF18" s="60"/>
      <x:c r="AG18" s="60"/>
      <x:c r="AH18" s="44" t="str">
        <x:v>Undergraduate tuition-contribution proxy only; not an audited total institutional budget.</x:v>
      </x:c>
    </x:row>
    <x:row r="19">
      <x:c r="A19" s="16" t="n">
        <x:v>101480</x:v>
      </x:c>
      <x:c r="B19" s="16" t="str">
        <x:v>Jacksonville State University</x:v>
      </x:c>
      <x:c r="C19" s="16" t="str">
        <x:v>AL</x:v>
      </x:c>
      <x:c r="D19" s="16" t="str">
        <x:v>Public</x:v>
      </x:c>
      <x:c r="E19" s="34" t="n">
        <x:v>6625</x:v>
      </x:c>
      <x:c r="F19" s="21" t="n">
        <x:v>0.7634</x:v>
      </x:c>
      <x:c r="G19" s="16" t="str">
        <x:v>Statewide</x:v>
      </x:c>
      <x:c r="H19" s="36" t="n">
        <x:f>IF(G19="National",Assumptions!$B$11,IF(G19="Statewide",Assumptions!$B$12,Assumptions!$B$13))</x:f>
        <x:v>0.6</x:v>
      </x:c>
      <x:c r="I19" s="21" t="n">
        <x:v>-0.047168112915421445</x:v>
      </x:c>
      <x:c r="J19" s="21" t="n">
        <x:v>-0.005598963021639758</x:v>
      </x:c>
      <x:c r="K19" s="21" t="n">
        <x:v>-0.023115975947863077</x:v>
      </x:c>
      <x:c r="L19" s="36" t="n">
        <x:f>IF(Assumptions!$B$4=2030,I19,IF(Assumptions!$B$4=2035,J19,K19))</x:f>
        <x:v>-0.005598963021639758</x:v>
      </x:c>
      <x:c r="M19" s="36" t="n">
        <x:f>Assumptions!$B$19</x:f>
        <x:v>-0.04739891965741583</x:v>
      </x:c>
      <x:c r="N19" s="52" t="n">
        <x:f>H19*L19+(1-H19)*M19+O19</x:f>
        <x:v>-0.022318945675950188</x:v>
      </x:c>
      <x:c r="O19" s="36" t="n">
        <x:f>Assumptions!$B$10</x:f>
        <x:v>0</x:v>
      </x:c>
      <x:c r="P19" s="54" t="n">
        <x:f>E19*(1+N19)</x:f>
        <x:v>6477.13698489683</x:v>
      </x:c>
      <x:c r="Q19" s="54" t="n">
        <x:f>P19-E19</x:f>
        <x:v>-147.86301510317026</x:v>
      </x:c>
      <x:c r="R19" s="16" t="str">
        <x:v>Yes</x:v>
      </x:c>
      <x:c r="S19" s="56" t="n">
        <x:v>6620</x:v>
      </x:c>
      <x:c r="T19" s="56" t="n">
        <x:v>7545</x:v>
      </x:c>
      <x:c r="U19" s="40" t="n">
        <x:f>E19*Assumptions!$B$8</x:f>
        <x:v>5631.25</x:v>
      </x:c>
      <x:c r="V19" s="40" t="n">
        <x:f>P19*Assumptions!$B$8</x:f>
        <x:v>5505.566437162305</x:v>
      </x:c>
      <x:c r="W19" s="54" t="n">
        <x:f>V19-U19</x:f>
        <x:v>-125.68356283769481</x:v>
      </x:c>
      <x:c r="X19" s="58" t="n">
        <x:f>IF(R19="No","",W19*S19)</x:f>
        <x:v>-832025.1859855396</x:v>
      </x:c>
      <x:c r="Y19" s="58" t="n">
        <x:f>IF(R19="No","",W19*T19*Assumptions!$B$9)</x:f>
        <x:v>-284484.7444831222</x:v>
      </x:c>
      <x:c r="Z19" s="58" t="n">
        <x:f>IF(R19="No","",X19-Y19)</x:f>
        <x:v>-547540.4415024174</x:v>
      </x:c>
      <x:c r="AA19" s="58" t="n">
        <x:f>IF(R19="No","",MAX(0,-Z19))</x:f>
        <x:v>547540.4415024174</x:v>
      </x:c>
      <x:c r="AB19" s="52" t="n">
        <x:f>IF(OR(R19="No",U19*S19=0),"",AA19/(U19*S19))</x:f>
        <x:v>0.014687686833425565</x:v>
      </x:c>
      <x:c r="AC19" s="54" t="n">
        <x:f>IF(OR(R19="No",S19-T19*Assumptions!$B$9&lt;=0),"",AA19/(Assumptions!$B$8*(S19-T19*Assumptions!$B$9)))</x:f>
        <x:v>147.86301510317037</x:v>
      </x:c>
      <x:c r="AD19" s="52" t="n">
        <x:f>IF(OR(R19="No",U19*S19=0),"",AA19/(U19*S19))</x:f>
        <x:v>0.014687686833425565</x:v>
      </x:c>
      <x:c r="AE19" s="50" t="str">
        <x:f>IF(R19="No","No finance data",IF(AB19&gt;=10%,"Severe",IF(AB19&gt;=5%,"High",IF(AB19&gt;=2%,"Moderate","Low"))))</x:f>
        <x:v>Low</x:v>
      </x:c>
      <x:c r="AF19" s="60" t="n">
        <x:v>33.822938</x:v>
      </x:c>
      <x:c r="AG19" s="60" t="n">
        <x:v>-85.765321</x:v>
      </x:c>
      <x:c r="AH19" s="44" t="str">
        <x:v>Undergraduate tuition-contribution proxy only; not an audited total institutional budget.</x:v>
      </x:c>
    </x:row>
    <x:row r="20">
      <x:c r="A20" s="16" t="n">
        <x:v>101541</x:v>
      </x:c>
      <x:c r="B20" s="16" t="str">
        <x:v>Judson College</x:v>
      </x:c>
      <x:c r="C20" s="16" t="str">
        <x:v>AL</x:v>
      </x:c>
      <x:c r="D20" s="16" t="str">
        <x:v>Private nonprofit</x:v>
      </x:c>
      <x:c r="E20" s="34" t="n">
        <x:v>373</x:v>
      </x:c>
      <x:c r="F20" s="21"/>
      <x:c r="G20" s="16" t="str">
        <x:v>Regional</x:v>
      </x:c>
      <x:c r="H20" s="36" t="n">
        <x:f>IF(G20="National",Assumptions!$B$11,IF(G20="Statewide",Assumptions!$B$12,Assumptions!$B$13))</x:f>
        <x:v>0.85</x:v>
      </x:c>
      <x:c r="I20" s="21" t="n">
        <x:v>-0.047168112915421445</x:v>
      </x:c>
      <x:c r="J20" s="21" t="n">
        <x:v>-0.005598963021639758</x:v>
      </x:c>
      <x:c r="K20" s="21" t="n">
        <x:v>-0.023115975947863077</x:v>
      </x:c>
      <x:c r="L20" s="36" t="n">
        <x:f>IF(Assumptions!$B$4=2030,I20,IF(Assumptions!$B$4=2035,J20,K20))</x:f>
        <x:v>-0.005598963021639758</x:v>
      </x:c>
      <x:c r="M20" s="36" t="n">
        <x:f>Assumptions!$B$19</x:f>
        <x:v>-0.04739891965741583</x:v>
      </x:c>
      <x:c r="N20" s="52" t="n">
        <x:f>H20*L20+(1-H20)*M20+O20</x:f>
        <x:v>-0.01186895651700617</x:v>
      </x:c>
      <x:c r="O20" s="36" t="n">
        <x:f>Assumptions!$B$10</x:f>
        <x:v>0</x:v>
      </x:c>
      <x:c r="P20" s="54" t="n">
        <x:f>E20*(1+N20)</x:f>
        <x:v>368.57287921915673</x:v>
      </x:c>
      <x:c r="Q20" s="54" t="n">
        <x:f>P20-E20</x:f>
        <x:v>-4.427120780843268</x:v>
      </x:c>
      <x:c r="R20" s="16" t="str">
        <x:v>No</x:v>
      </x:c>
      <x:c r="S20" s="56"/>
      <x:c r="T20" s="56"/>
      <x:c r="U20" s="40" t="n">
        <x:f>E20*Assumptions!$B$8</x:f>
        <x:v>317.05</x:v>
      </x:c>
      <x:c r="V20" s="40" t="n">
        <x:f>P20*Assumptions!$B$8</x:f>
        <x:v>313.2869473362832</x:v>
      </x:c>
      <x:c r="W20" s="54" t="n">
        <x:f>V20-U20</x:f>
        <x:v>-3.763052663716792</x:v>
      </x:c>
      <x:c r="X20" s="58" t="str">
        <x:f>IF(R20="No","",W20*S20)</x:f>
      </x:c>
      <x:c r="Y20" s="58" t="str">
        <x:f>IF(R20="No","",W20*T20*Assumptions!$B$9)</x:f>
      </x:c>
      <x:c r="Z20" s="58" t="str">
        <x:f>IF(R20="No","",X20-Y20)</x:f>
      </x:c>
      <x:c r="AA20" s="58" t="str">
        <x:f>IF(R20="No","",MAX(0,-Z20))</x:f>
      </x:c>
      <x:c r="AB20" s="52" t="str">
        <x:f>IF(OR(R20="No",U20*S20=0),"",AA20/(U20*S20))</x:f>
      </x:c>
      <x:c r="AC20" s="54" t="str">
        <x:f>IF(OR(R20="No",S20-T20*Assumptions!$B$9&lt;=0),"",AA20/(Assumptions!$B$8*(S20-T20*Assumptions!$B$9)))</x:f>
      </x:c>
      <x:c r="AD20" s="52" t="str">
        <x:f>IF(OR(R20="No",U20*S20=0),"",AA20/(U20*S20))</x:f>
      </x:c>
      <x:c r="AE20" s="50" t="str">
        <x:f>IF(R20="No","No finance data",IF(AB20&gt;=10%,"Severe",IF(AB20&gt;=5%,"High",IF(AB20&gt;=2%,"Moderate","Low"))))</x:f>
        <x:v>No finance data</x:v>
      </x:c>
      <x:c r="AF20" s="60"/>
      <x:c r="AG20" s="60"/>
      <x:c r="AH20" s="44" t="str">
        <x:v>Undergraduate tuition-contribution proxy only; not an audited total institutional budget.</x:v>
      </x:c>
    </x:row>
    <x:row r="21">
      <x:c r="A21" s="16" t="n">
        <x:v>101675</x:v>
      </x:c>
      <x:c r="B21" s="16" t="str">
        <x:v>Miles College</x:v>
      </x:c>
      <x:c r="C21" s="16" t="str">
        <x:v>AL</x:v>
      </x:c>
      <x:c r="D21" s="16" t="str">
        <x:v>Private nonprofit</x:v>
      </x:c>
      <x:c r="E21" s="34" t="n">
        <x:v>1869</x:v>
      </x:c>
      <x:c r="F21" s="21"/>
      <x:c r="G21" s="16" t="str">
        <x:v>Regional</x:v>
      </x:c>
      <x:c r="H21" s="36" t="n">
        <x:f>IF(G21="National",Assumptions!$B$11,IF(G21="Statewide",Assumptions!$B$12,Assumptions!$B$13))</x:f>
        <x:v>0.85</x:v>
      </x:c>
      <x:c r="I21" s="21" t="n">
        <x:v>-0.047168112915421445</x:v>
      </x:c>
      <x:c r="J21" s="21" t="n">
        <x:v>-0.005598963021639758</x:v>
      </x:c>
      <x:c r="K21" s="21" t="n">
        <x:v>-0.023115975947863077</x:v>
      </x:c>
      <x:c r="L21" s="36" t="n">
        <x:f>IF(Assumptions!$B$4=2030,I21,IF(Assumptions!$B$4=2035,J21,K21))</x:f>
        <x:v>-0.005598963021639758</x:v>
      </x:c>
      <x:c r="M21" s="36" t="n">
        <x:f>Assumptions!$B$19</x:f>
        <x:v>-0.04739891965741583</x:v>
      </x:c>
      <x:c r="N21" s="52" t="n">
        <x:f>H21*L21+(1-H21)*M21+O21</x:f>
        <x:v>-0.01186895651700617</x:v>
      </x:c>
      <x:c r="O21" s="36" t="n">
        <x:f>Assumptions!$B$10</x:f>
        <x:v>0</x:v>
      </x:c>
      <x:c r="P21" s="54" t="n">
        <x:f>E21*(1+N21)</x:f>
        <x:v>1846.8169202697154</x:v>
      </x:c>
      <x:c r="Q21" s="54" t="n">
        <x:f>P21-E21</x:f>
        <x:v>-22.18307973028459</x:v>
      </x:c>
      <x:c r="R21" s="16" t="str">
        <x:v>Yes</x:v>
      </x:c>
      <x:c r="S21" s="56" t="n">
        <x:v>4779</x:v>
      </x:c>
      <x:c r="T21" s="56" t="n">
        <x:v>4111</x:v>
      </x:c>
      <x:c r="U21" s="40" t="n">
        <x:f>E21*Assumptions!$B$8</x:f>
        <x:v>1588.6499999999999</x:v>
      </x:c>
      <x:c r="V21" s="40" t="n">
        <x:f>P21*Assumptions!$B$8</x:f>
        <x:v>1569.794382229258</x:v>
      </x:c>
      <x:c r="W21" s="54" t="n">
        <x:f>V21-U21</x:f>
        <x:v>-18.8556177707419</x:v>
      </x:c>
      <x:c r="X21" s="58" t="n">
        <x:f>IF(R21="No","",W21*S21)</x:f>
        <x:v>-90110.99732637554</x:v>
      </x:c>
      <x:c r="Y21" s="58" t="n">
        <x:f>IF(R21="No","",W21*T21*Assumptions!$B$9)</x:f>
        <x:v>-23254.633396655987</x:v>
      </x:c>
      <x:c r="Z21" s="58" t="n">
        <x:f>IF(R21="No","",X21-Y21)</x:f>
        <x:v>-66856.36392971955</x:v>
      </x:c>
      <x:c r="AA21" s="58" t="n">
        <x:f>IF(R21="No","",MAX(0,-Z21))</x:f>
        <x:v>66856.36392971955</x:v>
      </x:c>
      <x:c r="AB21" s="52" t="n">
        <x:f>IF(OR(R21="No",U21*S21=0),"",AA21/(U21*S21))</x:f>
        <x:v>0.008805975961989723</x:v>
      </x:c>
      <x:c r="AC21" s="54" t="n">
        <x:f>IF(OR(R21="No",S21-T21*Assumptions!$B$9&lt;=0),"",AA21/(Assumptions!$B$8*(S21-T21*Assumptions!$B$9)))</x:f>
        <x:v>22.183079730284586</x:v>
      </x:c>
      <x:c r="AD21" s="52" t="n">
        <x:f>IF(OR(R21="No",U21*S21=0),"",AA21/(U21*S21))</x:f>
        <x:v>0.008805975961989723</x:v>
      </x:c>
      <x:c r="AE21" s="50" t="str">
        <x:f>IF(R21="No","No finance data",IF(AB21&gt;=10%,"Severe",IF(AB21&gt;=5%,"High",IF(AB21&gt;=2%,"Moderate","Low"))))</x:f>
        <x:v>Low</x:v>
      </x:c>
      <x:c r="AF21" s="60" t="n">
        <x:v>33.482442</x:v>
      </x:c>
      <x:c r="AG21" s="60" t="n">
        <x:v>-86.908751</x:v>
      </x:c>
      <x:c r="AH21" s="44" t="str">
        <x:v>Undergraduate tuition-contribution proxy only; not an audited total institutional budget.</x:v>
      </x:c>
    </x:row>
    <x:row r="22">
      <x:c r="A22" s="16" t="n">
        <x:v>101912</x:v>
      </x:c>
      <x:c r="B22" s="16" t="str">
        <x:v>Oakwood University</x:v>
      </x:c>
      <x:c r="C22" s="16" t="str">
        <x:v>AL</x:v>
      </x:c>
      <x:c r="D22" s="16" t="str">
        <x:v>Private nonprofit</x:v>
      </x:c>
      <x:c r="E22" s="34" t="n">
        <x:v>1687</x:v>
      </x:c>
      <x:c r="F22" s="21" t="n">
        <x:v>0.7185</x:v>
      </x:c>
      <x:c r="G22" s="16" t="str">
        <x:v>Regional</x:v>
      </x:c>
      <x:c r="H22" s="36" t="n">
        <x:f>IF(G22="National",Assumptions!$B$11,IF(G22="Statewide",Assumptions!$B$12,Assumptions!$B$13))</x:f>
        <x:v>0.85</x:v>
      </x:c>
      <x:c r="I22" s="21" t="n">
        <x:v>-0.047168112915421445</x:v>
      </x:c>
      <x:c r="J22" s="21" t="n">
        <x:v>-0.005598963021639758</x:v>
      </x:c>
      <x:c r="K22" s="21" t="n">
        <x:v>-0.023115975947863077</x:v>
      </x:c>
      <x:c r="L22" s="36" t="n">
        <x:f>IF(Assumptions!$B$4=2030,I22,IF(Assumptions!$B$4=2035,J22,K22))</x:f>
        <x:v>-0.005598963021639758</x:v>
      </x:c>
      <x:c r="M22" s="36" t="n">
        <x:f>Assumptions!$B$19</x:f>
        <x:v>-0.04739891965741583</x:v>
      </x:c>
      <x:c r="N22" s="52" t="n">
        <x:f>H22*L22+(1-H22)*M22+O22</x:f>
        <x:v>-0.01186895651700617</x:v>
      </x:c>
      <x:c r="O22" s="36" t="n">
        <x:f>Assumptions!$B$10</x:f>
        <x:v>0</x:v>
      </x:c>
      <x:c r="P22" s="54" t="n">
        <x:f>E22*(1+N22)</x:f>
        <x:v>1666.9770703558106</x:v>
      </x:c>
      <x:c r="Q22" s="54" t="n">
        <x:f>P22-E22</x:f>
        <x:v>-20.02292964418939</x:v>
      </x:c>
      <x:c r="R22" s="16" t="str">
        <x:v>Yes</x:v>
      </x:c>
      <x:c r="S22" s="56" t="n">
        <x:v>13645</x:v>
      </x:c>
      <x:c r="T22" s="56" t="n">
        <x:v>8317</x:v>
      </x:c>
      <x:c r="U22" s="40" t="n">
        <x:f>E22*Assumptions!$B$8</x:f>
        <x:v>1433.95</x:v>
      </x:c>
      <x:c r="V22" s="40" t="n">
        <x:f>P22*Assumptions!$B$8</x:f>
        <x:v>1416.930509802439</x:v>
      </x:c>
      <x:c r="W22" s="54" t="n">
        <x:f>V22-U22</x:f>
        <x:v>-17.019490197561026</x:v>
      </x:c>
      <x:c r="X22" s="58" t="n">
        <x:f>IF(R22="No","",W22*S22)</x:f>
        <x:v>-232230.9437457202</x:v>
      </x:c>
      <x:c r="Y22" s="58" t="n">
        <x:f>IF(R22="No","",W22*T22*Assumptions!$B$9)</x:f>
        <x:v>-42465.329991934515</x:v>
      </x:c>
      <x:c r="Z22" s="58" t="n">
        <x:f>IF(R22="No","",X22-Y22)</x:f>
        <x:v>-189765.61375378567</x:v>
      </x:c>
      <x:c r="AA22" s="58" t="n">
        <x:f>IF(R22="No","",MAX(0,-Z22))</x:f>
        <x:v>189765.61375378567</x:v>
      </x:c>
      <x:c r="AB22" s="52" t="n">
        <x:f>IF(OR(R22="No",U22*S22=0),"",AA22/(U22*S22))</x:f>
        <x:v>0.009698620613335823</x:v>
      </x:c>
      <x:c r="AC22" s="54" t="n">
        <x:f>IF(OR(R22="No",S22-T22*Assumptions!$B$9&lt;=0),"",AA22/(Assumptions!$B$8*(S22-T22*Assumptions!$B$9)))</x:f>
        <x:v>20.022929644189443</x:v>
      </x:c>
      <x:c r="AD22" s="52" t="n">
        <x:f>IF(OR(R22="No",U22*S22=0),"",AA22/(U22*S22))</x:f>
        <x:v>0.009698620613335823</x:v>
      </x:c>
      <x:c r="AE22" s="50" t="str">
        <x:f>IF(R22="No","No finance data",IF(AB22&gt;=10%,"Severe",IF(AB22&gt;=5%,"High",IF(AB22&gt;=2%,"Moderate","Low"))))</x:f>
        <x:v>Low</x:v>
      </x:c>
      <x:c r="AF22" s="60" t="n">
        <x:v>34.756344</x:v>
      </x:c>
      <x:c r="AG22" s="60" t="n">
        <x:v>-86.652705</x:v>
      </x:c>
      <x:c r="AH22" s="44" t="str">
        <x:v>Undergraduate tuition-contribution proxy only; not an audited total institutional budget.</x:v>
      </x:c>
    </x:row>
    <x:row r="23">
      <x:c r="A23" s="16" t="n">
        <x:v>102049</x:v>
      </x:c>
      <x:c r="B23" s="16" t="str">
        <x:v>Samford University</x:v>
      </x:c>
      <x:c r="C23" s="16" t="str">
        <x:v>AL</x:v>
      </x:c>
      <x:c r="D23" s="16" t="str">
        <x:v>Private nonprofit</x:v>
      </x:c>
      <x:c r="E23" s="34" t="n">
        <x:v>3145</x:v>
      </x:c>
      <x:c r="F23" s="21" t="n">
        <x:v>0.8387</x:v>
      </x:c>
      <x:c r="G23" s="16" t="str">
        <x:v>Regional</x:v>
      </x:c>
      <x:c r="H23" s="36" t="n">
        <x:f>IF(G23="National",Assumptions!$B$11,IF(G23="Statewide",Assumptions!$B$12,Assumptions!$B$13))</x:f>
        <x:v>0.85</x:v>
      </x:c>
      <x:c r="I23" s="21" t="n">
        <x:v>-0.047168112915421445</x:v>
      </x:c>
      <x:c r="J23" s="21" t="n">
        <x:v>-0.005598963021639758</x:v>
      </x:c>
      <x:c r="K23" s="21" t="n">
        <x:v>-0.023115975947863077</x:v>
      </x:c>
      <x:c r="L23" s="36" t="n">
        <x:f>IF(Assumptions!$B$4=2030,I23,IF(Assumptions!$B$4=2035,J23,K23))</x:f>
        <x:v>-0.005598963021639758</x:v>
      </x:c>
      <x:c r="M23" s="36" t="n">
        <x:f>Assumptions!$B$19</x:f>
        <x:v>-0.04739891965741583</x:v>
      </x:c>
      <x:c r="N23" s="52" t="n">
        <x:f>H23*L23+(1-H23)*M23+O23</x:f>
        <x:v>-0.01186895651700617</x:v>
      </x:c>
      <x:c r="O23" s="36" t="n">
        <x:f>Assumptions!$B$10</x:f>
        <x:v>0</x:v>
      </x:c>
      <x:c r="P23" s="54" t="n">
        <x:f>E23*(1+N23)</x:f>
        <x:v>3107.6721317540155</x:v>
      </x:c>
      <x:c r="Q23" s="54" t="n">
        <x:f>P23-E23</x:f>
        <x:v>-37.32786824598452</x:v>
      </x:c>
      <x:c r="R23" s="16" t="str">
        <x:v>Yes</x:v>
      </x:c>
      <x:c r="S23" s="56" t="n">
        <x:v>20237</x:v>
      </x:c>
      <x:c r="T23" s="56" t="n">
        <x:v>14292</x:v>
      </x:c>
      <x:c r="U23" s="40" t="n">
        <x:f>E23*Assumptions!$B$8</x:f>
        <x:v>2673.25</x:v>
      </x:c>
      <x:c r="V23" s="40" t="n">
        <x:f>P23*Assumptions!$B$8</x:f>
        <x:v>2641.521311990913</x:v>
      </x:c>
      <x:c r="W23" s="54" t="n">
        <x:f>V23-U23</x:f>
        <x:v>-31.72868800908691</x:v>
      </x:c>
      <x:c r="X23" s="58" t="n">
        <x:f>IF(R23="No","",W23*S23)</x:f>
        <x:v>-642093.4592398917</x:v>
      </x:c>
      <x:c r="Y23" s="58" t="n">
        <x:f>IF(R23="No","",W23*T23*Assumptions!$B$9)</x:f>
        <x:v>-136039.92270776103</x:v>
      </x:c>
      <x:c r="Z23" s="58" t="n">
        <x:f>IF(R23="No","",X23-Y23)</x:f>
        <x:v>-506053.5365321307</x:v>
      </x:c>
      <x:c r="AA23" s="58" t="n">
        <x:f>IF(R23="No","",MAX(0,-Z23))</x:f>
        <x:v>506053.5365321307</x:v>
      </x:c>
      <x:c r="AB23" s="52" t="n">
        <x:f>IF(OR(R23="No",U23*S23=0),"",AA23/(U23*S23))</x:f>
        <x:v>0.009354288435654452</x:v>
      </x:c>
      <x:c r="AC23" s="54" t="n">
        <x:f>IF(OR(R23="No",S23-T23*Assumptions!$B$9&lt;=0),"",AA23/(Assumptions!$B$8*(S23-T23*Assumptions!$B$9)))</x:f>
        <x:v>37.32786824598459</x:v>
      </x:c>
      <x:c r="AD23" s="52" t="n">
        <x:f>IF(OR(R23="No",U23*S23=0),"",AA23/(U23*S23))</x:f>
        <x:v>0.009354288435654452</x:v>
      </x:c>
      <x:c r="AE23" s="50" t="str">
        <x:f>IF(R23="No","No finance data",IF(AB23&gt;=10%,"Severe",IF(AB23&gt;=5%,"High",IF(AB23&gt;=2%,"Moderate","Low"))))</x:f>
        <x:v>Low</x:v>
      </x:c>
      <x:c r="AF23" s="60" t="n">
        <x:v>33.464128</x:v>
      </x:c>
      <x:c r="AG23" s="60" t="n">
        <x:v>-86.791799</x:v>
      </x:c>
      <x:c r="AH23" s="44" t="str">
        <x:v>Undergraduate tuition-contribution proxy only; not an audited total institutional budget.</x:v>
      </x:c>
    </x:row>
    <x:row r="24">
      <x:c r="A24" s="16" t="n">
        <x:v>102058</x:v>
      </x:c>
      <x:c r="B24" s="16" t="str">
        <x:v>Selma University</x:v>
      </x:c>
      <x:c r="C24" s="16" t="str">
        <x:v>AL</x:v>
      </x:c>
      <x:c r="D24" s="16" t="str">
        <x:v>Private nonprofit</x:v>
      </x:c>
      <x:c r="E24" s="34" t="n">
        <x:v>312</x:v>
      </x:c>
      <x:c r="F24" s="21"/>
      <x:c r="G24" s="16" t="str">
        <x:v>Regional</x:v>
      </x:c>
      <x:c r="H24" s="36" t="n">
        <x:f>IF(G24="National",Assumptions!$B$11,IF(G24="Statewide",Assumptions!$B$12,Assumptions!$B$13))</x:f>
        <x:v>0.85</x:v>
      </x:c>
      <x:c r="I24" s="21" t="n">
        <x:v>-0.047168112915421445</x:v>
      </x:c>
      <x:c r="J24" s="21" t="n">
        <x:v>-0.005598963021639758</x:v>
      </x:c>
      <x:c r="K24" s="21" t="n">
        <x:v>-0.023115975947863077</x:v>
      </x:c>
      <x:c r="L24" s="36" t="n">
        <x:f>IF(Assumptions!$B$4=2030,I24,IF(Assumptions!$B$4=2035,J24,K24))</x:f>
        <x:v>-0.005598963021639758</x:v>
      </x:c>
      <x:c r="M24" s="36" t="n">
        <x:f>Assumptions!$B$19</x:f>
        <x:v>-0.04739891965741583</x:v>
      </x:c>
      <x:c r="N24" s="52" t="n">
        <x:f>H24*L24+(1-H24)*M24+O24</x:f>
        <x:v>-0.01186895651700617</x:v>
      </x:c>
      <x:c r="O24" s="36" t="n">
        <x:f>Assumptions!$B$10</x:f>
        <x:v>0</x:v>
      </x:c>
      <x:c r="P24" s="54" t="n">
        <x:f>E24*(1+N24)</x:f>
        <x:v>308.2968855666941</x:v>
      </x:c>
      <x:c r="Q24" s="54" t="n">
        <x:f>P24-E24</x:f>
        <x:v>-3.7031144333059274</x:v>
      </x:c>
      <x:c r="R24" s="16" t="str">
        <x:v>No</x:v>
      </x:c>
      <x:c r="S24" s="56"/>
      <x:c r="T24" s="56"/>
      <x:c r="U24" s="40" t="n">
        <x:f>E24*Assumptions!$B$8</x:f>
        <x:v>265.2</x:v>
      </x:c>
      <x:c r="V24" s="40" t="n">
        <x:f>P24*Assumptions!$B$8</x:f>
        <x:v>262.05235273168995</x:v>
      </x:c>
      <x:c r="W24" s="54" t="n">
        <x:f>V24-U24</x:f>
        <x:v>-3.1476472683100383</x:v>
      </x:c>
      <x:c r="X24" s="58" t="str">
        <x:f>IF(R24="No","",W24*S24)</x:f>
      </x:c>
      <x:c r="Y24" s="58" t="str">
        <x:f>IF(R24="No","",W24*T24*Assumptions!$B$9)</x:f>
      </x:c>
      <x:c r="Z24" s="58" t="str">
        <x:f>IF(R24="No","",X24-Y24)</x:f>
      </x:c>
      <x:c r="AA24" s="58" t="str">
        <x:f>IF(R24="No","",MAX(0,-Z24))</x:f>
      </x:c>
      <x:c r="AB24" s="52" t="str">
        <x:f>IF(OR(R24="No",U24*S24=0),"",AA24/(U24*S24))</x:f>
      </x:c>
      <x:c r="AC24" s="54" t="str">
        <x:f>IF(OR(R24="No",S24-T24*Assumptions!$B$9&lt;=0),"",AA24/(Assumptions!$B$8*(S24-T24*Assumptions!$B$9)))</x:f>
      </x:c>
      <x:c r="AD24" s="52" t="str">
        <x:f>IF(OR(R24="No",U24*S24=0),"",AA24/(U24*S24))</x:f>
      </x:c>
      <x:c r="AE24" s="50" t="str">
        <x:f>IF(R24="No","No finance data",IF(AB24&gt;=10%,"Severe",IF(AB24&gt;=5%,"High",IF(AB24&gt;=2%,"Moderate","Low"))))</x:f>
        <x:v>No finance data</x:v>
      </x:c>
      <x:c r="AF24" s="60"/>
      <x:c r="AG24" s="60"/>
      <x:c r="AH24" s="44" t="str">
        <x:v>Undergraduate tuition-contribution proxy only; not an audited total institutional budget.</x:v>
      </x:c>
    </x:row>
    <x:row r="25">
      <x:c r="A25" s="16" t="n">
        <x:v>102261</x:v>
      </x:c>
      <x:c r="B25" s="16" t="str">
        <x:v>Southeastern Bible College</x:v>
      </x:c>
      <x:c r="C25" s="16" t="str">
        <x:v>AL</x:v>
      </x:c>
      <x:c r="D25" s="16" t="str">
        <x:v>Private nonprofit</x:v>
      </x:c>
      <x:c r="E25" s="34" t="n">
        <x:v>151</x:v>
      </x:c>
      <x:c r="F25" s="21"/>
      <x:c r="G25" s="16" t="str">
        <x:v>Regional</x:v>
      </x:c>
      <x:c r="H25" s="36" t="n">
        <x:f>IF(G25="National",Assumptions!$B$11,IF(G25="Statewide",Assumptions!$B$12,Assumptions!$B$13))</x:f>
        <x:v>0.85</x:v>
      </x:c>
      <x:c r="I25" s="21" t="n">
        <x:v>-0.047168112915421445</x:v>
      </x:c>
      <x:c r="J25" s="21" t="n">
        <x:v>-0.005598963021639758</x:v>
      </x:c>
      <x:c r="K25" s="21" t="n">
        <x:v>-0.023115975947863077</x:v>
      </x:c>
      <x:c r="L25" s="36" t="n">
        <x:f>IF(Assumptions!$B$4=2030,I25,IF(Assumptions!$B$4=2035,J25,K25))</x:f>
        <x:v>-0.005598963021639758</x:v>
      </x:c>
      <x:c r="M25" s="36" t="n">
        <x:f>Assumptions!$B$19</x:f>
        <x:v>-0.04739891965741583</x:v>
      </x:c>
      <x:c r="N25" s="52" t="n">
        <x:f>H25*L25+(1-H25)*M25+O25</x:f>
        <x:v>-0.01186895651700617</x:v>
      </x:c>
      <x:c r="O25" s="36" t="n">
        <x:f>Assumptions!$B$10</x:f>
        <x:v>0</x:v>
      </x:c>
      <x:c r="P25" s="54" t="n">
        <x:f>E25*(1+N25)</x:f>
        <x:v>149.20778756593208</x:v>
      </x:c>
      <x:c r="Q25" s="54" t="n">
        <x:f>P25-E25</x:f>
        <x:v>-1.7922124340679204</x:v>
      </x:c>
      <x:c r="R25" s="16" t="str">
        <x:v>No</x:v>
      </x:c>
      <x:c r="S25" s="56"/>
      <x:c r="T25" s="56"/>
      <x:c r="U25" s="40" t="n">
        <x:f>E25*Assumptions!$B$8</x:f>
        <x:v>128.35</x:v>
      </x:c>
      <x:c r="V25" s="40" t="n">
        <x:f>P25*Assumptions!$B$8</x:f>
        <x:v>126.82661943104226</x:v>
      </x:c>
      <x:c r="W25" s="54" t="n">
        <x:f>V25-U25</x:f>
        <x:v>-1.5233805689577338</x:v>
      </x:c>
      <x:c r="X25" s="58" t="str">
        <x:f>IF(R25="No","",W25*S25)</x:f>
      </x:c>
      <x:c r="Y25" s="58" t="str">
        <x:f>IF(R25="No","",W25*T25*Assumptions!$B$9)</x:f>
      </x:c>
      <x:c r="Z25" s="58" t="str">
        <x:f>IF(R25="No","",X25-Y25)</x:f>
      </x:c>
      <x:c r="AA25" s="58" t="str">
        <x:f>IF(R25="No","",MAX(0,-Z25))</x:f>
      </x:c>
      <x:c r="AB25" s="52" t="str">
        <x:f>IF(OR(R25="No",U25*S25=0),"",AA25/(U25*S25))</x:f>
      </x:c>
      <x:c r="AC25" s="54" t="str">
        <x:f>IF(OR(R25="No",S25-T25*Assumptions!$B$9&lt;=0),"",AA25/(Assumptions!$B$8*(S25-T25*Assumptions!$B$9)))</x:f>
      </x:c>
      <x:c r="AD25" s="52" t="str">
        <x:f>IF(OR(R25="No",U25*S25=0),"",AA25/(U25*S25))</x:f>
      </x:c>
      <x:c r="AE25" s="50" t="str">
        <x:f>IF(R25="No","No finance data",IF(AB25&gt;=10%,"Severe",IF(AB25&gt;=5%,"High",IF(AB25&gt;=2%,"Moderate","Low"))))</x:f>
        <x:v>No finance data</x:v>
      </x:c>
      <x:c r="AF25" s="60"/>
      <x:c r="AG25" s="60"/>
      <x:c r="AH25" s="44" t="str">
        <x:v>Undergraduate tuition-contribution proxy only; not an audited total institutional budget.</x:v>
      </x:c>
    </x:row>
    <x:row r="26">
      <x:c r="A26" s="16" t="n">
        <x:v>102234</x:v>
      </x:c>
      <x:c r="B26" s="16" t="str">
        <x:v>Spring Hill College</x:v>
      </x:c>
      <x:c r="C26" s="16" t="str">
        <x:v>AL</x:v>
      </x:c>
      <x:c r="D26" s="16" t="str">
        <x:v>Private nonprofit</x:v>
      </x:c>
      <x:c r="E26" s="34" t="n">
        <x:v>1347</x:v>
      </x:c>
      <x:c r="F26" s="21" t="n">
        <x:v>0.7152</x:v>
      </x:c>
      <x:c r="G26" s="16" t="str">
        <x:v>Regional</x:v>
      </x:c>
      <x:c r="H26" s="36" t="n">
        <x:f>IF(G26="National",Assumptions!$B$11,IF(G26="Statewide",Assumptions!$B$12,Assumptions!$B$13))</x:f>
        <x:v>0.85</x:v>
      </x:c>
      <x:c r="I26" s="21" t="n">
        <x:v>-0.047168112915421445</x:v>
      </x:c>
      <x:c r="J26" s="21" t="n">
        <x:v>-0.005598963021639758</x:v>
      </x:c>
      <x:c r="K26" s="21" t="n">
        <x:v>-0.023115975947863077</x:v>
      </x:c>
      <x:c r="L26" s="36" t="n">
        <x:f>IF(Assumptions!$B$4=2030,I26,IF(Assumptions!$B$4=2035,J26,K26))</x:f>
        <x:v>-0.005598963021639758</x:v>
      </x:c>
      <x:c r="M26" s="36" t="n">
        <x:f>Assumptions!$B$19</x:f>
        <x:v>-0.04739891965741583</x:v>
      </x:c>
      <x:c r="N26" s="52" t="n">
        <x:f>H26*L26+(1-H26)*M26+O26</x:f>
        <x:v>-0.01186895651700617</x:v>
      </x:c>
      <x:c r="O26" s="36" t="n">
        <x:f>Assumptions!$B$10</x:f>
        <x:v>0</x:v>
      </x:c>
      <x:c r="P26" s="54" t="n">
        <x:f>E26*(1+N26)</x:f>
        <x:v>1331.0125155715928</x:v>
      </x:c>
      <x:c r="Q26" s="54" t="n">
        <x:f>P26-E26</x:f>
        <x:v>-15.987484428407242</x:v>
      </x:c>
      <x:c r="R26" s="16" t="str">
        <x:v>Yes</x:v>
      </x:c>
      <x:c r="S26" s="56" t="n">
        <x:v>12381</x:v>
      </x:c>
      <x:c r="T26" s="56" t="n">
        <x:v>7490</x:v>
      </x:c>
      <x:c r="U26" s="40" t="n">
        <x:f>E26*Assumptions!$B$8</x:f>
        <x:v>1144.95</x:v>
      </x:c>
      <x:c r="V26" s="40" t="n">
        <x:f>P26*Assumptions!$B$8</x:f>
        <x:v>1131.360638235854</x:v>
      </x:c>
      <x:c r="W26" s="54" t="n">
        <x:f>V26-U26</x:f>
        <x:v>-13.589361764146133</x:v>
      </x:c>
      <x:c r="X26" s="58" t="n">
        <x:f>IF(R26="No","",W26*S26)</x:f>
        <x:v>-168249.88800189327</x:v>
      </x:c>
      <x:c r="Y26" s="58" t="n">
        <x:f>IF(R26="No","",W26*T26*Assumptions!$B$9)</x:f>
        <x:v>-30535.29588403636</x:v>
      </x:c>
      <x:c r="Z26" s="58" t="n">
        <x:f>IF(R26="No","",X26-Y26)</x:f>
        <x:v>-137714.5921178569</x:v>
      </x:c>
      <x:c r="AA26" s="58" t="n">
        <x:f>IF(R26="No","",MAX(0,-Z26))</x:f>
        <x:v>137714.5921178569</x:v>
      </x:c>
      <x:c r="AB26" s="52" t="n">
        <x:f>IF(OR(R26="No",U26*S26=0),"",AA26/(U26*S26))</x:f>
        <x:v>0.009714886143553815</x:v>
      </x:c>
      <x:c r="AC26" s="54" t="n">
        <x:f>IF(OR(R26="No",S26-T26*Assumptions!$B$9&lt;=0),"",AA26/(Assumptions!$B$8*(S26-T26*Assumptions!$B$9)))</x:f>
        <x:v>15.987484428407214</x:v>
      </x:c>
      <x:c r="AD26" s="52" t="n">
        <x:f>IF(OR(R26="No",U26*S26=0),"",AA26/(U26*S26))</x:f>
        <x:v>0.009714886143553815</x:v>
      </x:c>
      <x:c r="AE26" s="50" t="str">
        <x:f>IF(R26="No","No finance data",IF(AB26&gt;=10%,"Severe",IF(AB26&gt;=5%,"High",IF(AB26&gt;=2%,"Moderate","Low"))))</x:f>
        <x:v>Low</x:v>
      </x:c>
      <x:c r="AF26" s="60" t="n">
        <x:v>30.694751</x:v>
      </x:c>
      <x:c r="AG26" s="60" t="n">
        <x:v>-88.138199</x:v>
      </x:c>
      <x:c r="AH26" s="44" t="str">
        <x:v>Undergraduate tuition-contribution proxy only; not an audited total institutional budget.</x:v>
      </x:c>
    </x:row>
    <x:row r="27">
      <x:c r="A27" s="16" t="n">
        <x:v>102270</x:v>
      </x:c>
      <x:c r="B27" s="16" t="str">
        <x:v>Stillman College</x:v>
      </x:c>
      <x:c r="C27" s="16" t="str">
        <x:v>AL</x:v>
      </x:c>
      <x:c r="D27" s="16" t="str">
        <x:v>Private nonprofit</x:v>
      </x:c>
      <x:c r="E27" s="34" t="n">
        <x:v>843</x:v>
      </x:c>
      <x:c r="F27" s="21" t="n">
        <x:v>0.758</x:v>
      </x:c>
      <x:c r="G27" s="16" t="str">
        <x:v>Regional</x:v>
      </x:c>
      <x:c r="H27" s="36" t="n">
        <x:f>IF(G27="National",Assumptions!$B$11,IF(G27="Statewide",Assumptions!$B$12,Assumptions!$B$13))</x:f>
        <x:v>0.85</x:v>
      </x:c>
      <x:c r="I27" s="21" t="n">
        <x:v>-0.047168112915421445</x:v>
      </x:c>
      <x:c r="J27" s="21" t="n">
        <x:v>-0.005598963021639758</x:v>
      </x:c>
      <x:c r="K27" s="21" t="n">
        <x:v>-0.023115975947863077</x:v>
      </x:c>
      <x:c r="L27" s="36" t="n">
        <x:f>IF(Assumptions!$B$4=2030,I27,IF(Assumptions!$B$4=2035,J27,K27))</x:f>
        <x:v>-0.005598963021639758</x:v>
      </x:c>
      <x:c r="M27" s="36" t="n">
        <x:f>Assumptions!$B$19</x:f>
        <x:v>-0.04739891965741583</x:v>
      </x:c>
      <x:c r="N27" s="52" t="n">
        <x:f>H27*L27+(1-H27)*M27+O27</x:f>
        <x:v>-0.01186895651700617</x:v>
      </x:c>
      <x:c r="O27" s="36" t="n">
        <x:f>Assumptions!$B$10</x:f>
        <x:v>0</x:v>
      </x:c>
      <x:c r="P27" s="54" t="n">
        <x:f>E27*(1+N27)</x:f>
        <x:v>832.9944696561638</x:v>
      </x:c>
      <x:c r="Q27" s="54" t="n">
        <x:f>P27-E27</x:f>
        <x:v>-10.005530343836199</x:v>
      </x:c>
      <x:c r="R27" s="16" t="str">
        <x:v>Yes</x:v>
      </x:c>
      <x:c r="S27" s="56" t="n">
        <x:v>8143</x:v>
      </x:c>
      <x:c r="T27" s="56" t="n">
        <x:v>3605</x:v>
      </x:c>
      <x:c r="U27" s="40" t="n">
        <x:f>E27*Assumptions!$B$8</x:f>
        <x:v>716.55</x:v>
      </x:c>
      <x:c r="V27" s="40" t="n">
        <x:f>P27*Assumptions!$B$8</x:f>
        <x:v>708.0452992077392</x:v>
      </x:c>
      <x:c r="W27" s="54" t="n">
        <x:f>V27-U27</x:f>
        <x:v>-8.504700792260792</x:v>
      </x:c>
      <x:c r="X27" s="58" t="n">
        <x:f>IF(R27="No","",W27*S27)</x:f>
        <x:v>-69253.77855137963</x:v>
      </x:c>
      <x:c r="Y27" s="58" t="n">
        <x:f>IF(R27="No","",W27*T27*Assumptions!$B$9)</x:f>
        <x:v>-9197.833906830047</x:v>
      </x:c>
      <x:c r="Z27" s="58" t="n">
        <x:f>IF(R27="No","",X27-Y27)</x:f>
        <x:v>-60055.94464454958</x:v>
      </x:c>
      <x:c r="AA27" s="58" t="n">
        <x:f>IF(R27="No","",MAX(0,-Z27))</x:f>
        <x:v>60055.94464454958</x:v>
      </x:c>
      <x:c r="AB27" s="52" t="n">
        <x:f>IF(OR(R27="No",U27*S27=0),"",AA27/(U27*S27))</x:f>
        <x:v>0.010292599342360221</x:v>
      </x:c>
      <x:c r="AC27" s="54" t="n">
        <x:f>IF(OR(R27="No",S27-T27*Assumptions!$B$9&lt;=0),"",AA27/(Assumptions!$B$8*(S27-T27*Assumptions!$B$9)))</x:f>
        <x:v>10.005530343836226</x:v>
      </x:c>
      <x:c r="AD27" s="52" t="n">
        <x:f>IF(OR(R27="No",U27*S27=0),"",AA27/(U27*S27))</x:f>
        <x:v>0.010292599342360221</x:v>
      </x:c>
      <x:c r="AE27" s="50" t="str">
        <x:f>IF(R27="No","No finance data",IF(AB27&gt;=10%,"Severe",IF(AB27&gt;=5%,"High",IF(AB27&gt;=2%,"Moderate","Low"))))</x:f>
        <x:v>Low</x:v>
      </x:c>
      <x:c r="AF27" s="60" t="n">
        <x:v>33.200006</x:v>
      </x:c>
      <x:c r="AG27" s="60" t="n">
        <x:v>-87.585278</x:v>
      </x:c>
      <x:c r="AH27" s="44" t="str">
        <x:v>Undergraduate tuition-contribution proxy only; not an audited total institutional budget.</x:v>
      </x:c>
    </x:row>
    <x:row r="28">
      <x:c r="A28" s="16" t="n">
        <x:v>102298</x:v>
      </x:c>
      <x:c r="B28" s="16" t="str">
        <x:v>Talladega College</x:v>
      </x:c>
      <x:c r="C28" s="16" t="str">
        <x:v>AL</x:v>
      </x:c>
      <x:c r="D28" s="16" t="str">
        <x:v>Private nonprofit</x:v>
      </x:c>
      <x:c r="E28" s="34" t="n">
        <x:v>919</x:v>
      </x:c>
      <x:c r="F28" s="21"/>
      <x:c r="G28" s="16" t="str">
        <x:v>Regional</x:v>
      </x:c>
      <x:c r="H28" s="36" t="n">
        <x:f>IF(G28="National",Assumptions!$B$11,IF(G28="Statewide",Assumptions!$B$12,Assumptions!$B$13))</x:f>
        <x:v>0.85</x:v>
      </x:c>
      <x:c r="I28" s="21" t="n">
        <x:v>-0.047168112915421445</x:v>
      </x:c>
      <x:c r="J28" s="21" t="n">
        <x:v>-0.005598963021639758</x:v>
      </x:c>
      <x:c r="K28" s="21" t="n">
        <x:v>-0.023115975947863077</x:v>
      </x:c>
      <x:c r="L28" s="36" t="n">
        <x:f>IF(Assumptions!$B$4=2030,I28,IF(Assumptions!$B$4=2035,J28,K28))</x:f>
        <x:v>-0.005598963021639758</x:v>
      </x:c>
      <x:c r="M28" s="36" t="n">
        <x:f>Assumptions!$B$19</x:f>
        <x:v>-0.04739891965741583</x:v>
      </x:c>
      <x:c r="N28" s="52" t="n">
        <x:f>H28*L28+(1-H28)*M28+O28</x:f>
        <x:v>-0.01186895651700617</x:v>
      </x:c>
      <x:c r="O28" s="36" t="n">
        <x:f>Assumptions!$B$10</x:f>
        <x:v>0</x:v>
      </x:c>
      <x:c r="P28" s="54" t="n">
        <x:f>E28*(1+N28)</x:f>
        <x:v>908.0924289608713</x:v>
      </x:c>
      <x:c r="Q28" s="54" t="n">
        <x:f>P28-E28</x:f>
        <x:v>-10.907571039128698</x:v>
      </x:c>
      <x:c r="R28" s="16" t="str">
        <x:v>Yes</x:v>
      </x:c>
      <x:c r="S28" s="56" t="n">
        <x:v>8669</x:v>
      </x:c>
      <x:c r="T28" s="56" t="n">
        <x:v>4273</x:v>
      </x:c>
      <x:c r="U28" s="40" t="n">
        <x:f>E28*Assumptions!$B$8</x:f>
        <x:v>781.15</x:v>
      </x:c>
      <x:c r="V28" s="40" t="n">
        <x:f>P28*Assumptions!$B$8</x:f>
        <x:v>771.8785646167406</x:v>
      </x:c>
      <x:c r="W28" s="54" t="n">
        <x:f>V28-U28</x:f>
        <x:v>-9.271435383259359</x:v>
      </x:c>
      <x:c r="X28" s="58" t="n">
        <x:f>IF(R28="No","",W28*S28)</x:f>
        <x:v>-80374.07333747538</x:v>
      </x:c>
      <x:c r="Y28" s="58" t="n">
        <x:f>IF(R28="No","",W28*T28*Assumptions!$B$9)</x:f>
        <x:v>-11885.05301780017</x:v>
      </x:c>
      <x:c r="Z28" s="58" t="n">
        <x:f>IF(R28="No","",X28-Y28)</x:f>
        <x:v>-68489.02031967521</x:v>
      </x:c>
      <x:c r="AA28" s="58" t="n">
        <x:f>IF(R28="No","",MAX(0,-Z28))</x:f>
        <x:v>68489.02031967521</x:v>
      </x:c>
      <x:c r="AB28" s="52" t="n">
        <x:f>IF(OR(R28="No",U28*S28=0),"",AA28/(U28*S28))</x:f>
        <x:v>0.010113873421014672</x:v>
      </x:c>
      <x:c r="AC28" s="54" t="n">
        <x:f>IF(OR(R28="No",S28-T28*Assumptions!$B$9&lt;=0),"",AA28/(Assumptions!$B$8*(S28-T28*Assumptions!$B$9)))</x:f>
        <x:v>10.907571039128658</x:v>
      </x:c>
      <x:c r="AD28" s="52" t="n">
        <x:f>IF(OR(R28="No",U28*S28=0),"",AA28/(U28*S28))</x:f>
        <x:v>0.010113873421014672</x:v>
      </x:c>
      <x:c r="AE28" s="50" t="str">
        <x:f>IF(R28="No","No finance data",IF(AB28&gt;=10%,"Severe",IF(AB28&gt;=5%,"High",IF(AB28&gt;=2%,"Moderate","Low"))))</x:f>
        <x:v>Low</x:v>
      </x:c>
      <x:c r="AF28" s="60" t="n">
        <x:v>33.433472</x:v>
      </x:c>
      <x:c r="AG28" s="60" t="n">
        <x:v>-86.112704</x:v>
      </x:c>
      <x:c r="AH28" s="44" t="str">
        <x:v>Undergraduate tuition-contribution proxy only; not an audited total institutional budget.</x:v>
      </x:c>
    </x:row>
    <x:row r="29">
      <x:c r="A29" s="16" t="n">
        <x:v>100751</x:v>
      </x:c>
      <x:c r="B29" s="16" t="str">
        <x:v>The University of Alabama</x:v>
      </x:c>
      <x:c r="C29" s="16" t="str">
        <x:v>AL</x:v>
      </x:c>
      <x:c r="D29" s="16" t="str">
        <x:v>Public</x:v>
      </x:c>
      <x:c r="E29" s="34" t="n">
        <x:v>31005</x:v>
      </x:c>
      <x:c r="F29" s="21" t="n">
        <x:v>0.789</x:v>
      </x:c>
      <x:c r="G29" s="16" t="str">
        <x:v>National</x:v>
      </x:c>
      <x:c r="H29" s="36" t="n">
        <x:f>IF(G29="National",Assumptions!$B$11,IF(G29="Statewide",Assumptions!$B$12,Assumptions!$B$13))</x:f>
        <x:v>0.25</x:v>
      </x:c>
      <x:c r="I29" s="21" t="n">
        <x:v>-0.047168112915421445</x:v>
      </x:c>
      <x:c r="J29" s="21" t="n">
        <x:v>-0.005598963021639758</x:v>
      </x:c>
      <x:c r="K29" s="21" t="n">
        <x:v>-0.023115975947863077</x:v>
      </x:c>
      <x:c r="L29" s="36" t="n">
        <x:f>IF(Assumptions!$B$4=2030,I29,IF(Assumptions!$B$4=2035,J29,K29))</x:f>
        <x:v>-0.005598963021639758</x:v>
      </x:c>
      <x:c r="M29" s="36" t="n">
        <x:f>Assumptions!$B$19</x:f>
        <x:v>-0.04739891965741583</x:v>
      </x:c>
      <x:c r="N29" s="52" t="n">
        <x:f>H29*L29+(1-H29)*M29+O29</x:f>
        <x:v>-0.03694893049847181</x:v>
      </x:c>
      <x:c r="O29" s="36" t="n">
        <x:f>Assumptions!$B$10</x:f>
        <x:v>0</x:v>
      </x:c>
      <x:c r="P29" s="54" t="n">
        <x:f>E29*(1+N29)</x:f>
        <x:v>29859.398409894882</x:v>
      </x:c>
      <x:c r="Q29" s="54" t="n">
        <x:f>P29-E29</x:f>
        <x:v>-1145.6015901051178</x:v>
      </x:c>
      <x:c r="R29" s="16" t="str">
        <x:v>Yes</x:v>
      </x:c>
      <x:c r="S29" s="56" t="n">
        <x:v>13731</x:v>
      </x:c>
      <x:c r="T29" s="56" t="n">
        <x:v>8912</x:v>
      </x:c>
      <x:c r="U29" s="40" t="n">
        <x:f>E29*Assumptions!$B$8</x:f>
        <x:v>26354.25</x:v>
      </x:c>
      <x:c r="V29" s="40" t="n">
        <x:f>P29*Assumptions!$B$8</x:f>
        <x:v>25380.48864841065</x:v>
      </x:c>
      <x:c r="W29" s="54" t="n">
        <x:f>V29-U29</x:f>
        <x:v>-973.7613515893499</x:v>
      </x:c>
      <x:c r="X29" s="58" t="n">
        <x:f>IF(R29="No","",W29*S29)</x:f>
        <x:v>-13370717.118673364</x:v>
      </x:c>
      <x:c r="Y29" s="58" t="n">
        <x:f>IF(R29="No","",W29*T29*Assumptions!$B$9)</x:f>
        <x:v>-2603448.3496092856</x:v>
      </x:c>
      <x:c r="Z29" s="58" t="n">
        <x:f>IF(R29="No","",X29-Y29)</x:f>
        <x:v>-10767268.769064078</x:v>
      </x:c>
      <x:c r="AA29" s="58" t="n">
        <x:f>IF(R29="No","",MAX(0,-Z29))</x:f>
        <x:v>10767268.769064078</x:v>
      </x:c>
      <x:c r="AB29" s="52" t="n">
        <x:f>IF(OR(R29="No",U29*S29=0),"",AA29/(U29*S29))</x:f>
        <x:v>0.029754504704231438</x:v>
      </x:c>
      <x:c r="AC29" s="54" t="n">
        <x:f>IF(OR(R29="No",S29-T29*Assumptions!$B$9&lt;=0),"",AA29/(Assumptions!$B$8*(S29-T29*Assumptions!$B$9)))</x:f>
        <x:v>1145.6015901051178</x:v>
      </x:c>
      <x:c r="AD29" s="52" t="n">
        <x:f>IF(OR(R29="No",U29*S29=0),"",AA29/(U29*S29))</x:f>
        <x:v>0.029754504704231438</x:v>
      </x:c>
      <x:c r="AE29" s="50" t="str">
        <x:f>IF(R29="No","No finance data",IF(AB29&gt;=10%,"Severe",IF(AB29&gt;=5%,"High",IF(AB29&gt;=2%,"Moderate","Low"))))</x:f>
        <x:v>Moderate</x:v>
      </x:c>
      <x:c r="AF29" s="60" t="n">
        <x:v>33.211875</x:v>
      </x:c>
      <x:c r="AG29" s="60" t="n">
        <x:v>-87.545978</x:v>
      </x:c>
      <x:c r="AH29" s="44" t="str">
        <x:v>Undergraduate tuition-contribution proxy only; not an audited total institutional budget.</x:v>
      </x:c>
    </x:row>
    <x:row r="30">
      <x:c r="A30" s="16" t="n">
        <x:v>102368</x:v>
      </x:c>
      <x:c r="B30" s="16" t="str">
        <x:v>Troy University</x:v>
      </x:c>
      <x:c r="C30" s="16" t="str">
        <x:v>AL</x:v>
      </x:c>
      <x:c r="D30" s="16" t="str">
        <x:v>Public</x:v>
      </x:c>
      <x:c r="E30" s="34" t="n">
        <x:v>14065</x:v>
      </x:c>
      <x:c r="F30" s="21" t="n">
        <x:v>0.9527</x:v>
      </x:c>
      <x:c r="G30" s="16" t="str">
        <x:v>Statewide</x:v>
      </x:c>
      <x:c r="H30" s="36" t="n">
        <x:f>IF(G30="National",Assumptions!$B$11,IF(G30="Statewide",Assumptions!$B$12,Assumptions!$B$13))</x:f>
        <x:v>0.6</x:v>
      </x:c>
      <x:c r="I30" s="21" t="n">
        <x:v>-0.047168112915421445</x:v>
      </x:c>
      <x:c r="J30" s="21" t="n">
        <x:v>-0.005598963021639758</x:v>
      </x:c>
      <x:c r="K30" s="21" t="n">
        <x:v>-0.023115975947863077</x:v>
      </x:c>
      <x:c r="L30" s="36" t="n">
        <x:f>IF(Assumptions!$B$4=2030,I30,IF(Assumptions!$B$4=2035,J30,K30))</x:f>
        <x:v>-0.005598963021639758</x:v>
      </x:c>
      <x:c r="M30" s="36" t="n">
        <x:f>Assumptions!$B$19</x:f>
        <x:v>-0.04739891965741583</x:v>
      </x:c>
      <x:c r="N30" s="52" t="n">
        <x:f>H30*L30+(1-H30)*M30+O30</x:f>
        <x:v>-0.022318945675950188</x:v>
      </x:c>
      <x:c r="O30" s="36" t="n">
        <x:f>Assumptions!$B$10</x:f>
        <x:v>0</x:v>
      </x:c>
      <x:c r="P30" s="54" t="n">
        <x:f>E30*(1+N30)</x:f>
        <x:v>13751.08402906776</x:v>
      </x:c>
      <x:c r="Q30" s="54" t="n">
        <x:f>P30-E30</x:f>
        <x:v>-313.91597093223936</x:v>
      </x:c>
      <x:c r="R30" s="16" t="str">
        <x:v>Yes</x:v>
      </x:c>
      <x:c r="S30" s="56" t="n">
        <x:v>9483</x:v>
      </x:c>
      <x:c r="T30" s="56" t="n">
        <x:v>6742</x:v>
      </x:c>
      <x:c r="U30" s="40" t="n">
        <x:f>E30*Assumptions!$B$8</x:f>
        <x:v>11955.25</x:v>
      </x:c>
      <x:c r="V30" s="40" t="n">
        <x:f>P30*Assumptions!$B$8</x:f>
        <x:v>11688.421424707596</x:v>
      </x:c>
      <x:c r="W30" s="54" t="n">
        <x:f>V30-U30</x:f>
        <x:v>-266.8285752924039</x:v>
      </x:c>
      <x:c r="X30" s="58" t="n">
        <x:f>IF(R30="No","",W30*S30)</x:f>
        <x:v>-2530335.379497866</x:v>
      </x:c>
      <x:c r="Y30" s="58" t="n">
        <x:f>IF(R30="No","",W30*T30*Assumptions!$B$9)</x:f>
        <x:v>-539687.4763864161</x:v>
      </x:c>
      <x:c r="Z30" s="58" t="n">
        <x:f>IF(R30="No","",X30-Y30)</x:f>
        <x:v>-1990647.90311145</x:v>
      </x:c>
      <x:c r="AA30" s="58" t="n">
        <x:f>IF(R30="No","",MAX(0,-Z30))</x:f>
        <x:v>1990647.90311145</x:v>
      </x:c>
      <x:c r="AB30" s="52" t="n">
        <x:f>IF(OR(R30="No",U30*S30=0),"",AA30/(U30*S30))</x:f>
        <x:v>0.017558606171133504</x:v>
      </x:c>
      <x:c r="AC30" s="54" t="n">
        <x:f>IF(OR(R30="No",S30-T30*Assumptions!$B$9&lt;=0),"",AA30/(Assumptions!$B$8*(S30-T30*Assumptions!$B$9)))</x:f>
        <x:v>313.9159709322399</x:v>
      </x:c>
      <x:c r="AD30" s="52" t="n">
        <x:f>IF(OR(R30="No",U30*S30=0),"",AA30/(U30*S30))</x:f>
        <x:v>0.017558606171133504</x:v>
      </x:c>
      <x:c r="AE30" s="50" t="str">
        <x:f>IF(R30="No","No finance data",IF(AB30&gt;=10%,"Severe",IF(AB30&gt;=5%,"High",IF(AB30&gt;=2%,"Moderate","Low"))))</x:f>
        <x:v>Low</x:v>
      </x:c>
      <x:c r="AF30" s="60" t="n">
        <x:v>31.799583</x:v>
      </x:c>
      <x:c r="AG30" s="60" t="n">
        <x:v>-85.95802</x:v>
      </x:c>
      <x:c r="AH30" s="44" t="str">
        <x:v>Undergraduate tuition-contribution proxy only; not an audited total institutional budget.</x:v>
      </x:c>
    </x:row>
    <x:row r="31">
      <x:c r="A31" s="16" t="n">
        <x:v>102377</x:v>
      </x:c>
      <x:c r="B31" s="16" t="str">
        <x:v>Tuskegee University</x:v>
      </x:c>
      <x:c r="C31" s="16" t="str">
        <x:v>AL</x:v>
      </x:c>
      <x:c r="D31" s="16" t="str">
        <x:v>Private nonprofit</x:v>
      </x:c>
      <x:c r="E31" s="34" t="n">
        <x:v>2486</x:v>
      </x:c>
      <x:c r="F31" s="21" t="n">
        <x:v>0.342</x:v>
      </x:c>
      <x:c r="G31" s="16" t="str">
        <x:v>National</x:v>
      </x:c>
      <x:c r="H31" s="36" t="n">
        <x:f>IF(G31="National",Assumptions!$B$11,IF(G31="Statewide",Assumptions!$B$12,Assumptions!$B$13))</x:f>
        <x:v>0.25</x:v>
      </x:c>
      <x:c r="I31" s="21" t="n">
        <x:v>-0.047168112915421445</x:v>
      </x:c>
      <x:c r="J31" s="21" t="n">
        <x:v>-0.005598963021639758</x:v>
      </x:c>
      <x:c r="K31" s="21" t="n">
        <x:v>-0.023115975947863077</x:v>
      </x:c>
      <x:c r="L31" s="36" t="n">
        <x:f>IF(Assumptions!$B$4=2030,I31,IF(Assumptions!$B$4=2035,J31,K31))</x:f>
        <x:v>-0.005598963021639758</x:v>
      </x:c>
      <x:c r="M31" s="36" t="n">
        <x:f>Assumptions!$B$19</x:f>
        <x:v>-0.04739891965741583</x:v>
      </x:c>
      <x:c r="N31" s="52" t="n">
        <x:f>H31*L31+(1-H31)*M31+O31</x:f>
        <x:v>-0.03694893049847181</x:v>
      </x:c>
      <x:c r="O31" s="36" t="n">
        <x:f>Assumptions!$B$10</x:f>
        <x:v>0</x:v>
      </x:c>
      <x:c r="P31" s="54" t="n">
        <x:f>E31*(1+N31)</x:f>
        <x:v>2394.1449587807992</x:v>
      </x:c>
      <x:c r="Q31" s="54" t="n">
        <x:f>P31-E31</x:f>
        <x:v>-91.85504121920076</x:v>
      </x:c>
      <x:c r="R31" s="16" t="str">
        <x:v>Yes</x:v>
      </x:c>
      <x:c r="S31" s="56" t="n">
        <x:v>14730</x:v>
      </x:c>
      <x:c r="T31" s="56" t="n">
        <x:v>14340</x:v>
      </x:c>
      <x:c r="U31" s="40" t="n">
        <x:f>E31*Assumptions!$B$8</x:f>
        <x:v>2113.1</x:v>
      </x:c>
      <x:c r="V31" s="40" t="n">
        <x:f>P31*Assumptions!$B$8</x:f>
        <x:v>2035.0232149636793</x:v>
      </x:c>
      <x:c r="W31" s="54" t="n">
        <x:f>V31-U31</x:f>
        <x:v>-78.07678503632064</x:v>
      </x:c>
      <x:c r="X31" s="58" t="n">
        <x:f>IF(R31="No","",W31*S31)</x:f>
        <x:v>-1150071.0435850031</x:v>
      </x:c>
      <x:c r="Y31" s="58" t="n">
        <x:f>IF(R31="No","",W31*T31*Assumptions!$B$9)</x:f>
        <x:v>-335886.3292262514</x:v>
      </x:c>
      <x:c r="Z31" s="58" t="n">
        <x:f>IF(R31="No","",X31-Y31)</x:f>
        <x:v>-814184.7143587517</x:v>
      </x:c>
      <x:c r="AA31" s="58" t="n">
        <x:f>IF(R31="No","",MAX(0,-Z31))</x:f>
        <x:v>814184.7143587517</x:v>
      </x:c>
      <x:c r="AB31" s="52" t="n">
        <x:f>IF(OR(R31="No",U31*S31=0),"",AA31/(U31*S31))</x:f>
        <x:v>0.026157735725598326</x:v>
      </x:c>
      <x:c r="AC31" s="54" t="n">
        <x:f>IF(OR(R31="No",S31-T31*Assumptions!$B$9&lt;=0),"",AA31/(Assumptions!$B$8*(S31-T31*Assumptions!$B$9)))</x:f>
        <x:v>91.85504121920076</x:v>
      </x:c>
      <x:c r="AD31" s="52" t="n">
        <x:f>IF(OR(R31="No",U31*S31=0),"",AA31/(U31*S31))</x:f>
        <x:v>0.026157735725598326</x:v>
      </x:c>
      <x:c r="AE31" s="50" t="str">
        <x:f>IF(R31="No","No finance data",IF(AB31&gt;=10%,"Severe",IF(AB31&gt;=5%,"High",IF(AB31&gt;=2%,"Moderate","Low"))))</x:f>
        <x:v>Moderate</x:v>
      </x:c>
      <x:c r="AF31" s="60" t="n">
        <x:v>32.4309</x:v>
      </x:c>
      <x:c r="AG31" s="60" t="n">
        <x:v>-85.708492</x:v>
      </x:c>
      <x:c r="AH31" s="44" t="str">
        <x:v>Undergraduate tuition-contribution proxy only; not an audited total institutional budget.</x:v>
      </x:c>
    </x:row>
    <x:row r="32">
      <x:c r="A32" s="16" t="n">
        <x:v>102395</x:v>
      </x:c>
      <x:c r="B32" s="16" t="str">
        <x:v>United States Sports Academy</x:v>
      </x:c>
      <x:c r="C32" s="16" t="str">
        <x:v>AL</x:v>
      </x:c>
      <x:c r="D32" s="16" t="str">
        <x:v>Private nonprofit</x:v>
      </x:c>
      <x:c r="E32" s="34" t="n">
        <x:v>104</x:v>
      </x:c>
      <x:c r="F32" s="21"/>
      <x:c r="G32" s="16" t="str">
        <x:v>Regional</x:v>
      </x:c>
      <x:c r="H32" s="36" t="n">
        <x:f>IF(G32="National",Assumptions!$B$11,IF(G32="Statewide",Assumptions!$B$12,Assumptions!$B$13))</x:f>
        <x:v>0.85</x:v>
      </x:c>
      <x:c r="I32" s="21" t="n">
        <x:v>-0.047168112915421445</x:v>
      </x:c>
      <x:c r="J32" s="21" t="n">
        <x:v>-0.005598963021639758</x:v>
      </x:c>
      <x:c r="K32" s="21" t="n">
        <x:v>-0.023115975947863077</x:v>
      </x:c>
      <x:c r="L32" s="36" t="n">
        <x:f>IF(Assumptions!$B$4=2030,I32,IF(Assumptions!$B$4=2035,J32,K32))</x:f>
        <x:v>-0.005598963021639758</x:v>
      </x:c>
      <x:c r="M32" s="36" t="n">
        <x:f>Assumptions!$B$19</x:f>
        <x:v>-0.04739891965741583</x:v>
      </x:c>
      <x:c r="N32" s="52" t="n">
        <x:f>H32*L32+(1-H32)*M32+O32</x:f>
        <x:v>-0.01186895651700617</x:v>
      </x:c>
      <x:c r="O32" s="36" t="n">
        <x:f>Assumptions!$B$10</x:f>
        <x:v>0</x:v>
      </x:c>
      <x:c r="P32" s="54" t="n">
        <x:f>E32*(1+N32)</x:f>
        <x:v>102.76562852223137</x:v>
      </x:c>
      <x:c r="Q32" s="54" t="n">
        <x:f>P32-E32</x:f>
        <x:v>-1.234371477768633</x:v>
      </x:c>
      <x:c r="R32" s="16" t="str">
        <x:v>No</x:v>
      </x:c>
      <x:c r="S32" s="56"/>
      <x:c r="T32" s="56"/>
      <x:c r="U32" s="40" t="n">
        <x:f>E32*Assumptions!$B$8</x:f>
        <x:v>88.39999999999999</x:v>
      </x:c>
      <x:c r="V32" s="40" t="n">
        <x:f>P32*Assumptions!$B$8</x:f>
        <x:v>87.35078424389665</x:v>
      </x:c>
      <x:c r="W32" s="54" t="n">
        <x:f>V32-U32</x:f>
        <x:v>-1.0492157561033366</x:v>
      </x:c>
      <x:c r="X32" s="58" t="str">
        <x:f>IF(R32="No","",W32*S32)</x:f>
      </x:c>
      <x:c r="Y32" s="58" t="str">
        <x:f>IF(R32="No","",W32*T32*Assumptions!$B$9)</x:f>
      </x:c>
      <x:c r="Z32" s="58" t="str">
        <x:f>IF(R32="No","",X32-Y32)</x:f>
      </x:c>
      <x:c r="AA32" s="58" t="str">
        <x:f>IF(R32="No","",MAX(0,-Z32))</x:f>
      </x:c>
      <x:c r="AB32" s="52" t="str">
        <x:f>IF(OR(R32="No",U32*S32=0),"",AA32/(U32*S32))</x:f>
      </x:c>
      <x:c r="AC32" s="54" t="str">
        <x:f>IF(OR(R32="No",S32-T32*Assumptions!$B$9&lt;=0),"",AA32/(Assumptions!$B$8*(S32-T32*Assumptions!$B$9)))</x:f>
      </x:c>
      <x:c r="AD32" s="52" t="str">
        <x:f>IF(OR(R32="No",U32*S32=0),"",AA32/(U32*S32))</x:f>
      </x:c>
      <x:c r="AE32" s="50" t="str">
        <x:f>IF(R32="No","No finance data",IF(AB32&gt;=10%,"Severe",IF(AB32&gt;=5%,"High",IF(AB32&gt;=2%,"Moderate","Low"))))</x:f>
        <x:v>No finance data</x:v>
      </x:c>
      <x:c r="AF32" s="60"/>
      <x:c r="AG32" s="60"/>
      <x:c r="AH32" s="44" t="str">
        <x:v>Undergraduate tuition-contribution proxy only; not an audited total institutional budget.</x:v>
      </x:c>
    </x:row>
    <x:row r="33">
      <x:c r="A33" s="16" t="n">
        <x:v>100663</x:v>
      </x:c>
      <x:c r="B33" s="16" t="str">
        <x:v>University of Alabama at Birmingham</x:v>
      </x:c>
      <x:c r="C33" s="16" t="str">
        <x:v>AL</x:v>
      </x:c>
      <x:c r="D33" s="16" t="str">
        <x:v>Public</x:v>
      </x:c>
      <x:c r="E33" s="34" t="n">
        <x:v>11269</x:v>
      </x:c>
      <x:c r="F33" s="21" t="n">
        <x:v>0.8854</x:v>
      </x:c>
      <x:c r="G33" s="16" t="str">
        <x:v>Statewide</x:v>
      </x:c>
      <x:c r="H33" s="36" t="n">
        <x:f>IF(G33="National",Assumptions!$B$11,IF(G33="Statewide",Assumptions!$B$12,Assumptions!$B$13))</x:f>
        <x:v>0.6</x:v>
      </x:c>
      <x:c r="I33" s="21" t="n">
        <x:v>-0.047168112915421445</x:v>
      </x:c>
      <x:c r="J33" s="21" t="n">
        <x:v>-0.005598963021639758</x:v>
      </x:c>
      <x:c r="K33" s="21" t="n">
        <x:v>-0.023115975947863077</x:v>
      </x:c>
      <x:c r="L33" s="36" t="n">
        <x:f>IF(Assumptions!$B$4=2030,I33,IF(Assumptions!$B$4=2035,J33,K33))</x:f>
        <x:v>-0.005598963021639758</x:v>
      </x:c>
      <x:c r="M33" s="36" t="n">
        <x:f>Assumptions!$B$19</x:f>
        <x:v>-0.04739891965741583</x:v>
      </x:c>
      <x:c r="N33" s="52" t="n">
        <x:f>H33*L33+(1-H33)*M33+O33</x:f>
        <x:v>-0.022318945675950188</x:v>
      </x:c>
      <x:c r="O33" s="36" t="n">
        <x:f>Assumptions!$B$10</x:f>
        <x:v>0</x:v>
      </x:c>
      <x:c r="P33" s="54" t="n">
        <x:f>E33*(1+N33)</x:f>
        <x:v>11017.487801177718</x:v>
      </x:c>
      <x:c r="Q33" s="54" t="n">
        <x:f>P33-E33</x:f>
        <x:v>-251.5121988222818</x:v>
      </x:c>
      <x:c r="R33" s="16" t="str">
        <x:v>Yes</x:v>
      </x:c>
      <x:c r="S33" s="56" t="n">
        <x:v>11678</x:v>
      </x:c>
      <x:c r="T33" s="56" t="n">
        <x:v>14264</x:v>
      </x:c>
      <x:c r="U33" s="40" t="n">
        <x:f>E33*Assumptions!$B$8</x:f>
        <x:v>9578.65</x:v>
      </x:c>
      <x:c r="V33" s="40" t="n">
        <x:f>P33*Assumptions!$B$8</x:f>
        <x:v>9364.86463100106</x:v>
      </x:c>
      <x:c r="W33" s="54" t="n">
        <x:f>V33-U33</x:f>
        <x:v>-213.7853689989388</x:v>
      </x:c>
      <x:c r="X33" s="58" t="n">
        <x:f>IF(R33="No","",W33*S33)</x:f>
        <x:v>-2496585.539169607</x:v>
      </x:c>
      <x:c r="Y33" s="58" t="n">
        <x:f>IF(R33="No","",W33*T33*Assumptions!$B$9)</x:f>
        <x:v>-914830.351020259</x:v>
      </x:c>
      <x:c r="Z33" s="58" t="n">
        <x:f>IF(R33="No","",X33-Y33)</x:f>
        <x:v>-1581755.1881493484</x:v>
      </x:c>
      <x:c r="AA33" s="58" t="n">
        <x:f>IF(R33="No","",MAX(0,-Z33))</x:f>
        <x:v>1581755.1881493484</x:v>
      </x:c>
      <x:c r="AB33" s="52" t="n">
        <x:f>IF(OR(R33="No",U33*S33=0),"",AA33/(U33*S33))</x:f>
        <x:v>0.014140556196884665</x:v>
      </x:c>
      <x:c r="AC33" s="54" t="n">
        <x:f>IF(OR(R33="No",S33-T33*Assumptions!$B$9&lt;=0),"",AA33/(Assumptions!$B$8*(S33-T33*Assumptions!$B$9)))</x:f>
        <x:v>251.51219882228096</x:v>
      </x:c>
      <x:c r="AD33" s="52" t="n">
        <x:f>IF(OR(R33="No",U33*S33=0),"",AA33/(U33*S33))</x:f>
        <x:v>0.014140556196884665</x:v>
      </x:c>
      <x:c r="AE33" s="50" t="str">
        <x:f>IF(R33="No","No finance data",IF(AB33&gt;=10%,"Severe",IF(AB33&gt;=5%,"High",IF(AB33&gt;=2%,"Moderate","Low"))))</x:f>
        <x:v>Low</x:v>
      </x:c>
      <x:c r="AF33" s="60" t="n">
        <x:v>33.505697</x:v>
      </x:c>
      <x:c r="AG33" s="60" t="n">
        <x:v>-86.799345</x:v>
      </x:c>
      <x:c r="AH33" s="44" t="str">
        <x:v>Undergraduate tuition-contribution proxy only; not an audited total institutional budget.</x:v>
      </x:c>
    </x:row>
    <x:row r="34">
      <x:c r="A34" s="16" t="n">
        <x:v>100706</x:v>
      </x:c>
      <x:c r="B34" s="16" t="str">
        <x:v>University of Alabama in Huntsville</x:v>
      </x:c>
      <x:c r="C34" s="16" t="str">
        <x:v>AL</x:v>
      </x:c>
      <x:c r="D34" s="16" t="str">
        <x:v>Public</x:v>
      </x:c>
      <x:c r="E34" s="34" t="n">
        <x:v>5829</x:v>
      </x:c>
      <x:c r="F34" s="21" t="n">
        <x:v>0.7367</x:v>
      </x:c>
      <x:c r="G34" s="16" t="str">
        <x:v>Statewide</x:v>
      </x:c>
      <x:c r="H34" s="36" t="n">
        <x:f>IF(G34="National",Assumptions!$B$11,IF(G34="Statewide",Assumptions!$B$12,Assumptions!$B$13))</x:f>
        <x:v>0.6</x:v>
      </x:c>
      <x:c r="I34" s="21" t="n">
        <x:v>-0.047168112915421445</x:v>
      </x:c>
      <x:c r="J34" s="21" t="n">
        <x:v>-0.005598963021639758</x:v>
      </x:c>
      <x:c r="K34" s="21" t="n">
        <x:v>-0.023115975947863077</x:v>
      </x:c>
      <x:c r="L34" s="36" t="n">
        <x:f>IF(Assumptions!$B$4=2030,I34,IF(Assumptions!$B$4=2035,J34,K34))</x:f>
        <x:v>-0.005598963021639758</x:v>
      </x:c>
      <x:c r="M34" s="36" t="n">
        <x:f>Assumptions!$B$19</x:f>
        <x:v>-0.04739891965741583</x:v>
      </x:c>
      <x:c r="N34" s="52" t="n">
        <x:f>H34*L34+(1-H34)*M34+O34</x:f>
        <x:v>-0.022318945675950188</x:v>
      </x:c>
      <x:c r="O34" s="36" t="n">
        <x:f>Assumptions!$B$10</x:f>
        <x:v>0</x:v>
      </x:c>
      <x:c r="P34" s="54" t="n">
        <x:f>E34*(1+N34)</x:f>
        <x:v>5698.902865654886</x:v>
      </x:c>
      <x:c r="Q34" s="54" t="n">
        <x:f>P34-E34</x:f>
        <x:v>-130.09713434511377</x:v>
      </x:c>
      <x:c r="R34" s="16" t="str">
        <x:v>Yes</x:v>
      </x:c>
      <x:c r="S34" s="56" t="n">
        <x:v>8246</x:v>
      </x:c>
      <x:c r="T34" s="56" t="n">
        <x:v>8156</x:v>
      </x:c>
      <x:c r="U34" s="40" t="n">
        <x:f>E34*Assumptions!$B$8</x:f>
        <x:v>4954.65</x:v>
      </x:c>
      <x:c r="V34" s="40" t="n">
        <x:f>P34*Assumptions!$B$8</x:f>
        <x:v>4844.0674358066535</x:v>
      </x:c>
      <x:c r="W34" s="54" t="n">
        <x:f>V34-U34</x:f>
        <x:v>-110.58256419334612</x:v>
      </x:c>
      <x:c r="X34" s="58" t="n">
        <x:f>IF(R34="No","",W34*S34)</x:f>
        <x:v>-911863.824338332</x:v>
      </x:c>
      <x:c r="Y34" s="58" t="n">
        <x:f>IF(R34="No","",W34*T34*Assumptions!$B$9)</x:f>
        <x:v>-270573.4180682793</x:v>
      </x:c>
      <x:c r="Z34" s="58" t="n">
        <x:f>IF(R34="No","",X34-Y34)</x:f>
        <x:v>-641290.4062700528</x:v>
      </x:c>
      <x:c r="AA34" s="58" t="n">
        <x:f>IF(R34="No","",MAX(0,-Z34))</x:f>
        <x:v>641290.4062700528</x:v>
      </x:c>
      <x:c r="AB34" s="52" t="n">
        <x:f>IF(OR(R34="No",U34*S34=0),"",AA34/(U34*S34))</x:f>
        <x:v>0.01569634122774312</x:v>
      </x:c>
      <x:c r="AC34" s="54" t="n">
        <x:f>IF(OR(R34="No",S34-T34*Assumptions!$B$9&lt;=0),"",AA34/(Assumptions!$B$8*(S34-T34*Assumptions!$B$9)))</x:f>
        <x:v>130.09713434511306</x:v>
      </x:c>
      <x:c r="AD34" s="52" t="n">
        <x:f>IF(OR(R34="No",U34*S34=0),"",AA34/(U34*S34))</x:f>
        <x:v>0.01569634122774312</x:v>
      </x:c>
      <x:c r="AE34" s="50" t="str">
        <x:f>IF(R34="No","No finance data",IF(AB34&gt;=10%,"Severe",IF(AB34&gt;=5%,"High",IF(AB34&gt;=2%,"Moderate","Low"))))</x:f>
        <x:v>Low</x:v>
      </x:c>
      <x:c r="AF34" s="60" t="n">
        <x:v>34.724557</x:v>
      </x:c>
      <x:c r="AG34" s="60" t="n">
        <x:v>-86.640449</x:v>
      </x:c>
      <x:c r="AH34" s="44" t="str">
        <x:v>Undergraduate tuition-contribution proxy only; not an audited total institutional budget.</x:v>
      </x:c>
    </x:row>
    <x:row r="35">
      <x:c r="A35" s="16" t="n">
        <x:v>101693</x:v>
      </x:c>
      <x:c r="B35" s="16" t="str">
        <x:v>University of Mobile</x:v>
      </x:c>
      <x:c r="C35" s="16" t="str">
        <x:v>AL</x:v>
      </x:c>
      <x:c r="D35" s="16" t="str">
        <x:v>Private nonprofit</x:v>
      </x:c>
      <x:c r="E35" s="34" t="n">
        <x:v>1437</x:v>
      </x:c>
      <x:c r="F35" s="21" t="n">
        <x:v>0.6409</x:v>
      </x:c>
      <x:c r="G35" s="16" t="str">
        <x:v>Regional</x:v>
      </x:c>
      <x:c r="H35" s="36" t="n">
        <x:f>IF(G35="National",Assumptions!$B$11,IF(G35="Statewide",Assumptions!$B$12,Assumptions!$B$13))</x:f>
        <x:v>0.85</x:v>
      </x:c>
      <x:c r="I35" s="21" t="n">
        <x:v>-0.047168112915421445</x:v>
      </x:c>
      <x:c r="J35" s="21" t="n">
        <x:v>-0.005598963021639758</x:v>
      </x:c>
      <x:c r="K35" s="21" t="n">
        <x:v>-0.023115975947863077</x:v>
      </x:c>
      <x:c r="L35" s="36" t="n">
        <x:f>IF(Assumptions!$B$4=2030,I35,IF(Assumptions!$B$4=2035,J35,K35))</x:f>
        <x:v>-0.005598963021639758</x:v>
      </x:c>
      <x:c r="M35" s="36" t="n">
        <x:f>Assumptions!$B$19</x:f>
        <x:v>-0.04739891965741583</x:v>
      </x:c>
      <x:c r="N35" s="52" t="n">
        <x:f>H35*L35+(1-H35)*M35+O35</x:f>
        <x:v>-0.01186895651700617</x:v>
      </x:c>
      <x:c r="O35" s="36" t="n">
        <x:f>Assumptions!$B$10</x:f>
        <x:v>0</x:v>
      </x:c>
      <x:c r="P35" s="54" t="n">
        <x:f>E35*(1+N35)</x:f>
        <x:v>1419.9443094850621</x:v>
      </x:c>
      <x:c r="Q35" s="54" t="n">
        <x:f>P35-E35</x:f>
        <x:v>-17.05569051493785</x:v>
      </x:c>
      <x:c r="R35" s="16" t="str">
        <x:v>Yes</x:v>
      </x:c>
      <x:c r="S35" s="56" t="n">
        <x:v>9788</x:v>
      </x:c>
      <x:c r="T35" s="56" t="n">
        <x:v>6500</x:v>
      </x:c>
      <x:c r="U35" s="40" t="n">
        <x:f>E35*Assumptions!$B$8</x:f>
        <x:v>1221.45</x:v>
      </x:c>
      <x:c r="V35" s="40" t="n">
        <x:f>P35*Assumptions!$B$8</x:f>
        <x:v>1206.9526630623027</x:v>
      </x:c>
      <x:c r="W35" s="54" t="n">
        <x:f>V35-U35</x:f>
        <x:v>-14.497336937697355</x:v>
      </x:c>
      <x:c r="X35" s="58" t="n">
        <x:f>IF(R35="No","",W35*S35)</x:f>
        <x:v>-141899.9339461817</x:v>
      </x:c>
      <x:c r="Y35" s="58" t="n">
        <x:f>IF(R35="No","",W35*T35*Assumptions!$B$9)</x:f>
        <x:v>-28269.807028509844</x:v>
      </x:c>
      <x:c r="Z35" s="58" t="n">
        <x:f>IF(R35="No","",X35-Y35)</x:f>
        <x:v>-113630.12691767185</x:v>
      </x:c>
      <x:c r="AA35" s="58" t="n">
        <x:f>IF(R35="No","",MAX(0,-Z35))</x:f>
        <x:v>113630.12691767185</x:v>
      </x:c>
      <x:c r="AB35" s="52" t="n">
        <x:f>IF(OR(R35="No",U35*S35=0),"",AA35/(U35*S35))</x:f>
        <x:v>0.009504380995126219</x:v>
      </x:c>
      <x:c r="AC35" s="54" t="n">
        <x:f>IF(OR(R35="No",S35-T35*Assumptions!$B$9&lt;=0),"",AA35/(Assumptions!$B$8*(S35-T35*Assumptions!$B$9)))</x:f>
        <x:v>17.05569051493806</x:v>
      </x:c>
      <x:c r="AD35" s="52" t="n">
        <x:f>IF(OR(R35="No",U35*S35=0),"",AA35/(U35*S35))</x:f>
        <x:v>0.009504380995126219</x:v>
      </x:c>
      <x:c r="AE35" s="50" t="str">
        <x:f>IF(R35="No","No finance data",IF(AB35&gt;=10%,"Severe",IF(AB35&gt;=5%,"High",IF(AB35&gt;=2%,"Moderate","Low"))))</x:f>
        <x:v>Low</x:v>
      </x:c>
      <x:c r="AF35" s="60" t="n">
        <x:v>30.793247</x:v>
      </x:c>
      <x:c r="AG35" s="60" t="n">
        <x:v>-88.128934</x:v>
      </x:c>
      <x:c r="AH35" s="44" t="str">
        <x:v>Undergraduate tuition-contribution proxy only; not an audited total institutional budget.</x:v>
      </x:c>
    </x:row>
    <x:row r="36">
      <x:c r="A36" s="16" t="n">
        <x:v>101709</x:v>
      </x:c>
      <x:c r="B36" s="16" t="str">
        <x:v>University of Montevallo</x:v>
      </x:c>
      <x:c r="C36" s="16" t="str">
        <x:v>AL</x:v>
      </x:c>
      <x:c r="D36" s="16" t="str">
        <x:v>Public</x:v>
      </x:c>
      <x:c r="E36" s="34" t="n">
        <x:v>2553</x:v>
      </x:c>
      <x:c r="F36" s="21" t="n">
        <x:v>0.9009</x:v>
      </x:c>
      <x:c r="G36" s="16" t="str">
        <x:v>Regional</x:v>
      </x:c>
      <x:c r="H36" s="36" t="n">
        <x:f>IF(G36="National",Assumptions!$B$11,IF(G36="Statewide",Assumptions!$B$12,Assumptions!$B$13))</x:f>
        <x:v>0.85</x:v>
      </x:c>
      <x:c r="I36" s="21" t="n">
        <x:v>-0.047168112915421445</x:v>
      </x:c>
      <x:c r="J36" s="21" t="n">
        <x:v>-0.005598963021639758</x:v>
      </x:c>
      <x:c r="K36" s="21" t="n">
        <x:v>-0.023115975947863077</x:v>
      </x:c>
      <x:c r="L36" s="36" t="n">
        <x:f>IF(Assumptions!$B$4=2030,I36,IF(Assumptions!$B$4=2035,J36,K36))</x:f>
        <x:v>-0.005598963021639758</x:v>
      </x:c>
      <x:c r="M36" s="36" t="n">
        <x:f>Assumptions!$B$19</x:f>
        <x:v>-0.04739891965741583</x:v>
      </x:c>
      <x:c r="N36" s="52" t="n">
        <x:f>H36*L36+(1-H36)*M36+O36</x:f>
        <x:v>-0.01186895651700617</x:v>
      </x:c>
      <x:c r="O36" s="36" t="n">
        <x:f>Assumptions!$B$10</x:f>
        <x:v>0</x:v>
      </x:c>
      <x:c r="P36" s="54" t="n">
        <x:f>E36*(1+N36)</x:f>
        <x:v>2522.698554012083</x:v>
      </x:c>
      <x:c r="Q36" s="54" t="n">
        <x:f>P36-E36</x:f>
        <x:v>-30.30144598791685</x:v>
      </x:c>
      <x:c r="R36" s="16" t="str">
        <x:v>Yes</x:v>
      </x:c>
      <x:c r="S36" s="56" t="n">
        <x:v>9324</x:v>
      </x:c>
      <x:c r="T36" s="56" t="n">
        <x:v>12702</x:v>
      </x:c>
      <x:c r="U36" s="40" t="n">
        <x:f>E36*Assumptions!$B$8</x:f>
        <x:v>2170.0499999999997</x:v>
      </x:c>
      <x:c r="V36" s="40" t="n">
        <x:f>P36*Assumptions!$B$8</x:f>
        <x:v>2144.2937709102707</x:v>
      </x:c>
      <x:c r="W36" s="54" t="n">
        <x:f>V36-U36</x:f>
        <x:v>-25.756229089729004</x:v>
      </x:c>
      <x:c r="X36" s="58" t="n">
        <x:f>IF(R36="No","",W36*S36)</x:f>
        <x:v>-240151.08003263324</x:v>
      </x:c>
      <x:c r="Y36" s="58" t="n">
        <x:f>IF(R36="No","",W36*T36*Assumptions!$B$9)</x:f>
        <x:v>-98146.68656932133</x:v>
      </x:c>
      <x:c r="Z36" s="58" t="n">
        <x:f>IF(R36="No","",X36-Y36)</x:f>
        <x:v>-142004.3934633119</x:v>
      </x:c>
      <x:c r="AA36" s="58" t="n">
        <x:f>IF(R36="No","",MAX(0,-Z36))</x:f>
        <x:v>142004.3934633119</x:v>
      </x:c>
      <x:c r="AB36" s="52" t="n">
        <x:f>IF(OR(R36="No",U36*S36=0),"",AA36/(U36*S36))</x:f>
        <x:v>0.007018265214592581</x:v>
      </x:c>
      <x:c r="AC36" s="54" t="n">
        <x:f>IF(OR(R36="No",S36-T36*Assumptions!$B$9&lt;=0),"",AA36/(Assumptions!$B$8*(S36-T36*Assumptions!$B$9)))</x:f>
        <x:v>30.30144598791648</x:v>
      </x:c>
      <x:c r="AD36" s="52" t="n">
        <x:f>IF(OR(R36="No",U36*S36=0),"",AA36/(U36*S36))</x:f>
        <x:v>0.007018265214592581</x:v>
      </x:c>
      <x:c r="AE36" s="50" t="str">
        <x:f>IF(R36="No","No finance data",IF(AB36&gt;=10%,"Severe",IF(AB36&gt;=5%,"High",IF(AB36&gt;=2%,"Moderate","Low"))))</x:f>
        <x:v>Low</x:v>
      </x:c>
      <x:c r="AF36" s="60" t="n">
        <x:v>33.10625</x:v>
      </x:c>
      <x:c r="AG36" s="60" t="n">
        <x:v>-86.865099</x:v>
      </x:c>
      <x:c r="AH36" s="44" t="str">
        <x:v>Undergraduate tuition-contribution proxy only; not an audited total institutional budget.</x:v>
      </x:c>
    </x:row>
    <x:row r="37">
      <x:c r="A37" s="16" t="n">
        <x:v>101879</x:v>
      </x:c>
      <x:c r="B37" s="16" t="str">
        <x:v>University of North Alabama</x:v>
      </x:c>
      <x:c r="C37" s="16" t="str">
        <x:v>AL</x:v>
      </x:c>
      <x:c r="D37" s="16" t="str">
        <x:v>Public</x:v>
      </x:c>
      <x:c r="E37" s="34" t="n">
        <x:v>5698</x:v>
      </x:c>
      <x:c r="F37" s="21" t="n">
        <x:v>0.8997</x:v>
      </x:c>
      <x:c r="G37" s="16" t="str">
        <x:v>Statewide</x:v>
      </x:c>
      <x:c r="H37" s="36" t="n">
        <x:f>IF(G37="National",Assumptions!$B$11,IF(G37="Statewide",Assumptions!$B$12,Assumptions!$B$13))</x:f>
        <x:v>0.6</x:v>
      </x:c>
      <x:c r="I37" s="21" t="n">
        <x:v>-0.047168112915421445</x:v>
      </x:c>
      <x:c r="J37" s="21" t="n">
        <x:v>-0.005598963021639758</x:v>
      </x:c>
      <x:c r="K37" s="21" t="n">
        <x:v>-0.023115975947863077</x:v>
      </x:c>
      <x:c r="L37" s="36" t="n">
        <x:f>IF(Assumptions!$B$4=2030,I37,IF(Assumptions!$B$4=2035,J37,K37))</x:f>
        <x:v>-0.005598963021639758</x:v>
      </x:c>
      <x:c r="M37" s="36" t="n">
        <x:f>Assumptions!$B$19</x:f>
        <x:v>-0.04739891965741583</x:v>
      </x:c>
      <x:c r="N37" s="52" t="n">
        <x:f>H37*L37+(1-H37)*M37+O37</x:f>
        <x:v>-0.022318945675950188</x:v>
      </x:c>
      <x:c r="O37" s="36" t="n">
        <x:f>Assumptions!$B$10</x:f>
        <x:v>0</x:v>
      </x:c>
      <x:c r="P37" s="54" t="n">
        <x:f>E37*(1+N37)</x:f>
        <x:v>5570.826647538436</x:v>
      </x:c>
      <x:c r="Q37" s="54" t="n">
        <x:f>P37-E37</x:f>
        <x:v>-127.17335246156381</x:v>
      </x:c>
      <x:c r="R37" s="16" t="str">
        <x:v>Yes</x:v>
      </x:c>
      <x:c r="S37" s="56" t="n">
        <x:v>7620</x:v>
      </x:c>
      <x:c r="T37" s="56" t="n">
        <x:v>8346</x:v>
      </x:c>
      <x:c r="U37" s="40" t="n">
        <x:f>E37*Assumptions!$B$8</x:f>
        <x:v>4843.3</x:v>
      </x:c>
      <x:c r="V37" s="40" t="n">
        <x:f>P37*Assumptions!$B$8</x:f>
        <x:v>4735.20265040767</x:v>
      </x:c>
      <x:c r="W37" s="54" t="n">
        <x:f>V37-U37</x:f>
        <x:v>-108.09734959232992</x:v>
      </x:c>
      <x:c r="X37" s="58" t="n">
        <x:f>IF(R37="No","",W37*S37)</x:f>
        <x:v>-823701.803893554</x:v>
      </x:c>
      <x:c r="Y37" s="58" t="n">
        <x:f>IF(R37="No","",W37*T37*Assumptions!$B$9)</x:f>
        <x:v>-270654.14390927565</x:v>
      </x:c>
      <x:c r="Z37" s="58" t="n">
        <x:f>IF(R37="No","",X37-Y37)</x:f>
        <x:v>-553047.6599842784</x:v>
      </x:c>
      <x:c r="AA37" s="58" t="n">
        <x:f>IF(R37="No","",MAX(0,-Z37))</x:f>
        <x:v>553047.6599842784</x:v>
      </x:c>
      <x:c r="AB37" s="52" t="n">
        <x:f>IF(OR(R37="No",U37*S37=0),"",AA37/(U37*S37))</x:f>
        <x:v>0.01498532675423842</x:v>
      </x:c>
      <x:c r="AC37" s="54" t="n">
        <x:f>IF(OR(R37="No",S37-T37*Assumptions!$B$9&lt;=0),"",AA37/(Assumptions!$B$8*(S37-T37*Assumptions!$B$9)))</x:f>
        <x:v>127.1733524615646</x:v>
      </x:c>
      <x:c r="AD37" s="52" t="n">
        <x:f>IF(OR(R37="No",U37*S37=0),"",AA37/(U37*S37))</x:f>
        <x:v>0.01498532675423842</x:v>
      </x:c>
      <x:c r="AE37" s="50" t="str">
        <x:f>IF(R37="No","No finance data",IF(AB37&gt;=10%,"Severe",IF(AB37&gt;=5%,"High",IF(AB37&gt;=2%,"Moderate","Low"))))</x:f>
        <x:v>Low</x:v>
      </x:c>
      <x:c r="AF37" s="60" t="n">
        <x:v>34.80731</x:v>
      </x:c>
      <x:c r="AG37" s="60" t="n">
        <x:v>-87.680407</x:v>
      </x:c>
      <x:c r="AH37" s="44" t="str">
        <x:v>Undergraduate tuition-contribution proxy only; not an audited total institutional budget.</x:v>
      </x:c>
    </x:row>
    <x:row r="38">
      <x:c r="A38" s="16" t="n">
        <x:v>102094</x:v>
      </x:c>
      <x:c r="B38" s="16" t="str">
        <x:v>University of South Alabama</x:v>
      </x:c>
      <x:c r="C38" s="16" t="str">
        <x:v>AL</x:v>
      </x:c>
      <x:c r="D38" s="16" t="str">
        <x:v>Public</x:v>
      </x:c>
      <x:c r="E38" s="34" t="n">
        <x:v>11379</x:v>
      </x:c>
      <x:c r="F38" s="21" t="n">
        <x:v>0.7078</x:v>
      </x:c>
      <x:c r="G38" s="16" t="str">
        <x:v>Statewide</x:v>
      </x:c>
      <x:c r="H38" s="36" t="n">
        <x:f>IF(G38="National",Assumptions!$B$11,IF(G38="Statewide",Assumptions!$B$12,Assumptions!$B$13))</x:f>
        <x:v>0.6</x:v>
      </x:c>
      <x:c r="I38" s="21" t="n">
        <x:v>-0.047168112915421445</x:v>
      </x:c>
      <x:c r="J38" s="21" t="n">
        <x:v>-0.005598963021639758</x:v>
      </x:c>
      <x:c r="K38" s="21" t="n">
        <x:v>-0.023115975947863077</x:v>
      </x:c>
      <x:c r="L38" s="36" t="n">
        <x:f>IF(Assumptions!$B$4=2030,I38,IF(Assumptions!$B$4=2035,J38,K38))</x:f>
        <x:v>-0.005598963021639758</x:v>
      </x:c>
      <x:c r="M38" s="36" t="n">
        <x:f>Assumptions!$B$19</x:f>
        <x:v>-0.04739891965741583</x:v>
      </x:c>
      <x:c r="N38" s="52" t="n">
        <x:f>H38*L38+(1-H38)*M38+O38</x:f>
        <x:v>-0.022318945675950188</x:v>
      </x:c>
      <x:c r="O38" s="36" t="n">
        <x:f>Assumptions!$B$10</x:f>
        <x:v>0</x:v>
      </x:c>
      <x:c r="P38" s="54" t="n">
        <x:f>E38*(1+N38)</x:f>
        <x:v>11125.032717153363</x:v>
      </x:c>
      <x:c r="Q38" s="54" t="n">
        <x:f>P38-E38</x:f>
        <x:v>-253.96728284663732</x:v>
      </x:c>
      <x:c r="R38" s="16" t="str">
        <x:v>Yes</x:v>
      </x:c>
      <x:c r="S38" s="56" t="n">
        <x:v>9225</x:v>
      </x:c>
      <x:c r="T38" s="56" t="n">
        <x:v>10104</x:v>
      </x:c>
      <x:c r="U38" s="40" t="n">
        <x:f>E38*Assumptions!$B$8</x:f>
        <x:v>9672.15</x:v>
      </x:c>
      <x:c r="V38" s="40" t="n">
        <x:f>P38*Assumptions!$B$8</x:f>
        <x:v>9456.277809580359</x:v>
      </x:c>
      <x:c r="W38" s="54" t="n">
        <x:f>V38-U38</x:f>
        <x:v>-215.8721904196409</x:v>
      </x:c>
      <x:c r="X38" s="58" t="n">
        <x:f>IF(R38="No","",W38*S38)</x:f>
        <x:v>-1991420.9566211873</x:v>
      </x:c>
      <x:c r="Y38" s="58" t="n">
        <x:f>IF(R38="No","",W38*T38*Assumptions!$B$9)</x:f>
        <x:v>-654351.7836000156</x:v>
      </x:c>
      <x:c r="Z38" s="58" t="n">
        <x:f>IF(R38="No","",X38-Y38)</x:f>
        <x:v>-1337069.1730211717</x:v>
      </x:c>
      <x:c r="AA38" s="58" t="n">
        <x:f>IF(R38="No","",MAX(0,-Z38))</x:f>
        <x:v>1337069.1730211717</x:v>
      </x:c>
      <x:c r="AB38" s="52" t="n">
        <x:f>IF(OR(R38="No",U38*S38=0),"",AA38/(U38*S38))</x:f>
        <x:v>0.014985266745550115</x:v>
      </x:c>
      <x:c r="AC38" s="54" t="n">
        <x:f>IF(OR(R38="No",S38-T38*Assumptions!$B$9&lt;=0),"",AA38/(Assumptions!$B$8*(S38-T38*Assumptions!$B$9)))</x:f>
        <x:v>253.96728284663635</x:v>
      </x:c>
      <x:c r="AD38" s="52" t="n">
        <x:f>IF(OR(R38="No",U38*S38=0),"",AA38/(U38*S38))</x:f>
        <x:v>0.014985266745550115</x:v>
      </x:c>
      <x:c r="AE38" s="50" t="str">
        <x:f>IF(R38="No","No finance data",IF(AB38&gt;=10%,"Severe",IF(AB38&gt;=5%,"High",IF(AB38&gt;=2%,"Moderate","Low"))))</x:f>
        <x:v>Low</x:v>
      </x:c>
      <x:c r="AF38" s="60" t="n">
        <x:v>30.696033</x:v>
      </x:c>
      <x:c r="AG38" s="60" t="n">
        <x:v>-88.178711</x:v>
      </x:c>
      <x:c r="AH38" s="44" t="str">
        <x:v>Undergraduate tuition-contribution proxy only; not an audited total institutional budget.</x:v>
      </x:c>
    </x:row>
    <x:row r="39">
      <x:c r="A39" s="16" t="n">
        <x:v>101587</x:v>
      </x:c>
      <x:c r="B39" s="16" t="str">
        <x:v>University of West Alabama</x:v>
      </x:c>
      <x:c r="C39" s="16" t="str">
        <x:v>AL</x:v>
      </x:c>
      <x:c r="D39" s="16" t="str">
        <x:v>Public</x:v>
      </x:c>
      <x:c r="E39" s="34" t="n">
        <x:v>1913</x:v>
      </x:c>
      <x:c r="F39" s="21" t="n">
        <x:v>0.7433</x:v>
      </x:c>
      <x:c r="G39" s="16" t="str">
        <x:v>Regional</x:v>
      </x:c>
      <x:c r="H39" s="36" t="n">
        <x:f>IF(G39="National",Assumptions!$B$11,IF(G39="Statewide",Assumptions!$B$12,Assumptions!$B$13))</x:f>
        <x:v>0.85</x:v>
      </x:c>
      <x:c r="I39" s="21" t="n">
        <x:v>-0.047168112915421445</x:v>
      </x:c>
      <x:c r="J39" s="21" t="n">
        <x:v>-0.005598963021639758</x:v>
      </x:c>
      <x:c r="K39" s="21" t="n">
        <x:v>-0.023115975947863077</x:v>
      </x:c>
      <x:c r="L39" s="36" t="n">
        <x:f>IF(Assumptions!$B$4=2030,I39,IF(Assumptions!$B$4=2035,J39,K39))</x:f>
        <x:v>-0.005598963021639758</x:v>
      </x:c>
      <x:c r="M39" s="36" t="n">
        <x:f>Assumptions!$B$19</x:f>
        <x:v>-0.04739891965741583</x:v>
      </x:c>
      <x:c r="N39" s="52" t="n">
        <x:f>H39*L39+(1-H39)*M39+O39</x:f>
        <x:v>-0.01186895651700617</x:v>
      </x:c>
      <x:c r="O39" s="36" t="n">
        <x:f>Assumptions!$B$10</x:f>
        <x:v>0</x:v>
      </x:c>
      <x:c r="P39" s="54" t="n">
        <x:f>E39*(1+N39)</x:f>
        <x:v>1890.2946861829673</x:v>
      </x:c>
      <x:c r="Q39" s="54" t="n">
        <x:f>P39-E39</x:f>
        <x:v>-22.705313817032675</x:v>
      </x:c>
      <x:c r="R39" s="16" t="str">
        <x:v>Yes</x:v>
      </x:c>
      <x:c r="S39" s="56" t="n">
        <x:v>8863</x:v>
      </x:c>
      <x:c r="T39" s="56" t="n">
        <x:v>7462</x:v>
      </x:c>
      <x:c r="U39" s="40" t="n">
        <x:f>E39*Assumptions!$B$8</x:f>
        <x:v>1626.05</x:v>
      </x:c>
      <x:c r="V39" s="40" t="n">
        <x:f>P39*Assumptions!$B$8</x:f>
        <x:v>1606.750483255522</x:v>
      </x:c>
      <x:c r="W39" s="54" t="n">
        <x:f>V39-U39</x:f>
        <x:v>-19.29951674447784</x:v>
      </x:c>
      <x:c r="X39" s="58" t="n">
        <x:f>IF(R39="No","",W39*S39)</x:f>
        <x:v>-171051.6169063071</x:v>
      </x:c>
      <x:c r="Y39" s="58" t="n">
        <x:f>IF(R39="No","",W39*T39*Assumptions!$B$9)</x:f>
        <x:v>-43203.898184188096</x:v>
      </x:c>
      <x:c r="Z39" s="58" t="n">
        <x:f>IF(R39="No","",X39-Y39)</x:f>
        <x:v>-127847.71872211903</x:v>
      </x:c>
      <x:c r="AA39" s="58" t="n">
        <x:f>IF(R39="No","",MAX(0,-Z39))</x:f>
        <x:v>127847.71872211903</x:v>
      </x:c>
      <x:c r="AB39" s="52" t="n">
        <x:f>IF(OR(R39="No",U39*S39=0),"",AA39/(U39*S39))</x:f>
        <x:v>0.008871117629612492</x:v>
      </x:c>
      <x:c r="AC39" s="54" t="n">
        <x:f>IF(OR(R39="No",S39-T39*Assumptions!$B$9&lt;=0),"",AA39/(Assumptions!$B$8*(S39-T39*Assumptions!$B$9)))</x:f>
        <x:v>22.705313817032756</x:v>
      </x:c>
      <x:c r="AD39" s="52" t="n">
        <x:f>IF(OR(R39="No",U39*S39=0),"",AA39/(U39*S39))</x:f>
        <x:v>0.008871117629612492</x:v>
      </x:c>
      <x:c r="AE39" s="50" t="str">
        <x:f>IF(R39="No","No finance data",IF(AB39&gt;=10%,"Severe",IF(AB39&gt;=5%,"High",IF(AB39&gt;=2%,"Moderate","Low"))))</x:f>
        <x:v>Low</x:v>
      </x:c>
      <x:c r="AF39" s="60" t="n">
        <x:v>32.588132</x:v>
      </x:c>
      <x:c r="AG39" s="60" t="n">
        <x:v>-88.186329</x:v>
      </x:c>
      <x:c r="AH39" s="44" t="str">
        <x:v>Undergraduate tuition-contribution proxy only; not an audited total institutional budget.</x:v>
      </x:c>
    </x:row>
    <x:row r="40">
      <x:c r="A40" s="16" t="n">
        <x:v>106458</x:v>
      </x:c>
      <x:c r="B40" s="16" t="str">
        <x:v>Arkansas State University-Main Campus</x:v>
      </x:c>
      <x:c r="C40" s="16" t="str">
        <x:v>AR</x:v>
      </x:c>
      <x:c r="D40" s="16" t="str">
        <x:v>Public</x:v>
      </x:c>
      <x:c r="E40" s="34" t="n">
        <x:v>8909</x:v>
      </x:c>
      <x:c r="F40" s="21" t="n">
        <x:v>0.6329</x:v>
      </x:c>
      <x:c r="G40" s="16" t="str">
        <x:v>Statewide</x:v>
      </x:c>
      <x:c r="H40" s="36" t="n">
        <x:f>IF(G40="National",Assumptions!$B$11,IF(G40="Statewide",Assumptions!$B$12,Assumptions!$B$13))</x:f>
        <x:v>0.6</x:v>
      </x:c>
      <x:c r="I40" s="21" t="n">
        <x:v>-0.0449438202247191</x:v>
      </x:c>
      <x:c r="J40" s="21" t="n">
        <x:v>-0.03819667103465585</x:v>
      </x:c>
      <x:c r="K40" s="21" t="n">
        <x:v>-0.09861432514567714</x:v>
      </x:c>
      <x:c r="L40" s="36" t="n">
        <x:f>IF(Assumptions!$B$4=2030,I40,IF(Assumptions!$B$4=2035,J40,K40))</x:f>
        <x:v>-0.03819667103465585</x:v>
      </x:c>
      <x:c r="M40" s="36" t="n">
        <x:f>Assumptions!$B$19</x:f>
        <x:v>-0.04739891965741583</x:v>
      </x:c>
      <x:c r="N40" s="52" t="n">
        <x:f>H40*L40+(1-H40)*M40+O40</x:f>
        <x:v>-0.04187757048375984</x:v>
      </x:c>
      <x:c r="O40" s="36" t="n">
        <x:f>Assumptions!$B$10</x:f>
        <x:v>0</x:v>
      </x:c>
      <x:c r="P40" s="54" t="n">
        <x:f>E40*(1+N40)</x:f>
        <x:v>8535.912724560183</x:v>
      </x:c>
      <x:c r="Q40" s="54" t="n">
        <x:f>P40-E40</x:f>
        <x:v>-373.08727543981695</x:v>
      </x:c>
      <x:c r="R40" s="16" t="str">
        <x:v>Yes</x:v>
      </x:c>
      <x:c r="S40" s="56" t="n">
        <x:v>4110</x:v>
      </x:c>
      <x:c r="T40" s="56" t="n">
        <x:v>6090</x:v>
      </x:c>
      <x:c r="U40" s="40" t="n">
        <x:f>E40*Assumptions!$B$8</x:f>
        <x:v>7572.65</x:v>
      </x:c>
      <x:c r="V40" s="40" t="n">
        <x:f>P40*Assumptions!$B$8</x:f>
        <x:v>7255.525815876155</x:v>
      </x:c>
      <x:c r="W40" s="54" t="n">
        <x:f>V40-U40</x:f>
        <x:v>-317.1241841238443</x:v>
      </x:c>
      <x:c r="X40" s="58" t="n">
        <x:f>IF(R40="No","",W40*S40)</x:f>
        <x:v>-1303380.396749</x:v>
      </x:c>
      <x:c r="Y40" s="58" t="n">
        <x:f>IF(R40="No","",W40*T40*Assumptions!$B$9)</x:f>
        <x:v>-579385.8843942635</x:v>
      </x:c>
      <x:c r="Z40" s="58" t="n">
        <x:f>IF(R40="No","",X40-Y40)</x:f>
        <x:v>-723994.5123547366</x:v>
      </x:c>
      <x:c r="AA40" s="58" t="n">
        <x:f>IF(R40="No","",MAX(0,-Z40))</x:f>
        <x:v>723994.5123547366</x:v>
      </x:c>
      <x:c r="AB40" s="52" t="n">
        <x:f>IF(OR(R40="No",U40*S40=0),"",AA40/(U40*S40))</x:f>
        <x:v>0.02326192053878925</x:v>
      </x:c>
      <x:c r="AC40" s="54" t="n">
        <x:f>IF(OR(R40="No",S40-T40*Assumptions!$B$9&lt;=0),"",AA40/(Assumptions!$B$8*(S40-T40*Assumptions!$B$9)))</x:f>
        <x:v>373.08727543981684</x:v>
      </x:c>
      <x:c r="AD40" s="52" t="n">
        <x:f>IF(OR(R40="No",U40*S40=0),"",AA40/(U40*S40))</x:f>
        <x:v>0.02326192053878925</x:v>
      </x:c>
      <x:c r="AE40" s="50" t="str">
        <x:f>IF(R40="No","No finance data",IF(AB40&gt;=10%,"Severe",IF(AB40&gt;=5%,"High",IF(AB40&gt;=2%,"Moderate","Low"))))</x:f>
        <x:v>Moderate</x:v>
      </x:c>
      <x:c r="AF40" s="60" t="n">
        <x:v>35.842388</x:v>
      </x:c>
      <x:c r="AG40" s="60" t="n">
        <x:v>-90.679988</x:v>
      </x:c>
      <x:c r="AH40" s="44" t="str">
        <x:v>Undergraduate tuition-contribution proxy only; not an audited total institutional budget.</x:v>
      </x:c>
    </x:row>
    <x:row r="41">
      <x:c r="A41" s="16" t="n">
        <x:v>106467</x:v>
      </x:c>
      <x:c r="B41" s="16" t="str">
        <x:v>Arkansas Tech University</x:v>
      </x:c>
      <x:c r="C41" s="16" t="str">
        <x:v>AR</x:v>
      </x:c>
      <x:c r="D41" s="16" t="str">
        <x:v>Public</x:v>
      </x:c>
      <x:c r="E41" s="34" t="n">
        <x:v>8799</x:v>
      </x:c>
      <x:c r="F41" s="21" t="n">
        <x:v>0.9437</x:v>
      </x:c>
      <x:c r="G41" s="16" t="str">
        <x:v>Statewide</x:v>
      </x:c>
      <x:c r="H41" s="36" t="n">
        <x:f>IF(G41="National",Assumptions!$B$11,IF(G41="Statewide",Assumptions!$B$12,Assumptions!$B$13))</x:f>
        <x:v>0.6</x:v>
      </x:c>
      <x:c r="I41" s="21" t="n">
        <x:v>-0.0449438202247191</x:v>
      </x:c>
      <x:c r="J41" s="21" t="n">
        <x:v>-0.03819667103465585</x:v>
      </x:c>
      <x:c r="K41" s="21" t="n">
        <x:v>-0.09861432514567714</x:v>
      </x:c>
      <x:c r="L41" s="36" t="n">
        <x:f>IF(Assumptions!$B$4=2030,I41,IF(Assumptions!$B$4=2035,J41,K41))</x:f>
        <x:v>-0.03819667103465585</x:v>
      </x:c>
      <x:c r="M41" s="36" t="n">
        <x:f>Assumptions!$B$19</x:f>
        <x:v>-0.04739891965741583</x:v>
      </x:c>
      <x:c r="N41" s="52" t="n">
        <x:f>H41*L41+(1-H41)*M41+O41</x:f>
        <x:v>-0.04187757048375984</x:v>
      </x:c>
      <x:c r="O41" s="36" t="n">
        <x:f>Assumptions!$B$10</x:f>
        <x:v>0</x:v>
      </x:c>
      <x:c r="P41" s="54" t="n">
        <x:f>E41*(1+N41)</x:f>
        <x:v>8430.519257313397</x:v>
      </x:c>
      <x:c r="Q41" s="54" t="n">
        <x:f>P41-E41</x:f>
        <x:v>-368.48074268660275</x:v>
      </x:c>
      <x:c r="R41" s="16" t="str">
        <x:v>Yes</x:v>
      </x:c>
      <x:c r="S41" s="56" t="n">
        <x:v>4691</x:v>
      </x:c>
      <x:c r="T41" s="56" t="n">
        <x:v>5223</x:v>
      </x:c>
      <x:c r="U41" s="40" t="n">
        <x:f>E41*Assumptions!$B$8</x:f>
        <x:v>7479.15</x:v>
      </x:c>
      <x:c r="V41" s="40" t="n">
        <x:f>P41*Assumptions!$B$8</x:f>
        <x:v>7165.941368716388</x:v>
      </x:c>
      <x:c r="W41" s="54" t="n">
        <x:f>V41-U41</x:f>
        <x:v>-313.2086312836118</x:v>
      </x:c>
      <x:c r="X41" s="58" t="n">
        <x:f>IF(R41="No","",W41*S41)</x:f>
        <x:v>-1469261.689351423</x:v>
      </x:c>
      <x:c r="Y41" s="58" t="n">
        <x:f>IF(R41="No","",W41*T41*Assumptions!$B$9)</x:f>
        <x:v>-490766.6043582913</x:v>
      </x:c>
      <x:c r="Z41" s="58" t="n">
        <x:f>IF(R41="No","",X41-Y41)</x:f>
        <x:v>-978495.0849931317</x:v>
      </x:c>
      <x:c r="AA41" s="58" t="n">
        <x:f>IF(R41="No","",MAX(0,-Z41))</x:f>
        <x:v>978495.0849931317</x:v>
      </x:c>
      <x:c r="AB41" s="52" t="n">
        <x:f>IF(OR(R41="No",U41*S41=0),"",AA41/(U41*S41))</x:f>
        <x:v>0.027889515657282857</x:v>
      </x:c>
      <x:c r="AC41" s="54" t="n">
        <x:f>IF(OR(R41="No",S41-T41*Assumptions!$B$9&lt;=0),"",AA41/(Assumptions!$B$8*(S41-T41*Assumptions!$B$9)))</x:f>
        <x:v>368.4807426866021</x:v>
      </x:c>
      <x:c r="AD41" s="52" t="n">
        <x:f>IF(OR(R41="No",U41*S41=0),"",AA41/(U41*S41))</x:f>
        <x:v>0.027889515657282857</x:v>
      </x:c>
      <x:c r="AE41" s="50" t="str">
        <x:f>IF(R41="No","No finance data",IF(AB41&gt;=10%,"Severe",IF(AB41&gt;=5%,"High",IF(AB41&gt;=2%,"Moderate","Low"))))</x:f>
        <x:v>Moderate</x:v>
      </x:c>
      <x:c r="AF41" s="60" t="n">
        <x:v>35.293237</x:v>
      </x:c>
      <x:c r="AG41" s="60" t="n">
        <x:v>-93.13562</x:v>
      </x:c>
      <x:c r="AH41" s="44" t="str">
        <x:v>Undergraduate tuition-contribution proxy only; not an audited total institutional budget.</x:v>
      </x:c>
    </x:row>
    <x:row r="42">
      <x:c r="A42" s="16" t="n">
        <x:v>106713</x:v>
      </x:c>
      <x:c r="B42" s="16" t="str">
        <x:v>Central Baptist College</x:v>
      </x:c>
      <x:c r="C42" s="16" t="str">
        <x:v>AR</x:v>
      </x:c>
      <x:c r="D42" s="16" t="str">
        <x:v>Private nonprofit</x:v>
      </x:c>
      <x:c r="E42" s="34" t="n">
        <x:v>777</x:v>
      </x:c>
      <x:c r="F42" s="21" t="n">
        <x:v>0.616</x:v>
      </x:c>
      <x:c r="G42" s="16" t="str">
        <x:v>Regional</x:v>
      </x:c>
      <x:c r="H42" s="36" t="n">
        <x:f>IF(G42="National",Assumptions!$B$11,IF(G42="Statewide",Assumptions!$B$12,Assumptions!$B$13))</x:f>
        <x:v>0.85</x:v>
      </x:c>
      <x:c r="I42" s="21" t="n">
        <x:v>-0.0449438202247191</x:v>
      </x:c>
      <x:c r="J42" s="21" t="n">
        <x:v>-0.03819667103465585</x:v>
      </x:c>
      <x:c r="K42" s="21" t="n">
        <x:v>-0.09861432514567714</x:v>
      </x:c>
      <x:c r="L42" s="36" t="n">
        <x:f>IF(Assumptions!$B$4=2030,I42,IF(Assumptions!$B$4=2035,J42,K42))</x:f>
        <x:v>-0.03819667103465585</x:v>
      </x:c>
      <x:c r="M42" s="36" t="n">
        <x:f>Assumptions!$B$19</x:f>
        <x:v>-0.04739891965741583</x:v>
      </x:c>
      <x:c r="N42" s="52" t="n">
        <x:f>H42*L42+(1-H42)*M42+O42</x:f>
        <x:v>-0.039577008328069846</x:v>
      </x:c>
      <x:c r="O42" s="36" t="n">
        <x:f>Assumptions!$B$10</x:f>
        <x:v>0</x:v>
      </x:c>
      <x:c r="P42" s="54" t="n">
        <x:f>E42*(1+N42)</x:f>
        <x:v>746.2486645290898</x:v>
      </x:c>
      <x:c r="Q42" s="54" t="n">
        <x:f>P42-E42</x:f>
        <x:v>-30.75133547091025</x:v>
      </x:c>
      <x:c r="R42" s="16" t="str">
        <x:v>Yes</x:v>
      </x:c>
      <x:c r="S42" s="56" t="n">
        <x:v>9521</x:v>
      </x:c>
      <x:c r="T42" s="56" t="n">
        <x:v>3828</x:v>
      </x:c>
      <x:c r="U42" s="40" t="n">
        <x:f>E42*Assumptions!$B$8</x:f>
        <x:v>660.4499999999999</x:v>
      </x:c>
      <x:c r="V42" s="40" t="n">
        <x:f>P42*Assumptions!$B$8</x:f>
        <x:v>634.3113648497263</x:v>
      </x:c>
      <x:c r="W42" s="54" t="n">
        <x:f>V42-U42</x:f>
        <x:v>-26.13863515027367</x:v>
      </x:c>
      <x:c r="X42" s="58" t="n">
        <x:f>IF(R42="No","",W42*S42)</x:f>
        <x:v>-248865.94526575564</x:v>
      </x:c>
      <x:c r="Y42" s="58" t="n">
        <x:f>IF(R42="No","",W42*T42*Assumptions!$B$9)</x:f>
        <x:v>-30017.608606574286</x:v>
      </x:c>
      <x:c r="Z42" s="58" t="n">
        <x:f>IF(R42="No","",X42-Y42)</x:f>
        <x:v>-218848.33665918134</x:v>
      </x:c>
      <x:c r="AA42" s="58" t="n">
        <x:f>IF(R42="No","",MAX(0,-Z42))</x:f>
        <x:v>218848.33665918134</x:v>
      </x:c>
      <x:c r="AB42" s="52" t="n">
        <x:f>IF(OR(R42="No",U42*S42=0),"",AA42/(U42*S42))</x:f>
        <x:v>0.034803325273353315</x:v>
      </x:c>
      <x:c r="AC42" s="54" t="n">
        <x:f>IF(OR(R42="No",S42-T42*Assumptions!$B$9&lt;=0),"",AA42/(Assumptions!$B$8*(S42-T42*Assumptions!$B$9)))</x:f>
        <x:v>30.751335470910202</x:v>
      </x:c>
      <x:c r="AD42" s="52" t="n">
        <x:f>IF(OR(R42="No",U42*S42=0),"",AA42/(U42*S42))</x:f>
        <x:v>0.034803325273353315</x:v>
      </x:c>
      <x:c r="AE42" s="50" t="str">
        <x:f>IF(R42="No","No finance data",IF(AB42&gt;=10%,"Severe",IF(AB42&gt;=5%,"High",IF(AB42&gt;=2%,"Moderate","Low"))))</x:f>
        <x:v>Moderate</x:v>
      </x:c>
      <x:c r="AF42" s="60" t="n">
        <x:v>35.083838</x:v>
      </x:c>
      <x:c r="AG42" s="60" t="n">
        <x:v>-92.445021</x:v>
      </x:c>
      <x:c r="AH42" s="44" t="str">
        <x:v>Undergraduate tuition-contribution proxy only; not an audited total institutional budget.</x:v>
      </x:c>
    </x:row>
    <x:row r="43">
      <x:c r="A43" s="16" t="n">
        <x:v>446233</x:v>
      </x:c>
      <x:c r="B43" s="16" t="str">
        <x:v>Ecclesia College</x:v>
      </x:c>
      <x:c r="C43" s="16" t="str">
        <x:v>AR</x:v>
      </x:c>
      <x:c r="D43" s="16" t="str">
        <x:v>Private nonprofit</x:v>
      </x:c>
      <x:c r="E43" s="34" t="n">
        <x:v>278</x:v>
      </x:c>
      <x:c r="F43" s="21"/>
      <x:c r="G43" s="16" t="str">
        <x:v>Regional</x:v>
      </x:c>
      <x:c r="H43" s="36" t="n">
        <x:f>IF(G43="National",Assumptions!$B$11,IF(G43="Statewide",Assumptions!$B$12,Assumptions!$B$13))</x:f>
        <x:v>0.85</x:v>
      </x:c>
      <x:c r="I43" s="21" t="n">
        <x:v>-0.0449438202247191</x:v>
      </x:c>
      <x:c r="J43" s="21" t="n">
        <x:v>-0.03819667103465585</x:v>
      </x:c>
      <x:c r="K43" s="21" t="n">
        <x:v>-0.09861432514567714</x:v>
      </x:c>
      <x:c r="L43" s="36" t="n">
        <x:f>IF(Assumptions!$B$4=2030,I43,IF(Assumptions!$B$4=2035,J43,K43))</x:f>
        <x:v>-0.03819667103465585</x:v>
      </x:c>
      <x:c r="M43" s="36" t="n">
        <x:f>Assumptions!$B$19</x:f>
        <x:v>-0.04739891965741583</x:v>
      </x:c>
      <x:c r="N43" s="52" t="n">
        <x:f>H43*L43+(1-H43)*M43+O43</x:f>
        <x:v>-0.039577008328069846</x:v>
      </x:c>
      <x:c r="O43" s="36" t="n">
        <x:f>Assumptions!$B$10</x:f>
        <x:v>0</x:v>
      </x:c>
      <x:c r="P43" s="54" t="n">
        <x:f>E43*(1+N43)</x:f>
        <x:v>266.9975916847966</x:v>
      </x:c>
      <x:c r="Q43" s="54" t="n">
        <x:f>P43-E43</x:f>
        <x:v>-11.002408315203411</x:v>
      </x:c>
      <x:c r="R43" s="16" t="str">
        <x:v>No</x:v>
      </x:c>
      <x:c r="S43" s="56"/>
      <x:c r="T43" s="56"/>
      <x:c r="U43" s="40" t="n">
        <x:f>E43*Assumptions!$B$8</x:f>
        <x:v>236.29999999999998</x:v>
      </x:c>
      <x:c r="V43" s="40" t="n">
        <x:f>P43*Assumptions!$B$8</x:f>
        <x:v>226.9479529320771</x:v>
      </x:c>
      <x:c r="W43" s="54" t="n">
        <x:f>V43-U43</x:f>
        <x:v>-9.352047067922882</x:v>
      </x:c>
      <x:c r="X43" s="58" t="str">
        <x:f>IF(R43="No","",W43*S43)</x:f>
      </x:c>
      <x:c r="Y43" s="58" t="str">
        <x:f>IF(R43="No","",W43*T43*Assumptions!$B$9)</x:f>
      </x:c>
      <x:c r="Z43" s="58" t="str">
        <x:f>IF(R43="No","",X43-Y43)</x:f>
      </x:c>
      <x:c r="AA43" s="58" t="str">
        <x:f>IF(R43="No","",MAX(0,-Z43))</x:f>
      </x:c>
      <x:c r="AB43" s="52" t="str">
        <x:f>IF(OR(R43="No",U43*S43=0),"",AA43/(U43*S43))</x:f>
      </x:c>
      <x:c r="AC43" s="54" t="str">
        <x:f>IF(OR(R43="No",S43-T43*Assumptions!$B$9&lt;=0),"",AA43/(Assumptions!$B$8*(S43-T43*Assumptions!$B$9)))</x:f>
      </x:c>
      <x:c r="AD43" s="52" t="str">
        <x:f>IF(OR(R43="No",U43*S43=0),"",AA43/(U43*S43))</x:f>
      </x:c>
      <x:c r="AE43" s="50" t="str">
        <x:f>IF(R43="No","No finance data",IF(AB43&gt;=10%,"Severe",IF(AB43&gt;=5%,"High",IF(AB43&gt;=2%,"Moderate","Low"))))</x:f>
        <x:v>No finance data</x:v>
      </x:c>
      <x:c r="AF43" s="60"/>
      <x:c r="AG43" s="60"/>
      <x:c r="AH43" s="44" t="str">
        <x:v>Undergraduate tuition-contribution proxy only; not an audited total institutional budget.</x:v>
      </x:c>
    </x:row>
    <x:row r="44">
      <x:c r="A44" s="16" t="n">
        <x:v>107044</x:v>
      </x:c>
      <x:c r="B44" s="16" t="str">
        <x:v>Harding University</x:v>
      </x:c>
      <x:c r="C44" s="16" t="str">
        <x:v>AR</x:v>
      </x:c>
      <x:c r="D44" s="16" t="str">
        <x:v>Private nonprofit</x:v>
      </x:c>
      <x:c r="E44" s="34" t="n">
        <x:v>4450</x:v>
      </x:c>
      <x:c r="F44" s="21" t="n">
        <x:v>0.5414</x:v>
      </x:c>
      <x:c r="G44" s="16" t="str">
        <x:v>Regional</x:v>
      </x:c>
      <x:c r="H44" s="36" t="n">
        <x:f>IF(G44="National",Assumptions!$B$11,IF(G44="Statewide",Assumptions!$B$12,Assumptions!$B$13))</x:f>
        <x:v>0.85</x:v>
      </x:c>
      <x:c r="I44" s="21" t="n">
        <x:v>-0.0449438202247191</x:v>
      </x:c>
      <x:c r="J44" s="21" t="n">
        <x:v>-0.03819667103465585</x:v>
      </x:c>
      <x:c r="K44" s="21" t="n">
        <x:v>-0.09861432514567714</x:v>
      </x:c>
      <x:c r="L44" s="36" t="n">
        <x:f>IF(Assumptions!$B$4=2030,I44,IF(Assumptions!$B$4=2035,J44,K44))</x:f>
        <x:v>-0.03819667103465585</x:v>
      </x:c>
      <x:c r="M44" s="36" t="n">
        <x:f>Assumptions!$B$19</x:f>
        <x:v>-0.04739891965741583</x:v>
      </x:c>
      <x:c r="N44" s="52" t="n">
        <x:f>H44*L44+(1-H44)*M44+O44</x:f>
        <x:v>-0.039577008328069846</x:v>
      </x:c>
      <x:c r="O44" s="36" t="n">
        <x:f>Assumptions!$B$10</x:f>
        <x:v>0</x:v>
      </x:c>
      <x:c r="P44" s="54" t="n">
        <x:f>E44*(1+N44)</x:f>
        <x:v>4273.882312940089</x:v>
      </x:c>
      <x:c r="Q44" s="54" t="n">
        <x:f>P44-E44</x:f>
        <x:v>-176.11768705991108</x:v>
      </x:c>
      <x:c r="R44" s="16" t="str">
        <x:v>Yes</x:v>
      </x:c>
      <x:c r="S44" s="56" t="n">
        <x:v>14384</x:v>
      </x:c>
      <x:c r="T44" s="56" t="n">
        <x:v>9729</x:v>
      </x:c>
      <x:c r="U44" s="40" t="n">
        <x:f>E44*Assumptions!$B$8</x:f>
        <x:v>3782.5</x:v>
      </x:c>
      <x:c r="V44" s="40" t="n">
        <x:f>P44*Assumptions!$B$8</x:f>
        <x:v>3632.7999659990755</x:v>
      </x:c>
      <x:c r="W44" s="54" t="n">
        <x:f>V44-U44</x:f>
        <x:v>-149.70003400092446</x:v>
      </x:c>
      <x:c r="X44" s="58" t="n">
        <x:f>IF(R44="No","",W44*S44)</x:f>
        <x:v>-2153285.2890692973</x:v>
      </x:c>
      <x:c r="Y44" s="58" t="n">
        <x:f>IF(R44="No","",W44*T44*Assumptions!$B$9)</x:f>
        <x:v>-436929.4892384982</x:v>
      </x:c>
      <x:c r="Z44" s="58" t="n">
        <x:f>IF(R44="No","",X44-Y44)</x:f>
        <x:v>-1716355.799830799</x:v>
      </x:c>
      <x:c r="AA44" s="58" t="n">
        <x:f>IF(R44="No","",MAX(0,-Z44))</x:f>
        <x:v>1716355.799830799</x:v>
      </x:c>
      <x:c r="AB44" s="52" t="n">
        <x:f>IF(OR(R44="No",U44*S44=0),"",AA44/(U44*S44))</x:f>
        <x:v>0.0315463204660609</x:v>
      </x:c>
      <x:c r="AC44" s="54" t="n">
        <x:f>IF(OR(R44="No",S44-T44*Assumptions!$B$9&lt;=0),"",AA44/(Assumptions!$B$8*(S44-T44*Assumptions!$B$9)))</x:f>
        <x:v>176.11768705991113</x:v>
      </x:c>
      <x:c r="AD44" s="52" t="n">
        <x:f>IF(OR(R44="No",U44*S44=0),"",AA44/(U44*S44))</x:f>
        <x:v>0.0315463204660609</x:v>
      </x:c>
      <x:c r="AE44" s="50" t="str">
        <x:f>IF(R44="No","No finance data",IF(AB44&gt;=10%,"Severe",IF(AB44&gt;=5%,"High",IF(AB44&gt;=2%,"Moderate","Low"))))</x:f>
        <x:v>Moderate</x:v>
      </x:c>
      <x:c r="AF44" s="60" t="n">
        <x:v>35.247386</x:v>
      </x:c>
      <x:c r="AG44" s="60" t="n">
        <x:v>-91.726143</x:v>
      </x:c>
      <x:c r="AH44" s="44" t="str">
        <x:v>Undergraduate tuition-contribution proxy only; not an audited total institutional budget.</x:v>
      </x:c>
    </x:row>
    <x:row r="45">
      <x:c r="A45" s="16" t="n">
        <x:v>107071</x:v>
      </x:c>
      <x:c r="B45" s="16" t="str">
        <x:v>Henderson State University</x:v>
      </x:c>
      <x:c r="C45" s="16" t="str">
        <x:v>AR</x:v>
      </x:c>
      <x:c r="D45" s="16" t="str">
        <x:v>Public</x:v>
      </x:c>
      <x:c r="E45" s="34" t="n">
        <x:v>3096</x:v>
      </x:c>
      <x:c r="F45" s="21" t="n">
        <x:v>0.7501</x:v>
      </x:c>
      <x:c r="G45" s="16" t="str">
        <x:v>Regional</x:v>
      </x:c>
      <x:c r="H45" s="36" t="n">
        <x:f>IF(G45="National",Assumptions!$B$11,IF(G45="Statewide",Assumptions!$B$12,Assumptions!$B$13))</x:f>
        <x:v>0.85</x:v>
      </x:c>
      <x:c r="I45" s="21" t="n">
        <x:v>-0.0449438202247191</x:v>
      </x:c>
      <x:c r="J45" s="21" t="n">
        <x:v>-0.03819667103465585</x:v>
      </x:c>
      <x:c r="K45" s="21" t="n">
        <x:v>-0.09861432514567714</x:v>
      </x:c>
      <x:c r="L45" s="36" t="n">
        <x:f>IF(Assumptions!$B$4=2030,I45,IF(Assumptions!$B$4=2035,J45,K45))</x:f>
        <x:v>-0.03819667103465585</x:v>
      </x:c>
      <x:c r="M45" s="36" t="n">
        <x:f>Assumptions!$B$19</x:f>
        <x:v>-0.04739891965741583</x:v>
      </x:c>
      <x:c r="N45" s="52" t="n">
        <x:f>H45*L45+(1-H45)*M45+O45</x:f>
        <x:v>-0.039577008328069846</x:v>
      </x:c>
      <x:c r="O45" s="36" t="n">
        <x:f>Assumptions!$B$10</x:f>
        <x:v>0</x:v>
      </x:c>
      <x:c r="P45" s="54" t="n">
        <x:f>E45*(1+N45)</x:f>
        <x:v>2973.4695822162957</x:v>
      </x:c>
      <x:c r="Q45" s="54" t="n">
        <x:f>P45-E45</x:f>
        <x:v>-122.53041778370425</x:v>
      </x:c>
      <x:c r="R45" s="16" t="str">
        <x:v>Yes</x:v>
      </x:c>
      <x:c r="S45" s="56" t="n">
        <x:v>3117</x:v>
      </x:c>
      <x:c r="T45" s="56" t="n">
        <x:v>4632</x:v>
      </x:c>
      <x:c r="U45" s="40" t="n">
        <x:f>E45*Assumptions!$B$8</x:f>
        <x:v>2631.6</x:v>
      </x:c>
      <x:c r="V45" s="40" t="n">
        <x:f>P45*Assumptions!$B$8</x:f>
        <x:v>2527.449144883851</x:v>
      </x:c>
      <x:c r="W45" s="54" t="n">
        <x:f>V45-U45</x:f>
        <x:v>-104.1508551161487</x:v>
      </x:c>
      <x:c r="X45" s="58" t="n">
        <x:f>IF(R45="No","",W45*S45)</x:f>
        <x:v>-324638.2153970355</x:v>
      </x:c>
      <x:c r="Y45" s="58" t="n">
        <x:f>IF(R45="No","",W45*T45*Assumptions!$B$9)</x:f>
        <x:v>-144728.02826940024</x:v>
      </x:c>
      <x:c r="Z45" s="58" t="n">
        <x:f>IF(R45="No","",X45-Y45)</x:f>
        <x:v>-179910.1871276353</x:v>
      </x:c>
      <x:c r="AA45" s="58" t="n">
        <x:f>IF(R45="No","",MAX(0,-Z45))</x:f>
        <x:v>179910.1871276353</x:v>
      </x:c>
      <x:c r="AB45" s="52" t="n">
        <x:f>IF(OR(R45="No",U45*S45=0),"",AA45/(U45*S45))</x:f>
        <x:v>0.021933052353515538</x:v>
      </x:c>
      <x:c r="AC45" s="54" t="n">
        <x:f>IF(OR(R45="No",S45-T45*Assumptions!$B$9&lt;=0),"",AA45/(Assumptions!$B$8*(S45-T45*Assumptions!$B$9)))</x:f>
        <x:v>122.53041778370438</x:v>
      </x:c>
      <x:c r="AD45" s="52" t="n">
        <x:f>IF(OR(R45="No",U45*S45=0),"",AA45/(U45*S45))</x:f>
        <x:v>0.021933052353515538</x:v>
      </x:c>
      <x:c r="AE45" s="50" t="str">
        <x:f>IF(R45="No","No finance data",IF(AB45&gt;=10%,"Severe",IF(AB45&gt;=5%,"High",IF(AB45&gt;=2%,"Moderate","Low"))))</x:f>
        <x:v>Moderate</x:v>
      </x:c>
      <x:c r="AF45" s="60" t="n">
        <x:v>34.128155</x:v>
      </x:c>
      <x:c r="AG45" s="60" t="n">
        <x:v>-93.059703</x:v>
      </x:c>
      <x:c r="AH45" s="44" t="str">
        <x:v>Undergraduate tuition-contribution proxy only; not an audited total institutional budget.</x:v>
      </x:c>
    </x:row>
    <x:row r="46">
      <x:c r="A46" s="16" t="n">
        <x:v>107080</x:v>
      </x:c>
      <x:c r="B46" s="16" t="str">
        <x:v>Hendrix College</x:v>
      </x:c>
      <x:c r="C46" s="16" t="str">
        <x:v>AR</x:v>
      </x:c>
      <x:c r="D46" s="16" t="str">
        <x:v>Private nonprofit</x:v>
      </x:c>
      <x:c r="E46" s="34" t="n">
        <x:v>1303</x:v>
      </x:c>
      <x:c r="F46" s="21" t="n">
        <x:v>0.683</x:v>
      </x:c>
      <x:c r="G46" s="16" t="str">
        <x:v>Regional</x:v>
      </x:c>
      <x:c r="H46" s="36" t="n">
        <x:f>IF(G46="National",Assumptions!$B$11,IF(G46="Statewide",Assumptions!$B$12,Assumptions!$B$13))</x:f>
        <x:v>0.85</x:v>
      </x:c>
      <x:c r="I46" s="21" t="n">
        <x:v>-0.0449438202247191</x:v>
      </x:c>
      <x:c r="J46" s="21" t="n">
        <x:v>-0.03819667103465585</x:v>
      </x:c>
      <x:c r="K46" s="21" t="n">
        <x:v>-0.09861432514567714</x:v>
      </x:c>
      <x:c r="L46" s="36" t="n">
        <x:f>IF(Assumptions!$B$4=2030,I46,IF(Assumptions!$B$4=2035,J46,K46))</x:f>
        <x:v>-0.03819667103465585</x:v>
      </x:c>
      <x:c r="M46" s="36" t="n">
        <x:f>Assumptions!$B$19</x:f>
        <x:v>-0.04739891965741583</x:v>
      </x:c>
      <x:c r="N46" s="52" t="n">
        <x:f>H46*L46+(1-H46)*M46+O46</x:f>
        <x:v>-0.039577008328069846</x:v>
      </x:c>
      <x:c r="O46" s="36" t="n">
        <x:f>Assumptions!$B$10</x:f>
        <x:v>0</x:v>
      </x:c>
      <x:c r="P46" s="54" t="n">
        <x:f>E46*(1+N46)</x:f>
        <x:v>1251.431158148525</x:v>
      </x:c>
      <x:c r="Q46" s="54" t="n">
        <x:f>P46-E46</x:f>
        <x:v>-51.5688418514751</x:v>
      </x:c>
      <x:c r="R46" s="16" t="str">
        <x:v>Yes</x:v>
      </x:c>
      <x:c r="S46" s="56" t="n">
        <x:v>10396</x:v>
      </x:c>
      <x:c r="T46" s="56" t="n">
        <x:v>14193</x:v>
      </x:c>
      <x:c r="U46" s="40" t="n">
        <x:f>E46*Assumptions!$B$8</x:f>
        <x:v>1107.55</x:v>
      </x:c>
      <x:c r="V46" s="40" t="n">
        <x:f>P46*Assumptions!$B$8</x:f>
        <x:v>1063.716484426246</x:v>
      </x:c>
      <x:c r="W46" s="54" t="n">
        <x:f>V46-U46</x:f>
        <x:v>-43.83351557375386</x:v>
      </x:c>
      <x:c r="X46" s="58" t="n">
        <x:f>IF(R46="No","",W46*S46)</x:f>
        <x:v>-455693.2279047451</x:v>
      </x:c>
      <x:c r="Y46" s="58" t="n">
        <x:f>IF(R46="No","",W46*T46*Assumptions!$B$9)</x:f>
        <x:v>-186638.72596148655</x:v>
      </x:c>
      <x:c r="Z46" s="58" t="n">
        <x:f>IF(R46="No","",X46-Y46)</x:f>
        <x:v>-269054.50194325857</x:v>
      </x:c>
      <x:c r="AA46" s="58" t="n">
        <x:f>IF(R46="No","",MAX(0,-Z46))</x:f>
        <x:v>269054.50194325857</x:v>
      </x:c>
      <x:c r="AB46" s="52" t="n">
        <x:f>IF(OR(R46="No",U46*S46=0),"",AA46/(U46*S46))</x:f>
        <x:v>0.023367413891739717</x:v>
      </x:c>
      <x:c r="AC46" s="54" t="n">
        <x:f>IF(OR(R46="No",S46-T46*Assumptions!$B$9&lt;=0),"",AA46/(Assumptions!$B$8*(S46-T46*Assumptions!$B$9)))</x:f>
        <x:v>51.56884185147513</x:v>
      </x:c>
      <x:c r="AD46" s="52" t="n">
        <x:f>IF(OR(R46="No",U46*S46=0),"",AA46/(U46*S46))</x:f>
        <x:v>0.023367413891739717</x:v>
      </x:c>
      <x:c r="AE46" s="50" t="str">
        <x:f>IF(R46="No","No finance data",IF(AB46&gt;=10%,"Severe",IF(AB46&gt;=5%,"High",IF(AB46&gt;=2%,"Moderate","Low"))))</x:f>
        <x:v>Moderate</x:v>
      </x:c>
      <x:c r="AF46" s="60" t="n">
        <x:v>35.101565</x:v>
      </x:c>
      <x:c r="AG46" s="60" t="n">
        <x:v>-92.443256</x:v>
      </x:c>
      <x:c r="AH46" s="44" t="str">
        <x:v>Undergraduate tuition-contribution proxy only; not an audited total institutional budget.</x:v>
      </x:c>
    </x:row>
    <x:row r="47">
      <x:c r="A47" s="16" t="n">
        <x:v>107141</x:v>
      </x:c>
      <x:c r="B47" s="16" t="str">
        <x:v>John Brown University</x:v>
      </x:c>
      <x:c r="C47" s="16" t="str">
        <x:v>AR</x:v>
      </x:c>
      <x:c r="D47" s="16" t="str">
        <x:v>Private nonprofit</x:v>
      </x:c>
      <x:c r="E47" s="34" t="n">
        <x:v>1684</x:v>
      </x:c>
      <x:c r="F47" s="21" t="n">
        <x:v>0.5287</x:v>
      </x:c>
      <x:c r="G47" s="16" t="str">
        <x:v>Regional</x:v>
      </x:c>
      <x:c r="H47" s="36" t="n">
        <x:f>IF(G47="National",Assumptions!$B$11,IF(G47="Statewide",Assumptions!$B$12,Assumptions!$B$13))</x:f>
        <x:v>0.85</x:v>
      </x:c>
      <x:c r="I47" s="21" t="n">
        <x:v>-0.0449438202247191</x:v>
      </x:c>
      <x:c r="J47" s="21" t="n">
        <x:v>-0.03819667103465585</x:v>
      </x:c>
      <x:c r="K47" s="21" t="n">
        <x:v>-0.09861432514567714</x:v>
      </x:c>
      <x:c r="L47" s="36" t="n">
        <x:f>IF(Assumptions!$B$4=2030,I47,IF(Assumptions!$B$4=2035,J47,K47))</x:f>
        <x:v>-0.03819667103465585</x:v>
      </x:c>
      <x:c r="M47" s="36" t="n">
        <x:f>Assumptions!$B$19</x:f>
        <x:v>-0.04739891965741583</x:v>
      </x:c>
      <x:c r="N47" s="52" t="n">
        <x:f>H47*L47+(1-H47)*M47+O47</x:f>
        <x:v>-0.039577008328069846</x:v>
      </x:c>
      <x:c r="O47" s="36" t="n">
        <x:f>Assumptions!$B$10</x:f>
        <x:v>0</x:v>
      </x:c>
      <x:c r="P47" s="54" t="n">
        <x:f>E47*(1+N47)</x:f>
        <x:v>1617.3523179755302</x:v>
      </x:c>
      <x:c r="Q47" s="54" t="n">
        <x:f>P47-E47</x:f>
        <x:v>-66.64768202446976</x:v>
      </x:c>
      <x:c r="R47" s="16" t="str">
        <x:v>Yes</x:v>
      </x:c>
      <x:c r="S47" s="56" t="n">
        <x:v>10590</x:v>
      </x:c>
      <x:c r="T47" s="56" t="n">
        <x:v>8546</x:v>
      </x:c>
      <x:c r="U47" s="40" t="n">
        <x:f>E47*Assumptions!$B$8</x:f>
        <x:v>1431.3999999999999</x:v>
      </x:c>
      <x:c r="V47" s="40" t="n">
        <x:f>P47*Assumptions!$B$8</x:f>
        <x:v>1374.7494702792008</x:v>
      </x:c>
      <x:c r="W47" s="54" t="n">
        <x:f>V47-U47</x:f>
        <x:v>-56.65052972079911</x:v>
      </x:c>
      <x:c r="X47" s="58" t="n">
        <x:f>IF(R47="No","",W47*S47)</x:f>
        <x:v>-599929.1097432626</x:v>
      </x:c>
      <x:c r="Y47" s="58" t="n">
        <x:f>IF(R47="No","",W47*T47*Assumptions!$B$9)</x:f>
        <x:v>-145240.62809818477</x:v>
      </x:c>
      <x:c r="Z47" s="58" t="n">
        <x:f>IF(R47="No","",X47-Y47)</x:f>
        <x:v>-454688.4816450779</x:v>
      </x:c>
      <x:c r="AA47" s="58" t="n">
        <x:f>IF(R47="No","",MAX(0,-Z47))</x:f>
        <x:v>454688.4816450779</x:v>
      </x:c>
      <x:c r="AB47" s="52" t="n">
        <x:f>IF(OR(R47="No",U47*S47=0),"",AA47/(U47*S47))</x:f>
        <x:v>0.02999556036286628</x:v>
      </x:c>
      <x:c r="AC47" s="54" t="n">
        <x:f>IF(OR(R47="No",S47-T47*Assumptions!$B$9&lt;=0),"",AA47/(Assumptions!$B$8*(S47-T47*Assumptions!$B$9)))</x:f>
        <x:v>66.64768202446955</x:v>
      </x:c>
      <x:c r="AD47" s="52" t="n">
        <x:f>IF(OR(R47="No",U47*S47=0),"",AA47/(U47*S47))</x:f>
        <x:v>0.02999556036286628</x:v>
      </x:c>
      <x:c r="AE47" s="50" t="str">
        <x:f>IF(R47="No","No finance data",IF(AB47&gt;=10%,"Severe",IF(AB47&gt;=5%,"High",IF(AB47&gt;=2%,"Moderate","Low"))))</x:f>
        <x:v>Moderate</x:v>
      </x:c>
      <x:c r="AF47" s="60" t="n">
        <x:v>36.189812</x:v>
      </x:c>
      <x:c r="AG47" s="60" t="n">
        <x:v>-94.560283</x:v>
      </x:c>
      <x:c r="AH47" s="44" t="str">
        <x:v>Undergraduate tuition-contribution proxy only; not an audited total institutional budget.</x:v>
      </x:c>
    </x:row>
    <x:row r="48">
      <x:c r="A48" s="16" t="n">
        <x:v>106342</x:v>
      </x:c>
      <x:c r="B48" s="16" t="str">
        <x:v>Lyon College</x:v>
      </x:c>
      <x:c r="C48" s="16" t="str">
        <x:v>AR</x:v>
      </x:c>
      <x:c r="D48" s="16" t="str">
        <x:v>Private nonprofit</x:v>
      </x:c>
      <x:c r="E48" s="34" t="n">
        <x:v>675</x:v>
      </x:c>
      <x:c r="F48" s="21" t="n">
        <x:v>0.2721</x:v>
      </x:c>
      <x:c r="G48" s="16" t="str">
        <x:v>National</x:v>
      </x:c>
      <x:c r="H48" s="36" t="n">
        <x:f>IF(G48="National",Assumptions!$B$11,IF(G48="Statewide",Assumptions!$B$12,Assumptions!$B$13))</x:f>
        <x:v>0.25</x:v>
      </x:c>
      <x:c r="I48" s="21" t="n">
        <x:v>-0.0449438202247191</x:v>
      </x:c>
      <x:c r="J48" s="21" t="n">
        <x:v>-0.03819667103465585</x:v>
      </x:c>
      <x:c r="K48" s="21" t="n">
        <x:v>-0.09861432514567714</x:v>
      </x:c>
      <x:c r="L48" s="36" t="n">
        <x:f>IF(Assumptions!$B$4=2030,I48,IF(Assumptions!$B$4=2035,J48,K48))</x:f>
        <x:v>-0.03819667103465585</x:v>
      </x:c>
      <x:c r="M48" s="36" t="n">
        <x:f>Assumptions!$B$19</x:f>
        <x:v>-0.04739891965741583</x:v>
      </x:c>
      <x:c r="N48" s="52" t="n">
        <x:f>H48*L48+(1-H48)*M48+O48</x:f>
        <x:v>-0.04509835750172583</x:v>
      </x:c>
      <x:c r="O48" s="36" t="n">
        <x:f>Assumptions!$B$10</x:f>
        <x:v>0</x:v>
      </x:c>
      <x:c r="P48" s="54" t="n">
        <x:f>E48*(1+N48)</x:f>
        <x:v>644.558608686335</x:v>
      </x:c>
      <x:c r="Q48" s="54" t="n">
        <x:f>P48-E48</x:f>
        <x:v>-30.441391313665008</x:v>
      </x:c>
      <x:c r="R48" s="16" t="str">
        <x:v>Yes</x:v>
      </x:c>
      <x:c r="S48" s="56" t="n">
        <x:v>8641</x:v>
      </x:c>
      <x:c r="T48" s="56" t="n">
        <x:v>11444</x:v>
      </x:c>
      <x:c r="U48" s="40" t="n">
        <x:f>E48*Assumptions!$B$8</x:f>
        <x:v>573.75</x:v>
      </x:c>
      <x:c r="V48" s="40" t="n">
        <x:f>P48*Assumptions!$B$8</x:f>
        <x:v>547.8748173833848</x:v>
      </x:c>
      <x:c r="W48" s="54" t="n">
        <x:f>V48-U48</x:f>
        <x:v>-25.875182616615234</x:v>
      </x:c>
      <x:c r="X48" s="58" t="n">
        <x:f>IF(R48="No","",W48*S48)</x:f>
        <x:v>-223587.45299017223</x:v>
      </x:c>
      <x:c r="Y48" s="58" t="n">
        <x:f>IF(R48="No","",W48*T48*Assumptions!$B$9)</x:f>
        <x:v>-88834.67695936342</x:v>
      </x:c>
      <x:c r="Z48" s="58" t="n">
        <x:f>IF(R48="No","",X48-Y48)</x:f>
        <x:v>-134752.7760308088</x:v>
      </x:c>
      <x:c r="AA48" s="58" t="n">
        <x:f>IF(R48="No","",MAX(0,-Z48))</x:f>
        <x:v>134752.7760308088</x:v>
      </x:c>
      <x:c r="AB48" s="52" t="n">
        <x:f>IF(OR(R48="No",U48*S48=0),"",AA48/(U48*S48))</x:f>
        <x:v>0.027180097928189807</x:v>
      </x:c>
      <x:c r="AC48" s="54" t="n">
        <x:f>IF(OR(R48="No",S48-T48*Assumptions!$B$9&lt;=0),"",AA48/(Assumptions!$B$8*(S48-T48*Assumptions!$B$9)))</x:f>
        <x:v>30.441391313664976</x:v>
      </x:c>
      <x:c r="AD48" s="52" t="n">
        <x:f>IF(OR(R48="No",U48*S48=0),"",AA48/(U48*S48))</x:f>
        <x:v>0.027180097928189807</x:v>
      </x:c>
      <x:c r="AE48" s="50" t="str">
        <x:f>IF(R48="No","No finance data",IF(AB48&gt;=10%,"Severe",IF(AB48&gt;=5%,"High",IF(AB48&gt;=2%,"Moderate","Low"))))</x:f>
        <x:v>Moderate</x:v>
      </x:c>
      <x:c r="AF48" s="60" t="n">
        <x:v>35.777619</x:v>
      </x:c>
      <x:c r="AG48" s="60" t="n">
        <x:v>-91.625354</x:v>
      </x:c>
      <x:c r="AH48" s="44" t="str">
        <x:v>Undergraduate tuition-contribution proxy only; not an audited total institutional budget.</x:v>
      </x:c>
    </x:row>
    <x:row r="49">
      <x:c r="A49" s="16" t="n">
        <x:v>107512</x:v>
      </x:c>
      <x:c r="B49" s="16" t="str">
        <x:v>Ouachita Baptist University</x:v>
      </x:c>
      <x:c r="C49" s="16" t="str">
        <x:v>AR</x:v>
      </x:c>
      <x:c r="D49" s="16" t="str">
        <x:v>Private nonprofit</x:v>
      </x:c>
      <x:c r="E49" s="34" t="n">
        <x:v>1471</x:v>
      </x:c>
      <x:c r="F49" s="21" t="n">
        <x:v>0.7375</x:v>
      </x:c>
      <x:c r="G49" s="16" t="str">
        <x:v>Regional</x:v>
      </x:c>
      <x:c r="H49" s="36" t="n">
        <x:f>IF(G49="National",Assumptions!$B$11,IF(G49="Statewide",Assumptions!$B$12,Assumptions!$B$13))</x:f>
        <x:v>0.85</x:v>
      </x:c>
      <x:c r="I49" s="21" t="n">
        <x:v>-0.0449438202247191</x:v>
      </x:c>
      <x:c r="J49" s="21" t="n">
        <x:v>-0.03819667103465585</x:v>
      </x:c>
      <x:c r="K49" s="21" t="n">
        <x:v>-0.09861432514567714</x:v>
      </x:c>
      <x:c r="L49" s="36" t="n">
        <x:f>IF(Assumptions!$B$4=2030,I49,IF(Assumptions!$B$4=2035,J49,K49))</x:f>
        <x:v>-0.03819667103465585</x:v>
      </x:c>
      <x:c r="M49" s="36" t="n">
        <x:f>Assumptions!$B$19</x:f>
        <x:v>-0.04739891965741583</x:v>
      </x:c>
      <x:c r="N49" s="52" t="n">
        <x:f>H49*L49+(1-H49)*M49+O49</x:f>
        <x:v>-0.039577008328069846</x:v>
      </x:c>
      <x:c r="O49" s="36" t="n">
        <x:f>Assumptions!$B$10</x:f>
        <x:v>0</x:v>
      </x:c>
      <x:c r="P49" s="54" t="n">
        <x:f>E49*(1+N49)</x:f>
        <x:v>1412.7822207494091</x:v>
      </x:c>
      <x:c r="Q49" s="54" t="n">
        <x:f>P49-E49</x:f>
        <x:v>-58.217779250590866</x:v>
      </x:c>
      <x:c r="R49" s="16" t="str">
        <x:v>Yes</x:v>
      </x:c>
      <x:c r="S49" s="56" t="n">
        <x:v>10448</x:v>
      </x:c>
      <x:c r="T49" s="56" t="n">
        <x:v>8981</x:v>
      </x:c>
      <x:c r="U49" s="40" t="n">
        <x:f>E49*Assumptions!$B$8</x:f>
        <x:v>1250.35</x:v>
      </x:c>
      <x:c r="V49" s="40" t="n">
        <x:f>P49*Assumptions!$B$8</x:f>
        <x:v>1200.8648876369978</x:v>
      </x:c>
      <x:c r="W49" s="54" t="n">
        <x:f>V49-U49</x:f>
        <x:v>-49.485112363002145</x:v>
      </x:c>
      <x:c r="X49" s="58" t="n">
        <x:f>IF(R49="No","",W49*S49)</x:f>
        <x:v>-517020.4539686464</x:v>
      </x:c>
      <x:c r="Y49" s="58" t="n">
        <x:f>IF(R49="No","",W49*T49*Assumptions!$B$9)</x:f>
        <x:v>-133327.73823963667</x:v>
      </x:c>
      <x:c r="Z49" s="58" t="n">
        <x:f>IF(R49="No","",X49-Y49)</x:f>
        <x:v>-383692.7157290097</x:v>
      </x:c>
      <x:c r="AA49" s="58" t="n">
        <x:f>IF(R49="No","",MAX(0,-Z49))</x:f>
        <x:v>383692.7157290097</x:v>
      </x:c>
      <x:c r="AB49" s="52" t="n">
        <x:f>IF(OR(R49="No",U49*S49=0),"",AA49/(U49*S49))</x:f>
        <x:v>0.029371003969501843</x:v>
      </x:c>
      <x:c r="AC49" s="54" t="n">
        <x:f>IF(OR(R49="No",S49-T49*Assumptions!$B$9&lt;=0),"",AA49/(Assumptions!$B$8*(S49-T49*Assumptions!$B$9)))</x:f>
        <x:v>58.21777925059075</x:v>
      </x:c>
      <x:c r="AD49" s="52" t="n">
        <x:f>IF(OR(R49="No",U49*S49=0),"",AA49/(U49*S49))</x:f>
        <x:v>0.029371003969501843</x:v>
      </x:c>
      <x:c r="AE49" s="50" t="str">
        <x:f>IF(R49="No","No finance data",IF(AB49&gt;=10%,"Severe",IF(AB49&gt;=5%,"High",IF(AB49&gt;=2%,"Moderate","Low"))))</x:f>
        <x:v>Moderate</x:v>
      </x:c>
      <x:c r="AF49" s="60" t="n">
        <x:v>34.126093</x:v>
      </x:c>
      <x:c r="AG49" s="60" t="n">
        <x:v>-93.052471</x:v>
      </x:c>
      <x:c r="AH49" s="44" t="str">
        <x:v>Undergraduate tuition-contribution proxy only; not an audited total institutional budget.</x:v>
      </x:c>
    </x:row>
    <x:row r="50">
      <x:c r="A50" s="16" t="n">
        <x:v>107600</x:v>
      </x:c>
      <x:c r="B50" s="16" t="str">
        <x:v>Philander Smith College</x:v>
      </x:c>
      <x:c r="C50" s="16" t="str">
        <x:v>AR</x:v>
      </x:c>
      <x:c r="D50" s="16" t="str">
        <x:v>Private nonprofit</x:v>
      </x:c>
      <x:c r="E50" s="34" t="n">
        <x:v>584</x:v>
      </x:c>
      <x:c r="F50" s="21"/>
      <x:c r="G50" s="16" t="str">
        <x:v>Regional</x:v>
      </x:c>
      <x:c r="H50" s="36" t="n">
        <x:f>IF(G50="National",Assumptions!$B$11,IF(G50="Statewide",Assumptions!$B$12,Assumptions!$B$13))</x:f>
        <x:v>0.85</x:v>
      </x:c>
      <x:c r="I50" s="21" t="n">
        <x:v>-0.0449438202247191</x:v>
      </x:c>
      <x:c r="J50" s="21" t="n">
        <x:v>-0.03819667103465585</x:v>
      </x:c>
      <x:c r="K50" s="21" t="n">
        <x:v>-0.09861432514567714</x:v>
      </x:c>
      <x:c r="L50" s="36" t="n">
        <x:f>IF(Assumptions!$B$4=2030,I50,IF(Assumptions!$B$4=2035,J50,K50))</x:f>
        <x:v>-0.03819667103465585</x:v>
      </x:c>
      <x:c r="M50" s="36" t="n">
        <x:f>Assumptions!$B$19</x:f>
        <x:v>-0.04739891965741583</x:v>
      </x:c>
      <x:c r="N50" s="52" t="n">
        <x:f>H50*L50+(1-H50)*M50+O50</x:f>
        <x:v>-0.039577008328069846</x:v>
      </x:c>
      <x:c r="O50" s="36" t="n">
        <x:f>Assumptions!$B$10</x:f>
        <x:v>0</x:v>
      </x:c>
      <x:c r="P50" s="54" t="n">
        <x:f>E50*(1+N50)</x:f>
        <x:v>560.8870271364071</x:v>
      </x:c>
      <x:c r="Q50" s="54" t="n">
        <x:f>P50-E50</x:f>
        <x:v>-23.11297286359286</x:v>
      </x:c>
      <x:c r="R50" s="16" t="str">
        <x:v>Yes</x:v>
      </x:c>
      <x:c r="S50" s="56" t="n">
        <x:v>5613</x:v>
      </x:c>
      <x:c r="T50" s="56" t="n">
        <x:v>5287</x:v>
      </x:c>
      <x:c r="U50" s="40" t="n">
        <x:f>E50*Assumptions!$B$8</x:f>
        <x:v>496.4</x:v>
      </x:c>
      <x:c r="V50" s="40" t="n">
        <x:f>P50*Assumptions!$B$8</x:f>
        <x:v>476.75397306594607</x:v>
      </x:c>
      <x:c r="W50" s="54" t="n">
        <x:f>V50-U50</x:f>
        <x:v>-19.646026934053907</x:v>
      </x:c>
      <x:c r="X50" s="58" t="n">
        <x:f>IF(R50="No","",W50*S50)</x:f>
        <x:v>-110273.14918084459</x:v>
      </x:c>
      <x:c r="Y50" s="58" t="n">
        <x:f>IF(R50="No","",W50*T50*Assumptions!$B$9)</x:f>
        <x:v>-31160.563320102898</x:v>
      </x:c>
      <x:c r="Z50" s="58" t="n">
        <x:f>IF(R50="No","",X50-Y50)</x:f>
        <x:v>-79112.58586074169</x:v>
      </x:c>
      <x:c r="AA50" s="58" t="n">
        <x:f>IF(R50="No","",MAX(0,-Z50))</x:f>
        <x:v>79112.58586074169</x:v>
      </x:c>
      <x:c r="AB50" s="52" t="n">
        <x:f>IF(OR(R50="No",U50*S50=0),"",AA50/(U50*S50))</x:f>
        <x:v>0.028393489192286618</x:v>
      </x:c>
      <x:c r="AC50" s="54" t="n">
        <x:f>IF(OR(R50="No",S50-T50*Assumptions!$B$9&lt;=0),"",AA50/(Assumptions!$B$8*(S50-T50*Assumptions!$B$9)))</x:f>
        <x:v>23.112972863592837</x:v>
      </x:c>
      <x:c r="AD50" s="52" t="n">
        <x:f>IF(OR(R50="No",U50*S50=0),"",AA50/(U50*S50))</x:f>
        <x:v>0.028393489192286618</x:v>
      </x:c>
      <x:c r="AE50" s="50" t="str">
        <x:f>IF(R50="No","No finance data",IF(AB50&gt;=10%,"Severe",IF(AB50&gt;=5%,"High",IF(AB50&gt;=2%,"Moderate","Low"))))</x:f>
        <x:v>Moderate</x:v>
      </x:c>
      <x:c r="AF50" s="60" t="n">
        <x:v>34.737131</x:v>
      </x:c>
      <x:c r="AG50" s="60" t="n">
        <x:v>-92.283015</x:v>
      </x:c>
      <x:c r="AH50" s="44" t="str">
        <x:v>Undergraduate tuition-contribution proxy only; not an audited total institutional budget.</x:v>
      </x:c>
    </x:row>
    <x:row r="51">
      <x:c r="A51" s="16" t="n">
        <x:v>107983</x:v>
      </x:c>
      <x:c r="B51" s="16" t="str">
        <x:v>Southern Arkansas University Main Campus</x:v>
      </x:c>
      <x:c r="C51" s="16" t="str">
        <x:v>AR</x:v>
      </x:c>
      <x:c r="D51" s="16" t="str">
        <x:v>Public</x:v>
      </x:c>
      <x:c r="E51" s="34" t="n">
        <x:v>2859</x:v>
      </x:c>
      <x:c r="F51" s="21" t="n">
        <x:v>0.626</x:v>
      </x:c>
      <x:c r="G51" s="16" t="str">
        <x:v>Regional</x:v>
      </x:c>
      <x:c r="H51" s="36" t="n">
        <x:f>IF(G51="National",Assumptions!$B$11,IF(G51="Statewide",Assumptions!$B$12,Assumptions!$B$13))</x:f>
        <x:v>0.85</x:v>
      </x:c>
      <x:c r="I51" s="21" t="n">
        <x:v>-0.0449438202247191</x:v>
      </x:c>
      <x:c r="J51" s="21" t="n">
        <x:v>-0.03819667103465585</x:v>
      </x:c>
      <x:c r="K51" s="21" t="n">
        <x:v>-0.09861432514567714</x:v>
      </x:c>
      <x:c r="L51" s="36" t="n">
        <x:f>IF(Assumptions!$B$4=2030,I51,IF(Assumptions!$B$4=2035,J51,K51))</x:f>
        <x:v>-0.03819667103465585</x:v>
      </x:c>
      <x:c r="M51" s="36" t="n">
        <x:f>Assumptions!$B$19</x:f>
        <x:v>-0.04739891965741583</x:v>
      </x:c>
      <x:c r="N51" s="52" t="n">
        <x:f>H51*L51+(1-H51)*M51+O51</x:f>
        <x:v>-0.039577008328069846</x:v>
      </x:c>
      <x:c r="O51" s="36" t="n">
        <x:f>Assumptions!$B$10</x:f>
        <x:v>0</x:v>
      </x:c>
      <x:c r="P51" s="54" t="n">
        <x:f>E51*(1+N51)</x:f>
        <x:v>2745.849333190048</x:v>
      </x:c>
      <x:c r="Q51" s="54" t="n">
        <x:f>P51-E51</x:f>
        <x:v>-113.15066680995187</x:v>
      </x:c>
      <x:c r="R51" s="16" t="str">
        <x:v>Yes</x:v>
      </x:c>
      <x:c r="S51" s="56" t="n">
        <x:v>5505</x:v>
      </x:c>
      <x:c r="T51" s="56" t="n">
        <x:v>4998</x:v>
      </x:c>
      <x:c r="U51" s="40" t="n">
        <x:f>E51*Assumptions!$B$8</x:f>
        <x:v>2430.15</x:v>
      </x:c>
      <x:c r="V51" s="40" t="n">
        <x:f>P51*Assumptions!$B$8</x:f>
        <x:v>2333.971933211541</x:v>
      </x:c>
      <x:c r="W51" s="54" t="n">
        <x:f>V51-U51</x:f>
        <x:v>-96.17806678845909</x:v>
      </x:c>
      <x:c r="X51" s="58" t="n">
        <x:f>IF(R51="No","",W51*S51)</x:f>
        <x:v>-529460.2576704673</x:v>
      </x:c>
      <x:c r="Y51" s="58" t="n">
        <x:f>IF(R51="No","",W51*T51*Assumptions!$B$9)</x:f>
        <x:v>-144209.39334261554</x:v>
      </x:c>
      <x:c r="Z51" s="58" t="n">
        <x:f>IF(R51="No","",X51-Y51)</x:f>
        <x:v>-385250.8643278517</x:v>
      </x:c>
      <x:c r="AA51" s="58" t="n">
        <x:f>IF(R51="No","",MAX(0,-Z51))</x:f>
        <x:v>385250.8643278517</x:v>
      </x:c>
      <x:c r="AB51" s="52" t="n">
        <x:f>IF(OR(R51="No",U51*S51=0),"",AA51/(U51*S51))</x:f>
        <x:v>0.028797395923508957</x:v>
      </x:c>
      <x:c r="AC51" s="54" t="n">
        <x:f>IF(OR(R51="No",S51-T51*Assumptions!$B$9&lt;=0),"",AA51/(Assumptions!$B$8*(S51-T51*Assumptions!$B$9)))</x:f>
        <x:v>113.15066680995184</x:v>
      </x:c>
      <x:c r="AD51" s="52" t="n">
        <x:f>IF(OR(R51="No",U51*S51=0),"",AA51/(U51*S51))</x:f>
        <x:v>0.028797395923508957</x:v>
      </x:c>
      <x:c r="AE51" s="50" t="str">
        <x:f>IF(R51="No","No finance data",IF(AB51&gt;=10%,"Severe",IF(AB51&gt;=5%,"High",IF(AB51&gt;=2%,"Moderate","Low"))))</x:f>
        <x:v>Moderate</x:v>
      </x:c>
      <x:c r="AF51" s="60" t="n">
        <x:v>33.291618</x:v>
      </x:c>
      <x:c r="AG51" s="60" t="n">
        <x:v>-93.235922</x:v>
      </x:c>
      <x:c r="AH51" s="44" t="str">
        <x:v>Undergraduate tuition-contribution proxy only; not an audited total institutional budget.</x:v>
      </x:c>
    </x:row>
    <x:row r="52">
      <x:c r="A52" s="16" t="n">
        <x:v>106397</x:v>
      </x:c>
      <x:c r="B52" s="16" t="str">
        <x:v>University of Arkansas</x:v>
      </x:c>
      <x:c r="C52" s="16" t="str">
        <x:v>AR</x:v>
      </x:c>
      <x:c r="D52" s="16" t="str">
        <x:v>Public</x:v>
      </x:c>
      <x:c r="E52" s="34" t="n">
        <x:v>21815</x:v>
      </x:c>
      <x:c r="F52" s="21" t="n">
        <x:v>0.8267</x:v>
      </x:c>
      <x:c r="G52" s="16" t="str">
        <x:v>Statewide</x:v>
      </x:c>
      <x:c r="H52" s="36" t="n">
        <x:f>IF(G52="National",Assumptions!$B$11,IF(G52="Statewide",Assumptions!$B$12,Assumptions!$B$13))</x:f>
        <x:v>0.6</x:v>
      </x:c>
      <x:c r="I52" s="21" t="n">
        <x:v>-0.0449438202247191</x:v>
      </x:c>
      <x:c r="J52" s="21" t="n">
        <x:v>-0.03819667103465585</x:v>
      </x:c>
      <x:c r="K52" s="21" t="n">
        <x:v>-0.09861432514567714</x:v>
      </x:c>
      <x:c r="L52" s="36" t="n">
        <x:f>IF(Assumptions!$B$4=2030,I52,IF(Assumptions!$B$4=2035,J52,K52))</x:f>
        <x:v>-0.03819667103465585</x:v>
      </x:c>
      <x:c r="M52" s="36" t="n">
        <x:f>Assumptions!$B$19</x:f>
        <x:v>-0.04739891965741583</x:v>
      </x:c>
      <x:c r="N52" s="52" t="n">
        <x:f>H52*L52+(1-H52)*M52+O52</x:f>
        <x:v>-0.04187757048375984</x:v>
      </x:c>
      <x:c r="O52" s="36" t="n">
        <x:f>Assumptions!$B$10</x:f>
        <x:v>0</x:v>
      </x:c>
      <x:c r="P52" s="54" t="n">
        <x:f>E52*(1+N52)</x:f>
        <x:v>20901.44079989678</x:v>
      </x:c>
      <x:c r="Q52" s="54" t="n">
        <x:f>P52-E52</x:f>
        <x:v>-913.5592001032201</x:v>
      </x:c>
      <x:c r="R52" s="16" t="str">
        <x:v>Yes</x:v>
      </x:c>
      <x:c r="S52" s="56" t="n">
        <x:v>9843</x:v>
      </x:c>
      <x:c r="T52" s="56" t="n">
        <x:v>10882</x:v>
      </x:c>
      <x:c r="U52" s="40" t="n">
        <x:f>E52*Assumptions!$B$8</x:f>
        <x:v>18542.75</x:v>
      </x:c>
      <x:c r="V52" s="40" t="n">
        <x:f>P52*Assumptions!$B$8</x:f>
        <x:v>17766.224679912262</x:v>
      </x:c>
      <x:c r="W52" s="54" t="n">
        <x:f>V52-U52</x:f>
        <x:v>-776.5253200877378</x:v>
      </x:c>
      <x:c r="X52" s="58" t="n">
        <x:f>IF(R52="No","",W52*S52)</x:f>
        <x:v>-7643338.725623603</x:v>
      </x:c>
      <x:c r="Y52" s="58" t="n">
        <x:f>IF(R52="No","",W52*T52*Assumptions!$B$9)</x:f>
        <x:v>-2535044.5599584286</x:v>
      </x:c>
      <x:c r="Z52" s="58" t="n">
        <x:f>IF(R52="No","",X52-Y52)</x:f>
        <x:v>-5108294.165665174</x:v>
      </x:c>
      <x:c r="AA52" s="58" t="n">
        <x:f>IF(R52="No","",MAX(0,-Z52))</x:f>
        <x:v>5108294.165665174</x:v>
      </x:c>
      <x:c r="AB52" s="52" t="n">
        <x:f>IF(OR(R52="No",U52*S52=0),"",AA52/(U52*S52))</x:f>
        <x:v>0.02798815500054513</x:v>
      </x:c>
      <x:c r="AC52" s="54" t="n">
        <x:f>IF(OR(R52="No",S52-T52*Assumptions!$B$9&lt;=0),"",AA52/(Assumptions!$B$8*(S52-T52*Assumptions!$B$9)))</x:f>
        <x:v>913.559200103221</x:v>
      </x:c>
      <x:c r="AD52" s="52" t="n">
        <x:f>IF(OR(R52="No",U52*S52=0),"",AA52/(U52*S52))</x:f>
        <x:v>0.02798815500054513</x:v>
      </x:c>
      <x:c r="AE52" s="50" t="str">
        <x:f>IF(R52="No","No finance data",IF(AB52&gt;=10%,"Severe",IF(AB52&gt;=5%,"High",IF(AB52&gt;=2%,"Moderate","Low"))))</x:f>
        <x:v>Moderate</x:v>
      </x:c>
      <x:c r="AF52" s="60" t="n">
        <x:v>36.070009</x:v>
      </x:c>
      <x:c r="AG52" s="60" t="n">
        <x:v>-94.176981</x:v>
      </x:c>
      <x:c r="AH52" s="44" t="str">
        <x:v>Undergraduate tuition-contribution proxy only; not an audited total institutional budget.</x:v>
      </x:c>
    </x:row>
    <x:row r="53">
      <x:c r="A53" s="16" t="n">
        <x:v>106245</x:v>
      </x:c>
      <x:c r="B53" s="16" t="str">
        <x:v>University of Arkansas at Little Rock</x:v>
      </x:c>
      <x:c r="C53" s="16" t="str">
        <x:v>AR</x:v>
      </x:c>
      <x:c r="D53" s="16" t="str">
        <x:v>Public</x:v>
      </x:c>
      <x:c r="E53" s="34" t="n">
        <x:v>7888</x:v>
      </x:c>
      <x:c r="F53" s="21" t="n">
        <x:v>0.5769</x:v>
      </x:c>
      <x:c r="G53" s="16" t="str">
        <x:v>Statewide</x:v>
      </x:c>
      <x:c r="H53" s="36" t="n">
        <x:f>IF(G53="National",Assumptions!$B$11,IF(G53="Statewide",Assumptions!$B$12,Assumptions!$B$13))</x:f>
        <x:v>0.6</x:v>
      </x:c>
      <x:c r="I53" s="21" t="n">
        <x:v>-0.0449438202247191</x:v>
      </x:c>
      <x:c r="J53" s="21" t="n">
        <x:v>-0.03819667103465585</x:v>
      </x:c>
      <x:c r="K53" s="21" t="n">
        <x:v>-0.09861432514567714</x:v>
      </x:c>
      <x:c r="L53" s="36" t="n">
        <x:f>IF(Assumptions!$B$4=2030,I53,IF(Assumptions!$B$4=2035,J53,K53))</x:f>
        <x:v>-0.03819667103465585</x:v>
      </x:c>
      <x:c r="M53" s="36" t="n">
        <x:f>Assumptions!$B$19</x:f>
        <x:v>-0.04739891965741583</x:v>
      </x:c>
      <x:c r="N53" s="52" t="n">
        <x:f>H53*L53+(1-H53)*M53+O53</x:f>
        <x:v>-0.04187757048375984</x:v>
      </x:c>
      <x:c r="O53" s="36" t="n">
        <x:f>Assumptions!$B$10</x:f>
        <x:v>0</x:v>
      </x:c>
      <x:c r="P53" s="54" t="n">
        <x:f>E53*(1+N53)</x:f>
        <x:v>7557.669724024102</x:v>
      </x:c>
      <x:c r="Q53" s="54" t="n">
        <x:f>P53-E53</x:f>
        <x:v>-330.3302759758981</x:v>
      </x:c>
      <x:c r="R53" s="16" t="str">
        <x:v>Yes</x:v>
      </x:c>
      <x:c r="S53" s="56" t="n">
        <x:v>5489</x:v>
      </x:c>
      <x:c r="T53" s="56" t="n">
        <x:v>8464</x:v>
      </x:c>
      <x:c r="U53" s="40" t="n">
        <x:f>E53*Assumptions!$B$8</x:f>
        <x:v>6704.8</x:v>
      </x:c>
      <x:c r="V53" s="40" t="n">
        <x:f>P53*Assumptions!$B$8</x:f>
        <x:v>6424.019265420487</x:v>
      </x:c>
      <x:c r="W53" s="54" t="n">
        <x:f>V53-U53</x:f>
        <x:v>-280.7807345795136</x:v>
      </x:c>
      <x:c r="X53" s="58" t="n">
        <x:f>IF(R53="No","",W53*S53)</x:f>
        <x:v>-1541205.45210695</x:v>
      </x:c>
      <x:c r="Y53" s="58" t="n">
        <x:f>IF(R53="No","",W53*T53*Assumptions!$B$9)</x:f>
        <x:v>-712958.4412443009</x:v>
      </x:c>
      <x:c r="Z53" s="58" t="n">
        <x:f>IF(R53="No","",X53-Y53)</x:f>
        <x:v>-828247.0108626492</x:v>
      </x:c>
      <x:c r="AA53" s="58" t="n">
        <x:f>IF(R53="No","",MAX(0,-Z53))</x:f>
        <x:v>828247.0108626492</x:v>
      </x:c>
      <x:c r="AB53" s="52" t="n">
        <x:f>IF(OR(R53="No",U53*S53=0),"",AA53/(U53*S53))</x:f>
        <x:v>0.022505093352704505</x:v>
      </x:c>
      <x:c r="AC53" s="54" t="n">
        <x:f>IF(OR(R53="No",S53-T53*Assumptions!$B$9&lt;=0),"",AA53/(Assumptions!$B$8*(S53-T53*Assumptions!$B$9)))</x:f>
        <x:v>330.33027597589836</x:v>
      </x:c>
      <x:c r="AD53" s="52" t="n">
        <x:f>IF(OR(R53="No",U53*S53=0),"",AA53/(U53*S53))</x:f>
        <x:v>0.022505093352704505</x:v>
      </x:c>
      <x:c r="AE53" s="50" t="str">
        <x:f>IF(R53="No","No finance data",IF(AB53&gt;=10%,"Severe",IF(AB53&gt;=5%,"High",IF(AB53&gt;=2%,"Moderate","Low"))))</x:f>
        <x:v>Moderate</x:v>
      </x:c>
      <x:c r="AF53" s="60" t="n">
        <x:v>34.723254</x:v>
      </x:c>
      <x:c r="AG53" s="60" t="n">
        <x:v>-92.339778</x:v>
      </x:c>
      <x:c r="AH53" s="44" t="str">
        <x:v>Undergraduate tuition-contribution proxy only; not an audited total institutional budget.</x:v>
      </x:c>
    </x:row>
    <x:row r="54">
      <x:c r="A54" s="16" t="n">
        <x:v>106412</x:v>
      </x:c>
      <x:c r="B54" s="16" t="str">
        <x:v>University of Arkansas at Pine Bluff</x:v>
      </x:c>
      <x:c r="C54" s="16" t="str">
        <x:v>AR</x:v>
      </x:c>
      <x:c r="D54" s="16" t="str">
        <x:v>Public</x:v>
      </x:c>
      <x:c r="E54" s="34" t="n">
        <x:v>2526</x:v>
      </x:c>
      <x:c r="F54" s="21" t="n">
        <x:v>0.6753</x:v>
      </x:c>
      <x:c r="G54" s="16" t="str">
        <x:v>Regional</x:v>
      </x:c>
      <x:c r="H54" s="36" t="n">
        <x:f>IF(G54="National",Assumptions!$B$11,IF(G54="Statewide",Assumptions!$B$12,Assumptions!$B$13))</x:f>
        <x:v>0.85</x:v>
      </x:c>
      <x:c r="I54" s="21" t="n">
        <x:v>-0.0449438202247191</x:v>
      </x:c>
      <x:c r="J54" s="21" t="n">
        <x:v>-0.03819667103465585</x:v>
      </x:c>
      <x:c r="K54" s="21" t="n">
        <x:v>-0.09861432514567714</x:v>
      </x:c>
      <x:c r="L54" s="36" t="n">
        <x:f>IF(Assumptions!$B$4=2030,I54,IF(Assumptions!$B$4=2035,J54,K54))</x:f>
        <x:v>-0.03819667103465585</x:v>
      </x:c>
      <x:c r="M54" s="36" t="n">
        <x:f>Assumptions!$B$19</x:f>
        <x:v>-0.04739891965741583</x:v>
      </x:c>
      <x:c r="N54" s="52" t="n">
        <x:f>H54*L54+(1-H54)*M54+O54</x:f>
        <x:v>-0.039577008328069846</x:v>
      </x:c>
      <x:c r="O54" s="36" t="n">
        <x:f>Assumptions!$B$10</x:f>
        <x:v>0</x:v>
      </x:c>
      <x:c r="P54" s="54" t="n">
        <x:f>E54*(1+N54)</x:f>
        <x:v>2426.0284769632954</x:v>
      </x:c>
      <x:c r="Q54" s="54" t="n">
        <x:f>P54-E54</x:f>
        <x:v>-99.97152303670464</x:v>
      </x:c>
      <x:c r="R54" s="16" t="str">
        <x:v>Yes</x:v>
      </x:c>
      <x:c r="S54" s="56" t="n">
        <x:v>3925</x:v>
      </x:c>
      <x:c r="T54" s="56" t="n">
        <x:v>8295</x:v>
      </x:c>
      <x:c r="U54" s="40" t="n">
        <x:f>E54*Assumptions!$B$8</x:f>
        <x:v>2147.1</x:v>
      </x:c>
      <x:c r="V54" s="40" t="n">
        <x:f>P54*Assumptions!$B$8</x:f>
        <x:v>2062.124205418801</x:v>
      </x:c>
      <x:c r="W54" s="54" t="n">
        <x:f>V54-U54</x:f>
        <x:v>-84.9757945811989</x:v>
      </x:c>
      <x:c r="X54" s="58" t="n">
        <x:f>IF(R54="No","",W54*S54)</x:f>
        <x:v>-333529.9937312057</x:v>
      </x:c>
      <x:c r="Y54" s="58" t="n">
        <x:f>IF(R54="No","",W54*T54*Assumptions!$B$9)</x:f>
        <x:v>-211462.26481531345</x:v>
      </x:c>
      <x:c r="Z54" s="58" t="n">
        <x:f>IF(R54="No","",X54-Y54)</x:f>
        <x:v>-122067.72891589225</x:v>
      </x:c>
      <x:c r="AA54" s="58" t="n">
        <x:f>IF(R54="No","",MAX(0,-Z54))</x:f>
        <x:v>122067.72891589225</x:v>
      </x:c>
      <x:c r="AB54" s="52" t="n">
        <x:f>IF(OR(R54="No",U54*S54=0),"",AA54/(U54*S54))</x:f>
        <x:v>0.014484680882362405</x:v>
      </x:c>
      <x:c r="AC54" s="54" t="n">
        <x:f>IF(OR(R54="No",S54-T54*Assumptions!$B$9&lt;=0),"",AA54/(Assumptions!$B$8*(S54-T54*Assumptions!$B$9)))</x:f>
        <x:v>99.97152303670462</x:v>
      </x:c>
      <x:c r="AD54" s="52" t="n">
        <x:f>IF(OR(R54="No",U54*S54=0),"",AA54/(U54*S54))</x:f>
        <x:v>0.014484680882362405</x:v>
      </x:c>
      <x:c r="AE54" s="50" t="str">
        <x:f>IF(R54="No","No finance data",IF(AB54&gt;=10%,"Severe",IF(AB54&gt;=5%,"High",IF(AB54&gt;=2%,"Moderate","Low"))))</x:f>
        <x:v>Low</x:v>
      </x:c>
      <x:c r="AF54" s="60" t="n">
        <x:v>34.244031</x:v>
      </x:c>
      <x:c r="AG54" s="60" t="n">
        <x:v>-92.018683</x:v>
      </x:c>
      <x:c r="AH54" s="44" t="str">
        <x:v>Undergraduate tuition-contribution proxy only; not an audited total institutional budget.</x:v>
      </x:c>
    </x:row>
    <x:row r="55">
      <x:c r="A55" s="16" t="n">
        <x:v>106263</x:v>
      </x:c>
      <x:c r="B55" s="16" t="str">
        <x:v>University of Arkansas for Medical Sciences</x:v>
      </x:c>
      <x:c r="C55" s="16" t="str">
        <x:v>AR</x:v>
      </x:c>
      <x:c r="D55" s="16" t="str">
        <x:v>Public</x:v>
      </x:c>
      <x:c r="E55" s="34" t="n">
        <x:v>761</x:v>
      </x:c>
      <x:c r="F55" s="21"/>
      <x:c r="G55" s="16" t="str">
        <x:v>Regional</x:v>
      </x:c>
      <x:c r="H55" s="36" t="n">
        <x:f>IF(G55="National",Assumptions!$B$11,IF(G55="Statewide",Assumptions!$B$12,Assumptions!$B$13))</x:f>
        <x:v>0.85</x:v>
      </x:c>
      <x:c r="I55" s="21" t="n">
        <x:v>-0.0449438202247191</x:v>
      </x:c>
      <x:c r="J55" s="21" t="n">
        <x:v>-0.03819667103465585</x:v>
      </x:c>
      <x:c r="K55" s="21" t="n">
        <x:v>-0.09861432514567714</x:v>
      </x:c>
      <x:c r="L55" s="36" t="n">
        <x:f>IF(Assumptions!$B$4=2030,I55,IF(Assumptions!$B$4=2035,J55,K55))</x:f>
        <x:v>-0.03819667103465585</x:v>
      </x:c>
      <x:c r="M55" s="36" t="n">
        <x:f>Assumptions!$B$19</x:f>
        <x:v>-0.04739891965741583</x:v>
      </x:c>
      <x:c r="N55" s="52" t="n">
        <x:f>H55*L55+(1-H55)*M55+O55</x:f>
        <x:v>-0.039577008328069846</x:v>
      </x:c>
      <x:c r="O55" s="36" t="n">
        <x:f>Assumptions!$B$10</x:f>
        <x:v>0</x:v>
      </x:c>
      <x:c r="P55" s="54" t="n">
        <x:f>E55*(1+N55)</x:f>
        <x:v>730.8818966623388</x:v>
      </x:c>
      <x:c r="Q55" s="54" t="n">
        <x:f>P55-E55</x:f>
        <x:v>-30.118103337661182</x:v>
      </x:c>
      <x:c r="R55" s="16" t="str">
        <x:v>Yes</x:v>
      </x:c>
      <x:c r="S55" s="56" t="n">
        <x:v>18169</x:v>
      </x:c>
      <x:c r="T55" s="56" t="n">
        <x:v>47772</x:v>
      </x:c>
      <x:c r="U55" s="40" t="n">
        <x:f>E55*Assumptions!$B$8</x:f>
        <x:v>646.85</x:v>
      </x:c>
      <x:c r="V55" s="40" t="n">
        <x:f>P55*Assumptions!$B$8</x:f>
        <x:v>621.249612162988</x:v>
      </x:c>
      <x:c r="W55" s="54" t="n">
        <x:f>V55-U55</x:f>
        <x:v>-25.600387837012022</x:v>
      </x:c>
      <x:c r="X55" s="58" t="n">
        <x:f>IF(R55="No","",W55*S55)</x:f>
        <x:v>-465133.4466106714</x:v>
      </x:c>
      <x:c r="Y55" s="58" t="n">
        <x:f>IF(R55="No","",W55*T55*Assumptions!$B$9)</x:f>
        <x:v>-366894.5183249215</x:v>
      </x:c>
      <x:c r="Z55" s="58" t="n">
        <x:f>IF(R55="No","",X55-Y55)</x:f>
        <x:v>-98238.92828574992</x:v>
      </x:c>
      <x:c r="AA55" s="58" t="n">
        <x:f>IF(R55="No","",MAX(0,-Z55))</x:f>
        <x:v>98238.92828574992</x:v>
      </x:c>
      <x:c r="AB55" s="52" t="n">
        <x:f>IF(OR(R55="No",U55*S55=0),"",AA55/(U55*S55))</x:f>
        <x:v>0.008358897669554485</x:v>
      </x:c>
      <x:c r="AC55" s="54" t="n">
        <x:f>IF(OR(R55="No",S55-T55*Assumptions!$B$9&lt;=0),"",AA55/(Assumptions!$B$8*(S55-T55*Assumptions!$B$9)))</x:f>
        <x:v>30.118103337661204</x:v>
      </x:c>
      <x:c r="AD55" s="52" t="n">
        <x:f>IF(OR(R55="No",U55*S55=0),"",AA55/(U55*S55))</x:f>
        <x:v>0.008358897669554485</x:v>
      </x:c>
      <x:c r="AE55" s="50" t="str">
        <x:f>IF(R55="No","No finance data",IF(AB55&gt;=10%,"Severe",IF(AB55&gt;=5%,"High",IF(AB55&gt;=2%,"Moderate","Low"))))</x:f>
        <x:v>Low</x:v>
      </x:c>
      <x:c r="AF55" s="60" t="n">
        <x:v>34.750152</x:v>
      </x:c>
      <x:c r="AG55" s="60" t="n">
        <x:v>-92.322348</x:v>
      </x:c>
      <x:c r="AH55" s="44" t="str">
        <x:v>Undergraduate tuition-contribution proxy only; not an audited total institutional budget.</x:v>
      </x:c>
    </x:row>
    <x:row r="56">
      <x:c r="A56" s="16" t="n">
        <x:v>108092</x:v>
      </x:c>
      <x:c r="B56" s="16" t="str">
        <x:v>University of Arkansas-Fort Smith</x:v>
      </x:c>
      <x:c r="C56" s="16" t="str">
        <x:v>AR</x:v>
      </x:c>
      <x:c r="D56" s="16" t="str">
        <x:v>Public</x:v>
      </x:c>
      <x:c r="E56" s="34" t="n">
        <x:v>5754</x:v>
      </x:c>
      <x:c r="F56" s="21"/>
      <x:c r="G56" s="16" t="str">
        <x:v>Statewide</x:v>
      </x:c>
      <x:c r="H56" s="36" t="n">
        <x:f>IF(G56="National",Assumptions!$B$11,IF(G56="Statewide",Assumptions!$B$12,Assumptions!$B$13))</x:f>
        <x:v>0.6</x:v>
      </x:c>
      <x:c r="I56" s="21" t="n">
        <x:v>-0.0449438202247191</x:v>
      </x:c>
      <x:c r="J56" s="21" t="n">
        <x:v>-0.03819667103465585</x:v>
      </x:c>
      <x:c r="K56" s="21" t="n">
        <x:v>-0.09861432514567714</x:v>
      </x:c>
      <x:c r="L56" s="36" t="n">
        <x:f>IF(Assumptions!$B$4=2030,I56,IF(Assumptions!$B$4=2035,J56,K56))</x:f>
        <x:v>-0.03819667103465585</x:v>
      </x:c>
      <x:c r="M56" s="36" t="n">
        <x:f>Assumptions!$B$19</x:f>
        <x:v>-0.04739891965741583</x:v>
      </x:c>
      <x:c r="N56" s="52" t="n">
        <x:f>H56*L56+(1-H56)*M56+O56</x:f>
        <x:v>-0.04187757048375984</x:v>
      </x:c>
      <x:c r="O56" s="36" t="n">
        <x:f>Assumptions!$B$10</x:f>
        <x:v>0</x:v>
      </x:c>
      <x:c r="P56" s="54" t="n">
        <x:f>E56*(1+N56)</x:f>
        <x:v>5513.0364594364455</x:v>
      </x:c>
      <x:c r="Q56" s="54" t="n">
        <x:f>P56-E56</x:f>
        <x:v>-240.9635405635545</x:v>
      </x:c>
      <x:c r="R56" s="16" t="str">
        <x:v>Yes</x:v>
      </x:c>
      <x:c r="S56" s="56" t="n">
        <x:v>3065</x:v>
      </x:c>
      <x:c r="T56" s="56" t="n">
        <x:v>7558</x:v>
      </x:c>
      <x:c r="U56" s="40" t="n">
        <x:f>E56*Assumptions!$B$8</x:f>
        <x:v>4890.9</x:v>
      </x:c>
      <x:c r="V56" s="40" t="n">
        <x:f>P56*Assumptions!$B$8</x:f>
        <x:v>4686.080990520979</x:v>
      </x:c>
      <x:c r="W56" s="54" t="n">
        <x:f>V56-U56</x:f>
        <x:v>-204.81900947902068</x:v>
      </x:c>
      <x:c r="X56" s="58" t="n">
        <x:f>IF(R56="No","",W56*S56)</x:f>
        <x:v>-627770.2640531984</x:v>
      </x:c>
      <x:c r="Y56" s="58" t="n">
        <x:f>IF(R56="No","",W56*T56*Assumptions!$B$9)</x:f>
        <x:v>-464406.6220927315</x:v>
      </x:c>
      <x:c r="Z56" s="58" t="n">
        <x:f>IF(R56="No","",X56-Y56)</x:f>
        <x:v>-163363.64196046692</x:v>
      </x:c>
      <x:c r="AA56" s="58" t="n">
        <x:f>IF(R56="No","",MAX(0,-Z56))</x:f>
        <x:v>163363.64196046692</x:v>
      </x:c>
      <x:c r="AB56" s="52" t="n">
        <x:f>IF(OR(R56="No",U56*S56=0),"",AA56/(U56*S56))</x:f>
        <x:v>0.010897732534370898</x:v>
      </x:c>
      <x:c r="AC56" s="54" t="n">
        <x:f>IF(OR(R56="No",S56-T56*Assumptions!$B$9&lt;=0),"",AA56/(Assumptions!$B$8*(S56-T56*Assumptions!$B$9)))</x:f>
        <x:v>240.9635405635538</x:v>
      </x:c>
      <x:c r="AD56" s="52" t="n">
        <x:f>IF(OR(R56="No",U56*S56=0),"",AA56/(U56*S56))</x:f>
        <x:v>0.010897732534370898</x:v>
      </x:c>
      <x:c r="AE56" s="50" t="str">
        <x:f>IF(R56="No","No finance data",IF(AB56&gt;=10%,"Severe",IF(AB56&gt;=5%,"High",IF(AB56&gt;=2%,"Moderate","Low"))))</x:f>
        <x:v>Low</x:v>
      </x:c>
      <x:c r="AF56" s="60" t="n">
        <x:v>35.384184</x:v>
      </x:c>
      <x:c r="AG56" s="60" t="n">
        <x:v>-94.373729</x:v>
      </x:c>
      <x:c r="AH56" s="44" t="str">
        <x:v>Undergraduate tuition-contribution proxy only; not an audited total institutional budget.</x:v>
      </x:c>
    </x:row>
    <x:row r="57">
      <x:c r="A57" s="16" t="n">
        <x:v>106704</x:v>
      </x:c>
      <x:c r="B57" s="16" t="str">
        <x:v>University of Central Arkansas</x:v>
      </x:c>
      <x:c r="C57" s="16" t="str">
        <x:v>AR</x:v>
      </x:c>
      <x:c r="D57" s="16" t="str">
        <x:v>Public</x:v>
      </x:c>
      <x:c r="E57" s="34" t="n">
        <x:v>9340</x:v>
      </x:c>
      <x:c r="F57" s="21" t="n">
        <x:v>0.9237</x:v>
      </x:c>
      <x:c r="G57" s="16" t="str">
        <x:v>Statewide</x:v>
      </x:c>
      <x:c r="H57" s="36" t="n">
        <x:f>IF(G57="National",Assumptions!$B$11,IF(G57="Statewide",Assumptions!$B$12,Assumptions!$B$13))</x:f>
        <x:v>0.6</x:v>
      </x:c>
      <x:c r="I57" s="21" t="n">
        <x:v>-0.0449438202247191</x:v>
      </x:c>
      <x:c r="J57" s="21" t="n">
        <x:v>-0.03819667103465585</x:v>
      </x:c>
      <x:c r="K57" s="21" t="n">
        <x:v>-0.09861432514567714</x:v>
      </x:c>
      <x:c r="L57" s="36" t="n">
        <x:f>IF(Assumptions!$B$4=2030,I57,IF(Assumptions!$B$4=2035,J57,K57))</x:f>
        <x:v>-0.03819667103465585</x:v>
      </x:c>
      <x:c r="M57" s="36" t="n">
        <x:f>Assumptions!$B$19</x:f>
        <x:v>-0.04739891965741583</x:v>
      </x:c>
      <x:c r="N57" s="52" t="n">
        <x:f>H57*L57+(1-H57)*M57+O57</x:f>
        <x:v>-0.04187757048375984</x:v>
      </x:c>
      <x:c r="O57" s="36" t="n">
        <x:f>Assumptions!$B$10</x:f>
        <x:v>0</x:v>
      </x:c>
      <x:c r="P57" s="54" t="n">
        <x:f>E57*(1+N57)</x:f>
        <x:v>8948.863491681683</x:v>
      </x:c>
      <x:c r="Q57" s="54" t="n">
        <x:f>P57-E57</x:f>
        <x:v>-391.1365083183173</x:v>
      </x:c>
      <x:c r="R57" s="16" t="str">
        <x:v>Yes</x:v>
      </x:c>
      <x:c r="S57" s="56" t="n">
        <x:v>5463</x:v>
      </x:c>
      <x:c r="T57" s="56" t="n">
        <x:v>8113</x:v>
      </x:c>
      <x:c r="U57" s="40" t="n">
        <x:f>E57*Assumptions!$B$8</x:f>
        <x:v>7939</x:v>
      </x:c>
      <x:c r="V57" s="40" t="n">
        <x:f>P57*Assumptions!$B$8</x:f>
        <x:v>7606.53396792943</x:v>
      </x:c>
      <x:c r="W57" s="54" t="n">
        <x:f>V57-U57</x:f>
        <x:v>-332.4660320705698</x:v>
      </x:c>
      <x:c r="X57" s="58" t="n">
        <x:f>IF(R57="No","",W57*S57)</x:f>
        <x:v>-1816261.9332015228</x:v>
      </x:c>
      <x:c r="Y57" s="58" t="n">
        <x:f>IF(R57="No","",W57*T57*Assumptions!$B$9)</x:f>
        <x:v>-809189.0754565598</x:v>
      </x:c>
      <x:c r="Z57" s="58" t="n">
        <x:f>IF(R57="No","",X57-Y57)</x:f>
        <x:v>-1007072.857744963</x:v>
      </x:c>
      <x:c r="AA57" s="58" t="n">
        <x:f>IF(R57="No","",MAX(0,-Z57))</x:f>
        <x:v>1007072.857744963</x:v>
      </x:c>
      <x:c r="AB57" s="52" t="n">
        <x:f>IF(OR(R57="No",U57*S57=0),"",AA57/(U57*S57))</x:f>
        <x:v>0.023220089465926616</x:v>
      </x:c>
      <x:c r="AC57" s="54" t="n">
        <x:f>IF(OR(R57="No",S57-T57*Assumptions!$B$9&lt;=0),"",AA57/(Assumptions!$B$8*(S57-T57*Assumptions!$B$9)))</x:f>
        <x:v>391.13650831831745</x:v>
      </x:c>
      <x:c r="AD57" s="52" t="n">
        <x:f>IF(OR(R57="No",U57*S57=0),"",AA57/(U57*S57))</x:f>
        <x:v>0.023220089465926616</x:v>
      </x:c>
      <x:c r="AE57" s="50" t="str">
        <x:f>IF(R57="No","No finance data",IF(AB57&gt;=10%,"Severe",IF(AB57&gt;=5%,"High",IF(AB57&gt;=2%,"Moderate","Low"))))</x:f>
        <x:v>Moderate</x:v>
      </x:c>
      <x:c r="AF57" s="60" t="n">
        <x:v>35.077945</x:v>
      </x:c>
      <x:c r="AG57" s="60" t="n">
        <x:v>-92.457672</x:v>
      </x:c>
      <x:c r="AH57" s="44" t="str">
        <x:v>Undergraduate tuition-contribution proxy only; not an audited total institutional budget.</x:v>
      </x:c>
    </x:row>
    <x:row r="58">
      <x:c r="A58" s="16" t="n">
        <x:v>107558</x:v>
      </x:c>
      <x:c r="B58" s="16" t="str">
        <x:v>University of the Ozarks</x:v>
      </x:c>
      <x:c r="C58" s="16" t="str">
        <x:v>AR</x:v>
      </x:c>
      <x:c r="D58" s="16" t="str">
        <x:v>Private nonprofit</x:v>
      </x:c>
      <x:c r="E58" s="34" t="n">
        <x:v>640</x:v>
      </x:c>
      <x:c r="F58" s="21" t="n">
        <x:v>0.5537</x:v>
      </x:c>
      <x:c r="G58" s="16" t="str">
        <x:v>Regional</x:v>
      </x:c>
      <x:c r="H58" s="36" t="n">
        <x:f>IF(G58="National",Assumptions!$B$11,IF(G58="Statewide",Assumptions!$B$12,Assumptions!$B$13))</x:f>
        <x:v>0.85</x:v>
      </x:c>
      <x:c r="I58" s="21" t="n">
        <x:v>-0.0449438202247191</x:v>
      </x:c>
      <x:c r="J58" s="21" t="n">
        <x:v>-0.03819667103465585</x:v>
      </x:c>
      <x:c r="K58" s="21" t="n">
        <x:v>-0.09861432514567714</x:v>
      </x:c>
      <x:c r="L58" s="36" t="n">
        <x:f>IF(Assumptions!$B$4=2030,I58,IF(Assumptions!$B$4=2035,J58,K58))</x:f>
        <x:v>-0.03819667103465585</x:v>
      </x:c>
      <x:c r="M58" s="36" t="n">
        <x:f>Assumptions!$B$19</x:f>
        <x:v>-0.04739891965741583</x:v>
      </x:c>
      <x:c r="N58" s="52" t="n">
        <x:f>H58*L58+(1-H58)*M58+O58</x:f>
        <x:v>-0.039577008328069846</x:v>
      </x:c>
      <x:c r="O58" s="36" t="n">
        <x:f>Assumptions!$B$10</x:f>
        <x:v>0</x:v>
      </x:c>
      <x:c r="P58" s="54" t="n">
        <x:f>E58*(1+N58)</x:f>
        <x:v>614.6707146700353</x:v>
      </x:c>
      <x:c r="Q58" s="54" t="n">
        <x:f>P58-E58</x:f>
        <x:v>-25.329285329964705</x:v>
      </x:c>
      <x:c r="R58" s="16" t="str">
        <x:v>Yes</x:v>
      </x:c>
      <x:c r="S58" s="56" t="n">
        <x:v>11974</x:v>
      </x:c>
      <x:c r="T58" s="56" t="n">
        <x:v>9289</x:v>
      </x:c>
      <x:c r="U58" s="40" t="n">
        <x:f>E58*Assumptions!$B$8</x:f>
        <x:v>544</x:v>
      </x:c>
      <x:c r="V58" s="40" t="n">
        <x:f>P58*Assumptions!$B$8</x:f>
        <x:v>522.47010746953</x:v>
      </x:c>
      <x:c r="W58" s="54" t="n">
        <x:f>V58-U58</x:f>
        <x:v>-21.529892530469965</x:v>
      </x:c>
      <x:c r="X58" s="58" t="n">
        <x:f>IF(R58="No","",W58*S58)</x:f>
        <x:v>-257798.93315984737</x:v>
      </x:c>
      <x:c r="Y58" s="58" t="n">
        <x:f>IF(R58="No","",W58*T58*Assumptions!$B$9)</x:f>
        <x:v>-59997.35151466065</x:v>
      </x:c>
      <x:c r="Z58" s="58" t="n">
        <x:f>IF(R58="No","",X58-Y58)</x:f>
        <x:v>-197801.5816451867</x:v>
      </x:c>
      <x:c r="AA58" s="58" t="n">
        <x:f>IF(R58="No","",MAX(0,-Z58))</x:f>
        <x:v>197801.5816451867</x:v>
      </x:c>
      <x:c r="AB58" s="52" t="n">
        <x:f>IF(OR(R58="No",U58*S58=0),"",AA58/(U58*S58))</x:f>
        <x:v>0.030366280993191545</x:v>
      </x:c>
      <x:c r="AC58" s="54" t="n">
        <x:f>IF(OR(R58="No",S58-T58*Assumptions!$B$9&lt;=0),"",AA58/(Assumptions!$B$8*(S58-T58*Assumptions!$B$9)))</x:f>
        <x:v>25.329285329964666</x:v>
      </x:c>
      <x:c r="AD58" s="52" t="n">
        <x:f>IF(OR(R58="No",U58*S58=0),"",AA58/(U58*S58))</x:f>
        <x:v>0.030366280993191545</x:v>
      </x:c>
      <x:c r="AE58" s="50" t="str">
        <x:f>IF(R58="No","No finance data",IF(AB58&gt;=10%,"Severe",IF(AB58&gt;=5%,"High",IF(AB58&gt;=2%,"Moderate","Low"))))</x:f>
        <x:v>Moderate</x:v>
      </x:c>
      <x:c r="AF58" s="60" t="n">
        <x:v>35.476278</x:v>
      </x:c>
      <x:c r="AG58" s="60" t="n">
        <x:v>-93.467221</x:v>
      </x:c>
      <x:c r="AH58" s="44" t="str">
        <x:v>Undergraduate tuition-contribution proxy only; not an audited total institutional budget.</x:v>
      </x:c>
    </x:row>
    <x:row r="59">
      <x:c r="A59" s="16" t="n">
        <x:v>107877</x:v>
      </x:c>
      <x:c r="B59" s="16" t="str">
        <x:v>Williams Baptist College</x:v>
      </x:c>
      <x:c r="C59" s="16" t="str">
        <x:v>AR</x:v>
      </x:c>
      <x:c r="D59" s="16" t="str">
        <x:v>Private nonprofit</x:v>
      </x:c>
      <x:c r="E59" s="34" t="n">
        <x:v>490</x:v>
      </x:c>
      <x:c r="F59" s="21" t="n">
        <x:v>0.641</x:v>
      </x:c>
      <x:c r="G59" s="16" t="str">
        <x:v>Regional</x:v>
      </x:c>
      <x:c r="H59" s="36" t="n">
        <x:f>IF(G59="National",Assumptions!$B$11,IF(G59="Statewide",Assumptions!$B$12,Assumptions!$B$13))</x:f>
        <x:v>0.85</x:v>
      </x:c>
      <x:c r="I59" s="21" t="n">
        <x:v>-0.0449438202247191</x:v>
      </x:c>
      <x:c r="J59" s="21" t="n">
        <x:v>-0.03819667103465585</x:v>
      </x:c>
      <x:c r="K59" s="21" t="n">
        <x:v>-0.09861432514567714</x:v>
      </x:c>
      <x:c r="L59" s="36" t="n">
        <x:f>IF(Assumptions!$B$4=2030,I59,IF(Assumptions!$B$4=2035,J59,K59))</x:f>
        <x:v>-0.03819667103465585</x:v>
      </x:c>
      <x:c r="M59" s="36" t="n">
        <x:f>Assumptions!$B$19</x:f>
        <x:v>-0.04739891965741583</x:v>
      </x:c>
      <x:c r="N59" s="52" t="n">
        <x:f>H59*L59+(1-H59)*M59+O59</x:f>
        <x:v>-0.039577008328069846</x:v>
      </x:c>
      <x:c r="O59" s="36" t="n">
        <x:f>Assumptions!$B$10</x:f>
        <x:v>0</x:v>
      </x:c>
      <x:c r="P59" s="54" t="n">
        <x:f>E59*(1+N59)</x:f>
        <x:v>470.6072659192458</x:v>
      </x:c>
      <x:c r="Q59" s="54" t="n">
        <x:f>P59-E59</x:f>
        <x:v>-19.392734080754224</x:v>
      </x:c>
      <x:c r="R59" s="16" t="str">
        <x:v>Yes</x:v>
      </x:c>
      <x:c r="S59" s="56" t="n">
        <x:v>8041</x:v>
      </x:c>
      <x:c r="T59" s="56" t="n">
        <x:v>4070</x:v>
      </x:c>
      <x:c r="U59" s="40" t="n">
        <x:f>E59*Assumptions!$B$8</x:f>
        <x:v>416.5</x:v>
      </x:c>
      <x:c r="V59" s="40" t="n">
        <x:f>P59*Assumptions!$B$8</x:f>
        <x:v>400.0161760313589</x:v>
      </x:c>
      <x:c r="W59" s="54" t="n">
        <x:f>V59-U59</x:f>
        <x:v>-16.483823968641104</x:v>
      </x:c>
      <x:c r="X59" s="58" t="n">
        <x:f>IF(R59="No","",W59*S59)</x:f>
        <x:v>-132546.42853184312</x:v>
      </x:c>
      <x:c r="Y59" s="58" t="n">
        <x:f>IF(R59="No","",W59*T59*Assumptions!$B$9)</x:f>
        <x:v>-20126.74906571079</x:v>
      </x:c>
      <x:c r="Z59" s="58" t="n">
        <x:f>IF(R59="No","",X59-Y59)</x:f>
        <x:v>-112419.67946613234</x:v>
      </x:c>
      <x:c r="AA59" s="58" t="n">
        <x:f>IF(R59="No","",MAX(0,-Z59))</x:f>
        <x:v>112419.67946613234</x:v>
      </x:c>
      <x:c r="AB59" s="52" t="n">
        <x:f>IF(OR(R59="No",U59*S59=0),"",AA59/(U59*S59))</x:f>
        <x:v>0.033567366844600995</x:v>
      </x:c>
      <x:c r="AC59" s="54" t="n">
        <x:f>IF(OR(R59="No",S59-T59*Assumptions!$B$9&lt;=0),"",AA59/(Assumptions!$B$8*(S59-T59*Assumptions!$B$9)))</x:f>
        <x:v>19.39273408075424</x:v>
      </x:c>
      <x:c r="AD59" s="52" t="n">
        <x:f>IF(OR(R59="No",U59*S59=0),"",AA59/(U59*S59))</x:f>
        <x:v>0.033567366844600995</x:v>
      </x:c>
      <x:c r="AE59" s="50" t="str">
        <x:f>IF(R59="No","No finance data",IF(AB59&gt;=10%,"Severe",IF(AB59&gt;=5%,"High",IF(AB59&gt;=2%,"Moderate","Low"))))</x:f>
        <x:v>Moderate</x:v>
      </x:c>
      <x:c r="AF59" s="60" t="n">
        <x:v>36.125676</x:v>
      </x:c>
      <x:c r="AG59" s="60" t="n">
        <x:v>-90.940277</x:v>
      </x:c>
      <x:c r="AH59" s="44" t="str">
        <x:v>Undergraduate tuition-contribution proxy only; not an audited total institutional budget.</x:v>
      </x:c>
    </x:row>
    <x:row r="60">
      <x:c r="A60" s="16" t="n">
        <x:v>105899</x:v>
      </x:c>
      <x:c r="B60" s="16" t="str">
        <x:v>Arizona Christian University</x:v>
      </x:c>
      <x:c r="C60" s="16" t="str">
        <x:v>AZ</x:v>
      </x:c>
      <x:c r="D60" s="16" t="str">
        <x:v>Private nonprofit</x:v>
      </x:c>
      <x:c r="E60" s="34" t="n">
        <x:v>644</x:v>
      </x:c>
      <x:c r="F60" s="21" t="n">
        <x:v>0.7594</x:v>
      </x:c>
      <x:c r="G60" s="16" t="str">
        <x:v>Regional</x:v>
      </x:c>
      <x:c r="H60" s="36" t="n">
        <x:f>IF(G60="National",Assumptions!$B$11,IF(G60="Statewide",Assumptions!$B$12,Assumptions!$B$13))</x:f>
        <x:v>0.85</x:v>
      </x:c>
      <x:c r="I60" s="21" t="n">
        <x:v>-0.02043238463149566</x:v>
      </x:c>
      <x:c r="J60" s="21" t="n">
        <x:v>-0.007912312955248857</x:v>
      </x:c>
      <x:c r="K60" s="21" t="n">
        <x:v>-0.052523795117637495</x:v>
      </x:c>
      <x:c r="L60" s="36" t="n">
        <x:f>IF(Assumptions!$B$4=2030,I60,IF(Assumptions!$B$4=2035,J60,K60))</x:f>
        <x:v>-0.007912312955248857</x:v>
      </x:c>
      <x:c r="M60" s="36" t="n">
        <x:f>Assumptions!$B$19</x:f>
        <x:v>-0.04739891965741583</x:v>
      </x:c>
      <x:c r="N60" s="52" t="n">
        <x:f>H60*L60+(1-H60)*M60+O60</x:f>
        <x:v>-0.013835303960573904</x:v>
      </x:c>
      <x:c r="O60" s="36" t="n">
        <x:f>Assumptions!$B$10</x:f>
        <x:v>0</x:v>
      </x:c>
      <x:c r="P60" s="54" t="n">
        <x:f>E60*(1+N60)</x:f>
        <x:v>635.0900642493905</x:v>
      </x:c>
      <x:c r="Q60" s="54" t="n">
        <x:f>P60-E60</x:f>
        <x:v>-8.90993575060952</x:v>
      </x:c>
      <x:c r="R60" s="16" t="str">
        <x:v>Yes</x:v>
      </x:c>
      <x:c r="S60" s="56" t="n">
        <x:v>13178</x:v>
      </x:c>
      <x:c r="T60" s="56" t="n">
        <x:v>4486</x:v>
      </x:c>
      <x:c r="U60" s="40" t="n">
        <x:f>E60*Assumptions!$B$8</x:f>
        <x:v>547.4</x:v>
      </x:c>
      <x:c r="V60" s="40" t="n">
        <x:f>P60*Assumptions!$B$8</x:f>
        <x:v>539.8265546119819</x:v>
      </x:c>
      <x:c r="W60" s="54" t="n">
        <x:f>V60-U60</x:f>
        <x:v>-7.573445388018058</x:v>
      </x:c>
      <x:c r="X60" s="58" t="n">
        <x:f>IF(R60="No","",W60*S60)</x:f>
        <x:v>-99802.86332330196</x:v>
      </x:c>
      <x:c r="Y60" s="58" t="n">
        <x:f>IF(R60="No","",W60*T60*Assumptions!$B$9)</x:f>
        <x:v>-10192.342803194702</x:v>
      </x:c>
      <x:c r="Z60" s="58" t="n">
        <x:f>IF(R60="No","",X60-Y60)</x:f>
        <x:v>-89610.52052010727</x:v>
      </x:c>
      <x:c r="AA60" s="58" t="n">
        <x:f>IF(R60="No","",MAX(0,-Z60))</x:f>
        <x:v>89610.52052010727</x:v>
      </x:c>
      <x:c r="AB60" s="52" t="n">
        <x:f>IF(OR(R60="No",U60*S60=0),"",AA60/(U60*S60))</x:f>
        <x:v>0.012422376955706516</x:v>
      </x:c>
      <x:c r="AC60" s="54" t="n">
        <x:f>IF(OR(R60="No",S60-T60*Assumptions!$B$9&lt;=0),"",AA60/(Assumptions!$B$8*(S60-T60*Assumptions!$B$9)))</x:f>
        <x:v>8.90993575060948</x:v>
      </x:c>
      <x:c r="AD60" s="52" t="n">
        <x:f>IF(OR(R60="No",U60*S60=0),"",AA60/(U60*S60))</x:f>
        <x:v>0.012422376955706516</x:v>
      </x:c>
      <x:c r="AE60" s="50" t="str">
        <x:f>IF(R60="No","No finance data",IF(AB60&gt;=10%,"Severe",IF(AB60&gt;=5%,"High",IF(AB60&gt;=2%,"Moderate","Low"))))</x:f>
        <x:v>Low</x:v>
      </x:c>
      <x:c r="AF60" s="60" t="n">
        <x:v>33.622952</x:v>
      </x:c>
      <x:c r="AG60" s="60" t="n">
        <x:v>-112.181776</x:v>
      </x:c>
      <x:c r="AH60" s="44" t="str">
        <x:v>Undergraduate tuition-contribution proxy only; not an audited total institutional budget.</x:v>
      </x:c>
    </x:row>
    <x:row r="61">
      <x:c r="A61" s="16" t="n">
        <x:v>448886</x:v>
      </x:c>
      <x:c r="B61" s="16" t="str">
        <x:v>Arizona State University-Downtown Phoenix</x:v>
      </x:c>
      <x:c r="C61" s="16" t="str">
        <x:v>AZ</x:v>
      </x:c>
      <x:c r="D61" s="16" t="str">
        <x:v>Public</x:v>
      </x:c>
      <x:c r="E61" s="34" t="n">
        <x:v>9158</x:v>
      </x:c>
      <x:c r="F61" s="21"/>
      <x:c r="G61" s="16" t="str">
        <x:v>Statewide</x:v>
      </x:c>
      <x:c r="H61" s="36" t="n">
        <x:f>IF(G61="National",Assumptions!$B$11,IF(G61="Statewide",Assumptions!$B$12,Assumptions!$B$13))</x:f>
        <x:v>0.6</x:v>
      </x:c>
      <x:c r="I61" s="21" t="n">
        <x:v>-0.02043238463149566</x:v>
      </x:c>
      <x:c r="J61" s="21" t="n">
        <x:v>-0.007912312955248857</x:v>
      </x:c>
      <x:c r="K61" s="21" t="n">
        <x:v>-0.052523795117637495</x:v>
      </x:c>
      <x:c r="L61" s="36" t="n">
        <x:f>IF(Assumptions!$B$4=2030,I61,IF(Assumptions!$B$4=2035,J61,K61))</x:f>
        <x:v>-0.007912312955248857</x:v>
      </x:c>
      <x:c r="M61" s="36" t="n">
        <x:f>Assumptions!$B$19</x:f>
        <x:v>-0.04739891965741583</x:v>
      </x:c>
      <x:c r="N61" s="52" t="n">
        <x:f>H61*L61+(1-H61)*M61+O61</x:f>
        <x:v>-0.023706955636115648</x:v>
      </x:c>
      <x:c r="O61" s="36" t="n">
        <x:f>Assumptions!$B$10</x:f>
        <x:v>0</x:v>
      </x:c>
      <x:c r="P61" s="54" t="n">
        <x:f>E61*(1+N61)</x:f>
        <x:v>8940.891700284452</x:v>
      </x:c>
      <x:c r="Q61" s="54" t="n">
        <x:f>P61-E61</x:f>
        <x:v>-217.10829971554813</x:v>
      </x:c>
      <x:c r="R61" s="16" t="str">
        <x:v>No</x:v>
      </x:c>
      <x:c r="S61" s="56"/>
      <x:c r="T61" s="56"/>
      <x:c r="U61" s="40" t="n">
        <x:f>E61*Assumptions!$B$8</x:f>
        <x:v>7784.3</x:v>
      </x:c>
      <x:c r="V61" s="40" t="n">
        <x:f>P61*Assumptions!$B$8</x:f>
        <x:v>7599.757945241784</x:v>
      </x:c>
      <x:c r="W61" s="54" t="n">
        <x:f>V61-U61</x:f>
        <x:v>-184.54205475821618</x:v>
      </x:c>
      <x:c r="X61" s="58" t="str">
        <x:f>IF(R61="No","",W61*S61)</x:f>
      </x:c>
      <x:c r="Y61" s="58" t="str">
        <x:f>IF(R61="No","",W61*T61*Assumptions!$B$9)</x:f>
      </x:c>
      <x:c r="Z61" s="58" t="str">
        <x:f>IF(R61="No","",X61-Y61)</x:f>
      </x:c>
      <x:c r="AA61" s="58" t="str">
        <x:f>IF(R61="No","",MAX(0,-Z61))</x:f>
      </x:c>
      <x:c r="AB61" s="52" t="str">
        <x:f>IF(OR(R61="No",U61*S61=0),"",AA61/(U61*S61))</x:f>
      </x:c>
      <x:c r="AC61" s="54" t="str">
        <x:f>IF(OR(R61="No",S61-T61*Assumptions!$B$9&lt;=0),"",AA61/(Assumptions!$B$8*(S61-T61*Assumptions!$B$9)))</x:f>
      </x:c>
      <x:c r="AD61" s="52" t="str">
        <x:f>IF(OR(R61="No",U61*S61=0),"",AA61/(U61*S61))</x:f>
      </x:c>
      <x:c r="AE61" s="50" t="str">
        <x:f>IF(R61="No","No finance data",IF(AB61&gt;=10%,"Severe",IF(AB61&gt;=5%,"High",IF(AB61&gt;=2%,"Moderate","Low"))))</x:f>
        <x:v>No finance data</x:v>
      </x:c>
      <x:c r="AF61" s="60"/>
      <x:c r="AG61" s="60"/>
      <x:c r="AH61" s="44" t="str">
        <x:v>Undergraduate tuition-contribution proxy only; not an audited total institutional budget.</x:v>
      </x:c>
    </x:row>
    <x:row r="62">
      <x:c r="A62" s="16" t="n">
        <x:v>420574</x:v>
      </x:c>
      <x:c r="B62" s="16" t="str">
        <x:v>Arizona State University-Polytechnic</x:v>
      </x:c>
      <x:c r="C62" s="16" t="str">
        <x:v>AZ</x:v>
      </x:c>
      <x:c r="D62" s="16" t="str">
        <x:v>Public</x:v>
      </x:c>
      <x:c r="E62" s="34" t="n">
        <x:v>3669</x:v>
      </x:c>
      <x:c r="F62" s="21"/>
      <x:c r="G62" s="16" t="str">
        <x:v>Regional</x:v>
      </x:c>
      <x:c r="H62" s="36" t="n">
        <x:f>IF(G62="National",Assumptions!$B$11,IF(G62="Statewide",Assumptions!$B$12,Assumptions!$B$13))</x:f>
        <x:v>0.85</x:v>
      </x:c>
      <x:c r="I62" s="21" t="n">
        <x:v>-0.02043238463149566</x:v>
      </x:c>
      <x:c r="J62" s="21" t="n">
        <x:v>-0.007912312955248857</x:v>
      </x:c>
      <x:c r="K62" s="21" t="n">
        <x:v>-0.052523795117637495</x:v>
      </x:c>
      <x:c r="L62" s="36" t="n">
        <x:f>IF(Assumptions!$B$4=2030,I62,IF(Assumptions!$B$4=2035,J62,K62))</x:f>
        <x:v>-0.007912312955248857</x:v>
      </x:c>
      <x:c r="M62" s="36" t="n">
        <x:f>Assumptions!$B$19</x:f>
        <x:v>-0.04739891965741583</x:v>
      </x:c>
      <x:c r="N62" s="52" t="n">
        <x:f>H62*L62+(1-H62)*M62+O62</x:f>
        <x:v>-0.013835303960573904</x:v>
      </x:c>
      <x:c r="O62" s="36" t="n">
        <x:f>Assumptions!$B$10</x:f>
        <x:v>0</x:v>
      </x:c>
      <x:c r="P62" s="54" t="n">
        <x:f>E62*(1+N62)</x:f>
        <x:v>3618.2382697686544</x:v>
      </x:c>
      <x:c r="Q62" s="54" t="n">
        <x:f>P62-E62</x:f>
        <x:v>-50.76173023134561</x:v>
      </x:c>
      <x:c r="R62" s="16" t="str">
        <x:v>No</x:v>
      </x:c>
      <x:c r="S62" s="56"/>
      <x:c r="T62" s="56"/>
      <x:c r="U62" s="40" t="n">
        <x:f>E62*Assumptions!$B$8</x:f>
        <x:v>3118.65</x:v>
      </x:c>
      <x:c r="V62" s="40" t="n">
        <x:f>P62*Assumptions!$B$8</x:f>
        <x:v>3075.5025293033564</x:v>
      </x:c>
      <x:c r="W62" s="54" t="n">
        <x:f>V62-U62</x:f>
        <x:v>-43.14747069664372</x:v>
      </x:c>
      <x:c r="X62" s="58" t="str">
        <x:f>IF(R62="No","",W62*S62)</x:f>
      </x:c>
      <x:c r="Y62" s="58" t="str">
        <x:f>IF(R62="No","",W62*T62*Assumptions!$B$9)</x:f>
      </x:c>
      <x:c r="Z62" s="58" t="str">
        <x:f>IF(R62="No","",X62-Y62)</x:f>
      </x:c>
      <x:c r="AA62" s="58" t="str">
        <x:f>IF(R62="No","",MAX(0,-Z62))</x:f>
      </x:c>
      <x:c r="AB62" s="52" t="str">
        <x:f>IF(OR(R62="No",U62*S62=0),"",AA62/(U62*S62))</x:f>
      </x:c>
      <x:c r="AC62" s="54" t="str">
        <x:f>IF(OR(R62="No",S62-T62*Assumptions!$B$9&lt;=0),"",AA62/(Assumptions!$B$8*(S62-T62*Assumptions!$B$9)))</x:f>
      </x:c>
      <x:c r="AD62" s="52" t="str">
        <x:f>IF(OR(R62="No",U62*S62=0),"",AA62/(U62*S62))</x:f>
      </x:c>
      <x:c r="AE62" s="50" t="str">
        <x:f>IF(R62="No","No finance data",IF(AB62&gt;=10%,"Severe",IF(AB62&gt;=5%,"High",IF(AB62&gt;=2%,"Moderate","Low"))))</x:f>
        <x:v>No finance data</x:v>
      </x:c>
      <x:c r="AF62" s="60"/>
      <x:c r="AG62" s="60"/>
      <x:c r="AH62" s="44" t="str">
        <x:v>Undergraduate tuition-contribution proxy only; not an audited total institutional budget.</x:v>
      </x:c>
    </x:row>
    <x:row r="63">
      <x:c r="A63" s="16" t="n">
        <x:v>483124</x:v>
      </x:c>
      <x:c r="B63" s="16" t="str">
        <x:v>Arizona State University-Skysong</x:v>
      </x:c>
      <x:c r="C63" s="16" t="str">
        <x:v>AZ</x:v>
      </x:c>
      <x:c r="D63" s="16" t="str">
        <x:v>Public</x:v>
      </x:c>
      <x:c r="E63" s="34" t="n">
        <x:v>16219</x:v>
      </x:c>
      <x:c r="F63" s="21" t="n">
        <x:v>0.7021</x:v>
      </x:c>
      <x:c r="G63" s="16" t="str">
        <x:v>Statewide</x:v>
      </x:c>
      <x:c r="H63" s="36" t="n">
        <x:f>IF(G63="National",Assumptions!$B$11,IF(G63="Statewide",Assumptions!$B$12,Assumptions!$B$13))</x:f>
        <x:v>0.6</x:v>
      </x:c>
      <x:c r="I63" s="21" t="n">
        <x:v>-0.02043238463149566</x:v>
      </x:c>
      <x:c r="J63" s="21" t="n">
        <x:v>-0.007912312955248857</x:v>
      </x:c>
      <x:c r="K63" s="21" t="n">
        <x:v>-0.052523795117637495</x:v>
      </x:c>
      <x:c r="L63" s="36" t="n">
        <x:f>IF(Assumptions!$B$4=2030,I63,IF(Assumptions!$B$4=2035,J63,K63))</x:f>
        <x:v>-0.007912312955248857</x:v>
      </x:c>
      <x:c r="M63" s="36" t="n">
        <x:f>Assumptions!$B$19</x:f>
        <x:v>-0.04739891965741583</x:v>
      </x:c>
      <x:c r="N63" s="52" t="n">
        <x:f>H63*L63+(1-H63)*M63+O63</x:f>
        <x:v>-0.023706955636115648</x:v>
      </x:c>
      <x:c r="O63" s="36" t="n">
        <x:f>Assumptions!$B$10</x:f>
        <x:v>0</x:v>
      </x:c>
      <x:c r="P63" s="54" t="n">
        <x:f>E63*(1+N63)</x:f>
        <x:v>15834.49688653784</x:v>
      </x:c>
      <x:c r="Q63" s="54" t="n">
        <x:f>P63-E63</x:f>
        <x:v>-384.5031134621604</x:v>
      </x:c>
      <x:c r="R63" s="16" t="str">
        <x:v>Yes</x:v>
      </x:c>
      <x:c r="S63" s="56" t="n">
        <x:v>5247</x:v>
      </x:c>
      <x:c r="T63" s="56" t="n">
        <x:v>3738</x:v>
      </x:c>
      <x:c r="U63" s="40" t="n">
        <x:f>E63*Assumptions!$B$8</x:f>
        <x:v>13786.15</x:v>
      </x:c>
      <x:c r="V63" s="40" t="n">
        <x:f>P63*Assumptions!$B$8</x:f>
        <x:v>13459.322353557163</x:v>
      </x:c>
      <x:c r="W63" s="54" t="n">
        <x:f>V63-U63</x:f>
        <x:v>-326.82764644283634</x:v>
      </x:c>
      <x:c r="X63" s="58" t="n">
        <x:f>IF(R63="No","",W63*S63)</x:f>
        <x:v>-1714864.6608855622</x:v>
      </x:c>
      <x:c r="Y63" s="58" t="n">
        <x:f>IF(R63="No","",W63*T63*Assumptions!$B$9)</x:f>
        <x:v>-366504.52272099664</x:v>
      </x:c>
      <x:c r="Z63" s="58" t="n">
        <x:f>IF(R63="No","",X63-Y63)</x:f>
        <x:v>-1348360.1381645654</x:v>
      </x:c>
      <x:c r="AA63" s="58" t="n">
        <x:f>IF(R63="No","",MAX(0,-Z63))</x:f>
        <x:v>1348360.1381645654</x:v>
      </x:c>
      <x:c r="AB63" s="52" t="n">
        <x:f>IF(OR(R63="No",U63*S63=0),"",AA63/(U63*S63))</x:f>
        <x:v>0.01864025465453762</x:v>
      </x:c>
      <x:c r="AC63" s="54" t="n">
        <x:f>IF(OR(R63="No",S63-T63*Assumptions!$B$9&lt;=0),"",AA63/(Assumptions!$B$8*(S63-T63*Assumptions!$B$9)))</x:f>
        <x:v>384.50311346216034</x:v>
      </x:c>
      <x:c r="AD63" s="52" t="n">
        <x:f>IF(OR(R63="No",U63*S63=0),"",AA63/(U63*S63))</x:f>
        <x:v>0.01864025465453762</x:v>
      </x:c>
      <x:c r="AE63" s="50" t="str">
        <x:f>IF(R63="No","No finance data",IF(AB63&gt;=10%,"Severe",IF(AB63&gt;=5%,"High",IF(AB63&gt;=2%,"Moderate","Low"))))</x:f>
        <x:v>Low</x:v>
      </x:c>
      <x:c r="AF63" s="60" t="n">
        <x:v>33.463517</x:v>
      </x:c>
      <x:c r="AG63" s="60" t="n">
        <x:v>-111.924487</x:v>
      </x:c>
      <x:c r="AH63" s="44" t="str">
        <x:v>Undergraduate tuition-contribution proxy only; not an audited total institutional budget.</x:v>
      </x:c>
    </x:row>
    <x:row r="64">
      <x:c r="A64" s="16" t="n">
        <x:v>104151</x:v>
      </x:c>
      <x:c r="B64" s="16" t="str">
        <x:v>Arizona State University-Tempe</x:v>
      </x:c>
      <x:c r="C64" s="16" t="str">
        <x:v>AZ</x:v>
      </x:c>
      <x:c r="D64" s="16" t="str">
        <x:v>Public</x:v>
      </x:c>
      <x:c r="E64" s="34" t="n">
        <x:v>41222</x:v>
      </x:c>
      <x:c r="F64" s="21" t="n">
        <x:v>0.8819</x:v>
      </x:c>
      <x:c r="G64" s="16" t="str">
        <x:v>National</x:v>
      </x:c>
      <x:c r="H64" s="36" t="n">
        <x:f>IF(G64="National",Assumptions!$B$11,IF(G64="Statewide",Assumptions!$B$12,Assumptions!$B$13))</x:f>
        <x:v>0.25</x:v>
      </x:c>
      <x:c r="I64" s="21" t="n">
        <x:v>-0.02043238463149566</x:v>
      </x:c>
      <x:c r="J64" s="21" t="n">
        <x:v>-0.007912312955248857</x:v>
      </x:c>
      <x:c r="K64" s="21" t="n">
        <x:v>-0.052523795117637495</x:v>
      </x:c>
      <x:c r="L64" s="36" t="n">
        <x:f>IF(Assumptions!$B$4=2030,I64,IF(Assumptions!$B$4=2035,J64,K64))</x:f>
        <x:v>-0.007912312955248857</x:v>
      </x:c>
      <x:c r="M64" s="36" t="n">
        <x:f>Assumptions!$B$19</x:f>
        <x:v>-0.04739891965741583</x:v>
      </x:c>
      <x:c r="N64" s="52" t="n">
        <x:f>H64*L64+(1-H64)*M64+O64</x:f>
        <x:v>-0.037527267981874085</x:v>
      </x:c>
      <x:c r="O64" s="36" t="n">
        <x:f>Assumptions!$B$10</x:f>
        <x:v>0</x:v>
      </x:c>
      <x:c r="P64" s="54" t="n">
        <x:f>E64*(1+N64)</x:f>
        <x:v>39675.05095925119</x:v>
      </x:c>
      <x:c r="Q64" s="54" t="n">
        <x:f>P64-E64</x:f>
        <x:v>-1546.949040748812</x:v>
      </x:c>
      <x:c r="R64" s="16" t="str">
        <x:v>Yes</x:v>
      </x:c>
      <x:c r="S64" s="56" t="n">
        <x:v>18530</x:v>
      </x:c>
      <x:c r="T64" s="56" t="n">
        <x:v>13199</x:v>
      </x:c>
      <x:c r="U64" s="40" t="n">
        <x:f>E64*Assumptions!$B$8</x:f>
        <x:v>35038.7</x:v>
      </x:c>
      <x:c r="V64" s="40" t="n">
        <x:f>P64*Assumptions!$B$8</x:f>
        <x:v>33723.79331536351</x:v>
      </x:c>
      <x:c r="W64" s="54" t="n">
        <x:f>V64-U64</x:f>
        <x:v>-1314.9066846364876</x:v>
      </x:c>
      <x:c r="X64" s="58" t="n">
        <x:f>IF(R64="No","",W64*S64)</x:f>
        <x:v>-24365220.866314117</x:v>
      </x:c>
      <x:c r="Y64" s="58" t="n">
        <x:f>IF(R64="No","",W64*T64*Assumptions!$B$9)</x:f>
        <x:v>-5206635.9991551</x:v>
      </x:c>
      <x:c r="Z64" s="58" t="n">
        <x:f>IF(R64="No","",X64-Y64)</x:f>
        <x:v>-19158584.867159016</x:v>
      </x:c>
      <x:c r="AA64" s="58" t="n">
        <x:f>IF(R64="No","",MAX(0,-Z64))</x:f>
        <x:v>19158584.867159016</x:v>
      </x:c>
      <x:c r="AB64" s="52" t="n">
        <x:f>IF(OR(R64="No",U64*S64=0),"",AA64/(U64*S64))</x:f>
        <x:v>0.029508016874058195</x:v>
      </x:c>
      <x:c r="AC64" s="54" t="n">
        <x:f>IF(OR(R64="No",S64-T64*Assumptions!$B$9&lt;=0),"",AA64/(Assumptions!$B$8*(S64-T64*Assumptions!$B$9)))</x:f>
        <x:v>1546.9490407488092</x:v>
      </x:c>
      <x:c r="AD64" s="52" t="n">
        <x:f>IF(OR(R64="No",U64*S64=0),"",AA64/(U64*S64))</x:f>
        <x:v>0.029508016874058195</x:v>
      </x:c>
      <x:c r="AE64" s="50" t="str">
        <x:f>IF(R64="No","No finance data",IF(AB64&gt;=10%,"Severe",IF(AB64&gt;=5%,"High",IF(AB64&gt;=2%,"Moderate","Low"))))</x:f>
        <x:v>Moderate</x:v>
      </x:c>
      <x:c r="AF64" s="60" t="n">
        <x:v>33.417721</x:v>
      </x:c>
      <x:c r="AG64" s="60" t="n">
        <x:v>-111.934383</x:v>
      </x:c>
      <x:c r="AH64" s="44" t="str">
        <x:v>Undergraduate tuition-contribution proxy only; not an audited total institutional budget.</x:v>
      </x:c>
    </x:row>
    <x:row r="65">
      <x:c r="A65" s="16" t="n">
        <x:v>407009</x:v>
      </x:c>
      <x:c r="B65" s="16" t="str">
        <x:v>Arizona State University-West</x:v>
      </x:c>
      <x:c r="C65" s="16" t="str">
        <x:v>AZ</x:v>
      </x:c>
      <x:c r="D65" s="16" t="str">
        <x:v>Public</x:v>
      </x:c>
      <x:c r="E65" s="34" t="n">
        <x:v>3223</x:v>
      </x:c>
      <x:c r="F65" s="21"/>
      <x:c r="G65" s="16" t="str">
        <x:v>Regional</x:v>
      </x:c>
      <x:c r="H65" s="36" t="n">
        <x:f>IF(G65="National",Assumptions!$B$11,IF(G65="Statewide",Assumptions!$B$12,Assumptions!$B$13))</x:f>
        <x:v>0.85</x:v>
      </x:c>
      <x:c r="I65" s="21" t="n">
        <x:v>-0.02043238463149566</x:v>
      </x:c>
      <x:c r="J65" s="21" t="n">
        <x:v>-0.007912312955248857</x:v>
      </x:c>
      <x:c r="K65" s="21" t="n">
        <x:v>-0.052523795117637495</x:v>
      </x:c>
      <x:c r="L65" s="36" t="n">
        <x:f>IF(Assumptions!$B$4=2030,I65,IF(Assumptions!$B$4=2035,J65,K65))</x:f>
        <x:v>-0.007912312955248857</x:v>
      </x:c>
      <x:c r="M65" s="36" t="n">
        <x:f>Assumptions!$B$19</x:f>
        <x:v>-0.04739891965741583</x:v>
      </x:c>
      <x:c r="N65" s="52" t="n">
        <x:f>H65*L65+(1-H65)*M65+O65</x:f>
        <x:v>-0.013835303960573904</x:v>
      </x:c>
      <x:c r="O65" s="36" t="n">
        <x:f>Assumptions!$B$10</x:f>
        <x:v>0</x:v>
      </x:c>
      <x:c r="P65" s="54" t="n">
        <x:f>E65*(1+N65)</x:f>
        <x:v>3178.4088153350704</x:v>
      </x:c>
      <x:c r="Q65" s="54" t="n">
        <x:f>P65-E65</x:f>
        <x:v>-44.59118466492964</x:v>
      </x:c>
      <x:c r="R65" s="16" t="str">
        <x:v>No</x:v>
      </x:c>
      <x:c r="S65" s="56"/>
      <x:c r="T65" s="56"/>
      <x:c r="U65" s="40" t="n">
        <x:f>E65*Assumptions!$B$8</x:f>
        <x:v>2739.5499999999997</x:v>
      </x:c>
      <x:c r="V65" s="40" t="n">
        <x:f>P65*Assumptions!$B$8</x:f>
        <x:v>2701.64749303481</x:v>
      </x:c>
      <x:c r="W65" s="54" t="n">
        <x:f>V65-U65</x:f>
        <x:v>-37.90250696518979</x:v>
      </x:c>
      <x:c r="X65" s="58" t="str">
        <x:f>IF(R65="No","",W65*S65)</x:f>
      </x:c>
      <x:c r="Y65" s="58" t="str">
        <x:f>IF(R65="No","",W65*T65*Assumptions!$B$9)</x:f>
      </x:c>
      <x:c r="Z65" s="58" t="str">
        <x:f>IF(R65="No","",X65-Y65)</x:f>
      </x:c>
      <x:c r="AA65" s="58" t="str">
        <x:f>IF(R65="No","",MAX(0,-Z65))</x:f>
      </x:c>
      <x:c r="AB65" s="52" t="str">
        <x:f>IF(OR(R65="No",U65*S65=0),"",AA65/(U65*S65))</x:f>
      </x:c>
      <x:c r="AC65" s="54" t="str">
        <x:f>IF(OR(R65="No",S65-T65*Assumptions!$B$9&lt;=0),"",AA65/(Assumptions!$B$8*(S65-T65*Assumptions!$B$9)))</x:f>
      </x:c>
      <x:c r="AD65" s="52" t="str">
        <x:f>IF(OR(R65="No",U65*S65=0),"",AA65/(U65*S65))</x:f>
      </x:c>
      <x:c r="AE65" s="50" t="str">
        <x:f>IF(R65="No","No finance data",IF(AB65&gt;=10%,"Severe",IF(AB65&gt;=5%,"High",IF(AB65&gt;=2%,"Moderate","Low"))))</x:f>
        <x:v>No finance data</x:v>
      </x:c>
      <x:c r="AF65" s="60"/>
      <x:c r="AG65" s="60"/>
      <x:c r="AH65" s="44" t="str">
        <x:v>Undergraduate tuition-contribution proxy only; not an audited total institutional budget.</x:v>
      </x:c>
    </x:row>
    <x:row r="66">
      <x:c r="A66" s="16" t="n">
        <x:v>104586</x:v>
      </x:c>
      <x:c r="B66" s="16" t="str">
        <x:v>Embry-Riddle Aeronautical University-Prescott</x:v>
      </x:c>
      <x:c r="C66" s="16" t="str">
        <x:v>AZ</x:v>
      </x:c>
      <x:c r="D66" s="16" t="str">
        <x:v>Private nonprofit</x:v>
      </x:c>
      <x:c r="E66" s="34" t="n">
        <x:v>2193</x:v>
      </x:c>
      <x:c r="F66" s="21" t="n">
        <x:v>0.7376</x:v>
      </x:c>
      <x:c r="G66" s="16" t="str">
        <x:v>Regional</x:v>
      </x:c>
      <x:c r="H66" s="36" t="n">
        <x:f>IF(G66="National",Assumptions!$B$11,IF(G66="Statewide",Assumptions!$B$12,Assumptions!$B$13))</x:f>
        <x:v>0.85</x:v>
      </x:c>
      <x:c r="I66" s="21" t="n">
        <x:v>-0.02043238463149566</x:v>
      </x:c>
      <x:c r="J66" s="21" t="n">
        <x:v>-0.007912312955248857</x:v>
      </x:c>
      <x:c r="K66" s="21" t="n">
        <x:v>-0.052523795117637495</x:v>
      </x:c>
      <x:c r="L66" s="36" t="n">
        <x:f>IF(Assumptions!$B$4=2030,I66,IF(Assumptions!$B$4=2035,J66,K66))</x:f>
        <x:v>-0.007912312955248857</x:v>
      </x:c>
      <x:c r="M66" s="36" t="n">
        <x:f>Assumptions!$B$19</x:f>
        <x:v>-0.04739891965741583</x:v>
      </x:c>
      <x:c r="N66" s="52" t="n">
        <x:f>H66*L66+(1-H66)*M66+O66</x:f>
        <x:v>-0.013835303960573904</x:v>
      </x:c>
      <x:c r="O66" s="36" t="n">
        <x:f>Assumptions!$B$10</x:f>
        <x:v>0</x:v>
      </x:c>
      <x:c r="P66" s="54" t="n">
        <x:f>E66*(1+N66)</x:f>
        <x:v>2162.6591784144616</x:v>
      </x:c>
      <x:c r="Q66" s="54" t="n">
        <x:f>P66-E66</x:f>
        <x:v>-30.34082158553838</x:v>
      </x:c>
      <x:c r="R66" s="16" t="str">
        <x:v>Yes</x:v>
      </x:c>
      <x:c r="S66" s="56" t="n">
        <x:v>30059</x:v>
      </x:c>
      <x:c r="T66" s="56" t="n">
        <x:v>14446</x:v>
      </x:c>
      <x:c r="U66" s="40" t="n">
        <x:f>E66*Assumptions!$B$8</x:f>
        <x:v>1864.05</x:v>
      </x:c>
      <x:c r="V66" s="40" t="n">
        <x:f>P66*Assumptions!$B$8</x:f>
        <x:v>1838.2603016522924</x:v>
      </x:c>
      <x:c r="W66" s="54" t="n">
        <x:f>V66-U66</x:f>
        <x:v>-25.7896983477076</x:v>
      </x:c>
      <x:c r="X66" s="58" t="n">
        <x:f>IF(R66="No","",W66*S66)</x:f>
        <x:v>-775212.5426337427</x:v>
      </x:c>
      <x:c r="Y66" s="58" t="n">
        <x:f>IF(R66="No","",W66*T66*Assumptions!$B$9)</x:f>
        <x:v>-111767.39469929518</x:v>
      </x:c>
      <x:c r="Z66" s="58" t="n">
        <x:f>IF(R66="No","",X66-Y66)</x:f>
        <x:v>-663445.1479344475</x:v>
      </x:c>
      <x:c r="AA66" s="58" t="n">
        <x:f>IF(R66="No","",MAX(0,-Z66))</x:f>
        <x:v>663445.1479344475</x:v>
      </x:c>
      <x:c r="AB66" s="52" t="n">
        <x:f>IF(OR(R66="No",U66*S66=0),"",AA66/(U66*S66))</x:f>
        <x:v>0.011840578909696038</x:v>
      </x:c>
      <x:c r="AC66" s="54" t="n">
        <x:f>IF(OR(R66="No",S66-T66*Assumptions!$B$9&lt;=0),"",AA66/(Assumptions!$B$8*(S66-T66*Assumptions!$B$9)))</x:f>
        <x:v>30.340821585538354</x:v>
      </x:c>
      <x:c r="AD66" s="52" t="n">
        <x:f>IF(OR(R66="No",U66*S66=0),"",AA66/(U66*S66))</x:f>
        <x:v>0.011840578909696038</x:v>
      </x:c>
      <x:c r="AE66" s="50" t="str">
        <x:f>IF(R66="No","No finance data",IF(AB66&gt;=10%,"Severe",IF(AB66&gt;=5%,"High",IF(AB66&gt;=2%,"Moderate","Low"))))</x:f>
        <x:v>Low</x:v>
      </x:c>
      <x:c r="AF66" s="60" t="n">
        <x:v>34.616766</x:v>
      </x:c>
      <x:c r="AG66" s="60" t="n">
        <x:v>-112.449741</x:v>
      </x:c>
      <x:c r="AH66" s="44" t="str">
        <x:v>Undergraduate tuition-contribution proxy only; not an audited total institutional budget.</x:v>
      </x:c>
    </x:row>
    <x:row r="67">
      <x:c r="A67" s="16" t="n">
        <x:v>436614</x:v>
      </x:c>
      <x:c r="B67" s="16" t="str">
        <x:v>International Baptist College and Seminary</x:v>
      </x:c>
      <x:c r="C67" s="16" t="str">
        <x:v>AZ</x:v>
      </x:c>
      <x:c r="D67" s="16" t="str">
        <x:v>Private nonprofit</x:v>
      </x:c>
      <x:c r="E67" s="34" t="n">
        <x:v>53</x:v>
      </x:c>
      <x:c r="F67" s="21"/>
      <x:c r="G67" s="16" t="str">
        <x:v>Regional</x:v>
      </x:c>
      <x:c r="H67" s="36" t="n">
        <x:f>IF(G67="National",Assumptions!$B$11,IF(G67="Statewide",Assumptions!$B$12,Assumptions!$B$13))</x:f>
        <x:v>0.85</x:v>
      </x:c>
      <x:c r="I67" s="21" t="n">
        <x:v>-0.02043238463149566</x:v>
      </x:c>
      <x:c r="J67" s="21" t="n">
        <x:v>-0.007912312955248857</x:v>
      </x:c>
      <x:c r="K67" s="21" t="n">
        <x:v>-0.052523795117637495</x:v>
      </x:c>
      <x:c r="L67" s="36" t="n">
        <x:f>IF(Assumptions!$B$4=2030,I67,IF(Assumptions!$B$4=2035,J67,K67))</x:f>
        <x:v>-0.007912312955248857</x:v>
      </x:c>
      <x:c r="M67" s="36" t="n">
        <x:f>Assumptions!$B$19</x:f>
        <x:v>-0.04739891965741583</x:v>
      </x:c>
      <x:c r="N67" s="52" t="n">
        <x:f>H67*L67+(1-H67)*M67+O67</x:f>
        <x:v>-0.013835303960573904</x:v>
      </x:c>
      <x:c r="O67" s="36" t="n">
        <x:f>Assumptions!$B$10</x:f>
        <x:v>0</x:v>
      </x:c>
      <x:c r="P67" s="54" t="n">
        <x:f>E67*(1+N67)</x:f>
        <x:v>52.26672889008959</x:v>
      </x:c>
      <x:c r="Q67" s="54" t="n">
        <x:f>P67-E67</x:f>
        <x:v>-0.7332711099104117</x:v>
      </x:c>
      <x:c r="R67" s="16" t="str">
        <x:v>No</x:v>
      </x:c>
      <x:c r="S67" s="56"/>
      <x:c r="T67" s="56"/>
      <x:c r="U67" s="40" t="n">
        <x:f>E67*Assumptions!$B$8</x:f>
        <x:v>45.05</x:v>
      </x:c>
      <x:c r="V67" s="40" t="n">
        <x:f>P67*Assumptions!$B$8</x:f>
        <x:v>44.426719556576145</x:v>
      </x:c>
      <x:c r="W67" s="54" t="n">
        <x:f>V67-U67</x:f>
        <x:v>-0.6232804434238517</x:v>
      </x:c>
      <x:c r="X67" s="58" t="str">
        <x:f>IF(R67="No","",W67*S67)</x:f>
      </x:c>
      <x:c r="Y67" s="58" t="str">
        <x:f>IF(R67="No","",W67*T67*Assumptions!$B$9)</x:f>
      </x:c>
      <x:c r="Z67" s="58" t="str">
        <x:f>IF(R67="No","",X67-Y67)</x:f>
      </x:c>
      <x:c r="AA67" s="58" t="str">
        <x:f>IF(R67="No","",MAX(0,-Z67))</x:f>
      </x:c>
      <x:c r="AB67" s="52" t="str">
        <x:f>IF(OR(R67="No",U67*S67=0),"",AA67/(U67*S67))</x:f>
      </x:c>
      <x:c r="AC67" s="54" t="str">
        <x:f>IF(OR(R67="No",S67-T67*Assumptions!$B$9&lt;=0),"",AA67/(Assumptions!$B$8*(S67-T67*Assumptions!$B$9)))</x:f>
      </x:c>
      <x:c r="AD67" s="52" t="str">
        <x:f>IF(OR(R67="No",U67*S67=0),"",AA67/(U67*S67))</x:f>
      </x:c>
      <x:c r="AE67" s="50" t="str">
        <x:f>IF(R67="No","No finance data",IF(AB67&gt;=10%,"Severe",IF(AB67&gt;=5%,"High",IF(AB67&gt;=2%,"Moderate","Low"))))</x:f>
        <x:v>No finance data</x:v>
      </x:c>
      <x:c r="AF67" s="60"/>
      <x:c r="AG67" s="60"/>
      <x:c r="AH67" s="44" t="str">
        <x:v>Undergraduate tuition-contribution proxy only; not an audited total institutional budget.</x:v>
      </x:c>
    </x:row>
    <x:row r="68">
      <x:c r="A68" s="16" t="n">
        <x:v>105330</x:v>
      </x:c>
      <x:c r="B68" s="16" t="str">
        <x:v>Northern Arizona University</x:v>
      </x:c>
      <x:c r="C68" s="16" t="str">
        <x:v>AZ</x:v>
      </x:c>
      <x:c r="D68" s="16" t="str">
        <x:v>Public</x:v>
      </x:c>
      <x:c r="E68" s="34" t="n">
        <x:v>24992</x:v>
      </x:c>
      <x:c r="F68" s="21" t="n">
        <x:v>0.7835</x:v>
      </x:c>
      <x:c r="G68" s="16" t="str">
        <x:v>Statewide</x:v>
      </x:c>
      <x:c r="H68" s="36" t="n">
        <x:f>IF(G68="National",Assumptions!$B$11,IF(G68="Statewide",Assumptions!$B$12,Assumptions!$B$13))</x:f>
        <x:v>0.6</x:v>
      </x:c>
      <x:c r="I68" s="21" t="n">
        <x:v>-0.02043238463149566</x:v>
      </x:c>
      <x:c r="J68" s="21" t="n">
        <x:v>-0.007912312955248857</x:v>
      </x:c>
      <x:c r="K68" s="21" t="n">
        <x:v>-0.052523795117637495</x:v>
      </x:c>
      <x:c r="L68" s="36" t="n">
        <x:f>IF(Assumptions!$B$4=2030,I68,IF(Assumptions!$B$4=2035,J68,K68))</x:f>
        <x:v>-0.007912312955248857</x:v>
      </x:c>
      <x:c r="M68" s="36" t="n">
        <x:f>Assumptions!$B$19</x:f>
        <x:v>-0.04739891965741583</x:v>
      </x:c>
      <x:c r="N68" s="52" t="n">
        <x:f>H68*L68+(1-H68)*M68+O68</x:f>
        <x:v>-0.023706955636115648</x:v>
      </x:c>
      <x:c r="O68" s="36" t="n">
        <x:f>Assumptions!$B$10</x:f>
        <x:v>0</x:v>
      </x:c>
      <x:c r="P68" s="54" t="n">
        <x:f>E68*(1+N68)</x:f>
        <x:v>24399.5157647422</x:v>
      </x:c>
      <x:c r="Q68" s="54" t="n">
        <x:f>P68-E68</x:f>
        <x:v>-592.4842352578016</x:v>
      </x:c>
      <x:c r="R68" s="16" t="str">
        <x:v>Yes</x:v>
      </x:c>
      <x:c r="S68" s="56" t="n">
        <x:v>7464</x:v>
      </x:c>
      <x:c r="T68" s="56" t="n">
        <x:v>6139</x:v>
      </x:c>
      <x:c r="U68" s="40" t="n">
        <x:f>E68*Assumptions!$B$8</x:f>
        <x:v>21243.2</x:v>
      </x:c>
      <x:c r="V68" s="40" t="n">
        <x:f>P68*Assumptions!$B$8</x:f>
        <x:v>20739.58840003087</x:v>
      </x:c>
      <x:c r="W68" s="54" t="n">
        <x:f>V68-U68</x:f>
        <x:v>-503.61159996913193</x:v>
      </x:c>
      <x:c r="X68" s="58" t="n">
        <x:f>IF(R68="No","",W68*S68)</x:f>
        <x:v>-3758956.9821696007</x:v>
      </x:c>
      <x:c r="Y68" s="58" t="n">
        <x:f>IF(R68="No","",W68*T68*Assumptions!$B$9)</x:f>
        <x:v>-927501.4836631502</x:v>
      </x:c>
      <x:c r="Z68" s="58" t="n">
        <x:f>IF(R68="No","",X68-Y68)</x:f>
        <x:v>-2831455.4985064506</x:v>
      </x:c>
      <x:c r="AA68" s="58" t="n">
        <x:f>IF(R68="No","",MAX(0,-Z68))</x:f>
        <x:v>2831455.4985064506</x:v>
      </x:c>
      <x:c r="AB68" s="52" t="n">
        <x:f>IF(OR(R68="No",U68*S68=0),"",AA68/(U68*S68))</x:f>
        <x:v>0.01785739773217216</x:v>
      </x:c>
      <x:c r="AC68" s="54" t="n">
        <x:f>IF(OR(R68="No",S68-T68*Assumptions!$B$9&lt;=0),"",AA68/(Assumptions!$B$8*(S68-T68*Assumptions!$B$9)))</x:f>
        <x:v>592.4842352578023</x:v>
      </x:c>
      <x:c r="AD68" s="52" t="n">
        <x:f>IF(OR(R68="No",U68*S68=0),"",AA68/(U68*S68))</x:f>
        <x:v>0.01785739773217216</x:v>
      </x:c>
      <x:c r="AE68" s="50" t="str">
        <x:f>IF(R68="No","No finance data",IF(AB68&gt;=10%,"Severe",IF(AB68&gt;=5%,"High",IF(AB68&gt;=2%,"Moderate","Low"))))</x:f>
        <x:v>Low</x:v>
      </x:c>
      <x:c r="AF68" s="60" t="n">
        <x:v>35.188449</x:v>
      </x:c>
      <x:c r="AG68" s="60" t="n">
        <x:v>-111.653724</x:v>
      </x:c>
      <x:c r="AH68" s="44" t="str">
        <x:v>Undergraduate tuition-contribution proxy only; not an audited total institutional budget.</x:v>
      </x:c>
    </x:row>
    <x:row r="69">
      <x:c r="A69" s="16" t="n">
        <x:v>105367</x:v>
      </x:c>
      <x:c r="B69" s="16" t="str">
        <x:v>Ottawa University-Phoenix</x:v>
      </x:c>
      <x:c r="C69" s="16" t="str">
        <x:v>AZ</x:v>
      </x:c>
      <x:c r="D69" s="16" t="str">
        <x:v>Private nonprofit</x:v>
      </x:c>
      <x:c r="E69" s="34" t="n">
        <x:v>313</x:v>
      </x:c>
      <x:c r="F69" s="21"/>
      <x:c r="G69" s="16" t="str">
        <x:v>Regional</x:v>
      </x:c>
      <x:c r="H69" s="36" t="n">
        <x:f>IF(G69="National",Assumptions!$B$11,IF(G69="Statewide",Assumptions!$B$12,Assumptions!$B$13))</x:f>
        <x:v>0.85</x:v>
      </x:c>
      <x:c r="I69" s="21" t="n">
        <x:v>-0.02043238463149566</x:v>
      </x:c>
      <x:c r="J69" s="21" t="n">
        <x:v>-0.007912312955248857</x:v>
      </x:c>
      <x:c r="K69" s="21" t="n">
        <x:v>-0.052523795117637495</x:v>
      </x:c>
      <x:c r="L69" s="36" t="n">
        <x:f>IF(Assumptions!$B$4=2030,I69,IF(Assumptions!$B$4=2035,J69,K69))</x:f>
        <x:v>-0.007912312955248857</x:v>
      </x:c>
      <x:c r="M69" s="36" t="n">
        <x:f>Assumptions!$B$19</x:f>
        <x:v>-0.04739891965741583</x:v>
      </x:c>
      <x:c r="N69" s="52" t="n">
        <x:f>H69*L69+(1-H69)*M69+O69</x:f>
        <x:v>-0.013835303960573904</x:v>
      </x:c>
      <x:c r="O69" s="36" t="n">
        <x:f>Assumptions!$B$10</x:f>
        <x:v>0</x:v>
      </x:c>
      <x:c r="P69" s="54" t="n">
        <x:f>E69*(1+N69)</x:f>
        <x:v>308.6695498603404</x:v>
      </x:c>
      <x:c r="Q69" s="54" t="n">
        <x:f>P69-E69</x:f>
        <x:v>-4.330450139659604</x:v>
      </x:c>
      <x:c r="R69" s="16" t="str">
        <x:v>No</x:v>
      </x:c>
      <x:c r="S69" s="56"/>
      <x:c r="T69" s="56"/>
      <x:c r="U69" s="40" t="n">
        <x:f>E69*Assumptions!$B$8</x:f>
        <x:v>266.05</x:v>
      </x:c>
      <x:c r="V69" s="40" t="n">
        <x:f>P69*Assumptions!$B$8</x:f>
        <x:v>262.36911738128936</x:v>
      </x:c>
      <x:c r="W69" s="54" t="n">
        <x:f>V69-U69</x:f>
        <x:v>-3.6808826187106547</x:v>
      </x:c>
      <x:c r="X69" s="58" t="str">
        <x:f>IF(R69="No","",W69*S69)</x:f>
      </x:c>
      <x:c r="Y69" s="58" t="str">
        <x:f>IF(R69="No","",W69*T69*Assumptions!$B$9)</x:f>
      </x:c>
      <x:c r="Z69" s="58" t="str">
        <x:f>IF(R69="No","",X69-Y69)</x:f>
      </x:c>
      <x:c r="AA69" s="58" t="str">
        <x:f>IF(R69="No","",MAX(0,-Z69))</x:f>
      </x:c>
      <x:c r="AB69" s="52" t="str">
        <x:f>IF(OR(R69="No",U69*S69=0),"",AA69/(U69*S69))</x:f>
      </x:c>
      <x:c r="AC69" s="54" t="str">
        <x:f>IF(OR(R69="No",S69-T69*Assumptions!$B$9&lt;=0),"",AA69/(Assumptions!$B$8*(S69-T69*Assumptions!$B$9)))</x:f>
      </x:c>
      <x:c r="AD69" s="52" t="str">
        <x:f>IF(OR(R69="No",U69*S69=0),"",AA69/(U69*S69))</x:f>
      </x:c>
      <x:c r="AE69" s="50" t="str">
        <x:f>IF(R69="No","No finance data",IF(AB69&gt;=10%,"Severe",IF(AB69&gt;=5%,"High",IF(AB69&gt;=2%,"Moderate","Low"))))</x:f>
        <x:v>No finance data</x:v>
      </x:c>
      <x:c r="AF69" s="60"/>
      <x:c r="AG69" s="60"/>
      <x:c r="AH69" s="44" t="str">
        <x:v>Undergraduate tuition-contribution proxy only; not an audited total institutional budget.</x:v>
      </x:c>
    </x:row>
    <x:row r="70">
      <x:c r="A70" s="16" t="n">
        <x:v>105589</x:v>
      </x:c>
      <x:c r="B70" s="16" t="str">
        <x:v>Prescott College</x:v>
      </x:c>
      <x:c r="C70" s="16" t="str">
        <x:v>AZ</x:v>
      </x:c>
      <x:c r="D70" s="16" t="str">
        <x:v>Private nonprofit</x:v>
      </x:c>
      <x:c r="E70" s="34" t="n">
        <x:v>397</x:v>
      </x:c>
      <x:c r="F70" s="21"/>
      <x:c r="G70" s="16" t="str">
        <x:v>Regional</x:v>
      </x:c>
      <x:c r="H70" s="36" t="n">
        <x:f>IF(G70="National",Assumptions!$B$11,IF(G70="Statewide",Assumptions!$B$12,Assumptions!$B$13))</x:f>
        <x:v>0.85</x:v>
      </x:c>
      <x:c r="I70" s="21" t="n">
        <x:v>-0.02043238463149566</x:v>
      </x:c>
      <x:c r="J70" s="21" t="n">
        <x:v>-0.007912312955248857</x:v>
      </x:c>
      <x:c r="K70" s="21" t="n">
        <x:v>-0.052523795117637495</x:v>
      </x:c>
      <x:c r="L70" s="36" t="n">
        <x:f>IF(Assumptions!$B$4=2030,I70,IF(Assumptions!$B$4=2035,J70,K70))</x:f>
        <x:v>-0.007912312955248857</x:v>
      </x:c>
      <x:c r="M70" s="36" t="n">
        <x:f>Assumptions!$B$19</x:f>
        <x:v>-0.04739891965741583</x:v>
      </x:c>
      <x:c r="N70" s="52" t="n">
        <x:f>H70*L70+(1-H70)*M70+O70</x:f>
        <x:v>-0.013835303960573904</x:v>
      </x:c>
      <x:c r="O70" s="36" t="n">
        <x:f>Assumptions!$B$10</x:f>
        <x:v>0</x:v>
      </x:c>
      <x:c r="P70" s="54" t="n">
        <x:f>E70*(1+N70)</x:f>
        <x:v>391.5073843276522</x:v>
      </x:c>
      <x:c r="Q70" s="54" t="n">
        <x:f>P70-E70</x:f>
        <x:v>-5.492615672347824</x:v>
      </x:c>
      <x:c r="R70" s="16" t="str">
        <x:v>No</x:v>
      </x:c>
      <x:c r="S70" s="56"/>
      <x:c r="T70" s="56"/>
      <x:c r="U70" s="40" t="n">
        <x:f>E70*Assumptions!$B$8</x:f>
        <x:v>337.45</x:v>
      </x:c>
      <x:c r="V70" s="40" t="n">
        <x:f>P70*Assumptions!$B$8</x:f>
        <x:v>332.78127667850436</x:v>
      </x:c>
      <x:c r="W70" s="54" t="n">
        <x:f>V70-U70</x:f>
        <x:v>-4.668723321495634</x:v>
      </x:c>
      <x:c r="X70" s="58" t="str">
        <x:f>IF(R70="No","",W70*S70)</x:f>
      </x:c>
      <x:c r="Y70" s="58" t="str">
        <x:f>IF(R70="No","",W70*T70*Assumptions!$B$9)</x:f>
      </x:c>
      <x:c r="Z70" s="58" t="str">
        <x:f>IF(R70="No","",X70-Y70)</x:f>
      </x:c>
      <x:c r="AA70" s="58" t="str">
        <x:f>IF(R70="No","",MAX(0,-Z70))</x:f>
      </x:c>
      <x:c r="AB70" s="52" t="str">
        <x:f>IF(OR(R70="No",U70*S70=0),"",AA70/(U70*S70))</x:f>
      </x:c>
      <x:c r="AC70" s="54" t="str">
        <x:f>IF(OR(R70="No",S70-T70*Assumptions!$B$9&lt;=0),"",AA70/(Assumptions!$B$8*(S70-T70*Assumptions!$B$9)))</x:f>
      </x:c>
      <x:c r="AD70" s="52" t="str">
        <x:f>IF(OR(R70="No",U70*S70=0),"",AA70/(U70*S70))</x:f>
      </x:c>
      <x:c r="AE70" s="50" t="str">
        <x:f>IF(R70="No","No finance data",IF(AB70&gt;=10%,"Severe",IF(AB70&gt;=5%,"High",IF(AB70&gt;=2%,"Moderate","Low"))))</x:f>
        <x:v>No finance data</x:v>
      </x:c>
      <x:c r="AF70" s="60"/>
      <x:c r="AG70" s="60"/>
      <x:c r="AH70" s="44" t="str">
        <x:v>Undergraduate tuition-contribution proxy only; not an audited total institutional budget.</x:v>
      </x:c>
    </x:row>
    <x:row r="71">
      <x:c r="A71" s="16" t="n">
        <x:v>485078</x:v>
      </x:c>
      <x:c r="B71" s="16" t="str">
        <x:v>Trine University-Arizona Regional Campus</x:v>
      </x:c>
      <x:c r="C71" s="16" t="str">
        <x:v>AZ</x:v>
      </x:c>
      <x:c r="D71" s="16" t="str">
        <x:v>Private nonprofit</x:v>
      </x:c>
      <x:c r="E71" s="34" t="n">
        <x:v>44</x:v>
      </x:c>
      <x:c r="F71" s="21"/>
      <x:c r="G71" s="16" t="str">
        <x:v>Regional</x:v>
      </x:c>
      <x:c r="H71" s="36" t="n">
        <x:f>IF(G71="National",Assumptions!$B$11,IF(G71="Statewide",Assumptions!$B$12,Assumptions!$B$13))</x:f>
        <x:v>0.85</x:v>
      </x:c>
      <x:c r="I71" s="21" t="n">
        <x:v>-0.02043238463149566</x:v>
      </x:c>
      <x:c r="J71" s="21" t="n">
        <x:v>-0.007912312955248857</x:v>
      </x:c>
      <x:c r="K71" s="21" t="n">
        <x:v>-0.052523795117637495</x:v>
      </x:c>
      <x:c r="L71" s="36" t="n">
        <x:f>IF(Assumptions!$B$4=2030,I71,IF(Assumptions!$B$4=2035,J71,K71))</x:f>
        <x:v>-0.007912312955248857</x:v>
      </x:c>
      <x:c r="M71" s="36" t="n">
        <x:f>Assumptions!$B$19</x:f>
        <x:v>-0.04739891965741583</x:v>
      </x:c>
      <x:c r="N71" s="52" t="n">
        <x:f>H71*L71+(1-H71)*M71+O71</x:f>
        <x:v>-0.013835303960573904</x:v>
      </x:c>
      <x:c r="O71" s="36" t="n">
        <x:f>Assumptions!$B$10</x:f>
        <x:v>0</x:v>
      </x:c>
      <x:c r="P71" s="54" t="n">
        <x:f>E71*(1+N71)</x:f>
        <x:v>43.39124662573475</x:v>
      </x:c>
      <x:c r="Q71" s="54" t="n">
        <x:f>P71-E71</x:f>
        <x:v>-0.6087533742652482</x:v>
      </x:c>
      <x:c r="R71" s="16" t="str">
        <x:v>No</x:v>
      </x:c>
      <x:c r="S71" s="56"/>
      <x:c r="T71" s="56"/>
      <x:c r="U71" s="40" t="n">
        <x:f>E71*Assumptions!$B$8</x:f>
        <x:v>37.4</x:v>
      </x:c>
      <x:c r="V71" s="40" t="n">
        <x:f>P71*Assumptions!$B$8</x:f>
        <x:v>36.882559631874535</x:v>
      </x:c>
      <x:c r="W71" s="54" t="n">
        <x:f>V71-U71</x:f>
        <x:v>-0.5174403681254631</x:v>
      </x:c>
      <x:c r="X71" s="58" t="str">
        <x:f>IF(R71="No","",W71*S71)</x:f>
      </x:c>
      <x:c r="Y71" s="58" t="str">
        <x:f>IF(R71="No","",W71*T71*Assumptions!$B$9)</x:f>
      </x:c>
      <x:c r="Z71" s="58" t="str">
        <x:f>IF(R71="No","",X71-Y71)</x:f>
      </x:c>
      <x:c r="AA71" s="58" t="str">
        <x:f>IF(R71="No","",MAX(0,-Z71))</x:f>
      </x:c>
      <x:c r="AB71" s="52" t="str">
        <x:f>IF(OR(R71="No",U71*S71=0),"",AA71/(U71*S71))</x:f>
      </x:c>
      <x:c r="AC71" s="54" t="str">
        <x:f>IF(OR(R71="No",S71-T71*Assumptions!$B$9&lt;=0),"",AA71/(Assumptions!$B$8*(S71-T71*Assumptions!$B$9)))</x:f>
      </x:c>
      <x:c r="AD71" s="52" t="str">
        <x:f>IF(OR(R71="No",U71*S71=0),"",AA71/(U71*S71))</x:f>
      </x:c>
      <x:c r="AE71" s="50" t="str">
        <x:f>IF(R71="No","No finance data",IF(AB71&gt;=10%,"Severe",IF(AB71&gt;=5%,"High",IF(AB71&gt;=2%,"Moderate","Low"))))</x:f>
        <x:v>No finance data</x:v>
      </x:c>
      <x:c r="AF71" s="60"/>
      <x:c r="AG71" s="60"/>
      <x:c r="AH71" s="44" t="str">
        <x:v>Undergraduate tuition-contribution proxy only; not an audited total institutional budget.</x:v>
      </x:c>
    </x:row>
    <x:row r="72">
      <x:c r="A72" s="16" t="n">
        <x:v>104179</x:v>
      </x:c>
      <x:c r="B72" s="16" t="str">
        <x:v>University of Arizona</x:v>
      </x:c>
      <x:c r="C72" s="16" t="str">
        <x:v>AZ</x:v>
      </x:c>
      <x:c r="D72" s="16" t="str">
        <x:v>Public</x:v>
      </x:c>
      <x:c r="E72" s="34" t="n">
        <x:v>32964</x:v>
      </x:c>
      <x:c r="F72" s="21" t="n">
        <x:v>0.8727</x:v>
      </x:c>
      <x:c r="G72" s="16" t="str">
        <x:v>National</x:v>
      </x:c>
      <x:c r="H72" s="36" t="n">
        <x:f>IF(G72="National",Assumptions!$B$11,IF(G72="Statewide",Assumptions!$B$12,Assumptions!$B$13))</x:f>
        <x:v>0.25</x:v>
      </x:c>
      <x:c r="I72" s="21" t="n">
        <x:v>-0.02043238463149566</x:v>
      </x:c>
      <x:c r="J72" s="21" t="n">
        <x:v>-0.007912312955248857</x:v>
      </x:c>
      <x:c r="K72" s="21" t="n">
        <x:v>-0.052523795117637495</x:v>
      </x:c>
      <x:c r="L72" s="36" t="n">
        <x:f>IF(Assumptions!$B$4=2030,I72,IF(Assumptions!$B$4=2035,J72,K72))</x:f>
        <x:v>-0.007912312955248857</x:v>
      </x:c>
      <x:c r="M72" s="36" t="n">
        <x:f>Assumptions!$B$19</x:f>
        <x:v>-0.04739891965741583</x:v>
      </x:c>
      <x:c r="N72" s="52" t="n">
        <x:f>H72*L72+(1-H72)*M72+O72</x:f>
        <x:v>-0.037527267981874085</x:v>
      </x:c>
      <x:c r="O72" s="36" t="n">
        <x:f>Assumptions!$B$10</x:f>
        <x:v>0</x:v>
      </x:c>
      <x:c r="P72" s="54" t="n">
        <x:f>E72*(1+N72)</x:f>
        <x:v>31726.951138245502</x:v>
      </x:c>
      <x:c r="Q72" s="54" t="n">
        <x:f>P72-E72</x:f>
        <x:v>-1237.048861754498</x:v>
      </x:c>
      <x:c r="R72" s="16" t="str">
        <x:v>Yes</x:v>
      </x:c>
      <x:c r="S72" s="56" t="n">
        <x:v>14180</x:v>
      </x:c>
      <x:c r="T72" s="56" t="n">
        <x:v>12902</x:v>
      </x:c>
      <x:c r="U72" s="40" t="n">
        <x:f>E72*Assumptions!$B$8</x:f>
        <x:v>28019.399999999998</x:v>
      </x:c>
      <x:c r="V72" s="40" t="n">
        <x:f>P72*Assumptions!$B$8</x:f>
        <x:v>26967.908467508678</x:v>
      </x:c>
      <x:c r="W72" s="54" t="n">
        <x:f>V72-U72</x:f>
        <x:v>-1051.49153249132</x:v>
      </x:c>
      <x:c r="X72" s="58" t="n">
        <x:f>IF(R72="No","",W72*S72)</x:f>
        <x:v>-14910149.930726917</x:v>
      </x:c>
      <x:c r="Y72" s="58" t="n">
        <x:f>IF(R72="No","",W72*T72*Assumptions!$B$9)</x:f>
        <x:v>-4069903.125660903</x:v>
      </x:c>
      <x:c r="Z72" s="58" t="n">
        <x:f>IF(R72="No","",X72-Y72)</x:f>
        <x:v>-10840246.805066016</x:v>
      </x:c>
      <x:c r="AA72" s="58" t="n">
        <x:f>IF(R72="No","",MAX(0,-Z72))</x:f>
        <x:v>10840246.805066016</x:v>
      </x:c>
      <x:c r="AB72" s="52" t="n">
        <x:f>IF(OR(R72="No",U72*S72=0),"",AA72/(U72*S72))</x:f>
        <x:v>0.027283752928937362</x:v>
      </x:c>
      <x:c r="AC72" s="54" t="n">
        <x:f>IF(OR(R72="No",S72-T72*Assumptions!$B$9&lt;=0),"",AA72/(Assumptions!$B$8*(S72-T72*Assumptions!$B$9)))</x:f>
        <x:v>1237.0488617544943</x:v>
      </x:c>
      <x:c r="AD72" s="52" t="n">
        <x:f>IF(OR(R72="No",U72*S72=0),"",AA72/(U72*S72))</x:f>
        <x:v>0.027283752928937362</x:v>
      </x:c>
      <x:c r="AE72" s="50" t="str">
        <x:f>IF(R72="No","No finance data",IF(AB72&gt;=10%,"Severe",IF(AB72&gt;=5%,"High",IF(AB72&gt;=2%,"Moderate","Low"))))</x:f>
        <x:v>Moderate</x:v>
      </x:c>
      <x:c r="AF72" s="60" t="n">
        <x:v>32.232672</x:v>
      </x:c>
      <x:c r="AG72" s="60" t="n">
        <x:v>-110.950815</x:v>
      </x:c>
      <x:c r="AH72" s="44" t="str">
        <x:v>Undergraduate tuition-contribution proxy only; not an audited total institutional budget.</x:v>
      </x:c>
    </x:row>
    <x:row r="73">
      <x:c r="A73" s="16" t="n">
        <x:v>487296</x:v>
      </x:c>
      <x:c r="B73" s="16" t="str">
        <x:v>University of Arizona-South</x:v>
      </x:c>
      <x:c r="C73" s="16" t="str">
        <x:v>AZ</x:v>
      </x:c>
      <x:c r="D73" s="16" t="str">
        <x:v>Public</x:v>
      </x:c>
      <x:c r="E73" s="34" t="n">
        <x:v>400</x:v>
      </x:c>
      <x:c r="F73" s="21"/>
      <x:c r="G73" s="16" t="str">
        <x:v>Regional</x:v>
      </x:c>
      <x:c r="H73" s="36" t="n">
        <x:f>IF(G73="National",Assumptions!$B$11,IF(G73="Statewide",Assumptions!$B$12,Assumptions!$B$13))</x:f>
        <x:v>0.85</x:v>
      </x:c>
      <x:c r="I73" s="21" t="n">
        <x:v>-0.02043238463149566</x:v>
      </x:c>
      <x:c r="J73" s="21" t="n">
        <x:v>-0.007912312955248857</x:v>
      </x:c>
      <x:c r="K73" s="21" t="n">
        <x:v>-0.052523795117637495</x:v>
      </x:c>
      <x:c r="L73" s="36" t="n">
        <x:f>IF(Assumptions!$B$4=2030,I73,IF(Assumptions!$B$4=2035,J73,K73))</x:f>
        <x:v>-0.007912312955248857</x:v>
      </x:c>
      <x:c r="M73" s="36" t="n">
        <x:f>Assumptions!$B$19</x:f>
        <x:v>-0.04739891965741583</x:v>
      </x:c>
      <x:c r="N73" s="52" t="n">
        <x:f>H73*L73+(1-H73)*M73+O73</x:f>
        <x:v>-0.013835303960573904</x:v>
      </x:c>
      <x:c r="O73" s="36" t="n">
        <x:f>Assumptions!$B$10</x:f>
        <x:v>0</x:v>
      </x:c>
      <x:c r="P73" s="54" t="n">
        <x:f>E73*(1+N73)</x:f>
        <x:v>394.4658784157705</x:v>
      </x:c>
      <x:c r="Q73" s="54" t="n">
        <x:f>P73-E73</x:f>
        <x:v>-5.534121584229524</x:v>
      </x:c>
      <x:c r="R73" s="16" t="str">
        <x:v>No</x:v>
      </x:c>
      <x:c r="S73" s="56"/>
      <x:c r="T73" s="56"/>
      <x:c r="U73" s="40" t="n">
        <x:f>E73*Assumptions!$B$8</x:f>
        <x:v>340</x:v>
      </x:c>
      <x:c r="V73" s="40" t="n">
        <x:f>P73*Assumptions!$B$8</x:f>
        <x:v>335.29599665340487</x:v>
      </x:c>
      <x:c r="W73" s="54" t="n">
        <x:f>V73-U73</x:f>
        <x:v>-4.70400334659513</x:v>
      </x:c>
      <x:c r="X73" s="58" t="str">
        <x:f>IF(R73="No","",W73*S73)</x:f>
      </x:c>
      <x:c r="Y73" s="58" t="str">
        <x:f>IF(R73="No","",W73*T73*Assumptions!$B$9)</x:f>
      </x:c>
      <x:c r="Z73" s="58" t="str">
        <x:f>IF(R73="No","",X73-Y73)</x:f>
      </x:c>
      <x:c r="AA73" s="58" t="str">
        <x:f>IF(R73="No","",MAX(0,-Z73))</x:f>
      </x:c>
      <x:c r="AB73" s="52" t="str">
        <x:f>IF(OR(R73="No",U73*S73=0),"",AA73/(U73*S73))</x:f>
      </x:c>
      <x:c r="AC73" s="54" t="str">
        <x:f>IF(OR(R73="No",S73-T73*Assumptions!$B$9&lt;=0),"",AA73/(Assumptions!$B$8*(S73-T73*Assumptions!$B$9)))</x:f>
      </x:c>
      <x:c r="AD73" s="52" t="str">
        <x:f>IF(OR(R73="No",U73*S73=0),"",AA73/(U73*S73))</x:f>
      </x:c>
      <x:c r="AE73" s="50" t="str">
        <x:f>IF(R73="No","No finance data",IF(AB73&gt;=10%,"Severe",IF(AB73&gt;=5%,"High",IF(AB73&gt;=2%,"Moderate","Low"))))</x:f>
        <x:v>No finance data</x:v>
      </x:c>
      <x:c r="AF73" s="60"/>
      <x:c r="AG73" s="60"/>
      <x:c r="AH73" s="44" t="str">
        <x:v>Undergraduate tuition-contribution proxy only; not an audited total institutional budget.</x:v>
      </x:c>
    </x:row>
    <x:row r="74">
      <x:c r="A74" s="16" t="n">
        <x:v>116846</x:v>
      </x:c>
      <x:c r="B74" s="16" t="str">
        <x:v>American Jewish University</x:v>
      </x:c>
      <x:c r="C74" s="16" t="str">
        <x:v>CA</x:v>
      </x:c>
      <x:c r="D74" s="16" t="str">
        <x:v>Private nonprofit</x:v>
      </x:c>
      <x:c r="E74" s="34" t="n">
        <x:v>73</x:v>
      </x:c>
      <x:c r="F74" s="21"/>
      <x:c r="G74" s="16" t="str">
        <x:v>Regional</x:v>
      </x:c>
      <x:c r="H74" s="36" t="n">
        <x:f>IF(G74="National",Assumptions!$B$11,IF(G74="Statewide",Assumptions!$B$12,Assumptions!$B$13))</x:f>
        <x:v>0.85</x:v>
      </x:c>
      <x:c r="I74" s="21" t="n">
        <x:v>-0.06638496203204658</x:v>
      </x:c>
      <x:c r="J74" s="21" t="n">
        <x:v>-0.13740068518113568</x:v>
      </x:c>
      <x:c r="K74" s="21" t="n">
        <x:v>-0.2731806039713064</x:v>
      </x:c>
      <x:c r="L74" s="36" t="n">
        <x:f>IF(Assumptions!$B$4=2030,I74,IF(Assumptions!$B$4=2035,J74,K74))</x:f>
        <x:v>-0.13740068518113568</x:v>
      </x:c>
      <x:c r="M74" s="36" t="n">
        <x:f>Assumptions!$B$19</x:f>
        <x:v>-0.04739891965741583</x:v>
      </x:c>
      <x:c r="N74" s="52" t="n">
        <x:f>H74*L74+(1-H74)*M74+O74</x:f>
        <x:v>-0.1239004203525777</x:v>
      </x:c>
      <x:c r="O74" s="36" t="n">
        <x:f>Assumptions!$B$10</x:f>
        <x:v>0</x:v>
      </x:c>
      <x:c r="P74" s="54" t="n">
        <x:f>E74*(1+N74)</x:f>
        <x:v>63.95526931426183</x:v>
      </x:c>
      <x:c r="Q74" s="54" t="n">
        <x:f>P74-E74</x:f>
        <x:v>-9.044730685738173</x:v>
      </x:c>
      <x:c r="R74" s="16" t="str">
        <x:v>No</x:v>
      </x:c>
      <x:c r="S74" s="56"/>
      <x:c r="T74" s="56"/>
      <x:c r="U74" s="40" t="n">
        <x:f>E74*Assumptions!$B$8</x:f>
        <x:v>62.05</x:v>
      </x:c>
      <x:c r="V74" s="40" t="n">
        <x:f>P74*Assumptions!$B$8</x:f>
        <x:v>54.36197891712255</x:v>
      </x:c>
      <x:c r="W74" s="54" t="n">
        <x:f>V74-U74</x:f>
        <x:v>-7.688021082877448</x:v>
      </x:c>
      <x:c r="X74" s="58" t="str">
        <x:f>IF(R74="No","",W74*S74)</x:f>
      </x:c>
      <x:c r="Y74" s="58" t="str">
        <x:f>IF(R74="No","",W74*T74*Assumptions!$B$9)</x:f>
      </x:c>
      <x:c r="Z74" s="58" t="str">
        <x:f>IF(R74="No","",X74-Y74)</x:f>
      </x:c>
      <x:c r="AA74" s="58" t="str">
        <x:f>IF(R74="No","",MAX(0,-Z74))</x:f>
      </x:c>
      <x:c r="AB74" s="52" t="str">
        <x:f>IF(OR(R74="No",U74*S74=0),"",AA74/(U74*S74))</x:f>
      </x:c>
      <x:c r="AC74" s="54" t="str">
        <x:f>IF(OR(R74="No",S74-T74*Assumptions!$B$9&lt;=0),"",AA74/(Assumptions!$B$8*(S74-T74*Assumptions!$B$9)))</x:f>
      </x:c>
      <x:c r="AD74" s="52" t="str">
        <x:f>IF(OR(R74="No",U74*S74=0),"",AA74/(U74*S74))</x:f>
      </x:c>
      <x:c r="AE74" s="50" t="str">
        <x:f>IF(R74="No","No finance data",IF(AB74&gt;=10%,"Severe",IF(AB74&gt;=5%,"High",IF(AB74&gt;=2%,"Moderate","Low"))))</x:f>
        <x:v>No finance data</x:v>
      </x:c>
      <x:c r="AF74" s="60"/>
      <x:c r="AG74" s="60"/>
      <x:c r="AH74" s="44" t="str">
        <x:v>Undergraduate tuition-contribution proxy only; not an audited total institutional budget.</x:v>
      </x:c>
    </x:row>
    <x:row r="75">
      <x:c r="A75" s="16" t="n">
        <x:v>245838</x:v>
      </x:c>
      <x:c r="B75" s="16" t="str">
        <x:v>Antioch University-Los Angeles</x:v>
      </x:c>
      <x:c r="C75" s="16" t="str">
        <x:v>CA</x:v>
      </x:c>
      <x:c r="D75" s="16" t="str">
        <x:v>Private nonprofit</x:v>
      </x:c>
      <x:c r="E75" s="34" t="n">
        <x:v>165</x:v>
      </x:c>
      <x:c r="F75" s="21"/>
      <x:c r="G75" s="16" t="str">
        <x:v>Regional</x:v>
      </x:c>
      <x:c r="H75" s="36" t="n">
        <x:f>IF(G75="National",Assumptions!$B$11,IF(G75="Statewide",Assumptions!$B$12,Assumptions!$B$13))</x:f>
        <x:v>0.85</x:v>
      </x:c>
      <x:c r="I75" s="21" t="n">
        <x:v>-0.06638496203204658</x:v>
      </x:c>
      <x:c r="J75" s="21" t="n">
        <x:v>-0.13740068518113568</x:v>
      </x:c>
      <x:c r="K75" s="21" t="n">
        <x:v>-0.2731806039713064</x:v>
      </x:c>
      <x:c r="L75" s="36" t="n">
        <x:f>IF(Assumptions!$B$4=2030,I75,IF(Assumptions!$B$4=2035,J75,K75))</x:f>
        <x:v>-0.13740068518113568</x:v>
      </x:c>
      <x:c r="M75" s="36" t="n">
        <x:f>Assumptions!$B$19</x:f>
        <x:v>-0.04739891965741583</x:v>
      </x:c>
      <x:c r="N75" s="52" t="n">
        <x:f>H75*L75+(1-H75)*M75+O75</x:f>
        <x:v>-0.1239004203525777</x:v>
      </x:c>
      <x:c r="O75" s="36" t="n">
        <x:f>Assumptions!$B$10</x:f>
        <x:v>0</x:v>
      </x:c>
      <x:c r="P75" s="54" t="n">
        <x:f>E75*(1+N75)</x:f>
        <x:v>144.55643064182468</x:v>
      </x:c>
      <x:c r="Q75" s="54" t="n">
        <x:f>P75-E75</x:f>
        <x:v>-20.443569358175324</x:v>
      </x:c>
      <x:c r="R75" s="16" t="str">
        <x:v>No</x:v>
      </x:c>
      <x:c r="S75" s="56"/>
      <x:c r="T75" s="56"/>
      <x:c r="U75" s="40" t="n">
        <x:f>E75*Assumptions!$B$8</x:f>
        <x:v>140.25</x:v>
      </x:c>
      <x:c r="V75" s="40" t="n">
        <x:f>P75*Assumptions!$B$8</x:f>
        <x:v>122.87296604555097</x:v>
      </x:c>
      <x:c r="W75" s="54" t="n">
        <x:f>V75-U75</x:f>
        <x:v>-17.377033954449033</x:v>
      </x:c>
      <x:c r="X75" s="58" t="str">
        <x:f>IF(R75="No","",W75*S75)</x:f>
      </x:c>
      <x:c r="Y75" s="58" t="str">
        <x:f>IF(R75="No","",W75*T75*Assumptions!$B$9)</x:f>
      </x:c>
      <x:c r="Z75" s="58" t="str">
        <x:f>IF(R75="No","",X75-Y75)</x:f>
      </x:c>
      <x:c r="AA75" s="58" t="str">
        <x:f>IF(R75="No","",MAX(0,-Z75))</x:f>
      </x:c>
      <x:c r="AB75" s="52" t="str">
        <x:f>IF(OR(R75="No",U75*S75=0),"",AA75/(U75*S75))</x:f>
      </x:c>
      <x:c r="AC75" s="54" t="str">
        <x:f>IF(OR(R75="No",S75-T75*Assumptions!$B$9&lt;=0),"",AA75/(Assumptions!$B$8*(S75-T75*Assumptions!$B$9)))</x:f>
      </x:c>
      <x:c r="AD75" s="52" t="str">
        <x:f>IF(OR(R75="No",U75*S75=0),"",AA75/(U75*S75))</x:f>
      </x:c>
      <x:c r="AE75" s="50" t="str">
        <x:f>IF(R75="No","No finance data",IF(AB75&gt;=10%,"Severe",IF(AB75&gt;=5%,"High",IF(AB75&gt;=2%,"Moderate","Low"))))</x:f>
        <x:v>No finance data</x:v>
      </x:c>
      <x:c r="AF75" s="60"/>
      <x:c r="AG75" s="60"/>
      <x:c r="AH75" s="44" t="str">
        <x:v>Undergraduate tuition-contribution proxy only; not an audited total institutional budget.</x:v>
      </x:c>
    </x:row>
    <x:row r="76">
      <x:c r="A76" s="16" t="n">
        <x:v>245847</x:v>
      </x:c>
      <x:c r="B76" s="16" t="str">
        <x:v>Antioch University-Santa Barbara</x:v>
      </x:c>
      <x:c r="C76" s="16" t="str">
        <x:v>CA</x:v>
      </x:c>
      <x:c r="D76" s="16" t="str">
        <x:v>Private nonprofit</x:v>
      </x:c>
      <x:c r="E76" s="34" t="n">
        <x:v>168</x:v>
      </x:c>
      <x:c r="F76" s="21"/>
      <x:c r="G76" s="16" t="str">
        <x:v>Regional</x:v>
      </x:c>
      <x:c r="H76" s="36" t="n">
        <x:f>IF(G76="National",Assumptions!$B$11,IF(G76="Statewide",Assumptions!$B$12,Assumptions!$B$13))</x:f>
        <x:v>0.85</x:v>
      </x:c>
      <x:c r="I76" s="21" t="n">
        <x:v>-0.06638496203204658</x:v>
      </x:c>
      <x:c r="J76" s="21" t="n">
        <x:v>-0.13740068518113568</x:v>
      </x:c>
      <x:c r="K76" s="21" t="n">
        <x:v>-0.2731806039713064</x:v>
      </x:c>
      <x:c r="L76" s="36" t="n">
        <x:f>IF(Assumptions!$B$4=2030,I76,IF(Assumptions!$B$4=2035,J76,K76))</x:f>
        <x:v>-0.13740068518113568</x:v>
      </x:c>
      <x:c r="M76" s="36" t="n">
        <x:f>Assumptions!$B$19</x:f>
        <x:v>-0.04739891965741583</x:v>
      </x:c>
      <x:c r="N76" s="52" t="n">
        <x:f>H76*L76+(1-H76)*M76+O76</x:f>
        <x:v>-0.1239004203525777</x:v>
      </x:c>
      <x:c r="O76" s="36" t="n">
        <x:f>Assumptions!$B$10</x:f>
        <x:v>0</x:v>
      </x:c>
      <x:c r="P76" s="54" t="n">
        <x:f>E76*(1+N76)</x:f>
        <x:v>147.18472938076692</x:v>
      </x:c>
      <x:c r="Q76" s="54" t="n">
        <x:f>P76-E76</x:f>
        <x:v>-20.815270619233075</x:v>
      </x:c>
      <x:c r="R76" s="16" t="str">
        <x:v>No</x:v>
      </x:c>
      <x:c r="S76" s="56"/>
      <x:c r="T76" s="56"/>
      <x:c r="U76" s="40" t="n">
        <x:f>E76*Assumptions!$B$8</x:f>
        <x:v>142.79999999999998</x:v>
      </x:c>
      <x:c r="V76" s="40" t="n">
        <x:f>P76*Assumptions!$B$8</x:f>
        <x:v>125.10701997365189</x:v>
      </x:c>
      <x:c r="W76" s="54" t="n">
        <x:f>V76-U76</x:f>
        <x:v>-17.692980026348096</x:v>
      </x:c>
      <x:c r="X76" s="58" t="str">
        <x:f>IF(R76="No","",W76*S76)</x:f>
      </x:c>
      <x:c r="Y76" s="58" t="str">
        <x:f>IF(R76="No","",W76*T76*Assumptions!$B$9)</x:f>
      </x:c>
      <x:c r="Z76" s="58" t="str">
        <x:f>IF(R76="No","",X76-Y76)</x:f>
      </x:c>
      <x:c r="AA76" s="58" t="str">
        <x:f>IF(R76="No","",MAX(0,-Z76))</x:f>
      </x:c>
      <x:c r="AB76" s="52" t="str">
        <x:f>IF(OR(R76="No",U76*S76=0),"",AA76/(U76*S76))</x:f>
      </x:c>
      <x:c r="AC76" s="54" t="str">
        <x:f>IF(OR(R76="No",S76-T76*Assumptions!$B$9&lt;=0),"",AA76/(Assumptions!$B$8*(S76-T76*Assumptions!$B$9)))</x:f>
      </x:c>
      <x:c r="AD76" s="52" t="str">
        <x:f>IF(OR(R76="No",U76*S76=0),"",AA76/(U76*S76))</x:f>
      </x:c>
      <x:c r="AE76" s="50" t="str">
        <x:f>IF(R76="No","No finance data",IF(AB76&gt;=10%,"Severe",IF(AB76&gt;=5%,"High",IF(AB76&gt;=2%,"Moderate","Low"))))</x:f>
        <x:v>No finance data</x:v>
      </x:c>
      <x:c r="AF76" s="60"/>
      <x:c r="AG76" s="60"/>
      <x:c r="AH76" s="44" t="str">
        <x:v>Undergraduate tuition-contribution proxy only; not an audited total institutional budget.</x:v>
      </x:c>
    </x:row>
    <x:row r="77">
      <x:c r="A77" s="16" t="n">
        <x:v>109651</x:v>
      </x:c>
      <x:c r="B77" s="16" t="str">
        <x:v>Art Center College of Design</x:v>
      </x:c>
      <x:c r="C77" s="16" t="str">
        <x:v>CA</x:v>
      </x:c>
      <x:c r="D77" s="16" t="str">
        <x:v>Private nonprofit</x:v>
      </x:c>
      <x:c r="E77" s="34" t="n">
        <x:v>1890</x:v>
      </x:c>
      <x:c r="F77" s="21" t="n">
        <x:v>0.7556</x:v>
      </x:c>
      <x:c r="G77" s="16" t="str">
        <x:v>Regional</x:v>
      </x:c>
      <x:c r="H77" s="36" t="n">
        <x:f>IF(G77="National",Assumptions!$B$11,IF(G77="Statewide",Assumptions!$B$12,Assumptions!$B$13))</x:f>
        <x:v>0.85</x:v>
      </x:c>
      <x:c r="I77" s="21" t="n">
        <x:v>-0.06638496203204658</x:v>
      </x:c>
      <x:c r="J77" s="21" t="n">
        <x:v>-0.13740068518113568</x:v>
      </x:c>
      <x:c r="K77" s="21" t="n">
        <x:v>-0.2731806039713064</x:v>
      </x:c>
      <x:c r="L77" s="36" t="n">
        <x:f>IF(Assumptions!$B$4=2030,I77,IF(Assumptions!$B$4=2035,J77,K77))</x:f>
        <x:v>-0.13740068518113568</x:v>
      </x:c>
      <x:c r="M77" s="36" t="n">
        <x:f>Assumptions!$B$19</x:f>
        <x:v>-0.04739891965741583</x:v>
      </x:c>
      <x:c r="N77" s="52" t="n">
        <x:f>H77*L77+(1-H77)*M77+O77</x:f>
        <x:v>-0.1239004203525777</x:v>
      </x:c>
      <x:c r="O77" s="36" t="n">
        <x:f>Assumptions!$B$10</x:f>
        <x:v>0</x:v>
      </x:c>
      <x:c r="P77" s="54" t="n">
        <x:f>E77*(1+N77)</x:f>
        <x:v>1655.828205533628</x:v>
      </x:c>
      <x:c r="Q77" s="54" t="n">
        <x:f>P77-E77</x:f>
        <x:v>-234.17179446637192</x:v>
      </x:c>
      <x:c r="R77" s="16" t="str">
        <x:v>Yes</x:v>
      </x:c>
      <x:c r="S77" s="56" t="n">
        <x:v>33207</x:v>
      </x:c>
      <x:c r="T77" s="56" t="n">
        <x:v>21979</x:v>
      </x:c>
      <x:c r="U77" s="40" t="n">
        <x:f>E77*Assumptions!$B$8</x:f>
        <x:v>1606.5</x:v>
      </x:c>
      <x:c r="V77" s="40" t="n">
        <x:f>P77*Assumptions!$B$8</x:f>
        <x:v>1407.4539747035838</x:v>
      </x:c>
      <x:c r="W77" s="54" t="n">
        <x:f>V77-U77</x:f>
        <x:v>-199.04602529641625</x:v>
      </x:c>
      <x:c r="X77" s="58" t="n">
        <x:f>IF(R77="No","",W77*S77)</x:f>
        <x:v>-6609721.362018094</x:v>
      </x:c>
      <x:c r="Y77" s="58" t="n">
        <x:f>IF(R77="No","",W77*T77*Assumptions!$B$9)</x:f>
        <x:v>-1312449.7769969797</x:v>
      </x:c>
      <x:c r="Z77" s="58" t="n">
        <x:f>IF(R77="No","",X77-Y77)</x:f>
        <x:v>-5297271.585021115</x:v>
      </x:c>
      <x:c r="AA77" s="58" t="n">
        <x:f>IF(R77="No","",MAX(0,-Z77))</x:f>
        <x:v>5297271.585021115</x:v>
      </x:c>
      <x:c r="AB77" s="52" t="n">
        <x:f>IF(OR(R77="No",U77*S77=0),"",AA77/(U77*S77))</x:f>
        <x:v>0.09929831231274307</x:v>
      </x:c>
      <x:c r="AC77" s="54" t="n">
        <x:f>IF(OR(R77="No",S77-T77*Assumptions!$B$9&lt;=0),"",AA77/(Assumptions!$B$8*(S77-T77*Assumptions!$B$9)))</x:f>
        <x:v>234.17179446637206</x:v>
      </x:c>
      <x:c r="AD77" s="52" t="n">
        <x:f>IF(OR(R77="No",U77*S77=0),"",AA77/(U77*S77))</x:f>
        <x:v>0.09929831231274307</x:v>
      </x:c>
      <x:c r="AE77" s="50" t="str">
        <x:f>IF(R77="No","No finance data",IF(AB77&gt;=10%,"Severe",IF(AB77&gt;=5%,"High",IF(AB77&gt;=2%,"Moderate","Low"))))</x:f>
        <x:v>High</x:v>
      </x:c>
      <x:c r="AF77" s="60" t="n">
        <x:v>34.169031</x:v>
      </x:c>
      <x:c r="AG77" s="60" t="n">
        <x:v>-118.185102</x:v>
      </x:c>
      <x:c r="AH77" s="44" t="str">
        <x:v>Undergraduate tuition-contribution proxy only; not an audited total institutional budget.</x:v>
      </x:c>
    </x:row>
    <x:row r="78">
      <x:c r="A78" s="16" t="n">
        <x:v>109785</x:v>
      </x:c>
      <x:c r="B78" s="16" t="str">
        <x:v>Azusa Pacific University</x:v>
      </x:c>
      <x:c r="C78" s="16" t="str">
        <x:v>CA</x:v>
      </x:c>
      <x:c r="D78" s="16" t="str">
        <x:v>Private nonprofit</x:v>
      </x:c>
      <x:c r="E78" s="34" t="n">
        <x:v>5883</x:v>
      </x:c>
      <x:c r="F78" s="21" t="n">
        <x:v>0.941</x:v>
      </x:c>
      <x:c r="G78" s="16" t="str">
        <x:v>Regional</x:v>
      </x:c>
      <x:c r="H78" s="36" t="n">
        <x:f>IF(G78="National",Assumptions!$B$11,IF(G78="Statewide",Assumptions!$B$12,Assumptions!$B$13))</x:f>
        <x:v>0.85</x:v>
      </x:c>
      <x:c r="I78" s="21" t="n">
        <x:v>-0.06638496203204658</x:v>
      </x:c>
      <x:c r="J78" s="21" t="n">
        <x:v>-0.13740068518113568</x:v>
      </x:c>
      <x:c r="K78" s="21" t="n">
        <x:v>-0.2731806039713064</x:v>
      </x:c>
      <x:c r="L78" s="36" t="n">
        <x:f>IF(Assumptions!$B$4=2030,I78,IF(Assumptions!$B$4=2035,J78,K78))</x:f>
        <x:v>-0.13740068518113568</x:v>
      </x:c>
      <x:c r="M78" s="36" t="n">
        <x:f>Assumptions!$B$19</x:f>
        <x:v>-0.04739891965741583</x:v>
      </x:c>
      <x:c r="N78" s="52" t="n">
        <x:f>H78*L78+(1-H78)*M78+O78</x:f>
        <x:v>-0.1239004203525777</x:v>
      </x:c>
      <x:c r="O78" s="36" t="n">
        <x:f>Assumptions!$B$10</x:f>
        <x:v>0</x:v>
      </x:c>
      <x:c r="P78" s="54" t="n">
        <x:f>E78*(1+N78)</x:f>
        <x:v>5154.093827065785</x:v>
      </x:c>
      <x:c r="Q78" s="54" t="n">
        <x:f>P78-E78</x:f>
        <x:v>-728.9061729342147</x:v>
      </x:c>
      <x:c r="R78" s="16" t="str">
        <x:v>Yes</x:v>
      </x:c>
      <x:c r="S78" s="56" t="n">
        <x:v>19762</x:v>
      </x:c>
      <x:c r="T78" s="56" t="n">
        <x:v>10122</x:v>
      </x:c>
      <x:c r="U78" s="40" t="n">
        <x:f>E78*Assumptions!$B$8</x:f>
        <x:v>5000.55</x:v>
      </x:c>
      <x:c r="V78" s="40" t="n">
        <x:f>P78*Assumptions!$B$8</x:f>
        <x:v>4380.979753005918</x:v>
      </x:c>
      <x:c r="W78" s="54" t="n">
        <x:f>V78-U78</x:f>
        <x:v>-619.5702469940825</x:v>
      </x:c>
      <x:c r="X78" s="58" t="n">
        <x:f>IF(R78="No","",W78*S78)</x:f>
        <x:v>-12243947.221097058</x:v>
      </x:c>
      <x:c r="Y78" s="58" t="n">
        <x:f>IF(R78="No","",W78*T78*Assumptions!$B$9)</x:f>
        <x:v>-1881387.0120222308</x:v>
      </x:c>
      <x:c r="Z78" s="58" t="n">
        <x:f>IF(R78="No","",X78-Y78)</x:f>
        <x:v>-10362560.209074827</x:v>
      </x:c>
      <x:c r="AA78" s="58" t="n">
        <x:f>IF(R78="No","",MAX(0,-Z78))</x:f>
        <x:v>10362560.209074827</x:v>
      </x:c>
      <x:c r="AB78" s="52" t="n">
        <x:f>IF(OR(R78="No",U78*S78=0),"",AA78/(U78*S78))</x:f>
        <x:v>0.10486206307888893</x:v>
      </x:c>
      <x:c r="AC78" s="54" t="n">
        <x:f>IF(OR(R78="No",S78-T78*Assumptions!$B$9&lt;=0),"",AA78/(Assumptions!$B$8*(S78-T78*Assumptions!$B$9)))</x:f>
        <x:v>728.9061729342146</x:v>
      </x:c>
      <x:c r="AD78" s="52" t="n">
        <x:f>IF(OR(R78="No",U78*S78=0),"",AA78/(U78*S78))</x:f>
        <x:v>0.10486206307888893</x:v>
      </x:c>
      <x:c r="AE78" s="50" t="str">
        <x:f>IF(R78="No","No finance data",IF(AB78&gt;=10%,"Severe",IF(AB78&gt;=5%,"High",IF(AB78&gt;=2%,"Moderate","Low"))))</x:f>
        <x:v>Severe</x:v>
      </x:c>
      <x:c r="AF78" s="60" t="n">
        <x:v>34.130047</x:v>
      </x:c>
      <x:c r="AG78" s="60" t="n">
        <x:v>-117.888375</x:v>
      </x:c>
      <x:c r="AH78" s="44" t="str">
        <x:v>Undergraduate tuition-contribution proxy only; not an audited total institutional budget.</x:v>
      </x:c>
    </x:row>
    <x:row r="79">
      <x:c r="A79" s="16" t="n">
        <x:v>110060</x:v>
      </x:c>
      <x:c r="B79" s="16" t="str">
        <x:v>Bethesda University</x:v>
      </x:c>
      <x:c r="C79" s="16" t="str">
        <x:v>CA</x:v>
      </x:c>
      <x:c r="D79" s="16" t="str">
        <x:v>Private nonprofit</x:v>
      </x:c>
      <x:c r="E79" s="34" t="n">
        <x:v>279</x:v>
      </x:c>
      <x:c r="F79" s="21"/>
      <x:c r="G79" s="16" t="str">
        <x:v>Regional</x:v>
      </x:c>
      <x:c r="H79" s="36" t="n">
        <x:f>IF(G79="National",Assumptions!$B$11,IF(G79="Statewide",Assumptions!$B$12,Assumptions!$B$13))</x:f>
        <x:v>0.85</x:v>
      </x:c>
      <x:c r="I79" s="21" t="n">
        <x:v>-0.06638496203204658</x:v>
      </x:c>
      <x:c r="J79" s="21" t="n">
        <x:v>-0.13740068518113568</x:v>
      </x:c>
      <x:c r="K79" s="21" t="n">
        <x:v>-0.2731806039713064</x:v>
      </x:c>
      <x:c r="L79" s="36" t="n">
        <x:f>IF(Assumptions!$B$4=2030,I79,IF(Assumptions!$B$4=2035,J79,K79))</x:f>
        <x:v>-0.13740068518113568</x:v>
      </x:c>
      <x:c r="M79" s="36" t="n">
        <x:f>Assumptions!$B$19</x:f>
        <x:v>-0.04739891965741583</x:v>
      </x:c>
      <x:c r="N79" s="52" t="n">
        <x:f>H79*L79+(1-H79)*M79+O79</x:f>
        <x:v>-0.1239004203525777</x:v>
      </x:c>
      <x:c r="O79" s="36" t="n">
        <x:f>Assumptions!$B$10</x:f>
        <x:v>0</x:v>
      </x:c>
      <x:c r="P79" s="54" t="n">
        <x:f>E79*(1+N79)</x:f>
        <x:v>244.4317827216308</x:v>
      </x:c>
      <x:c r="Q79" s="54" t="n">
        <x:f>P79-E79</x:f>
        <x:v>-34.56821727836919</x:v>
      </x:c>
      <x:c r="R79" s="16" t="str">
        <x:v>No</x:v>
      </x:c>
      <x:c r="S79" s="56"/>
      <x:c r="T79" s="56"/>
      <x:c r="U79" s="40" t="n">
        <x:f>E79*Assumptions!$B$8</x:f>
        <x:v>237.15</x:v>
      </x:c>
      <x:c r="V79" s="40" t="n">
        <x:f>P79*Assumptions!$B$8</x:f>
        <x:v>207.7670153133862</x:v>
      </x:c>
      <x:c r="W79" s="54" t="n">
        <x:f>V79-U79</x:f>
        <x:v>-29.38298468661381</x:v>
      </x:c>
      <x:c r="X79" s="58" t="str">
        <x:f>IF(R79="No","",W79*S79)</x:f>
      </x:c>
      <x:c r="Y79" s="58" t="str">
        <x:f>IF(R79="No","",W79*T79*Assumptions!$B$9)</x:f>
      </x:c>
      <x:c r="Z79" s="58" t="str">
        <x:f>IF(R79="No","",X79-Y79)</x:f>
      </x:c>
      <x:c r="AA79" s="58" t="str">
        <x:f>IF(R79="No","",MAX(0,-Z79))</x:f>
      </x:c>
      <x:c r="AB79" s="52" t="str">
        <x:f>IF(OR(R79="No",U79*S79=0),"",AA79/(U79*S79))</x:f>
      </x:c>
      <x:c r="AC79" s="54" t="str">
        <x:f>IF(OR(R79="No",S79-T79*Assumptions!$B$9&lt;=0),"",AA79/(Assumptions!$B$8*(S79-T79*Assumptions!$B$9)))</x:f>
      </x:c>
      <x:c r="AD79" s="52" t="str">
        <x:f>IF(OR(R79="No",U79*S79=0),"",AA79/(U79*S79))</x:f>
      </x:c>
      <x:c r="AE79" s="50" t="str">
        <x:f>IF(R79="No","No finance data",IF(AB79&gt;=10%,"Severe",IF(AB79&gt;=5%,"High",IF(AB79&gt;=2%,"Moderate","Low"))))</x:f>
        <x:v>No finance data</x:v>
      </x:c>
      <x:c r="AF79" s="60"/>
      <x:c r="AG79" s="60"/>
      <x:c r="AH79" s="44" t="str">
        <x:v>Undergraduate tuition-contribution proxy only; not an audited total institutional budget.</x:v>
      </x:c>
    </x:row>
    <x:row r="80">
      <x:c r="A80" s="16" t="n">
        <x:v>110097</x:v>
      </x:c>
      <x:c r="B80" s="16" t="str">
        <x:v>Biola University</x:v>
      </x:c>
      <x:c r="C80" s="16" t="str">
        <x:v>CA</x:v>
      </x:c>
      <x:c r="D80" s="16" t="str">
        <x:v>Private nonprofit</x:v>
      </x:c>
      <x:c r="E80" s="34" t="n">
        <x:v>4219</x:v>
      </x:c>
      <x:c r="F80" s="21" t="n">
        <x:v>0.6077</x:v>
      </x:c>
      <x:c r="G80" s="16" t="str">
        <x:v>Regional</x:v>
      </x:c>
      <x:c r="H80" s="36" t="n">
        <x:f>IF(G80="National",Assumptions!$B$11,IF(G80="Statewide",Assumptions!$B$12,Assumptions!$B$13))</x:f>
        <x:v>0.85</x:v>
      </x:c>
      <x:c r="I80" s="21" t="n">
        <x:v>-0.06638496203204658</x:v>
      </x:c>
      <x:c r="J80" s="21" t="n">
        <x:v>-0.13740068518113568</x:v>
      </x:c>
      <x:c r="K80" s="21" t="n">
        <x:v>-0.2731806039713064</x:v>
      </x:c>
      <x:c r="L80" s="36" t="n">
        <x:f>IF(Assumptions!$B$4=2030,I80,IF(Assumptions!$B$4=2035,J80,K80))</x:f>
        <x:v>-0.13740068518113568</x:v>
      </x:c>
      <x:c r="M80" s="36" t="n">
        <x:f>Assumptions!$B$19</x:f>
        <x:v>-0.04739891965741583</x:v>
      </x:c>
      <x:c r="N80" s="52" t="n">
        <x:f>H80*L80+(1-H80)*M80+O80</x:f>
        <x:v>-0.1239004203525777</x:v>
      </x:c>
      <x:c r="O80" s="36" t="n">
        <x:f>Assumptions!$B$10</x:f>
        <x:v>0</x:v>
      </x:c>
      <x:c r="P80" s="54" t="n">
        <x:f>E80*(1+N80)</x:f>
        <x:v>3696.2641265324746</x:v>
      </x:c>
      <x:c r="Q80" s="54" t="n">
        <x:f>P80-E80</x:f>
        <x:v>-522.7358734675254</x:v>
      </x:c>
      <x:c r="R80" s="16" t="str">
        <x:v>Yes</x:v>
      </x:c>
      <x:c r="S80" s="56" t="n">
        <x:v>19084</x:v>
      </x:c>
      <x:c r="T80" s="56" t="n">
        <x:v>10650</x:v>
      </x:c>
      <x:c r="U80" s="40" t="n">
        <x:f>E80*Assumptions!$B$8</x:f>
        <x:v>3586.15</x:v>
      </x:c>
      <x:c r="V80" s="40" t="n">
        <x:f>P80*Assumptions!$B$8</x:f>
        <x:v>3141.8245075526033</x:v>
      </x:c>
      <x:c r="W80" s="54" t="n">
        <x:f>V80-U80</x:f>
        <x:v>-444.32549244739675</x:v>
      </x:c>
      <x:c r="X80" s="58" t="n">
        <x:f>IF(R80="No","",W80*S80)</x:f>
        <x:v>-8479507.69786612</x:v>
      </x:c>
      <x:c r="Y80" s="58" t="n">
        <x:f>IF(R80="No","",W80*T80*Assumptions!$B$9)</x:f>
        <x:v>-1419619.9483694325</x:v>
      </x:c>
      <x:c r="Z80" s="58" t="n">
        <x:f>IF(R80="No","",X80-Y80)</x:f>
        <x:v>-7059887.749496687</x:v>
      </x:c>
      <x:c r="AA80" s="58" t="n">
        <x:f>IF(R80="No","",MAX(0,-Z80))</x:f>
        <x:v>7059887.749496687</x:v>
      </x:c>
      <x:c r="AB80" s="52" t="n">
        <x:f>IF(OR(R80="No",U80*S80=0),"",AA80/(U80*S80))</x:f>
        <x:v>0.1031572929669937</x:v>
      </x:c>
      <x:c r="AC80" s="54" t="n">
        <x:f>IF(OR(R80="No",S80-T80*Assumptions!$B$9&lt;=0),"",AA80/(Assumptions!$B$8*(S80-T80*Assumptions!$B$9)))</x:f>
        <x:v>522.7358734675256</x:v>
      </x:c>
      <x:c r="AD80" s="52" t="n">
        <x:f>IF(OR(R80="No",U80*S80=0),"",AA80/(U80*S80))</x:f>
        <x:v>0.1031572929669937</x:v>
      </x:c>
      <x:c r="AE80" s="50" t="str">
        <x:f>IF(R80="No","No finance data",IF(AB80&gt;=10%,"Severe",IF(AB80&gt;=5%,"High",IF(AB80&gt;=2%,"Moderate","Low"))))</x:f>
        <x:v>Severe</x:v>
      </x:c>
      <x:c r="AF80" s="60" t="n">
        <x:v>33.906203</x:v>
      </x:c>
      <x:c r="AG80" s="60" t="n">
        <x:v>-118.014374</x:v>
      </x:c>
      <x:c r="AH80" s="44" t="str">
        <x:v>Undergraduate tuition-contribution proxy only; not an audited total institutional budget.</x:v>
      </x:c>
    </x:row>
    <x:row r="81">
      <x:c r="A81" s="16" t="n">
        <x:v>262086</x:v>
      </x:c>
      <x:c r="B81" s="16" t="str">
        <x:v>Brandman University</x:v>
      </x:c>
      <x:c r="C81" s="16" t="str">
        <x:v>CA</x:v>
      </x:c>
      <x:c r="D81" s="16" t="str">
        <x:v>Private nonprofit</x:v>
      </x:c>
      <x:c r="E81" s="34" t="n">
        <x:v>3595</x:v>
      </x:c>
      <x:c r="F81" s="21" t="n">
        <x:v>0.9286</x:v>
      </x:c>
      <x:c r="G81" s="16" t="str">
        <x:v>Regional</x:v>
      </x:c>
      <x:c r="H81" s="36" t="n">
        <x:f>IF(G81="National",Assumptions!$B$11,IF(G81="Statewide",Assumptions!$B$12,Assumptions!$B$13))</x:f>
        <x:v>0.85</x:v>
      </x:c>
      <x:c r="I81" s="21" t="n">
        <x:v>-0.06638496203204658</x:v>
      </x:c>
      <x:c r="J81" s="21" t="n">
        <x:v>-0.13740068518113568</x:v>
      </x:c>
      <x:c r="K81" s="21" t="n">
        <x:v>-0.2731806039713064</x:v>
      </x:c>
      <x:c r="L81" s="36" t="n">
        <x:f>IF(Assumptions!$B$4=2030,I81,IF(Assumptions!$B$4=2035,J81,K81))</x:f>
        <x:v>-0.13740068518113568</x:v>
      </x:c>
      <x:c r="M81" s="36" t="n">
        <x:f>Assumptions!$B$19</x:f>
        <x:v>-0.04739891965741583</x:v>
      </x:c>
      <x:c r="N81" s="52" t="n">
        <x:f>H81*L81+(1-H81)*M81+O81</x:f>
        <x:v>-0.1239004203525777</x:v>
      </x:c>
      <x:c r="O81" s="36" t="n">
        <x:f>Assumptions!$B$10</x:f>
        <x:v>0</x:v>
      </x:c>
      <x:c r="P81" s="54" t="n">
        <x:f>E81*(1+N81)</x:f>
        <x:v>3149.577988832483</x:v>
      </x:c>
      <x:c r="Q81" s="54" t="n">
        <x:f>P81-E81</x:f>
        <x:v>-445.4220111675172</x:v>
      </x:c>
      <x:c r="R81" s="16" t="str">
        <x:v>Yes</x:v>
      </x:c>
      <x:c r="S81" s="56" t="n">
        <x:v>14888</x:v>
      </x:c>
      <x:c r="T81" s="56" t="n">
        <x:v>4067</x:v>
      </x:c>
      <x:c r="U81" s="40" t="n">
        <x:f>E81*Assumptions!$B$8</x:f>
        <x:v>3055.75</x:v>
      </x:c>
      <x:c r="V81" s="40" t="n">
        <x:f>P81*Assumptions!$B$8</x:f>
        <x:v>2677.1412905076104</x:v>
      </x:c>
      <x:c r="W81" s="54" t="n">
        <x:f>V81-U81</x:f>
        <x:v>-378.6087094923896</x:v>
      </x:c>
      <x:c r="X81" s="58" t="n">
        <x:f>IF(R81="No","",W81*S81)</x:f>
        <x:v>-5636726.466922697</x:v>
      </x:c>
      <x:c r="Y81" s="58" t="n">
        <x:f>IF(R81="No","",W81*T81*Assumptions!$B$9)</x:f>
        <x:v>-461940.48645166453</x:v>
      </x:c>
      <x:c r="Z81" s="58" t="n">
        <x:f>IF(R81="No","",X81-Y81)</x:f>
        <x:v>-5174785.980471032</x:v>
      </x:c>
      <x:c r="AA81" s="58" t="n">
        <x:f>IF(R81="No","",MAX(0,-Z81))</x:f>
        <x:v>5174785.980471032</x:v>
      </x:c>
      <x:c r="AB81" s="52" t="n">
        <x:f>IF(OR(R81="No",U81*S81=0),"",AA81/(U81*S81))</x:f>
        <x:v>0.11374654455514495</x:v>
      </x:c>
      <x:c r="AC81" s="54" t="n">
        <x:f>IF(OR(R81="No",S81-T81*Assumptions!$B$9&lt;=0),"",AA81/(Assumptions!$B$8*(S81-T81*Assumptions!$B$9)))</x:f>
        <x:v>445.42201116751716</x:v>
      </x:c>
      <x:c r="AD81" s="52" t="n">
        <x:f>IF(OR(R81="No",U81*S81=0),"",AA81/(U81*S81))</x:f>
        <x:v>0.11374654455514495</x:v>
      </x:c>
      <x:c r="AE81" s="50" t="str">
        <x:f>IF(R81="No","No finance data",IF(AB81&gt;=10%,"Severe",IF(AB81&gt;=5%,"High",IF(AB81&gt;=2%,"Moderate","Low"))))</x:f>
        <x:v>Severe</x:v>
      </x:c>
      <x:c r="AF81" s="60" t="n">
        <x:v>33.656401</x:v>
      </x:c>
      <x:c r="AG81" s="60" t="n">
        <x:v>-117.769012</x:v>
      </x:c>
      <x:c r="AH81" s="44" t="str">
        <x:v>Undergraduate tuition-contribution proxy only; not an audited total institutional budget.</x:v>
      </x:c>
    </x:row>
    <x:row r="82">
      <x:c r="A82" s="16" t="n">
        <x:v>110361</x:v>
      </x:c>
      <x:c r="B82" s="16" t="str">
        <x:v>California Baptist University</x:v>
      </x:c>
      <x:c r="C82" s="16" t="str">
        <x:v>CA</x:v>
      </x:c>
      <x:c r="D82" s="16" t="str">
        <x:v>Private nonprofit</x:v>
      </x:c>
      <x:c r="E82" s="34" t="n">
        <x:v>6604</x:v>
      </x:c>
      <x:c r="F82" s="21" t="n">
        <x:v>0.6373</x:v>
      </x:c>
      <x:c r="G82" s="16" t="str">
        <x:v>Regional</x:v>
      </x:c>
      <x:c r="H82" s="36" t="n">
        <x:f>IF(G82="National",Assumptions!$B$11,IF(G82="Statewide",Assumptions!$B$12,Assumptions!$B$13))</x:f>
        <x:v>0.85</x:v>
      </x:c>
      <x:c r="I82" s="21" t="n">
        <x:v>-0.06638496203204658</x:v>
      </x:c>
      <x:c r="J82" s="21" t="n">
        <x:v>-0.13740068518113568</x:v>
      </x:c>
      <x:c r="K82" s="21" t="n">
        <x:v>-0.2731806039713064</x:v>
      </x:c>
      <x:c r="L82" s="36" t="n">
        <x:f>IF(Assumptions!$B$4=2030,I82,IF(Assumptions!$B$4=2035,J82,K82))</x:f>
        <x:v>-0.13740068518113568</x:v>
      </x:c>
      <x:c r="M82" s="36" t="n">
        <x:f>Assumptions!$B$19</x:f>
        <x:v>-0.04739891965741583</x:v>
      </x:c>
      <x:c r="N82" s="52" t="n">
        <x:f>H82*L82+(1-H82)*M82+O82</x:f>
        <x:v>-0.1239004203525777</x:v>
      </x:c>
      <x:c r="O82" s="36" t="n">
        <x:f>Assumptions!$B$10</x:f>
        <x:v>0</x:v>
      </x:c>
      <x:c r="P82" s="54" t="n">
        <x:f>E82*(1+N82)</x:f>
        <x:v>5785.761623991577</x:v>
      </x:c>
      <x:c r="Q82" s="54" t="n">
        <x:f>P82-E82</x:f>
        <x:v>-818.2383760084231</x:v>
      </x:c>
      <x:c r="R82" s="16" t="str">
        <x:v>Yes</x:v>
      </x:c>
      <x:c r="S82" s="56" t="n">
        <x:v>18785</x:v>
      </x:c>
      <x:c r="T82" s="56" t="n">
        <x:v>9490</x:v>
      </x:c>
      <x:c r="U82" s="40" t="n">
        <x:f>E82*Assumptions!$B$8</x:f>
        <x:v>5613.4</x:v>
      </x:c>
      <x:c r="V82" s="40" t="n">
        <x:f>P82*Assumptions!$B$8</x:f>
        <x:v>4917.89738039284</x:v>
      </x:c>
      <x:c r="W82" s="54" t="n">
        <x:f>V82-U82</x:f>
        <x:v>-695.5026196071594</x:v>
      </x:c>
      <x:c r="X82" s="58" t="n">
        <x:f>IF(R82="No","",W82*S82)</x:f>
        <x:v>-13065016.70932049</x:v>
      </x:c>
      <x:c r="Y82" s="58" t="n">
        <x:f>IF(R82="No","",W82*T82*Assumptions!$B$9)</x:f>
        <x:v>-1980095.9580215828</x:v>
      </x:c>
      <x:c r="Z82" s="58" t="n">
        <x:f>IF(R82="No","",X82-Y82)</x:f>
        <x:v>-11084920.751298906</x:v>
      </x:c>
      <x:c r="AA82" s="58" t="n">
        <x:f>IF(R82="No","",MAX(0,-Z82))</x:f>
        <x:v>11084920.751298906</x:v>
      </x:c>
      <x:c r="AB82" s="52" t="n">
        <x:f>IF(OR(R82="No",U82*S82=0),"",AA82/(U82*S82))</x:f>
        <x:v>0.10512243276973024</x:v>
      </x:c>
      <x:c r="AC82" s="54" t="n">
        <x:f>IF(OR(R82="No",S82-T82*Assumptions!$B$9&lt;=0),"",AA82/(Assumptions!$B$8*(S82-T82*Assumptions!$B$9)))</x:f>
        <x:v>818.2383760084228</x:v>
      </x:c>
      <x:c r="AD82" s="52" t="n">
        <x:f>IF(OR(R82="No",U82*S82=0),"",AA82/(U82*S82))</x:f>
        <x:v>0.10512243276973024</x:v>
      </x:c>
      <x:c r="AE82" s="50" t="str">
        <x:f>IF(R82="No","No finance data",IF(AB82&gt;=10%,"Severe",IF(AB82&gt;=5%,"High",IF(AB82&gt;=2%,"Moderate","Low"))))</x:f>
        <x:v>Severe</x:v>
      </x:c>
      <x:c r="AF82" s="60" t="n">
        <x:v>33.929321</x:v>
      </x:c>
      <x:c r="AG82" s="60" t="n">
        <x:v>-117.425619</x:v>
      </x:c>
      <x:c r="AH82" s="44" t="str">
        <x:v>Undergraduate tuition-contribution proxy only; not an audited total institutional budget.</x:v>
      </x:c>
    </x:row>
    <x:row r="83">
      <x:c r="A83" s="16" t="n">
        <x:v>110918</x:v>
      </x:c>
      <x:c r="B83" s="16" t="str">
        <x:v>California Christian College</x:v>
      </x:c>
      <x:c r="C83" s="16" t="str">
        <x:v>CA</x:v>
      </x:c>
      <x:c r="D83" s="16" t="str">
        <x:v>Private nonprofit</x:v>
      </x:c>
      <x:c r="E83" s="34" t="n">
        <x:v>18</x:v>
      </x:c>
      <x:c r="F83" s="21"/>
      <x:c r="G83" s="16" t="str">
        <x:v>Regional</x:v>
      </x:c>
      <x:c r="H83" s="36" t="n">
        <x:f>IF(G83="National",Assumptions!$B$11,IF(G83="Statewide",Assumptions!$B$12,Assumptions!$B$13))</x:f>
        <x:v>0.85</x:v>
      </x:c>
      <x:c r="I83" s="21" t="n">
        <x:v>-0.06638496203204658</x:v>
      </x:c>
      <x:c r="J83" s="21" t="n">
        <x:v>-0.13740068518113568</x:v>
      </x:c>
      <x:c r="K83" s="21" t="n">
        <x:v>-0.2731806039713064</x:v>
      </x:c>
      <x:c r="L83" s="36" t="n">
        <x:f>IF(Assumptions!$B$4=2030,I83,IF(Assumptions!$B$4=2035,J83,K83))</x:f>
        <x:v>-0.13740068518113568</x:v>
      </x:c>
      <x:c r="M83" s="36" t="n">
        <x:f>Assumptions!$B$19</x:f>
        <x:v>-0.04739891965741583</x:v>
      </x:c>
      <x:c r="N83" s="52" t="n">
        <x:f>H83*L83+(1-H83)*M83+O83</x:f>
        <x:v>-0.1239004203525777</x:v>
      </x:c>
      <x:c r="O83" s="36" t="n">
        <x:f>Assumptions!$B$10</x:f>
        <x:v>0</x:v>
      </x:c>
      <x:c r="P83" s="54" t="n">
        <x:f>E83*(1+N83)</x:f>
        <x:v>15.7697924336536</x:v>
      </x:c>
      <x:c r="Q83" s="54" t="n">
        <x:f>P83-E83</x:f>
        <x:v>-2.230207566346399</x:v>
      </x:c>
      <x:c r="R83" s="16" t="str">
        <x:v>No</x:v>
      </x:c>
      <x:c r="S83" s="56"/>
      <x:c r="T83" s="56"/>
      <x:c r="U83" s="40" t="n">
        <x:f>E83*Assumptions!$B$8</x:f>
        <x:v>15.299999999999999</x:v>
      </x:c>
      <x:c r="V83" s="40" t="n">
        <x:f>P83*Assumptions!$B$8</x:f>
        <x:v>13.40432356860556</x:v>
      </x:c>
      <x:c r="W83" s="54" t="n">
        <x:f>V83-U83</x:f>
        <x:v>-1.8956764313944383</x:v>
      </x:c>
      <x:c r="X83" s="58" t="str">
        <x:f>IF(R83="No","",W83*S83)</x:f>
      </x:c>
      <x:c r="Y83" s="58" t="str">
        <x:f>IF(R83="No","",W83*T83*Assumptions!$B$9)</x:f>
      </x:c>
      <x:c r="Z83" s="58" t="str">
        <x:f>IF(R83="No","",X83-Y83)</x:f>
      </x:c>
      <x:c r="AA83" s="58" t="str">
        <x:f>IF(R83="No","",MAX(0,-Z83))</x:f>
      </x:c>
      <x:c r="AB83" s="52" t="str">
        <x:f>IF(OR(R83="No",U83*S83=0),"",AA83/(U83*S83))</x:f>
      </x:c>
      <x:c r="AC83" s="54" t="str">
        <x:f>IF(OR(R83="No",S83-T83*Assumptions!$B$9&lt;=0),"",AA83/(Assumptions!$B$8*(S83-T83*Assumptions!$B$9)))</x:f>
      </x:c>
      <x:c r="AD83" s="52" t="str">
        <x:f>IF(OR(R83="No",U83*S83=0),"",AA83/(U83*S83))</x:f>
      </x:c>
      <x:c r="AE83" s="50" t="str">
        <x:f>IF(R83="No","No finance data",IF(AB83&gt;=10%,"Severe",IF(AB83&gt;=5%,"High",IF(AB83&gt;=2%,"Moderate","Low"))))</x:f>
        <x:v>No finance data</x:v>
      </x:c>
      <x:c r="AF83" s="60"/>
      <x:c r="AG83" s="60"/>
      <x:c r="AH83" s="44" t="str">
        <x:v>Undergraduate tuition-contribution proxy only; not an audited total institutional budget.</x:v>
      </x:c>
    </x:row>
    <x:row r="84">
      <x:c r="A84" s="16" t="n">
        <x:v>110370</x:v>
      </x:c>
      <x:c r="B84" s="16" t="str">
        <x:v>California College of the Arts</x:v>
      </x:c>
      <x:c r="C84" s="16" t="str">
        <x:v>CA</x:v>
      </x:c>
      <x:c r="D84" s="16" t="str">
        <x:v>Private nonprofit</x:v>
      </x:c>
      <x:c r="E84" s="34" t="n">
        <x:v>1491</x:v>
      </x:c>
      <x:c r="F84" s="21" t="n">
        <x:v>0.7763</x:v>
      </x:c>
      <x:c r="G84" s="16" t="str">
        <x:v>Regional</x:v>
      </x:c>
      <x:c r="H84" s="36" t="n">
        <x:f>IF(G84="National",Assumptions!$B$11,IF(G84="Statewide",Assumptions!$B$12,Assumptions!$B$13))</x:f>
        <x:v>0.85</x:v>
      </x:c>
      <x:c r="I84" s="21" t="n">
        <x:v>-0.06638496203204658</x:v>
      </x:c>
      <x:c r="J84" s="21" t="n">
        <x:v>-0.13740068518113568</x:v>
      </x:c>
      <x:c r="K84" s="21" t="n">
        <x:v>-0.2731806039713064</x:v>
      </x:c>
      <x:c r="L84" s="36" t="n">
        <x:f>IF(Assumptions!$B$4=2030,I84,IF(Assumptions!$B$4=2035,J84,K84))</x:f>
        <x:v>-0.13740068518113568</x:v>
      </x:c>
      <x:c r="M84" s="36" t="n">
        <x:f>Assumptions!$B$19</x:f>
        <x:v>-0.04739891965741583</x:v>
      </x:c>
      <x:c r="N84" s="52" t="n">
        <x:f>H84*L84+(1-H84)*M84+O84</x:f>
        <x:v>-0.1239004203525777</x:v>
      </x:c>
      <x:c r="O84" s="36" t="n">
        <x:f>Assumptions!$B$10</x:f>
        <x:v>0</x:v>
      </x:c>
      <x:c r="P84" s="54" t="n">
        <x:f>E84*(1+N84)</x:f>
        <x:v>1306.2644732543065</x:v>
      </x:c>
      <x:c r="Q84" s="54" t="n">
        <x:f>P84-E84</x:f>
        <x:v>-184.7355267456935</x:v>
      </x:c>
      <x:c r="R84" s="16" t="str">
        <x:v>Yes</x:v>
      </x:c>
      <x:c r="S84" s="56" t="n">
        <x:v>30947</x:v>
      </x:c>
      <x:c r="T84" s="56" t="n">
        <x:v>18910</x:v>
      </x:c>
      <x:c r="U84" s="40" t="n">
        <x:f>E84*Assumptions!$B$8</x:f>
        <x:v>1267.35</x:v>
      </x:c>
      <x:c r="V84" s="40" t="n">
        <x:f>P84*Assumptions!$B$8</x:f>
        <x:v>1110.3248022661605</x:v>
      </x:c>
      <x:c r="W84" s="54" t="n">
        <x:f>V84-U84</x:f>
        <x:v>-157.02519773383938</x:v>
      </x:c>
      <x:c r="X84" s="58" t="n">
        <x:f>IF(R84="No","",W84*S84)</x:f>
        <x:v>-4859458.794269127</x:v>
      </x:c>
      <x:c r="Y84" s="58" t="n">
        <x:f>IF(R84="No","",W84*T84*Assumptions!$B$9)</x:f>
        <x:v>-890803.9467440707</x:v>
      </x:c>
      <x:c r="Z84" s="58" t="n">
        <x:f>IF(R84="No","",X84-Y84)</x:f>
        <x:v>-3968654.847525056</x:v>
      </x:c>
      <x:c r="AA84" s="58" t="n">
        <x:f>IF(R84="No","",MAX(0,-Z84))</x:f>
        <x:v>3968654.847525056</x:v>
      </x:c>
      <x:c r="AB84" s="52" t="n">
        <x:f>IF(OR(R84="No",U84*S84=0),"",AA84/(U84*S84))</x:f>
        <x:v>0.10118781219475391</x:v>
      </x:c>
      <x:c r="AC84" s="54" t="n">
        <x:f>IF(OR(R84="No",S84-T84*Assumptions!$B$9&lt;=0),"",AA84/(Assumptions!$B$8*(S84-T84*Assumptions!$B$9)))</x:f>
        <x:v>184.7355267456934</x:v>
      </x:c>
      <x:c r="AD84" s="52" t="n">
        <x:f>IF(OR(R84="No",U84*S84=0),"",AA84/(U84*S84))</x:f>
        <x:v>0.10118781219475391</x:v>
      </x:c>
      <x:c r="AE84" s="50" t="str">
        <x:f>IF(R84="No","No finance data",IF(AB84&gt;=10%,"Severe",IF(AB84&gt;=5%,"High",IF(AB84&gt;=2%,"Moderate","Low"))))</x:f>
        <x:v>Severe</x:v>
      </x:c>
      <x:c r="AF84" s="60" t="n">
        <x:v>37.767485</x:v>
      </x:c>
      <x:c r="AG84" s="60" t="n">
        <x:v>-122.399451</x:v>
      </x:c>
      <x:c r="AH84" s="44" t="str">
        <x:v>Undergraduate tuition-contribution proxy only; not an audited total institutional budget.</x:v>
      </x:c>
    </x:row>
    <x:row r="85">
      <x:c r="A85" s="16" t="n">
        <x:v>110316</x:v>
      </x:c>
      <x:c r="B85" s="16" t="str">
        <x:v>California Institute of Integral Studies</x:v>
      </x:c>
      <x:c r="C85" s="16" t="str">
        <x:v>CA</x:v>
      </x:c>
      <x:c r="D85" s="16" t="str">
        <x:v>Private nonprofit</x:v>
      </x:c>
      <x:c r="E85" s="34" t="n">
        <x:v>78</x:v>
      </x:c>
      <x:c r="F85" s="21"/>
      <x:c r="G85" s="16" t="str">
        <x:v>Regional</x:v>
      </x:c>
      <x:c r="H85" s="36" t="n">
        <x:f>IF(G85="National",Assumptions!$B$11,IF(G85="Statewide",Assumptions!$B$12,Assumptions!$B$13))</x:f>
        <x:v>0.85</x:v>
      </x:c>
      <x:c r="I85" s="21" t="n">
        <x:v>-0.06638496203204658</x:v>
      </x:c>
      <x:c r="J85" s="21" t="n">
        <x:v>-0.13740068518113568</x:v>
      </x:c>
      <x:c r="K85" s="21" t="n">
        <x:v>-0.2731806039713064</x:v>
      </x:c>
      <x:c r="L85" s="36" t="n">
        <x:f>IF(Assumptions!$B$4=2030,I85,IF(Assumptions!$B$4=2035,J85,K85))</x:f>
        <x:v>-0.13740068518113568</x:v>
      </x:c>
      <x:c r="M85" s="36" t="n">
        <x:f>Assumptions!$B$19</x:f>
        <x:v>-0.04739891965741583</x:v>
      </x:c>
      <x:c r="N85" s="52" t="n">
        <x:f>H85*L85+(1-H85)*M85+O85</x:f>
        <x:v>-0.1239004203525777</x:v>
      </x:c>
      <x:c r="O85" s="36" t="n">
        <x:f>Assumptions!$B$10</x:f>
        <x:v>0</x:v>
      </x:c>
      <x:c r="P85" s="54" t="n">
        <x:f>E85*(1+N85)</x:f>
        <x:v>68.33576721249894</x:v>
      </x:c>
      <x:c r="Q85" s="54" t="n">
        <x:f>P85-E85</x:f>
        <x:v>-9.664232787501064</x:v>
      </x:c>
      <x:c r="R85" s="16" t="str">
        <x:v>No</x:v>
      </x:c>
      <x:c r="S85" s="56"/>
      <x:c r="T85" s="56"/>
      <x:c r="U85" s="40" t="n">
        <x:f>E85*Assumptions!$B$8</x:f>
        <x:v>66.3</x:v>
      </x:c>
      <x:c r="V85" s="40" t="n">
        <x:f>P85*Assumptions!$B$8</x:f>
        <x:v>58.0854021306241</x:v>
      </x:c>
      <x:c r="W85" s="54" t="n">
        <x:f>V85-U85</x:f>
        <x:v>-8.2145978693759</x:v>
      </x:c>
      <x:c r="X85" s="58" t="str">
        <x:f>IF(R85="No","",W85*S85)</x:f>
      </x:c>
      <x:c r="Y85" s="58" t="str">
        <x:f>IF(R85="No","",W85*T85*Assumptions!$B$9)</x:f>
      </x:c>
      <x:c r="Z85" s="58" t="str">
        <x:f>IF(R85="No","",X85-Y85)</x:f>
      </x:c>
      <x:c r="AA85" s="58" t="str">
        <x:f>IF(R85="No","",MAX(0,-Z85))</x:f>
      </x:c>
      <x:c r="AB85" s="52" t="str">
        <x:f>IF(OR(R85="No",U85*S85=0),"",AA85/(U85*S85))</x:f>
      </x:c>
      <x:c r="AC85" s="54" t="str">
        <x:f>IF(OR(R85="No",S85-T85*Assumptions!$B$9&lt;=0),"",AA85/(Assumptions!$B$8*(S85-T85*Assumptions!$B$9)))</x:f>
      </x:c>
      <x:c r="AD85" s="52" t="str">
        <x:f>IF(OR(R85="No",U85*S85=0),"",AA85/(U85*S85))</x:f>
      </x:c>
      <x:c r="AE85" s="50" t="str">
        <x:f>IF(R85="No","No finance data",IF(AB85&gt;=10%,"Severe",IF(AB85&gt;=5%,"High",IF(AB85&gt;=2%,"Moderate","Low"))))</x:f>
        <x:v>No finance data</x:v>
      </x:c>
      <x:c r="AF85" s="60"/>
      <x:c r="AG85" s="60"/>
      <x:c r="AH85" s="44" t="str">
        <x:v>Undergraduate tuition-contribution proxy only; not an audited total institutional budget.</x:v>
      </x:c>
    </x:row>
    <x:row r="86">
      <x:c r="A86" s="16" t="n">
        <x:v>110404</x:v>
      </x:c>
      <x:c r="B86" s="16" t="str">
        <x:v>California Institute of Technology</x:v>
      </x:c>
      <x:c r="C86" s="16" t="str">
        <x:v>CA</x:v>
      </x:c>
      <x:c r="D86" s="16" t="str">
        <x:v>Private nonprofit</x:v>
      </x:c>
      <x:c r="E86" s="34" t="n">
        <x:v>1001</x:v>
      </x:c>
      <x:c r="F86" s="21" t="n">
        <x:v>0.0392</x:v>
      </x:c>
      <x:c r="G86" s="16" t="str">
        <x:v>National</x:v>
      </x:c>
      <x:c r="H86" s="36" t="n">
        <x:f>IF(G86="National",Assumptions!$B$11,IF(G86="Statewide",Assumptions!$B$12,Assumptions!$B$13))</x:f>
        <x:v>0.25</x:v>
      </x:c>
      <x:c r="I86" s="21" t="n">
        <x:v>-0.06638496203204658</x:v>
      </x:c>
      <x:c r="J86" s="21" t="n">
        <x:v>-0.13740068518113568</x:v>
      </x:c>
      <x:c r="K86" s="21" t="n">
        <x:v>-0.2731806039713064</x:v>
      </x:c>
      <x:c r="L86" s="36" t="n">
        <x:f>IF(Assumptions!$B$4=2030,I86,IF(Assumptions!$B$4=2035,J86,K86))</x:f>
        <x:v>-0.13740068518113568</x:v>
      </x:c>
      <x:c r="M86" s="36" t="n">
        <x:f>Assumptions!$B$19</x:f>
        <x:v>-0.04739891965741583</x:v>
      </x:c>
      <x:c r="N86" s="52" t="n">
        <x:f>H86*L86+(1-H86)*M86+O86</x:f>
        <x:v>-0.06989936103834579</x:v>
      </x:c>
      <x:c r="O86" s="36" t="n">
        <x:f>Assumptions!$B$10</x:f>
        <x:v>0</x:v>
      </x:c>
      <x:c r="P86" s="54" t="n">
        <x:f>E86*(1+N86)</x:f>
        <x:v>931.0307396006158</x:v>
      </x:c>
      <x:c r="Q86" s="54" t="n">
        <x:f>P86-E86</x:f>
        <x:v>-69.96926039938421</x:v>
      </x:c>
      <x:c r="R86" s="16" t="str">
        <x:v>Yes</x:v>
      </x:c>
      <x:c r="S86" s="56" t="n">
        <x:v>13812</x:v>
      </x:c>
      <x:c r="T86" s="56" t="n">
        <x:v>112738</x:v>
      </x:c>
      <x:c r="U86" s="40" t="n">
        <x:f>E86*Assumptions!$B$8</x:f>
        <x:v>850.85</x:v>
      </x:c>
      <x:c r="V86" s="40" t="n">
        <x:f>P86*Assumptions!$B$8</x:f>
        <x:v>791.3761286605234</x:v>
      </x:c>
      <x:c r="W86" s="54" t="n">
        <x:f>V86-U86</x:f>
        <x:v>-59.47387133947666</x:v>
      </x:c>
      <x:c r="X86" s="58" t="n">
        <x:f>IF(R86="No","",W86*S86)</x:f>
        <x:v>-821453.1109408516</x:v>
      </x:c>
      <x:c r="Y86" s="58" t="n">
        <x:f>IF(R86="No","",W86*T86*Assumptions!$B$9)</x:f>
        <x:v>-2011489.592120976</x:v>
      </x:c>
      <x:c r="Z86" s="58" t="n">
        <x:f>IF(R86="No","",X86-Y86)</x:f>
        <x:v>1190036.4811801245</x:v>
      </x:c>
      <x:c r="AA86" s="58" t="n">
        <x:f>IF(R86="No","",MAX(0,-Z86))</x:f>
        <x:v>0</x:v>
      </x:c>
      <x:c r="AB86" s="52" t="n">
        <x:f>IF(OR(R86="No",U86*S86=0),"",AA86/(U86*S86))</x:f>
        <x:v>0</x:v>
      </x:c>
      <x:c r="AC86" s="54" t="str">
        <x:f>IF(OR(R86="No",S86-T86*Assumptions!$B$9&lt;=0),"",AA86/(Assumptions!$B$8*(S86-T86*Assumptions!$B$9)))</x:f>
      </x:c>
      <x:c r="AD86" s="52" t="n">
        <x:f>IF(OR(R86="No",U86*S86=0),"",AA86/(U86*S86))</x:f>
        <x:v>0</x:v>
      </x:c>
      <x:c r="AE86" s="50" t="str">
        <x:f>IF(R86="No","No finance data",IF(AB86&gt;=10%,"Severe",IF(AB86&gt;=5%,"High",IF(AB86&gt;=2%,"Moderate","Low"))))</x:f>
        <x:v>Low</x:v>
      </x:c>
      <x:c r="AF86" s="60" t="n">
        <x:v>34.137349</x:v>
      </x:c>
      <x:c r="AG86" s="60" t="n">
        <x:v>-118.125878</x:v>
      </x:c>
      <x:c r="AH86" s="44" t="str">
        <x:v>Undergraduate tuition-contribution proxy only; not an audited total institutional budget.</x:v>
      </x:c>
    </x:row>
    <x:row r="87">
      <x:c r="A87" s="16" t="n">
        <x:v>111081</x:v>
      </x:c>
      <x:c r="B87" s="16" t="str">
        <x:v>California Institute of the Arts</x:v>
      </x:c>
      <x:c r="C87" s="16" t="str">
        <x:v>CA</x:v>
      </x:c>
      <x:c r="D87" s="16" t="str">
        <x:v>Private nonprofit</x:v>
      </x:c>
      <x:c r="E87" s="34" t="n">
        <x:v>942</x:v>
      </x:c>
      <x:c r="F87" s="21" t="n">
        <x:v>0.2898</x:v>
      </x:c>
      <x:c r="G87" s="16" t="str">
        <x:v>National</x:v>
      </x:c>
      <x:c r="H87" s="36" t="n">
        <x:f>IF(G87="National",Assumptions!$B$11,IF(G87="Statewide",Assumptions!$B$12,Assumptions!$B$13))</x:f>
        <x:v>0.25</x:v>
      </x:c>
      <x:c r="I87" s="21" t="n">
        <x:v>-0.06638496203204658</x:v>
      </x:c>
      <x:c r="J87" s="21" t="n">
        <x:v>-0.13740068518113568</x:v>
      </x:c>
      <x:c r="K87" s="21" t="n">
        <x:v>-0.2731806039713064</x:v>
      </x:c>
      <x:c r="L87" s="36" t="n">
        <x:f>IF(Assumptions!$B$4=2030,I87,IF(Assumptions!$B$4=2035,J87,K87))</x:f>
        <x:v>-0.13740068518113568</x:v>
      </x:c>
      <x:c r="M87" s="36" t="n">
        <x:f>Assumptions!$B$19</x:f>
        <x:v>-0.04739891965741583</x:v>
      </x:c>
      <x:c r="N87" s="52" t="n">
        <x:f>H87*L87+(1-H87)*M87+O87</x:f>
        <x:v>-0.06989936103834579</x:v>
      </x:c>
      <x:c r="O87" s="36" t="n">
        <x:f>Assumptions!$B$10</x:f>
        <x:v>0</x:v>
      </x:c>
      <x:c r="P87" s="54" t="n">
        <x:f>E87*(1+N87)</x:f>
        <x:v>876.1548019018783</x:v>
      </x:c>
      <x:c r="Q87" s="54" t="n">
        <x:f>P87-E87</x:f>
        <x:v>-65.84519809812173</x:v>
      </x:c>
      <x:c r="R87" s="16" t="str">
        <x:v>Yes</x:v>
      </x:c>
      <x:c r="S87" s="56" t="n">
        <x:v>31921</x:v>
      </x:c>
      <x:c r="T87" s="56" t="n">
        <x:v>29707</x:v>
      </x:c>
      <x:c r="U87" s="40" t="n">
        <x:f>E87*Assumptions!$B$8</x:f>
        <x:v>800.6999999999999</x:v>
      </x:c>
      <x:c r="V87" s="40" t="n">
        <x:f>P87*Assumptions!$B$8</x:f>
        <x:v>744.7315816165965</x:v>
      </x:c>
      <x:c r="W87" s="54" t="n">
        <x:f>V87-U87</x:f>
        <x:v>-55.968418383403446</x:v>
      </x:c>
      <x:c r="X87" s="58" t="n">
        <x:f>IF(R87="No","",W87*S87)</x:f>
        <x:v>-1786567.8832166214</x:v>
      </x:c>
      <x:c r="Y87" s="58" t="n">
        <x:f>IF(R87="No","",W87*T87*Assumptions!$B$9)</x:f>
        <x:v>-498796.14147472987</x:v>
      </x:c>
      <x:c r="Z87" s="58" t="n">
        <x:f>IF(R87="No","",X87-Y87)</x:f>
        <x:v>-1287771.7417418915</x:v>
      </x:c>
      <x:c r="AA87" s="58" t="n">
        <x:f>IF(R87="No","",MAX(0,-Z87))</x:f>
        <x:v>1287771.7417418915</x:v>
      </x:c>
      <x:c r="AB87" s="52" t="n">
        <x:f>IF(OR(R87="No",U87*S87=0),"",AA87/(U87*S87))</x:f>
        <x:v>0.05038399198631602</x:v>
      </x:c>
      <x:c r="AC87" s="54" t="n">
        <x:f>IF(OR(R87="No",S87-T87*Assumptions!$B$9&lt;=0),"",AA87/(Assumptions!$B$8*(S87-T87*Assumptions!$B$9)))</x:f>
        <x:v>65.84519809812168</x:v>
      </x:c>
      <x:c r="AD87" s="52" t="n">
        <x:f>IF(OR(R87="No",U87*S87=0),"",AA87/(U87*S87))</x:f>
        <x:v>0.05038399198631602</x:v>
      </x:c>
      <x:c r="AE87" s="50" t="str">
        <x:f>IF(R87="No","No finance data",IF(AB87&gt;=10%,"Severe",IF(AB87&gt;=5%,"High",IF(AB87&gt;=2%,"Moderate","Low"))))</x:f>
        <x:v>High</x:v>
      </x:c>
      <x:c r="AF87" s="60" t="n">
        <x:v>34.39327</x:v>
      </x:c>
      <x:c r="AG87" s="60" t="n">
        <x:v>-118.566837</x:v>
      </x:c>
      <x:c r="AH87" s="44" t="str">
        <x:v>Undergraduate tuition-contribution proxy only; not an audited total institutional budget.</x:v>
      </x:c>
    </x:row>
    <x:row r="88">
      <x:c r="A88" s="16" t="n">
        <x:v>486488</x:v>
      </x:c>
      <x:c r="B88" s="16" t="str">
        <x:v>California Jazz Conservatory</x:v>
      </x:c>
      <x:c r="C88" s="16" t="str">
        <x:v>CA</x:v>
      </x:c>
      <x:c r="D88" s="16" t="str">
        <x:v>Private nonprofit</x:v>
      </x:c>
      <x:c r="E88" s="34" t="n">
        <x:v>55</x:v>
      </x:c>
      <x:c r="F88" s="21"/>
      <x:c r="G88" s="16" t="str">
        <x:v>Regional</x:v>
      </x:c>
      <x:c r="H88" s="36" t="n">
        <x:f>IF(G88="National",Assumptions!$B$11,IF(G88="Statewide",Assumptions!$B$12,Assumptions!$B$13))</x:f>
        <x:v>0.85</x:v>
      </x:c>
      <x:c r="I88" s="21" t="n">
        <x:v>-0.06638496203204658</x:v>
      </x:c>
      <x:c r="J88" s="21" t="n">
        <x:v>-0.13740068518113568</x:v>
      </x:c>
      <x:c r="K88" s="21" t="n">
        <x:v>-0.2731806039713064</x:v>
      </x:c>
      <x:c r="L88" s="36" t="n">
        <x:f>IF(Assumptions!$B$4=2030,I88,IF(Assumptions!$B$4=2035,J88,K88))</x:f>
        <x:v>-0.13740068518113568</x:v>
      </x:c>
      <x:c r="M88" s="36" t="n">
        <x:f>Assumptions!$B$19</x:f>
        <x:v>-0.04739891965741583</x:v>
      </x:c>
      <x:c r="N88" s="52" t="n">
        <x:f>H88*L88+(1-H88)*M88+O88</x:f>
        <x:v>-0.1239004203525777</x:v>
      </x:c>
      <x:c r="O88" s="36" t="n">
        <x:f>Assumptions!$B$10</x:f>
        <x:v>0</x:v>
      </x:c>
      <x:c r="P88" s="54" t="n">
        <x:f>E88*(1+N88)</x:f>
        <x:v>48.18547688060822</x:v>
      </x:c>
      <x:c r="Q88" s="54" t="n">
        <x:f>P88-E88</x:f>
        <x:v>-6.8145231193917795</x:v>
      </x:c>
      <x:c r="R88" s="16" t="str">
        <x:v>No</x:v>
      </x:c>
      <x:c r="S88" s="56"/>
      <x:c r="T88" s="56"/>
      <x:c r="U88" s="40" t="n">
        <x:f>E88*Assumptions!$B$8</x:f>
        <x:v>46.75</x:v>
      </x:c>
      <x:c r="V88" s="40" t="n">
        <x:f>P88*Assumptions!$B$8</x:f>
        <x:v>40.95765534851699</x:v>
      </x:c>
      <x:c r="W88" s="54" t="n">
        <x:f>V88-U88</x:f>
        <x:v>-5.792344651483013</x:v>
      </x:c>
      <x:c r="X88" s="58" t="str">
        <x:f>IF(R88="No","",W88*S88)</x:f>
      </x:c>
      <x:c r="Y88" s="58" t="str">
        <x:f>IF(R88="No","",W88*T88*Assumptions!$B$9)</x:f>
      </x:c>
      <x:c r="Z88" s="58" t="str">
        <x:f>IF(R88="No","",X88-Y88)</x:f>
      </x:c>
      <x:c r="AA88" s="58" t="str">
        <x:f>IF(R88="No","",MAX(0,-Z88))</x:f>
      </x:c>
      <x:c r="AB88" s="52" t="str">
        <x:f>IF(OR(R88="No",U88*S88=0),"",AA88/(U88*S88))</x:f>
      </x:c>
      <x:c r="AC88" s="54" t="str">
        <x:f>IF(OR(R88="No",S88-T88*Assumptions!$B$9&lt;=0),"",AA88/(Assumptions!$B$8*(S88-T88*Assumptions!$B$9)))</x:f>
      </x:c>
      <x:c r="AD88" s="52" t="str">
        <x:f>IF(OR(R88="No",U88*S88=0),"",AA88/(U88*S88))</x:f>
      </x:c>
      <x:c r="AE88" s="50" t="str">
        <x:f>IF(R88="No","No finance data",IF(AB88&gt;=10%,"Severe",IF(AB88&gt;=5%,"High",IF(AB88&gt;=2%,"Moderate","Low"))))</x:f>
        <x:v>No finance data</x:v>
      </x:c>
      <x:c r="AF88" s="60"/>
      <x:c r="AG88" s="60"/>
      <x:c r="AH88" s="44" t="str">
        <x:v>Undergraduate tuition-contribution proxy only; not an audited total institutional budget.</x:v>
      </x:c>
    </x:row>
    <x:row r="89">
      <x:c r="A89" s="16" t="n">
        <x:v>110413</x:v>
      </x:c>
      <x:c r="B89" s="16" t="str">
        <x:v>California Lutheran University</x:v>
      </x:c>
      <x:c r="C89" s="16" t="str">
        <x:v>CA</x:v>
      </x:c>
      <x:c r="D89" s="16" t="str">
        <x:v>Private nonprofit</x:v>
      </x:c>
      <x:c r="E89" s="34" t="n">
        <x:v>2802</x:v>
      </x:c>
      <x:c r="F89" s="21" t="n">
        <x:v>0.8194</x:v>
      </x:c>
      <x:c r="G89" s="16" t="str">
        <x:v>Regional</x:v>
      </x:c>
      <x:c r="H89" s="36" t="n">
        <x:f>IF(G89="National",Assumptions!$B$11,IF(G89="Statewide",Assumptions!$B$12,Assumptions!$B$13))</x:f>
        <x:v>0.85</x:v>
      </x:c>
      <x:c r="I89" s="21" t="n">
        <x:v>-0.06638496203204658</x:v>
      </x:c>
      <x:c r="J89" s="21" t="n">
        <x:v>-0.13740068518113568</x:v>
      </x:c>
      <x:c r="K89" s="21" t="n">
        <x:v>-0.2731806039713064</x:v>
      </x:c>
      <x:c r="L89" s="36" t="n">
        <x:f>IF(Assumptions!$B$4=2030,I89,IF(Assumptions!$B$4=2035,J89,K89))</x:f>
        <x:v>-0.13740068518113568</x:v>
      </x:c>
      <x:c r="M89" s="36" t="n">
        <x:f>Assumptions!$B$19</x:f>
        <x:v>-0.04739891965741583</x:v>
      </x:c>
      <x:c r="N89" s="52" t="n">
        <x:f>H89*L89+(1-H89)*M89+O89</x:f>
        <x:v>-0.1239004203525777</x:v>
      </x:c>
      <x:c r="O89" s="36" t="n">
        <x:f>Assumptions!$B$10</x:f>
        <x:v>0</x:v>
      </x:c>
      <x:c r="P89" s="54" t="n">
        <x:f>E89*(1+N89)</x:f>
        <x:v>2454.831022172077</x:v>
      </x:c>
      <x:c r="Q89" s="54" t="n">
        <x:f>P89-E89</x:f>
        <x:v>-347.16897782792284</x:v>
      </x:c>
      <x:c r="R89" s="16" t="str">
        <x:v>Yes</x:v>
      </x:c>
      <x:c r="S89" s="56" t="n">
        <x:v>19924</x:v>
      </x:c>
      <x:c r="T89" s="56" t="n">
        <x:v>9346</x:v>
      </x:c>
      <x:c r="U89" s="40" t="n">
        <x:f>E89*Assumptions!$B$8</x:f>
        <x:v>2381.7</x:v>
      </x:c>
      <x:c r="V89" s="40" t="n">
        <x:f>P89*Assumptions!$B$8</x:f>
        <x:v>2086.6063688462655</x:v>
      </x:c>
      <x:c r="W89" s="54" t="n">
        <x:f>V89-U89</x:f>
        <x:v>-295.09363115373435</x:v>
      </x:c>
      <x:c r="X89" s="58" t="n">
        <x:f>IF(R89="No","",W89*S89)</x:f>
        <x:v>-5879445.507107004</x:v>
      </x:c>
      <x:c r="Y89" s="58" t="n">
        <x:f>IF(R89="No","",W89*T89*Assumptions!$B$9)</x:f>
        <x:v>-827383.5230288403</x:v>
      </x:c>
      <x:c r="Z89" s="58" t="n">
        <x:f>IF(R89="No","",X89-Y89)</x:f>
        <x:v>-5052061.984078163</x:v>
      </x:c>
      <x:c r="AA89" s="58" t="n">
        <x:f>IF(R89="No","",MAX(0,-Z89))</x:f>
        <x:v>5052061.984078163</x:v>
      </x:c>
      <x:c r="AB89" s="52" t="n">
        <x:f>IF(OR(R89="No",U89*S89=0),"",AA89/(U89*S89))</x:f>
        <x:v>0.10646456416985552</x:v>
      </x:c>
      <x:c r="AC89" s="54" t="n">
        <x:f>IF(OR(R89="No",S89-T89*Assumptions!$B$9&lt;=0),"",AA89/(Assumptions!$B$8*(S89-T89*Assumptions!$B$9)))</x:f>
        <x:v>347.1689778279228</x:v>
      </x:c>
      <x:c r="AD89" s="52" t="n">
        <x:f>IF(OR(R89="No",U89*S89=0),"",AA89/(U89*S89))</x:f>
        <x:v>0.10646456416985552</x:v>
      </x:c>
      <x:c r="AE89" s="50" t="str">
        <x:f>IF(R89="No","No finance data",IF(AB89&gt;=10%,"Severe",IF(AB89&gt;=5%,"High",IF(AB89&gt;=2%,"Moderate","Low"))))</x:f>
        <x:v>Severe</x:v>
      </x:c>
      <x:c r="AF89" s="60" t="n">
        <x:v>34.224566</x:v>
      </x:c>
      <x:c r="AG89" s="60" t="n">
        <x:v>-118.878924</x:v>
      </x:c>
      <x:c r="AH89" s="44" t="str">
        <x:v>Undergraduate tuition-contribution proxy only; not an audited total institutional budget.</x:v>
      </x:c>
    </x:row>
    <x:row r="90">
      <x:c r="A90" s="16" t="n">
        <x:v>110422</x:v>
      </x:c>
      <x:c r="B90" s="16" t="str">
        <x:v>California Polytechnic State University-San Luis Obispo</x:v>
      </x:c>
      <x:c r="C90" s="16" t="str">
        <x:v>CA</x:v>
      </x:c>
      <x:c r="D90" s="16" t="str">
        <x:v>Public</x:v>
      </x:c>
      <x:c r="E90" s="34" t="n">
        <x:v>19972</x:v>
      </x:c>
      <x:c r="F90" s="21" t="n">
        <x:v>0.33</x:v>
      </x:c>
      <x:c r="G90" s="16" t="str">
        <x:v>National</x:v>
      </x:c>
      <x:c r="H90" s="36" t="n">
        <x:f>IF(G90="National",Assumptions!$B$11,IF(G90="Statewide",Assumptions!$B$12,Assumptions!$B$13))</x:f>
        <x:v>0.25</x:v>
      </x:c>
      <x:c r="I90" s="21" t="n">
        <x:v>-0.06638496203204658</x:v>
      </x:c>
      <x:c r="J90" s="21" t="n">
        <x:v>-0.13740068518113568</x:v>
      </x:c>
      <x:c r="K90" s="21" t="n">
        <x:v>-0.2731806039713064</x:v>
      </x:c>
      <x:c r="L90" s="36" t="n">
        <x:f>IF(Assumptions!$B$4=2030,I90,IF(Assumptions!$B$4=2035,J90,K90))</x:f>
        <x:v>-0.13740068518113568</x:v>
      </x:c>
      <x:c r="M90" s="36" t="n">
        <x:f>Assumptions!$B$19</x:f>
        <x:v>-0.04739891965741583</x:v>
      </x:c>
      <x:c r="N90" s="52" t="n">
        <x:f>H90*L90+(1-H90)*M90+O90</x:f>
        <x:v>-0.06989936103834579</x:v>
      </x:c>
      <x:c r="O90" s="36" t="n">
        <x:f>Assumptions!$B$10</x:f>
        <x:v>0</x:v>
      </x:c>
      <x:c r="P90" s="54" t="n">
        <x:f>E90*(1+N90)</x:f>
        <x:v>18575.969961342158</x:v>
      </x:c>
      <x:c r="Q90" s="54" t="n">
        <x:f>P90-E90</x:f>
        <x:v>-1396.030038657842</x:v>
      </x:c>
      <x:c r="R90" s="16" t="str">
        <x:v>Yes</x:v>
      </x:c>
      <x:c r="S90" s="56" t="n">
        <x:v>10447</x:v>
      </x:c>
      <x:c r="T90" s="56" t="n">
        <x:v>9301</x:v>
      </x:c>
      <x:c r="U90" s="40" t="n">
        <x:f>E90*Assumptions!$B$8</x:f>
        <x:v>16976.2</x:v>
      </x:c>
      <x:c r="V90" s="40" t="n">
        <x:f>P90*Assumptions!$B$8</x:f>
        <x:v>15789.574467140834</x:v>
      </x:c>
      <x:c r="W90" s="54" t="n">
        <x:f>V90-U90</x:f>
        <x:v>-1186.625532859167</x:v>
      </x:c>
      <x:c r="X90" s="58" t="n">
        <x:f>IF(R90="No","",W90*S90)</x:f>
        <x:v>-12396676.941779716</x:v>
      </x:c>
      <x:c r="Y90" s="58" t="n">
        <x:f>IF(R90="No","",W90*T90*Assumptions!$B$9)</x:f>
        <x:v>-3311041.2243369333</x:v>
      </x:c>
      <x:c r="Z90" s="58" t="n">
        <x:f>IF(R90="No","",X90-Y90)</x:f>
        <x:v>-9085635.717442783</x:v>
      </x:c>
      <x:c r="AA90" s="58" t="n">
        <x:f>IF(R90="No","",MAX(0,-Z90))</x:f>
        <x:v>9085635.717442783</x:v>
      </x:c>
      <x:c r="AB90" s="52" t="n">
        <x:f>IF(OR(R90="No",U90*S90=0),"",AA90/(U90*S90))</x:f>
        <x:v>0.051229868638106885</x:v>
      </x:c>
      <x:c r="AC90" s="54" t="n">
        <x:f>IF(OR(R90="No",S90-T90*Assumptions!$B$9&lt;=0),"",AA90/(Assumptions!$B$8*(S90-T90*Assumptions!$B$9)))</x:f>
        <x:v>1396.030038657843</x:v>
      </x:c>
      <x:c r="AD90" s="52" t="n">
        <x:f>IF(OR(R90="No",U90*S90=0),"",AA90/(U90*S90))</x:f>
        <x:v>0.051229868638106885</x:v>
      </x:c>
      <x:c r="AE90" s="50" t="str">
        <x:f>IF(R90="No","No finance data",IF(AB90&gt;=10%,"Severe",IF(AB90&gt;=5%,"High",IF(AB90&gt;=2%,"Moderate","Low"))))</x:f>
        <x:v>High</x:v>
      </x:c>
      <x:c r="AF90" s="60" t="n">
        <x:v>35.299513</x:v>
      </x:c>
      <x:c r="AG90" s="60" t="n">
        <x:v>-120.657311</x:v>
      </x:c>
      <x:c r="AH90" s="44" t="str">
        <x:v>Undergraduate tuition-contribution proxy only; not an audited total institutional budget.</x:v>
      </x:c>
    </x:row>
    <x:row r="91">
      <x:c r="A91" s="16" t="n">
        <x:v>110529</x:v>
      </x:c>
      <x:c r="B91" s="16" t="str">
        <x:v>California State Polytechnic University-Pomona</x:v>
      </x:c>
      <x:c r="C91" s="16" t="str">
        <x:v>CA</x:v>
      </x:c>
      <x:c r="D91" s="16" t="str">
        <x:v>Public</x:v>
      </x:c>
      <x:c r="E91" s="34" t="n">
        <x:v>22034</x:v>
      </x:c>
      <x:c r="F91" s="21" t="n">
        <x:v>0.6062</x:v>
      </x:c>
      <x:c r="G91" s="16" t="str">
        <x:v>Statewide</x:v>
      </x:c>
      <x:c r="H91" s="36" t="n">
        <x:f>IF(G91="National",Assumptions!$B$11,IF(G91="Statewide",Assumptions!$B$12,Assumptions!$B$13))</x:f>
        <x:v>0.6</x:v>
      </x:c>
      <x:c r="I91" s="21" t="n">
        <x:v>-0.06638496203204658</x:v>
      </x:c>
      <x:c r="J91" s="21" t="n">
        <x:v>-0.13740068518113568</x:v>
      </x:c>
      <x:c r="K91" s="21" t="n">
        <x:v>-0.2731806039713064</x:v>
      </x:c>
      <x:c r="L91" s="36" t="n">
        <x:f>IF(Assumptions!$B$4=2030,I91,IF(Assumptions!$B$4=2035,J91,K91))</x:f>
        <x:v>-0.13740068518113568</x:v>
      </x:c>
      <x:c r="M91" s="36" t="n">
        <x:f>Assumptions!$B$19</x:f>
        <x:v>-0.04739891965741583</x:v>
      </x:c>
      <x:c r="N91" s="52" t="n">
        <x:f>H91*L91+(1-H91)*M91+O91</x:f>
        <x:v>-0.10139997897164774</x:v>
      </x:c>
      <x:c r="O91" s="36" t="n">
        <x:f>Assumptions!$B$10</x:f>
        <x:v>0</x:v>
      </x:c>
      <x:c r="P91" s="54" t="n">
        <x:f>E91*(1+N91)</x:f>
        <x:v>19799.752863338712</x:v>
      </x:c>
      <x:c r="Q91" s="54" t="n">
        <x:f>P91-E91</x:f>
        <x:v>-2234.247136661288</x:v>
      </x:c>
      <x:c r="R91" s="16" t="str">
        <x:v>Yes</x:v>
      </x:c>
      <x:c r="S91" s="56" t="n">
        <x:v>4224</x:v>
      </x:c>
      <x:c r="T91" s="56" t="n">
        <x:v>6307</x:v>
      </x:c>
      <x:c r="U91" s="40" t="n">
        <x:f>E91*Assumptions!$B$8</x:f>
        <x:v>18728.899999999998</x:v>
      </x:c>
      <x:c r="V91" s="40" t="n">
        <x:f>P91*Assumptions!$B$8</x:f>
        <x:v>16829.789933837903</x:v>
      </x:c>
      <x:c r="W91" s="54" t="n">
        <x:f>V91-U91</x:f>
        <x:v>-1899.1100661620949</x:v>
      </x:c>
      <x:c r="X91" s="58" t="n">
        <x:f>IF(R91="No","",W91*S91)</x:f>
        <x:v>-8021840.919468689</x:v>
      </x:c>
      <x:c r="Y91" s="58" t="n">
        <x:f>IF(R91="No","",W91*T91*Assumptions!$B$9)</x:f>
        <x:v>-3593306.1561852996</x:v>
      </x:c>
      <x:c r="Z91" s="58" t="n">
        <x:f>IF(R91="No","",X91-Y91)</x:f>
        <x:v>-4428534.763283389</x:v>
      </x:c>
      <x:c r="AA91" s="58" t="n">
        <x:f>IF(R91="No","",MAX(0,-Z91))</x:f>
        <x:v>4428534.763283389</x:v>
      </x:c>
      <x:c r="AB91" s="52" t="n">
        <x:f>IF(OR(R91="No",U91*S91=0),"",AA91/(U91*S91))</x:f>
        <x:v>0.05597883782291325</x:v>
      </x:c>
      <x:c r="AC91" s="54" t="n">
        <x:f>IF(OR(R91="No",S91-T91*Assumptions!$B$9&lt;=0),"",AA91/(Assumptions!$B$8*(S91-T91*Assumptions!$B$9)))</x:f>
        <x:v>2234.247136661288</x:v>
      </x:c>
      <x:c r="AD91" s="52" t="n">
        <x:f>IF(OR(R91="No",U91*S91=0),"",AA91/(U91*S91))</x:f>
        <x:v>0.05597883782291325</x:v>
      </x:c>
      <x:c r="AE91" s="50" t="str">
        <x:f>IF(R91="No","No finance data",IF(AB91&gt;=10%,"Severe",IF(AB91&gt;=5%,"High",IF(AB91&gt;=2%,"Moderate","Low"))))</x:f>
        <x:v>High</x:v>
      </x:c>
      <x:c r="AF91" s="60" t="n">
        <x:v>34.057912</x:v>
      </x:c>
      <x:c r="AG91" s="60" t="n">
        <x:v>-117.821476</x:v>
      </x:c>
      <x:c r="AH91" s="44" t="str">
        <x:v>Undergraduate tuition-contribution proxy only; not an audited total institutional budget.</x:v>
      </x:c>
    </x:row>
    <x:row r="92">
      <x:c r="A92" s="16" t="n">
        <x:v>111188</x:v>
      </x:c>
      <x:c r="B92" s="16" t="str">
        <x:v>California State University Maritime Academy</x:v>
      </x:c>
      <x:c r="C92" s="16" t="str">
        <x:v>CA</x:v>
      </x:c>
      <x:c r="D92" s="16" t="str">
        <x:v>Public</x:v>
      </x:c>
      <x:c r="E92" s="34" t="n">
        <x:v>1072</x:v>
      </x:c>
      <x:c r="F92" s="21" t="n">
        <x:v>0.8209</x:v>
      </x:c>
      <x:c r="G92" s="16" t="str">
        <x:v>Regional</x:v>
      </x:c>
      <x:c r="H92" s="36" t="n">
        <x:f>IF(G92="National",Assumptions!$B$11,IF(G92="Statewide",Assumptions!$B$12,Assumptions!$B$13))</x:f>
        <x:v>0.85</x:v>
      </x:c>
      <x:c r="I92" s="21" t="n">
        <x:v>-0.06638496203204658</x:v>
      </x:c>
      <x:c r="J92" s="21" t="n">
        <x:v>-0.13740068518113568</x:v>
      </x:c>
      <x:c r="K92" s="21" t="n">
        <x:v>-0.2731806039713064</x:v>
      </x:c>
      <x:c r="L92" s="36" t="n">
        <x:f>IF(Assumptions!$B$4=2030,I92,IF(Assumptions!$B$4=2035,J92,K92))</x:f>
        <x:v>-0.13740068518113568</x:v>
      </x:c>
      <x:c r="M92" s="36" t="n">
        <x:f>Assumptions!$B$19</x:f>
        <x:v>-0.04739891965741583</x:v>
      </x:c>
      <x:c r="N92" s="52" t="n">
        <x:f>H92*L92+(1-H92)*M92+O92</x:f>
        <x:v>-0.1239004203525777</x:v>
      </x:c>
      <x:c r="O92" s="36" t="n">
        <x:f>Assumptions!$B$10</x:f>
        <x:v>0</x:v>
      </x:c>
      <x:c r="P92" s="54" t="n">
        <x:f>E92*(1+N92)</x:f>
        <x:v>939.1787493820367</x:v>
      </x:c>
      <x:c r="Q92" s="54" t="n">
        <x:f>P92-E92</x:f>
        <x:v>-132.8212506179633</x:v>
      </x:c>
      <x:c r="R92" s="16" t="str">
        <x:v>Yes</x:v>
      </x:c>
      <x:c r="S92" s="56" t="n">
        <x:v>7206</x:v>
      </x:c>
      <x:c r="T92" s="56" t="n">
        <x:v>20532</x:v>
      </x:c>
      <x:c r="U92" s="40" t="n">
        <x:f>E92*Assumptions!$B$8</x:f>
        <x:v>911.1999999999999</x:v>
      </x:c>
      <x:c r="V92" s="40" t="n">
        <x:f>P92*Assumptions!$B$8</x:f>
        <x:v>798.3019369747311</x:v>
      </x:c>
      <x:c r="W92" s="54" t="n">
        <x:f>V92-U92</x:f>
        <x:v>-112.89806302526881</x:v>
      </x:c>
      <x:c r="X92" s="58" t="n">
        <x:f>IF(R92="No","",W92*S92)</x:f>
        <x:v>-813543.442160087</x:v>
      </x:c>
      <x:c r="Y92" s="58" t="n">
        <x:f>IF(R92="No","",W92*T92*Assumptions!$B$9)</x:f>
        <x:v>-695406.9090104457</x:v>
      </x:c>
      <x:c r="Z92" s="58" t="n">
        <x:f>IF(R92="No","",X92-Y92)</x:f>
        <x:v>-118136.53314964136</x:v>
      </x:c>
      <x:c r="AA92" s="58" t="n">
        <x:f>IF(R92="No","",MAX(0,-Z92))</x:f>
        <x:v>118136.53314964136</x:v>
      </x:c>
      <x:c r="AB92" s="52" t="n">
        <x:f>IF(OR(R92="No",U92*S92=0),"",AA92/(U92*S92))</x:f>
        <x:v>0.017991867868017958</x:v>
      </x:c>
      <x:c r="AC92" s="54" t="n">
        <x:f>IF(OR(R92="No",S92-T92*Assumptions!$B$9&lt;=0),"",AA92/(Assumptions!$B$8*(S92-T92*Assumptions!$B$9)))</x:f>
        <x:v>132.82125061796333</x:v>
      </x:c>
      <x:c r="AD92" s="52" t="n">
        <x:f>IF(OR(R92="No",U92*S92=0),"",AA92/(U92*S92))</x:f>
        <x:v>0.017991867868017958</x:v>
      </x:c>
      <x:c r="AE92" s="50" t="str">
        <x:f>IF(R92="No","No finance data",IF(AB92&gt;=10%,"Severe",IF(AB92&gt;=5%,"High",IF(AB92&gt;=2%,"Moderate","Low"))))</x:f>
        <x:v>Low</x:v>
      </x:c>
      <x:c r="AF92" s="60" t="n">
        <x:v>38.069061</x:v>
      </x:c>
      <x:c r="AG92" s="60" t="n">
        <x:v>-122.231551</x:v>
      </x:c>
      <x:c r="AH92" s="44" t="str">
        <x:v>Undergraduate tuition-contribution proxy only; not an audited total institutional budget.</x:v>
      </x:c>
    </x:row>
    <x:row r="93">
      <x:c r="A93" s="16" t="n">
        <x:v>110486</x:v>
      </x:c>
      <x:c r="B93" s="16" t="str">
        <x:v>California State University-Bakersfield</x:v>
      </x:c>
      <x:c r="C93" s="16" t="str">
        <x:v>CA</x:v>
      </x:c>
      <x:c r="D93" s="16" t="str">
        <x:v>Public</x:v>
      </x:c>
      <x:c r="E93" s="34" t="n">
        <x:v>8068</x:v>
      </x:c>
      <x:c r="F93" s="21" t="n">
        <x:v>0.8521</x:v>
      </x:c>
      <x:c r="G93" s="16" t="str">
        <x:v>Statewide</x:v>
      </x:c>
      <x:c r="H93" s="36" t="n">
        <x:f>IF(G93="National",Assumptions!$B$11,IF(G93="Statewide",Assumptions!$B$12,Assumptions!$B$13))</x:f>
        <x:v>0.6</x:v>
      </x:c>
      <x:c r="I93" s="21" t="n">
        <x:v>-0.06638496203204658</x:v>
      </x:c>
      <x:c r="J93" s="21" t="n">
        <x:v>-0.13740068518113568</x:v>
      </x:c>
      <x:c r="K93" s="21" t="n">
        <x:v>-0.2731806039713064</x:v>
      </x:c>
      <x:c r="L93" s="36" t="n">
        <x:f>IF(Assumptions!$B$4=2030,I93,IF(Assumptions!$B$4=2035,J93,K93))</x:f>
        <x:v>-0.13740068518113568</x:v>
      </x:c>
      <x:c r="M93" s="36" t="n">
        <x:f>Assumptions!$B$19</x:f>
        <x:v>-0.04739891965741583</x:v>
      </x:c>
      <x:c r="N93" s="52" t="n">
        <x:f>H93*L93+(1-H93)*M93+O93</x:f>
        <x:v>-0.10139997897164774</x:v>
      </x:c>
      <x:c r="O93" s="36" t="n">
        <x:f>Assumptions!$B$10</x:f>
        <x:v>0</x:v>
      </x:c>
      <x:c r="P93" s="54" t="n">
        <x:f>E93*(1+N93)</x:f>
        <x:v>7249.904969656746</x:v>
      </x:c>
      <x:c r="Q93" s="54" t="n">
        <x:f>P93-E93</x:f>
        <x:v>-818.0950303432537</x:v>
      </x:c>
      <x:c r="R93" s="16" t="str">
        <x:v>Yes</x:v>
      </x:c>
      <x:c r="S93" s="56" t="n">
        <x:v>4010</x:v>
      </x:c>
      <x:c r="T93" s="56" t="n">
        <x:v>6385</x:v>
      </x:c>
      <x:c r="U93" s="40" t="n">
        <x:f>E93*Assumptions!$B$8</x:f>
        <x:v>6857.8</x:v>
      </x:c>
      <x:c r="V93" s="40" t="n">
        <x:f>P93*Assumptions!$B$8</x:f>
        <x:v>6162.4192242082345</x:v>
      </x:c>
      <x:c r="W93" s="54" t="n">
        <x:f>V93-U93</x:f>
        <x:v>-695.3807757917657</x:v>
      </x:c>
      <x:c r="X93" s="58" t="n">
        <x:f>IF(R93="No","",W93*S93)</x:f>
        <x:v>-2788476.9109249804</x:v>
      </x:c>
      <x:c r="Y93" s="58" t="n">
        <x:f>IF(R93="No","",W93*T93*Assumptions!$B$9)</x:f>
        <x:v>-1332001.8760291273</x:v>
      </x:c>
      <x:c r="Z93" s="58" t="n">
        <x:f>IF(R93="No","",X93-Y93)</x:f>
        <x:v>-1456475.0348958531</x:v>
      </x:c>
      <x:c r="AA93" s="58" t="n">
        <x:f>IF(R93="No","",MAX(0,-Z93))</x:f>
        <x:v>1456475.0348958531</x:v>
      </x:c>
      <x:c r="AB93" s="52" t="n">
        <x:f>IF(OR(R93="No",U93*S93=0),"",AA93/(U93*S93))</x:f>
        <x:v>0.05296315609878208</x:v>
      </x:c>
      <x:c r="AC93" s="54" t="n">
        <x:f>IF(OR(R93="No",S93-T93*Assumptions!$B$9&lt;=0),"",AA93/(Assumptions!$B$8*(S93-T93*Assumptions!$B$9)))</x:f>
        <x:v>818.0950303432537</x:v>
      </x:c>
      <x:c r="AD93" s="52" t="n">
        <x:f>IF(OR(R93="No",U93*S93=0),"",AA93/(U93*S93))</x:f>
        <x:v>0.05296315609878208</x:v>
      </x:c>
      <x:c r="AE93" s="50" t="str">
        <x:f>IF(R93="No","No finance data",IF(AB93&gt;=10%,"Severe",IF(AB93&gt;=5%,"High",IF(AB93&gt;=2%,"Moderate","Low"))))</x:f>
        <x:v>High</x:v>
      </x:c>
      <x:c r="AF93" s="60" t="n">
        <x:v>35.350005</x:v>
      </x:c>
      <x:c r="AG93" s="60" t="n">
        <x:v>-119.104711</x:v>
      </x:c>
      <x:c r="AH93" s="44" t="str">
        <x:v>Undergraduate tuition-contribution proxy only; not an audited total institutional budget.</x:v>
      </x:c>
    </x:row>
    <x:row r="94">
      <x:c r="A94" s="16" t="n">
        <x:v>441937</x:v>
      </x:c>
      <x:c r="B94" s="16" t="str">
        <x:v>California State University-Channel Islands</x:v>
      </x:c>
      <x:c r="C94" s="16" t="str">
        <x:v>CA</x:v>
      </x:c>
      <x:c r="D94" s="16" t="str">
        <x:v>Public</x:v>
      </x:c>
      <x:c r="E94" s="34" t="n">
        <x:v>5917</x:v>
      </x:c>
      <x:c r="F94" s="21" t="n">
        <x:v>0.93</x:v>
      </x:c>
      <x:c r="G94" s="16" t="str">
        <x:v>Statewide</x:v>
      </x:c>
      <x:c r="H94" s="36" t="n">
        <x:f>IF(G94="National",Assumptions!$B$11,IF(G94="Statewide",Assumptions!$B$12,Assumptions!$B$13))</x:f>
        <x:v>0.6</x:v>
      </x:c>
      <x:c r="I94" s="21" t="n">
        <x:v>-0.06638496203204658</x:v>
      </x:c>
      <x:c r="J94" s="21" t="n">
        <x:v>-0.13740068518113568</x:v>
      </x:c>
      <x:c r="K94" s="21" t="n">
        <x:v>-0.2731806039713064</x:v>
      </x:c>
      <x:c r="L94" s="36" t="n">
        <x:f>IF(Assumptions!$B$4=2030,I94,IF(Assumptions!$B$4=2035,J94,K94))</x:f>
        <x:v>-0.13740068518113568</x:v>
      </x:c>
      <x:c r="M94" s="36" t="n">
        <x:f>Assumptions!$B$19</x:f>
        <x:v>-0.04739891965741583</x:v>
      </x:c>
      <x:c r="N94" s="52" t="n">
        <x:f>H94*L94+(1-H94)*M94+O94</x:f>
        <x:v>-0.10139997897164774</x:v>
      </x:c>
      <x:c r="O94" s="36" t="n">
        <x:f>Assumptions!$B$10</x:f>
        <x:v>0</x:v>
      </x:c>
      <x:c r="P94" s="54" t="n">
        <x:f>E94*(1+N94)</x:f>
        <x:v>5317.016324424761</x:v>
      </x:c>
      <x:c r="Q94" s="54" t="n">
        <x:f>P94-E94</x:f>
        <x:v>-599.9836755752394</x:v>
      </x:c>
      <x:c r="R94" s="16" t="str">
        <x:v>Yes</x:v>
      </x:c>
      <x:c r="S94" s="56" t="n">
        <x:v>4401</x:v>
      </x:c>
      <x:c r="T94" s="56" t="n">
        <x:v>8059</x:v>
      </x:c>
      <x:c r="U94" s="40" t="n">
        <x:f>E94*Assumptions!$B$8</x:f>
        <x:v>5029.45</x:v>
      </x:c>
      <x:c r="V94" s="40" t="n">
        <x:f>P94*Assumptions!$B$8</x:f>
        <x:v>4519.463875761046</x:v>
      </x:c>
      <x:c r="W94" s="54" t="n">
        <x:f>V94-U94</x:f>
        <x:v>-509.9861242389534</x:v>
      </x:c>
      <x:c r="X94" s="58" t="n">
        <x:f>IF(R94="No","",W94*S94)</x:f>
        <x:v>-2244448.932775634</x:v>
      </x:c>
      <x:c r="Y94" s="58" t="n">
        <x:f>IF(R94="No","",W94*T94*Assumptions!$B$9)</x:f>
        <x:v>-1232993.4525725176</x:v>
      </x:c>
      <x:c r="Z94" s="58" t="n">
        <x:f>IF(R94="No","",X94-Y94)</x:f>
        <x:v>-1011455.4802031163</x:v>
      </x:c>
      <x:c r="AA94" s="58" t="n">
        <x:f>IF(R94="No","",MAX(0,-Z94))</x:f>
        <x:v>1011455.4802031163</x:v>
      </x:c>
      <x:c r="AB94" s="52" t="n">
        <x:f>IF(OR(R94="No",U94*S94=0),"",AA94/(U94*S94))</x:f>
        <x:v>0.04569565514530081</x:v>
      </x:c>
      <x:c r="AC94" s="54" t="n">
        <x:f>IF(OR(R94="No",S94-T94*Assumptions!$B$9&lt;=0),"",AA94/(Assumptions!$B$8*(S94-T94*Assumptions!$B$9)))</x:f>
        <x:v>599.9836755752393</x:v>
      </x:c>
      <x:c r="AD94" s="52" t="n">
        <x:f>IF(OR(R94="No",U94*S94=0),"",AA94/(U94*S94))</x:f>
        <x:v>0.04569565514530081</x:v>
      </x:c>
      <x:c r="AE94" s="50" t="str">
        <x:f>IF(R94="No","No finance data",IF(AB94&gt;=10%,"Severe",IF(AB94&gt;=5%,"High",IF(AB94&gt;=2%,"Moderate","Low"))))</x:f>
        <x:v>Moderate</x:v>
      </x:c>
      <x:c r="AF94" s="60" t="n">
        <x:v>34.162949</x:v>
      </x:c>
      <x:c r="AG94" s="60" t="n">
        <x:v>-119.04356</x:v>
      </x:c>
      <x:c r="AH94" s="44" t="str">
        <x:v>Undergraduate tuition-contribution proxy only; not an audited total institutional budget.</x:v>
      </x:c>
    </x:row>
    <x:row r="95">
      <x:c r="A95" s="16" t="n">
        <x:v>110538</x:v>
      </x:c>
      <x:c r="B95" s="16" t="str">
        <x:v>California State University-Chico</x:v>
      </x:c>
      <x:c r="C95" s="16" t="str">
        <x:v>CA</x:v>
      </x:c>
      <x:c r="D95" s="16" t="str">
        <x:v>Public</x:v>
      </x:c>
      <x:c r="E95" s="34" t="n">
        <x:v>15903</x:v>
      </x:c>
      <x:c r="F95" s="21" t="n">
        <x:v>0.8547</x:v>
      </x:c>
      <x:c r="G95" s="16" t="str">
        <x:v>Statewide</x:v>
      </x:c>
      <x:c r="H95" s="36" t="n">
        <x:f>IF(G95="National",Assumptions!$B$11,IF(G95="Statewide",Assumptions!$B$12,Assumptions!$B$13))</x:f>
        <x:v>0.6</x:v>
      </x:c>
      <x:c r="I95" s="21" t="n">
        <x:v>-0.06638496203204658</x:v>
      </x:c>
      <x:c r="J95" s="21" t="n">
        <x:v>-0.13740068518113568</x:v>
      </x:c>
      <x:c r="K95" s="21" t="n">
        <x:v>-0.2731806039713064</x:v>
      </x:c>
      <x:c r="L95" s="36" t="n">
        <x:f>IF(Assumptions!$B$4=2030,I95,IF(Assumptions!$B$4=2035,J95,K95))</x:f>
        <x:v>-0.13740068518113568</x:v>
      </x:c>
      <x:c r="M95" s="36" t="n">
        <x:f>Assumptions!$B$19</x:f>
        <x:v>-0.04739891965741583</x:v>
      </x:c>
      <x:c r="N95" s="52" t="n">
        <x:f>H95*L95+(1-H95)*M95+O95</x:f>
        <x:v>-0.10139997897164774</x:v>
      </x:c>
      <x:c r="O95" s="36" t="n">
        <x:f>Assumptions!$B$10</x:f>
        <x:v>0</x:v>
      </x:c>
      <x:c r="P95" s="54" t="n">
        <x:f>E95*(1+N95)</x:f>
        <x:v>14290.436134413885</x:v>
      </x:c>
      <x:c r="Q95" s="54" t="n">
        <x:f>P95-E95</x:f>
        <x:v>-1612.5638655861148</x:v>
      </x:c>
      <x:c r="R95" s="16" t="str">
        <x:v>Yes</x:v>
      </x:c>
      <x:c r="S95" s="56" t="n">
        <x:v>4926</x:v>
      </x:c>
      <x:c r="T95" s="56" t="n">
        <x:v>7114</x:v>
      </x:c>
      <x:c r="U95" s="40" t="n">
        <x:f>E95*Assumptions!$B$8</x:f>
        <x:v>13517.55</x:v>
      </x:c>
      <x:c r="V95" s="40" t="n">
        <x:f>P95*Assumptions!$B$8</x:f>
        <x:v>12146.870714251801</x:v>
      </x:c>
      <x:c r="W95" s="54" t="n">
        <x:f>V95-U95</x:f>
        <x:v>-1370.6792857481978</x:v>
      </x:c>
      <x:c r="X95" s="58" t="n">
        <x:f>IF(R95="No","",W95*S95)</x:f>
        <x:v>-6751966.161595622</x:v>
      </x:c>
      <x:c r="Y95" s="58" t="n">
        <x:f>IF(R95="No","",W95*T95*Assumptions!$B$9)</x:f>
        <x:v>-2925303.7316438034</x:v>
      </x:c>
      <x:c r="Z95" s="58" t="n">
        <x:f>IF(R95="No","",X95-Y95)</x:f>
        <x:v>-3826662.4299518187</x:v>
      </x:c>
      <x:c r="AA95" s="58" t="n">
        <x:f>IF(R95="No","",MAX(0,-Z95))</x:f>
        <x:v>3826662.4299518187</x:v>
      </x:c>
      <x:c r="AB95" s="52" t="n">
        <x:f>IF(OR(R95="No",U95*S95=0),"",AA95/(U95*S95))</x:f>
        <x:v>0.057468221943371166</x:v>
      </x:c>
      <x:c r="AC95" s="54" t="n">
        <x:f>IF(OR(R95="No",S95-T95*Assumptions!$B$9&lt;=0),"",AA95/(Assumptions!$B$8*(S95-T95*Assumptions!$B$9)))</x:f>
        <x:v>1612.5638655861148</x:v>
      </x:c>
      <x:c r="AD95" s="52" t="n">
        <x:f>IF(OR(R95="No",U95*S95=0),"",AA95/(U95*S95))</x:f>
        <x:v>0.057468221943371166</x:v>
      </x:c>
      <x:c r="AE95" s="50" t="str">
        <x:f>IF(R95="No","No finance data",IF(AB95&gt;=10%,"Severe",IF(AB95&gt;=5%,"High",IF(AB95&gt;=2%,"Moderate","Low"))))</x:f>
        <x:v>High</x:v>
      </x:c>
      <x:c r="AF95" s="60" t="n">
        <x:v>39.729712</x:v>
      </x:c>
      <x:c r="AG95" s="60" t="n">
        <x:v>-121.844859</x:v>
      </x:c>
      <x:c r="AH95" s="44" t="str">
        <x:v>Undergraduate tuition-contribution proxy only; not an audited total institutional budget.</x:v>
      </x:c>
    </x:row>
    <x:row r="96">
      <x:c r="A96" s="16" t="n">
        <x:v>110547</x:v>
      </x:c>
      <x:c r="B96" s="16" t="str">
        <x:v>California State University-Dominguez Hills</x:v>
      </x:c>
      <x:c r="C96" s="16" t="str">
        <x:v>CA</x:v>
      </x:c>
      <x:c r="D96" s="16" t="str">
        <x:v>Public</x:v>
      </x:c>
      <x:c r="E96" s="34" t="n">
        <x:v>12584</x:v>
      </x:c>
      <x:c r="F96" s="21" t="n">
        <x:v>0.8959</x:v>
      </x:c>
      <x:c r="G96" s="16" t="str">
        <x:v>Statewide</x:v>
      </x:c>
      <x:c r="H96" s="36" t="n">
        <x:f>IF(G96="National",Assumptions!$B$11,IF(G96="Statewide",Assumptions!$B$12,Assumptions!$B$13))</x:f>
        <x:v>0.6</x:v>
      </x:c>
      <x:c r="I96" s="21" t="n">
        <x:v>-0.06638496203204658</x:v>
      </x:c>
      <x:c r="J96" s="21" t="n">
        <x:v>-0.13740068518113568</x:v>
      </x:c>
      <x:c r="K96" s="21" t="n">
        <x:v>-0.2731806039713064</x:v>
      </x:c>
      <x:c r="L96" s="36" t="n">
        <x:f>IF(Assumptions!$B$4=2030,I96,IF(Assumptions!$B$4=2035,J96,K96))</x:f>
        <x:v>-0.13740068518113568</x:v>
      </x:c>
      <x:c r="M96" s="36" t="n">
        <x:f>Assumptions!$B$19</x:f>
        <x:v>-0.04739891965741583</x:v>
      </x:c>
      <x:c r="N96" s="52" t="n">
        <x:f>H96*L96+(1-H96)*M96+O96</x:f>
        <x:v>-0.10139997897164774</x:v>
      </x:c>
      <x:c r="O96" s="36" t="n">
        <x:f>Assumptions!$B$10</x:f>
        <x:v>0</x:v>
      </x:c>
      <x:c r="P96" s="54" t="n">
        <x:f>E96*(1+N96)</x:f>
        <x:v>11307.982664620784</x:v>
      </x:c>
      <x:c r="Q96" s="54" t="n">
        <x:f>P96-E96</x:f>
        <x:v>-1276.017335379216</x:v>
      </x:c>
      <x:c r="R96" s="16" t="str">
        <x:v>Yes</x:v>
      </x:c>
      <x:c r="S96" s="56" t="n">
        <x:v>3824</x:v>
      </x:c>
      <x:c r="T96" s="56" t="n">
        <x:v>6371</x:v>
      </x:c>
      <x:c r="U96" s="40" t="n">
        <x:f>E96*Assumptions!$B$8</x:f>
        <x:v>10696.4</x:v>
      </x:c>
      <x:c r="V96" s="40" t="n">
        <x:f>P96*Assumptions!$B$8</x:f>
        <x:v>9611.785264927667</x:v>
      </x:c>
      <x:c r="W96" s="54" t="n">
        <x:f>V96-U96</x:f>
        <x:v>-1084.6147350723331</x:v>
      </x:c>
      <x:c r="X96" s="58" t="n">
        <x:f>IF(R96="No","",W96*S96)</x:f>
        <x:v>-4147566.746916602</x:v>
      </x:c>
      <x:c r="Y96" s="58" t="n">
        <x:f>IF(R96="No","",W96*T96*Assumptions!$B$9)</x:f>
        <x:v>-2073024.1431437503</x:v>
      </x:c>
      <x:c r="Z96" s="58" t="n">
        <x:f>IF(R96="No","",X96-Y96)</x:f>
        <x:v>-2074542.6037728516</x:v>
      </x:c>
      <x:c r="AA96" s="58" t="n">
        <x:f>IF(R96="No","",MAX(0,-Z96))</x:f>
        <x:v>2074542.6037728516</x:v>
      </x:c>
      <x:c r="AB96" s="52" t="n">
        <x:f>IF(OR(R96="No",U96*S96=0),"",AA96/(U96*S96))</x:f>
        <x:v>0.05071855119745572</x:v>
      </x:c>
      <x:c r="AC96" s="54" t="n">
        <x:f>IF(OR(R96="No",S96-T96*Assumptions!$B$9&lt;=0),"",AA96/(Assumptions!$B$8*(S96-T96*Assumptions!$B$9)))</x:f>
        <x:v>1276.0173353792154</x:v>
      </x:c>
      <x:c r="AD96" s="52" t="n">
        <x:f>IF(OR(R96="No",U96*S96=0),"",AA96/(U96*S96))</x:f>
        <x:v>0.05071855119745572</x:v>
      </x:c>
      <x:c r="AE96" s="50" t="str">
        <x:f>IF(R96="No","No finance data",IF(AB96&gt;=10%,"Severe",IF(AB96&gt;=5%,"High",IF(AB96&gt;=2%,"Moderate","Low"))))</x:f>
        <x:v>High</x:v>
      </x:c>
      <x:c r="AF96" s="60" t="n">
        <x:v>33.864766</x:v>
      </x:c>
      <x:c r="AG96" s="60" t="n">
        <x:v>-118.255917</x:v>
      </x:c>
      <x:c r="AH96" s="44" t="str">
        <x:v>Undergraduate tuition-contribution proxy only; not an audited total institutional budget.</x:v>
      </x:c>
    </x:row>
    <x:row r="97">
      <x:c r="A97" s="16" t="n">
        <x:v>110574</x:v>
      </x:c>
      <x:c r="B97" s="16" t="str">
        <x:v>California State University-East Bay</x:v>
      </x:c>
      <x:c r="C97" s="16" t="str">
        <x:v>CA</x:v>
      </x:c>
      <x:c r="D97" s="16" t="str">
        <x:v>Public</x:v>
      </x:c>
      <x:c r="E97" s="34" t="n">
        <x:v>12981</x:v>
      </x:c>
      <x:c r="F97" s="21" t="n">
        <x:v>0.8236</x:v>
      </x:c>
      <x:c r="G97" s="16" t="str">
        <x:v>Statewide</x:v>
      </x:c>
      <x:c r="H97" s="36" t="n">
        <x:f>IF(G97="National",Assumptions!$B$11,IF(G97="Statewide",Assumptions!$B$12,Assumptions!$B$13))</x:f>
        <x:v>0.6</x:v>
      </x:c>
      <x:c r="I97" s="21" t="n">
        <x:v>-0.06638496203204658</x:v>
      </x:c>
      <x:c r="J97" s="21" t="n">
        <x:v>-0.13740068518113568</x:v>
      </x:c>
      <x:c r="K97" s="21" t="n">
        <x:v>-0.2731806039713064</x:v>
      </x:c>
      <x:c r="L97" s="36" t="n">
        <x:f>IF(Assumptions!$B$4=2030,I97,IF(Assumptions!$B$4=2035,J97,K97))</x:f>
        <x:v>-0.13740068518113568</x:v>
      </x:c>
      <x:c r="M97" s="36" t="n">
        <x:f>Assumptions!$B$19</x:f>
        <x:v>-0.04739891965741583</x:v>
      </x:c>
      <x:c r="N97" s="52" t="n">
        <x:f>H97*L97+(1-H97)*M97+O97</x:f>
        <x:v>-0.10139997897164774</x:v>
      </x:c>
      <x:c r="O97" s="36" t="n">
        <x:f>Assumptions!$B$10</x:f>
        <x:v>0</x:v>
      </x:c>
      <x:c r="P97" s="54" t="n">
        <x:f>E97*(1+N97)</x:f>
        <x:v>11664.72687296904</x:v>
      </x:c>
      <x:c r="Q97" s="54" t="n">
        <x:f>P97-E97</x:f>
        <x:v>-1316.2731270309596</x:v>
      </x:c>
      <x:c r="R97" s="16" t="str">
        <x:v>Yes</x:v>
      </x:c>
      <x:c r="S97" s="56" t="n">
        <x:v>5652</x:v>
      </x:c>
      <x:c r="T97" s="56" t="n">
        <x:v>5996</x:v>
      </x:c>
      <x:c r="U97" s="40" t="n">
        <x:f>E97*Assumptions!$B$8</x:f>
        <x:v>11033.85</x:v>
      </x:c>
      <x:c r="V97" s="40" t="n">
        <x:f>P97*Assumptions!$B$8</x:f>
        <x:v>9915.017842023684</x:v>
      </x:c>
      <x:c r="W97" s="54" t="n">
        <x:f>V97-U97</x:f>
        <x:v>-1118.832157976316</x:v>
      </x:c>
      <x:c r="X97" s="58" t="n">
        <x:f>IF(R97="No","",W97*S97)</x:f>
        <x:v>-6323639.356882138</x:v>
      </x:c>
      <x:c r="Y97" s="58" t="n">
        <x:f>IF(R97="No","",W97*T97*Assumptions!$B$9)</x:f>
        <x:v>-2012555.2857677971</x:v>
      </x:c>
      <x:c r="Z97" s="58" t="n">
        <x:f>IF(R97="No","",X97-Y97)</x:f>
        <x:v>-4311084.071114341</x:v>
      </x:c>
      <x:c r="AA97" s="58" t="n">
        <x:f>IF(R97="No","",MAX(0,-Z97))</x:f>
        <x:v>4311084.071114341</x:v>
      </x:c>
      <x:c r="AB97" s="52" t="n">
        <x:f>IF(OR(R97="No",U97*S97=0),"",AA97/(U97*S97))</x:f>
        <x:v>0.06912852069595776</x:v>
      </x:c>
      <x:c r="AC97" s="54" t="n">
        <x:f>IF(OR(R97="No",S97-T97*Assumptions!$B$9&lt;=0),"",AA97/(Assumptions!$B$8*(S97-T97*Assumptions!$B$9)))</x:f>
        <x:v>1316.27312703096</x:v>
      </x:c>
      <x:c r="AD97" s="52" t="n">
        <x:f>IF(OR(R97="No",U97*S97=0),"",AA97/(U97*S97))</x:f>
        <x:v>0.06912852069595776</x:v>
      </x:c>
      <x:c r="AE97" s="50" t="str">
        <x:f>IF(R97="No","No finance data",IF(AB97&gt;=10%,"Severe",IF(AB97&gt;=5%,"High",IF(AB97&gt;=2%,"Moderate","Low"))))</x:f>
        <x:v>High</x:v>
      </x:c>
      <x:c r="AF97" s="60" t="n">
        <x:v>37.657694</x:v>
      </x:c>
      <x:c r="AG97" s="60" t="n">
        <x:v>-122.054135</x:v>
      </x:c>
      <x:c r="AH97" s="44" t="str">
        <x:v>Undergraduate tuition-contribution proxy only; not an audited total institutional budget.</x:v>
      </x:c>
    </x:row>
    <x:row r="98">
      <x:c r="A98" s="16" t="n">
        <x:v>110556</x:v>
      </x:c>
      <x:c r="B98" s="16" t="str">
        <x:v>California State University-Fresno</x:v>
      </x:c>
      <x:c r="C98" s="16" t="str">
        <x:v>CA</x:v>
      </x:c>
      <x:c r="D98" s="16" t="str">
        <x:v>Public</x:v>
      </x:c>
      <x:c r="E98" s="34" t="n">
        <x:v>21076</x:v>
      </x:c>
      <x:c r="F98" s="21" t="n">
        <x:v>0.9728</x:v>
      </x:c>
      <x:c r="G98" s="16" t="str">
        <x:v>Statewide</x:v>
      </x:c>
      <x:c r="H98" s="36" t="n">
        <x:f>IF(G98="National",Assumptions!$B$11,IF(G98="Statewide",Assumptions!$B$12,Assumptions!$B$13))</x:f>
        <x:v>0.6</x:v>
      </x:c>
      <x:c r="I98" s="21" t="n">
        <x:v>-0.06638496203204658</x:v>
      </x:c>
      <x:c r="J98" s="21" t="n">
        <x:v>-0.13740068518113568</x:v>
      </x:c>
      <x:c r="K98" s="21" t="n">
        <x:v>-0.2731806039713064</x:v>
      </x:c>
      <x:c r="L98" s="36" t="n">
        <x:f>IF(Assumptions!$B$4=2030,I98,IF(Assumptions!$B$4=2035,J98,K98))</x:f>
        <x:v>-0.13740068518113568</x:v>
      </x:c>
      <x:c r="M98" s="36" t="n">
        <x:f>Assumptions!$B$19</x:f>
        <x:v>-0.04739891965741583</x:v>
      </x:c>
      <x:c r="N98" s="52" t="n">
        <x:f>H98*L98+(1-H98)*M98+O98</x:f>
        <x:v>-0.10139997897164774</x:v>
      </x:c>
      <x:c r="O98" s="36" t="n">
        <x:f>Assumptions!$B$10</x:f>
        <x:v>0</x:v>
      </x:c>
      <x:c r="P98" s="54" t="n">
        <x:f>E98*(1+N98)</x:f>
        <x:v>18938.89404319355</x:v>
      </x:c>
      <x:c r="Q98" s="54" t="n">
        <x:f>P98-E98</x:f>
        <x:v>-2137.1059568064484</x:v>
      </x:c>
      <x:c r="R98" s="16" t="str">
        <x:v>Yes</x:v>
      </x:c>
      <x:c r="S98" s="56" t="n">
        <x:v>3385</x:v>
      </x:c>
      <x:c r="T98" s="56" t="n">
        <x:v>6769</x:v>
      </x:c>
      <x:c r="U98" s="40" t="n">
        <x:f>E98*Assumptions!$B$8</x:f>
        <x:v>17914.6</x:v>
      </x:c>
      <x:c r="V98" s="40" t="n">
        <x:f>P98*Assumptions!$B$8</x:f>
        <x:v>16098.059936714519</x:v>
      </x:c>
      <x:c r="W98" s="54" t="n">
        <x:f>V98-U98</x:f>
        <x:v>-1816.5400632854798</x:v>
      </x:c>
      <x:c r="X98" s="58" t="n">
        <x:f>IF(R98="No","",W98*S98)</x:f>
        <x:v>-6148988.114221349</x:v>
      </x:c>
      <x:c r="Y98" s="58" t="n">
        <x:f>IF(R98="No","",W98*T98*Assumptions!$B$9)</x:f>
        <x:v>-3688847.9065138237</x:v>
      </x:c>
      <x:c r="Z98" s="58" t="n">
        <x:f>IF(R98="No","",X98-Y98)</x:f>
        <x:v>-2460140.2077075257</x:v>
      </x:c>
      <x:c r="AA98" s="58" t="n">
        <x:f>IF(R98="No","",MAX(0,-Z98))</x:f>
        <x:v>2460140.2077075257</x:v>
      </x:c>
      <x:c r="AB98" s="52" t="n">
        <x:f>IF(OR(R98="No",U98*S98=0),"",AA98/(U98*S98))</x:f>
        <x:v>0.040568978292851554</x:v>
      </x:c>
      <x:c r="AC98" s="54" t="n">
        <x:f>IF(OR(R98="No",S98-T98*Assumptions!$B$9&lt;=0),"",AA98/(Assumptions!$B$8*(S98-T98*Assumptions!$B$9)))</x:f>
        <x:v>2137.105956806447</x:v>
      </x:c>
      <x:c r="AD98" s="52" t="n">
        <x:f>IF(OR(R98="No",U98*S98=0),"",AA98/(U98*S98))</x:f>
        <x:v>0.040568978292851554</x:v>
      </x:c>
      <x:c r="AE98" s="50" t="str">
        <x:f>IF(R98="No","No finance data",IF(AB98&gt;=10%,"Severe",IF(AB98&gt;=5%,"High",IF(AB98&gt;=2%,"Moderate","Low"))))</x:f>
        <x:v>Moderate</x:v>
      </x:c>
      <x:c r="AF98" s="60" t="n">
        <x:v>36.811154</x:v>
      </x:c>
      <x:c r="AG98" s="60" t="n">
        <x:v>-119.744569</x:v>
      </x:c>
      <x:c r="AH98" s="44" t="str">
        <x:v>Undergraduate tuition-contribution proxy only; not an audited total institutional budget.</x:v>
      </x:c>
    </x:row>
    <x:row r="99">
      <x:c r="A99" s="16" t="n">
        <x:v>110565</x:v>
      </x:c>
      <x:c r="B99" s="16" t="str">
        <x:v>California State University-Fullerton</x:v>
      </x:c>
      <x:c r="C99" s="16" t="str">
        <x:v>CA</x:v>
      </x:c>
      <x:c r="D99" s="16" t="str">
        <x:v>Public</x:v>
      </x:c>
      <x:c r="E99" s="34" t="n">
        <x:v>33009</x:v>
      </x:c>
      <x:c r="F99" s="21" t="n">
        <x:v>0.5943</x:v>
      </x:c>
      <x:c r="G99" s="16" t="str">
        <x:v>National</x:v>
      </x:c>
      <x:c r="H99" s="36" t="n">
        <x:f>IF(G99="National",Assumptions!$B$11,IF(G99="Statewide",Assumptions!$B$12,Assumptions!$B$13))</x:f>
        <x:v>0.25</x:v>
      </x:c>
      <x:c r="I99" s="21" t="n">
        <x:v>-0.06638496203204658</x:v>
      </x:c>
      <x:c r="J99" s="21" t="n">
        <x:v>-0.13740068518113568</x:v>
      </x:c>
      <x:c r="K99" s="21" t="n">
        <x:v>-0.2731806039713064</x:v>
      </x:c>
      <x:c r="L99" s="36" t="n">
        <x:f>IF(Assumptions!$B$4=2030,I99,IF(Assumptions!$B$4=2035,J99,K99))</x:f>
        <x:v>-0.13740068518113568</x:v>
      </x:c>
      <x:c r="M99" s="36" t="n">
        <x:f>Assumptions!$B$19</x:f>
        <x:v>-0.04739891965741583</x:v>
      </x:c>
      <x:c r="N99" s="52" t="n">
        <x:f>H99*L99+(1-H99)*M99+O99</x:f>
        <x:v>-0.06989936103834579</x:v>
      </x:c>
      <x:c r="O99" s="36" t="n">
        <x:f>Assumptions!$B$10</x:f>
        <x:v>0</x:v>
      </x:c>
      <x:c r="P99" s="54" t="n">
        <x:f>E99*(1+N99)</x:f>
        <x:v>30701.691991485244</x:v>
      </x:c>
      <x:c r="Q99" s="54" t="n">
        <x:f>P99-E99</x:f>
        <x:v>-2307.308008514756</x:v>
      </x:c>
      <x:c r="R99" s="16" t="str">
        <x:v>Yes</x:v>
      </x:c>
      <x:c r="S99" s="56" t="n">
        <x:v>5270</x:v>
      </x:c>
      <x:c r="T99" s="56" t="n">
        <x:v>6668</x:v>
      </x:c>
      <x:c r="U99" s="40" t="n">
        <x:f>E99*Assumptions!$B$8</x:f>
        <x:v>28057.649999999998</x:v>
      </x:c>
      <x:c r="V99" s="40" t="n">
        <x:f>P99*Assumptions!$B$8</x:f>
        <x:v>26096.438192762456</x:v>
      </x:c>
      <x:c r="W99" s="54" t="n">
        <x:f>V99-U99</x:f>
        <x:v>-1961.2118072375415</x:v>
      </x:c>
      <x:c r="X99" s="58" t="n">
        <x:f>IF(R99="No","",W99*S99)</x:f>
        <x:v>-10335586.224141844</x:v>
      </x:c>
      <x:c r="Y99" s="58" t="n">
        <x:f>IF(R99="No","",W99*T99*Assumptions!$B$9)</x:f>
        <x:v>-3923208.0991979777</x:v>
      </x:c>
      <x:c r="Z99" s="58" t="n">
        <x:f>IF(R99="No","",X99-Y99)</x:f>
        <x:v>-6412378.124943865</x:v>
      </x:c>
      <x:c r="AA99" s="58" t="n">
        <x:f>IF(R99="No","",MAX(0,-Z99))</x:f>
        <x:v>6412378.124943865</x:v>
      </x:c>
      <x:c r="AB99" s="52" t="n">
        <x:f>IF(OR(R99="No",U99*S99=0),"",AA99/(U99*S99))</x:f>
        <x:v>0.0433667838426898</x:v>
      </x:c>
      <x:c r="AC99" s="54" t="n">
        <x:f>IF(OR(R99="No",S99-T99*Assumptions!$B$9&lt;=0),"",AA99/(Assumptions!$B$8*(S99-T99*Assumptions!$B$9)))</x:f>
        <x:v>2307.3080085147544</x:v>
      </x:c>
      <x:c r="AD99" s="52" t="n">
        <x:f>IF(OR(R99="No",U99*S99=0),"",AA99/(U99*S99))</x:f>
        <x:v>0.0433667838426898</x:v>
      </x:c>
      <x:c r="AE99" s="50" t="str">
        <x:f>IF(R99="No","No finance data",IF(AB99&gt;=10%,"Severe",IF(AB99&gt;=5%,"High",IF(AB99&gt;=2%,"Moderate","Low"))))</x:f>
        <x:v>Moderate</x:v>
      </x:c>
      <x:c r="AF99" s="60" t="n">
        <x:v>33.881506</x:v>
      </x:c>
      <x:c r="AG99" s="60" t="n">
        <x:v>-117.885446</x:v>
      </x:c>
      <x:c r="AH99" s="44" t="str">
        <x:v>Undergraduate tuition-contribution proxy only; not an audited total institutional budget.</x:v>
      </x:c>
    </x:row>
    <x:row r="100">
      <x:c r="A100" s="16" t="n">
        <x:v>110583</x:v>
      </x:c>
      <x:c r="B100" s="16" t="str">
        <x:v>California State University-Long Beach</x:v>
      </x:c>
      <x:c r="C100" s="16" t="str">
        <x:v>CA</x:v>
      </x:c>
      <x:c r="D100" s="16" t="str">
        <x:v>Public</x:v>
      </x:c>
      <x:c r="E100" s="34" t="n">
        <x:v>32025</x:v>
      </x:c>
      <x:c r="F100" s="21" t="n">
        <x:v>0.4685</x:v>
      </x:c>
      <x:c r="G100" s="16" t="str">
        <x:v>National</x:v>
      </x:c>
      <x:c r="H100" s="36" t="n">
        <x:f>IF(G100="National",Assumptions!$B$11,IF(G100="Statewide",Assumptions!$B$12,Assumptions!$B$13))</x:f>
        <x:v>0.25</x:v>
      </x:c>
      <x:c r="I100" s="21" t="n">
        <x:v>-0.06638496203204658</x:v>
      </x:c>
      <x:c r="J100" s="21" t="n">
        <x:v>-0.13740068518113568</x:v>
      </x:c>
      <x:c r="K100" s="21" t="n">
        <x:v>-0.2731806039713064</x:v>
      </x:c>
      <x:c r="L100" s="36" t="n">
        <x:f>IF(Assumptions!$B$4=2030,I100,IF(Assumptions!$B$4=2035,J100,K100))</x:f>
        <x:v>-0.13740068518113568</x:v>
      </x:c>
      <x:c r="M100" s="36" t="n">
        <x:f>Assumptions!$B$19</x:f>
        <x:v>-0.04739891965741583</x:v>
      </x:c>
      <x:c r="N100" s="52" t="n">
        <x:f>H100*L100+(1-H100)*M100+O100</x:f>
        <x:v>-0.06989936103834579</x:v>
      </x:c>
      <x:c r="O100" s="36" t="n">
        <x:f>Assumptions!$B$10</x:f>
        <x:v>0</x:v>
      </x:c>
      <x:c r="P100" s="54" t="n">
        <x:f>E100*(1+N100)</x:f>
        <x:v>29786.472962746975</x:v>
      </x:c>
      <x:c r="Q100" s="54" t="n">
        <x:f>P100-E100</x:f>
        <x:v>-2238.527037253025</x:v>
      </x:c>
      <x:c r="R100" s="16" t="str">
        <x:v>Yes</x:v>
      </x:c>
      <x:c r="S100" s="56" t="n">
        <x:v>4712</x:v>
      </x:c>
      <x:c r="T100" s="56" t="n">
        <x:v>7483</x:v>
      </x:c>
      <x:c r="U100" s="40" t="n">
        <x:f>E100*Assumptions!$B$8</x:f>
        <x:v>27221.25</x:v>
      </x:c>
      <x:c r="V100" s="40" t="n">
        <x:f>P100*Assumptions!$B$8</x:f>
        <x:v>25318.50201833493</x:v>
      </x:c>
      <x:c r="W100" s="54" t="n">
        <x:f>V100-U100</x:f>
        <x:v>-1902.7479816650703</x:v>
      </x:c>
      <x:c r="X100" s="58" t="n">
        <x:f>IF(R100="No","",W100*S100)</x:f>
        <x:v>-8965748.48960581</x:v>
      </x:c>
      <x:c r="Y100" s="58" t="n">
        <x:f>IF(R100="No","",W100*T100*Assumptions!$B$9)</x:f>
        <x:v>-4271478.944039916</x:v>
      </x:c>
      <x:c r="Z100" s="58" t="n">
        <x:f>IF(R100="No","",X100-Y100)</x:f>
        <x:v>-4694269.545565895</x:v>
      </x:c>
      <x:c r="AA100" s="58" t="n">
        <x:f>IF(R100="No","",MAX(0,-Z100))</x:f>
        <x:v>4694269.545565895</x:v>
      </x:c>
      <x:c r="AB100" s="52" t="n">
        <x:f>IF(OR(R100="No",U100*S100=0),"",AA100/(U100*S100))</x:f>
        <x:v>0.03659777453686394</x:v>
      </x:c>
      <x:c r="AC100" s="54" t="n">
        <x:f>IF(OR(R100="No",S100-T100*Assumptions!$B$9&lt;=0),"",AA100/(Assumptions!$B$8*(S100-T100*Assumptions!$B$9)))</x:f>
        <x:v>2238.527037253024</x:v>
      </x:c>
      <x:c r="AD100" s="52" t="n">
        <x:f>IF(OR(R100="No",U100*S100=0),"",AA100/(U100*S100))</x:f>
        <x:v>0.03659777453686394</x:v>
      </x:c>
      <x:c r="AE100" s="50" t="str">
        <x:f>IF(R100="No","No finance data",IF(AB100&gt;=10%,"Severe",IF(AB100&gt;=5%,"High",IF(AB100&gt;=2%,"Moderate","Low"))))</x:f>
        <x:v>Moderate</x:v>
      </x:c>
      <x:c r="AF100" s="60" t="n">
        <x:v>33.782818</x:v>
      </x:c>
      <x:c r="AG100" s="60" t="n">
        <x:v>-118.11204</x:v>
      </x:c>
      <x:c r="AH100" s="44" t="str">
        <x:v>Undergraduate tuition-contribution proxy only; not an audited total institutional budget.</x:v>
      </x:c>
    </x:row>
    <x:row r="101">
      <x:c r="A101" s="16" t="n">
        <x:v>110592</x:v>
      </x:c>
      <x:c r="B101" s="16" t="str">
        <x:v>California State University-Los Angeles</x:v>
      </x:c>
      <x:c r="C101" s="16" t="str">
        <x:v>CA</x:v>
      </x:c>
      <x:c r="D101" s="16" t="str">
        <x:v>Public</x:v>
      </x:c>
      <x:c r="E101" s="34" t="n">
        <x:v>23424</x:v>
      </x:c>
      <x:c r="F101" s="21" t="n">
        <x:v>0.9054</x:v>
      </x:c>
      <x:c r="G101" s="16" t="str">
        <x:v>Statewide</x:v>
      </x:c>
      <x:c r="H101" s="36" t="n">
        <x:f>IF(G101="National",Assumptions!$B$11,IF(G101="Statewide",Assumptions!$B$12,Assumptions!$B$13))</x:f>
        <x:v>0.6</x:v>
      </x:c>
      <x:c r="I101" s="21" t="n">
        <x:v>-0.06638496203204658</x:v>
      </x:c>
      <x:c r="J101" s="21" t="n">
        <x:v>-0.13740068518113568</x:v>
      </x:c>
      <x:c r="K101" s="21" t="n">
        <x:v>-0.2731806039713064</x:v>
      </x:c>
      <x:c r="L101" s="36" t="n">
        <x:f>IF(Assumptions!$B$4=2030,I101,IF(Assumptions!$B$4=2035,J101,K101))</x:f>
        <x:v>-0.13740068518113568</x:v>
      </x:c>
      <x:c r="M101" s="36" t="n">
        <x:f>Assumptions!$B$19</x:f>
        <x:v>-0.04739891965741583</x:v>
      </x:c>
      <x:c r="N101" s="52" t="n">
        <x:f>H101*L101+(1-H101)*M101+O101</x:f>
        <x:v>-0.10139997897164774</x:v>
      </x:c>
      <x:c r="O101" s="36" t="n">
        <x:f>Assumptions!$B$10</x:f>
        <x:v>0</x:v>
      </x:c>
      <x:c r="P101" s="54" t="n">
        <x:f>E101*(1+N101)</x:f>
        <x:v>21048.806892568122</x:v>
      </x:c>
      <x:c r="Q101" s="54" t="n">
        <x:f>P101-E101</x:f>
        <x:v>-2375.193107431878</x:v>
      </x:c>
      <x:c r="R101" s="16" t="str">
        <x:v>Yes</x:v>
      </x:c>
      <x:c r="S101" s="56" t="n">
        <x:v>3335</x:v>
      </x:c>
      <x:c r="T101" s="56" t="n">
        <x:v>6631</x:v>
      </x:c>
      <x:c r="U101" s="40" t="n">
        <x:f>E101*Assumptions!$B$8</x:f>
        <x:v>19910.399999999998</x:v>
      </x:c>
      <x:c r="V101" s="40" t="n">
        <x:f>P101*Assumptions!$B$8</x:f>
        <x:v>17891.485858682903</x:v>
      </x:c>
      <x:c r="W101" s="54" t="n">
        <x:f>V101-U101</x:f>
        <x:v>-2018.9141413170946</x:v>
      </x:c>
      <x:c r="X101" s="58" t="n">
        <x:f>IF(R101="No","",W101*S101)</x:f>
        <x:v>-6733078.66129251</x:v>
      </x:c>
      <x:c r="Y101" s="58" t="n">
        <x:f>IF(R101="No","",W101*T101*Assumptions!$B$9)</x:f>
        <x:v>-4016225.901322096</x:v>
      </x:c>
      <x:c r="Z101" s="58" t="n">
        <x:f>IF(R101="No","",X101-Y101)</x:f>
        <x:v>-2716852.759970414</x:v>
      </x:c>
      <x:c r="AA101" s="58" t="n">
        <x:f>IF(R101="No","",MAX(0,-Z101))</x:f>
        <x:v>2716852.759970414</x:v>
      </x:c>
      <x:c r="AB101" s="52" t="n">
        <x:f>IF(OR(R101="No",U101*S101=0),"",AA101/(U101*S101))</x:f>
        <x:v>0.04091572764682049</x:v>
      </x:c>
      <x:c r="AC101" s="54" t="n">
        <x:f>IF(OR(R101="No",S101-T101*Assumptions!$B$9&lt;=0),"",AA101/(Assumptions!$B$8*(S101-T101*Assumptions!$B$9)))</x:f>
        <x:v>2375.193107431876</x:v>
      </x:c>
      <x:c r="AD101" s="52" t="n">
        <x:f>IF(OR(R101="No",U101*S101=0),"",AA101/(U101*S101))</x:f>
        <x:v>0.04091572764682049</x:v>
      </x:c>
      <x:c r="AE101" s="50" t="str">
        <x:f>IF(R101="No","No finance data",IF(AB101&gt;=10%,"Severe",IF(AB101&gt;=5%,"High",IF(AB101&gt;=2%,"Moderate","Low"))))</x:f>
        <x:v>Moderate</x:v>
      </x:c>
      <x:c r="AF101" s="60" t="n">
        <x:v>34.066927</x:v>
      </x:c>
      <x:c r="AG101" s="60" t="n">
        <x:v>-118.168965</x:v>
      </x:c>
      <x:c r="AH101" s="44" t="str">
        <x:v>Undergraduate tuition-contribution proxy only; not an audited total institutional budget.</x:v>
      </x:c>
    </x:row>
    <x:row r="102">
      <x:c r="A102" s="16" t="n">
        <x:v>409698</x:v>
      </x:c>
      <x:c r="B102" s="16" t="str">
        <x:v>California State University-Monterey Bay</x:v>
      </x:c>
      <x:c r="C102" s="16" t="str">
        <x:v>CA</x:v>
      </x:c>
      <x:c r="D102" s="16" t="str">
        <x:v>Public</x:v>
      </x:c>
      <x:c r="E102" s="34" t="n">
        <x:v>6408</x:v>
      </x:c>
      <x:c r="F102" s="21" t="n">
        <x:v>0.9281</x:v>
      </x:c>
      <x:c r="G102" s="16" t="str">
        <x:v>Statewide</x:v>
      </x:c>
      <x:c r="H102" s="36" t="n">
        <x:f>IF(G102="National",Assumptions!$B$11,IF(G102="Statewide",Assumptions!$B$12,Assumptions!$B$13))</x:f>
        <x:v>0.6</x:v>
      </x:c>
      <x:c r="I102" s="21" t="n">
        <x:v>-0.06638496203204658</x:v>
      </x:c>
      <x:c r="J102" s="21" t="n">
        <x:v>-0.13740068518113568</x:v>
      </x:c>
      <x:c r="K102" s="21" t="n">
        <x:v>-0.2731806039713064</x:v>
      </x:c>
      <x:c r="L102" s="36" t="n">
        <x:f>IF(Assumptions!$B$4=2030,I102,IF(Assumptions!$B$4=2035,J102,K102))</x:f>
        <x:v>-0.13740068518113568</x:v>
      </x:c>
      <x:c r="M102" s="36" t="n">
        <x:f>Assumptions!$B$19</x:f>
        <x:v>-0.04739891965741583</x:v>
      </x:c>
      <x:c r="N102" s="52" t="n">
        <x:f>H102*L102+(1-H102)*M102+O102</x:f>
        <x:v>-0.10139997897164774</x:v>
      </x:c>
      <x:c r="O102" s="36" t="n">
        <x:f>Assumptions!$B$10</x:f>
        <x:v>0</x:v>
      </x:c>
      <x:c r="P102" s="54" t="n">
        <x:f>E102*(1+N102)</x:f>
        <x:v>5758.228934749681</x:v>
      </x:c>
      <x:c r="Q102" s="54" t="n">
        <x:f>P102-E102</x:f>
        <x:v>-649.7710652503192</x:v>
      </x:c>
      <x:c r="R102" s="16" t="str">
        <x:v>Yes</x:v>
      </x:c>
      <x:c r="S102" s="56" t="n">
        <x:v>5557</x:v>
      </x:c>
      <x:c r="T102" s="56" t="n">
        <x:v>9094</x:v>
      </x:c>
      <x:c r="U102" s="40" t="n">
        <x:f>E102*Assumptions!$B$8</x:f>
        <x:v>5446.8</x:v>
      </x:c>
      <x:c r="V102" s="40" t="n">
        <x:f>P102*Assumptions!$B$8</x:f>
        <x:v>4894.494594537228</x:v>
      </x:c>
      <x:c r="W102" s="54" t="n">
        <x:f>V102-U102</x:f>
        <x:v>-552.3054054627719</x:v>
      </x:c>
      <x:c r="X102" s="58" t="n">
        <x:f>IF(R102="No","",W102*S102)</x:f>
        <x:v>-3069161.1381566236</x:v>
      </x:c>
      <x:c r="Y102" s="58" t="n">
        <x:f>IF(R102="No","",W102*T102*Assumptions!$B$9)</x:f>
        <x:v>-1506799.6071835342</x:v>
      </x:c>
      <x:c r="Z102" s="58" t="n">
        <x:f>IF(R102="No","",X102-Y102)</x:f>
        <x:v>-1562361.5309730894</x:v>
      </x:c>
      <x:c r="AA102" s="58" t="n">
        <x:f>IF(R102="No","",MAX(0,-Z102))</x:f>
        <x:v>1562361.5309730894</x:v>
      </x:c>
      <x:c r="AB102" s="52" t="n">
        <x:f>IF(OR(R102="No",U102*S102=0),"",AA102/(U102*S102))</x:f>
        <x:v>0.051617826257872534</x:v>
      </x:c>
      <x:c r="AC102" s="54" t="n">
        <x:f>IF(OR(R102="No",S102-T102*Assumptions!$B$9&lt;=0),"",AA102/(Assumptions!$B$8*(S102-T102*Assumptions!$B$9)))</x:f>
        <x:v>649.77106525032</x:v>
      </x:c>
      <x:c r="AD102" s="52" t="n">
        <x:f>IF(OR(R102="No",U102*S102=0),"",AA102/(U102*S102))</x:f>
        <x:v>0.051617826257872534</x:v>
      </x:c>
      <x:c r="AE102" s="50" t="str">
        <x:f>IF(R102="No","No finance data",IF(AB102&gt;=10%,"Severe",IF(AB102&gt;=5%,"High",IF(AB102&gt;=2%,"Moderate","Low"))))</x:f>
        <x:v>High</x:v>
      </x:c>
      <x:c r="AF102" s="60" t="n">
        <x:v>36.652397</x:v>
      </x:c>
      <x:c r="AG102" s="60" t="n">
        <x:v>-121.796178</x:v>
      </x:c>
      <x:c r="AH102" s="44" t="str">
        <x:v>Undergraduate tuition-contribution proxy only; not an audited total institutional budget.</x:v>
      </x:c>
    </x:row>
    <x:row r="103">
      <x:c r="A103" s="16" t="n">
        <x:v>110608</x:v>
      </x:c>
      <x:c r="B103" s="16" t="str">
        <x:v>California State University-Northridge</x:v>
      </x:c>
      <x:c r="C103" s="16" t="str">
        <x:v>CA</x:v>
      </x:c>
      <x:c r="D103" s="16" t="str">
        <x:v>Public</x:v>
      </x:c>
      <x:c r="E103" s="34" t="n">
        <x:v>36979</x:v>
      </x:c>
      <x:c r="F103" s="21" t="n">
        <x:v>0.881</x:v>
      </x:c>
      <x:c r="G103" s="16" t="str">
        <x:v>National</x:v>
      </x:c>
      <x:c r="H103" s="36" t="n">
        <x:f>IF(G103="National",Assumptions!$B$11,IF(G103="Statewide",Assumptions!$B$12,Assumptions!$B$13))</x:f>
        <x:v>0.25</x:v>
      </x:c>
      <x:c r="I103" s="21" t="n">
        <x:v>-0.06638496203204658</x:v>
      </x:c>
      <x:c r="J103" s="21" t="n">
        <x:v>-0.13740068518113568</x:v>
      </x:c>
      <x:c r="K103" s="21" t="n">
        <x:v>-0.2731806039713064</x:v>
      </x:c>
      <x:c r="L103" s="36" t="n">
        <x:f>IF(Assumptions!$B$4=2030,I103,IF(Assumptions!$B$4=2035,J103,K103))</x:f>
        <x:v>-0.13740068518113568</x:v>
      </x:c>
      <x:c r="M103" s="36" t="n">
        <x:f>Assumptions!$B$19</x:f>
        <x:v>-0.04739891965741583</x:v>
      </x:c>
      <x:c r="N103" s="52" t="n">
        <x:f>H103*L103+(1-H103)*M103+O103</x:f>
        <x:v>-0.06989936103834579</x:v>
      </x:c>
      <x:c r="O103" s="36" t="n">
        <x:f>Assumptions!$B$10</x:f>
        <x:v>0</x:v>
      </x:c>
      <x:c r="P103" s="54" t="n">
        <x:f>E103*(1+N103)</x:f>
        <x:v>34394.191528163006</x:v>
      </x:c>
      <x:c r="Q103" s="54" t="n">
        <x:f>P103-E103</x:f>
        <x:v>-2584.8084718369937</x:v>
      </x:c>
      <x:c r="R103" s="16" t="str">
        <x:v>Yes</x:v>
      </x:c>
      <x:c r="S103" s="56" t="n">
        <x:v>4251</x:v>
      </x:c>
      <x:c r="T103" s="56" t="n">
        <x:v>6440</x:v>
      </x:c>
      <x:c r="U103" s="40" t="n">
        <x:f>E103*Assumptions!$B$8</x:f>
        <x:v>31432.149999999998</x:v>
      </x:c>
      <x:c r="V103" s="40" t="n">
        <x:f>P103*Assumptions!$B$8</x:f>
        <x:v>29235.062798938554</x:v>
      </x:c>
      <x:c r="W103" s="54" t="n">
        <x:f>V103-U103</x:f>
        <x:v>-2197.087201061444</x:v>
      </x:c>
      <x:c r="X103" s="58" t="n">
        <x:f>IF(R103="No","",W103*S103)</x:f>
        <x:v>-9339817.691712199</x:v>
      </x:c>
      <x:c r="Y103" s="58" t="n">
        <x:f>IF(R103="No","",W103*T103*Assumptions!$B$9)</x:f>
        <x:v>-4244772.47245071</x:v>
      </x:c>
      <x:c r="Z103" s="58" t="n">
        <x:f>IF(R103="No","",X103-Y103)</x:f>
        <x:v>-5095045.219261489</x:v>
      </x:c>
      <x:c r="AA103" s="58" t="n">
        <x:f>IF(R103="No","",MAX(0,-Z103))</x:f>
        <x:v>5095045.219261489</x:v>
      </x:c>
      <x:c r="AB103" s="52" t="n">
        <x:f>IF(OR(R103="No",U103*S103=0),"",AA103/(U103*S103))</x:f>
        <x:v>0.03813140866806026</x:v>
      </x:c>
      <x:c r="AC103" s="54" t="n">
        <x:f>IF(OR(R103="No",S103-T103*Assumptions!$B$9&lt;=0),"",AA103/(Assumptions!$B$8*(S103-T103*Assumptions!$B$9)))</x:f>
        <x:v>2584.8084718369932</x:v>
      </x:c>
      <x:c r="AD103" s="52" t="n">
        <x:f>IF(OR(R103="No",U103*S103=0),"",AA103/(U103*S103))</x:f>
        <x:v>0.03813140866806026</x:v>
      </x:c>
      <x:c r="AE103" s="50" t="str">
        <x:f>IF(R103="No","No finance data",IF(AB103&gt;=10%,"Severe",IF(AB103&gt;=5%,"High",IF(AB103&gt;=2%,"Moderate","Low"))))</x:f>
        <x:v>Moderate</x:v>
      </x:c>
      <x:c r="AF103" s="60" t="n">
        <x:v>34.240126</x:v>
      </x:c>
      <x:c r="AG103" s="60" t="n">
        <x:v>-118.529319</x:v>
      </x:c>
      <x:c r="AH103" s="44" t="str">
        <x:v>Undergraduate tuition-contribution proxy only; not an audited total institutional budget.</x:v>
      </x:c>
    </x:row>
    <x:row r="104">
      <x:c r="A104" s="16" t="n">
        <x:v>110617</x:v>
      </x:c>
      <x:c r="B104" s="16" t="str">
        <x:v>California State University-Sacramento</x:v>
      </x:c>
      <x:c r="C104" s="16" t="str">
        <x:v>CA</x:v>
      </x:c>
      <x:c r="D104" s="16" t="str">
        <x:v>Public</x:v>
      </x:c>
      <x:c r="E104" s="34" t="n">
        <x:v>27323</x:v>
      </x:c>
      <x:c r="F104" s="21" t="n">
        <x:v>0.9368</x:v>
      </x:c>
      <x:c r="G104" s="16" t="str">
        <x:v>National</x:v>
      </x:c>
      <x:c r="H104" s="36" t="n">
        <x:f>IF(G104="National",Assumptions!$B$11,IF(G104="Statewide",Assumptions!$B$12,Assumptions!$B$13))</x:f>
        <x:v>0.25</x:v>
      </x:c>
      <x:c r="I104" s="21" t="n">
        <x:v>-0.06638496203204658</x:v>
      </x:c>
      <x:c r="J104" s="21" t="n">
        <x:v>-0.13740068518113568</x:v>
      </x:c>
      <x:c r="K104" s="21" t="n">
        <x:v>-0.2731806039713064</x:v>
      </x:c>
      <x:c r="L104" s="36" t="n">
        <x:f>IF(Assumptions!$B$4=2030,I104,IF(Assumptions!$B$4=2035,J104,K104))</x:f>
        <x:v>-0.13740068518113568</x:v>
      </x:c>
      <x:c r="M104" s="36" t="n">
        <x:f>Assumptions!$B$19</x:f>
        <x:v>-0.04739891965741583</x:v>
      </x:c>
      <x:c r="N104" s="52" t="n">
        <x:f>H104*L104+(1-H104)*M104+O104</x:f>
        <x:v>-0.06989936103834579</x:v>
      </x:c>
      <x:c r="O104" s="36" t="n">
        <x:f>Assumptions!$B$10</x:f>
        <x:v>0</x:v>
      </x:c>
      <x:c r="P104" s="54" t="n">
        <x:f>E104*(1+N104)</x:f>
        <x:v>25413.139758349276</x:v>
      </x:c>
      <x:c r="Q104" s="54" t="n">
        <x:f>P104-E104</x:f>
        <x:v>-1909.8602416507238</x:v>
      </x:c>
      <x:c r="R104" s="16" t="str">
        <x:v>Yes</x:v>
      </x:c>
      <x:c r="S104" s="56" t="n">
        <x:v>5330</x:v>
      </x:c>
      <x:c r="T104" s="56" t="n">
        <x:v>7169</x:v>
      </x:c>
      <x:c r="U104" s="40" t="n">
        <x:f>E104*Assumptions!$B$8</x:f>
        <x:v>23224.55</x:v>
      </x:c>
      <x:c r="V104" s="40" t="n">
        <x:f>P104*Assumptions!$B$8</x:f>
        <x:v>21601.168794596884</x:v>
      </x:c>
      <x:c r="W104" s="54" t="n">
        <x:f>V104-U104</x:f>
        <x:v>-1623.381205403115</x:v>
      </x:c>
      <x:c r="X104" s="58" t="n">
        <x:f>IF(R104="No","",W104*S104)</x:f>
        <x:v>-8652621.824798603</x:v>
      </x:c>
      <x:c r="Y104" s="58" t="n">
        <x:f>IF(R104="No","",W104*T104*Assumptions!$B$9)</x:f>
        <x:v>-3491405.958460479</x:v>
      </x:c>
      <x:c r="Z104" s="58" t="n">
        <x:f>IF(R104="No","",X104-Y104)</x:f>
        <x:v>-5161215.866338124</x:v>
      </x:c>
      <x:c r="AA104" s="58" t="n">
        <x:f>IF(R104="No","",MAX(0,-Z104))</x:f>
        <x:v>5161215.866338124</x:v>
      </x:c>
      <x:c r="AB104" s="52" t="n">
        <x:f>IF(OR(R104="No",U104*S104=0),"",AA104/(U104*S104))</x:f>
        <x:v>0.0416943787146741</x:v>
      </x:c>
      <x:c r="AC104" s="54" t="n">
        <x:f>IF(OR(R104="No",S104-T104*Assumptions!$B$9&lt;=0),"",AA104/(Assumptions!$B$8*(S104-T104*Assumptions!$B$9)))</x:f>
        <x:v>1909.8602416507233</x:v>
      </x:c>
      <x:c r="AD104" s="52" t="n">
        <x:f>IF(OR(R104="No",U104*S104=0),"",AA104/(U104*S104))</x:f>
        <x:v>0.0416943787146741</x:v>
      </x:c>
      <x:c r="AE104" s="50" t="str">
        <x:f>IF(R104="No","No finance data",IF(AB104&gt;=10%,"Severe",IF(AB104&gt;=5%,"High",IF(AB104&gt;=2%,"Moderate","Low"))))</x:f>
        <x:v>Moderate</x:v>
      </x:c>
      <x:c r="AF104" s="60" t="n">
        <x:v>38.559415</x:v>
      </x:c>
      <x:c r="AG104" s="60" t="n">
        <x:v>-121.423549</x:v>
      </x:c>
      <x:c r="AH104" s="44" t="str">
        <x:v>Undergraduate tuition-contribution proxy only; not an audited total institutional budget.</x:v>
      </x:c>
    </x:row>
    <x:row r="105">
      <x:c r="A105" s="16" t="n">
        <x:v>110510</x:v>
      </x:c>
      <x:c r="B105" s="16" t="str">
        <x:v>California State University-San Bernardino</x:v>
      </x:c>
      <x:c r="C105" s="16" t="str">
        <x:v>CA</x:v>
      </x:c>
      <x:c r="D105" s="16" t="str">
        <x:v>Public</x:v>
      </x:c>
      <x:c r="E105" s="34" t="n">
        <x:v>17518</x:v>
      </x:c>
      <x:c r="F105" s="21" t="n">
        <x:v>0.9097</x:v>
      </x:c>
      <x:c r="G105" s="16" t="str">
        <x:v>Statewide</x:v>
      </x:c>
      <x:c r="H105" s="36" t="n">
        <x:f>IF(G105="National",Assumptions!$B$11,IF(G105="Statewide",Assumptions!$B$12,Assumptions!$B$13))</x:f>
        <x:v>0.6</x:v>
      </x:c>
      <x:c r="I105" s="21" t="n">
        <x:v>-0.06638496203204658</x:v>
      </x:c>
      <x:c r="J105" s="21" t="n">
        <x:v>-0.13740068518113568</x:v>
      </x:c>
      <x:c r="K105" s="21" t="n">
        <x:v>-0.2731806039713064</x:v>
      </x:c>
      <x:c r="L105" s="36" t="n">
        <x:f>IF(Assumptions!$B$4=2030,I105,IF(Assumptions!$B$4=2035,J105,K105))</x:f>
        <x:v>-0.13740068518113568</x:v>
      </x:c>
      <x:c r="M105" s="36" t="n">
        <x:f>Assumptions!$B$19</x:f>
        <x:v>-0.04739891965741583</x:v>
      </x:c>
      <x:c r="N105" s="52" t="n">
        <x:f>H105*L105+(1-H105)*M105+O105</x:f>
        <x:v>-0.10139997897164774</x:v>
      </x:c>
      <x:c r="O105" s="36" t="n">
        <x:f>Assumptions!$B$10</x:f>
        <x:v>0</x:v>
      </x:c>
      <x:c r="P105" s="54" t="n">
        <x:f>E105*(1+N105)</x:f>
        <x:v>15741.675168374675</x:v>
      </x:c>
      <x:c r="Q105" s="54" t="n">
        <x:f>P105-E105</x:f>
        <x:v>-1776.3248316253248</x:v>
      </x:c>
      <x:c r="R105" s="16" t="str">
        <x:v>Yes</x:v>
      </x:c>
      <x:c r="S105" s="56" t="n">
        <x:v>3229</x:v>
      </x:c>
      <x:c r="T105" s="56" t="n">
        <x:v>7385</x:v>
      </x:c>
      <x:c r="U105" s="40" t="n">
        <x:f>E105*Assumptions!$B$8</x:f>
        <x:v>14890.3</x:v>
      </x:c>
      <x:c r="V105" s="40" t="n">
        <x:f>P105*Assumptions!$B$8</x:f>
        <x:v>13380.423893118474</x:v>
      </x:c>
      <x:c r="W105" s="54" t="n">
        <x:f>V105-U105</x:f>
        <x:v>-1509.8761068815256</x:v>
      </x:c>
      <x:c r="X105" s="58" t="n">
        <x:f>IF(R105="No","",W105*S105)</x:f>
        <x:v>-4875389.949120446</x:v>
      </x:c>
      <x:c r="Y105" s="58" t="n">
        <x:f>IF(R105="No","",W105*T105*Assumptions!$B$9)</x:f>
        <x:v>-3345130.51479602</x:v>
      </x:c>
      <x:c r="Z105" s="58" t="n">
        <x:f>IF(R105="No","",X105-Y105)</x:f>
        <x:v>-1530259.434324426</x:v>
      </x:c>
      <x:c r="AA105" s="58" t="n">
        <x:f>IF(R105="No","",MAX(0,-Z105))</x:f>
        <x:v>1530259.434324426</x:v>
      </x:c>
      <x:c r="AB105" s="52" t="n">
        <x:f>IF(OR(R105="No",U105*S105=0),"",AA105/(U105*S105))</x:f>
        <x:v>0.03182684381782748</x:v>
      </x:c>
      <x:c r="AC105" s="54" t="n">
        <x:f>IF(OR(R105="No",S105-T105*Assumptions!$B$9&lt;=0),"",AA105/(Assumptions!$B$8*(S105-T105*Assumptions!$B$9)))</x:f>
        <x:v>1776.3248316253241</x:v>
      </x:c>
      <x:c r="AD105" s="52" t="n">
        <x:f>IF(OR(R105="No",U105*S105=0),"",AA105/(U105*S105))</x:f>
        <x:v>0.03182684381782748</x:v>
      </x:c>
      <x:c r="AE105" s="50" t="str">
        <x:f>IF(R105="No","No finance data",IF(AB105&gt;=10%,"Severe",IF(AB105&gt;=5%,"High",IF(AB105&gt;=2%,"Moderate","Low"))))</x:f>
        <x:v>Moderate</x:v>
      </x:c>
      <x:c r="AF105" s="60" t="n">
        <x:v>34.182622</x:v>
      </x:c>
      <x:c r="AG105" s="60" t="n">
        <x:v>-117.323801</x:v>
      </x:c>
      <x:c r="AH105" s="44" t="str">
        <x:v>Undergraduate tuition-contribution proxy only; not an audited total institutional budget.</x:v>
      </x:c>
    </x:row>
    <x:row r="106">
      <x:c r="A106" s="16" t="n">
        <x:v>366711</x:v>
      </x:c>
      <x:c r="B106" s="16" t="str">
        <x:v>California State University-San Marcos</x:v>
      </x:c>
      <x:c r="C106" s="16" t="str">
        <x:v>CA</x:v>
      </x:c>
      <x:c r="D106" s="16" t="str">
        <x:v>Public</x:v>
      </x:c>
      <x:c r="E106" s="34" t="n">
        <x:v>12103</x:v>
      </x:c>
      <x:c r="F106" s="21" t="n">
        <x:v>0.933</x:v>
      </x:c>
      <x:c r="G106" s="16" t="str">
        <x:v>Statewide</x:v>
      </x:c>
      <x:c r="H106" s="36" t="n">
        <x:f>IF(G106="National",Assumptions!$B$11,IF(G106="Statewide",Assumptions!$B$12,Assumptions!$B$13))</x:f>
        <x:v>0.6</x:v>
      </x:c>
      <x:c r="I106" s="21" t="n">
        <x:v>-0.06638496203204658</x:v>
      </x:c>
      <x:c r="J106" s="21" t="n">
        <x:v>-0.13740068518113568</x:v>
      </x:c>
      <x:c r="K106" s="21" t="n">
        <x:v>-0.2731806039713064</x:v>
      </x:c>
      <x:c r="L106" s="36" t="n">
        <x:f>IF(Assumptions!$B$4=2030,I106,IF(Assumptions!$B$4=2035,J106,K106))</x:f>
        <x:v>-0.13740068518113568</x:v>
      </x:c>
      <x:c r="M106" s="36" t="n">
        <x:f>Assumptions!$B$19</x:f>
        <x:v>-0.04739891965741583</x:v>
      </x:c>
      <x:c r="N106" s="52" t="n">
        <x:f>H106*L106+(1-H106)*M106+O106</x:f>
        <x:v>-0.10139997897164774</x:v>
      </x:c>
      <x:c r="O106" s="36" t="n">
        <x:f>Assumptions!$B$10</x:f>
        <x:v>0</x:v>
      </x:c>
      <x:c r="P106" s="54" t="n">
        <x:f>E106*(1+N106)</x:f>
        <x:v>10875.756054506148</x:v>
      </x:c>
      <x:c r="Q106" s="54" t="n">
        <x:f>P106-E106</x:f>
        <x:v>-1227.2439454938522</x:v>
      </x:c>
      <x:c r="R106" s="16" t="str">
        <x:v>Yes</x:v>
      </x:c>
      <x:c r="S106" s="56" t="n">
        <x:v>5713</x:v>
      </x:c>
      <x:c r="T106" s="56" t="n">
        <x:v>6895</x:v>
      </x:c>
      <x:c r="U106" s="40" t="n">
        <x:f>E106*Assumptions!$B$8</x:f>
        <x:v>10287.55</x:v>
      </x:c>
      <x:c r="V106" s="40" t="n">
        <x:f>P106*Assumptions!$B$8</x:f>
        <x:v>9244.392646330225</x:v>
      </x:c>
      <x:c r="W106" s="54" t="n">
        <x:f>V106-U106</x:f>
        <x:v>-1043.1573536697742</x:v>
      </x:c>
      <x:c r="X106" s="58" t="n">
        <x:f>IF(R106="No","",W106*S106)</x:f>
        <x:v>-5959557.96151542</x:v>
      </x:c>
      <x:c r="Y106" s="58" t="n">
        <x:f>IF(R106="No","",W106*T106*Assumptions!$B$9)</x:f>
        <x:v>-2157770.986065928</x:v>
      </x:c>
      <x:c r="Z106" s="58" t="n">
        <x:f>IF(R106="No","",X106-Y106)</x:f>
        <x:v>-3801786.975449492</x:v>
      </x:c>
      <x:c r="AA106" s="58" t="n">
        <x:f>IF(R106="No","",MAX(0,-Z106))</x:f>
        <x:v>3801786.975449492</x:v>
      </x:c>
      <x:c r="AB106" s="52" t="n">
        <x:f>IF(OR(R106="No",U106*S106=0),"",AA106/(U106*S106))</x:f>
        <x:v>0.06468619348191319</x:v>
      </x:c>
      <x:c r="AC106" s="54" t="n">
        <x:f>IF(OR(R106="No",S106-T106*Assumptions!$B$9&lt;=0),"",AA106/(Assumptions!$B$8*(S106-T106*Assumptions!$B$9)))</x:f>
        <x:v>1227.2439454938522</x:v>
      </x:c>
      <x:c r="AD106" s="52" t="n">
        <x:f>IF(OR(R106="No",U106*S106=0),"",AA106/(U106*S106))</x:f>
        <x:v>0.06468619348191319</x:v>
      </x:c>
      <x:c r="AE106" s="50" t="str">
        <x:f>IF(R106="No","No finance data",IF(AB106&gt;=10%,"Severe",IF(AB106&gt;=5%,"High",IF(AB106&gt;=2%,"Moderate","Low"))))</x:f>
        <x:v>High</x:v>
      </x:c>
      <x:c r="AF106" s="60" t="n">
        <x:v>33.130569</x:v>
      </x:c>
      <x:c r="AG106" s="60" t="n">
        <x:v>-117.159013</x:v>
      </x:c>
      <x:c r="AH106" s="44" t="str">
        <x:v>Undergraduate tuition-contribution proxy only; not an audited total institutional budget.</x:v>
      </x:c>
    </x:row>
    <x:row r="107">
      <x:c r="A107" s="16" t="n">
        <x:v>110495</x:v>
      </x:c>
      <x:c r="B107" s="16" t="str">
        <x:v>California State University-Stanislaus</x:v>
      </x:c>
      <x:c r="C107" s="16" t="str">
        <x:v>CA</x:v>
      </x:c>
      <x:c r="D107" s="16" t="str">
        <x:v>Public</x:v>
      </x:c>
      <x:c r="E107" s="34" t="n">
        <x:v>8093</x:v>
      </x:c>
      <x:c r="F107" s="21" t="n">
        <x:v>0.9476</x:v>
      </x:c>
      <x:c r="G107" s="16" t="str">
        <x:v>Statewide</x:v>
      </x:c>
      <x:c r="H107" s="36" t="n">
        <x:f>IF(G107="National",Assumptions!$B$11,IF(G107="Statewide",Assumptions!$B$12,Assumptions!$B$13))</x:f>
        <x:v>0.6</x:v>
      </x:c>
      <x:c r="I107" s="21" t="n">
        <x:v>-0.06638496203204658</x:v>
      </x:c>
      <x:c r="J107" s="21" t="n">
        <x:v>-0.13740068518113568</x:v>
      </x:c>
      <x:c r="K107" s="21" t="n">
        <x:v>-0.2731806039713064</x:v>
      </x:c>
      <x:c r="L107" s="36" t="n">
        <x:f>IF(Assumptions!$B$4=2030,I107,IF(Assumptions!$B$4=2035,J107,K107))</x:f>
        <x:v>-0.13740068518113568</x:v>
      </x:c>
      <x:c r="M107" s="36" t="n">
        <x:f>Assumptions!$B$19</x:f>
        <x:v>-0.04739891965741583</x:v>
      </x:c>
      <x:c r="N107" s="52" t="n">
        <x:f>H107*L107+(1-H107)*M107+O107</x:f>
        <x:v>-0.10139997897164774</x:v>
      </x:c>
      <x:c r="O107" s="36" t="n">
        <x:f>Assumptions!$B$10</x:f>
        <x:v>0</x:v>
      </x:c>
      <x:c r="P107" s="54" t="n">
        <x:f>E107*(1+N107)</x:f>
        <x:v>7272.369970182454</x:v>
      </x:c>
      <x:c r="Q107" s="54" t="n">
        <x:f>P107-E107</x:f>
        <x:v>-820.6300298175456</x:v>
      </x:c>
      <x:c r="R107" s="16" t="str">
        <x:v>Yes</x:v>
      </x:c>
      <x:c r="S107" s="56" t="n">
        <x:v>4091</x:v>
      </x:c>
      <x:c r="T107" s="56" t="n">
        <x:v>7506</x:v>
      </x:c>
      <x:c r="U107" s="40" t="n">
        <x:f>E107*Assumptions!$B$8</x:f>
        <x:v>6879.05</x:v>
      </x:c>
      <x:c r="V107" s="40" t="n">
        <x:f>P107*Assumptions!$B$8</x:f>
        <x:v>6181.514474655086</x:v>
      </x:c>
      <x:c r="W107" s="54" t="n">
        <x:f>V107-U107</x:f>
        <x:v>-697.5355253449143</x:v>
      </x:c>
      <x:c r="X107" s="58" t="n">
        <x:f>IF(R107="No","",W107*S107)</x:f>
        <x:v>-2853617.8341860445</x:v>
      </x:c>
      <x:c r="Y107" s="58" t="n">
        <x:f>IF(R107="No","",W107*T107*Assumptions!$B$9)</x:f>
        <x:v>-1570710.495971678</x:v>
      </x:c>
      <x:c r="Z107" s="58" t="n">
        <x:f>IF(R107="No","",X107-Y107)</x:f>
        <x:v>-1282907.3382143665</x:v>
      </x:c>
      <x:c r="AA107" s="58" t="n">
        <x:f>IF(R107="No","",MAX(0,-Z107))</x:f>
        <x:v>1282907.3382143665</x:v>
      </x:c>
      <x:c r="AB107" s="52" t="n">
        <x:f>IF(OR(R107="No",U107*S107=0),"",AA107/(U107*S107))</x:f>
        <x:v>0.04558661484347465</x:v>
      </x:c>
      <x:c r="AC107" s="54" t="n">
        <x:f>IF(OR(R107="No",S107-T107*Assumptions!$B$9&lt;=0),"",AA107/(Assumptions!$B$8*(S107-T107*Assumptions!$B$9)))</x:f>
        <x:v>820.6300298175462</x:v>
      </x:c>
      <x:c r="AD107" s="52" t="n">
        <x:f>IF(OR(R107="No",U107*S107=0),"",AA107/(U107*S107))</x:f>
        <x:v>0.04558661484347465</x:v>
      </x:c>
      <x:c r="AE107" s="50" t="str">
        <x:f>IF(R107="No","No finance data",IF(AB107&gt;=10%,"Severe",IF(AB107&gt;=5%,"High",IF(AB107&gt;=2%,"Moderate","Low"))))</x:f>
        <x:v>Moderate</x:v>
      </x:c>
      <x:c r="AF107" s="60" t="n">
        <x:v>37.52577</x:v>
      </x:c>
      <x:c r="AG107" s="60" t="n">
        <x:v>-120.852511</x:v>
      </x:c>
      <x:c r="AH107" s="44" t="str">
        <x:v>Undergraduate tuition-contribution proxy only; not an audited total institutional budget.</x:v>
      </x:c>
    </x:row>
    <x:row r="108">
      <x:c r="A108" s="16" t="n">
        <x:v>460075</x:v>
      </x:c>
      <x:c r="B108" s="16" t="str">
        <x:v>California University of Management and Sciences</x:v>
      </x:c>
      <x:c r="C108" s="16" t="str">
        <x:v>CA</x:v>
      </x:c>
      <x:c r="D108" s="16" t="str">
        <x:v>Private nonprofit</x:v>
      </x:c>
      <x:c r="E108" s="34" t="n">
        <x:v>84</x:v>
      </x:c>
      <x:c r="F108" s="21"/>
      <x:c r="G108" s="16" t="str">
        <x:v>Regional</x:v>
      </x:c>
      <x:c r="H108" s="36" t="n">
        <x:f>IF(G108="National",Assumptions!$B$11,IF(G108="Statewide",Assumptions!$B$12,Assumptions!$B$13))</x:f>
        <x:v>0.85</x:v>
      </x:c>
      <x:c r="I108" s="21" t="n">
        <x:v>-0.06638496203204658</x:v>
      </x:c>
      <x:c r="J108" s="21" t="n">
        <x:v>-0.13740068518113568</x:v>
      </x:c>
      <x:c r="K108" s="21" t="n">
        <x:v>-0.2731806039713064</x:v>
      </x:c>
      <x:c r="L108" s="36" t="n">
        <x:f>IF(Assumptions!$B$4=2030,I108,IF(Assumptions!$B$4=2035,J108,K108))</x:f>
        <x:v>-0.13740068518113568</x:v>
      </x:c>
      <x:c r="M108" s="36" t="n">
        <x:f>Assumptions!$B$19</x:f>
        <x:v>-0.04739891965741583</x:v>
      </x:c>
      <x:c r="N108" s="52" t="n">
        <x:f>H108*L108+(1-H108)*M108+O108</x:f>
        <x:v>-0.1239004203525777</x:v>
      </x:c>
      <x:c r="O108" s="36" t="n">
        <x:f>Assumptions!$B$10</x:f>
        <x:v>0</x:v>
      </x:c>
      <x:c r="P108" s="54" t="n">
        <x:f>E108*(1+N108)</x:f>
        <x:v>73.59236469038346</x:v>
      </x:c>
      <x:c r="Q108" s="54" t="n">
        <x:f>P108-E108</x:f>
        <x:v>-10.407635309616538</x:v>
      </x:c>
      <x:c r="R108" s="16" t="str">
        <x:v>No</x:v>
      </x:c>
      <x:c r="S108" s="56"/>
      <x:c r="T108" s="56"/>
      <x:c r="U108" s="40" t="n">
        <x:f>E108*Assumptions!$B$8</x:f>
        <x:v>71.39999999999999</x:v>
      </x:c>
      <x:c r="V108" s="40" t="n">
        <x:f>P108*Assumptions!$B$8</x:f>
        <x:v>62.553509986825944</x:v>
      </x:c>
      <x:c r="W108" s="54" t="n">
        <x:f>V108-U108</x:f>
        <x:v>-8.846490013174048</x:v>
      </x:c>
      <x:c r="X108" s="58" t="str">
        <x:f>IF(R108="No","",W108*S108)</x:f>
      </x:c>
      <x:c r="Y108" s="58" t="str">
        <x:f>IF(R108="No","",W108*T108*Assumptions!$B$9)</x:f>
      </x:c>
      <x:c r="Z108" s="58" t="str">
        <x:f>IF(R108="No","",X108-Y108)</x:f>
      </x:c>
      <x:c r="AA108" s="58" t="str">
        <x:f>IF(R108="No","",MAX(0,-Z108))</x:f>
      </x:c>
      <x:c r="AB108" s="52" t="str">
        <x:f>IF(OR(R108="No",U108*S108=0),"",AA108/(U108*S108))</x:f>
      </x:c>
      <x:c r="AC108" s="54" t="str">
        <x:f>IF(OR(R108="No",S108-T108*Assumptions!$B$9&lt;=0),"",AA108/(Assumptions!$B$8*(S108-T108*Assumptions!$B$9)))</x:f>
      </x:c>
      <x:c r="AD108" s="52" t="str">
        <x:f>IF(OR(R108="No",U108*S108=0),"",AA108/(U108*S108))</x:f>
      </x:c>
      <x:c r="AE108" s="50" t="str">
        <x:f>IF(R108="No","No finance data",IF(AB108&gt;=10%,"Severe",IF(AB108&gt;=5%,"High",IF(AB108&gt;=2%,"Moderate","Low"))))</x:f>
        <x:v>No finance data</x:v>
      </x:c>
      <x:c r="AF108" s="60"/>
      <x:c r="AG108" s="60"/>
      <x:c r="AH108" s="44" t="str">
        <x:v>Undergraduate tuition-contribution proxy only; not an audited total institutional budget.</x:v>
      </x:c>
    </x:row>
    <x:row r="109">
      <x:c r="A109" s="16" t="n">
        <x:v>111948</x:v>
      </x:c>
      <x:c r="B109" s="16" t="str">
        <x:v>Chapman University</x:v>
      </x:c>
      <x:c r="C109" s="16" t="str">
        <x:v>CA</x:v>
      </x:c>
      <x:c r="D109" s="16" t="str">
        <x:v>Private nonprofit</x:v>
      </x:c>
      <x:c r="E109" s="34" t="n">
        <x:v>6281</x:v>
      </x:c>
      <x:c r="F109" s="21" t="n">
        <x:v>0.6037</x:v>
      </x:c>
      <x:c r="G109" s="16" t="str">
        <x:v>Regional</x:v>
      </x:c>
      <x:c r="H109" s="36" t="n">
        <x:f>IF(G109="National",Assumptions!$B$11,IF(G109="Statewide",Assumptions!$B$12,Assumptions!$B$13))</x:f>
        <x:v>0.85</x:v>
      </x:c>
      <x:c r="I109" s="21" t="n">
        <x:v>-0.06638496203204658</x:v>
      </x:c>
      <x:c r="J109" s="21" t="n">
        <x:v>-0.13740068518113568</x:v>
      </x:c>
      <x:c r="K109" s="21" t="n">
        <x:v>-0.2731806039713064</x:v>
      </x:c>
      <x:c r="L109" s="36" t="n">
        <x:f>IF(Assumptions!$B$4=2030,I109,IF(Assumptions!$B$4=2035,J109,K109))</x:f>
        <x:v>-0.13740068518113568</x:v>
      </x:c>
      <x:c r="M109" s="36" t="n">
        <x:f>Assumptions!$B$19</x:f>
        <x:v>-0.04739891965741583</x:v>
      </x:c>
      <x:c r="N109" s="52" t="n">
        <x:f>H109*L109+(1-H109)*M109+O109</x:f>
        <x:v>-0.1239004203525777</x:v>
      </x:c>
      <x:c r="O109" s="36" t="n">
        <x:f>Assumptions!$B$10</x:f>
        <x:v>0</x:v>
      </x:c>
      <x:c r="P109" s="54" t="n">
        <x:f>E109*(1+N109)</x:f>
        <x:v>5502.781459765459</x:v>
      </x:c>
      <x:c r="Q109" s="54" t="n">
        <x:f>P109-E109</x:f>
        <x:v>-778.2185402345413</x:v>
      </x:c>
      <x:c r="R109" s="16" t="str">
        <x:v>Yes</x:v>
      </x:c>
      <x:c r="S109" s="56" t="n">
        <x:v>33899</x:v>
      </x:c>
      <x:c r="T109" s="56" t="n">
        <x:v>17712</x:v>
      </x:c>
      <x:c r="U109" s="40" t="n">
        <x:f>E109*Assumptions!$B$8</x:f>
        <x:v>5338.849999999999</x:v>
      </x:c>
      <x:c r="V109" s="40" t="n">
        <x:f>P109*Assumptions!$B$8</x:f>
        <x:v>4677.36424080064</x:v>
      </x:c>
      <x:c r="W109" s="54" t="n">
        <x:f>V109-U109</x:f>
        <x:v>-661.4857591993596</x:v>
      </x:c>
      <x:c r="X109" s="58" t="n">
        <x:f>IF(R109="No","",W109*S109)</x:f>
        <x:v>-22423705.75109909</x:v>
      </x:c>
      <x:c r="Y109" s="58" t="n">
        <x:f>IF(R109="No","",W109*T109*Assumptions!$B$9)</x:f>
        <x:v>-3514870.730081717</x:v>
      </x:c>
      <x:c r="Z109" s="58" t="n">
        <x:f>IF(R109="No","",X109-Y109)</x:f>
        <x:v>-18908835.021017373</x:v>
      </x:c>
      <x:c r="AA109" s="58" t="n">
        <x:f>IF(R109="No","",MAX(0,-Z109))</x:f>
        <x:v>18908835.021017373</x:v>
      </x:c>
      <x:c r="AB109" s="52" t="n">
        <x:f>IF(OR(R109="No",U109*S109=0),"",AA109/(U109*S109))</x:f>
        <x:v>0.10447927891520623</x:v>
      </x:c>
      <x:c r="AC109" s="54" t="n">
        <x:f>IF(OR(R109="No",S109-T109*Assumptions!$B$9&lt;=0),"",AA109/(Assumptions!$B$8*(S109-T109*Assumptions!$B$9)))</x:f>
        <x:v>778.2185402345407</x:v>
      </x:c>
      <x:c r="AD109" s="52" t="n">
        <x:f>IF(OR(R109="No",U109*S109=0),"",AA109/(U109*S109))</x:f>
        <x:v>0.10447927891520623</x:v>
      </x:c>
      <x:c r="AE109" s="50" t="str">
        <x:f>IF(R109="No","No finance data",IF(AB109&gt;=10%,"Severe",IF(AB109&gt;=5%,"High",IF(AB109&gt;=2%,"Moderate","Low"))))</x:f>
        <x:v>Severe</x:v>
      </x:c>
      <x:c r="AF109" s="60" t="n">
        <x:v>33.79302</x:v>
      </x:c>
      <x:c r="AG109" s="60" t="n">
        <x:v>-117.852518</x:v>
      </x:c>
      <x:c r="AH109" s="44" t="str">
        <x:v>Undergraduate tuition-contribution proxy only; not an audited total institutional budget.</x:v>
      </x:c>
    </x:row>
    <x:row r="110">
      <x:c r="A110" s="16" t="n">
        <x:v>112260</x:v>
      </x:c>
      <x:c r="B110" s="16" t="str">
        <x:v>Claremont McKenna College</x:v>
      </x:c>
      <x:c r="C110" s="16" t="str">
        <x:v>CA</x:v>
      </x:c>
      <x:c r="D110" s="16" t="str">
        <x:v>Private nonprofit</x:v>
      </x:c>
      <x:c r="E110" s="34" t="n">
        <x:v>1325</x:v>
      </x:c>
      <x:c r="F110" s="21" t="n">
        <x:v>0.1124</x:v>
      </x:c>
      <x:c r="G110" s="16" t="str">
        <x:v>National</x:v>
      </x:c>
      <x:c r="H110" s="36" t="n">
        <x:f>IF(G110="National",Assumptions!$B$11,IF(G110="Statewide",Assumptions!$B$12,Assumptions!$B$13))</x:f>
        <x:v>0.25</x:v>
      </x:c>
      <x:c r="I110" s="21" t="n">
        <x:v>-0.06638496203204658</x:v>
      </x:c>
      <x:c r="J110" s="21" t="n">
        <x:v>-0.13740068518113568</x:v>
      </x:c>
      <x:c r="K110" s="21" t="n">
        <x:v>-0.2731806039713064</x:v>
      </x:c>
      <x:c r="L110" s="36" t="n">
        <x:f>IF(Assumptions!$B$4=2030,I110,IF(Assumptions!$B$4=2035,J110,K110))</x:f>
        <x:v>-0.13740068518113568</x:v>
      </x:c>
      <x:c r="M110" s="36" t="n">
        <x:f>Assumptions!$B$19</x:f>
        <x:v>-0.04739891965741583</x:v>
      </x:c>
      <x:c r="N110" s="52" t="n">
        <x:f>H110*L110+(1-H110)*M110+O110</x:f>
        <x:v>-0.06989936103834579</x:v>
      </x:c>
      <x:c r="O110" s="36" t="n">
        <x:f>Assumptions!$B$10</x:f>
        <x:v>0</x:v>
      </x:c>
      <x:c r="P110" s="54" t="n">
        <x:f>E110*(1+N110)</x:f>
        <x:v>1232.3833466241917</x:v>
      </x:c>
      <x:c r="Q110" s="54" t="n">
        <x:f>P110-E110</x:f>
        <x:v>-92.61665337580826</x:v>
      </x:c>
      <x:c r="R110" s="16" t="str">
        <x:v>Yes</x:v>
      </x:c>
      <x:c r="S110" s="56" t="n">
        <x:v>34221</x:v>
      </x:c>
      <x:c r="T110" s="56" t="n">
        <x:v>30917</x:v>
      </x:c>
      <x:c r="U110" s="40" t="n">
        <x:f>E110*Assumptions!$B$8</x:f>
        <x:v>1126.25</x:v>
      </x:c>
      <x:c r="V110" s="40" t="n">
        <x:f>P110*Assumptions!$B$8</x:f>
        <x:v>1047.525844630563</x:v>
      </x:c>
      <x:c r="W110" s="54" t="n">
        <x:f>V110-U110</x:f>
        <x:v>-78.72415536943709</x:v>
      </x:c>
      <x:c r="X110" s="58" t="n">
        <x:f>IF(R110="No","",W110*S110)</x:f>
        <x:v>-2694019.3208975065</x:v>
      </x:c>
      <x:c r="Y110" s="58" t="n">
        <x:f>IF(R110="No","",W110*T110*Assumptions!$B$9)</x:f>
        <x:v>-730174.4134670659</x:v>
      </x:c>
      <x:c r="Z110" s="58" t="n">
        <x:f>IF(R110="No","",X110-Y110)</x:f>
        <x:v>-1963844.9074304407</x:v>
      </x:c>
      <x:c r="AA110" s="58" t="n">
        <x:f>IF(R110="No","",MAX(0,-Z110))</x:f>
        <x:v>1963844.9074304407</x:v>
      </x:c>
      <x:c r="AB110" s="52" t="n">
        <x:f>IF(OR(R110="No",U110*S110=0),"",AA110/(U110*S110))</x:f>
        <x:v>0.050954164709578136</x:v>
      </x:c>
      <x:c r="AC110" s="54" t="n">
        <x:f>IF(OR(R110="No",S110-T110*Assumptions!$B$9&lt;=0),"",AA110/(Assumptions!$B$8*(S110-T110*Assumptions!$B$9)))</x:f>
        <x:v>92.61665337580834</x:v>
      </x:c>
      <x:c r="AD110" s="52" t="n">
        <x:f>IF(OR(R110="No",U110*S110=0),"",AA110/(U110*S110))</x:f>
        <x:v>0.050954164709578136</x:v>
      </x:c>
      <x:c r="AE110" s="50" t="str">
        <x:f>IF(R110="No","No finance data",IF(AB110&gt;=10%,"Severe",IF(AB110&gt;=5%,"High",IF(AB110&gt;=2%,"Moderate","Low"))))</x:f>
        <x:v>High</x:v>
      </x:c>
      <x:c r="AF110" s="60" t="n">
        <x:v>34.102154</x:v>
      </x:c>
      <x:c r="AG110" s="60" t="n">
        <x:v>-117.711188</x:v>
      </x:c>
      <x:c r="AH110" s="44" t="str">
        <x:v>Undergraduate tuition-contribution proxy only; not an audited total institutional budget.</x:v>
      </x:c>
    </x:row>
    <x:row r="111">
      <x:c r="A111" s="16" t="n">
        <x:v>112446</x:v>
      </x:c>
      <x:c r="B111" s="16" t="str">
        <x:v>Coleman University</x:v>
      </x:c>
      <x:c r="C111" s="16" t="str">
        <x:v>CA</x:v>
      </x:c>
      <x:c r="D111" s="16" t="str">
        <x:v>Private nonprofit</x:v>
      </x:c>
      <x:c r="E111" s="34" t="n">
        <x:v>346</x:v>
      </x:c>
      <x:c r="F111" s="21"/>
      <x:c r="G111" s="16" t="str">
        <x:v>Regional</x:v>
      </x:c>
      <x:c r="H111" s="36" t="n">
        <x:f>IF(G111="National",Assumptions!$B$11,IF(G111="Statewide",Assumptions!$B$12,Assumptions!$B$13))</x:f>
        <x:v>0.85</x:v>
      </x:c>
      <x:c r="I111" s="21" t="n">
        <x:v>-0.06638496203204658</x:v>
      </x:c>
      <x:c r="J111" s="21" t="n">
        <x:v>-0.13740068518113568</x:v>
      </x:c>
      <x:c r="K111" s="21" t="n">
        <x:v>-0.2731806039713064</x:v>
      </x:c>
      <x:c r="L111" s="36" t="n">
        <x:f>IF(Assumptions!$B$4=2030,I111,IF(Assumptions!$B$4=2035,J111,K111))</x:f>
        <x:v>-0.13740068518113568</x:v>
      </x:c>
      <x:c r="M111" s="36" t="n">
        <x:f>Assumptions!$B$19</x:f>
        <x:v>-0.04739891965741583</x:v>
      </x:c>
      <x:c r="N111" s="52" t="n">
        <x:f>H111*L111+(1-H111)*M111+O111</x:f>
        <x:v>-0.1239004203525777</x:v>
      </x:c>
      <x:c r="O111" s="36" t="n">
        <x:f>Assumptions!$B$10</x:f>
        <x:v>0</x:v>
      </x:c>
      <x:c r="P111" s="54" t="n">
        <x:f>E111*(1+N111)</x:f>
        <x:v>303.13045455800807</x:v>
      </x:c>
      <x:c r="Q111" s="54" t="n">
        <x:f>P111-E111</x:f>
        <x:v>-42.86954544199193</x:v>
      </x:c>
      <x:c r="R111" s="16" t="str">
        <x:v>No</x:v>
      </x:c>
      <x:c r="S111" s="56"/>
      <x:c r="T111" s="56"/>
      <x:c r="U111" s="40" t="n">
        <x:f>E111*Assumptions!$B$8</x:f>
        <x:v>294.09999999999997</x:v>
      </x:c>
      <x:c r="V111" s="40" t="n">
        <x:f>P111*Assumptions!$B$8</x:f>
        <x:v>257.66088637430687</x:v>
      </x:c>
      <x:c r="W111" s="54" t="n">
        <x:f>V111-U111</x:f>
        <x:v>-36.439113625693096</x:v>
      </x:c>
      <x:c r="X111" s="58" t="str">
        <x:f>IF(R111="No","",W111*S111)</x:f>
      </x:c>
      <x:c r="Y111" s="58" t="str">
        <x:f>IF(R111="No","",W111*T111*Assumptions!$B$9)</x:f>
      </x:c>
      <x:c r="Z111" s="58" t="str">
        <x:f>IF(R111="No","",X111-Y111)</x:f>
      </x:c>
      <x:c r="AA111" s="58" t="str">
        <x:f>IF(R111="No","",MAX(0,-Z111))</x:f>
      </x:c>
      <x:c r="AB111" s="52" t="str">
        <x:f>IF(OR(R111="No",U111*S111=0),"",AA111/(U111*S111))</x:f>
      </x:c>
      <x:c r="AC111" s="54" t="str">
        <x:f>IF(OR(R111="No",S111-T111*Assumptions!$B$9&lt;=0),"",AA111/(Assumptions!$B$8*(S111-T111*Assumptions!$B$9)))</x:f>
      </x:c>
      <x:c r="AD111" s="52" t="str">
        <x:f>IF(OR(R111="No",U111*S111=0),"",AA111/(U111*S111))</x:f>
      </x:c>
      <x:c r="AE111" s="50" t="str">
        <x:f>IF(R111="No","No finance data",IF(AB111&gt;=10%,"Severe",IF(AB111&gt;=5%,"High",IF(AB111&gt;=2%,"Moderate","Low"))))</x:f>
        <x:v>No finance data</x:v>
      </x:c>
      <x:c r="AF111" s="60"/>
      <x:c r="AG111" s="60"/>
      <x:c r="AH111" s="44" t="str">
        <x:v>Undergraduate tuition-contribution proxy only; not an audited total institutional budget.</x:v>
      </x:c>
    </x:row>
    <x:row r="112">
      <x:c r="A112" s="16" t="n">
        <x:v>112570</x:v>
      </x:c>
      <x:c r="B112" s="16" t="str">
        <x:v>Columbia College-Hollywood</x:v>
      </x:c>
      <x:c r="C112" s="16" t="str">
        <x:v>CA</x:v>
      </x:c>
      <x:c r="D112" s="16" t="str">
        <x:v>Private nonprofit</x:v>
      </x:c>
      <x:c r="E112" s="34" t="n">
        <x:v>326</x:v>
      </x:c>
      <x:c r="F112" s="21"/>
      <x:c r="G112" s="16" t="str">
        <x:v>Regional</x:v>
      </x:c>
      <x:c r="H112" s="36" t="n">
        <x:f>IF(G112="National",Assumptions!$B$11,IF(G112="Statewide",Assumptions!$B$12,Assumptions!$B$13))</x:f>
        <x:v>0.85</x:v>
      </x:c>
      <x:c r="I112" s="21" t="n">
        <x:v>-0.06638496203204658</x:v>
      </x:c>
      <x:c r="J112" s="21" t="n">
        <x:v>-0.13740068518113568</x:v>
      </x:c>
      <x:c r="K112" s="21" t="n">
        <x:v>-0.2731806039713064</x:v>
      </x:c>
      <x:c r="L112" s="36" t="n">
        <x:f>IF(Assumptions!$B$4=2030,I112,IF(Assumptions!$B$4=2035,J112,K112))</x:f>
        <x:v>-0.13740068518113568</x:v>
      </x:c>
      <x:c r="M112" s="36" t="n">
        <x:f>Assumptions!$B$19</x:f>
        <x:v>-0.04739891965741583</x:v>
      </x:c>
      <x:c r="N112" s="52" t="n">
        <x:f>H112*L112+(1-H112)*M112+O112</x:f>
        <x:v>-0.1239004203525777</x:v>
      </x:c>
      <x:c r="O112" s="36" t="n">
        <x:f>Assumptions!$B$10</x:f>
        <x:v>0</x:v>
      </x:c>
      <x:c r="P112" s="54" t="n">
        <x:f>E112*(1+N112)</x:f>
        <x:v>285.60846296505963</x:v>
      </x:c>
      <x:c r="Q112" s="54" t="n">
        <x:f>P112-E112</x:f>
        <x:v>-40.39153703494037</x:v>
      </x:c>
      <x:c r="R112" s="16" t="str">
        <x:v>No</x:v>
      </x:c>
      <x:c r="S112" s="56"/>
      <x:c r="T112" s="56"/>
      <x:c r="U112" s="40" t="n">
        <x:f>E112*Assumptions!$B$8</x:f>
        <x:v>277.09999999999997</x:v>
      </x:c>
      <x:c r="V112" s="40" t="n">
        <x:f>P112*Assumptions!$B$8</x:f>
        <x:v>242.76719352030068</x:v>
      </x:c>
      <x:c r="W112" s="54" t="n">
        <x:f>V112-U112</x:f>
        <x:v>-34.332806479699286</x:v>
      </x:c>
      <x:c r="X112" s="58" t="str">
        <x:f>IF(R112="No","",W112*S112)</x:f>
      </x:c>
      <x:c r="Y112" s="58" t="str">
        <x:f>IF(R112="No","",W112*T112*Assumptions!$B$9)</x:f>
      </x:c>
      <x:c r="Z112" s="58" t="str">
        <x:f>IF(R112="No","",X112-Y112)</x:f>
      </x:c>
      <x:c r="AA112" s="58" t="str">
        <x:f>IF(R112="No","",MAX(0,-Z112))</x:f>
      </x:c>
      <x:c r="AB112" s="52" t="str">
        <x:f>IF(OR(R112="No",U112*S112=0),"",AA112/(U112*S112))</x:f>
      </x:c>
      <x:c r="AC112" s="54" t="str">
        <x:f>IF(OR(R112="No",S112-T112*Assumptions!$B$9&lt;=0),"",AA112/(Assumptions!$B$8*(S112-T112*Assumptions!$B$9)))</x:f>
      </x:c>
      <x:c r="AD112" s="52" t="str">
        <x:f>IF(OR(R112="No",U112*S112=0),"",AA112/(U112*S112))</x:f>
      </x:c>
      <x:c r="AE112" s="50" t="str">
        <x:f>IF(R112="No","No finance data",IF(AB112&gt;=10%,"Severe",IF(AB112&gt;=5%,"High",IF(AB112&gt;=2%,"Moderate","Low"))))</x:f>
        <x:v>No finance data</x:v>
      </x:c>
      <x:c r="AF112" s="60"/>
      <x:c r="AG112" s="60"/>
      <x:c r="AH112" s="44" t="str">
        <x:v>Undergraduate tuition-contribution proxy only; not an audited total institutional budget.</x:v>
      </x:c>
    </x:row>
    <x:row r="113">
      <x:c r="A113" s="16" t="n">
        <x:v>112075</x:v>
      </x:c>
      <x:c r="B113" s="16" t="str">
        <x:v>Concordia University-Irvine</x:v>
      </x:c>
      <x:c r="C113" s="16" t="str">
        <x:v>CA</x:v>
      </x:c>
      <x:c r="D113" s="16" t="str">
        <x:v>Private nonprofit</x:v>
      </x:c>
      <x:c r="E113" s="34" t="n">
        <x:v>1863</x:v>
      </x:c>
      <x:c r="F113" s="21" t="n">
        <x:v>0.8138</x:v>
      </x:c>
      <x:c r="G113" s="16" t="str">
        <x:v>Regional</x:v>
      </x:c>
      <x:c r="H113" s="36" t="n">
        <x:f>IF(G113="National",Assumptions!$B$11,IF(G113="Statewide",Assumptions!$B$12,Assumptions!$B$13))</x:f>
        <x:v>0.85</x:v>
      </x:c>
      <x:c r="I113" s="21" t="n">
        <x:v>-0.06638496203204658</x:v>
      </x:c>
      <x:c r="J113" s="21" t="n">
        <x:v>-0.13740068518113568</x:v>
      </x:c>
      <x:c r="K113" s="21" t="n">
        <x:v>-0.2731806039713064</x:v>
      </x:c>
      <x:c r="L113" s="36" t="n">
        <x:f>IF(Assumptions!$B$4=2030,I113,IF(Assumptions!$B$4=2035,J113,K113))</x:f>
        <x:v>-0.13740068518113568</x:v>
      </x:c>
      <x:c r="M113" s="36" t="n">
        <x:f>Assumptions!$B$19</x:f>
        <x:v>-0.04739891965741583</x:v>
      </x:c>
      <x:c r="N113" s="52" t="n">
        <x:f>H113*L113+(1-H113)*M113+O113</x:f>
        <x:v>-0.1239004203525777</x:v>
      </x:c>
      <x:c r="O113" s="36" t="n">
        <x:f>Assumptions!$B$10</x:f>
        <x:v>0</x:v>
      </x:c>
      <x:c r="P113" s="54" t="n">
        <x:f>E113*(1+N113)</x:f>
        <x:v>1632.1735168831476</x:v>
      </x:c>
      <x:c r="Q113" s="54" t="n">
        <x:f>P113-E113</x:f>
        <x:v>-230.8264831168524</x:v>
      </x:c>
      <x:c r="R113" s="16" t="str">
        <x:v>Yes</x:v>
      </x:c>
      <x:c r="S113" s="56" t="n">
        <x:v>15643</x:v>
      </x:c>
      <x:c r="T113" s="56" t="n">
        <x:v>8024</x:v>
      </x:c>
      <x:c r="U113" s="40" t="n">
        <x:f>E113*Assumptions!$B$8</x:f>
        <x:v>1583.55</x:v>
      </x:c>
      <x:c r="V113" s="40" t="n">
        <x:f>P113*Assumptions!$B$8</x:f>
        <x:v>1387.3474893506755</x:v>
      </x:c>
      <x:c r="W113" s="54" t="n">
        <x:f>V113-U113</x:f>
        <x:v>-196.2025106493245</x:v>
      </x:c>
      <x:c r="X113" s="58" t="n">
        <x:f>IF(R113="No","",W113*S113)</x:f>
        <x:v>-3069195.874087383</x:v>
      </x:c>
      <x:c r="Y113" s="58" t="n">
        <x:f>IF(R113="No","",W113*T113*Assumptions!$B$9)</x:f>
        <x:v>-472298.6836350539</x:v>
      </x:c>
      <x:c r="Z113" s="58" t="n">
        <x:f>IF(R113="No","",X113-Y113)</x:f>
        <x:v>-2596897.190452329</x:v>
      </x:c>
      <x:c r="AA113" s="58" t="n">
        <x:f>IF(R113="No","",MAX(0,-Z113))</x:f>
        <x:v>2596897.190452329</x:v>
      </x:c>
      <x:c r="AB113" s="52" t="n">
        <x:f>IF(OR(R113="No",U113*S113=0),"",AA113/(U113*S113))</x:f>
        <x:v>0.10483418677380608</x:v>
      </x:c>
      <x:c r="AC113" s="54" t="n">
        <x:f>IF(OR(R113="No",S113-T113*Assumptions!$B$9&lt;=0),"",AA113/(Assumptions!$B$8*(S113-T113*Assumptions!$B$9)))</x:f>
        <x:v>230.82648311685236</x:v>
      </x:c>
      <x:c r="AD113" s="52" t="n">
        <x:f>IF(OR(R113="No",U113*S113=0),"",AA113/(U113*S113))</x:f>
        <x:v>0.10483418677380608</x:v>
      </x:c>
      <x:c r="AE113" s="50" t="str">
        <x:f>IF(R113="No","No finance data",IF(AB113&gt;=10%,"Severe",IF(AB113&gt;=5%,"High",IF(AB113&gt;=2%,"Moderate","Low"))))</x:f>
        <x:v>Severe</x:v>
      </x:c>
      <x:c r="AF113" s="60" t="n">
        <x:v>33.653665</x:v>
      </x:c>
      <x:c r="AG113" s="60" t="n">
        <x:v>-117.812305</x:v>
      </x:c>
      <x:c r="AH113" s="44" t="str">
        <x:v>Undergraduate tuition-contribution proxy only; not an audited total institutional budget.</x:v>
      </x:c>
    </x:row>
    <x:row r="114">
      <x:c r="A114" s="16" t="n">
        <x:v>113698</x:v>
      </x:c>
      <x:c r="B114" s="16" t="str">
        <x:v>Dominican University of California</x:v>
      </x:c>
      <x:c r="C114" s="16" t="str">
        <x:v>CA</x:v>
      </x:c>
      <x:c r="D114" s="16" t="str">
        <x:v>Private nonprofit</x:v>
      </x:c>
      <x:c r="E114" s="34" t="n">
        <x:v>1358</x:v>
      </x:c>
      <x:c r="F114" s="21" t="n">
        <x:v>0.9293</x:v>
      </x:c>
      <x:c r="G114" s="16" t="str">
        <x:v>Regional</x:v>
      </x:c>
      <x:c r="H114" s="36" t="n">
        <x:f>IF(G114="National",Assumptions!$B$11,IF(G114="Statewide",Assumptions!$B$12,Assumptions!$B$13))</x:f>
        <x:v>0.85</x:v>
      </x:c>
      <x:c r="I114" s="21" t="n">
        <x:v>-0.06638496203204658</x:v>
      </x:c>
      <x:c r="J114" s="21" t="n">
        <x:v>-0.13740068518113568</x:v>
      </x:c>
      <x:c r="K114" s="21" t="n">
        <x:v>-0.2731806039713064</x:v>
      </x:c>
      <x:c r="L114" s="36" t="n">
        <x:f>IF(Assumptions!$B$4=2030,I114,IF(Assumptions!$B$4=2035,J114,K114))</x:f>
        <x:v>-0.13740068518113568</x:v>
      </x:c>
      <x:c r="M114" s="36" t="n">
        <x:f>Assumptions!$B$19</x:f>
        <x:v>-0.04739891965741583</x:v>
      </x:c>
      <x:c r="N114" s="52" t="n">
        <x:f>H114*L114+(1-H114)*M114+O114</x:f>
        <x:v>-0.1239004203525777</x:v>
      </x:c>
      <x:c r="O114" s="36" t="n">
        <x:f>Assumptions!$B$10</x:f>
        <x:v>0</x:v>
      </x:c>
      <x:c r="P114" s="54" t="n">
        <x:f>E114*(1+N114)</x:f>
        <x:v>1189.7432291611995</x:v>
      </x:c>
      <x:c r="Q114" s="54" t="n">
        <x:f>P114-E114</x:f>
        <x:v>-168.25677083880055</x:v>
      </x:c>
      <x:c r="R114" s="16" t="str">
        <x:v>Yes</x:v>
      </x:c>
      <x:c r="S114" s="56" t="n">
        <x:v>18929</x:v>
      </x:c>
      <x:c r="T114" s="56" t="n">
        <x:v>12532</x:v>
      </x:c>
      <x:c r="U114" s="40" t="n">
        <x:f>E114*Assumptions!$B$8</x:f>
        <x:v>1154.3</x:v>
      </x:c>
      <x:c r="V114" s="40" t="n">
        <x:f>P114*Assumptions!$B$8</x:f>
        <x:v>1011.2817447870195</x:v>
      </x:c>
      <x:c r="W114" s="54" t="n">
        <x:f>V114-U114</x:f>
        <x:v>-143.01825521298042</x:v>
      </x:c>
      <x:c r="X114" s="58" t="n">
        <x:f>IF(R114="No","",W114*S114)</x:f>
        <x:v>-2707192.5529265064</x:v>
      </x:c>
      <x:c r="Y114" s="58" t="n">
        <x:f>IF(R114="No","",W114*T114*Assumptions!$B$9)</x:f>
        <x:v>-537691.4322987212</x:v>
      </x:c>
      <x:c r="Z114" s="58" t="n">
        <x:f>IF(R114="No","",X114-Y114)</x:f>
        <x:v>-2169501.120627785</x:v>
      </x:c>
      <x:c r="AA114" s="58" t="n">
        <x:f>IF(R114="No","",MAX(0,-Z114))</x:f>
        <x:v>2169501.120627785</x:v>
      </x:c>
      <x:c r="AB114" s="52" t="n">
        <x:f>IF(OR(R114="No",U114*S114=0),"",AA114/(U114*S114))</x:f>
        <x:v>0.09929182928291996</x:v>
      </x:c>
      <x:c r="AC114" s="54" t="n">
        <x:f>IF(OR(R114="No",S114-T114*Assumptions!$B$9&lt;=0),"",AA114/(Assumptions!$B$8*(S114-T114*Assumptions!$B$9)))</x:f>
        <x:v>168.2567708388005</x:v>
      </x:c>
      <x:c r="AD114" s="52" t="n">
        <x:f>IF(OR(R114="No",U114*S114=0),"",AA114/(U114*S114))</x:f>
        <x:v>0.09929182928291996</x:v>
      </x:c>
      <x:c r="AE114" s="50" t="str">
        <x:f>IF(R114="No","No finance data",IF(AB114&gt;=10%,"Severe",IF(AB114&gt;=5%,"High",IF(AB114&gt;=2%,"Moderate","Low"))))</x:f>
        <x:v>High</x:v>
      </x:c>
      <x:c r="AF114" s="60" t="n">
        <x:v>37.981279</x:v>
      </x:c>
      <x:c r="AG114" s="60" t="n">
        <x:v>-122.512051</x:v>
      </x:c>
      <x:c r="AH114" s="44" t="str">
        <x:v>Undergraduate tuition-contribution proxy only; not an audited total institutional budget.</x:v>
      </x:c>
    </x:row>
    <x:row r="115">
      <x:c r="A115" s="16" t="n">
        <x:v>124487</x:v>
      </x:c>
      <x:c r="B115" s="16" t="str">
        <x:v>Epic Bible College</x:v>
      </x:c>
      <x:c r="C115" s="16" t="str">
        <x:v>CA</x:v>
      </x:c>
      <x:c r="D115" s="16" t="str">
        <x:v>Private nonprofit</x:v>
      </x:c>
      <x:c r="E115" s="34" t="n">
        <x:v>162</x:v>
      </x:c>
      <x:c r="F115" s="21"/>
      <x:c r="G115" s="16" t="str">
        <x:v>Regional</x:v>
      </x:c>
      <x:c r="H115" s="36" t="n">
        <x:f>IF(G115="National",Assumptions!$B$11,IF(G115="Statewide",Assumptions!$B$12,Assumptions!$B$13))</x:f>
        <x:v>0.85</x:v>
      </x:c>
      <x:c r="I115" s="21" t="n">
        <x:v>-0.06638496203204658</x:v>
      </x:c>
      <x:c r="J115" s="21" t="n">
        <x:v>-0.13740068518113568</x:v>
      </x:c>
      <x:c r="K115" s="21" t="n">
        <x:v>-0.2731806039713064</x:v>
      </x:c>
      <x:c r="L115" s="36" t="n">
        <x:f>IF(Assumptions!$B$4=2030,I115,IF(Assumptions!$B$4=2035,J115,K115))</x:f>
        <x:v>-0.13740068518113568</x:v>
      </x:c>
      <x:c r="M115" s="36" t="n">
        <x:f>Assumptions!$B$19</x:f>
        <x:v>-0.04739891965741583</x:v>
      </x:c>
      <x:c r="N115" s="52" t="n">
        <x:f>H115*L115+(1-H115)*M115+O115</x:f>
        <x:v>-0.1239004203525777</x:v>
      </x:c>
      <x:c r="O115" s="36" t="n">
        <x:f>Assumptions!$B$10</x:f>
        <x:v>0</x:v>
      </x:c>
      <x:c r="P115" s="54" t="n">
        <x:f>E115*(1+N115)</x:f>
        <x:v>141.9281319028824</x:v>
      </x:c>
      <x:c r="Q115" s="54" t="n">
        <x:f>P115-E115</x:f>
        <x:v>-20.0718680971176</x:v>
      </x:c>
      <x:c r="R115" s="16" t="str">
        <x:v>No</x:v>
      </x:c>
      <x:c r="S115" s="56"/>
      <x:c r="T115" s="56"/>
      <x:c r="U115" s="40" t="n">
        <x:f>E115*Assumptions!$B$8</x:f>
        <x:v>137.7</x:v>
      </x:c>
      <x:c r="V115" s="40" t="n">
        <x:f>P115*Assumptions!$B$8</x:f>
        <x:v>120.63891211745003</x:v>
      </x:c>
      <x:c r="W115" s="54" t="n">
        <x:f>V115-U115</x:f>
        <x:v>-17.061087882549955</x:v>
      </x:c>
      <x:c r="X115" s="58" t="str">
        <x:f>IF(R115="No","",W115*S115)</x:f>
      </x:c>
      <x:c r="Y115" s="58" t="str">
        <x:f>IF(R115="No","",W115*T115*Assumptions!$B$9)</x:f>
      </x:c>
      <x:c r="Z115" s="58" t="str">
        <x:f>IF(R115="No","",X115-Y115)</x:f>
      </x:c>
      <x:c r="AA115" s="58" t="str">
        <x:f>IF(R115="No","",MAX(0,-Z115))</x:f>
      </x:c>
      <x:c r="AB115" s="52" t="str">
        <x:f>IF(OR(R115="No",U115*S115=0),"",AA115/(U115*S115))</x:f>
      </x:c>
      <x:c r="AC115" s="54" t="str">
        <x:f>IF(OR(R115="No",S115-T115*Assumptions!$B$9&lt;=0),"",AA115/(Assumptions!$B$8*(S115-T115*Assumptions!$B$9)))</x:f>
      </x:c>
      <x:c r="AD115" s="52" t="str">
        <x:f>IF(OR(R115="No",U115*S115=0),"",AA115/(U115*S115))</x:f>
      </x:c>
      <x:c r="AE115" s="50" t="str">
        <x:f>IF(R115="No","No finance data",IF(AB115&gt;=10%,"Severe",IF(AB115&gt;=5%,"High",IF(AB115&gt;=2%,"Moderate","Low"))))</x:f>
        <x:v>No finance data</x:v>
      </x:c>
      <x:c r="AF115" s="60"/>
      <x:c r="AG115" s="60"/>
      <x:c r="AH115" s="44" t="str">
        <x:v>Undergraduate tuition-contribution proxy only; not an audited total institutional budget.</x:v>
      </x:c>
    </x:row>
    <x:row r="116">
      <x:c r="A116" s="16" t="n">
        <x:v>114813</x:v>
      </x:c>
      <x:c r="B116" s="16" t="str">
        <x:v>Fresno Pacific University</x:v>
      </x:c>
      <x:c r="C116" s="16" t="str">
        <x:v>CA</x:v>
      </x:c>
      <x:c r="D116" s="16" t="str">
        <x:v>Private nonprofit</x:v>
      </x:c>
      <x:c r="E116" s="34" t="n">
        <x:v>2342</x:v>
      </x:c>
      <x:c r="F116" s="21" t="n">
        <x:v>0.7786</x:v>
      </x:c>
      <x:c r="G116" s="16" t="str">
        <x:v>Regional</x:v>
      </x:c>
      <x:c r="H116" s="36" t="n">
        <x:f>IF(G116="National",Assumptions!$B$11,IF(G116="Statewide",Assumptions!$B$12,Assumptions!$B$13))</x:f>
        <x:v>0.85</x:v>
      </x:c>
      <x:c r="I116" s="21" t="n">
        <x:v>-0.06638496203204658</x:v>
      </x:c>
      <x:c r="J116" s="21" t="n">
        <x:v>-0.13740068518113568</x:v>
      </x:c>
      <x:c r="K116" s="21" t="n">
        <x:v>-0.2731806039713064</x:v>
      </x:c>
      <x:c r="L116" s="36" t="n">
        <x:f>IF(Assumptions!$B$4=2030,I116,IF(Assumptions!$B$4=2035,J116,K116))</x:f>
        <x:v>-0.13740068518113568</x:v>
      </x:c>
      <x:c r="M116" s="36" t="n">
        <x:f>Assumptions!$B$19</x:f>
        <x:v>-0.04739891965741583</x:v>
      </x:c>
      <x:c r="N116" s="52" t="n">
        <x:f>H116*L116+(1-H116)*M116+O116</x:f>
        <x:v>-0.1239004203525777</x:v>
      </x:c>
      <x:c r="O116" s="36" t="n">
        <x:f>Assumptions!$B$10</x:f>
        <x:v>0</x:v>
      </x:c>
      <x:c r="P116" s="54" t="n">
        <x:f>E116*(1+N116)</x:f>
        <x:v>2051.825215534263</x:v>
      </x:c>
      <x:c r="Q116" s="54" t="n">
        <x:f>P116-E116</x:f>
        <x:v>-290.17478446573705</x:v>
      </x:c>
      <x:c r="R116" s="16" t="str">
        <x:v>Yes</x:v>
      </x:c>
      <x:c r="S116" s="56" t="n">
        <x:v>16964</x:v>
      </x:c>
      <x:c r="T116" s="56" t="n">
        <x:v>5959</x:v>
      </x:c>
      <x:c r="U116" s="40" t="n">
        <x:f>E116*Assumptions!$B$8</x:f>
        <x:v>1990.7</x:v>
      </x:c>
      <x:c r="V116" s="40" t="n">
        <x:f>P116*Assumptions!$B$8</x:f>
        <x:v>1744.0514332041234</x:v>
      </x:c>
      <x:c r="W116" s="54" t="n">
        <x:f>V116-U116</x:f>
        <x:v>-246.6485667958766</x:v>
      </x:c>
      <x:c r="X116" s="58" t="n">
        <x:f>IF(R116="No","",W116*S116)</x:f>
        <x:v>-4184146.287125251</x:v>
      </x:c>
      <x:c r="Y116" s="58" t="n">
        <x:f>IF(R116="No","",W116*T116*Assumptions!$B$9)</x:f>
        <x:v>-440933.64286098856</x:v>
      </x:c>
      <x:c r="Z116" s="58" t="n">
        <x:f>IF(R116="No","",X116-Y116)</x:f>
        <x:v>-3743212.644264262</x:v>
      </x:c>
      <x:c r="AA116" s="58" t="n">
        <x:f>IF(R116="No","",MAX(0,-Z116))</x:f>
        <x:v>3743212.644264262</x:v>
      </x:c>
      <x:c r="AB116" s="52" t="n">
        <x:f>IF(OR(R116="No",U116*S116=0),"",AA116/(U116*S116))</x:f>
        <x:v>0.11084354806630665</x:v>
      </x:c>
      <x:c r="AC116" s="54" t="n">
        <x:f>IF(OR(R116="No",S116-T116*Assumptions!$B$9&lt;=0),"",AA116/(Assumptions!$B$8*(S116-T116*Assumptions!$B$9)))</x:f>
        <x:v>290.1747844657372</x:v>
      </x:c>
      <x:c r="AD116" s="52" t="n">
        <x:f>IF(OR(R116="No",U116*S116=0),"",AA116/(U116*S116))</x:f>
        <x:v>0.11084354806630665</x:v>
      </x:c>
      <x:c r="AE116" s="50" t="str">
        <x:f>IF(R116="No","No finance data",IF(AB116&gt;=10%,"Severe",IF(AB116&gt;=5%,"High",IF(AB116&gt;=2%,"Moderate","Low"))))</x:f>
        <x:v>Severe</x:v>
      </x:c>
      <x:c r="AF116" s="60" t="n">
        <x:v>36.726831</x:v>
      </x:c>
      <x:c r="AG116" s="60" t="n">
        <x:v>-119.735199</x:v>
      </x:c>
      <x:c r="AH116" s="44" t="str">
        <x:v>Undergraduate tuition-contribution proxy only; not an audited total institutional budget.</x:v>
      </x:c>
    </x:row>
    <x:row r="117">
      <x:c r="A117" s="16" t="n">
        <x:v>115083</x:v>
      </x:c>
      <x:c r="B117" s="16" t="str">
        <x:v>Golden Gate University-San Francisco</x:v>
      </x:c>
      <x:c r="C117" s="16" t="str">
        <x:v>CA</x:v>
      </x:c>
      <x:c r="D117" s="16" t="str">
        <x:v>Private nonprofit</x:v>
      </x:c>
      <x:c r="E117" s="34" t="n">
        <x:v>451</x:v>
      </x:c>
      <x:c r="F117" s="21"/>
      <x:c r="G117" s="16" t="str">
        <x:v>Regional</x:v>
      </x:c>
      <x:c r="H117" s="36" t="n">
        <x:f>IF(G117="National",Assumptions!$B$11,IF(G117="Statewide",Assumptions!$B$12,Assumptions!$B$13))</x:f>
        <x:v>0.85</x:v>
      </x:c>
      <x:c r="I117" s="21" t="n">
        <x:v>-0.06638496203204658</x:v>
      </x:c>
      <x:c r="J117" s="21" t="n">
        <x:v>-0.13740068518113568</x:v>
      </x:c>
      <x:c r="K117" s="21" t="n">
        <x:v>-0.2731806039713064</x:v>
      </x:c>
      <x:c r="L117" s="36" t="n">
        <x:f>IF(Assumptions!$B$4=2030,I117,IF(Assumptions!$B$4=2035,J117,K117))</x:f>
        <x:v>-0.13740068518113568</x:v>
      </x:c>
      <x:c r="M117" s="36" t="n">
        <x:f>Assumptions!$B$19</x:f>
        <x:v>-0.04739891965741583</x:v>
      </x:c>
      <x:c r="N117" s="52" t="n">
        <x:f>H117*L117+(1-H117)*M117+O117</x:f>
        <x:v>-0.1239004203525777</x:v>
      </x:c>
      <x:c r="O117" s="36" t="n">
        <x:f>Assumptions!$B$10</x:f>
        <x:v>0</x:v>
      </x:c>
      <x:c r="P117" s="54" t="n">
        <x:f>E117*(1+N117)</x:f>
        <x:v>395.12091042098746</x:v>
      </x:c>
      <x:c r="Q117" s="54" t="n">
        <x:f>P117-E117</x:f>
        <x:v>-55.87908957901254</x:v>
      </x:c>
      <x:c r="R117" s="16" t="str">
        <x:v>Yes</x:v>
      </x:c>
      <x:c r="S117" s="56" t="n">
        <x:v>19341</x:v>
      </x:c>
      <x:c r="T117" s="56" t="n">
        <x:v>7963</x:v>
      </x:c>
      <x:c r="U117" s="40" t="n">
        <x:f>E117*Assumptions!$B$8</x:f>
        <x:v>383.34999999999997</x:v>
      </x:c>
      <x:c r="V117" s="40" t="n">
        <x:f>P117*Assumptions!$B$8</x:f>
        <x:v>335.85277385783934</x:v>
      </x:c>
      <x:c r="W117" s="54" t="n">
        <x:f>V117-U117</x:f>
        <x:v>-47.49722614216063</x:v>
      </x:c>
      <x:c r="X117" s="58" t="n">
        <x:f>IF(R117="No","",W117*S117)</x:f>
        <x:v>-918643.8508155287</x:v>
      </x:c>
      <x:c r="Y117" s="58" t="n">
        <x:f>IF(R117="No","",W117*T117*Assumptions!$B$9)</x:f>
        <x:v>-113466.12353100753</x:v>
      </x:c>
      <x:c r="Z117" s="58" t="n">
        <x:f>IF(R117="No","",X117-Y117)</x:f>
        <x:v>-805177.7272845211</x:v>
      </x:c>
      <x:c r="AA117" s="58" t="n">
        <x:f>IF(R117="No","",MAX(0,-Z117))</x:f>
        <x:v>805177.7272845211</x:v>
      </x:c>
      <x:c r="AB117" s="52" t="n">
        <x:f>IF(OR(R117="No",U117*S117=0),"",AA117/(U117*S117))</x:f>
        <x:v>0.10859688309078801</x:v>
      </x:c>
      <x:c r="AC117" s="54" t="n">
        <x:f>IF(OR(R117="No",S117-T117*Assumptions!$B$9&lt;=0),"",AA117/(Assumptions!$B$8*(S117-T117*Assumptions!$B$9)))</x:f>
        <x:v>55.87908957901251</x:v>
      </x:c>
      <x:c r="AD117" s="52" t="n">
        <x:f>IF(OR(R117="No",U117*S117=0),"",AA117/(U117*S117))</x:f>
        <x:v>0.10859688309078801</x:v>
      </x:c>
      <x:c r="AE117" s="50" t="str">
        <x:f>IF(R117="No","No finance data",IF(AB117&gt;=10%,"Severe",IF(AB117&gt;=5%,"High",IF(AB117&gt;=2%,"Moderate","Low"))))</x:f>
        <x:v>Severe</x:v>
      </x:c>
      <x:c r="AF117" s="60" t="n">
        <x:v>37.789374</x:v>
      </x:c>
      <x:c r="AG117" s="60" t="n">
        <x:v>-122.398969</x:v>
      </x:c>
      <x:c r="AH117" s="44" t="str">
        <x:v>Undergraduate tuition-contribution proxy only; not an audited total institutional budget.</x:v>
      </x:c>
    </x:row>
    <x:row r="118">
      <x:c r="A118" s="16" t="n">
        <x:v>481058</x:v>
      </x:c>
      <x:c r="B118" s="16" t="str">
        <x:v>Grace Mission University</x:v>
      </x:c>
      <x:c r="C118" s="16" t="str">
        <x:v>CA</x:v>
      </x:c>
      <x:c r="D118" s="16" t="str">
        <x:v>Private nonprofit</x:v>
      </x:c>
      <x:c r="E118" s="34" t="n">
        <x:v>104</x:v>
      </x:c>
      <x:c r="F118" s="21"/>
      <x:c r="G118" s="16" t="str">
        <x:v>Regional</x:v>
      </x:c>
      <x:c r="H118" s="36" t="n">
        <x:f>IF(G118="National",Assumptions!$B$11,IF(G118="Statewide",Assumptions!$B$12,Assumptions!$B$13))</x:f>
        <x:v>0.85</x:v>
      </x:c>
      <x:c r="I118" s="21" t="n">
        <x:v>-0.06638496203204658</x:v>
      </x:c>
      <x:c r="J118" s="21" t="n">
        <x:v>-0.13740068518113568</x:v>
      </x:c>
      <x:c r="K118" s="21" t="n">
        <x:v>-0.2731806039713064</x:v>
      </x:c>
      <x:c r="L118" s="36" t="n">
        <x:f>IF(Assumptions!$B$4=2030,I118,IF(Assumptions!$B$4=2035,J118,K118))</x:f>
        <x:v>-0.13740068518113568</x:v>
      </x:c>
      <x:c r="M118" s="36" t="n">
        <x:f>Assumptions!$B$19</x:f>
        <x:v>-0.04739891965741583</x:v>
      </x:c>
      <x:c r="N118" s="52" t="n">
        <x:f>H118*L118+(1-H118)*M118+O118</x:f>
        <x:v>-0.1239004203525777</x:v>
      </x:c>
      <x:c r="O118" s="36" t="n">
        <x:f>Assumptions!$B$10</x:f>
        <x:v>0</x:v>
      </x:c>
      <x:c r="P118" s="54" t="n">
        <x:f>E118*(1+N118)</x:f>
        <x:v>91.11435628333192</x:v>
      </x:c>
      <x:c r="Q118" s="54" t="n">
        <x:f>P118-E118</x:f>
        <x:v>-12.885643716668085</x:v>
      </x:c>
      <x:c r="R118" s="16" t="str">
        <x:v>No</x:v>
      </x:c>
      <x:c r="S118" s="56"/>
      <x:c r="T118" s="56"/>
      <x:c r="U118" s="40" t="n">
        <x:f>E118*Assumptions!$B$8</x:f>
        <x:v>88.39999999999999</x:v>
      </x:c>
      <x:c r="V118" s="40" t="n">
        <x:f>P118*Assumptions!$B$8</x:f>
        <x:v>77.44720284083212</x:v>
      </x:c>
      <x:c r="W118" s="54" t="n">
        <x:f>V118-U118</x:f>
        <x:v>-10.952797159167872</x:v>
      </x:c>
      <x:c r="X118" s="58" t="str">
        <x:f>IF(R118="No","",W118*S118)</x:f>
      </x:c>
      <x:c r="Y118" s="58" t="str">
        <x:f>IF(R118="No","",W118*T118*Assumptions!$B$9)</x:f>
      </x:c>
      <x:c r="Z118" s="58" t="str">
        <x:f>IF(R118="No","",X118-Y118)</x:f>
      </x:c>
      <x:c r="AA118" s="58" t="str">
        <x:f>IF(R118="No","",MAX(0,-Z118))</x:f>
      </x:c>
      <x:c r="AB118" s="52" t="str">
        <x:f>IF(OR(R118="No",U118*S118=0),"",AA118/(U118*S118))</x:f>
      </x:c>
      <x:c r="AC118" s="54" t="str">
        <x:f>IF(OR(R118="No",S118-T118*Assumptions!$B$9&lt;=0),"",AA118/(Assumptions!$B$8*(S118-T118*Assumptions!$B$9)))</x:f>
      </x:c>
      <x:c r="AD118" s="52" t="str">
        <x:f>IF(OR(R118="No",U118*S118=0),"",AA118/(U118*S118))</x:f>
      </x:c>
      <x:c r="AE118" s="50" t="str">
        <x:f>IF(R118="No","No finance data",IF(AB118&gt;=10%,"Severe",IF(AB118&gt;=5%,"High",IF(AB118&gt;=2%,"Moderate","Low"))))</x:f>
        <x:v>No finance data</x:v>
      </x:c>
      <x:c r="AF118" s="60"/>
      <x:c r="AG118" s="60"/>
      <x:c r="AH118" s="44" t="str">
        <x:v>Undergraduate tuition-contribution proxy only; not an audited total institutional budget.</x:v>
      </x:c>
    </x:row>
    <x:row r="119">
      <x:c r="A119" s="16" t="n">
        <x:v>115409</x:v>
      </x:c>
      <x:c r="B119" s="16" t="str">
        <x:v>Harvey Mudd College</x:v>
      </x:c>
      <x:c r="C119" s="16" t="str">
        <x:v>CA</x:v>
      </x:c>
      <x:c r="D119" s="16" t="str">
        <x:v>Private nonprofit</x:v>
      </x:c>
      <x:c r="E119" s="34" t="n">
        <x:v>812</x:v>
      </x:c>
      <x:c r="F119" s="21" t="n">
        <x:v>0.0999</x:v>
      </x:c>
      <x:c r="G119" s="16" t="str">
        <x:v>National</x:v>
      </x:c>
      <x:c r="H119" s="36" t="n">
        <x:f>IF(G119="National",Assumptions!$B$11,IF(G119="Statewide",Assumptions!$B$12,Assumptions!$B$13))</x:f>
        <x:v>0.25</x:v>
      </x:c>
      <x:c r="I119" s="21" t="n">
        <x:v>-0.06638496203204658</x:v>
      </x:c>
      <x:c r="J119" s="21" t="n">
        <x:v>-0.13740068518113568</x:v>
      </x:c>
      <x:c r="K119" s="21" t="n">
        <x:v>-0.2731806039713064</x:v>
      </x:c>
      <x:c r="L119" s="36" t="n">
        <x:f>IF(Assumptions!$B$4=2030,I119,IF(Assumptions!$B$4=2035,J119,K119))</x:f>
        <x:v>-0.13740068518113568</x:v>
      </x:c>
      <x:c r="M119" s="36" t="n">
        <x:f>Assumptions!$B$19</x:f>
        <x:v>-0.04739891965741583</x:v>
      </x:c>
      <x:c r="N119" s="52" t="n">
        <x:f>H119*L119+(1-H119)*M119+O119</x:f>
        <x:v>-0.06989936103834579</x:v>
      </x:c>
      <x:c r="O119" s="36" t="n">
        <x:f>Assumptions!$B$10</x:f>
        <x:v>0</x:v>
      </x:c>
      <x:c r="P119" s="54" t="n">
        <x:f>E119*(1+N119)</x:f>
        <x:v>755.2417188368632</x:v>
      </x:c>
      <x:c r="Q119" s="54" t="n">
        <x:f>P119-E119</x:f>
        <x:v>-56.75828116313676</x:v>
      </x:c>
      <x:c r="R119" s="16" t="str">
        <x:v>Yes</x:v>
      </x:c>
      <x:c r="S119" s="56" t="n">
        <x:v>38290</x:v>
      </x:c>
      <x:c r="T119" s="56" t="n">
        <x:v>31554</x:v>
      </x:c>
      <x:c r="U119" s="40" t="n">
        <x:f>E119*Assumptions!$B$8</x:f>
        <x:v>690.1999999999999</x:v>
      </x:c>
      <x:c r="V119" s="40" t="n">
        <x:f>P119*Assumptions!$B$8</x:f>
        <x:v>641.9554610113338</x:v>
      </x:c>
      <x:c r="W119" s="54" t="n">
        <x:f>V119-U119</x:f>
        <x:v>-48.244538988666136</x:v>
      </x:c>
      <x:c r="X119" s="58" t="n">
        <x:f>IF(R119="No","",W119*S119)</x:f>
        <x:v>-1847283.3978760263</x:v>
      </x:c>
      <x:c r="Y119" s="58" t="n">
        <x:f>IF(R119="No","",W119*T119*Assumptions!$B$9)</x:f>
        <x:v>-456692.4549745114</x:v>
      </x:c>
      <x:c r="Z119" s="58" t="n">
        <x:f>IF(R119="No","",X119-Y119)</x:f>
        <x:v>-1390590.942901515</x:v>
      </x:c>
      <x:c r="AA119" s="58" t="n">
        <x:f>IF(R119="No","",MAX(0,-Z119))</x:f>
        <x:v>1390590.942901515</x:v>
      </x:c>
      <x:c r="AB119" s="52" t="n">
        <x:f>IF(OR(R119="No",U119*S119=0),"",AA119/(U119*S119))</x:f>
        <x:v>0.052618574110657255</x:v>
      </x:c>
      <x:c r="AC119" s="54" t="n">
        <x:f>IF(OR(R119="No",S119-T119*Assumptions!$B$9&lt;=0),"",AA119/(Assumptions!$B$8*(S119-T119*Assumptions!$B$9)))</x:f>
        <x:v>56.75828116313662</x:v>
      </x:c>
      <x:c r="AD119" s="52" t="n">
        <x:f>IF(OR(R119="No",U119*S119=0),"",AA119/(U119*S119))</x:f>
        <x:v>0.052618574110657255</x:v>
      </x:c>
      <x:c r="AE119" s="50" t="str">
        <x:f>IF(R119="No","No finance data",IF(AB119&gt;=10%,"Severe",IF(AB119&gt;=5%,"High",IF(AB119&gt;=2%,"Moderate","Low"))))</x:f>
        <x:v>High</x:v>
      </x:c>
      <x:c r="AF119" s="60" t="n">
        <x:v>34.106515</x:v>
      </x:c>
      <x:c r="AG119" s="60" t="n">
        <x:v>-117.709837</x:v>
      </x:c>
      <x:c r="AH119" s="44" t="str">
        <x:v>Undergraduate tuition-contribution proxy only; not an audited total institutional budget.</x:v>
      </x:c>
    </x:row>
    <x:row r="120">
      <x:c r="A120" s="16" t="n">
        <x:v>115728</x:v>
      </x:c>
      <x:c r="B120" s="16" t="str">
        <x:v>Holy Names University</x:v>
      </x:c>
      <x:c r="C120" s="16" t="str">
        <x:v>CA</x:v>
      </x:c>
      <x:c r="D120" s="16" t="str">
        <x:v>Private nonprofit</x:v>
      </x:c>
      <x:c r="E120" s="34" t="n">
        <x:v>624</x:v>
      </x:c>
      <x:c r="F120" s="21" t="n">
        <x:v>0.9531</x:v>
      </x:c>
      <x:c r="G120" s="16" t="str">
        <x:v>Regional</x:v>
      </x:c>
      <x:c r="H120" s="36" t="n">
        <x:f>IF(G120="National",Assumptions!$B$11,IF(G120="Statewide",Assumptions!$B$12,Assumptions!$B$13))</x:f>
        <x:v>0.85</x:v>
      </x:c>
      <x:c r="I120" s="21" t="n">
        <x:v>-0.06638496203204658</x:v>
      </x:c>
      <x:c r="J120" s="21" t="n">
        <x:v>-0.13740068518113568</x:v>
      </x:c>
      <x:c r="K120" s="21" t="n">
        <x:v>-0.2731806039713064</x:v>
      </x:c>
      <x:c r="L120" s="36" t="n">
        <x:f>IF(Assumptions!$B$4=2030,I120,IF(Assumptions!$B$4=2035,J120,K120))</x:f>
        <x:v>-0.13740068518113568</x:v>
      </x:c>
      <x:c r="M120" s="36" t="n">
        <x:f>Assumptions!$B$19</x:f>
        <x:v>-0.04739891965741583</x:v>
      </x:c>
      <x:c r="N120" s="52" t="n">
        <x:f>H120*L120+(1-H120)*M120+O120</x:f>
        <x:v>-0.1239004203525777</x:v>
      </x:c>
      <x:c r="O120" s="36" t="n">
        <x:f>Assumptions!$B$10</x:f>
        <x:v>0</x:v>
      </x:c>
      <x:c r="P120" s="54" t="n">
        <x:f>E120*(1+N120)</x:f>
        <x:v>546.6861376999915</x:v>
      </x:c>
      <x:c r="Q120" s="54" t="n">
        <x:f>P120-E120</x:f>
        <x:v>-77.31386230000851</x:v>
      </x:c>
      <x:c r="R120" s="16" t="str">
        <x:v>Yes</x:v>
      </x:c>
      <x:c r="S120" s="56" t="n">
        <x:v>16045</x:v>
      </x:c>
      <x:c r="T120" s="56" t="n">
        <x:v>10438</x:v>
      </x:c>
      <x:c r="U120" s="40" t="n">
        <x:f>E120*Assumptions!$B$8</x:f>
        <x:v>530.4</x:v>
      </x:c>
      <x:c r="V120" s="40" t="n">
        <x:f>P120*Assumptions!$B$8</x:f>
        <x:v>464.6832170449928</x:v>
      </x:c>
      <x:c r="W120" s="54" t="n">
        <x:f>V120-U120</x:f>
        <x:v>-65.7167829550072</x:v>
      </x:c>
      <x:c r="X120" s="58" t="n">
        <x:f>IF(R120="No","",W120*S120)</x:f>
        <x:v>-1054425.7825130906</x:v>
      </x:c>
      <x:c r="Y120" s="58" t="n">
        <x:f>IF(R120="No","",W120*T120*Assumptions!$B$9)</x:f>
        <x:v>-205785.53414530956</x:v>
      </x:c>
      <x:c r="Z120" s="58" t="n">
        <x:f>IF(R120="No","",X120-Y120)</x:f>
        <x:v>-848640.248367781</x:v>
      </x:c>
      <x:c r="AA120" s="58" t="n">
        <x:f>IF(R120="No","",MAX(0,-Z120))</x:f>
        <x:v>848640.248367781</x:v>
      </x:c>
      <x:c r="AB120" s="52" t="n">
        <x:f>IF(OR(R120="No",U120*S120=0),"",AA120/(U120*S120))</x:f>
        <x:v>0.09971956798161716</x:v>
      </x:c>
      <x:c r="AC120" s="54" t="n">
        <x:f>IF(OR(R120="No",S120-T120*Assumptions!$B$9&lt;=0),"",AA120/(Assumptions!$B$8*(S120-T120*Assumptions!$B$9)))</x:f>
        <x:v>77.31386230000848</x:v>
      </x:c>
      <x:c r="AD120" s="52" t="n">
        <x:f>IF(OR(R120="No",U120*S120=0),"",AA120/(U120*S120))</x:f>
        <x:v>0.09971956798161716</x:v>
      </x:c>
      <x:c r="AE120" s="50" t="str">
        <x:f>IF(R120="No","No finance data",IF(AB120&gt;=10%,"Severe",IF(AB120&gt;=5%,"High",IF(AB120&gt;=2%,"Moderate","Low"))))</x:f>
        <x:v>High</x:v>
      </x:c>
      <x:c r="AF120" s="60" t="n">
        <x:v>37.802276</x:v>
      </x:c>
      <x:c r="AG120" s="60" t="n">
        <x:v>-122.187804</x:v>
      </x:c>
      <x:c r="AH120" s="44" t="str">
        <x:v>Undergraduate tuition-contribution proxy only; not an audited total institutional budget.</x:v>
      </x:c>
    </x:row>
    <x:row r="121">
      <x:c r="A121" s="16" t="n">
        <x:v>120537</x:v>
      </x:c>
      <x:c r="B121" s="16" t="str">
        <x:v>Hope International University</x:v>
      </x:c>
      <x:c r="C121" s="16" t="str">
        <x:v>CA</x:v>
      </x:c>
      <x:c r="D121" s="16" t="str">
        <x:v>Private nonprofit</x:v>
      </x:c>
      <x:c r="E121" s="34" t="n">
        <x:v>843</x:v>
      </x:c>
      <x:c r="F121" s="21" t="n">
        <x:v>0.3997</x:v>
      </x:c>
      <x:c r="G121" s="16" t="str">
        <x:v>Regional</x:v>
      </x:c>
      <x:c r="H121" s="36" t="n">
        <x:f>IF(G121="National",Assumptions!$B$11,IF(G121="Statewide",Assumptions!$B$12,Assumptions!$B$13))</x:f>
        <x:v>0.85</x:v>
      </x:c>
      <x:c r="I121" s="21" t="n">
        <x:v>-0.06638496203204658</x:v>
      </x:c>
      <x:c r="J121" s="21" t="n">
        <x:v>-0.13740068518113568</x:v>
      </x:c>
      <x:c r="K121" s="21" t="n">
        <x:v>-0.2731806039713064</x:v>
      </x:c>
      <x:c r="L121" s="36" t="n">
        <x:f>IF(Assumptions!$B$4=2030,I121,IF(Assumptions!$B$4=2035,J121,K121))</x:f>
        <x:v>-0.13740068518113568</x:v>
      </x:c>
      <x:c r="M121" s="36" t="n">
        <x:f>Assumptions!$B$19</x:f>
        <x:v>-0.04739891965741583</x:v>
      </x:c>
      <x:c r="N121" s="52" t="n">
        <x:f>H121*L121+(1-H121)*M121+O121</x:f>
        <x:v>-0.1239004203525777</x:v>
      </x:c>
      <x:c r="O121" s="36" t="n">
        <x:f>Assumptions!$B$10</x:f>
        <x:v>0</x:v>
      </x:c>
      <x:c r="P121" s="54" t="n">
        <x:f>E121*(1+N121)</x:f>
        <x:v>738.5519456427769</x:v>
      </x:c>
      <x:c r="Q121" s="54" t="n">
        <x:f>P121-E121</x:f>
        <x:v>-104.4480543572231</x:v>
      </x:c>
      <x:c r="R121" s="16" t="str">
        <x:v>Yes</x:v>
      </x:c>
      <x:c r="S121" s="56" t="n">
        <x:v>9914</x:v>
      </x:c>
      <x:c r="T121" s="56" t="n">
        <x:v>4783</x:v>
      </x:c>
      <x:c r="U121" s="40" t="n">
        <x:f>E121*Assumptions!$B$8</x:f>
        <x:v>716.55</x:v>
      </x:c>
      <x:c r="V121" s="40" t="n">
        <x:f>P121*Assumptions!$B$8</x:f>
        <x:v>627.7691537963603</x:v>
      </x:c>
      <x:c r="W121" s="54" t="n">
        <x:f>V121-U121</x:f>
        <x:v>-88.78084620363961</x:v>
      </x:c>
      <x:c r="X121" s="58" t="n">
        <x:f>IF(R121="No","",W121*S121)</x:f>
        <x:v>-880173.3092628832</x:v>
      </x:c>
      <x:c r="Y121" s="58" t="n">
        <x:f>IF(R121="No","",W121*T121*Assumptions!$B$9)</x:f>
        <x:v>-127391.63621760248</x:v>
      </x:c>
      <x:c r="Z121" s="58" t="n">
        <x:f>IF(R121="No","",X121-Y121)</x:f>
        <x:v>-752781.6730452806</x:v>
      </x:c>
      <x:c r="AA121" s="58" t="n">
        <x:f>IF(R121="No","",MAX(0,-Z121))</x:f>
        <x:v>752781.6730452806</x:v>
      </x:c>
      <x:c r="AB121" s="52" t="n">
        <x:f>IF(OR(R121="No",U121*S121=0),"",AA121/(U121*S121))</x:f>
        <x:v>0.10596772788093024</x:v>
      </x:c>
      <x:c r="AC121" s="54" t="n">
        <x:f>IF(OR(R121="No",S121-T121*Assumptions!$B$9&lt;=0),"",AA121/(Assumptions!$B$8*(S121-T121*Assumptions!$B$9)))</x:f>
        <x:v>104.44805435722307</x:v>
      </x:c>
      <x:c r="AD121" s="52" t="n">
        <x:f>IF(OR(R121="No",U121*S121=0),"",AA121/(U121*S121))</x:f>
        <x:v>0.10596772788093024</x:v>
      </x:c>
      <x:c r="AE121" s="50" t="str">
        <x:f>IF(R121="No","No finance data",IF(AB121&gt;=10%,"Severe",IF(AB121&gt;=5%,"High",IF(AB121&gt;=2%,"Moderate","Low"))))</x:f>
        <x:v>Severe</x:v>
      </x:c>
      <x:c r="AF121" s="60" t="n">
        <x:v>33.87616</x:v>
      </x:c>
      <x:c r="AG121" s="60" t="n">
        <x:v>-117.88573</x:v>
      </x:c>
      <x:c r="AH121" s="44" t="str">
        <x:v>Undergraduate tuition-contribution proxy only; not an audited total institutional budget.</x:v>
      </x:c>
    </x:row>
    <x:row r="122">
      <x:c r="A122" s="16" t="n">
        <x:v>457226</x:v>
      </x:c>
      <x:c r="B122" s="16" t="str">
        <x:v>Horizon University</x:v>
      </x:c>
      <x:c r="C122" s="16" t="str">
        <x:v>CA</x:v>
      </x:c>
      <x:c r="D122" s="16" t="str">
        <x:v>Private nonprofit</x:v>
      </x:c>
      <x:c r="E122" s="34" t="n">
        <x:v>29</x:v>
      </x:c>
      <x:c r="F122" s="21"/>
      <x:c r="G122" s="16" t="str">
        <x:v>Regional</x:v>
      </x:c>
      <x:c r="H122" s="36" t="n">
        <x:f>IF(G122="National",Assumptions!$B$11,IF(G122="Statewide",Assumptions!$B$12,Assumptions!$B$13))</x:f>
        <x:v>0.85</x:v>
      </x:c>
      <x:c r="I122" s="21" t="n">
        <x:v>-0.06638496203204658</x:v>
      </x:c>
      <x:c r="J122" s="21" t="n">
        <x:v>-0.13740068518113568</x:v>
      </x:c>
      <x:c r="K122" s="21" t="n">
        <x:v>-0.2731806039713064</x:v>
      </x:c>
      <x:c r="L122" s="36" t="n">
        <x:f>IF(Assumptions!$B$4=2030,I122,IF(Assumptions!$B$4=2035,J122,K122))</x:f>
        <x:v>-0.13740068518113568</x:v>
      </x:c>
      <x:c r="M122" s="36" t="n">
        <x:f>Assumptions!$B$19</x:f>
        <x:v>-0.04739891965741583</x:v>
      </x:c>
      <x:c r="N122" s="52" t="n">
        <x:f>H122*L122+(1-H122)*M122+O122</x:f>
        <x:v>-0.1239004203525777</x:v>
      </x:c>
      <x:c r="O122" s="36" t="n">
        <x:f>Assumptions!$B$10</x:f>
        <x:v>0</x:v>
      </x:c>
      <x:c r="P122" s="54" t="n">
        <x:f>E122*(1+N122)</x:f>
        <x:v>25.406887809775245</x:v>
      </x:c>
      <x:c r="Q122" s="54" t="n">
        <x:f>P122-E122</x:f>
        <x:v>-3.5931121902247547</x:v>
      </x:c>
      <x:c r="R122" s="16" t="str">
        <x:v>No</x:v>
      </x:c>
      <x:c r="S122" s="56"/>
      <x:c r="T122" s="56"/>
      <x:c r="U122" s="40" t="n">
        <x:f>E122*Assumptions!$B$8</x:f>
        <x:v>24.65</x:v>
      </x:c>
      <x:c r="V122" s="40" t="n">
        <x:f>P122*Assumptions!$B$8</x:f>
        <x:v>21.595854638308957</x:v>
      </x:c>
      <x:c r="W122" s="54" t="n">
        <x:f>V122-U122</x:f>
        <x:v>-3.0541453616910417</x:v>
      </x:c>
      <x:c r="X122" s="58" t="str">
        <x:f>IF(R122="No","",W122*S122)</x:f>
      </x:c>
      <x:c r="Y122" s="58" t="str">
        <x:f>IF(R122="No","",W122*T122*Assumptions!$B$9)</x:f>
      </x:c>
      <x:c r="Z122" s="58" t="str">
        <x:f>IF(R122="No","",X122-Y122)</x:f>
      </x:c>
      <x:c r="AA122" s="58" t="str">
        <x:f>IF(R122="No","",MAX(0,-Z122))</x:f>
      </x:c>
      <x:c r="AB122" s="52" t="str">
        <x:f>IF(OR(R122="No",U122*S122=0),"",AA122/(U122*S122))</x:f>
      </x:c>
      <x:c r="AC122" s="54" t="str">
        <x:f>IF(OR(R122="No",S122-T122*Assumptions!$B$9&lt;=0),"",AA122/(Assumptions!$B$8*(S122-T122*Assumptions!$B$9)))</x:f>
      </x:c>
      <x:c r="AD122" s="52" t="str">
        <x:f>IF(OR(R122="No",U122*S122=0),"",AA122/(U122*S122))</x:f>
      </x:c>
      <x:c r="AE122" s="50" t="str">
        <x:f>IF(R122="No","No finance data",IF(AB122&gt;=10%,"Severe",IF(AB122&gt;=5%,"High",IF(AB122&gt;=2%,"Moderate","Low"))))</x:f>
        <x:v>No finance data</x:v>
      </x:c>
      <x:c r="AF122" s="60"/>
      <x:c r="AG122" s="60"/>
      <x:c r="AH122" s="44" t="str">
        <x:v>Undergraduate tuition-contribution proxy only; not an audited total institutional budget.</x:v>
      </x:c>
    </x:row>
    <x:row r="123">
      <x:c r="A123" s="16" t="n">
        <x:v>115755</x:v>
      </x:c>
      <x:c r="B123" s="16" t="str">
        <x:v>Humboldt State University</x:v>
      </x:c>
      <x:c r="C123" s="16" t="str">
        <x:v>CA</x:v>
      </x:c>
      <x:c r="D123" s="16" t="str">
        <x:v>Public</x:v>
      </x:c>
      <x:c r="E123" s="34" t="n">
        <x:v>8227</x:v>
      </x:c>
      <x:c r="F123" s="21" t="n">
        <x:v>0.9146</x:v>
      </x:c>
      <x:c r="G123" s="16" t="str">
        <x:v>Statewide</x:v>
      </x:c>
      <x:c r="H123" s="36" t="n">
        <x:f>IF(G123="National",Assumptions!$B$11,IF(G123="Statewide",Assumptions!$B$12,Assumptions!$B$13))</x:f>
        <x:v>0.6</x:v>
      </x:c>
      <x:c r="I123" s="21" t="n">
        <x:v>-0.06638496203204658</x:v>
      </x:c>
      <x:c r="J123" s="21" t="n">
        <x:v>-0.13740068518113568</x:v>
      </x:c>
      <x:c r="K123" s="21" t="n">
        <x:v>-0.2731806039713064</x:v>
      </x:c>
      <x:c r="L123" s="36" t="n">
        <x:f>IF(Assumptions!$B$4=2030,I123,IF(Assumptions!$B$4=2035,J123,K123))</x:f>
        <x:v>-0.13740068518113568</x:v>
      </x:c>
      <x:c r="M123" s="36" t="n">
        <x:f>Assumptions!$B$19</x:f>
        <x:v>-0.04739891965741583</x:v>
      </x:c>
      <x:c r="N123" s="52" t="n">
        <x:f>H123*L123+(1-H123)*M123+O123</x:f>
        <x:v>-0.10139997897164774</x:v>
      </x:c>
      <x:c r="O123" s="36" t="n">
        <x:f>Assumptions!$B$10</x:f>
        <x:v>0</x:v>
      </x:c>
      <x:c r="P123" s="54" t="n">
        <x:f>E123*(1+N123)</x:f>
        <x:v>7392.782373000254</x:v>
      </x:c>
      <x:c r="Q123" s="54" t="n">
        <x:f>P123-E123</x:f>
        <x:v>-834.2176269997462</x:v>
      </x:c>
      <x:c r="R123" s="16" t="str">
        <x:v>Yes</x:v>
      </x:c>
      <x:c r="S123" s="56" t="n">
        <x:v>4058</x:v>
      </x:c>
      <x:c r="T123" s="56" t="n">
        <x:v>10610</x:v>
      </x:c>
      <x:c r="U123" s="40" t="n">
        <x:f>E123*Assumptions!$B$8</x:f>
        <x:v>6992.95</x:v>
      </x:c>
      <x:c r="V123" s="40" t="n">
        <x:f>P123*Assumptions!$B$8</x:f>
        <x:v>6283.865017050215</x:v>
      </x:c>
      <x:c r="W123" s="54" t="n">
        <x:f>V123-U123</x:f>
        <x:v>-709.0849829497847</x:v>
      </x:c>
      <x:c r="X123" s="58" t="n">
        <x:f>IF(R123="No","",W123*S123)</x:f>
        <x:v>-2877466.8608102263</x:v>
      </x:c>
      <x:c r="Y123" s="58" t="n">
        <x:f>IF(R123="No","",W123*T123*Assumptions!$B$9)</x:f>
        <x:v>-2257017.5007291646</x:v>
      </x:c>
      <x:c r="Z123" s="58" t="n">
        <x:f>IF(R123="No","",X123-Y123)</x:f>
        <x:v>-620449.3600810617</x:v>
      </x:c>
      <x:c r="AA123" s="58" t="n">
        <x:f>IF(R123="No","",MAX(0,-Z123))</x:f>
        <x:v>620449.3600810617</x:v>
      </x:c>
      <x:c r="AB123" s="52" t="n">
        <x:f>IF(OR(R123="No",U123*S123=0),"",AA123/(U123*S123))</x:f>
        <x:v>0.021864214292802334</x:v>
      </x:c>
      <x:c r="AC123" s="54" t="n">
        <x:f>IF(OR(R123="No",S123-T123*Assumptions!$B$9&lt;=0),"",AA123/(Assumptions!$B$8*(S123-T123*Assumptions!$B$9)))</x:f>
        <x:v>834.2176269997468</x:v>
      </x:c>
      <x:c r="AD123" s="52" t="n">
        <x:f>IF(OR(R123="No",U123*S123=0),"",AA123/(U123*S123))</x:f>
        <x:v>0.021864214292802334</x:v>
      </x:c>
      <x:c r="AE123" s="50" t="str">
        <x:f>IF(R123="No","No finance data",IF(AB123&gt;=10%,"Severe",IF(AB123&gt;=5%,"High",IF(AB123&gt;=2%,"Moderate","Low"))))</x:f>
        <x:v>Moderate</x:v>
      </x:c>
      <x:c r="AF123" s="60" t="n">
        <x:v>40.877481</x:v>
      </x:c>
      <x:c r="AG123" s="60" t="n">
        <x:v>-124.078293</x:v>
      </x:c>
      <x:c r="AH123" s="44" t="str">
        <x:v>Undergraduate tuition-contribution proxy only; not an audited total institutional budget.</x:v>
      </x:c>
    </x:row>
    <x:row r="124">
      <x:c r="A124" s="16" t="n">
        <x:v>115773</x:v>
      </x:c>
      <x:c r="B124" s="16" t="str">
        <x:v>Humphreys University-Stockton and Modesto Campuses</x:v>
      </x:c>
      <x:c r="C124" s="16" t="str">
        <x:v>CA</x:v>
      </x:c>
      <x:c r="D124" s="16" t="str">
        <x:v>Private nonprofit</x:v>
      </x:c>
      <x:c r="E124" s="34" t="n">
        <x:v>438</x:v>
      </x:c>
      <x:c r="F124" s="21"/>
      <x:c r="G124" s="16" t="str">
        <x:v>Regional</x:v>
      </x:c>
      <x:c r="H124" s="36" t="n">
        <x:f>IF(G124="National",Assumptions!$B$11,IF(G124="Statewide",Assumptions!$B$12,Assumptions!$B$13))</x:f>
        <x:v>0.85</x:v>
      </x:c>
      <x:c r="I124" s="21" t="n">
        <x:v>-0.06638496203204658</x:v>
      </x:c>
      <x:c r="J124" s="21" t="n">
        <x:v>-0.13740068518113568</x:v>
      </x:c>
      <x:c r="K124" s="21" t="n">
        <x:v>-0.2731806039713064</x:v>
      </x:c>
      <x:c r="L124" s="36" t="n">
        <x:f>IF(Assumptions!$B$4=2030,I124,IF(Assumptions!$B$4=2035,J124,K124))</x:f>
        <x:v>-0.13740068518113568</x:v>
      </x:c>
      <x:c r="M124" s="36" t="n">
        <x:f>Assumptions!$B$19</x:f>
        <x:v>-0.04739891965741583</x:v>
      </x:c>
      <x:c r="N124" s="52" t="n">
        <x:f>H124*L124+(1-H124)*M124+O124</x:f>
        <x:v>-0.1239004203525777</x:v>
      </x:c>
      <x:c r="O124" s="36" t="n">
        <x:f>Assumptions!$B$10</x:f>
        <x:v>0</x:v>
      </x:c>
      <x:c r="P124" s="54" t="n">
        <x:f>E124*(1+N124)</x:f>
        <x:v>383.73161588557093</x:v>
      </x:c>
      <x:c r="Q124" s="54" t="n">
        <x:f>P124-E124</x:f>
        <x:v>-54.26838411442907</x:v>
      </x:c>
      <x:c r="R124" s="16" t="str">
        <x:v>No</x:v>
      </x:c>
      <x:c r="S124" s="56"/>
      <x:c r="T124" s="56"/>
      <x:c r="U124" s="40" t="n">
        <x:f>E124*Assumptions!$B$8</x:f>
        <x:v>372.3</x:v>
      </x:c>
      <x:c r="V124" s="40" t="n">
        <x:f>P124*Assumptions!$B$8</x:f>
        <x:v>326.1718735027353</x:v>
      </x:c>
      <x:c r="W124" s="54" t="n">
        <x:f>V124-U124</x:f>
        <x:v>-46.1281264972647</x:v>
      </x:c>
      <x:c r="X124" s="58" t="str">
        <x:f>IF(R124="No","",W124*S124)</x:f>
      </x:c>
      <x:c r="Y124" s="58" t="str">
        <x:f>IF(R124="No","",W124*T124*Assumptions!$B$9)</x:f>
      </x:c>
      <x:c r="Z124" s="58" t="str">
        <x:f>IF(R124="No","",X124-Y124)</x:f>
      </x:c>
      <x:c r="AA124" s="58" t="str">
        <x:f>IF(R124="No","",MAX(0,-Z124))</x:f>
      </x:c>
      <x:c r="AB124" s="52" t="str">
        <x:f>IF(OR(R124="No",U124*S124=0),"",AA124/(U124*S124))</x:f>
      </x:c>
      <x:c r="AC124" s="54" t="str">
        <x:f>IF(OR(R124="No",S124-T124*Assumptions!$B$9&lt;=0),"",AA124/(Assumptions!$B$8*(S124-T124*Assumptions!$B$9)))</x:f>
      </x:c>
      <x:c r="AD124" s="52" t="str">
        <x:f>IF(OR(R124="No",U124*S124=0),"",AA124/(U124*S124))</x:f>
      </x:c>
      <x:c r="AE124" s="50" t="str">
        <x:f>IF(R124="No","No finance data",IF(AB124&gt;=10%,"Severe",IF(AB124&gt;=5%,"High",IF(AB124&gt;=2%,"Moderate","Low"))))</x:f>
        <x:v>No finance data</x:v>
      </x:c>
      <x:c r="AF124" s="60"/>
      <x:c r="AG124" s="60"/>
      <x:c r="AH124" s="44" t="str">
        <x:v>Undergraduate tuition-contribution proxy only; not an audited total institutional budget.</x:v>
      </x:c>
    </x:row>
    <x:row r="125">
      <x:c r="A125" s="16" t="n">
        <x:v>116712</x:v>
      </x:c>
      <x:c r="B125" s="16" t="str">
        <x:v>John F. Kennedy University</x:v>
      </x:c>
      <x:c r="C125" s="16" t="str">
        <x:v>CA</x:v>
      </x:c>
      <x:c r="D125" s="16" t="str">
        <x:v>Private nonprofit</x:v>
      </x:c>
      <x:c r="E125" s="34" t="n">
        <x:v>216</x:v>
      </x:c>
      <x:c r="F125" s="21"/>
      <x:c r="G125" s="16" t="str">
        <x:v>Regional</x:v>
      </x:c>
      <x:c r="H125" s="36" t="n">
        <x:f>IF(G125="National",Assumptions!$B$11,IF(G125="Statewide",Assumptions!$B$12,Assumptions!$B$13))</x:f>
        <x:v>0.85</x:v>
      </x:c>
      <x:c r="I125" s="21" t="n">
        <x:v>-0.06638496203204658</x:v>
      </x:c>
      <x:c r="J125" s="21" t="n">
        <x:v>-0.13740068518113568</x:v>
      </x:c>
      <x:c r="K125" s="21" t="n">
        <x:v>-0.2731806039713064</x:v>
      </x:c>
      <x:c r="L125" s="36" t="n">
        <x:f>IF(Assumptions!$B$4=2030,I125,IF(Assumptions!$B$4=2035,J125,K125))</x:f>
        <x:v>-0.13740068518113568</x:v>
      </x:c>
      <x:c r="M125" s="36" t="n">
        <x:f>Assumptions!$B$19</x:f>
        <x:v>-0.04739891965741583</x:v>
      </x:c>
      <x:c r="N125" s="52" t="n">
        <x:f>H125*L125+(1-H125)*M125+O125</x:f>
        <x:v>-0.1239004203525777</x:v>
      </x:c>
      <x:c r="O125" s="36" t="n">
        <x:f>Assumptions!$B$10</x:f>
        <x:v>0</x:v>
      </x:c>
      <x:c r="P125" s="54" t="n">
        <x:f>E125*(1+N125)</x:f>
        <x:v>189.23750920384322</x:v>
      </x:c>
      <x:c r="Q125" s="54" t="n">
        <x:f>P125-E125</x:f>
        <x:v>-26.762490796156783</x:v>
      </x:c>
      <x:c r="R125" s="16" t="str">
        <x:v>No</x:v>
      </x:c>
      <x:c r="S125" s="56"/>
      <x:c r="T125" s="56"/>
      <x:c r="U125" s="40" t="n">
        <x:f>E125*Assumptions!$B$8</x:f>
        <x:v>183.6</x:v>
      </x:c>
      <x:c r="V125" s="40" t="n">
        <x:f>P125*Assumptions!$B$8</x:f>
        <x:v>160.85188282326672</x:v>
      </x:c>
      <x:c r="W125" s="54" t="n">
        <x:f>V125-U125</x:f>
        <x:v>-22.748117176733274</x:v>
      </x:c>
      <x:c r="X125" s="58" t="str">
        <x:f>IF(R125="No","",W125*S125)</x:f>
      </x:c>
      <x:c r="Y125" s="58" t="str">
        <x:f>IF(R125="No","",W125*T125*Assumptions!$B$9)</x:f>
      </x:c>
      <x:c r="Z125" s="58" t="str">
        <x:f>IF(R125="No","",X125-Y125)</x:f>
      </x:c>
      <x:c r="AA125" s="58" t="str">
        <x:f>IF(R125="No","",MAX(0,-Z125))</x:f>
      </x:c>
      <x:c r="AB125" s="52" t="str">
        <x:f>IF(OR(R125="No",U125*S125=0),"",AA125/(U125*S125))</x:f>
      </x:c>
      <x:c r="AC125" s="54" t="str">
        <x:f>IF(OR(R125="No",S125-T125*Assumptions!$B$9&lt;=0),"",AA125/(Assumptions!$B$8*(S125-T125*Assumptions!$B$9)))</x:f>
      </x:c>
      <x:c r="AD125" s="52" t="str">
        <x:f>IF(OR(R125="No",U125*S125=0),"",AA125/(U125*S125))</x:f>
      </x:c>
      <x:c r="AE125" s="50" t="str">
        <x:f>IF(R125="No","No finance data",IF(AB125&gt;=10%,"Severe",IF(AB125&gt;=5%,"High",IF(AB125&gt;=2%,"Moderate","Low"))))</x:f>
        <x:v>No finance data</x:v>
      </x:c>
      <x:c r="AF125" s="60"/>
      <x:c r="AG125" s="60"/>
      <x:c r="AH125" s="44" t="str">
        <x:v>Undergraduate tuition-contribution proxy only; not an audited total institutional budget.</x:v>
      </x:c>
    </x:row>
    <x:row r="126">
      <x:c r="A126" s="16" t="n">
        <x:v>462354</x:v>
      </x:c>
      <x:c r="B126" s="16" t="str">
        <x:v>John Paul the Great Catholic University</x:v>
      </x:c>
      <x:c r="C126" s="16" t="str">
        <x:v>CA</x:v>
      </x:c>
      <x:c r="D126" s="16" t="str">
        <x:v>Private nonprofit</x:v>
      </x:c>
      <x:c r="E126" s="34" t="n">
        <x:v>206</x:v>
      </x:c>
      <x:c r="F126" s="21"/>
      <x:c r="G126" s="16" t="str">
        <x:v>Regional</x:v>
      </x:c>
      <x:c r="H126" s="36" t="n">
        <x:f>IF(G126="National",Assumptions!$B$11,IF(G126="Statewide",Assumptions!$B$12,Assumptions!$B$13))</x:f>
        <x:v>0.85</x:v>
      </x:c>
      <x:c r="I126" s="21" t="n">
        <x:v>-0.06638496203204658</x:v>
      </x:c>
      <x:c r="J126" s="21" t="n">
        <x:v>-0.13740068518113568</x:v>
      </x:c>
      <x:c r="K126" s="21" t="n">
        <x:v>-0.2731806039713064</x:v>
      </x:c>
      <x:c r="L126" s="36" t="n">
        <x:f>IF(Assumptions!$B$4=2030,I126,IF(Assumptions!$B$4=2035,J126,K126))</x:f>
        <x:v>-0.13740068518113568</x:v>
      </x:c>
      <x:c r="M126" s="36" t="n">
        <x:f>Assumptions!$B$19</x:f>
        <x:v>-0.04739891965741583</x:v>
      </x:c>
      <x:c r="N126" s="52" t="n">
        <x:f>H126*L126+(1-H126)*M126+O126</x:f>
        <x:v>-0.1239004203525777</x:v>
      </x:c>
      <x:c r="O126" s="36" t="n">
        <x:f>Assumptions!$B$10</x:f>
        <x:v>0</x:v>
      </x:c>
      <x:c r="P126" s="54" t="n">
        <x:f>E126*(1+N126)</x:f>
        <x:v>180.47651340736897</x:v>
      </x:c>
      <x:c r="Q126" s="54" t="n">
        <x:f>P126-E126</x:f>
        <x:v>-25.52348659263103</x:v>
      </x:c>
      <x:c r="R126" s="16" t="str">
        <x:v>No</x:v>
      </x:c>
      <x:c r="S126" s="56"/>
      <x:c r="T126" s="56"/>
      <x:c r="U126" s="40" t="n">
        <x:f>E126*Assumptions!$B$8</x:f>
        <x:v>175.1</x:v>
      </x:c>
      <x:c r="V126" s="40" t="n">
        <x:f>P126*Assumptions!$B$8</x:f>
        <x:v>153.40503639626363</x:v>
      </x:c>
      <x:c r="W126" s="54" t="n">
        <x:f>V126-U126</x:f>
        <x:v>-21.69496360373637</x:v>
      </x:c>
      <x:c r="X126" s="58" t="str">
        <x:f>IF(R126="No","",W126*S126)</x:f>
      </x:c>
      <x:c r="Y126" s="58" t="str">
        <x:f>IF(R126="No","",W126*T126*Assumptions!$B$9)</x:f>
      </x:c>
      <x:c r="Z126" s="58" t="str">
        <x:f>IF(R126="No","",X126-Y126)</x:f>
      </x:c>
      <x:c r="AA126" s="58" t="str">
        <x:f>IF(R126="No","",MAX(0,-Z126))</x:f>
      </x:c>
      <x:c r="AB126" s="52" t="str">
        <x:f>IF(OR(R126="No",U126*S126=0),"",AA126/(U126*S126))</x:f>
      </x:c>
      <x:c r="AC126" s="54" t="str">
        <x:f>IF(OR(R126="No",S126-T126*Assumptions!$B$9&lt;=0),"",AA126/(Assumptions!$B$8*(S126-T126*Assumptions!$B$9)))</x:f>
      </x:c>
      <x:c r="AD126" s="52" t="str">
        <x:f>IF(OR(R126="No",U126*S126=0),"",AA126/(U126*S126))</x:f>
      </x:c>
      <x:c r="AE126" s="50" t="str">
        <x:f>IF(R126="No","No finance data",IF(AB126&gt;=10%,"Severe",IF(AB126&gt;=5%,"High",IF(AB126&gt;=2%,"Moderate","Low"))))</x:f>
        <x:v>No finance data</x:v>
      </x:c>
      <x:c r="AF126" s="60"/>
      <x:c r="AG126" s="60"/>
      <x:c r="AH126" s="44" t="str">
        <x:v>Undergraduate tuition-contribution proxy only; not an audited total institutional budget.</x:v>
      </x:c>
    </x:row>
    <x:row r="127">
      <x:c r="A127" s="16" t="n">
        <x:v>117627</x:v>
      </x:c>
      <x:c r="B127" s="16" t="str">
        <x:v>La Sierra University</x:v>
      </x:c>
      <x:c r="C127" s="16" t="str">
        <x:v>CA</x:v>
      </x:c>
      <x:c r="D127" s="16" t="str">
        <x:v>Private nonprofit</x:v>
      </x:c>
      <x:c r="E127" s="34" t="n">
        <x:v>2020</x:v>
      </x:c>
      <x:c r="F127" s="21" t="n">
        <x:v>0.6607</x:v>
      </x:c>
      <x:c r="G127" s="16" t="str">
        <x:v>Regional</x:v>
      </x:c>
      <x:c r="H127" s="36" t="n">
        <x:f>IF(G127="National",Assumptions!$B$11,IF(G127="Statewide",Assumptions!$B$12,Assumptions!$B$13))</x:f>
        <x:v>0.85</x:v>
      </x:c>
      <x:c r="I127" s="21" t="n">
        <x:v>-0.06638496203204658</x:v>
      </x:c>
      <x:c r="J127" s="21" t="n">
        <x:v>-0.13740068518113568</x:v>
      </x:c>
      <x:c r="K127" s="21" t="n">
        <x:v>-0.2731806039713064</x:v>
      </x:c>
      <x:c r="L127" s="36" t="n">
        <x:f>IF(Assumptions!$B$4=2030,I127,IF(Assumptions!$B$4=2035,J127,K127))</x:f>
        <x:v>-0.13740068518113568</x:v>
      </x:c>
      <x:c r="M127" s="36" t="n">
        <x:f>Assumptions!$B$19</x:f>
        <x:v>-0.04739891965741583</x:v>
      </x:c>
      <x:c r="N127" s="52" t="n">
        <x:f>H127*L127+(1-H127)*M127+O127</x:f>
        <x:v>-0.1239004203525777</x:v>
      </x:c>
      <x:c r="O127" s="36" t="n">
        <x:f>Assumptions!$B$10</x:f>
        <x:v>0</x:v>
      </x:c>
      <x:c r="P127" s="54" t="n">
        <x:f>E127*(1+N127)</x:f>
        <x:v>1769.7211508877929</x:v>
      </x:c>
      <x:c r="Q127" s="54" t="n">
        <x:f>P127-E127</x:f>
        <x:v>-250.27884911220713</x:v>
      </x:c>
      <x:c r="R127" s="16" t="str">
        <x:v>Yes</x:v>
      </x:c>
      <x:c r="S127" s="56" t="n">
        <x:v>31013</x:v>
      </x:c>
      <x:c r="T127" s="56" t="n">
        <x:v>9623</x:v>
      </x:c>
      <x:c r="U127" s="40" t="n">
        <x:f>E127*Assumptions!$B$8</x:f>
        <x:v>1717</x:v>
      </x:c>
      <x:c r="V127" s="40" t="n">
        <x:f>P127*Assumptions!$B$8</x:f>
        <x:v>1504.262978254624</x:v>
      </x:c>
      <x:c r="W127" s="54" t="n">
        <x:f>V127-U127</x:f>
        <x:v>-212.73702174537607</x:v>
      </x:c>
      <x:c r="X127" s="58" t="n">
        <x:f>IF(R127="No","",W127*S127)</x:f>
        <x:v>-6597613.255389348</x:v>
      </x:c>
      <x:c r="Y127" s="58" t="n">
        <x:f>IF(R127="No","",W127*T127*Assumptions!$B$9)</x:f>
        <x:v>-614150.5080767261</x:v>
      </x:c>
      <x:c r="Z127" s="58" t="n">
        <x:f>IF(R127="No","",X127-Y127)</x:f>
        <x:v>-5983462.747312621</x:v>
      </x:c>
      <x:c r="AA127" s="58" t="n">
        <x:f>IF(R127="No","",MAX(0,-Z127))</x:f>
        <x:v>5983462.747312621</x:v>
      </x:c>
      <x:c r="AB127" s="52" t="n">
        <x:f>IF(OR(R127="No",U127*S127=0),"",AA127/(U127*S127))</x:f>
        <x:v>0.11236693041236377</x:v>
      </x:c>
      <x:c r="AC127" s="54" t="n">
        <x:f>IF(OR(R127="No",S127-T127*Assumptions!$B$9&lt;=0),"",AA127/(Assumptions!$B$8*(S127-T127*Assumptions!$B$9)))</x:f>
        <x:v>250.27884911220713</x:v>
      </x:c>
      <x:c r="AD127" s="52" t="n">
        <x:f>IF(OR(R127="No",U127*S127=0),"",AA127/(U127*S127))</x:f>
        <x:v>0.11236693041236377</x:v>
      </x:c>
      <x:c r="AE127" s="50" t="str">
        <x:f>IF(R127="No","No finance data",IF(AB127&gt;=10%,"Severe",IF(AB127&gt;=5%,"High",IF(AB127&gt;=2%,"Moderate","Low"))))</x:f>
        <x:v>Severe</x:v>
      </x:c>
      <x:c r="AF127" s="60" t="n">
        <x:v>33.910704</x:v>
      </x:c>
      <x:c r="AG127" s="60" t="n">
        <x:v>-117.500054</x:v>
      </x:c>
      <x:c r="AH127" s="44" t="str">
        <x:v>Undergraduate tuition-contribution proxy only; not an audited total institutional budget.</x:v>
      </x:c>
    </x:row>
    <x:row r="128">
      <x:c r="A128" s="16" t="n">
        <x:v>117168</x:v>
      </x:c>
      <x:c r="B128" s="16" t="str">
        <x:v>Laguna College of Art and Design</x:v>
      </x:c>
      <x:c r="C128" s="16" t="str">
        <x:v>CA</x:v>
      </x:c>
      <x:c r="D128" s="16" t="str">
        <x:v>Private nonprofit</x:v>
      </x:c>
      <x:c r="E128" s="34" t="n">
        <x:v>571</x:v>
      </x:c>
      <x:c r="F128" s="21" t="n">
        <x:v>0.833</x:v>
      </x:c>
      <x:c r="G128" s="16" t="str">
        <x:v>Regional</x:v>
      </x:c>
      <x:c r="H128" s="36" t="n">
        <x:f>IF(G128="National",Assumptions!$B$11,IF(G128="Statewide",Assumptions!$B$12,Assumptions!$B$13))</x:f>
        <x:v>0.85</x:v>
      </x:c>
      <x:c r="I128" s="21" t="n">
        <x:v>-0.06638496203204658</x:v>
      </x:c>
      <x:c r="J128" s="21" t="n">
        <x:v>-0.13740068518113568</x:v>
      </x:c>
      <x:c r="K128" s="21" t="n">
        <x:v>-0.2731806039713064</x:v>
      </x:c>
      <x:c r="L128" s="36" t="n">
        <x:f>IF(Assumptions!$B$4=2030,I128,IF(Assumptions!$B$4=2035,J128,K128))</x:f>
        <x:v>-0.13740068518113568</x:v>
      </x:c>
      <x:c r="M128" s="36" t="n">
        <x:f>Assumptions!$B$19</x:f>
        <x:v>-0.04739891965741583</x:v>
      </x:c>
      <x:c r="N128" s="52" t="n">
        <x:f>H128*L128+(1-H128)*M128+O128</x:f>
        <x:v>-0.1239004203525777</x:v>
      </x:c>
      <x:c r="O128" s="36" t="n">
        <x:f>Assumptions!$B$10</x:f>
        <x:v>0</x:v>
      </x:c>
      <x:c r="P128" s="54" t="n">
        <x:f>E128*(1+N128)</x:f>
        <x:v>500.2528599786781</x:v>
      </x:c>
      <x:c r="Q128" s="54" t="n">
        <x:f>P128-E128</x:f>
        <x:v>-70.74714002132191</x:v>
      </x:c>
      <x:c r="R128" s="16" t="str">
        <x:v>Yes</x:v>
      </x:c>
      <x:c r="S128" s="56" t="n">
        <x:v>23823</x:v>
      </x:c>
      <x:c r="T128" s="56" t="n">
        <x:v>11262</x:v>
      </x:c>
      <x:c r="U128" s="40" t="n">
        <x:f>E128*Assumptions!$B$8</x:f>
        <x:v>485.34999999999997</x:v>
      </x:c>
      <x:c r="V128" s="40" t="n">
        <x:f>P128*Assumptions!$B$8</x:f>
        <x:v>425.21493098187636</x:v>
      </x:c>
      <x:c r="W128" s="54" t="n">
        <x:f>V128-U128</x:f>
        <x:v>-60.1350690181236</x:v>
      </x:c>
      <x:c r="X128" s="58" t="n">
        <x:f>IF(R128="No","",W128*S128)</x:f>
        <x:v>-1432597.7492187587</x:v>
      </x:c>
      <x:c r="Y128" s="58" t="n">
        <x:f>IF(R128="No","",W128*T128*Assumptions!$B$9)</x:f>
        <x:v>-203172.34418463238</x:v>
      </x:c>
      <x:c r="Z128" s="58" t="n">
        <x:f>IF(R128="No","",X128-Y128)</x:f>
        <x:v>-1229425.4050341262</x:v>
      </x:c>
      <x:c r="AA128" s="58" t="n">
        <x:f>IF(R128="No","",MAX(0,-Z128))</x:f>
        <x:v>1229425.4050341262</x:v>
      </x:c>
      <x:c r="AB128" s="52" t="n">
        <x:f>IF(OR(R128="No",U128*S128=0),"",AA128/(U128*S128))</x:f>
        <x:v>0.1063287475908257</x:v>
      </x:c>
      <x:c r="AC128" s="54" t="n">
        <x:f>IF(OR(R128="No",S128-T128*Assumptions!$B$9&lt;=0),"",AA128/(Assumptions!$B$8*(S128-T128*Assumptions!$B$9)))</x:f>
        <x:v>70.74714002132188</x:v>
      </x:c>
      <x:c r="AD128" s="52" t="n">
        <x:f>IF(OR(R128="No",U128*S128=0),"",AA128/(U128*S128))</x:f>
        <x:v>0.1063287475908257</x:v>
      </x:c>
      <x:c r="AE128" s="50" t="str">
        <x:f>IF(R128="No","No finance data",IF(AB128&gt;=10%,"Severe",IF(AB128&gt;=5%,"High",IF(AB128&gt;=2%,"Moderate","Low"))))</x:f>
        <x:v>Severe</x:v>
      </x:c>
      <x:c r="AF128" s="60" t="n">
        <x:v>33.561448</x:v>
      </x:c>
      <x:c r="AG128" s="60" t="n">
        <x:v>-117.772564</x:v>
      </x:c>
      <x:c r="AH128" s="44" t="str">
        <x:v>Undergraduate tuition-contribution proxy only; not an audited total institutional budget.</x:v>
      </x:c>
    </x:row>
    <x:row r="129">
      <x:c r="A129" s="16" t="n">
        <x:v>117104</x:v>
      </x:c>
      <x:c r="B129" s="16" t="str">
        <x:v>Life Pacific College</x:v>
      </x:c>
      <x:c r="C129" s="16" t="str">
        <x:v>CA</x:v>
      </x:c>
      <x:c r="D129" s="16" t="str">
        <x:v>Private nonprofit</x:v>
      </x:c>
      <x:c r="E129" s="34" t="n">
        <x:v>520</x:v>
      </x:c>
      <x:c r="F129" s="21"/>
      <x:c r="G129" s="16" t="str">
        <x:v>Regional</x:v>
      </x:c>
      <x:c r="H129" s="36" t="n">
        <x:f>IF(G129="National",Assumptions!$B$11,IF(G129="Statewide",Assumptions!$B$12,Assumptions!$B$13))</x:f>
        <x:v>0.85</x:v>
      </x:c>
      <x:c r="I129" s="21" t="n">
        <x:v>-0.06638496203204658</x:v>
      </x:c>
      <x:c r="J129" s="21" t="n">
        <x:v>-0.13740068518113568</x:v>
      </x:c>
      <x:c r="K129" s="21" t="n">
        <x:v>-0.2731806039713064</x:v>
      </x:c>
      <x:c r="L129" s="36" t="n">
        <x:f>IF(Assumptions!$B$4=2030,I129,IF(Assumptions!$B$4=2035,J129,K129))</x:f>
        <x:v>-0.13740068518113568</x:v>
      </x:c>
      <x:c r="M129" s="36" t="n">
        <x:f>Assumptions!$B$19</x:f>
        <x:v>-0.04739891965741583</x:v>
      </x:c>
      <x:c r="N129" s="52" t="n">
        <x:f>H129*L129+(1-H129)*M129+O129</x:f>
        <x:v>-0.1239004203525777</x:v>
      </x:c>
      <x:c r="O129" s="36" t="n">
        <x:f>Assumptions!$B$10</x:f>
        <x:v>0</x:v>
      </x:c>
      <x:c r="P129" s="54" t="n">
        <x:f>E129*(1+N129)</x:f>
        <x:v>455.5717814166596</x:v>
      </x:c>
      <x:c r="Q129" s="54" t="n">
        <x:f>P129-E129</x:f>
        <x:v>-64.42821858334042</x:v>
      </x:c>
      <x:c r="R129" s="16" t="str">
        <x:v>No</x:v>
      </x:c>
      <x:c r="S129" s="56"/>
      <x:c r="T129" s="56"/>
      <x:c r="U129" s="40" t="n">
        <x:f>E129*Assumptions!$B$8</x:f>
        <x:v>442</x:v>
      </x:c>
      <x:c r="V129" s="40" t="n">
        <x:f>P129*Assumptions!$B$8</x:f>
        <x:v>387.23601420416065</x:v>
      </x:c>
      <x:c r="W129" s="54" t="n">
        <x:f>V129-U129</x:f>
        <x:v>-54.763985795839346</x:v>
      </x:c>
      <x:c r="X129" s="58" t="str">
        <x:f>IF(R129="No","",W129*S129)</x:f>
      </x:c>
      <x:c r="Y129" s="58" t="str">
        <x:f>IF(R129="No","",W129*T129*Assumptions!$B$9)</x:f>
      </x:c>
      <x:c r="Z129" s="58" t="str">
        <x:f>IF(R129="No","",X129-Y129)</x:f>
      </x:c>
      <x:c r="AA129" s="58" t="str">
        <x:f>IF(R129="No","",MAX(0,-Z129))</x:f>
      </x:c>
      <x:c r="AB129" s="52" t="str">
        <x:f>IF(OR(R129="No",U129*S129=0),"",AA129/(U129*S129))</x:f>
      </x:c>
      <x:c r="AC129" s="54" t="str">
        <x:f>IF(OR(R129="No",S129-T129*Assumptions!$B$9&lt;=0),"",AA129/(Assumptions!$B$8*(S129-T129*Assumptions!$B$9)))</x:f>
      </x:c>
      <x:c r="AD129" s="52" t="str">
        <x:f>IF(OR(R129="No",U129*S129=0),"",AA129/(U129*S129))</x:f>
      </x:c>
      <x:c r="AE129" s="50" t="str">
        <x:f>IF(R129="No","No finance data",IF(AB129&gt;=10%,"Severe",IF(AB129&gt;=5%,"High",IF(AB129&gt;=2%,"Moderate","Low"))))</x:f>
        <x:v>No finance data</x:v>
      </x:c>
      <x:c r="AF129" s="60"/>
      <x:c r="AG129" s="60"/>
      <x:c r="AH129" s="44" t="str">
        <x:v>Undergraduate tuition-contribution proxy only; not an audited total institutional budget.</x:v>
      </x:c>
    </x:row>
    <x:row r="130">
      <x:c r="A130" s="16" t="n">
        <x:v>117557</x:v>
      </x:c>
      <x:c r="B130" s="16" t="str">
        <x:v>Lincoln University</x:v>
      </x:c>
      <x:c r="C130" s="16" t="str">
        <x:v>CA</x:v>
      </x:c>
      <x:c r="D130" s="16" t="str">
        <x:v>Private nonprofit</x:v>
      </x:c>
      <x:c r="E130" s="34" t="n">
        <x:v>149</x:v>
      </x:c>
      <x:c r="F130" s="21"/>
      <x:c r="G130" s="16" t="str">
        <x:v>Regional</x:v>
      </x:c>
      <x:c r="H130" s="36" t="n">
        <x:f>IF(G130="National",Assumptions!$B$11,IF(G130="Statewide",Assumptions!$B$12,Assumptions!$B$13))</x:f>
        <x:v>0.85</x:v>
      </x:c>
      <x:c r="I130" s="21" t="n">
        <x:v>-0.06638496203204658</x:v>
      </x:c>
      <x:c r="J130" s="21" t="n">
        <x:v>-0.13740068518113568</x:v>
      </x:c>
      <x:c r="K130" s="21" t="n">
        <x:v>-0.2731806039713064</x:v>
      </x:c>
      <x:c r="L130" s="36" t="n">
        <x:f>IF(Assumptions!$B$4=2030,I130,IF(Assumptions!$B$4=2035,J130,K130))</x:f>
        <x:v>-0.13740068518113568</x:v>
      </x:c>
      <x:c r="M130" s="36" t="n">
        <x:f>Assumptions!$B$19</x:f>
        <x:v>-0.04739891965741583</x:v>
      </x:c>
      <x:c r="N130" s="52" t="n">
        <x:f>H130*L130+(1-H130)*M130+O130</x:f>
        <x:v>-0.1239004203525777</x:v>
      </x:c>
      <x:c r="O130" s="36" t="n">
        <x:f>Assumptions!$B$10</x:f>
        <x:v>0</x:v>
      </x:c>
      <x:c r="P130" s="54" t="n">
        <x:f>E130*(1+N130)</x:f>
        <x:v>130.5388373674659</x:v>
      </x:c>
      <x:c r="Q130" s="54" t="n">
        <x:f>P130-E130</x:f>
        <x:v>-18.461162632534098</x:v>
      </x:c>
      <x:c r="R130" s="16" t="str">
        <x:v>No</x:v>
      </x:c>
      <x:c r="S130" s="56"/>
      <x:c r="T130" s="56"/>
      <x:c r="U130" s="40" t="n">
        <x:f>E130*Assumptions!$B$8</x:f>
        <x:v>126.64999999999999</x:v>
      </x:c>
      <x:c r="V130" s="40" t="n">
        <x:f>P130*Assumptions!$B$8</x:f>
        <x:v>110.95801176234602</x:v>
      </x:c>
      <x:c r="W130" s="54" t="n">
        <x:f>V130-U130</x:f>
        <x:v>-15.691988237653973</x:v>
      </x:c>
      <x:c r="X130" s="58" t="str">
        <x:f>IF(R130="No","",W130*S130)</x:f>
      </x:c>
      <x:c r="Y130" s="58" t="str">
        <x:f>IF(R130="No","",W130*T130*Assumptions!$B$9)</x:f>
      </x:c>
      <x:c r="Z130" s="58" t="str">
        <x:f>IF(R130="No","",X130-Y130)</x:f>
      </x:c>
      <x:c r="AA130" s="58" t="str">
        <x:f>IF(R130="No","",MAX(0,-Z130))</x:f>
      </x:c>
      <x:c r="AB130" s="52" t="str">
        <x:f>IF(OR(R130="No",U130*S130=0),"",AA130/(U130*S130))</x:f>
      </x:c>
      <x:c r="AC130" s="54" t="str">
        <x:f>IF(OR(R130="No",S130-T130*Assumptions!$B$9&lt;=0),"",AA130/(Assumptions!$B$8*(S130-T130*Assumptions!$B$9)))</x:f>
      </x:c>
      <x:c r="AD130" s="52" t="str">
        <x:f>IF(OR(R130="No",U130*S130=0),"",AA130/(U130*S130))</x:f>
      </x:c>
      <x:c r="AE130" s="50" t="str">
        <x:f>IF(R130="No","No finance data",IF(AB130&gt;=10%,"Severe",IF(AB130&gt;=5%,"High",IF(AB130&gt;=2%,"Moderate","Low"))))</x:f>
        <x:v>No finance data</x:v>
      </x:c>
      <x:c r="AF130" s="60"/>
      <x:c r="AG130" s="60"/>
      <x:c r="AH130" s="44" t="str">
        <x:v>Undergraduate tuition-contribution proxy only; not an audited total institutional budget.</x:v>
      </x:c>
    </x:row>
    <x:row r="131">
      <x:c r="A131" s="16" t="n">
        <x:v>117636</x:v>
      </x:c>
      <x:c r="B131" s="16" t="str">
        <x:v>Loma Linda University</x:v>
      </x:c>
      <x:c r="C131" s="16" t="str">
        <x:v>CA</x:v>
      </x:c>
      <x:c r="D131" s="16" t="str">
        <x:v>Private nonprofit</x:v>
      </x:c>
      <x:c r="E131" s="34" t="n">
        <x:v>1048</x:v>
      </x:c>
      <x:c r="F131" s="21"/>
      <x:c r="G131" s="16" t="str">
        <x:v>Regional</x:v>
      </x:c>
      <x:c r="H131" s="36" t="n">
        <x:f>IF(G131="National",Assumptions!$B$11,IF(G131="Statewide",Assumptions!$B$12,Assumptions!$B$13))</x:f>
        <x:v>0.85</x:v>
      </x:c>
      <x:c r="I131" s="21" t="n">
        <x:v>-0.06638496203204658</x:v>
      </x:c>
      <x:c r="J131" s="21" t="n">
        <x:v>-0.13740068518113568</x:v>
      </x:c>
      <x:c r="K131" s="21" t="n">
        <x:v>-0.2731806039713064</x:v>
      </x:c>
      <x:c r="L131" s="36" t="n">
        <x:f>IF(Assumptions!$B$4=2030,I131,IF(Assumptions!$B$4=2035,J131,K131))</x:f>
        <x:v>-0.13740068518113568</x:v>
      </x:c>
      <x:c r="M131" s="36" t="n">
        <x:f>Assumptions!$B$19</x:f>
        <x:v>-0.04739891965741583</x:v>
      </x:c>
      <x:c r="N131" s="52" t="n">
        <x:f>H131*L131+(1-H131)*M131+O131</x:f>
        <x:v>-0.1239004203525777</x:v>
      </x:c>
      <x:c r="O131" s="36" t="n">
        <x:f>Assumptions!$B$10</x:f>
        <x:v>0</x:v>
      </x:c>
      <x:c r="P131" s="54" t="n">
        <x:f>E131*(1+N131)</x:f>
        <x:v>918.1523594704985</x:v>
      </x:c>
      <x:c r="Q131" s="54" t="n">
        <x:f>P131-E131</x:f>
        <x:v>-129.84764052950152</x:v>
      </x:c>
      <x:c r="R131" s="16" t="str">
        <x:v>Yes</x:v>
      </x:c>
      <x:c r="S131" s="56" t="n">
        <x:v>38381</x:v>
      </x:c>
      <x:c r="T131" s="56" t="n">
        <x:v>29099</x:v>
      </x:c>
      <x:c r="U131" s="40" t="n">
        <x:f>E131*Assumptions!$B$8</x:f>
        <x:v>890.8</x:v>
      </x:c>
      <x:c r="V131" s="40" t="n">
        <x:f>P131*Assumptions!$B$8</x:f>
        <x:v>780.4295055499236</x:v>
      </x:c>
      <x:c r="W131" s="54" t="n">
        <x:f>V131-U131</x:f>
        <x:v>-110.37049445007631</x:v>
      </x:c>
      <x:c r="X131" s="58" t="n">
        <x:f>IF(R131="No","",W131*S131)</x:f>
        <x:v>-4236129.947488379</x:v>
      </x:c>
      <x:c r="Y131" s="58" t="n">
        <x:f>IF(R131="No","",W131*T131*Assumptions!$B$9)</x:f>
        <x:v>-963501.305400831</x:v>
      </x:c>
      <x:c r="Z131" s="58" t="n">
        <x:f>IF(R131="No","",X131-Y131)</x:f>
        <x:v>-3272628.6420875476</x:v>
      </x:c>
      <x:c r="AA131" s="58" t="n">
        <x:f>IF(R131="No","",MAX(0,-Z131))</x:f>
        <x:v>3272628.6420875476</x:v>
      </x:c>
      <x:c r="AB131" s="52" t="n">
        <x:f>IF(OR(R131="No",U131*S131=0),"",AA131/(U131*S131))</x:f>
        <x:v>0.09571945842996249</x:v>
      </x:c>
      <x:c r="AC131" s="54" t="n">
        <x:f>IF(OR(R131="No",S131-T131*Assumptions!$B$9&lt;=0),"",AA131/(Assumptions!$B$8*(S131-T131*Assumptions!$B$9)))</x:f>
        <x:v>129.84764052950152</x:v>
      </x:c>
      <x:c r="AD131" s="52" t="n">
        <x:f>IF(OR(R131="No",U131*S131=0),"",AA131/(U131*S131))</x:f>
        <x:v>0.09571945842996249</x:v>
      </x:c>
      <x:c r="AE131" s="50" t="str">
        <x:f>IF(R131="No","No finance data",IF(AB131&gt;=10%,"Severe",IF(AB131&gt;=5%,"High",IF(AB131&gt;=2%,"Moderate","Low"))))</x:f>
        <x:v>High</x:v>
      </x:c>
      <x:c r="AF131" s="60" t="n">
        <x:v>34.051241</x:v>
      </x:c>
      <x:c r="AG131" s="60" t="n">
        <x:v>-117.260605</x:v>
      </x:c>
      <x:c r="AH131" s="44" t="str">
        <x:v>Undergraduate tuition-contribution proxy only; not an audited total institutional budget.</x:v>
      </x:c>
    </x:row>
    <x:row r="132">
      <x:c r="A132" s="16" t="n">
        <x:v>117946</x:v>
      </x:c>
      <x:c r="B132" s="16" t="str">
        <x:v>Loyola Marymount University</x:v>
      </x:c>
      <x:c r="C132" s="16" t="str">
        <x:v>CA</x:v>
      </x:c>
      <x:c r="D132" s="16" t="str">
        <x:v>Private nonprofit</x:v>
      </x:c>
      <x:c r="E132" s="34" t="n">
        <x:v>6162</x:v>
      </x:c>
      <x:c r="F132" s="21" t="n">
        <x:v>0.4582</x:v>
      </x:c>
      <x:c r="G132" s="16" t="str">
        <x:v>Regional</x:v>
      </x:c>
      <x:c r="H132" s="36" t="n">
        <x:f>IF(G132="National",Assumptions!$B$11,IF(G132="Statewide",Assumptions!$B$12,Assumptions!$B$13))</x:f>
        <x:v>0.85</x:v>
      </x:c>
      <x:c r="I132" s="21" t="n">
        <x:v>-0.06638496203204658</x:v>
      </x:c>
      <x:c r="J132" s="21" t="n">
        <x:v>-0.13740068518113568</x:v>
      </x:c>
      <x:c r="K132" s="21" t="n">
        <x:v>-0.2731806039713064</x:v>
      </x:c>
      <x:c r="L132" s="36" t="n">
        <x:f>IF(Assumptions!$B$4=2030,I132,IF(Assumptions!$B$4=2035,J132,K132))</x:f>
        <x:v>-0.13740068518113568</x:v>
      </x:c>
      <x:c r="M132" s="36" t="n">
        <x:f>Assumptions!$B$19</x:f>
        <x:v>-0.04739891965741583</x:v>
      </x:c>
      <x:c r="N132" s="52" t="n">
        <x:f>H132*L132+(1-H132)*M132+O132</x:f>
        <x:v>-0.1239004203525777</x:v>
      </x:c>
      <x:c r="O132" s="36" t="n">
        <x:f>Assumptions!$B$10</x:f>
        <x:v>0</x:v>
      </x:c>
      <x:c r="P132" s="54" t="n">
        <x:f>E132*(1+N132)</x:f>
        <x:v>5398.525609787416</x:v>
      </x:c>
      <x:c r="Q132" s="54" t="n">
        <x:f>P132-E132</x:f>
        <x:v>-763.4743902125838</x:v>
      </x:c>
      <x:c r="R132" s="16" t="str">
        <x:v>Yes</x:v>
      </x:c>
      <x:c r="S132" s="56" t="n">
        <x:v>36253</x:v>
      </x:c>
      <x:c r="T132" s="56" t="n">
        <x:v>16516</x:v>
      </x:c>
      <x:c r="U132" s="40" t="n">
        <x:f>E132*Assumptions!$B$8</x:f>
        <x:v>5237.7</x:v>
      </x:c>
      <x:c r="V132" s="40" t="n">
        <x:f>P132*Assumptions!$B$8</x:f>
        <x:v>4588.746768319304</x:v>
      </x:c>
      <x:c r="W132" s="54" t="n">
        <x:f>V132-U132</x:f>
        <x:v>-648.9532316806963</x:v>
      </x:c>
      <x:c r="X132" s="58" t="n">
        <x:f>IF(R132="No","",W132*S132)</x:f>
        <x:v>-23526501.50812028</x:v>
      </x:c>
      <x:c r="Y132" s="58" t="n">
        <x:f>IF(R132="No","",W132*T132*Assumptions!$B$9)</x:f>
        <x:v>-3215433.472331514</x:v>
      </x:c>
      <x:c r="Z132" s="58" t="n">
        <x:f>IF(R132="No","",X132-Y132)</x:f>
        <x:v>-20311068.035788767</x:v>
      </x:c>
      <x:c r="AA132" s="58" t="n">
        <x:f>IF(R132="No","",MAX(0,-Z132))</x:f>
        <x:v>20311068.035788767</x:v>
      </x:c>
      <x:c r="AB132" s="52" t="n">
        <x:f>IF(OR(R132="No",U132*S132=0),"",AA132/(U132*S132))</x:f>
        <x:v>0.10696659962703907</x:v>
      </x:c>
      <x:c r="AC132" s="54" t="n">
        <x:f>IF(OR(R132="No",S132-T132*Assumptions!$B$9&lt;=0),"",AA132/(Assumptions!$B$8*(S132-T132*Assumptions!$B$9)))</x:f>
        <x:v>763.4743902125838</x:v>
      </x:c>
      <x:c r="AD132" s="52" t="n">
        <x:f>IF(OR(R132="No",U132*S132=0),"",AA132/(U132*S132))</x:f>
        <x:v>0.10696659962703907</x:v>
      </x:c>
      <x:c r="AE132" s="50" t="str">
        <x:f>IF(R132="No","No finance data",IF(AB132&gt;=10%,"Severe",IF(AB132&gt;=5%,"High",IF(AB132&gt;=2%,"Moderate","Low"))))</x:f>
        <x:v>Severe</x:v>
      </x:c>
      <x:c r="AF132" s="60" t="n">
        <x:v>33.97085</x:v>
      </x:c>
      <x:c r="AG132" s="60" t="n">
        <x:v>-118.415744</x:v>
      </x:c>
      <x:c r="AH132" s="44" t="str">
        <x:v>Undergraduate tuition-contribution proxy only; not an audited total institutional budget.</x:v>
      </x:c>
    </x:row>
    <x:row r="133">
      <x:c r="A133" s="16" t="n">
        <x:v>118541</x:v>
      </x:c>
      <x:c r="B133" s="16" t="str">
        <x:v>Marymount California University</x:v>
      </x:c>
      <x:c r="C133" s="16" t="str">
        <x:v>CA</x:v>
      </x:c>
      <x:c r="D133" s="16" t="str">
        <x:v>Private nonprofit</x:v>
      </x:c>
      <x:c r="E133" s="34" t="n">
        <x:v>1059</x:v>
      </x:c>
      <x:c r="F133" s="21"/>
      <x:c r="G133" s="16" t="str">
        <x:v>Regional</x:v>
      </x:c>
      <x:c r="H133" s="36" t="n">
        <x:f>IF(G133="National",Assumptions!$B$11,IF(G133="Statewide",Assumptions!$B$12,Assumptions!$B$13))</x:f>
        <x:v>0.85</x:v>
      </x:c>
      <x:c r="I133" s="21" t="n">
        <x:v>-0.06638496203204658</x:v>
      </x:c>
      <x:c r="J133" s="21" t="n">
        <x:v>-0.13740068518113568</x:v>
      </x:c>
      <x:c r="K133" s="21" t="n">
        <x:v>-0.2731806039713064</x:v>
      </x:c>
      <x:c r="L133" s="36" t="n">
        <x:f>IF(Assumptions!$B$4=2030,I133,IF(Assumptions!$B$4=2035,J133,K133))</x:f>
        <x:v>-0.13740068518113568</x:v>
      </x:c>
      <x:c r="M133" s="36" t="n">
        <x:f>Assumptions!$B$19</x:f>
        <x:v>-0.04739891965741583</x:v>
      </x:c>
      <x:c r="N133" s="52" t="n">
        <x:f>H133*L133+(1-H133)*M133+O133</x:f>
        <x:v>-0.1239004203525777</x:v>
      </x:c>
      <x:c r="O133" s="36" t="n">
        <x:f>Assumptions!$B$10</x:f>
        <x:v>0</x:v>
      </x:c>
      <x:c r="P133" s="54" t="n">
        <x:f>E133*(1+N133)</x:f>
        <x:v>927.7894548466202</x:v>
      </x:c>
      <x:c r="Q133" s="54" t="n">
        <x:f>P133-E133</x:f>
        <x:v>-131.21054515337983</x:v>
      </x:c>
      <x:c r="R133" s="16" t="str">
        <x:v>No</x:v>
      </x:c>
      <x:c r="S133" s="56"/>
      <x:c r="T133" s="56"/>
      <x:c r="U133" s="40" t="n">
        <x:f>E133*Assumptions!$B$8</x:f>
        <x:v>900.15</x:v>
      </x:c>
      <x:c r="V133" s="40" t="n">
        <x:f>P133*Assumptions!$B$8</x:f>
        <x:v>788.6210366196271</x:v>
      </x:c>
      <x:c r="W133" s="54" t="n">
        <x:f>V133-U133</x:f>
        <x:v>-111.52896338037283</x:v>
      </x:c>
      <x:c r="X133" s="58" t="str">
        <x:f>IF(R133="No","",W133*S133)</x:f>
      </x:c>
      <x:c r="Y133" s="58" t="str">
        <x:f>IF(R133="No","",W133*T133*Assumptions!$B$9)</x:f>
      </x:c>
      <x:c r="Z133" s="58" t="str">
        <x:f>IF(R133="No","",X133-Y133)</x:f>
      </x:c>
      <x:c r="AA133" s="58" t="str">
        <x:f>IF(R133="No","",MAX(0,-Z133))</x:f>
      </x:c>
      <x:c r="AB133" s="52" t="str">
        <x:f>IF(OR(R133="No",U133*S133=0),"",AA133/(U133*S133))</x:f>
      </x:c>
      <x:c r="AC133" s="54" t="str">
        <x:f>IF(OR(R133="No",S133-T133*Assumptions!$B$9&lt;=0),"",AA133/(Assumptions!$B$8*(S133-T133*Assumptions!$B$9)))</x:f>
      </x:c>
      <x:c r="AD133" s="52" t="str">
        <x:f>IF(OR(R133="No",U133*S133=0),"",AA133/(U133*S133))</x:f>
      </x:c>
      <x:c r="AE133" s="50" t="str">
        <x:f>IF(R133="No","No finance data",IF(AB133&gt;=10%,"Severe",IF(AB133&gt;=5%,"High",IF(AB133&gt;=2%,"Moderate","Low"))))</x:f>
        <x:v>No finance data</x:v>
      </x:c>
      <x:c r="AF133" s="60"/>
      <x:c r="AG133" s="60"/>
      <x:c r="AH133" s="44" t="str">
        <x:v>Undergraduate tuition-contribution proxy only; not an audited total institutional budget.</x:v>
      </x:c>
    </x:row>
    <x:row r="134">
      <x:c r="A134" s="16" t="n">
        <x:v>118693</x:v>
      </x:c>
      <x:c r="B134" s="16" t="str">
        <x:v>Menlo College</x:v>
      </x:c>
      <x:c r="C134" s="16" t="str">
        <x:v>CA</x:v>
      </x:c>
      <x:c r="D134" s="16" t="str">
        <x:v>Private nonprofit</x:v>
      </x:c>
      <x:c r="E134" s="34" t="n">
        <x:v>784</x:v>
      </x:c>
      <x:c r="F134" s="21" t="n">
        <x:v>0.6978</x:v>
      </x:c>
      <x:c r="G134" s="16" t="str">
        <x:v>Regional</x:v>
      </x:c>
      <x:c r="H134" s="36" t="n">
        <x:f>IF(G134="National",Assumptions!$B$11,IF(G134="Statewide",Assumptions!$B$12,Assumptions!$B$13))</x:f>
        <x:v>0.85</x:v>
      </x:c>
      <x:c r="I134" s="21" t="n">
        <x:v>-0.06638496203204658</x:v>
      </x:c>
      <x:c r="J134" s="21" t="n">
        <x:v>-0.13740068518113568</x:v>
      </x:c>
      <x:c r="K134" s="21" t="n">
        <x:v>-0.2731806039713064</x:v>
      </x:c>
      <x:c r="L134" s="36" t="n">
        <x:f>IF(Assumptions!$B$4=2030,I134,IF(Assumptions!$B$4=2035,J134,K134))</x:f>
        <x:v>-0.13740068518113568</x:v>
      </x:c>
      <x:c r="M134" s="36" t="n">
        <x:f>Assumptions!$B$19</x:f>
        <x:v>-0.04739891965741583</x:v>
      </x:c>
      <x:c r="N134" s="52" t="n">
        <x:f>H134*L134+(1-H134)*M134+O134</x:f>
        <x:v>-0.1239004203525777</x:v>
      </x:c>
      <x:c r="O134" s="36" t="n">
        <x:f>Assumptions!$B$10</x:f>
        <x:v>0</x:v>
      </x:c>
      <x:c r="P134" s="54" t="n">
        <x:f>E134*(1+N134)</x:f>
        <x:v>686.862070443579</x:v>
      </x:c>
      <x:c r="Q134" s="54" t="n">
        <x:f>P134-E134</x:f>
        <x:v>-97.137929556421</x:v>
      </x:c>
      <x:c r="R134" s="16" t="str">
        <x:v>Yes</x:v>
      </x:c>
      <x:c r="S134" s="56" t="n">
        <x:v>18485</x:v>
      </x:c>
      <x:c r="T134" s="56" t="n">
        <x:v>7431</x:v>
      </x:c>
      <x:c r="U134" s="40" t="n">
        <x:f>E134*Assumptions!$B$8</x:f>
        <x:v>666.4</x:v>
      </x:c>
      <x:c r="V134" s="40" t="n">
        <x:f>P134*Assumptions!$B$8</x:f>
        <x:v>583.8327598770421</x:v>
      </x:c>
      <x:c r="W134" s="54" t="n">
        <x:f>V134-U134</x:f>
        <x:v>-82.56724012295786</x:v>
      </x:c>
      <x:c r="X134" s="58" t="n">
        <x:f>IF(R134="No","",W134*S134)</x:f>
        <x:v>-1526255.4336728759</x:v>
      </x:c>
      <x:c r="Y134" s="58" t="n">
        <x:f>IF(R134="No","",W134*T134*Assumptions!$B$9)</x:f>
        <x:v>-184067.14840610995</x:v>
      </x:c>
      <x:c r="Z134" s="58" t="n">
        <x:f>IF(R134="No","",X134-Y134)</x:f>
        <x:v>-1342188.2852667659</x:v>
      </x:c>
      <x:c r="AA134" s="58" t="n">
        <x:f>IF(R134="No","",MAX(0,-Z134))</x:f>
        <x:v>1342188.2852667659</x:v>
      </x:c>
      <x:c r="AB134" s="52" t="n">
        <x:f>IF(OR(R134="No",U134*S134=0),"",AA134/(U134*S134))</x:f>
        <x:v>0.10895796933326475</x:v>
      </x:c>
      <x:c r="AC134" s="54" t="n">
        <x:f>IF(OR(R134="No",S134-T134*Assumptions!$B$9&lt;=0),"",AA134/(Assumptions!$B$8*(S134-T134*Assumptions!$B$9)))</x:f>
        <x:v>97.13792955642099</x:v>
      </x:c>
      <x:c r="AD134" s="52" t="n">
        <x:f>IF(OR(R134="No",U134*S134=0),"",AA134/(U134*S134))</x:f>
        <x:v>0.10895796933326475</x:v>
      </x:c>
      <x:c r="AE134" s="50" t="str">
        <x:f>IF(R134="No","No finance data",IF(AB134&gt;=10%,"Severe",IF(AB134&gt;=5%,"High",IF(AB134&gt;=2%,"Moderate","Low"))))</x:f>
        <x:v>Severe</x:v>
      </x:c>
      <x:c r="AF134" s="60" t="n">
        <x:v>37.453475</x:v>
      </x:c>
      <x:c r="AG134" s="60" t="n">
        <x:v>-122.190797</x:v>
      </x:c>
      <x:c r="AH134" s="44" t="str">
        <x:v>Undergraduate tuition-contribution proxy only; not an audited total institutional budget.</x:v>
      </x:c>
    </x:row>
    <x:row r="135">
      <x:c r="A135" s="16" t="n">
        <x:v>119058</x:v>
      </x:c>
      <x:c r="B135" s="16" t="str">
        <x:v>Middlebury Institute of International Studies at Monterey</x:v>
      </x:c>
      <x:c r="C135" s="16" t="str">
        <x:v>CA</x:v>
      </x:c>
      <x:c r="D135" s="16" t="str">
        <x:v>Private nonprofit</x:v>
      </x:c>
      <x:c r="E135" s="34" t="n">
        <x:v>17</x:v>
      </x:c>
      <x:c r="F135" s="21"/>
      <x:c r="G135" s="16" t="str">
        <x:v>Regional</x:v>
      </x:c>
      <x:c r="H135" s="36" t="n">
        <x:f>IF(G135="National",Assumptions!$B$11,IF(G135="Statewide",Assumptions!$B$12,Assumptions!$B$13))</x:f>
        <x:v>0.85</x:v>
      </x:c>
      <x:c r="I135" s="21" t="n">
        <x:v>-0.06638496203204658</x:v>
      </x:c>
      <x:c r="J135" s="21" t="n">
        <x:v>-0.13740068518113568</x:v>
      </x:c>
      <x:c r="K135" s="21" t="n">
        <x:v>-0.2731806039713064</x:v>
      </x:c>
      <x:c r="L135" s="36" t="n">
        <x:f>IF(Assumptions!$B$4=2030,I135,IF(Assumptions!$B$4=2035,J135,K135))</x:f>
        <x:v>-0.13740068518113568</x:v>
      </x:c>
      <x:c r="M135" s="36" t="n">
        <x:f>Assumptions!$B$19</x:f>
        <x:v>-0.04739891965741583</x:v>
      </x:c>
      <x:c r="N135" s="52" t="n">
        <x:f>H135*L135+(1-H135)*M135+O135</x:f>
        <x:v>-0.1239004203525777</x:v>
      </x:c>
      <x:c r="O135" s="36" t="n">
        <x:f>Assumptions!$B$10</x:f>
        <x:v>0</x:v>
      </x:c>
      <x:c r="P135" s="54" t="n">
        <x:f>E135*(1+N135)</x:f>
        <x:v>14.893692854006177</x:v>
      </x:c>
      <x:c r="Q135" s="54" t="n">
        <x:f>P135-E135</x:f>
        <x:v>-2.1063071459938225</x:v>
      </x:c>
      <x:c r="R135" s="16" t="str">
        <x:v>No</x:v>
      </x:c>
      <x:c r="S135" s="56"/>
      <x:c r="T135" s="56"/>
      <x:c r="U135" s="40" t="n">
        <x:f>E135*Assumptions!$B$8</x:f>
        <x:v>14.45</x:v>
      </x:c>
      <x:c r="V135" s="40" t="n">
        <x:f>P135*Assumptions!$B$8</x:f>
        <x:v>12.65963892590525</x:v>
      </x:c>
      <x:c r="W135" s="54" t="n">
        <x:f>V135-U135</x:f>
        <x:v>-1.7903610740947489</x:v>
      </x:c>
      <x:c r="X135" s="58" t="str">
        <x:f>IF(R135="No","",W135*S135)</x:f>
      </x:c>
      <x:c r="Y135" s="58" t="str">
        <x:f>IF(R135="No","",W135*T135*Assumptions!$B$9)</x:f>
      </x:c>
      <x:c r="Z135" s="58" t="str">
        <x:f>IF(R135="No","",X135-Y135)</x:f>
      </x:c>
      <x:c r="AA135" s="58" t="str">
        <x:f>IF(R135="No","",MAX(0,-Z135))</x:f>
      </x:c>
      <x:c r="AB135" s="52" t="str">
        <x:f>IF(OR(R135="No",U135*S135=0),"",AA135/(U135*S135))</x:f>
      </x:c>
      <x:c r="AC135" s="54" t="str">
        <x:f>IF(OR(R135="No",S135-T135*Assumptions!$B$9&lt;=0),"",AA135/(Assumptions!$B$8*(S135-T135*Assumptions!$B$9)))</x:f>
      </x:c>
      <x:c r="AD135" s="52" t="str">
        <x:f>IF(OR(R135="No",U135*S135=0),"",AA135/(U135*S135))</x:f>
      </x:c>
      <x:c r="AE135" s="50" t="str">
        <x:f>IF(R135="No","No finance data",IF(AB135&gt;=10%,"Severe",IF(AB135&gt;=5%,"High",IF(AB135&gt;=2%,"Moderate","Low"))))</x:f>
        <x:v>No finance data</x:v>
      </x:c>
      <x:c r="AF135" s="60"/>
      <x:c r="AG135" s="60"/>
      <x:c r="AH135" s="44" t="str">
        <x:v>Undergraduate tuition-contribution proxy only; not an audited total institutional budget.</x:v>
      </x:c>
    </x:row>
    <x:row r="136">
      <x:c r="A136" s="16" t="n">
        <x:v>118888</x:v>
      </x:c>
      <x:c r="B136" s="16" t="str">
        <x:v>Mills College</x:v>
      </x:c>
      <x:c r="C136" s="16" t="str">
        <x:v>CA</x:v>
      </x:c>
      <x:c r="D136" s="16" t="str">
        <x:v>Private nonprofit</x:v>
      </x:c>
      <x:c r="E136" s="34" t="n">
        <x:v>852</x:v>
      </x:c>
      <x:c r="F136" s="21"/>
      <x:c r="G136" s="16" t="str">
        <x:v>Regional</x:v>
      </x:c>
      <x:c r="H136" s="36" t="n">
        <x:f>IF(G136="National",Assumptions!$B$11,IF(G136="Statewide",Assumptions!$B$12,Assumptions!$B$13))</x:f>
        <x:v>0.85</x:v>
      </x:c>
      <x:c r="I136" s="21" t="n">
        <x:v>-0.06638496203204658</x:v>
      </x:c>
      <x:c r="J136" s="21" t="n">
        <x:v>-0.13740068518113568</x:v>
      </x:c>
      <x:c r="K136" s="21" t="n">
        <x:v>-0.2731806039713064</x:v>
      </x:c>
      <x:c r="L136" s="36" t="n">
        <x:f>IF(Assumptions!$B$4=2030,I136,IF(Assumptions!$B$4=2035,J136,K136))</x:f>
        <x:v>-0.13740068518113568</x:v>
      </x:c>
      <x:c r="M136" s="36" t="n">
        <x:f>Assumptions!$B$19</x:f>
        <x:v>-0.04739891965741583</x:v>
      </x:c>
      <x:c r="N136" s="52" t="n">
        <x:f>H136*L136+(1-H136)*M136+O136</x:f>
        <x:v>-0.1239004203525777</x:v>
      </x:c>
      <x:c r="O136" s="36" t="n">
        <x:f>Assumptions!$B$10</x:f>
        <x:v>0</x:v>
      </x:c>
      <x:c r="P136" s="54" t="n">
        <x:f>E136*(1+N136)</x:f>
        <x:v>746.4368418596038</x:v>
      </x:c>
      <x:c r="Q136" s="54" t="n">
        <x:f>P136-E136</x:f>
        <x:v>-105.56315814039624</x:v>
      </x:c>
      <x:c r="R136" s="16" t="str">
        <x:v>No</x:v>
      </x:c>
      <x:c r="S136" s="56"/>
      <x:c r="T136" s="56"/>
      <x:c r="U136" s="40" t="n">
        <x:f>E136*Assumptions!$B$8</x:f>
        <x:v>724.1999999999999</x:v>
      </x:c>
      <x:c r="V136" s="40" t="n">
        <x:f>P136*Assumptions!$B$8</x:f>
        <x:v>634.4713155806631</x:v>
      </x:c>
      <x:c r="W136" s="54" t="n">
        <x:f>V136-U136</x:f>
        <x:v>-89.72868441933679</x:v>
      </x:c>
      <x:c r="X136" s="58" t="str">
        <x:f>IF(R136="No","",W136*S136)</x:f>
      </x:c>
      <x:c r="Y136" s="58" t="str">
        <x:f>IF(R136="No","",W136*T136*Assumptions!$B$9)</x:f>
      </x:c>
      <x:c r="Z136" s="58" t="str">
        <x:f>IF(R136="No","",X136-Y136)</x:f>
      </x:c>
      <x:c r="AA136" s="58" t="str">
        <x:f>IF(R136="No","",MAX(0,-Z136))</x:f>
      </x:c>
      <x:c r="AB136" s="52" t="str">
        <x:f>IF(OR(R136="No",U136*S136=0),"",AA136/(U136*S136))</x:f>
      </x:c>
      <x:c r="AC136" s="54" t="str">
        <x:f>IF(OR(R136="No",S136-T136*Assumptions!$B$9&lt;=0),"",AA136/(Assumptions!$B$8*(S136-T136*Assumptions!$B$9)))</x:f>
      </x:c>
      <x:c r="AD136" s="52" t="str">
        <x:f>IF(OR(R136="No",U136*S136=0),"",AA136/(U136*S136))</x:f>
      </x:c>
      <x:c r="AE136" s="50" t="str">
        <x:f>IF(R136="No","No finance data",IF(AB136&gt;=10%,"Severe",IF(AB136&gt;=5%,"High",IF(AB136&gt;=2%,"Moderate","Low"))))</x:f>
        <x:v>No finance data</x:v>
      </x:c>
      <x:c r="AF136" s="60"/>
      <x:c r="AG136" s="60"/>
      <x:c r="AH136" s="44" t="str">
        <x:v>Undergraduate tuition-contribution proxy only; not an audited total institutional budget.</x:v>
      </x:c>
    </x:row>
    <x:row r="137">
      <x:c r="A137" s="16" t="n">
        <x:v>119173</x:v>
      </x:c>
      <x:c r="B137" s="16" t="str">
        <x:v>Mount Saint Mary's University</x:v>
      </x:c>
      <x:c r="C137" s="16" t="str">
        <x:v>CA</x:v>
      </x:c>
      <x:c r="D137" s="16" t="str">
        <x:v>Private nonprofit</x:v>
      </x:c>
      <x:c r="E137" s="34" t="n">
        <x:v>2767</x:v>
      </x:c>
      <x:c r="F137" s="21" t="n">
        <x:v>0.9012</x:v>
      </x:c>
      <x:c r="G137" s="16" t="str">
        <x:v>Regional</x:v>
      </x:c>
      <x:c r="H137" s="36" t="n">
        <x:f>IF(G137="National",Assumptions!$B$11,IF(G137="Statewide",Assumptions!$B$12,Assumptions!$B$13))</x:f>
        <x:v>0.85</x:v>
      </x:c>
      <x:c r="I137" s="21" t="n">
        <x:v>-0.06638496203204658</x:v>
      </x:c>
      <x:c r="J137" s="21" t="n">
        <x:v>-0.13740068518113568</x:v>
      </x:c>
      <x:c r="K137" s="21" t="n">
        <x:v>-0.2731806039713064</x:v>
      </x:c>
      <x:c r="L137" s="36" t="n">
        <x:f>IF(Assumptions!$B$4=2030,I137,IF(Assumptions!$B$4=2035,J137,K137))</x:f>
        <x:v>-0.13740068518113568</x:v>
      </x:c>
      <x:c r="M137" s="36" t="n">
        <x:f>Assumptions!$B$19</x:f>
        <x:v>-0.04739891965741583</x:v>
      </x:c>
      <x:c r="N137" s="52" t="n">
        <x:f>H137*L137+(1-H137)*M137+O137</x:f>
        <x:v>-0.1239004203525777</x:v>
      </x:c>
      <x:c r="O137" s="36" t="n">
        <x:f>Assumptions!$B$10</x:f>
        <x:v>0</x:v>
      </x:c>
      <x:c r="P137" s="54" t="n">
        <x:f>E137*(1+N137)</x:f>
        <x:v>2424.167536884417</x:v>
      </x:c>
      <x:c r="Q137" s="54" t="n">
        <x:f>P137-E137</x:f>
        <x:v>-342.83246311558287</x:v>
      </x:c>
      <x:c r="R137" s="16" t="str">
        <x:v>Yes</x:v>
      </x:c>
      <x:c r="S137" s="56" t="n">
        <x:v>22501</x:v>
      </x:c>
      <x:c r="T137" s="56" t="n">
        <x:v>12176</x:v>
      </x:c>
      <x:c r="U137" s="40" t="n">
        <x:f>E137*Assumptions!$B$8</x:f>
        <x:v>2351.95</x:v>
      </x:c>
      <x:c r="V137" s="40" t="n">
        <x:f>P137*Assumptions!$B$8</x:f>
        <x:v>2060.5424063517544</x:v>
      </x:c>
      <x:c r="W137" s="54" t="n">
        <x:f>V137-U137</x:f>
        <x:v>-291.40759364824544</x:v>
      </x:c>
      <x:c r="X137" s="58" t="n">
        <x:f>IF(R137="No","",W137*S137)</x:f>
        <x:v>-6556962.26467917</x:v>
      </x:c>
      <x:c r="Y137" s="58" t="n">
        <x:f>IF(R137="No","",W137*T137*Assumptions!$B$9)</x:f>
        <x:v>-1064453.658078311</x:v>
      </x:c>
      <x:c r="Z137" s="58" t="n">
        <x:f>IF(R137="No","",X137-Y137)</x:f>
        <x:v>-5492508.606600859</x:v>
      </x:c>
      <x:c r="AA137" s="58" t="n">
        <x:f>IF(R137="No","",MAX(0,-Z137))</x:f>
        <x:v>5492508.606600859</x:v>
      </x:c>
      <x:c r="AB137" s="52" t="n">
        <x:f>IF(OR(R137="No",U137*S137=0),"",AA137/(U137*S137))</x:f>
        <x:v>0.10378649406201758</x:v>
      </x:c>
      <x:c r="AC137" s="54" t="n">
        <x:f>IF(OR(R137="No",S137-T137*Assumptions!$B$9&lt;=0),"",AA137/(Assumptions!$B$8*(S137-T137*Assumptions!$B$9)))</x:f>
        <x:v>342.83246311558287</x:v>
      </x:c>
      <x:c r="AD137" s="52" t="n">
        <x:f>IF(OR(R137="No",U137*S137=0),"",AA137/(U137*S137))</x:f>
        <x:v>0.10378649406201758</x:v>
      </x:c>
      <x:c r="AE137" s="50" t="str">
        <x:f>IF(R137="No","No finance data",IF(AB137&gt;=10%,"Severe",IF(AB137&gt;=5%,"High",IF(AB137&gt;=2%,"Moderate","Low"))))</x:f>
        <x:v>Severe</x:v>
      </x:c>
      <x:c r="AF137" s="60" t="n">
        <x:v>34.085315</x:v>
      </x:c>
      <x:c r="AG137" s="60" t="n">
        <x:v>-118.482879</x:v>
      </x:c>
      <x:c r="AH137" s="44" t="str">
        <x:v>Undergraduate tuition-contribution proxy only; not an audited total institutional budget.</x:v>
      </x:c>
    </x:row>
    <x:row r="138">
      <x:c r="A138" s="16" t="n">
        <x:v>119605</x:v>
      </x:c>
      <x:c r="B138" s="16" t="str">
        <x:v>National University</x:v>
      </x:c>
      <x:c r="C138" s="16" t="str">
        <x:v>CA</x:v>
      </x:c>
      <x:c r="D138" s="16" t="str">
        <x:v>Private nonprofit</x:v>
      </x:c>
      <x:c r="E138" s="34" t="n">
        <x:v>8555</x:v>
      </x:c>
      <x:c r="F138" s="21" t="n">
        <x:v>0.5455</x:v>
      </x:c>
      <x:c r="G138" s="16" t="str">
        <x:v>Statewide</x:v>
      </x:c>
      <x:c r="H138" s="36" t="n">
        <x:f>IF(G138="National",Assumptions!$B$11,IF(G138="Statewide",Assumptions!$B$12,Assumptions!$B$13))</x:f>
        <x:v>0.6</x:v>
      </x:c>
      <x:c r="I138" s="21" t="n">
        <x:v>-0.06638496203204658</x:v>
      </x:c>
      <x:c r="J138" s="21" t="n">
        <x:v>-0.13740068518113568</x:v>
      </x:c>
      <x:c r="K138" s="21" t="n">
        <x:v>-0.2731806039713064</x:v>
      </x:c>
      <x:c r="L138" s="36" t="n">
        <x:f>IF(Assumptions!$B$4=2030,I138,IF(Assumptions!$B$4=2035,J138,K138))</x:f>
        <x:v>-0.13740068518113568</x:v>
      </x:c>
      <x:c r="M138" s="36" t="n">
        <x:f>Assumptions!$B$19</x:f>
        <x:v>-0.04739891965741583</x:v>
      </x:c>
      <x:c r="N138" s="52" t="n">
        <x:f>H138*L138+(1-H138)*M138+O138</x:f>
        <x:v>-0.10139997897164774</x:v>
      </x:c>
      <x:c r="O138" s="36" t="n">
        <x:f>Assumptions!$B$10</x:f>
        <x:v>0</x:v>
      </x:c>
      <x:c r="P138" s="54" t="n">
        <x:f>E138*(1+N138)</x:f>
        <x:v>7687.523179897554</x:v>
      </x:c>
      <x:c r="Q138" s="54" t="n">
        <x:f>P138-E138</x:f>
        <x:v>-867.4768201024463</x:v>
      </x:c>
      <x:c r="R138" s="16" t="str">
        <x:v>Yes</x:v>
      </x:c>
      <x:c r="S138" s="56" t="n">
        <x:v>13219</x:v>
      </x:c>
      <x:c r="T138" s="56" t="n">
        <x:v>4088</x:v>
      </x:c>
      <x:c r="U138" s="40" t="n">
        <x:f>E138*Assumptions!$B$8</x:f>
        <x:v>7271.75</x:v>
      </x:c>
      <x:c r="V138" s="40" t="n">
        <x:f>P138*Assumptions!$B$8</x:f>
        <x:v>6534.39470291292</x:v>
      </x:c>
      <x:c r="W138" s="54" t="n">
        <x:f>V138-U138</x:f>
        <x:v>-737.3552970870796</x:v>
      </x:c>
      <x:c r="X138" s="58" t="n">
        <x:f>IF(R138="No","",W138*S138)</x:f>
        <x:v>-9747099.672194107</x:v>
      </x:c>
      <x:c r="Y138" s="58" t="n">
        <x:f>IF(R138="No","",W138*T138*Assumptions!$B$9)</x:f>
        <x:v>-904292.5363475945</x:v>
      </x:c>
      <x:c r="Z138" s="58" t="n">
        <x:f>IF(R138="No","",X138-Y138)</x:f>
        <x:v>-8842807.135846512</x:v>
      </x:c>
      <x:c r="AA138" s="58" t="n">
        <x:f>IF(R138="No","",MAX(0,-Z138))</x:f>
        <x:v>8842807.135846512</x:v>
      </x:c>
      <x:c r="AB138" s="52" t="n">
        <x:f>IF(OR(R138="No",U138*S138=0),"",AA138/(U138*S138))</x:f>
        <x:v>0.0919925401176627</x:v>
      </x:c>
      <x:c r="AC138" s="54" t="n">
        <x:f>IF(OR(R138="No",S138-T138*Assumptions!$B$9&lt;=0),"",AA138/(Assumptions!$B$8*(S138-T138*Assumptions!$B$9)))</x:f>
        <x:v>867.4768201024467</x:v>
      </x:c>
      <x:c r="AD138" s="52" t="n">
        <x:f>IF(OR(R138="No",U138*S138=0),"",AA138/(U138*S138))</x:f>
        <x:v>0.0919925401176627</x:v>
      </x:c>
      <x:c r="AE138" s="50" t="str">
        <x:f>IF(R138="No","No finance data",IF(AB138&gt;=10%,"Severe",IF(AB138&gt;=5%,"High",IF(AB138&gt;=2%,"Moderate","Low"))))</x:f>
        <x:v>High</x:v>
      </x:c>
      <x:c r="AF138" s="60" t="n">
        <x:v>32.829299</x:v>
      </x:c>
      <x:c r="AG138" s="60" t="n">
        <x:v>-117.127296</x:v>
      </x:c>
      <x:c r="AH138" s="44" t="str">
        <x:v>Undergraduate tuition-contribution proxy only; not an audited total institutional budget.</x:v>
      </x:c>
    </x:row>
    <x:row r="139">
      <x:c r="A139" s="16" t="n">
        <x:v>120184</x:v>
      </x:c>
      <x:c r="B139" s="16" t="str">
        <x:v>Notre Dame de Namur University</x:v>
      </x:c>
      <x:c r="C139" s="16" t="str">
        <x:v>CA</x:v>
      </x:c>
      <x:c r="D139" s="16" t="str">
        <x:v>Private nonprofit</x:v>
      </x:c>
      <x:c r="E139" s="34" t="n">
        <x:v>1097</x:v>
      </x:c>
      <x:c r="F139" s="21"/>
      <x:c r="G139" s="16" t="str">
        <x:v>Regional</x:v>
      </x:c>
      <x:c r="H139" s="36" t="n">
        <x:f>IF(G139="National",Assumptions!$B$11,IF(G139="Statewide",Assumptions!$B$12,Assumptions!$B$13))</x:f>
        <x:v>0.85</x:v>
      </x:c>
      <x:c r="I139" s="21" t="n">
        <x:v>-0.06638496203204658</x:v>
      </x:c>
      <x:c r="J139" s="21" t="n">
        <x:v>-0.13740068518113568</x:v>
      </x:c>
      <x:c r="K139" s="21" t="n">
        <x:v>-0.2731806039713064</x:v>
      </x:c>
      <x:c r="L139" s="36" t="n">
        <x:f>IF(Assumptions!$B$4=2030,I139,IF(Assumptions!$B$4=2035,J139,K139))</x:f>
        <x:v>-0.13740068518113568</x:v>
      </x:c>
      <x:c r="M139" s="36" t="n">
        <x:f>Assumptions!$B$19</x:f>
        <x:v>-0.04739891965741583</x:v>
      </x:c>
      <x:c r="N139" s="52" t="n">
        <x:f>H139*L139+(1-H139)*M139+O139</x:f>
        <x:v>-0.1239004203525777</x:v>
      </x:c>
      <x:c r="O139" s="36" t="n">
        <x:f>Assumptions!$B$10</x:f>
        <x:v>0</x:v>
      </x:c>
      <x:c r="P139" s="54" t="n">
        <x:f>E139*(1+N139)</x:f>
        <x:v>961.0812388732222</x:v>
      </x:c>
      <x:c r="Q139" s="54" t="n">
        <x:f>P139-E139</x:f>
        <x:v>-135.91876112677778</x:v>
      </x:c>
      <x:c r="R139" s="16" t="str">
        <x:v>No</x:v>
      </x:c>
      <x:c r="S139" s="56"/>
      <x:c r="T139" s="56"/>
      <x:c r="U139" s="40" t="n">
        <x:f>E139*Assumptions!$B$8</x:f>
        <x:v>932.4499999999999</x:v>
      </x:c>
      <x:c r="V139" s="40" t="n">
        <x:f>P139*Assumptions!$B$8</x:f>
        <x:v>816.9190530422388</x:v>
      </x:c>
      <x:c r="W139" s="54" t="n">
        <x:f>V139-U139</x:f>
        <x:v>-115.5309469577611</x:v>
      </x:c>
      <x:c r="X139" s="58" t="str">
        <x:f>IF(R139="No","",W139*S139)</x:f>
      </x:c>
      <x:c r="Y139" s="58" t="str">
        <x:f>IF(R139="No","",W139*T139*Assumptions!$B$9)</x:f>
      </x:c>
      <x:c r="Z139" s="58" t="str">
        <x:f>IF(R139="No","",X139-Y139)</x:f>
      </x:c>
      <x:c r="AA139" s="58" t="str">
        <x:f>IF(R139="No","",MAX(0,-Z139))</x:f>
      </x:c>
      <x:c r="AB139" s="52" t="str">
        <x:f>IF(OR(R139="No",U139*S139=0),"",AA139/(U139*S139))</x:f>
      </x:c>
      <x:c r="AC139" s="54" t="str">
        <x:f>IF(OR(R139="No",S139-T139*Assumptions!$B$9&lt;=0),"",AA139/(Assumptions!$B$8*(S139-T139*Assumptions!$B$9)))</x:f>
      </x:c>
      <x:c r="AD139" s="52" t="str">
        <x:f>IF(OR(R139="No",U139*S139=0),"",AA139/(U139*S139))</x:f>
      </x:c>
      <x:c r="AE139" s="50" t="str">
        <x:f>IF(R139="No","No finance data",IF(AB139&gt;=10%,"Severe",IF(AB139&gt;=5%,"High",IF(AB139&gt;=2%,"Moderate","Low"))))</x:f>
        <x:v>No finance data</x:v>
      </x:c>
      <x:c r="AF139" s="60"/>
      <x:c r="AG139" s="60"/>
      <x:c r="AH139" s="44" t="str">
        <x:v>Undergraduate tuition-contribution proxy only; not an audited total institutional budget.</x:v>
      </x:c>
    </x:row>
    <x:row r="140">
      <x:c r="A140" s="16" t="n">
        <x:v>120254</x:v>
      </x:c>
      <x:c r="B140" s="16" t="str">
        <x:v>Occidental College</x:v>
      </x:c>
      <x:c r="C140" s="16" t="str">
        <x:v>CA</x:v>
      </x:c>
      <x:c r="D140" s="16" t="str">
        <x:v>Private nonprofit</x:v>
      </x:c>
      <x:c r="E140" s="34" t="n">
        <x:v>1997</x:v>
      </x:c>
      <x:c r="F140" s="21" t="n">
        <x:v>0.3824</x:v>
      </x:c>
      <x:c r="G140" s="16" t="str">
        <x:v>Regional</x:v>
      </x:c>
      <x:c r="H140" s="36" t="n">
        <x:f>IF(G140="National",Assumptions!$B$11,IF(G140="Statewide",Assumptions!$B$12,Assumptions!$B$13))</x:f>
        <x:v>0.85</x:v>
      </x:c>
      <x:c r="I140" s="21" t="n">
        <x:v>-0.06638496203204658</x:v>
      </x:c>
      <x:c r="J140" s="21" t="n">
        <x:v>-0.13740068518113568</x:v>
      </x:c>
      <x:c r="K140" s="21" t="n">
        <x:v>-0.2731806039713064</x:v>
      </x:c>
      <x:c r="L140" s="36" t="n">
        <x:f>IF(Assumptions!$B$4=2030,I140,IF(Assumptions!$B$4=2035,J140,K140))</x:f>
        <x:v>-0.13740068518113568</x:v>
      </x:c>
      <x:c r="M140" s="36" t="n">
        <x:f>Assumptions!$B$19</x:f>
        <x:v>-0.04739891965741583</x:v>
      </x:c>
      <x:c r="N140" s="52" t="n">
        <x:f>H140*L140+(1-H140)*M140+O140</x:f>
        <x:v>-0.1239004203525777</x:v>
      </x:c>
      <x:c r="O140" s="36" t="n">
        <x:f>Assumptions!$B$10</x:f>
        <x:v>0</x:v>
      </x:c>
      <x:c r="P140" s="54" t="n">
        <x:f>E140*(1+N140)</x:f>
        <x:v>1749.5708605559023</x:v>
      </x:c>
      <x:c r="Q140" s="54" t="n">
        <x:f>P140-E140</x:f>
        <x:v>-247.4291394440977</x:v>
      </x:c>
      <x:c r="R140" s="16" t="str">
        <x:v>Yes</x:v>
      </x:c>
      <x:c r="S140" s="56" t="n">
        <x:v>27914</x:v>
      </x:c>
      <x:c r="T140" s="56" t="n">
        <x:v>19987</x:v>
      </x:c>
      <x:c r="U140" s="40" t="n">
        <x:f>E140*Assumptions!$B$8</x:f>
        <x:v>1697.45</x:v>
      </x:c>
      <x:c r="V140" s="40" t="n">
        <x:f>P140*Assumptions!$B$8</x:f>
        <x:v>1487.1352314725168</x:v>
      </x:c>
      <x:c r="W140" s="54" t="n">
        <x:f>V140-U140</x:f>
        <x:v>-210.31476852748324</x:v>
      </x:c>
      <x:c r="X140" s="58" t="n">
        <x:f>IF(R140="No","",W140*S140)</x:f>
        <x:v>-5870726.448676167</x:v>
      </x:c>
      <x:c r="Y140" s="58" t="n">
        <x:f>IF(R140="No","",W140*T140*Assumptions!$B$9)</x:f>
        <x:v>-1261068.3835676422</x:v>
      </x:c>
      <x:c r="Z140" s="58" t="n">
        <x:f>IF(R140="No","",X140-Y140)</x:f>
        <x:v>-4609658.065108525</x:v>
      </x:c>
      <x:c r="AA140" s="58" t="n">
        <x:f>IF(R140="No","",MAX(0,-Z140))</x:f>
        <x:v>4609658.065108525</x:v>
      </x:c>
      <x:c r="AB140" s="52" t="n">
        <x:f>IF(OR(R140="No",U140*S140=0),"",AA140/(U140*S140))</x:f>
        <x:v>0.0972858430624692</x:v>
      </x:c>
      <x:c r="AC140" s="54" t="n">
        <x:f>IF(OR(R140="No",S140-T140*Assumptions!$B$9&lt;=0),"",AA140/(Assumptions!$B$8*(S140-T140*Assumptions!$B$9)))</x:f>
        <x:v>247.4291394440979</x:v>
      </x:c>
      <x:c r="AD140" s="52" t="n">
        <x:f>IF(OR(R140="No",U140*S140=0),"",AA140/(U140*S140))</x:f>
        <x:v>0.0972858430624692</x:v>
      </x:c>
      <x:c r="AE140" s="50" t="str">
        <x:f>IF(R140="No","No finance data",IF(AB140&gt;=10%,"Severe",IF(AB140&gt;=5%,"High",IF(AB140&gt;=2%,"Moderate","Low"))))</x:f>
        <x:v>High</x:v>
      </x:c>
      <x:c r="AF140" s="60" t="n">
        <x:v>34.127124</x:v>
      </x:c>
      <x:c r="AG140" s="60" t="n">
        <x:v>-118.210908</x:v>
      </x:c>
      <x:c r="AH140" s="44" t="str">
        <x:v>Undergraduate tuition-contribution proxy only; not an audited total institutional budget.</x:v>
      </x:c>
    </x:row>
    <x:row r="141">
      <x:c r="A141" s="16" t="n">
        <x:v>120403</x:v>
      </x:c>
      <x:c r="B141" s="16" t="str">
        <x:v>Otis College of Art and Design</x:v>
      </x:c>
      <x:c r="C141" s="16" t="str">
        <x:v>CA</x:v>
      </x:c>
      <x:c r="D141" s="16" t="str">
        <x:v>Private nonprofit</x:v>
      </x:c>
      <x:c r="E141" s="34" t="n">
        <x:v>1099</x:v>
      </x:c>
      <x:c r="F141" s="21" t="n">
        <x:v>0.7982</x:v>
      </x:c>
      <x:c r="G141" s="16" t="str">
        <x:v>Regional</x:v>
      </x:c>
      <x:c r="H141" s="36" t="n">
        <x:f>IF(G141="National",Assumptions!$B$11,IF(G141="Statewide",Assumptions!$B$12,Assumptions!$B$13))</x:f>
        <x:v>0.85</x:v>
      </x:c>
      <x:c r="I141" s="21" t="n">
        <x:v>-0.06638496203204658</x:v>
      </x:c>
      <x:c r="J141" s="21" t="n">
        <x:v>-0.13740068518113568</x:v>
      </x:c>
      <x:c r="K141" s="21" t="n">
        <x:v>-0.2731806039713064</x:v>
      </x:c>
      <x:c r="L141" s="36" t="n">
        <x:f>IF(Assumptions!$B$4=2030,I141,IF(Assumptions!$B$4=2035,J141,K141))</x:f>
        <x:v>-0.13740068518113568</x:v>
      </x:c>
      <x:c r="M141" s="36" t="n">
        <x:f>Assumptions!$B$19</x:f>
        <x:v>-0.04739891965741583</x:v>
      </x:c>
      <x:c r="N141" s="52" t="n">
        <x:f>H141*L141+(1-H141)*M141+O141</x:f>
        <x:v>-0.1239004203525777</x:v>
      </x:c>
      <x:c r="O141" s="36" t="n">
        <x:f>Assumptions!$B$10</x:f>
        <x:v>0</x:v>
      </x:c>
      <x:c r="P141" s="54" t="n">
        <x:f>E141*(1+N141)</x:f>
        <x:v>962.833438032517</x:v>
      </x:c>
      <x:c r="Q141" s="54" t="n">
        <x:f>P141-E141</x:f>
        <x:v>-136.16656196748295</x:v>
      </x:c>
      <x:c r="R141" s="16" t="str">
        <x:v>Yes</x:v>
      </x:c>
      <x:c r="S141" s="56" t="n">
        <x:v>25693</x:v>
      </x:c>
      <x:c r="T141" s="56" t="n">
        <x:v>17567</x:v>
      </x:c>
      <x:c r="U141" s="40" t="n">
        <x:f>E141*Assumptions!$B$8</x:f>
        <x:v>934.15</x:v>
      </x:c>
      <x:c r="V141" s="40" t="n">
        <x:f>P141*Assumptions!$B$8</x:f>
        <x:v>818.4084223276395</x:v>
      </x:c>
      <x:c r="W141" s="54" t="n">
        <x:f>V141-U141</x:f>
        <x:v>-115.74157767236045</x:v>
      </x:c>
      <x:c r="X141" s="58" t="n">
        <x:f>IF(R141="No","",W141*S141)</x:f>
        <x:v>-2973748.3551359572</x:v>
      </x:c>
      <x:c r="Y141" s="58" t="n">
        <x:f>IF(R141="No","",W141*T141*Assumptions!$B$9)</x:f>
        <x:v>-609969.6884911067</x:v>
      </x:c>
      <x:c r="Z141" s="58" t="n">
        <x:f>IF(R141="No","",X141-Y141)</x:f>
        <x:v>-2363778.6666448507</x:v>
      </x:c>
      <x:c r="AA141" s="58" t="n">
        <x:f>IF(R141="No","",MAX(0,-Z141))</x:f>
        <x:v>2363778.6666448507</x:v>
      </x:c>
      <x:c r="AB141" s="52" t="n">
        <x:f>IF(OR(R141="No",U141*S141=0),"",AA141/(U141*S141))</x:f>
        <x:v>0.09848619837382398</x:v>
      </x:c>
      <x:c r="AC141" s="54" t="n">
        <x:f>IF(OR(R141="No",S141-T141*Assumptions!$B$9&lt;=0),"",AA141/(Assumptions!$B$8*(S141-T141*Assumptions!$B$9)))</x:f>
        <x:v>136.16656196748292</x:v>
      </x:c>
      <x:c r="AD141" s="52" t="n">
        <x:f>IF(OR(R141="No",U141*S141=0),"",AA141/(U141*S141))</x:f>
        <x:v>0.09848619837382398</x:v>
      </x:c>
      <x:c r="AE141" s="50" t="str">
        <x:f>IF(R141="No","No finance data",IF(AB141&gt;=10%,"Severe",IF(AB141&gt;=5%,"High",IF(AB141&gt;=2%,"Moderate","Low"))))</x:f>
        <x:v>High</x:v>
      </x:c>
      <x:c r="AF141" s="60" t="n">
        <x:v>33.956607</x:v>
      </x:c>
      <x:c r="AG141" s="60" t="n">
        <x:v>-118.416615</x:v>
      </x:c>
      <x:c r="AH141" s="44" t="str">
        <x:v>Undergraduate tuition-contribution proxy only; not an audited total institutional budget.</x:v>
      </x:c>
    </x:row>
    <x:row r="142">
      <x:c r="A142" s="16" t="n">
        <x:v>120768</x:v>
      </x:c>
      <x:c r="B142" s="16" t="str">
        <x:v>Pacific Oaks College</x:v>
      </x:c>
      <x:c r="C142" s="16" t="str">
        <x:v>CA</x:v>
      </x:c>
      <x:c r="D142" s="16" t="str">
        <x:v>Private nonprofit</x:v>
      </x:c>
      <x:c r="E142" s="34" t="n">
        <x:v>543</x:v>
      </x:c>
      <x:c r="F142" s="21"/>
      <x:c r="G142" s="16" t="str">
        <x:v>Regional</x:v>
      </x:c>
      <x:c r="H142" s="36" t="n">
        <x:f>IF(G142="National",Assumptions!$B$11,IF(G142="Statewide",Assumptions!$B$12,Assumptions!$B$13))</x:f>
        <x:v>0.85</x:v>
      </x:c>
      <x:c r="I142" s="21" t="n">
        <x:v>-0.06638496203204658</x:v>
      </x:c>
      <x:c r="J142" s="21" t="n">
        <x:v>-0.13740068518113568</x:v>
      </x:c>
      <x:c r="K142" s="21" t="n">
        <x:v>-0.2731806039713064</x:v>
      </x:c>
      <x:c r="L142" s="36" t="n">
        <x:f>IF(Assumptions!$B$4=2030,I142,IF(Assumptions!$B$4=2035,J142,K142))</x:f>
        <x:v>-0.13740068518113568</x:v>
      </x:c>
      <x:c r="M142" s="36" t="n">
        <x:f>Assumptions!$B$19</x:f>
        <x:v>-0.04739891965741583</x:v>
      </x:c>
      <x:c r="N142" s="52" t="n">
        <x:f>H142*L142+(1-H142)*M142+O142</x:f>
        <x:v>-0.1239004203525777</x:v>
      </x:c>
      <x:c r="O142" s="36" t="n">
        <x:f>Assumptions!$B$10</x:f>
        <x:v>0</x:v>
      </x:c>
      <x:c r="P142" s="54" t="n">
        <x:f>E142*(1+N142)</x:f>
        <x:v>475.72207174855026</x:v>
      </x:c>
      <x:c r="Q142" s="54" t="n">
        <x:f>P142-E142</x:f>
        <x:v>-67.27792825144974</x:v>
      </x:c>
      <x:c r="R142" s="16" t="str">
        <x:v>No</x:v>
      </x:c>
      <x:c r="S142" s="56"/>
      <x:c r="T142" s="56"/>
      <x:c r="U142" s="40" t="n">
        <x:f>E142*Assumptions!$B$8</x:f>
        <x:v>461.55</x:v>
      </x:c>
      <x:c r="V142" s="40" t="n">
        <x:f>P142*Assumptions!$B$8</x:f>
        <x:v>404.3637609862677</x:v>
      </x:c>
      <x:c r="W142" s="54" t="n">
        <x:f>V142-U142</x:f>
        <x:v>-57.18623901373229</x:v>
      </x:c>
      <x:c r="X142" s="58" t="str">
        <x:f>IF(R142="No","",W142*S142)</x:f>
      </x:c>
      <x:c r="Y142" s="58" t="str">
        <x:f>IF(R142="No","",W142*T142*Assumptions!$B$9)</x:f>
      </x:c>
      <x:c r="Z142" s="58" t="str">
        <x:f>IF(R142="No","",X142-Y142)</x:f>
      </x:c>
      <x:c r="AA142" s="58" t="str">
        <x:f>IF(R142="No","",MAX(0,-Z142))</x:f>
      </x:c>
      <x:c r="AB142" s="52" t="str">
        <x:f>IF(OR(R142="No",U142*S142=0),"",AA142/(U142*S142))</x:f>
      </x:c>
      <x:c r="AC142" s="54" t="str">
        <x:f>IF(OR(R142="No",S142-T142*Assumptions!$B$9&lt;=0),"",AA142/(Assumptions!$B$8*(S142-T142*Assumptions!$B$9)))</x:f>
      </x:c>
      <x:c r="AD142" s="52" t="str">
        <x:f>IF(OR(R142="No",U142*S142=0),"",AA142/(U142*S142))</x:f>
      </x:c>
      <x:c r="AE142" s="50" t="str">
        <x:f>IF(R142="No","No finance data",IF(AB142&gt;=10%,"Severe",IF(AB142&gt;=5%,"High",IF(AB142&gt;=2%,"Moderate","Low"))))</x:f>
        <x:v>No finance data</x:v>
      </x:c>
      <x:c r="AF142" s="60"/>
      <x:c r="AG142" s="60"/>
      <x:c r="AH142" s="44" t="str">
        <x:v>Undergraduate tuition-contribution proxy only; not an audited total institutional budget.</x:v>
      </x:c>
    </x:row>
    <x:row r="143">
      <x:c r="A143" s="16" t="n">
        <x:v>120838</x:v>
      </x:c>
      <x:c r="B143" s="16" t="str">
        <x:v>Pacific States University</x:v>
      </x:c>
      <x:c r="C143" s="16" t="str">
        <x:v>CA</x:v>
      </x:c>
      <x:c r="D143" s="16" t="str">
        <x:v>Private nonprofit</x:v>
      </x:c>
      <x:c r="E143" s="34" t="n">
        <x:v>15</x:v>
      </x:c>
      <x:c r="F143" s="21"/>
      <x:c r="G143" s="16" t="str">
        <x:v>Regional</x:v>
      </x:c>
      <x:c r="H143" s="36" t="n">
        <x:f>IF(G143="National",Assumptions!$B$11,IF(G143="Statewide",Assumptions!$B$12,Assumptions!$B$13))</x:f>
        <x:v>0.85</x:v>
      </x:c>
      <x:c r="I143" s="21" t="n">
        <x:v>-0.06638496203204658</x:v>
      </x:c>
      <x:c r="J143" s="21" t="n">
        <x:v>-0.13740068518113568</x:v>
      </x:c>
      <x:c r="K143" s="21" t="n">
        <x:v>-0.2731806039713064</x:v>
      </x:c>
      <x:c r="L143" s="36" t="n">
        <x:f>IF(Assumptions!$B$4=2030,I143,IF(Assumptions!$B$4=2035,J143,K143))</x:f>
        <x:v>-0.13740068518113568</x:v>
      </x:c>
      <x:c r="M143" s="36" t="n">
        <x:f>Assumptions!$B$19</x:f>
        <x:v>-0.04739891965741583</x:v>
      </x:c>
      <x:c r="N143" s="52" t="n">
        <x:f>H143*L143+(1-H143)*M143+O143</x:f>
        <x:v>-0.1239004203525777</x:v>
      </x:c>
      <x:c r="O143" s="36" t="n">
        <x:f>Assumptions!$B$10</x:f>
        <x:v>0</x:v>
      </x:c>
      <x:c r="P143" s="54" t="n">
        <x:f>E143*(1+N143)</x:f>
        <x:v>13.141493694711334</x:v>
      </x:c>
      <x:c r="Q143" s="54" t="n">
        <x:f>P143-E143</x:f>
        <x:v>-1.8585063052886657</x:v>
      </x:c>
      <x:c r="R143" s="16" t="str">
        <x:v>No</x:v>
      </x:c>
      <x:c r="S143" s="56"/>
      <x:c r="T143" s="56"/>
      <x:c r="U143" s="40" t="n">
        <x:f>E143*Assumptions!$B$8</x:f>
        <x:v>12.75</x:v>
      </x:c>
      <x:c r="V143" s="40" t="n">
        <x:f>P143*Assumptions!$B$8</x:f>
        <x:v>11.170269640504634</x:v>
      </x:c>
      <x:c r="W143" s="54" t="n">
        <x:f>V143-U143</x:f>
        <x:v>-1.5797303594953664</x:v>
      </x:c>
      <x:c r="X143" s="58" t="str">
        <x:f>IF(R143="No","",W143*S143)</x:f>
      </x:c>
      <x:c r="Y143" s="58" t="str">
        <x:f>IF(R143="No","",W143*T143*Assumptions!$B$9)</x:f>
      </x:c>
      <x:c r="Z143" s="58" t="str">
        <x:f>IF(R143="No","",X143-Y143)</x:f>
      </x:c>
      <x:c r="AA143" s="58" t="str">
        <x:f>IF(R143="No","",MAX(0,-Z143))</x:f>
      </x:c>
      <x:c r="AB143" s="52" t="str">
        <x:f>IF(OR(R143="No",U143*S143=0),"",AA143/(U143*S143))</x:f>
      </x:c>
      <x:c r="AC143" s="54" t="str">
        <x:f>IF(OR(R143="No",S143-T143*Assumptions!$B$9&lt;=0),"",AA143/(Assumptions!$B$8*(S143-T143*Assumptions!$B$9)))</x:f>
      </x:c>
      <x:c r="AD143" s="52" t="str">
        <x:f>IF(OR(R143="No",U143*S143=0),"",AA143/(U143*S143))</x:f>
      </x:c>
      <x:c r="AE143" s="50" t="str">
        <x:f>IF(R143="No","No finance data",IF(AB143&gt;=10%,"Severe",IF(AB143&gt;=5%,"High",IF(AB143&gt;=2%,"Moderate","Low"))))</x:f>
        <x:v>No finance data</x:v>
      </x:c>
      <x:c r="AF143" s="60"/>
      <x:c r="AG143" s="60"/>
      <x:c r="AH143" s="44" t="str">
        <x:v>Undergraduate tuition-contribution proxy only; not an audited total institutional budget.</x:v>
      </x:c>
    </x:row>
    <x:row r="144">
      <x:c r="A144" s="16" t="n">
        <x:v>120865</x:v>
      </x:c>
      <x:c r="B144" s="16" t="str">
        <x:v>Pacific Union College</x:v>
      </x:c>
      <x:c r="C144" s="16" t="str">
        <x:v>CA</x:v>
      </x:c>
      <x:c r="D144" s="16" t="str">
        <x:v>Private nonprofit</x:v>
      </x:c>
      <x:c r="E144" s="34" t="n">
        <x:v>1508</x:v>
      </x:c>
      <x:c r="F144" s="21" t="n">
        <x:v>0.5773</x:v>
      </x:c>
      <x:c r="G144" s="16" t="str">
        <x:v>Regional</x:v>
      </x:c>
      <x:c r="H144" s="36" t="n">
        <x:f>IF(G144="National",Assumptions!$B$11,IF(G144="Statewide",Assumptions!$B$12,Assumptions!$B$13))</x:f>
        <x:v>0.85</x:v>
      </x:c>
      <x:c r="I144" s="21" t="n">
        <x:v>-0.06638496203204658</x:v>
      </x:c>
      <x:c r="J144" s="21" t="n">
        <x:v>-0.13740068518113568</x:v>
      </x:c>
      <x:c r="K144" s="21" t="n">
        <x:v>-0.2731806039713064</x:v>
      </x:c>
      <x:c r="L144" s="36" t="n">
        <x:f>IF(Assumptions!$B$4=2030,I144,IF(Assumptions!$B$4=2035,J144,K144))</x:f>
        <x:v>-0.13740068518113568</x:v>
      </x:c>
      <x:c r="M144" s="36" t="n">
        <x:f>Assumptions!$B$19</x:f>
        <x:v>-0.04739891965741583</x:v>
      </x:c>
      <x:c r="N144" s="52" t="n">
        <x:f>H144*L144+(1-H144)*M144+O144</x:f>
        <x:v>-0.1239004203525777</x:v>
      </x:c>
      <x:c r="O144" s="36" t="n">
        <x:f>Assumptions!$B$10</x:f>
        <x:v>0</x:v>
      </x:c>
      <x:c r="P144" s="54" t="n">
        <x:f>E144*(1+N144)</x:f>
        <x:v>1321.1581661083128</x:v>
      </x:c>
      <x:c r="Q144" s="54" t="n">
        <x:f>P144-E144</x:f>
        <x:v>-186.8418338916872</x:v>
      </x:c>
      <x:c r="R144" s="16" t="str">
        <x:v>Yes</x:v>
      </x:c>
      <x:c r="S144" s="56" t="n">
        <x:v>16952</x:v>
      </x:c>
      <x:c r="T144" s="56" t="n">
        <x:v>16158</x:v>
      </x:c>
      <x:c r="U144" s="40" t="n">
        <x:f>E144*Assumptions!$B$8</x:f>
        <x:v>1281.8</x:v>
      </x:c>
      <x:c r="V144" s="40" t="n">
        <x:f>P144*Assumptions!$B$8</x:f>
        <x:v>1122.9844411920658</x:v>
      </x:c>
      <x:c r="W144" s="54" t="n">
        <x:f>V144-U144</x:f>
        <x:v>-158.81555880793417</x:v>
      </x:c>
      <x:c r="X144" s="58" t="n">
        <x:f>IF(R144="No","",W144*S144)</x:f>
        <x:v>-2692241.3529121</x:v>
      </x:c>
      <x:c r="Y144" s="58" t="n">
        <x:f>IF(R144="No","",W144*T144*Assumptions!$B$9)</x:f>
        <x:v>-769842.53976558</x:v>
      </x:c>
      <x:c r="Z144" s="58" t="n">
        <x:f>IF(R144="No","",X144-Y144)</x:f>
        <x:v>-1922398.81314652</x:v>
      </x:c>
      <x:c r="AA144" s="58" t="n">
        <x:f>IF(R144="No","",MAX(0,-Z144))</x:f>
        <x:v>1922398.81314652</x:v>
      </x:c>
      <x:c r="AB144" s="52" t="n">
        <x:f>IF(OR(R144="No",U144*S144=0),"",AA144/(U144*S144))</x:f>
        <x:v>0.08847127348984267</x:v>
      </x:c>
      <x:c r="AC144" s="54" t="n">
        <x:f>IF(OR(R144="No",S144-T144*Assumptions!$B$9&lt;=0),"",AA144/(Assumptions!$B$8*(S144-T144*Assumptions!$B$9)))</x:f>
        <x:v>186.84183389168726</x:v>
      </x:c>
      <x:c r="AD144" s="52" t="n">
        <x:f>IF(OR(R144="No",U144*S144=0),"",AA144/(U144*S144))</x:f>
        <x:v>0.08847127348984267</x:v>
      </x:c>
      <x:c r="AE144" s="50" t="str">
        <x:f>IF(R144="No","No finance data",IF(AB144&gt;=10%,"Severe",IF(AB144&gt;=5%,"High",IF(AB144&gt;=2%,"Moderate","Low"))))</x:f>
        <x:v>High</x:v>
      </x:c>
      <x:c r="AF144" s="60" t="n">
        <x:v>38.570585</x:v>
      </x:c>
      <x:c r="AG144" s="60" t="n">
        <x:v>-122.440308</x:v>
      </x:c>
      <x:c r="AH144" s="44" t="str">
        <x:v>Undergraduate tuition-contribution proxy only; not an audited total institutional budget.</x:v>
      </x:c>
    </x:row>
    <x:row r="145">
      <x:c r="A145" s="16" t="n">
        <x:v>120698</x:v>
      </x:c>
      <x:c r="B145" s="16" t="str">
        <x:v>Palo Alto University</x:v>
      </x:c>
      <x:c r="C145" s="16" t="str">
        <x:v>CA</x:v>
      </x:c>
      <x:c r="D145" s="16" t="str">
        <x:v>Private nonprofit</x:v>
      </x:c>
      <x:c r="E145" s="34" t="n">
        <x:v>168</x:v>
      </x:c>
      <x:c r="F145" s="21"/>
      <x:c r="G145" s="16" t="str">
        <x:v>Regional</x:v>
      </x:c>
      <x:c r="H145" s="36" t="n">
        <x:f>IF(G145="National",Assumptions!$B$11,IF(G145="Statewide",Assumptions!$B$12,Assumptions!$B$13))</x:f>
        <x:v>0.85</x:v>
      </x:c>
      <x:c r="I145" s="21" t="n">
        <x:v>-0.06638496203204658</x:v>
      </x:c>
      <x:c r="J145" s="21" t="n">
        <x:v>-0.13740068518113568</x:v>
      </x:c>
      <x:c r="K145" s="21" t="n">
        <x:v>-0.2731806039713064</x:v>
      </x:c>
      <x:c r="L145" s="36" t="n">
        <x:f>IF(Assumptions!$B$4=2030,I145,IF(Assumptions!$B$4=2035,J145,K145))</x:f>
        <x:v>-0.13740068518113568</x:v>
      </x:c>
      <x:c r="M145" s="36" t="n">
        <x:f>Assumptions!$B$19</x:f>
        <x:v>-0.04739891965741583</x:v>
      </x:c>
      <x:c r="N145" s="52" t="n">
        <x:f>H145*L145+(1-H145)*M145+O145</x:f>
        <x:v>-0.1239004203525777</x:v>
      </x:c>
      <x:c r="O145" s="36" t="n">
        <x:f>Assumptions!$B$10</x:f>
        <x:v>0</x:v>
      </x:c>
      <x:c r="P145" s="54" t="n">
        <x:f>E145*(1+N145)</x:f>
        <x:v>147.18472938076692</x:v>
      </x:c>
      <x:c r="Q145" s="54" t="n">
        <x:f>P145-E145</x:f>
        <x:v>-20.815270619233075</x:v>
      </x:c>
      <x:c r="R145" s="16" t="str">
        <x:v>No</x:v>
      </x:c>
      <x:c r="S145" s="56"/>
      <x:c r="T145" s="56"/>
      <x:c r="U145" s="40" t="n">
        <x:f>E145*Assumptions!$B$8</x:f>
        <x:v>142.79999999999998</x:v>
      </x:c>
      <x:c r="V145" s="40" t="n">
        <x:f>P145*Assumptions!$B$8</x:f>
        <x:v>125.10701997365189</x:v>
      </x:c>
      <x:c r="W145" s="54" t="n">
        <x:f>V145-U145</x:f>
        <x:v>-17.692980026348096</x:v>
      </x:c>
      <x:c r="X145" s="58" t="str">
        <x:f>IF(R145="No","",W145*S145)</x:f>
      </x:c>
      <x:c r="Y145" s="58" t="str">
        <x:f>IF(R145="No","",W145*T145*Assumptions!$B$9)</x:f>
      </x:c>
      <x:c r="Z145" s="58" t="str">
        <x:f>IF(R145="No","",X145-Y145)</x:f>
      </x:c>
      <x:c r="AA145" s="58" t="str">
        <x:f>IF(R145="No","",MAX(0,-Z145))</x:f>
      </x:c>
      <x:c r="AB145" s="52" t="str">
        <x:f>IF(OR(R145="No",U145*S145=0),"",AA145/(U145*S145))</x:f>
      </x:c>
      <x:c r="AC145" s="54" t="str">
        <x:f>IF(OR(R145="No",S145-T145*Assumptions!$B$9&lt;=0),"",AA145/(Assumptions!$B$8*(S145-T145*Assumptions!$B$9)))</x:f>
      </x:c>
      <x:c r="AD145" s="52" t="str">
        <x:f>IF(OR(R145="No",U145*S145=0),"",AA145/(U145*S145))</x:f>
      </x:c>
      <x:c r="AE145" s="50" t="str">
        <x:f>IF(R145="No","No finance data",IF(AB145&gt;=10%,"Severe",IF(AB145&gt;=5%,"High",IF(AB145&gt;=2%,"Moderate","Low"))))</x:f>
        <x:v>No finance data</x:v>
      </x:c>
      <x:c r="AF145" s="60"/>
      <x:c r="AG145" s="60"/>
      <x:c r="AH145" s="44" t="str">
        <x:v>Undergraduate tuition-contribution proxy only; not an audited total institutional budget.</x:v>
      </x:c>
    </x:row>
    <x:row r="146">
      <x:c r="A146" s="16" t="n">
        <x:v>121150</x:v>
      </x:c>
      <x:c r="B146" s="16" t="str">
        <x:v>Pepperdine University</x:v>
      </x:c>
      <x:c r="C146" s="16" t="str">
        <x:v>CA</x:v>
      </x:c>
      <x:c r="D146" s="16" t="str">
        <x:v>Private nonprofit</x:v>
      </x:c>
      <x:c r="E146" s="34" t="n">
        <x:v>3514</x:v>
      </x:c>
      <x:c r="F146" s="21" t="n">
        <x:v>0.5271</x:v>
      </x:c>
      <x:c r="G146" s="16" t="str">
        <x:v>Regional</x:v>
      </x:c>
      <x:c r="H146" s="36" t="n">
        <x:f>IF(G146="National",Assumptions!$B$11,IF(G146="Statewide",Assumptions!$B$12,Assumptions!$B$13))</x:f>
        <x:v>0.85</x:v>
      </x:c>
      <x:c r="I146" s="21" t="n">
        <x:v>-0.06638496203204658</x:v>
      </x:c>
      <x:c r="J146" s="21" t="n">
        <x:v>-0.13740068518113568</x:v>
      </x:c>
      <x:c r="K146" s="21" t="n">
        <x:v>-0.2731806039713064</x:v>
      </x:c>
      <x:c r="L146" s="36" t="n">
        <x:f>IF(Assumptions!$B$4=2030,I146,IF(Assumptions!$B$4=2035,J146,K146))</x:f>
        <x:v>-0.13740068518113568</x:v>
      </x:c>
      <x:c r="M146" s="36" t="n">
        <x:f>Assumptions!$B$19</x:f>
        <x:v>-0.04739891965741583</x:v>
      </x:c>
      <x:c r="N146" s="52" t="n">
        <x:f>H146*L146+(1-H146)*M146+O146</x:f>
        <x:v>-0.1239004203525777</x:v>
      </x:c>
      <x:c r="O146" s="36" t="n">
        <x:f>Assumptions!$B$10</x:f>
        <x:v>0</x:v>
      </x:c>
      <x:c r="P146" s="54" t="n">
        <x:f>E146*(1+N146)</x:f>
        <x:v>3078.6139228810416</x:v>
      </x:c>
      <x:c r="Q146" s="54" t="n">
        <x:f>P146-E146</x:f>
        <x:v>-435.3860771189584</x:v>
      </x:c>
      <x:c r="R146" s="16" t="str">
        <x:v>Yes</x:v>
      </x:c>
      <x:c r="S146" s="56" t="n">
        <x:v>28457</x:v>
      </x:c>
      <x:c r="T146" s="56" t="n">
        <x:v>10791</x:v>
      </x:c>
      <x:c r="U146" s="40" t="n">
        <x:f>E146*Assumptions!$B$8</x:f>
        <x:v>2986.9</x:v>
      </x:c>
      <x:c r="V146" s="40" t="n">
        <x:f>P146*Assumptions!$B$8</x:f>
        <x:v>2616.8218344488855</x:v>
      </x:c>
      <x:c r="W146" s="54" t="n">
        <x:f>V146-U146</x:f>
        <x:v>-370.0781655511146</x:v>
      </x:c>
      <x:c r="X146" s="58" t="n">
        <x:f>IF(R146="No","",W146*S146)</x:f>
        <x:v>-10531314.357088069</x:v>
      </x:c>
      <x:c r="Y146" s="58" t="n">
        <x:f>IF(R146="No","",W146*T146*Assumptions!$B$9)</x:f>
        <x:v>-1198054.0453386232</x:v>
      </x:c>
      <x:c r="Z146" s="58" t="n">
        <x:f>IF(R146="No","",X146-Y146)</x:f>
        <x:v>-9333260.311749445</x:v>
      </x:c>
      <x:c r="AA146" s="58" t="n">
        <x:f>IF(R146="No","",MAX(0,-Z146))</x:f>
        <x:v>9333260.311749445</x:v>
      </x:c>
      <x:c r="AB146" s="52" t="n">
        <x:f>IF(OR(R146="No",U146*S146=0),"",AA146/(U146*S146))</x:f>
        <x:v>0.10980537060005996</x:v>
      </x:c>
      <x:c r="AC146" s="54" t="n">
        <x:f>IF(OR(R146="No",S146-T146*Assumptions!$B$9&lt;=0),"",AA146/(Assumptions!$B$8*(S146-T146*Assumptions!$B$9)))</x:f>
        <x:v>435.3860771189584</x:v>
      </x:c>
      <x:c r="AD146" s="52" t="n">
        <x:f>IF(OR(R146="No",U146*S146=0),"",AA146/(U146*S146))</x:f>
        <x:v>0.10980537060005996</x:v>
      </x:c>
      <x:c r="AE146" s="50" t="str">
        <x:f>IF(R146="No","No finance data",IF(AB146&gt;=10%,"Severe",IF(AB146&gt;=5%,"High",IF(AB146&gt;=2%,"Moderate","Low"))))</x:f>
        <x:v>Severe</x:v>
      </x:c>
      <x:c r="AF146" s="60" t="n">
        <x:v>34.037786</x:v>
      </x:c>
      <x:c r="AG146" s="60" t="n">
        <x:v>-118.707077</x:v>
      </x:c>
      <x:c r="AH146" s="44" t="str">
        <x:v>Undergraduate tuition-contribution proxy only; not an audited total institutional budget.</x:v>
      </x:c>
    </x:row>
    <x:row r="147">
      <x:c r="A147" s="16" t="n">
        <x:v>121257</x:v>
      </x:c>
      <x:c r="B147" s="16" t="str">
        <x:v>Pitzer College</x:v>
      </x:c>
      <x:c r="C147" s="16" t="str">
        <x:v>CA</x:v>
      </x:c>
      <x:c r="D147" s="16" t="str">
        <x:v>Private nonprofit</x:v>
      </x:c>
      <x:c r="E147" s="34" t="n">
        <x:v>1067</x:v>
      </x:c>
      <x:c r="F147" s="21" t="n">
        <x:v>0.1831</x:v>
      </x:c>
      <x:c r="G147" s="16" t="str">
        <x:v>National</x:v>
      </x:c>
      <x:c r="H147" s="36" t="n">
        <x:f>IF(G147="National",Assumptions!$B$11,IF(G147="Statewide",Assumptions!$B$12,Assumptions!$B$13))</x:f>
        <x:v>0.25</x:v>
      </x:c>
      <x:c r="I147" s="21" t="n">
        <x:v>-0.06638496203204658</x:v>
      </x:c>
      <x:c r="J147" s="21" t="n">
        <x:v>-0.13740068518113568</x:v>
      </x:c>
      <x:c r="K147" s="21" t="n">
        <x:v>-0.2731806039713064</x:v>
      </x:c>
      <x:c r="L147" s="36" t="n">
        <x:f>IF(Assumptions!$B$4=2030,I147,IF(Assumptions!$B$4=2035,J147,K147))</x:f>
        <x:v>-0.13740068518113568</x:v>
      </x:c>
      <x:c r="M147" s="36" t="n">
        <x:f>Assumptions!$B$19</x:f>
        <x:v>-0.04739891965741583</x:v>
      </x:c>
      <x:c r="N147" s="52" t="n">
        <x:f>H147*L147+(1-H147)*M147+O147</x:f>
        <x:v>-0.06989936103834579</x:v>
      </x:c>
      <x:c r="O147" s="36" t="n">
        <x:f>Assumptions!$B$10</x:f>
        <x:v>0</x:v>
      </x:c>
      <x:c r="P147" s="54" t="n">
        <x:f>E147*(1+N147)</x:f>
        <x:v>992.417381772085</x:v>
      </x:c>
      <x:c r="Q147" s="54" t="n">
        <x:f>P147-E147</x:f>
        <x:v>-74.58261822791496</x:v>
      </x:c>
      <x:c r="R147" s="16" t="str">
        <x:v>Yes</x:v>
      </x:c>
      <x:c r="S147" s="56" t="n">
        <x:v>42755</x:v>
      </x:c>
      <x:c r="T147" s="56" t="n">
        <x:v>26664</x:v>
      </x:c>
      <x:c r="U147" s="40" t="n">
        <x:f>E147*Assumptions!$B$8</x:f>
        <x:v>906.9499999999999</x:v>
      </x:c>
      <x:c r="V147" s="40" t="n">
        <x:f>P147*Assumptions!$B$8</x:f>
        <x:v>843.5547745062722</x:v>
      </x:c>
      <x:c r="W147" s="54" t="n">
        <x:f>V147-U147</x:f>
        <x:v>-63.39522549372771</x:v>
      </x:c>
      <x:c r="X147" s="58" t="n">
        <x:f>IF(R147="No","",W147*S147)</x:f>
        <x:v>-2710462.865984328</x:v>
      </x:c>
      <x:c r="Y147" s="58" t="n">
        <x:f>IF(R147="No","",W147*T147*Assumptions!$B$9)</x:f>
        <x:v>-507111.08776942664</x:v>
      </x:c>
      <x:c r="Z147" s="58" t="n">
        <x:f>IF(R147="No","",X147-Y147)</x:f>
        <x:v>-2203351.7782149017</x:v>
      </x:c>
      <x:c r="AA147" s="58" t="n">
        <x:f>IF(R147="No","",MAX(0,-Z147))</x:f>
        <x:v>2203351.7782149017</x:v>
      </x:c>
      <x:c r="AB147" s="52" t="n">
        <x:f>IF(OR(R147="No",U147*S147=0),"",AA147/(U147*S147))</x:f>
        <x:v>0.05682161647471731</x:v>
      </x:c>
      <x:c r="AC147" s="54" t="n">
        <x:f>IF(OR(R147="No",S147-T147*Assumptions!$B$9&lt;=0),"",AA147/(Assumptions!$B$8*(S147-T147*Assumptions!$B$9)))</x:f>
        <x:v>74.58261822791496</x:v>
      </x:c>
      <x:c r="AD147" s="52" t="n">
        <x:f>IF(OR(R147="No",U147*S147=0),"",AA147/(U147*S147))</x:f>
        <x:v>0.05682161647471731</x:v>
      </x:c>
      <x:c r="AE147" s="50" t="str">
        <x:f>IF(R147="No","No finance data",IF(AB147&gt;=10%,"Severe",IF(AB147&gt;=5%,"High",IF(AB147&gt;=2%,"Moderate","Low"))))</x:f>
        <x:v>High</x:v>
      </x:c>
      <x:c r="AF147" s="60" t="n">
        <x:v>34.104107</x:v>
      </x:c>
      <x:c r="AG147" s="60" t="n">
        <x:v>-117.706675</x:v>
      </x:c>
      <x:c r="AH147" s="44" t="str">
        <x:v>Undergraduate tuition-contribution proxy only; not an audited total institutional budget.</x:v>
      </x:c>
    </x:row>
    <x:row r="148">
      <x:c r="A148" s="16" t="n">
        <x:v>121309</x:v>
      </x:c>
      <x:c r="B148" s="16" t="str">
        <x:v>Point Loma Nazarene University</x:v>
      </x:c>
      <x:c r="C148" s="16" t="str">
        <x:v>CA</x:v>
      </x:c>
      <x:c r="D148" s="16" t="str">
        <x:v>Private nonprofit</x:v>
      </x:c>
      <x:c r="E148" s="34" t="n">
        <x:v>2763</x:v>
      </x:c>
      <x:c r="F148" s="21" t="n">
        <x:v>0.8366</x:v>
      </x:c>
      <x:c r="G148" s="16" t="str">
        <x:v>Regional</x:v>
      </x:c>
      <x:c r="H148" s="36" t="n">
        <x:f>IF(G148="National",Assumptions!$B$11,IF(G148="Statewide",Assumptions!$B$12,Assumptions!$B$13))</x:f>
        <x:v>0.85</x:v>
      </x:c>
      <x:c r="I148" s="21" t="n">
        <x:v>-0.06638496203204658</x:v>
      </x:c>
      <x:c r="J148" s="21" t="n">
        <x:v>-0.13740068518113568</x:v>
      </x:c>
      <x:c r="K148" s="21" t="n">
        <x:v>-0.2731806039713064</x:v>
      </x:c>
      <x:c r="L148" s="36" t="n">
        <x:f>IF(Assumptions!$B$4=2030,I148,IF(Assumptions!$B$4=2035,J148,K148))</x:f>
        <x:v>-0.13740068518113568</x:v>
      </x:c>
      <x:c r="M148" s="36" t="n">
        <x:f>Assumptions!$B$19</x:f>
        <x:v>-0.04739891965741583</x:v>
      </x:c>
      <x:c r="N148" s="52" t="n">
        <x:f>H148*L148+(1-H148)*M148+O148</x:f>
        <x:v>-0.1239004203525777</x:v>
      </x:c>
      <x:c r="O148" s="36" t="n">
        <x:f>Assumptions!$B$10</x:f>
        <x:v>0</x:v>
      </x:c>
      <x:c r="P148" s="54" t="n">
        <x:f>E148*(1+N148)</x:f>
        <x:v>2420.6631385658275</x:v>
      </x:c>
      <x:c r="Q148" s="54" t="n">
        <x:f>P148-E148</x:f>
        <x:v>-342.33686143417253</x:v>
      </x:c>
      <x:c r="R148" s="16" t="str">
        <x:v>Yes</x:v>
      </x:c>
      <x:c r="S148" s="56" t="n">
        <x:v>21300</x:v>
      </x:c>
      <x:c r="T148" s="56" t="n">
        <x:v>8557</x:v>
      </x:c>
      <x:c r="U148" s="40" t="n">
        <x:f>E148*Assumptions!$B$8</x:f>
        <x:v>2348.5499999999997</x:v>
      </x:c>
      <x:c r="V148" s="40" t="n">
        <x:f>P148*Assumptions!$B$8</x:f>
        <x:v>2057.5636677809534</x:v>
      </x:c>
      <x:c r="W148" s="54" t="n">
        <x:f>V148-U148</x:f>
        <x:v>-290.9863322190463</x:v>
      </x:c>
      <x:c r="X148" s="58" t="n">
        <x:f>IF(R148="No","",W148*S148)</x:f>
        <x:v>-6198008.876265686</x:v>
      </x:c>
      <x:c r="Y148" s="58" t="n">
        <x:f>IF(R148="No","",W148*T148*Assumptions!$B$9)</x:f>
        <x:v>-746991.0134395137</x:v>
      </x:c>
      <x:c r="Z148" s="58" t="n">
        <x:f>IF(R148="No","",X148-Y148)</x:f>
        <x:v>-5451017.862826172</x:v>
      </x:c>
      <x:c r="AA148" s="58" t="n">
        <x:f>IF(R148="No","",MAX(0,-Z148))</x:f>
        <x:v>5451017.862826172</x:v>
      </x:c>
      <x:c r="AB148" s="52" t="n">
        <x:f>IF(OR(R148="No",U148*S148=0),"",AA148/(U148*S148))</x:f>
        <x:v>0.10896780208557759</x:v>
      </x:c>
      <x:c r="AC148" s="54" t="n">
        <x:f>IF(OR(R148="No",S148-T148*Assumptions!$B$9&lt;=0),"",AA148/(Assumptions!$B$8*(S148-T148*Assumptions!$B$9)))</x:f>
        <x:v>342.3368614341721</x:v>
      </x:c>
      <x:c r="AD148" s="52" t="n">
        <x:f>IF(OR(R148="No",U148*S148=0),"",AA148/(U148*S148))</x:f>
        <x:v>0.10896780208557759</x:v>
      </x:c>
      <x:c r="AE148" s="50" t="str">
        <x:f>IF(R148="No","No finance data",IF(AB148&gt;=10%,"Severe",IF(AB148&gt;=5%,"High",IF(AB148&gt;=2%,"Moderate","Low"))))</x:f>
        <x:v>Severe</x:v>
      </x:c>
      <x:c r="AF148" s="60" t="n">
        <x:v>32.718391</x:v>
      </x:c>
      <x:c r="AG148" s="60" t="n">
        <x:v>-117.250265</x:v>
      </x:c>
      <x:c r="AH148" s="44" t="str">
        <x:v>Undergraduate tuition-contribution proxy only; not an audited total institutional budget.</x:v>
      </x:c>
    </x:row>
    <x:row r="149">
      <x:c r="A149" s="16" t="n">
        <x:v>121345</x:v>
      </x:c>
      <x:c r="B149" s="16" t="str">
        <x:v>Pomona College</x:v>
      </x:c>
      <x:c r="C149" s="16" t="str">
        <x:v>CA</x:v>
      </x:c>
      <x:c r="D149" s="16" t="str">
        <x:v>Private nonprofit</x:v>
      </x:c>
      <x:c r="E149" s="34" t="n">
        <x:v>1640</x:v>
      </x:c>
      <x:c r="F149" s="21" t="n">
        <x:v>0.0664</x:v>
      </x:c>
      <x:c r="G149" s="16" t="str">
        <x:v>National</x:v>
      </x:c>
      <x:c r="H149" s="36" t="n">
        <x:f>IF(G149="National",Assumptions!$B$11,IF(G149="Statewide",Assumptions!$B$12,Assumptions!$B$13))</x:f>
        <x:v>0.25</x:v>
      </x:c>
      <x:c r="I149" s="21" t="n">
        <x:v>-0.06638496203204658</x:v>
      </x:c>
      <x:c r="J149" s="21" t="n">
        <x:v>-0.13740068518113568</x:v>
      </x:c>
      <x:c r="K149" s="21" t="n">
        <x:v>-0.2731806039713064</x:v>
      </x:c>
      <x:c r="L149" s="36" t="n">
        <x:f>IF(Assumptions!$B$4=2030,I149,IF(Assumptions!$B$4=2035,J149,K149))</x:f>
        <x:v>-0.13740068518113568</x:v>
      </x:c>
      <x:c r="M149" s="36" t="n">
        <x:f>Assumptions!$B$19</x:f>
        <x:v>-0.04739891965741583</x:v>
      </x:c>
      <x:c r="N149" s="52" t="n">
        <x:f>H149*L149+(1-H149)*M149+O149</x:f>
        <x:v>-0.06989936103834579</x:v>
      </x:c>
      <x:c r="O149" s="36" t="n">
        <x:f>Assumptions!$B$10</x:f>
        <x:v>0</x:v>
      </x:c>
      <x:c r="P149" s="54" t="n">
        <x:f>E149*(1+N149)</x:f>
        <x:v>1525.3650478971128</x:v>
      </x:c>
      <x:c r="Q149" s="54" t="n">
        <x:f>P149-E149</x:f>
        <x:v>-114.63495210288715</x:v>
      </x:c>
      <x:c r="R149" s="16" t="str">
        <x:v>Yes</x:v>
      </x:c>
      <x:c r="S149" s="56" t="n">
        <x:v>21561</x:v>
      </x:c>
      <x:c r="T149" s="56" t="n">
        <x:v>40275</x:v>
      </x:c>
      <x:c r="U149" s="40" t="n">
        <x:f>E149*Assumptions!$B$8</x:f>
        <x:v>1394</x:v>
      </x:c>
      <x:c r="V149" s="40" t="n">
        <x:f>P149*Assumptions!$B$8</x:f>
        <x:v>1296.5602907125458</x:v>
      </x:c>
      <x:c r="W149" s="54" t="n">
        <x:f>V149-U149</x:f>
        <x:v>-97.4397092874542</x:v>
      </x:c>
      <x:c r="X149" s="58" t="n">
        <x:f>IF(R149="No","",W149*S149)</x:f>
        <x:v>-2100897.5719468</x:v>
      </x:c>
      <x:c r="Y149" s="58" t="n">
        <x:f>IF(R149="No","",W149*T149*Assumptions!$B$9)</x:f>
        <x:v>-1177315.2874656655</x:v>
      </x:c>
      <x:c r="Z149" s="58" t="n">
        <x:f>IF(R149="No","",X149-Y149)</x:f>
        <x:v>-923582.2844811347</x:v>
      </x:c>
      <x:c r="AA149" s="58" t="n">
        <x:f>IF(R149="No","",MAX(0,-Z149))</x:f>
        <x:v>923582.2844811347</x:v>
      </x:c>
      <x:c r="AB149" s="52" t="n">
        <x:f>IF(OR(R149="No",U149*S149=0),"",AA149/(U149*S149))</x:f>
        <x:v>0.030728681118777506</x:v>
      </x:c>
      <x:c r="AC149" s="54" t="n">
        <x:f>IF(OR(R149="No",S149-T149*Assumptions!$B$9&lt;=0),"",AA149/(Assumptions!$B$8*(S149-T149*Assumptions!$B$9)))</x:f>
        <x:v>114.63495210288731</x:v>
      </x:c>
      <x:c r="AD149" s="52" t="n">
        <x:f>IF(OR(R149="No",U149*S149=0),"",AA149/(U149*S149))</x:f>
        <x:v>0.030728681118777506</x:v>
      </x:c>
      <x:c r="AE149" s="50" t="str">
        <x:f>IF(R149="No","No finance data",IF(AB149&gt;=10%,"Severe",IF(AB149&gt;=5%,"High",IF(AB149&gt;=2%,"Moderate","Low"))))</x:f>
        <x:v>Moderate</x:v>
      </x:c>
      <x:c r="AF149" s="60" t="n">
        <x:v>34.099027</x:v>
      </x:c>
      <x:c r="AG149" s="60" t="n">
        <x:v>-117.714556</x:v>
      </x:c>
      <x:c r="AH149" s="44" t="str">
        <x:v>Undergraduate tuition-contribution proxy only; not an audited total institutional budget.</x:v>
      </x:c>
    </x:row>
    <x:row r="150">
      <x:c r="A150" s="16" t="n">
        <x:v>455770</x:v>
      </x:c>
      <x:c r="B150" s="16" t="str">
        <x:v>Providence Christian College</x:v>
      </x:c>
      <x:c r="C150" s="16" t="str">
        <x:v>CA</x:v>
      </x:c>
      <x:c r="D150" s="16" t="str">
        <x:v>Private nonprofit</x:v>
      </x:c>
      <x:c r="E150" s="34" t="n">
        <x:v>145</x:v>
      </x:c>
      <x:c r="F150" s="21"/>
      <x:c r="G150" s="16" t="str">
        <x:v>Regional</x:v>
      </x:c>
      <x:c r="H150" s="36" t="n">
        <x:f>IF(G150="National",Assumptions!$B$11,IF(G150="Statewide",Assumptions!$B$12,Assumptions!$B$13))</x:f>
        <x:v>0.85</x:v>
      </x:c>
      <x:c r="I150" s="21" t="n">
        <x:v>-0.06638496203204658</x:v>
      </x:c>
      <x:c r="J150" s="21" t="n">
        <x:v>-0.13740068518113568</x:v>
      </x:c>
      <x:c r="K150" s="21" t="n">
        <x:v>-0.2731806039713064</x:v>
      </x:c>
      <x:c r="L150" s="36" t="n">
        <x:f>IF(Assumptions!$B$4=2030,I150,IF(Assumptions!$B$4=2035,J150,K150))</x:f>
        <x:v>-0.13740068518113568</x:v>
      </x:c>
      <x:c r="M150" s="36" t="n">
        <x:f>Assumptions!$B$19</x:f>
        <x:v>-0.04739891965741583</x:v>
      </x:c>
      <x:c r="N150" s="52" t="n">
        <x:f>H150*L150+(1-H150)*M150+O150</x:f>
        <x:v>-0.1239004203525777</x:v>
      </x:c>
      <x:c r="O150" s="36" t="n">
        <x:f>Assumptions!$B$10</x:f>
        <x:v>0</x:v>
      </x:c>
      <x:c r="P150" s="54" t="n">
        <x:f>E150*(1+N150)</x:f>
        <x:v>127.03443904887622</x:v>
      </x:c>
      <x:c r="Q150" s="54" t="n">
        <x:f>P150-E150</x:f>
        <x:v>-17.965560951123777</x:v>
      </x:c>
      <x:c r="R150" s="16" t="str">
        <x:v>No</x:v>
      </x:c>
      <x:c r="S150" s="56"/>
      <x:c r="T150" s="56"/>
      <x:c r="U150" s="40" t="n">
        <x:f>E150*Assumptions!$B$8</x:f>
        <x:v>123.25</x:v>
      </x:c>
      <x:c r="V150" s="40" t="n">
        <x:f>P150*Assumptions!$B$8</x:f>
        <x:v>107.97927319154479</x:v>
      </x:c>
      <x:c r="W150" s="54" t="n">
        <x:f>V150-U150</x:f>
        <x:v>-15.270726808455208</x:v>
      </x:c>
      <x:c r="X150" s="58" t="str">
        <x:f>IF(R150="No","",W150*S150)</x:f>
      </x:c>
      <x:c r="Y150" s="58" t="str">
        <x:f>IF(R150="No","",W150*T150*Assumptions!$B$9)</x:f>
      </x:c>
      <x:c r="Z150" s="58" t="str">
        <x:f>IF(R150="No","",X150-Y150)</x:f>
      </x:c>
      <x:c r="AA150" s="58" t="str">
        <x:f>IF(R150="No","",MAX(0,-Z150))</x:f>
      </x:c>
      <x:c r="AB150" s="52" t="str">
        <x:f>IF(OR(R150="No",U150*S150=0),"",AA150/(U150*S150))</x:f>
      </x:c>
      <x:c r="AC150" s="54" t="str">
        <x:f>IF(OR(R150="No",S150-T150*Assumptions!$B$9&lt;=0),"",AA150/(Assumptions!$B$8*(S150-T150*Assumptions!$B$9)))</x:f>
      </x:c>
      <x:c r="AD150" s="52" t="str">
        <x:f>IF(OR(R150="No",U150*S150=0),"",AA150/(U150*S150))</x:f>
      </x:c>
      <x:c r="AE150" s="50" t="str">
        <x:f>IF(R150="No","No finance data",IF(AB150&gt;=10%,"Severe",IF(AB150&gt;=5%,"High",IF(AB150&gt;=2%,"Moderate","Low"))))</x:f>
        <x:v>No finance data</x:v>
      </x:c>
      <x:c r="AF150" s="60"/>
      <x:c r="AG150" s="60"/>
      <x:c r="AH150" s="44" t="str">
        <x:v>Undergraduate tuition-contribution proxy only; not an audited total institutional budget.</x:v>
      </x:c>
    </x:row>
    <x:row r="151">
      <x:c r="A151" s="16" t="n">
        <x:v>447953</x:v>
      </x:c>
      <x:c r="B151" s="16" t="str">
        <x:v>SUM Bible College and Theological Seminary</x:v>
      </x:c>
      <x:c r="C151" s="16" t="str">
        <x:v>CA</x:v>
      </x:c>
      <x:c r="D151" s="16" t="str">
        <x:v>Private nonprofit</x:v>
      </x:c>
      <x:c r="E151" s="34" t="n">
        <x:v>522</x:v>
      </x:c>
      <x:c r="F151" s="21"/>
      <x:c r="G151" s="16" t="str">
        <x:v>Regional</x:v>
      </x:c>
      <x:c r="H151" s="36" t="n">
        <x:f>IF(G151="National",Assumptions!$B$11,IF(G151="Statewide",Assumptions!$B$12,Assumptions!$B$13))</x:f>
        <x:v>0.85</x:v>
      </x:c>
      <x:c r="I151" s="21" t="n">
        <x:v>-0.06638496203204658</x:v>
      </x:c>
      <x:c r="J151" s="21" t="n">
        <x:v>-0.13740068518113568</x:v>
      </x:c>
      <x:c r="K151" s="21" t="n">
        <x:v>-0.2731806039713064</x:v>
      </x:c>
      <x:c r="L151" s="36" t="n">
        <x:f>IF(Assumptions!$B$4=2030,I151,IF(Assumptions!$B$4=2035,J151,K151))</x:f>
        <x:v>-0.13740068518113568</x:v>
      </x:c>
      <x:c r="M151" s="36" t="n">
        <x:f>Assumptions!$B$19</x:f>
        <x:v>-0.04739891965741583</x:v>
      </x:c>
      <x:c r="N151" s="52" t="n">
        <x:f>H151*L151+(1-H151)*M151+O151</x:f>
        <x:v>-0.1239004203525777</x:v>
      </x:c>
      <x:c r="O151" s="36" t="n">
        <x:f>Assumptions!$B$10</x:f>
        <x:v>0</x:v>
      </x:c>
      <x:c r="P151" s="54" t="n">
        <x:f>E151*(1+N151)</x:f>
        <x:v>457.3239805759544</x:v>
      </x:c>
      <x:c r="Q151" s="54" t="n">
        <x:f>P151-E151</x:f>
        <x:v>-64.67601942404559</x:v>
      </x:c>
      <x:c r="R151" s="16" t="str">
        <x:v>No</x:v>
      </x:c>
      <x:c r="S151" s="56"/>
      <x:c r="T151" s="56"/>
      <x:c r="U151" s="40" t="n">
        <x:f>E151*Assumptions!$B$8</x:f>
        <x:v>443.7</x:v>
      </x:c>
      <x:c r="V151" s="40" t="n">
        <x:f>P151*Assumptions!$B$8</x:f>
        <x:v>388.72538348956124</x:v>
      </x:c>
      <x:c r="W151" s="54" t="n">
        <x:f>V151-U151</x:f>
        <x:v>-54.97461651043875</x:v>
      </x:c>
      <x:c r="X151" s="58" t="str">
        <x:f>IF(R151="No","",W151*S151)</x:f>
      </x:c>
      <x:c r="Y151" s="58" t="str">
        <x:f>IF(R151="No","",W151*T151*Assumptions!$B$9)</x:f>
      </x:c>
      <x:c r="Z151" s="58" t="str">
        <x:f>IF(R151="No","",X151-Y151)</x:f>
      </x:c>
      <x:c r="AA151" s="58" t="str">
        <x:f>IF(R151="No","",MAX(0,-Z151))</x:f>
      </x:c>
      <x:c r="AB151" s="52" t="str">
        <x:f>IF(OR(R151="No",U151*S151=0),"",AA151/(U151*S151))</x:f>
      </x:c>
      <x:c r="AC151" s="54" t="str">
        <x:f>IF(OR(R151="No",S151-T151*Assumptions!$B$9&lt;=0),"",AA151/(Assumptions!$B$8*(S151-T151*Assumptions!$B$9)))</x:f>
      </x:c>
      <x:c r="AD151" s="52" t="str">
        <x:f>IF(OR(R151="No",U151*S151=0),"",AA151/(U151*S151))</x:f>
      </x:c>
      <x:c r="AE151" s="50" t="str">
        <x:f>IF(R151="No","No finance data",IF(AB151&gt;=10%,"Severe",IF(AB151&gt;=5%,"High",IF(AB151&gt;=2%,"Moderate","Low"))))</x:f>
        <x:v>No finance data</x:v>
      </x:c>
      <x:c r="AF151" s="60"/>
      <x:c r="AG151" s="60"/>
      <x:c r="AH151" s="44" t="str">
        <x:v>Undergraduate tuition-contribution proxy only; not an audited total institutional budget.</x:v>
      </x:c>
    </x:row>
    <x:row r="152">
      <x:c r="A152" s="16" t="n">
        <x:v>123554</x:v>
      </x:c>
      <x:c r="B152" s="16" t="str">
        <x:v>Saint Mary's College of California</x:v>
      </x:c>
      <x:c r="C152" s="16" t="str">
        <x:v>CA</x:v>
      </x:c>
      <x:c r="D152" s="16" t="str">
        <x:v>Private nonprofit</x:v>
      </x:c>
      <x:c r="E152" s="34" t="n">
        <x:v>2916</x:v>
      </x:c>
      <x:c r="F152" s="21" t="n">
        <x:v>0.7008</x:v>
      </x:c>
      <x:c r="G152" s="16" t="str">
        <x:v>Regional</x:v>
      </x:c>
      <x:c r="H152" s="36" t="n">
        <x:f>IF(G152="National",Assumptions!$B$11,IF(G152="Statewide",Assumptions!$B$12,Assumptions!$B$13))</x:f>
        <x:v>0.85</x:v>
      </x:c>
      <x:c r="I152" s="21" t="n">
        <x:v>-0.06638496203204658</x:v>
      </x:c>
      <x:c r="J152" s="21" t="n">
        <x:v>-0.13740068518113568</x:v>
      </x:c>
      <x:c r="K152" s="21" t="n">
        <x:v>-0.2731806039713064</x:v>
      </x:c>
      <x:c r="L152" s="36" t="n">
        <x:f>IF(Assumptions!$B$4=2030,I152,IF(Assumptions!$B$4=2035,J152,K152))</x:f>
        <x:v>-0.13740068518113568</x:v>
      </x:c>
      <x:c r="M152" s="36" t="n">
        <x:f>Assumptions!$B$19</x:f>
        <x:v>-0.04739891965741583</x:v>
      </x:c>
      <x:c r="N152" s="52" t="n">
        <x:f>H152*L152+(1-H152)*M152+O152</x:f>
        <x:v>-0.1239004203525777</x:v>
      </x:c>
      <x:c r="O152" s="36" t="n">
        <x:f>Assumptions!$B$10</x:f>
        <x:v>0</x:v>
      </x:c>
      <x:c r="P152" s="54" t="n">
        <x:f>E152*(1+N152)</x:f>
        <x:v>2554.706374251883</x:v>
      </x:c>
      <x:c r="Q152" s="54" t="n">
        <x:f>P152-E152</x:f>
        <x:v>-361.29362574811694</x:v>
      </x:c>
      <x:c r="R152" s="16" t="str">
        <x:v>Yes</x:v>
      </x:c>
      <x:c r="S152" s="56" t="n">
        <x:v>23311</x:v>
      </x:c>
      <x:c r="T152" s="56" t="n">
        <x:v>13122</x:v>
      </x:c>
      <x:c r="U152" s="40" t="n">
        <x:f>E152*Assumptions!$B$8</x:f>
        <x:v>2478.6</x:v>
      </x:c>
      <x:c r="V152" s="40" t="n">
        <x:f>P152*Assumptions!$B$8</x:f>
        <x:v>2171.5004181141007</x:v>
      </x:c>
      <x:c r="W152" s="54" t="n">
        <x:f>V152-U152</x:f>
        <x:v>-307.09958188589917</x:v>
      </x:c>
      <x:c r="X152" s="58" t="n">
        <x:f>IF(R152="No","",W152*S152)</x:f>
        <x:v>-7158798.353342196</x:v>
      </x:c>
      <x:c r="Y152" s="58" t="n">
        <x:f>IF(R152="No","",W152*T152*Assumptions!$B$9)</x:f>
        <x:v>-1208928.2140520306</x:v>
      </x:c>
      <x:c r="Z152" s="58" t="n">
        <x:f>IF(R152="No","",X152-Y152)</x:f>
        <x:v>-5949870.139290165</x:v>
      </x:c>
      <x:c r="AA152" s="58" t="n">
        <x:f>IF(R152="No","",MAX(0,-Z152))</x:f>
        <x:v>5949870.139290165</x:v>
      </x:c>
      <x:c r="AB152" s="52" t="n">
        <x:f>IF(OR(R152="No",U152*S152=0),"",AA152/(U152*S152))</x:f>
        <x:v>0.1029769767096642</x:v>
      </x:c>
      <x:c r="AC152" s="54" t="n">
        <x:f>IF(OR(R152="No",S152-T152*Assumptions!$B$9&lt;=0),"",AA152/(Assumptions!$B$8*(S152-T152*Assumptions!$B$9)))</x:f>
        <x:v>361.29362574811665</x:v>
      </x:c>
      <x:c r="AD152" s="52" t="n">
        <x:f>IF(OR(R152="No",U152*S152=0),"",AA152/(U152*S152))</x:f>
        <x:v>0.1029769767096642</x:v>
      </x:c>
      <x:c r="AE152" s="50" t="str">
        <x:f>IF(R152="No","No finance data",IF(AB152&gt;=10%,"Severe",IF(AB152&gt;=5%,"High",IF(AB152&gt;=2%,"Moderate","Low"))))</x:f>
        <x:v>Severe</x:v>
      </x:c>
      <x:c r="AF152" s="60" t="n">
        <x:v>37.840731</x:v>
      </x:c>
      <x:c r="AG152" s="60" t="n">
        <x:v>-122.109031</x:v>
      </x:c>
      <x:c r="AH152" s="44" t="str">
        <x:v>Undergraduate tuition-contribution proxy only; not an audited total institutional budget.</x:v>
      </x:c>
    </x:row>
    <x:row r="153">
      <x:c r="A153" s="16" t="n">
        <x:v>122296</x:v>
      </x:c>
      <x:c r="B153" s="16" t="str">
        <x:v>Samuel Merritt University</x:v>
      </x:c>
      <x:c r="C153" s="16" t="str">
        <x:v>CA</x:v>
      </x:c>
      <x:c r="D153" s="16" t="str">
        <x:v>Private nonprofit</x:v>
      </x:c>
      <x:c r="E153" s="34" t="n">
        <x:v>506</x:v>
      </x:c>
      <x:c r="F153" s="21"/>
      <x:c r="G153" s="16" t="str">
        <x:v>Regional</x:v>
      </x:c>
      <x:c r="H153" s="36" t="n">
        <x:f>IF(G153="National",Assumptions!$B$11,IF(G153="Statewide",Assumptions!$B$12,Assumptions!$B$13))</x:f>
        <x:v>0.85</x:v>
      </x:c>
      <x:c r="I153" s="21" t="n">
        <x:v>-0.06638496203204658</x:v>
      </x:c>
      <x:c r="J153" s="21" t="n">
        <x:v>-0.13740068518113568</x:v>
      </x:c>
      <x:c r="K153" s="21" t="n">
        <x:v>-0.2731806039713064</x:v>
      </x:c>
      <x:c r="L153" s="36" t="n">
        <x:f>IF(Assumptions!$B$4=2030,I153,IF(Assumptions!$B$4=2035,J153,K153))</x:f>
        <x:v>-0.13740068518113568</x:v>
      </x:c>
      <x:c r="M153" s="36" t="n">
        <x:f>Assumptions!$B$19</x:f>
        <x:v>-0.04739891965741583</x:v>
      </x:c>
      <x:c r="N153" s="52" t="n">
        <x:f>H153*L153+(1-H153)*M153+O153</x:f>
        <x:v>-0.1239004203525777</x:v>
      </x:c>
      <x:c r="O153" s="36" t="n">
        <x:f>Assumptions!$B$10</x:f>
        <x:v>0</x:v>
      </x:c>
      <x:c r="P153" s="54" t="n">
        <x:f>E153*(1+N153)</x:f>
        <x:v>443.30638730159563</x:v>
      </x:c>
      <x:c r="Q153" s="54" t="n">
        <x:f>P153-E153</x:f>
        <x:v>-62.693612698404365</x:v>
      </x:c>
      <x:c r="R153" s="16" t="str">
        <x:v>Yes</x:v>
      </x:c>
      <x:c r="S153" s="56" t="n">
        <x:v>34383</x:v>
      </x:c>
      <x:c r="T153" s="56" t="n">
        <x:v>22037</x:v>
      </x:c>
      <x:c r="U153" s="40" t="n">
        <x:f>E153*Assumptions!$B$8</x:f>
        <x:v>430.09999999999997</x:v>
      </x:c>
      <x:c r="V153" s="40" t="n">
        <x:f>P153*Assumptions!$B$8</x:f>
        <x:v>376.8104292063563</x:v>
      </x:c>
      <x:c r="W153" s="54" t="n">
        <x:f>V153-U153</x:f>
        <x:v>-53.28957079364369</x:v>
      </x:c>
      <x:c r="X153" s="58" t="n">
        <x:f>IF(R153="No","",W153*S153)</x:f>
        <x:v>-1832255.312597851</x:v>
      </x:c>
      <x:c r="Y153" s="58" t="n">
        <x:f>IF(R153="No","",W153*T153*Assumptions!$B$9)</x:f>
        <x:v>-352302.6814738578</x:v>
      </x:c>
      <x:c r="Z153" s="58" t="n">
        <x:f>IF(R153="No","",X153-Y153)</x:f>
        <x:v>-1479952.6311239933</x:v>
      </x:c>
      <x:c r="AA153" s="58" t="n">
        <x:f>IF(R153="No","",MAX(0,-Z153))</x:f>
        <x:v>1479952.6311239933</x:v>
      </x:c>
      <x:c r="AB153" s="52" t="n">
        <x:f>IF(OR(R153="No",U153*S153=0),"",AA153/(U153*S153))</x:f>
        <x:v>0.10007707541487812</x:v>
      </x:c>
      <x:c r="AC153" s="54" t="n">
        <x:f>IF(OR(R153="No",S153-T153*Assumptions!$B$9&lt;=0),"",AA153/(Assumptions!$B$8*(S153-T153*Assumptions!$B$9)))</x:f>
        <x:v>62.693612698404344</x:v>
      </x:c>
      <x:c r="AD153" s="52" t="n">
        <x:f>IF(OR(R153="No",U153*S153=0),"",AA153/(U153*S153))</x:f>
        <x:v>0.10007707541487812</x:v>
      </x:c>
      <x:c r="AE153" s="50" t="str">
        <x:f>IF(R153="No","No finance data",IF(AB153&gt;=10%,"Severe",IF(AB153&gt;=5%,"High",IF(AB153&gt;=2%,"Moderate","Low"))))</x:f>
        <x:v>Severe</x:v>
      </x:c>
      <x:c r="AF153" s="60" t="n">
        <x:v>37.82029</x:v>
      </x:c>
      <x:c r="AG153" s="60" t="n">
        <x:v>-122.266331</x:v>
      </x:c>
      <x:c r="AH153" s="44" t="str">
        <x:v>Undergraduate tuition-contribution proxy only; not an audited total institutional budget.</x:v>
      </x:c>
    </x:row>
    <x:row r="154">
      <x:c r="A154" s="16" t="n">
        <x:v>112084</x:v>
      </x:c>
      <x:c r="B154" s="16" t="str">
        <x:v>San Diego Christian College</x:v>
      </x:c>
      <x:c r="C154" s="16" t="str">
        <x:v>CA</x:v>
      </x:c>
      <x:c r="D154" s="16" t="str">
        <x:v>Private nonprofit</x:v>
      </x:c>
      <x:c r="E154" s="34" t="n">
        <x:v>905</x:v>
      </x:c>
      <x:c r="F154" s="21"/>
      <x:c r="G154" s="16" t="str">
        <x:v>Regional</x:v>
      </x:c>
      <x:c r="H154" s="36" t="n">
        <x:f>IF(G154="National",Assumptions!$B$11,IF(G154="Statewide",Assumptions!$B$12,Assumptions!$B$13))</x:f>
        <x:v>0.85</x:v>
      </x:c>
      <x:c r="I154" s="21" t="n">
        <x:v>-0.06638496203204658</x:v>
      </x:c>
      <x:c r="J154" s="21" t="n">
        <x:v>-0.13740068518113568</x:v>
      </x:c>
      <x:c r="K154" s="21" t="n">
        <x:v>-0.2731806039713064</x:v>
      </x:c>
      <x:c r="L154" s="36" t="n">
        <x:f>IF(Assumptions!$B$4=2030,I154,IF(Assumptions!$B$4=2035,J154,K154))</x:f>
        <x:v>-0.13740068518113568</x:v>
      </x:c>
      <x:c r="M154" s="36" t="n">
        <x:f>Assumptions!$B$19</x:f>
        <x:v>-0.04739891965741583</x:v>
      </x:c>
      <x:c r="N154" s="52" t="n">
        <x:f>H154*L154+(1-H154)*M154+O154</x:f>
        <x:v>-0.1239004203525777</x:v>
      </x:c>
      <x:c r="O154" s="36" t="n">
        <x:f>Assumptions!$B$10</x:f>
        <x:v>0</x:v>
      </x:c>
      <x:c r="P154" s="54" t="n">
        <x:f>E154*(1+N154)</x:f>
        <x:v>792.8701195809172</x:v>
      </x:c>
      <x:c r="Q154" s="54" t="n">
        <x:f>P154-E154</x:f>
        <x:v>-112.12988041908284</x:v>
      </x:c>
      <x:c r="R154" s="16" t="str">
        <x:v>No</x:v>
      </x:c>
      <x:c r="S154" s="56"/>
      <x:c r="T154" s="56"/>
      <x:c r="U154" s="40" t="n">
        <x:f>E154*Assumptions!$B$8</x:f>
        <x:v>769.25</x:v>
      </x:c>
      <x:c r="V154" s="40" t="n">
        <x:f>P154*Assumptions!$B$8</x:f>
        <x:v>673.9396016437796</x:v>
      </x:c>
      <x:c r="W154" s="54" t="n">
        <x:f>V154-U154</x:f>
        <x:v>-95.31039835622039</x:v>
      </x:c>
      <x:c r="X154" s="58" t="str">
        <x:f>IF(R154="No","",W154*S154)</x:f>
      </x:c>
      <x:c r="Y154" s="58" t="str">
        <x:f>IF(R154="No","",W154*T154*Assumptions!$B$9)</x:f>
      </x:c>
      <x:c r="Z154" s="58" t="str">
        <x:f>IF(R154="No","",X154-Y154)</x:f>
      </x:c>
      <x:c r="AA154" s="58" t="str">
        <x:f>IF(R154="No","",MAX(0,-Z154))</x:f>
      </x:c>
      <x:c r="AB154" s="52" t="str">
        <x:f>IF(OR(R154="No",U154*S154=0),"",AA154/(U154*S154))</x:f>
      </x:c>
      <x:c r="AC154" s="54" t="str">
        <x:f>IF(OR(R154="No",S154-T154*Assumptions!$B$9&lt;=0),"",AA154/(Assumptions!$B$8*(S154-T154*Assumptions!$B$9)))</x:f>
      </x:c>
      <x:c r="AD154" s="52" t="str">
        <x:f>IF(OR(R154="No",U154*S154=0),"",AA154/(U154*S154))</x:f>
      </x:c>
      <x:c r="AE154" s="50" t="str">
        <x:f>IF(R154="No","No finance data",IF(AB154&gt;=10%,"Severe",IF(AB154&gt;=5%,"High",IF(AB154&gt;=2%,"Moderate","Low"))))</x:f>
        <x:v>No finance data</x:v>
      </x:c>
      <x:c r="AF154" s="60"/>
      <x:c r="AG154" s="60"/>
      <x:c r="AH154" s="44" t="str">
        <x:v>Undergraduate tuition-contribution proxy only; not an audited total institutional budget.</x:v>
      </x:c>
    </x:row>
    <x:row r="155">
      <x:c r="A155" s="16" t="n">
        <x:v>122409</x:v>
      </x:c>
      <x:c r="B155" s="16" t="str">
        <x:v>San Diego State University</x:v>
      </x:c>
      <x:c r="C155" s="16" t="str">
        <x:v>CA</x:v>
      </x:c>
      <x:c r="D155" s="16" t="str">
        <x:v>Public</x:v>
      </x:c>
      <x:c r="E155" s="34" t="n">
        <x:v>28649</x:v>
      </x:c>
      <x:c r="F155" s="21" t="n">
        <x:v>0.379</x:v>
      </x:c>
      <x:c r="G155" s="16" t="str">
        <x:v>National</x:v>
      </x:c>
      <x:c r="H155" s="36" t="n">
        <x:f>IF(G155="National",Assumptions!$B$11,IF(G155="Statewide",Assumptions!$B$12,Assumptions!$B$13))</x:f>
        <x:v>0.25</x:v>
      </x:c>
      <x:c r="I155" s="21" t="n">
        <x:v>-0.06638496203204658</x:v>
      </x:c>
      <x:c r="J155" s="21" t="n">
        <x:v>-0.13740068518113568</x:v>
      </x:c>
      <x:c r="K155" s="21" t="n">
        <x:v>-0.2731806039713064</x:v>
      </x:c>
      <x:c r="L155" s="36" t="n">
        <x:f>IF(Assumptions!$B$4=2030,I155,IF(Assumptions!$B$4=2035,J155,K155))</x:f>
        <x:v>-0.13740068518113568</x:v>
      </x:c>
      <x:c r="M155" s="36" t="n">
        <x:f>Assumptions!$B$19</x:f>
        <x:v>-0.04739891965741583</x:v>
      </x:c>
      <x:c r="N155" s="52" t="n">
        <x:f>H155*L155+(1-H155)*M155+O155</x:f>
        <x:v>-0.06989936103834579</x:v>
      </x:c>
      <x:c r="O155" s="36" t="n">
        <x:f>Assumptions!$B$10</x:f>
        <x:v>0</x:v>
      </x:c>
      <x:c r="P155" s="54" t="n">
        <x:f>E155*(1+N155)</x:f>
        <x:v>26646.45320561243</x:v>
      </x:c>
      <x:c r="Q155" s="54" t="n">
        <x:f>P155-E155</x:f>
        <x:v>-2002.5467943875701</x:v>
      </x:c>
      <x:c r="R155" s="16" t="str">
        <x:v>Yes</x:v>
      </x:c>
      <x:c r="S155" s="56" t="n">
        <x:v>6662</x:v>
      </x:c>
      <x:c r="T155" s="56" t="n">
        <x:v>7190</x:v>
      </x:c>
      <x:c r="U155" s="40" t="n">
        <x:f>E155*Assumptions!$B$8</x:f>
        <x:v>24351.649999999998</x:v>
      </x:c>
      <x:c r="V155" s="40" t="n">
        <x:f>P155*Assumptions!$B$8</x:f>
        <x:v>22649.485224770564</x:v>
      </x:c>
      <x:c r="W155" s="54" t="n">
        <x:f>V155-U155</x:f>
        <x:v>-1702.1647752294339</x:v>
      </x:c>
      <x:c r="X155" s="58" t="n">
        <x:f>IF(R155="No","",W155*S155)</x:f>
        <x:v>-11339821.732578488</x:v>
      </x:c>
      <x:c r="Y155" s="58" t="n">
        <x:f>IF(R155="No","",W155*T155*Assumptions!$B$9)</x:f>
        <x:v>-3671569.4201698885</x:v>
      </x:c>
      <x:c r="Z155" s="58" t="n">
        <x:f>IF(R155="No","",X155-Y155)</x:f>
        <x:v>-7668252.3124086</x:v>
      </x:c>
      <x:c r="AA155" s="58" t="n">
        <x:f>IF(R155="No","",MAX(0,-Z155))</x:f>
        <x:v>7668252.3124086</x:v>
      </x:c>
      <x:c r="AB155" s="52" t="n">
        <x:f>IF(OR(R155="No",U155*S155=0),"",AA155/(U155*S155))</x:f>
        <x:v>0.047267580528031816</x:v>
      </x:c>
      <x:c r="AC155" s="54" t="n">
        <x:f>IF(OR(R155="No",S155-T155*Assumptions!$B$9&lt;=0),"",AA155/(Assumptions!$B$8*(S155-T155*Assumptions!$B$9)))</x:f>
        <x:v>2002.5467943875694</x:v>
      </x:c>
      <x:c r="AD155" s="52" t="n">
        <x:f>IF(OR(R155="No",U155*S155=0),"",AA155/(U155*S155))</x:f>
        <x:v>0.047267580528031816</x:v>
      </x:c>
      <x:c r="AE155" s="50" t="str">
        <x:f>IF(R155="No","No finance data",IF(AB155&gt;=10%,"Severe",IF(AB155&gt;=5%,"High",IF(AB155&gt;=2%,"Moderate","Low"))))</x:f>
        <x:v>Moderate</x:v>
      </x:c>
      <x:c r="AF155" s="60" t="n">
        <x:v>32.77525</x:v>
      </x:c>
      <x:c r="AG155" s="60" t="n">
        <x:v>-117.071228</x:v>
      </x:c>
      <x:c r="AH155" s="44" t="str">
        <x:v>Undergraduate tuition-contribution proxy only; not an audited total institutional budget.</x:v>
      </x:c>
    </x:row>
    <x:row r="156">
      <x:c r="A156" s="16" t="n">
        <x:v>122454</x:v>
      </x:c>
      <x:c r="B156" s="16" t="str">
        <x:v>San Francisco Art Institute</x:v>
      </x:c>
      <x:c r="C156" s="16" t="str">
        <x:v>CA</x:v>
      </x:c>
      <x:c r="D156" s="16" t="str">
        <x:v>Private nonprofit</x:v>
      </x:c>
      <x:c r="E156" s="34" t="n">
        <x:v>404</x:v>
      </x:c>
      <x:c r="F156" s="21"/>
      <x:c r="G156" s="16" t="str">
        <x:v>Regional</x:v>
      </x:c>
      <x:c r="H156" s="36" t="n">
        <x:f>IF(G156="National",Assumptions!$B$11,IF(G156="Statewide",Assumptions!$B$12,Assumptions!$B$13))</x:f>
        <x:v>0.85</x:v>
      </x:c>
      <x:c r="I156" s="21" t="n">
        <x:v>-0.06638496203204658</x:v>
      </x:c>
      <x:c r="J156" s="21" t="n">
        <x:v>-0.13740068518113568</x:v>
      </x:c>
      <x:c r="K156" s="21" t="n">
        <x:v>-0.2731806039713064</x:v>
      </x:c>
      <x:c r="L156" s="36" t="n">
        <x:f>IF(Assumptions!$B$4=2030,I156,IF(Assumptions!$B$4=2035,J156,K156))</x:f>
        <x:v>-0.13740068518113568</x:v>
      </x:c>
      <x:c r="M156" s="36" t="n">
        <x:f>Assumptions!$B$19</x:f>
        <x:v>-0.04739891965741583</x:v>
      </x:c>
      <x:c r="N156" s="52" t="n">
        <x:f>H156*L156+(1-H156)*M156+O156</x:f>
        <x:v>-0.1239004203525777</x:v>
      </x:c>
      <x:c r="O156" s="36" t="n">
        <x:f>Assumptions!$B$10</x:f>
        <x:v>0</x:v>
      </x:c>
      <x:c r="P156" s="54" t="n">
        <x:f>E156*(1+N156)</x:f>
        <x:v>353.9442301775586</x:v>
      </x:c>
      <x:c r="Q156" s="54" t="n">
        <x:f>P156-E156</x:f>
        <x:v>-50.05576982244139</x:v>
      </x:c>
      <x:c r="R156" s="16" t="str">
        <x:v>No</x:v>
      </x:c>
      <x:c r="S156" s="56"/>
      <x:c r="T156" s="56"/>
      <x:c r="U156" s="40" t="n">
        <x:f>E156*Assumptions!$B$8</x:f>
        <x:v>343.4</x:v>
      </x:c>
      <x:c r="V156" s="40" t="n">
        <x:f>P156*Assumptions!$B$8</x:f>
        <x:v>300.8525956509248</x:v>
      </x:c>
      <x:c r="W156" s="54" t="n">
        <x:f>V156-U156</x:f>
        <x:v>-42.54740434907518</x:v>
      </x:c>
      <x:c r="X156" s="58" t="str">
        <x:f>IF(R156="No","",W156*S156)</x:f>
      </x:c>
      <x:c r="Y156" s="58" t="str">
        <x:f>IF(R156="No","",W156*T156*Assumptions!$B$9)</x:f>
      </x:c>
      <x:c r="Z156" s="58" t="str">
        <x:f>IF(R156="No","",X156-Y156)</x:f>
      </x:c>
      <x:c r="AA156" s="58" t="str">
        <x:f>IF(R156="No","",MAX(0,-Z156))</x:f>
      </x:c>
      <x:c r="AB156" s="52" t="str">
        <x:f>IF(OR(R156="No",U156*S156=0),"",AA156/(U156*S156))</x:f>
      </x:c>
      <x:c r="AC156" s="54" t="str">
        <x:f>IF(OR(R156="No",S156-T156*Assumptions!$B$9&lt;=0),"",AA156/(Assumptions!$B$8*(S156-T156*Assumptions!$B$9)))</x:f>
      </x:c>
      <x:c r="AD156" s="52" t="str">
        <x:f>IF(OR(R156="No",U156*S156=0),"",AA156/(U156*S156))</x:f>
      </x:c>
      <x:c r="AE156" s="50" t="str">
        <x:f>IF(R156="No","No finance data",IF(AB156&gt;=10%,"Severe",IF(AB156&gt;=5%,"High",IF(AB156&gt;=2%,"Moderate","Low"))))</x:f>
        <x:v>No finance data</x:v>
      </x:c>
      <x:c r="AF156" s="60"/>
      <x:c r="AG156" s="60"/>
      <x:c r="AH156" s="44" t="str">
        <x:v>Undergraduate tuition-contribution proxy only; not an audited total institutional budget.</x:v>
      </x:c>
    </x:row>
    <x:row r="157">
      <x:c r="A157" s="16" t="n">
        <x:v>122506</x:v>
      </x:c>
      <x:c r="B157" s="16" t="str">
        <x:v>San Francisco Conservatory of Music</x:v>
      </x:c>
      <x:c r="C157" s="16" t="str">
        <x:v>CA</x:v>
      </x:c>
      <x:c r="D157" s="16" t="str">
        <x:v>Private nonprofit</x:v>
      </x:c>
      <x:c r="E157" s="34" t="n">
        <x:v>157</x:v>
      </x:c>
      <x:c r="F157" s="21"/>
      <x:c r="G157" s="16" t="str">
        <x:v>Regional</x:v>
      </x:c>
      <x:c r="H157" s="36" t="n">
        <x:f>IF(G157="National",Assumptions!$B$11,IF(G157="Statewide",Assumptions!$B$12,Assumptions!$B$13))</x:f>
        <x:v>0.85</x:v>
      </x:c>
      <x:c r="I157" s="21" t="n">
        <x:v>-0.06638496203204658</x:v>
      </x:c>
      <x:c r="J157" s="21" t="n">
        <x:v>-0.13740068518113568</x:v>
      </x:c>
      <x:c r="K157" s="21" t="n">
        <x:v>-0.2731806039713064</x:v>
      </x:c>
      <x:c r="L157" s="36" t="n">
        <x:f>IF(Assumptions!$B$4=2030,I157,IF(Assumptions!$B$4=2035,J157,K157))</x:f>
        <x:v>-0.13740068518113568</x:v>
      </x:c>
      <x:c r="M157" s="36" t="n">
        <x:f>Assumptions!$B$19</x:f>
        <x:v>-0.04739891965741583</x:v>
      </x:c>
      <x:c r="N157" s="52" t="n">
        <x:f>H157*L157+(1-H157)*M157+O157</x:f>
        <x:v>-0.1239004203525777</x:v>
      </x:c>
      <x:c r="O157" s="36" t="n">
        <x:f>Assumptions!$B$10</x:f>
        <x:v>0</x:v>
      </x:c>
      <x:c r="P157" s="54" t="n">
        <x:f>E157*(1+N157)</x:f>
        <x:v>137.5476340046453</x:v>
      </x:c>
      <x:c r="Q157" s="54" t="n">
        <x:f>P157-E157</x:f>
        <x:v>-19.45236599535471</x:v>
      </x:c>
      <x:c r="R157" s="16" t="str">
        <x:v>No</x:v>
      </x:c>
      <x:c r="S157" s="56"/>
      <x:c r="T157" s="56"/>
      <x:c r="U157" s="40" t="n">
        <x:f>E157*Assumptions!$B$8</x:f>
        <x:v>133.45</x:v>
      </x:c>
      <x:c r="V157" s="40" t="n">
        <x:f>P157*Assumptions!$B$8</x:f>
        <x:v>116.91548890394849</x:v>
      </x:c>
      <x:c r="W157" s="54" t="n">
        <x:f>V157-U157</x:f>
        <x:v>-16.534511096051503</x:v>
      </x:c>
      <x:c r="X157" s="58" t="str">
        <x:f>IF(R157="No","",W157*S157)</x:f>
      </x:c>
      <x:c r="Y157" s="58" t="str">
        <x:f>IF(R157="No","",W157*T157*Assumptions!$B$9)</x:f>
      </x:c>
      <x:c r="Z157" s="58" t="str">
        <x:f>IF(R157="No","",X157-Y157)</x:f>
      </x:c>
      <x:c r="AA157" s="58" t="str">
        <x:f>IF(R157="No","",MAX(0,-Z157))</x:f>
      </x:c>
      <x:c r="AB157" s="52" t="str">
        <x:f>IF(OR(R157="No",U157*S157=0),"",AA157/(U157*S157))</x:f>
      </x:c>
      <x:c r="AC157" s="54" t="str">
        <x:f>IF(OR(R157="No",S157-T157*Assumptions!$B$9&lt;=0),"",AA157/(Assumptions!$B$8*(S157-T157*Assumptions!$B$9)))</x:f>
      </x:c>
      <x:c r="AD157" s="52" t="str">
        <x:f>IF(OR(R157="No",U157*S157=0),"",AA157/(U157*S157))</x:f>
      </x:c>
      <x:c r="AE157" s="50" t="str">
        <x:f>IF(R157="No","No finance data",IF(AB157&gt;=10%,"Severe",IF(AB157&gt;=5%,"High",IF(AB157&gt;=2%,"Moderate","Low"))))</x:f>
        <x:v>No finance data</x:v>
      </x:c>
      <x:c r="AF157" s="60"/>
      <x:c r="AG157" s="60"/>
      <x:c r="AH157" s="44" t="str">
        <x:v>Undergraduate tuition-contribution proxy only; not an audited total institutional budget.</x:v>
      </x:c>
    </x:row>
    <x:row r="158">
      <x:c r="A158" s="16" t="n">
        <x:v>122597</x:v>
      </x:c>
      <x:c r="B158" s="16" t="str">
        <x:v>San Francisco State University</x:v>
      </x:c>
      <x:c r="C158" s="16" t="str">
        <x:v>CA</x:v>
      </x:c>
      <x:c r="D158" s="16" t="str">
        <x:v>Public</x:v>
      </x:c>
      <x:c r="E158" s="34" t="n">
        <x:v>25867</x:v>
      </x:c>
      <x:c r="F158" s="21" t="n">
        <x:v>0.9292</x:v>
      </x:c>
      <x:c r="G158" s="16" t="str">
        <x:v>National</x:v>
      </x:c>
      <x:c r="H158" s="36" t="n">
        <x:f>IF(G158="National",Assumptions!$B$11,IF(G158="Statewide",Assumptions!$B$12,Assumptions!$B$13))</x:f>
        <x:v>0.25</x:v>
      </x:c>
      <x:c r="I158" s="21" t="n">
        <x:v>-0.06638496203204658</x:v>
      </x:c>
      <x:c r="J158" s="21" t="n">
        <x:v>-0.13740068518113568</x:v>
      </x:c>
      <x:c r="K158" s="21" t="n">
        <x:v>-0.2731806039713064</x:v>
      </x:c>
      <x:c r="L158" s="36" t="n">
        <x:f>IF(Assumptions!$B$4=2030,I158,IF(Assumptions!$B$4=2035,J158,K158))</x:f>
        <x:v>-0.13740068518113568</x:v>
      </x:c>
      <x:c r="M158" s="36" t="n">
        <x:f>Assumptions!$B$19</x:f>
        <x:v>-0.04739891965741583</x:v>
      </x:c>
      <x:c r="N158" s="52" t="n">
        <x:f>H158*L158+(1-H158)*M158+O158</x:f>
        <x:v>-0.06989936103834579</x:v>
      </x:c>
      <x:c r="O158" s="36" t="n">
        <x:f>Assumptions!$B$10</x:f>
        <x:v>0</x:v>
      </x:c>
      <x:c r="P158" s="54" t="n">
        <x:f>E158*(1+N158)</x:f>
        <x:v>24058.91322802111</x:v>
      </x:c>
      <x:c r="Q158" s="54" t="n">
        <x:f>P158-E158</x:f>
        <x:v>-1808.0867719788912</x:v>
      </x:c>
      <x:c r="R158" s="16" t="str">
        <x:v>Yes</x:v>
      </x:c>
      <x:c r="S158" s="56" t="n">
        <x:v>5167</x:v>
      </x:c>
      <x:c r="T158" s="56" t="n">
        <x:v>8087</x:v>
      </x:c>
      <x:c r="U158" s="40" t="n">
        <x:f>E158*Assumptions!$B$8</x:f>
        <x:v>21986.95</x:v>
      </x:c>
      <x:c r="V158" s="40" t="n">
        <x:f>P158*Assumptions!$B$8</x:f>
        <x:v>20450.07624381794</x:v>
      </x:c>
      <x:c r="W158" s="54" t="n">
        <x:f>V158-U158</x:f>
        <x:v>-1536.8737561820599</x:v>
      </x:c>
      <x:c r="X158" s="58" t="n">
        <x:f>IF(R158="No","",W158*S158)</x:f>
        <x:v>-7941026.698192704</x:v>
      </x:c>
      <x:c r="Y158" s="58" t="n">
        <x:f>IF(R158="No","",W158*T158*Assumptions!$B$9)</x:f>
        <x:v>-3728609.419873296</x:v>
      </x:c>
      <x:c r="Z158" s="58" t="n">
        <x:f>IF(R158="No","",X158-Y158)</x:f>
        <x:v>-4212417.278319407</x:v>
      </x:c>
      <x:c r="AA158" s="58" t="n">
        <x:f>IF(R158="No","",MAX(0,-Z158))</x:f>
        <x:v>4212417.278319407</x:v>
      </x:c>
      <x:c r="AB158" s="52" t="n">
        <x:f>IF(OR(R158="No",U158*S158=0),"",AA158/(U158*S158))</x:f>
        <x:v>0.03707899335591296</x:v>
      </x:c>
      <x:c r="AC158" s="54" t="n">
        <x:f>IF(OR(R158="No",S158-T158*Assumptions!$B$9&lt;=0),"",AA158/(Assumptions!$B$8*(S158-T158*Assumptions!$B$9)))</x:f>
        <x:v>1808.0867719788937</x:v>
      </x:c>
      <x:c r="AD158" s="52" t="n">
        <x:f>IF(OR(R158="No",U158*S158=0),"",AA158/(U158*S158))</x:f>
        <x:v>0.03707899335591296</x:v>
      </x:c>
      <x:c r="AE158" s="50" t="str">
        <x:f>IF(R158="No","No finance data",IF(AB158&gt;=10%,"Severe",IF(AB158&gt;=5%,"High",IF(AB158&gt;=2%,"Moderate","Low"))))</x:f>
        <x:v>Moderate</x:v>
      </x:c>
      <x:c r="AF158" s="60" t="n">
        <x:v>37.721224</x:v>
      </x:c>
      <x:c r="AG158" s="60" t="n">
        <x:v>-122.476799</x:v>
      </x:c>
      <x:c r="AH158" s="44" t="str">
        <x:v>Undergraduate tuition-contribution proxy only; not an audited total institutional budget.</x:v>
      </x:c>
    </x:row>
    <x:row r="159">
      <x:c r="A159" s="16" t="n">
        <x:v>122755</x:v>
      </x:c>
      <x:c r="B159" s="16" t="str">
        <x:v>San Jose State University</x:v>
      </x:c>
      <x:c r="C159" s="16" t="str">
        <x:v>CA</x:v>
      </x:c>
      <x:c r="D159" s="16" t="str">
        <x:v>Public</x:v>
      </x:c>
      <x:c r="E159" s="34" t="n">
        <x:v>26670</x:v>
      </x:c>
      <x:c r="F159" s="21" t="n">
        <x:v>0.8437</x:v>
      </x:c>
      <x:c r="G159" s="16" t="str">
        <x:v>National</x:v>
      </x:c>
      <x:c r="H159" s="36" t="n">
        <x:f>IF(G159="National",Assumptions!$B$11,IF(G159="Statewide",Assumptions!$B$12,Assumptions!$B$13))</x:f>
        <x:v>0.25</x:v>
      </x:c>
      <x:c r="I159" s="21" t="n">
        <x:v>-0.06638496203204658</x:v>
      </x:c>
      <x:c r="J159" s="21" t="n">
        <x:v>-0.13740068518113568</x:v>
      </x:c>
      <x:c r="K159" s="21" t="n">
        <x:v>-0.2731806039713064</x:v>
      </x:c>
      <x:c r="L159" s="36" t="n">
        <x:f>IF(Assumptions!$B$4=2030,I159,IF(Assumptions!$B$4=2035,J159,K159))</x:f>
        <x:v>-0.13740068518113568</x:v>
      </x:c>
      <x:c r="M159" s="36" t="n">
        <x:f>Assumptions!$B$19</x:f>
        <x:v>-0.04739891965741583</x:v>
      </x:c>
      <x:c r="N159" s="52" t="n">
        <x:f>H159*L159+(1-H159)*M159+O159</x:f>
        <x:v>-0.06989936103834579</x:v>
      </x:c>
      <x:c r="O159" s="36" t="n">
        <x:f>Assumptions!$B$10</x:f>
        <x:v>0</x:v>
      </x:c>
      <x:c r="P159" s="54" t="n">
        <x:f>E159*(1+N159)</x:f>
        <x:v>24805.784041107316</x:v>
      </x:c>
      <x:c r="Q159" s="54" t="n">
        <x:f>P159-E159</x:f>
        <x:v>-1864.2159588926843</x:v>
      </x:c>
      <x:c r="R159" s="16" t="str">
        <x:v>Yes</x:v>
      </x:c>
      <x:c r="S159" s="56" t="n">
        <x:v>6987</x:v>
      </x:c>
      <x:c r="T159" s="56" t="n">
        <x:v>7427</x:v>
      </x:c>
      <x:c r="U159" s="40" t="n">
        <x:f>E159*Assumptions!$B$8</x:f>
        <x:v>22669.5</x:v>
      </x:c>
      <x:c r="V159" s="40" t="n">
        <x:f>P159*Assumptions!$B$8</x:f>
        <x:v>21084.916434941217</x:v>
      </x:c>
      <x:c r="W159" s="54" t="n">
        <x:f>V159-U159</x:f>
        <x:v>-1584.5835650587833</x:v>
      </x:c>
      <x:c r="X159" s="58" t="n">
        <x:f>IF(R159="No","",W159*S159)</x:f>
        <x:v>-11071485.369065719</x:v>
      </x:c>
      <x:c r="Y159" s="58" t="n">
        <x:f>IF(R159="No","",W159*T159*Assumptions!$B$9)</x:f>
        <x:v>-3530610.641307475</x:v>
      </x:c>
      <x:c r="Z159" s="58" t="n">
        <x:f>IF(R159="No","",X159-Y159)</x:f>
        <x:v>-7540874.727758244</x:v>
      </x:c>
      <x:c r="AA159" s="58" t="n">
        <x:f>IF(R159="No","",MAX(0,-Z159))</x:f>
        <x:v>7540874.727758244</x:v>
      </x:c>
      <x:c r="AB159" s="52" t="n">
        <x:f>IF(OR(R159="No",U159*S159=0),"",AA159/(U159*S159))</x:f>
        <x:v>0.04760899803139895</x:v>
      </x:c>
      <x:c r="AC159" s="54" t="n">
        <x:f>IF(OR(R159="No",S159-T159*Assumptions!$B$9&lt;=0),"",AA159/(Assumptions!$B$8*(S159-T159*Assumptions!$B$9)))</x:f>
        <x:v>1864.2159588926863</x:v>
      </x:c>
      <x:c r="AD159" s="52" t="n">
        <x:f>IF(OR(R159="No",U159*S159=0),"",AA159/(U159*S159))</x:f>
        <x:v>0.04760899803139895</x:v>
      </x:c>
      <x:c r="AE159" s="50" t="str">
        <x:f>IF(R159="No","No finance data",IF(AB159&gt;=10%,"Severe",IF(AB159&gt;=5%,"High",IF(AB159&gt;=2%,"Moderate","Low"))))</x:f>
        <x:v>Moderate</x:v>
      </x:c>
      <x:c r="AF159" s="60" t="n">
        <x:v>37.336569</x:v>
      </x:c>
      <x:c r="AG159" s="60" t="n">
        <x:v>-121.880621</x:v>
      </x:c>
      <x:c r="AH159" s="44" t="str">
        <x:v>Undergraduate tuition-contribution proxy only; not an audited total institutional budget.</x:v>
      </x:c>
    </x:row>
    <x:row r="160">
      <x:c r="A160" s="16" t="n">
        <x:v>122931</x:v>
      </x:c>
      <x:c r="B160" s="16" t="str">
        <x:v>Santa Clara University</x:v>
      </x:c>
      <x:c r="C160" s="16" t="str">
        <x:v>CA</x:v>
      </x:c>
      <x:c r="D160" s="16" t="str">
        <x:v>Private nonprofit</x:v>
      </x:c>
      <x:c r="E160" s="34" t="n">
        <x:v>5344</x:v>
      </x:c>
      <x:c r="F160" s="21" t="n">
        <x:v>0.5398</x:v>
      </x:c>
      <x:c r="G160" s="16" t="str">
        <x:v>Regional</x:v>
      </x:c>
      <x:c r="H160" s="36" t="n">
        <x:f>IF(G160="National",Assumptions!$B$11,IF(G160="Statewide",Assumptions!$B$12,Assumptions!$B$13))</x:f>
        <x:v>0.85</x:v>
      </x:c>
      <x:c r="I160" s="21" t="n">
        <x:v>-0.06638496203204658</x:v>
      </x:c>
      <x:c r="J160" s="21" t="n">
        <x:v>-0.13740068518113568</x:v>
      </x:c>
      <x:c r="K160" s="21" t="n">
        <x:v>-0.2731806039713064</x:v>
      </x:c>
      <x:c r="L160" s="36" t="n">
        <x:f>IF(Assumptions!$B$4=2030,I160,IF(Assumptions!$B$4=2035,J160,K160))</x:f>
        <x:v>-0.13740068518113568</x:v>
      </x:c>
      <x:c r="M160" s="36" t="n">
        <x:f>Assumptions!$B$19</x:f>
        <x:v>-0.04739891965741583</x:v>
      </x:c>
      <x:c r="N160" s="52" t="n">
        <x:f>H160*L160+(1-H160)*M160+O160</x:f>
        <x:v>-0.1239004203525777</x:v>
      </x:c>
      <x:c r="O160" s="36" t="n">
        <x:f>Assumptions!$B$10</x:f>
        <x:v>0</x:v>
      </x:c>
      <x:c r="P160" s="54" t="n">
        <x:f>E160*(1+N160)</x:f>
        <x:v>4681.876153635824</x:v>
      </x:c>
      <x:c r="Q160" s="54" t="n">
        <x:f>P160-E160</x:f>
        <x:v>-662.1238463641757</x:v>
      </x:c>
      <x:c r="R160" s="16" t="str">
        <x:v>Yes</x:v>
      </x:c>
      <x:c r="S160" s="56" t="n">
        <x:v>34256</x:v>
      </x:c>
      <x:c r="T160" s="56" t="n">
        <x:v>18293</x:v>
      </x:c>
      <x:c r="U160" s="40" t="n">
        <x:f>E160*Assumptions!$B$8</x:f>
        <x:v>4542.4</x:v>
      </x:c>
      <x:c r="V160" s="40" t="n">
        <x:f>P160*Assumptions!$B$8</x:f>
        <x:v>3979.5947305904506</x:v>
      </x:c>
      <x:c r="W160" s="54" t="n">
        <x:f>V160-U160</x:f>
        <x:v>-562.805269409549</x:v>
      </x:c>
      <x:c r="X160" s="58" t="n">
        <x:f>IF(R160="No","",W160*S160)</x:f>
        <x:v>-19279457.308893513</x:v>
      </x:c>
      <x:c r="Y160" s="58" t="n">
        <x:f>IF(R160="No","",W160*T160*Assumptions!$B$9)</x:f>
        <x:v>-3088619.037992664</x:v>
      </x:c>
      <x:c r="Z160" s="58" t="n">
        <x:f>IF(R160="No","",X160-Y160)</x:f>
        <x:v>-16190838.27090085</x:v>
      </x:c>
      <x:c r="AA160" s="58" t="n">
        <x:f>IF(R160="No","",MAX(0,-Z160))</x:f>
        <x:v>16190838.27090085</x:v>
      </x:c>
      <x:c r="AB160" s="52" t="n">
        <x:f>IF(OR(R160="No",U160*S160=0),"",AA160/(U160*S160))</x:f>
        <x:v>0.10405125183164969</x:v>
      </x:c>
      <x:c r="AC160" s="54" t="n">
        <x:f>IF(OR(R160="No",S160-T160*Assumptions!$B$9&lt;=0),"",AA160/(Assumptions!$B$8*(S160-T160*Assumptions!$B$9)))</x:f>
        <x:v>662.1238463641754</x:v>
      </x:c>
      <x:c r="AD160" s="52" t="n">
        <x:f>IF(OR(R160="No",U160*S160=0),"",AA160/(U160*S160))</x:f>
        <x:v>0.10405125183164969</x:v>
      </x:c>
      <x:c r="AE160" s="50" t="str">
        <x:f>IF(R160="No","No finance data",IF(AB160&gt;=10%,"Severe",IF(AB160&gt;=5%,"High",IF(AB160&gt;=2%,"Moderate","Low"))))</x:f>
        <x:v>Severe</x:v>
      </x:c>
      <x:c r="AF160" s="60" t="n">
        <x:v>37.348362</x:v>
      </x:c>
      <x:c r="AG160" s="60" t="n">
        <x:v>-121.93784</x:v>
      </x:c>
      <x:c r="AH160" s="44" t="str">
        <x:v>Undergraduate tuition-contribution proxy only; not an audited total institutional budget.</x:v>
      </x:c>
    </x:row>
    <x:row r="161">
      <x:c r="A161" s="16" t="n">
        <x:v>123165</x:v>
      </x:c>
      <x:c r="B161" s="16" t="str">
        <x:v>Scripps College</x:v>
      </x:c>
      <x:c r="C161" s="16" t="str">
        <x:v>CA</x:v>
      </x:c>
      <x:c r="D161" s="16" t="str">
        <x:v>Private nonprofit</x:v>
      </x:c>
      <x:c r="E161" s="34" t="n">
        <x:v>968</x:v>
      </x:c>
      <x:c r="F161" s="21" t="n">
        <x:v>0.2954</x:v>
      </x:c>
      <x:c r="G161" s="16" t="str">
        <x:v>National</x:v>
      </x:c>
      <x:c r="H161" s="36" t="n">
        <x:f>IF(G161="National",Assumptions!$B$11,IF(G161="Statewide",Assumptions!$B$12,Assumptions!$B$13))</x:f>
        <x:v>0.25</x:v>
      </x:c>
      <x:c r="I161" s="21" t="n">
        <x:v>-0.06638496203204658</x:v>
      </x:c>
      <x:c r="J161" s="21" t="n">
        <x:v>-0.13740068518113568</x:v>
      </x:c>
      <x:c r="K161" s="21" t="n">
        <x:v>-0.2731806039713064</x:v>
      </x:c>
      <x:c r="L161" s="36" t="n">
        <x:f>IF(Assumptions!$B$4=2030,I161,IF(Assumptions!$B$4=2035,J161,K161))</x:f>
        <x:v>-0.13740068518113568</x:v>
      </x:c>
      <x:c r="M161" s="36" t="n">
        <x:f>Assumptions!$B$19</x:f>
        <x:v>-0.04739891965741583</x:v>
      </x:c>
      <x:c r="N161" s="52" t="n">
        <x:f>H161*L161+(1-H161)*M161+O161</x:f>
        <x:v>-0.06989936103834579</x:v>
      </x:c>
      <x:c r="O161" s="36" t="n">
        <x:f>Assumptions!$B$10</x:f>
        <x:v>0</x:v>
      </x:c>
      <x:c r="P161" s="54" t="n">
        <x:f>E161*(1+N161)</x:f>
        <x:v>900.3374185148813</x:v>
      </x:c>
      <x:c r="Q161" s="54" t="n">
        <x:f>P161-E161</x:f>
        <x:v>-67.66258148511872</x:v>
      </x:c>
      <x:c r="R161" s="16" t="str">
        <x:v>Yes</x:v>
      </x:c>
      <x:c r="S161" s="56" t="n">
        <x:v>36372</x:v>
      </x:c>
      <x:c r="T161" s="56" t="n">
        <x:v>24452</x:v>
      </x:c>
      <x:c r="U161" s="40" t="n">
        <x:f>E161*Assumptions!$B$8</x:f>
        <x:v>822.8</x:v>
      </x:c>
      <x:c r="V161" s="40" t="n">
        <x:f>P161*Assumptions!$B$8</x:f>
        <x:v>765.286805737649</x:v>
      </x:c>
      <x:c r="W161" s="54" t="n">
        <x:f>V161-U161</x:f>
        <x:v>-57.51319426235091</x:v>
      </x:c>
      <x:c r="X161" s="58" t="n">
        <x:f>IF(R161="No","",W161*S161)</x:f>
        <x:v>-2091869.9017102271</x:v>
      </x:c>
      <x:c r="Y161" s="58" t="n">
        <x:f>IF(R161="No","",W161*T161*Assumptions!$B$9)</x:f>
        <x:v>-421893.78783090133</x:v>
      </x:c>
      <x:c r="Z161" s="58" t="n">
        <x:f>IF(R161="No","",X161-Y161)</x:f>
        <x:v>-1669976.1138793258</x:v>
      </x:c>
      <x:c r="AA161" s="58" t="n">
        <x:f>IF(R161="No","",MAX(0,-Z161))</x:f>
        <x:v>1669976.1138793258</x:v>
      </x:c>
      <x:c r="AB161" s="52" t="n">
        <x:f>IF(OR(R161="No",U161*S161=0),"",AA161/(U161*S161))</x:f>
        <x:v>0.055801875257170994</x:v>
      </x:c>
      <x:c r="AC161" s="54" t="n">
        <x:f>IF(OR(R161="No",S161-T161*Assumptions!$B$9&lt;=0),"",AA161/(Assumptions!$B$8*(S161-T161*Assumptions!$B$9)))</x:f>
        <x:v>67.66258148511871</x:v>
      </x:c>
      <x:c r="AD161" s="52" t="n">
        <x:f>IF(OR(R161="No",U161*S161=0),"",AA161/(U161*S161))</x:f>
        <x:v>0.055801875257170994</x:v>
      </x:c>
      <x:c r="AE161" s="50" t="str">
        <x:f>IF(R161="No","No finance data",IF(AB161&gt;=10%,"Severe",IF(AB161&gt;=5%,"High",IF(AB161&gt;=2%,"Moderate","Low"))))</x:f>
        <x:v>High</x:v>
      </x:c>
      <x:c r="AF161" s="60" t="n">
        <x:v>34.104147</x:v>
      </x:c>
      <x:c r="AG161" s="60" t="n">
        <x:v>-117.711294</x:v>
      </x:c>
      <x:c r="AH161" s="44" t="str">
        <x:v>Undergraduate tuition-contribution proxy only; not an audited total institutional budget.</x:v>
      </x:c>
    </x:row>
    <x:row r="162">
      <x:c r="A162" s="16" t="n">
        <x:v>123280</x:v>
      </x:c>
      <x:c r="B162" s="16" t="str">
        <x:v>Shasta Bible College and Graduate School</x:v>
      </x:c>
      <x:c r="C162" s="16" t="str">
        <x:v>CA</x:v>
      </x:c>
      <x:c r="D162" s="16" t="str">
        <x:v>Private nonprofit</x:v>
      </x:c>
      <x:c r="E162" s="34" t="n">
        <x:v>43</x:v>
      </x:c>
      <x:c r="F162" s="21"/>
      <x:c r="G162" s="16" t="str">
        <x:v>Regional</x:v>
      </x:c>
      <x:c r="H162" s="36" t="n">
        <x:f>IF(G162="National",Assumptions!$B$11,IF(G162="Statewide",Assumptions!$B$12,Assumptions!$B$13))</x:f>
        <x:v>0.85</x:v>
      </x:c>
      <x:c r="I162" s="21" t="n">
        <x:v>-0.06638496203204658</x:v>
      </x:c>
      <x:c r="J162" s="21" t="n">
        <x:v>-0.13740068518113568</x:v>
      </x:c>
      <x:c r="K162" s="21" t="n">
        <x:v>-0.2731806039713064</x:v>
      </x:c>
      <x:c r="L162" s="36" t="n">
        <x:f>IF(Assumptions!$B$4=2030,I162,IF(Assumptions!$B$4=2035,J162,K162))</x:f>
        <x:v>-0.13740068518113568</x:v>
      </x:c>
      <x:c r="M162" s="36" t="n">
        <x:f>Assumptions!$B$19</x:f>
        <x:v>-0.04739891965741583</x:v>
      </x:c>
      <x:c r="N162" s="52" t="n">
        <x:f>H162*L162+(1-H162)*M162+O162</x:f>
        <x:v>-0.1239004203525777</x:v>
      </x:c>
      <x:c r="O162" s="36" t="n">
        <x:f>Assumptions!$B$10</x:f>
        <x:v>0</x:v>
      </x:c>
      <x:c r="P162" s="54" t="n">
        <x:f>E162*(1+N162)</x:f>
        <x:v>37.672281924839154</x:v>
      </x:c>
      <x:c r="Q162" s="54" t="n">
        <x:f>P162-E162</x:f>
        <x:v>-5.3277180751608455</x:v>
      </x:c>
      <x:c r="R162" s="16" t="str">
        <x:v>No</x:v>
      </x:c>
      <x:c r="S162" s="56"/>
      <x:c r="T162" s="56"/>
      <x:c r="U162" s="40" t="n">
        <x:f>E162*Assumptions!$B$8</x:f>
        <x:v>36.55</x:v>
      </x:c>
      <x:c r="V162" s="40" t="n">
        <x:f>P162*Assumptions!$B$8</x:f>
        <x:v>32.02143963611328</x:v>
      </x:c>
      <x:c r="W162" s="54" t="n">
        <x:f>V162-U162</x:f>
        <x:v>-4.528560363886719</x:v>
      </x:c>
      <x:c r="X162" s="58" t="str">
        <x:f>IF(R162="No","",W162*S162)</x:f>
      </x:c>
      <x:c r="Y162" s="58" t="str">
        <x:f>IF(R162="No","",W162*T162*Assumptions!$B$9)</x:f>
      </x:c>
      <x:c r="Z162" s="58" t="str">
        <x:f>IF(R162="No","",X162-Y162)</x:f>
      </x:c>
      <x:c r="AA162" s="58" t="str">
        <x:f>IF(R162="No","",MAX(0,-Z162))</x:f>
      </x:c>
      <x:c r="AB162" s="52" t="str">
        <x:f>IF(OR(R162="No",U162*S162=0),"",AA162/(U162*S162))</x:f>
      </x:c>
      <x:c r="AC162" s="54" t="str">
        <x:f>IF(OR(R162="No",S162-T162*Assumptions!$B$9&lt;=0),"",AA162/(Assumptions!$B$8*(S162-T162*Assumptions!$B$9)))</x:f>
      </x:c>
      <x:c r="AD162" s="52" t="str">
        <x:f>IF(OR(R162="No",U162*S162=0),"",AA162/(U162*S162))</x:f>
      </x:c>
      <x:c r="AE162" s="50" t="str">
        <x:f>IF(R162="No","No finance data",IF(AB162&gt;=10%,"Severe",IF(AB162&gt;=5%,"High",IF(AB162&gt;=2%,"Moderate","Low"))))</x:f>
        <x:v>No finance data</x:v>
      </x:c>
      <x:c r="AF162" s="60"/>
      <x:c r="AG162" s="60"/>
      <x:c r="AH162" s="44" t="str">
        <x:v>Undergraduate tuition-contribution proxy only; not an audited total institutional budget.</x:v>
      </x:c>
    </x:row>
    <x:row r="163">
      <x:c r="A163" s="16" t="n">
        <x:v>123457</x:v>
      </x:c>
      <x:c r="B163" s="16" t="str">
        <x:v>Simpson University</x:v>
      </x:c>
      <x:c r="C163" s="16" t="str">
        <x:v>CA</x:v>
      </x:c>
      <x:c r="D163" s="16" t="str">
        <x:v>Private nonprofit</x:v>
      </x:c>
      <x:c r="E163" s="34" t="n">
        <x:v>959</x:v>
      </x:c>
      <x:c r="F163" s="21" t="n">
        <x:v>0.6695</x:v>
      </x:c>
      <x:c r="G163" s="16" t="str">
        <x:v>Regional</x:v>
      </x:c>
      <x:c r="H163" s="36" t="n">
        <x:f>IF(G163="National",Assumptions!$B$11,IF(G163="Statewide",Assumptions!$B$12,Assumptions!$B$13))</x:f>
        <x:v>0.85</x:v>
      </x:c>
      <x:c r="I163" s="21" t="n">
        <x:v>-0.06638496203204658</x:v>
      </x:c>
      <x:c r="J163" s="21" t="n">
        <x:v>-0.13740068518113568</x:v>
      </x:c>
      <x:c r="K163" s="21" t="n">
        <x:v>-0.2731806039713064</x:v>
      </x:c>
      <x:c r="L163" s="36" t="n">
        <x:f>IF(Assumptions!$B$4=2030,I163,IF(Assumptions!$B$4=2035,J163,K163))</x:f>
        <x:v>-0.13740068518113568</x:v>
      </x:c>
      <x:c r="M163" s="36" t="n">
        <x:f>Assumptions!$B$19</x:f>
        <x:v>-0.04739891965741583</x:v>
      </x:c>
      <x:c r="N163" s="52" t="n">
        <x:f>H163*L163+(1-H163)*M163+O163</x:f>
        <x:v>-0.1239004203525777</x:v>
      </x:c>
      <x:c r="O163" s="36" t="n">
        <x:f>Assumptions!$B$10</x:f>
        <x:v>0</x:v>
      </x:c>
      <x:c r="P163" s="54" t="n">
        <x:f>E163*(1+N163)</x:f>
        <x:v>840.179496881878</x:v>
      </x:c>
      <x:c r="Q163" s="54" t="n">
        <x:f>P163-E163</x:f>
        <x:v>-118.82050311812202</x:v>
      </x:c>
      <x:c r="R163" s="16" t="str">
        <x:v>Yes</x:v>
      </x:c>
      <x:c r="S163" s="56" t="n">
        <x:v>17658</x:v>
      </x:c>
      <x:c r="T163" s="56" t="n">
        <x:v>11618</x:v>
      </x:c>
      <x:c r="U163" s="40" t="n">
        <x:f>E163*Assumptions!$B$8</x:f>
        <x:v>815.15</x:v>
      </x:c>
      <x:c r="V163" s="40" t="n">
        <x:f>P163*Assumptions!$B$8</x:f>
        <x:v>714.1525723495963</x:v>
      </x:c>
      <x:c r="W163" s="54" t="n">
        <x:f>V163-U163</x:f>
        <x:v>-100.99742765040367</x:v>
      </x:c>
      <x:c r="X163" s="58" t="n">
        <x:f>IF(R163="No","",W163*S163)</x:f>
        <x:v>-1783412.577450828</x:v>
      </x:c>
      <x:c r="Y163" s="58" t="n">
        <x:f>IF(R163="No","",W163*T163*Assumptions!$B$9)</x:f>
        <x:v>-352016.4343327169</x:v>
      </x:c>
      <x:c r="Z163" s="58" t="n">
        <x:f>IF(R163="No","",X163-Y163)</x:f>
        <x:v>-1431396.143118111</x:v>
      </x:c>
      <x:c r="AA163" s="58" t="n">
        <x:f>IF(R163="No","",MAX(0,-Z163))</x:f>
        <x:v>1431396.143118111</x:v>
      </x:c>
      <x:c r="AB163" s="52" t="n">
        <x:f>IF(OR(R163="No",U163*S163=0),"",AA163/(U163*S163))</x:f>
        <x:v>0.09944450659694994</x:v>
      </x:c>
      <x:c r="AC163" s="54" t="n">
        <x:f>IF(OR(R163="No",S163-T163*Assumptions!$B$9&lt;=0),"",AA163/(Assumptions!$B$8*(S163-T163*Assumptions!$B$9)))</x:f>
        <x:v>118.82050311812196</x:v>
      </x:c>
      <x:c r="AD163" s="52" t="n">
        <x:f>IF(OR(R163="No",U163*S163=0),"",AA163/(U163*S163))</x:f>
        <x:v>0.09944450659694994</x:v>
      </x:c>
      <x:c r="AE163" s="50" t="str">
        <x:f>IF(R163="No","No finance data",IF(AB163&gt;=10%,"Severe",IF(AB163&gt;=5%,"High",IF(AB163&gt;=2%,"Moderate","Low"))))</x:f>
        <x:v>High</x:v>
      </x:c>
      <x:c r="AF163" s="60" t="n">
        <x:v>40.61334</x:v>
      </x:c>
      <x:c r="AG163" s="60" t="n">
        <x:v>-122.332981</x:v>
      </x:c>
      <x:c r="AH163" s="44" t="str">
        <x:v>Undergraduate tuition-contribution proxy only; not an audited total institutional budget.</x:v>
      </x:c>
    </x:row>
    <x:row r="164">
      <x:c r="A164" s="16" t="n">
        <x:v>399911</x:v>
      </x:c>
      <x:c r="B164" s="16" t="str">
        <x:v>Soka University of America</x:v>
      </x:c>
      <x:c r="C164" s="16" t="str">
        <x:v>CA</x:v>
      </x:c>
      <x:c r="D164" s="16" t="str">
        <x:v>Private nonprofit</x:v>
      </x:c>
      <x:c r="E164" s="34" t="n">
        <x:v>432</x:v>
      </x:c>
      <x:c r="F164" s="21"/>
      <x:c r="G164" s="16" t="str">
        <x:v>Regional</x:v>
      </x:c>
      <x:c r="H164" s="36" t="n">
        <x:f>IF(G164="National",Assumptions!$B$11,IF(G164="Statewide",Assumptions!$B$12,Assumptions!$B$13))</x:f>
        <x:v>0.85</x:v>
      </x:c>
      <x:c r="I164" s="21" t="n">
        <x:v>-0.06638496203204658</x:v>
      </x:c>
      <x:c r="J164" s="21" t="n">
        <x:v>-0.13740068518113568</x:v>
      </x:c>
      <x:c r="K164" s="21" t="n">
        <x:v>-0.2731806039713064</x:v>
      </x:c>
      <x:c r="L164" s="36" t="n">
        <x:f>IF(Assumptions!$B$4=2030,I164,IF(Assumptions!$B$4=2035,J164,K164))</x:f>
        <x:v>-0.13740068518113568</x:v>
      </x:c>
      <x:c r="M164" s="36" t="n">
        <x:f>Assumptions!$B$19</x:f>
        <x:v>-0.04739891965741583</x:v>
      </x:c>
      <x:c r="N164" s="52" t="n">
        <x:f>H164*L164+(1-H164)*M164+O164</x:f>
        <x:v>-0.1239004203525777</x:v>
      </x:c>
      <x:c r="O164" s="36" t="n">
        <x:f>Assumptions!$B$10</x:f>
        <x:v>0</x:v>
      </x:c>
      <x:c r="P164" s="54" t="n">
        <x:f>E164*(1+N164)</x:f>
        <x:v>378.47501840768643</x:v>
      </x:c>
      <x:c r="Q164" s="54" t="n">
        <x:f>P164-E164</x:f>
        <x:v>-53.524981592313566</x:v>
      </x:c>
      <x:c r="R164" s="16" t="str">
        <x:v>No</x:v>
      </x:c>
      <x:c r="S164" s="56"/>
      <x:c r="T164" s="56"/>
      <x:c r="U164" s="40" t="n">
        <x:f>E164*Assumptions!$B$8</x:f>
        <x:v>367.2</x:v>
      </x:c>
      <x:c r="V164" s="40" t="n">
        <x:f>P164*Assumptions!$B$8</x:f>
        <x:v>321.70376564653344</x:v>
      </x:c>
      <x:c r="W164" s="54" t="n">
        <x:f>V164-U164</x:f>
        <x:v>-45.49623435346655</x:v>
      </x:c>
      <x:c r="X164" s="58" t="str">
        <x:f>IF(R164="No","",W164*S164)</x:f>
      </x:c>
      <x:c r="Y164" s="58" t="str">
        <x:f>IF(R164="No","",W164*T164*Assumptions!$B$9)</x:f>
      </x:c>
      <x:c r="Z164" s="58" t="str">
        <x:f>IF(R164="No","",X164-Y164)</x:f>
      </x:c>
      <x:c r="AA164" s="58" t="str">
        <x:f>IF(R164="No","",MAX(0,-Z164))</x:f>
      </x:c>
      <x:c r="AB164" s="52" t="str">
        <x:f>IF(OR(R164="No",U164*S164=0),"",AA164/(U164*S164))</x:f>
      </x:c>
      <x:c r="AC164" s="54" t="str">
        <x:f>IF(OR(R164="No",S164-T164*Assumptions!$B$9&lt;=0),"",AA164/(Assumptions!$B$8*(S164-T164*Assumptions!$B$9)))</x:f>
      </x:c>
      <x:c r="AD164" s="52" t="str">
        <x:f>IF(OR(R164="No",U164*S164=0),"",AA164/(U164*S164))</x:f>
      </x:c>
      <x:c r="AE164" s="50" t="str">
        <x:f>IF(R164="No","No finance data",IF(AB164&gt;=10%,"Severe",IF(AB164&gt;=5%,"High",IF(AB164&gt;=2%,"Moderate","Low"))))</x:f>
        <x:v>No finance data</x:v>
      </x:c>
      <x:c r="AF164" s="60"/>
      <x:c r="AG164" s="60"/>
      <x:c r="AH164" s="44" t="str">
        <x:v>Undergraduate tuition-contribution proxy only; not an audited total institutional budget.</x:v>
      </x:c>
    </x:row>
    <x:row r="165">
      <x:c r="A165" s="16" t="n">
        <x:v>123572</x:v>
      </x:c>
      <x:c r="B165" s="16" t="str">
        <x:v>Sonoma State University</x:v>
      </x:c>
      <x:c r="C165" s="16" t="str">
        <x:v>CA</x:v>
      </x:c>
      <x:c r="D165" s="16" t="str">
        <x:v>Public</x:v>
      </x:c>
      <x:c r="E165" s="34" t="n">
        <x:v>8589</x:v>
      </x:c>
      <x:c r="F165" s="21" t="n">
        <x:v>0.9373</x:v>
      </x:c>
      <x:c r="G165" s="16" t="str">
        <x:v>Statewide</x:v>
      </x:c>
      <x:c r="H165" s="36" t="n">
        <x:f>IF(G165="National",Assumptions!$B$11,IF(G165="Statewide",Assumptions!$B$12,Assumptions!$B$13))</x:f>
        <x:v>0.6</x:v>
      </x:c>
      <x:c r="I165" s="21" t="n">
        <x:v>-0.06638496203204658</x:v>
      </x:c>
      <x:c r="J165" s="21" t="n">
        <x:v>-0.13740068518113568</x:v>
      </x:c>
      <x:c r="K165" s="21" t="n">
        <x:v>-0.2731806039713064</x:v>
      </x:c>
      <x:c r="L165" s="36" t="n">
        <x:f>IF(Assumptions!$B$4=2030,I165,IF(Assumptions!$B$4=2035,J165,K165))</x:f>
        <x:v>-0.13740068518113568</x:v>
      </x:c>
      <x:c r="M165" s="36" t="n">
        <x:f>Assumptions!$B$19</x:f>
        <x:v>-0.04739891965741583</x:v>
      </x:c>
      <x:c r="N165" s="52" t="n">
        <x:f>H165*L165+(1-H165)*M165+O165</x:f>
        <x:v>-0.10139997897164774</x:v>
      </x:c>
      <x:c r="O165" s="36" t="n">
        <x:f>Assumptions!$B$10</x:f>
        <x:v>0</x:v>
      </x:c>
      <x:c r="P165" s="54" t="n">
        <x:f>E165*(1+N165)</x:f>
        <x:v>7718.075580612517</x:v>
      </x:c>
      <x:c r="Q165" s="54" t="n">
        <x:f>P165-E165</x:f>
        <x:v>-870.9244193874829</x:v>
      </x:c>
      <x:c r="R165" s="16" t="str">
        <x:v>Yes</x:v>
      </x:c>
      <x:c r="S165" s="56" t="n">
        <x:v>5677</x:v>
      </x:c>
      <x:c r="T165" s="56" t="n">
        <x:v>8595</x:v>
      </x:c>
      <x:c r="U165" s="40" t="n">
        <x:f>E165*Assumptions!$B$8</x:f>
        <x:v>7300.65</x:v>
      </x:c>
      <x:c r="V165" s="40" t="n">
        <x:f>P165*Assumptions!$B$8</x:f>
        <x:v>6560.364243520639</x:v>
      </x:c>
      <x:c r="W165" s="54" t="n">
        <x:f>V165-U165</x:f>
        <x:v>-740.2857564793603</x:v>
      </x:c>
      <x:c r="X165" s="58" t="n">
        <x:f>IF(R165="No","",W165*S165)</x:f>
        <x:v>-4202602.239533328</x:v>
      </x:c>
      <x:c r="Y165" s="58" t="n">
        <x:f>IF(R165="No","",W165*T165*Assumptions!$B$9)</x:f>
        <x:v>-1908826.8230820303</x:v>
      </x:c>
      <x:c r="Z165" s="58" t="n">
        <x:f>IF(R165="No","",X165-Y165)</x:f>
        <x:v>-2293775.416451298</x:v>
      </x:c>
      <x:c r="AA165" s="58" t="n">
        <x:f>IF(R165="No","",MAX(0,-Z165))</x:f>
        <x:v>2293775.416451298</x:v>
      </x:c>
      <x:c r="AB165" s="52" t="n">
        <x:f>IF(OR(R165="No",U165*S165=0),"",AA165/(U165*S165))</x:f>
        <x:v>0.05534399063654231</x:v>
      </x:c>
      <x:c r="AC165" s="54" t="n">
        <x:f>IF(OR(R165="No",S165-T165*Assumptions!$B$9&lt;=0),"",AA165/(Assumptions!$B$8*(S165-T165*Assumptions!$B$9)))</x:f>
        <x:v>870.9244193874829</x:v>
      </x:c>
      <x:c r="AD165" s="52" t="n">
        <x:f>IF(OR(R165="No",U165*S165=0),"",AA165/(U165*S165))</x:f>
        <x:v>0.05534399063654231</x:v>
      </x:c>
      <x:c r="AE165" s="50" t="str">
        <x:f>IF(R165="No","No finance data",IF(AB165&gt;=10%,"Severe",IF(AB165&gt;=5%,"High",IF(AB165&gt;=2%,"Moderate","Low"))))</x:f>
        <x:v>High</x:v>
      </x:c>
      <x:c r="AF165" s="60" t="n">
        <x:v>38.340274</x:v>
      </x:c>
      <x:c r="AG165" s="60" t="n">
        <x:v>-122.677066</x:v>
      </x:c>
      <x:c r="AH165" s="44" t="str">
        <x:v>Undergraduate tuition-contribution proxy only; not an audited total institutional budget.</x:v>
      </x:c>
    </x:row>
    <x:row r="166">
      <x:c r="A166" s="16" t="n">
        <x:v>123633</x:v>
      </x:c>
      <x:c r="B166" s="16" t="str">
        <x:v>South Baylo University</x:v>
      </x:c>
      <x:c r="C166" s="16" t="str">
        <x:v>CA</x:v>
      </x:c>
      <x:c r="D166" s="16" t="str">
        <x:v>Private nonprofit</x:v>
      </x:c>
      <x:c r="E166" s="34" t="n">
        <x:v>66</x:v>
      </x:c>
      <x:c r="F166" s="21"/>
      <x:c r="G166" s="16" t="str">
        <x:v>Regional</x:v>
      </x:c>
      <x:c r="H166" s="36" t="n">
        <x:f>IF(G166="National",Assumptions!$B$11,IF(G166="Statewide",Assumptions!$B$12,Assumptions!$B$13))</x:f>
        <x:v>0.85</x:v>
      </x:c>
      <x:c r="I166" s="21" t="n">
        <x:v>-0.06638496203204658</x:v>
      </x:c>
      <x:c r="J166" s="21" t="n">
        <x:v>-0.13740068518113568</x:v>
      </x:c>
      <x:c r="K166" s="21" t="n">
        <x:v>-0.2731806039713064</x:v>
      </x:c>
      <x:c r="L166" s="36" t="n">
        <x:f>IF(Assumptions!$B$4=2030,I166,IF(Assumptions!$B$4=2035,J166,K166))</x:f>
        <x:v>-0.13740068518113568</x:v>
      </x:c>
      <x:c r="M166" s="36" t="n">
        <x:f>Assumptions!$B$19</x:f>
        <x:v>-0.04739891965741583</x:v>
      </x:c>
      <x:c r="N166" s="52" t="n">
        <x:f>H166*L166+(1-H166)*M166+O166</x:f>
        <x:v>-0.1239004203525777</x:v>
      </x:c>
      <x:c r="O166" s="36" t="n">
        <x:f>Assumptions!$B$10</x:f>
        <x:v>0</x:v>
      </x:c>
      <x:c r="P166" s="54" t="n">
        <x:f>E166*(1+N166)</x:f>
        <x:v>57.82257225672987</x:v>
      </x:c>
      <x:c r="Q166" s="54" t="n">
        <x:f>P166-E166</x:f>
        <x:v>-8.17742774327013</x:v>
      </x:c>
      <x:c r="R166" s="16" t="str">
        <x:v>No</x:v>
      </x:c>
      <x:c r="S166" s="56"/>
      <x:c r="T166" s="56"/>
      <x:c r="U166" s="40" t="n">
        <x:f>E166*Assumptions!$B$8</x:f>
        <x:v>56.1</x:v>
      </x:c>
      <x:c r="V166" s="40" t="n">
        <x:f>P166*Assumptions!$B$8</x:f>
        <x:v>49.14918641822039</x:v>
      </x:c>
      <x:c r="W166" s="54" t="n">
        <x:f>V166-U166</x:f>
        <x:v>-6.950813581779613</x:v>
      </x:c>
      <x:c r="X166" s="58" t="str">
        <x:f>IF(R166="No","",W166*S166)</x:f>
      </x:c>
      <x:c r="Y166" s="58" t="str">
        <x:f>IF(R166="No","",W166*T166*Assumptions!$B$9)</x:f>
      </x:c>
      <x:c r="Z166" s="58" t="str">
        <x:f>IF(R166="No","",X166-Y166)</x:f>
      </x:c>
      <x:c r="AA166" s="58" t="str">
        <x:f>IF(R166="No","",MAX(0,-Z166))</x:f>
      </x:c>
      <x:c r="AB166" s="52" t="str">
        <x:f>IF(OR(R166="No",U166*S166=0),"",AA166/(U166*S166))</x:f>
      </x:c>
      <x:c r="AC166" s="54" t="str">
        <x:f>IF(OR(R166="No",S166-T166*Assumptions!$B$9&lt;=0),"",AA166/(Assumptions!$B$8*(S166-T166*Assumptions!$B$9)))</x:f>
      </x:c>
      <x:c r="AD166" s="52" t="str">
        <x:f>IF(OR(R166="No",U166*S166=0),"",AA166/(U166*S166))</x:f>
      </x:c>
      <x:c r="AE166" s="50" t="str">
        <x:f>IF(R166="No","No finance data",IF(AB166&gt;=10%,"Severe",IF(AB166&gt;=5%,"High",IF(AB166&gt;=2%,"Moderate","Low"))))</x:f>
        <x:v>No finance data</x:v>
      </x:c>
      <x:c r="AF166" s="60"/>
      <x:c r="AG166" s="60"/>
      <x:c r="AH166" s="44" t="str">
        <x:v>Undergraduate tuition-contribution proxy only; not an audited total institutional budget.</x:v>
      </x:c>
    </x:row>
    <x:row r="167">
      <x:c r="A167" s="16" t="n">
        <x:v>123952</x:v>
      </x:c>
      <x:c r="B167" s="16" t="str">
        <x:v>Southern California Institute of Architecture</x:v>
      </x:c>
      <x:c r="C167" s="16" t="str">
        <x:v>CA</x:v>
      </x:c>
      <x:c r="D167" s="16" t="str">
        <x:v>Private nonprofit</x:v>
      </x:c>
      <x:c r="E167" s="34" t="n">
        <x:v>255</x:v>
      </x:c>
      <x:c r="F167" s="21"/>
      <x:c r="G167" s="16" t="str">
        <x:v>Regional</x:v>
      </x:c>
      <x:c r="H167" s="36" t="n">
        <x:f>IF(G167="National",Assumptions!$B$11,IF(G167="Statewide",Assumptions!$B$12,Assumptions!$B$13))</x:f>
        <x:v>0.85</x:v>
      </x:c>
      <x:c r="I167" s="21" t="n">
        <x:v>-0.06638496203204658</x:v>
      </x:c>
      <x:c r="J167" s="21" t="n">
        <x:v>-0.13740068518113568</x:v>
      </x:c>
      <x:c r="K167" s="21" t="n">
        <x:v>-0.2731806039713064</x:v>
      </x:c>
      <x:c r="L167" s="36" t="n">
        <x:f>IF(Assumptions!$B$4=2030,I167,IF(Assumptions!$B$4=2035,J167,K167))</x:f>
        <x:v>-0.13740068518113568</x:v>
      </x:c>
      <x:c r="M167" s="36" t="n">
        <x:f>Assumptions!$B$19</x:f>
        <x:v>-0.04739891965741583</x:v>
      </x:c>
      <x:c r="N167" s="52" t="n">
        <x:f>H167*L167+(1-H167)*M167+O167</x:f>
        <x:v>-0.1239004203525777</x:v>
      </x:c>
      <x:c r="O167" s="36" t="n">
        <x:f>Assumptions!$B$10</x:f>
        <x:v>0</x:v>
      </x:c>
      <x:c r="P167" s="54" t="n">
        <x:f>E167*(1+N167)</x:f>
        <x:v>223.40539281009268</x:v>
      </x:c>
      <x:c r="Q167" s="54" t="n">
        <x:f>P167-E167</x:f>
        <x:v>-31.59460718990732</x:v>
      </x:c>
      <x:c r="R167" s="16" t="str">
        <x:v>No</x:v>
      </x:c>
      <x:c r="S167" s="56"/>
      <x:c r="T167" s="56"/>
      <x:c r="U167" s="40" t="n">
        <x:f>E167*Assumptions!$B$8</x:f>
        <x:v>216.75</x:v>
      </x:c>
      <x:c r="V167" s="40" t="n">
        <x:f>P167*Assumptions!$B$8</x:f>
        <x:v>189.89458388857878</x:v>
      </x:c>
      <x:c r="W167" s="54" t="n">
        <x:f>V167-U167</x:f>
        <x:v>-26.85541611142122</x:v>
      </x:c>
      <x:c r="X167" s="58" t="str">
        <x:f>IF(R167="No","",W167*S167)</x:f>
      </x:c>
      <x:c r="Y167" s="58" t="str">
        <x:f>IF(R167="No","",W167*T167*Assumptions!$B$9)</x:f>
      </x:c>
      <x:c r="Z167" s="58" t="str">
        <x:f>IF(R167="No","",X167-Y167)</x:f>
      </x:c>
      <x:c r="AA167" s="58" t="str">
        <x:f>IF(R167="No","",MAX(0,-Z167))</x:f>
      </x:c>
      <x:c r="AB167" s="52" t="str">
        <x:f>IF(OR(R167="No",U167*S167=0),"",AA167/(U167*S167))</x:f>
      </x:c>
      <x:c r="AC167" s="54" t="str">
        <x:f>IF(OR(R167="No",S167-T167*Assumptions!$B$9&lt;=0),"",AA167/(Assumptions!$B$8*(S167-T167*Assumptions!$B$9)))</x:f>
      </x:c>
      <x:c r="AD167" s="52" t="str">
        <x:f>IF(OR(R167="No",U167*S167=0),"",AA167/(U167*S167))</x:f>
      </x:c>
      <x:c r="AE167" s="50" t="str">
        <x:f>IF(R167="No","No finance data",IF(AB167&gt;=10%,"Severe",IF(AB167&gt;=5%,"High",IF(AB167&gt;=2%,"Moderate","Low"))))</x:f>
        <x:v>No finance data</x:v>
      </x:c>
      <x:c r="AF167" s="60"/>
      <x:c r="AG167" s="60"/>
      <x:c r="AH167" s="44" t="str">
        <x:v>Undergraduate tuition-contribution proxy only; not an audited total institutional budget.</x:v>
      </x:c>
    </x:row>
    <x:row r="168">
      <x:c r="A168" s="16" t="n">
        <x:v>117575</x:v>
      </x:c>
      <x:c r="B168" s="16" t="str">
        <x:v>Southern California Seminary</x:v>
      </x:c>
      <x:c r="C168" s="16" t="str">
        <x:v>CA</x:v>
      </x:c>
      <x:c r="D168" s="16" t="str">
        <x:v>Private nonprofit</x:v>
      </x:c>
      <x:c r="E168" s="34" t="n">
        <x:v>60</x:v>
      </x:c>
      <x:c r="F168" s="21"/>
      <x:c r="G168" s="16" t="str">
        <x:v>Regional</x:v>
      </x:c>
      <x:c r="H168" s="36" t="n">
        <x:f>IF(G168="National",Assumptions!$B$11,IF(G168="Statewide",Assumptions!$B$12,Assumptions!$B$13))</x:f>
        <x:v>0.85</x:v>
      </x:c>
      <x:c r="I168" s="21" t="n">
        <x:v>-0.06638496203204658</x:v>
      </x:c>
      <x:c r="J168" s="21" t="n">
        <x:v>-0.13740068518113568</x:v>
      </x:c>
      <x:c r="K168" s="21" t="n">
        <x:v>-0.2731806039713064</x:v>
      </x:c>
      <x:c r="L168" s="36" t="n">
        <x:f>IF(Assumptions!$B$4=2030,I168,IF(Assumptions!$B$4=2035,J168,K168))</x:f>
        <x:v>-0.13740068518113568</x:v>
      </x:c>
      <x:c r="M168" s="36" t="n">
        <x:f>Assumptions!$B$19</x:f>
        <x:v>-0.04739891965741583</x:v>
      </x:c>
      <x:c r="N168" s="52" t="n">
        <x:f>H168*L168+(1-H168)*M168+O168</x:f>
        <x:v>-0.1239004203525777</x:v>
      </x:c>
      <x:c r="O168" s="36" t="n">
        <x:f>Assumptions!$B$10</x:f>
        <x:v>0</x:v>
      </x:c>
      <x:c r="P168" s="54" t="n">
        <x:f>E168*(1+N168)</x:f>
        <x:v>52.56597477884534</x:v>
      </x:c>
      <x:c r="Q168" s="54" t="n">
        <x:f>P168-E168</x:f>
        <x:v>-7.434025221154663</x:v>
      </x:c>
      <x:c r="R168" s="16" t="str">
        <x:v>No</x:v>
      </x:c>
      <x:c r="S168" s="56"/>
      <x:c r="T168" s="56"/>
      <x:c r="U168" s="40" t="n">
        <x:f>E168*Assumptions!$B$8</x:f>
        <x:v>51</x:v>
      </x:c>
      <x:c r="V168" s="40" t="n">
        <x:f>P168*Assumptions!$B$8</x:f>
        <x:v>44.681078562018534</x:v>
      </x:c>
      <x:c r="W168" s="54" t="n">
        <x:f>V168-U168</x:f>
        <x:v>-6.318921437981466</x:v>
      </x:c>
      <x:c r="X168" s="58" t="str">
        <x:f>IF(R168="No","",W168*S168)</x:f>
      </x:c>
      <x:c r="Y168" s="58" t="str">
        <x:f>IF(R168="No","",W168*T168*Assumptions!$B$9)</x:f>
      </x:c>
      <x:c r="Z168" s="58" t="str">
        <x:f>IF(R168="No","",X168-Y168)</x:f>
      </x:c>
      <x:c r="AA168" s="58" t="str">
        <x:f>IF(R168="No","",MAX(0,-Z168))</x:f>
      </x:c>
      <x:c r="AB168" s="52" t="str">
        <x:f>IF(OR(R168="No",U168*S168=0),"",AA168/(U168*S168))</x:f>
      </x:c>
      <x:c r="AC168" s="54" t="str">
        <x:f>IF(OR(R168="No",S168-T168*Assumptions!$B$9&lt;=0),"",AA168/(Assumptions!$B$8*(S168-T168*Assumptions!$B$9)))</x:f>
      </x:c>
      <x:c r="AD168" s="52" t="str">
        <x:f>IF(OR(R168="No",U168*S168=0),"",AA168/(U168*S168))</x:f>
      </x:c>
      <x:c r="AE168" s="50" t="str">
        <x:f>IF(R168="No","No finance data",IF(AB168&gt;=10%,"Severe",IF(AB168&gt;=5%,"High",IF(AB168&gt;=2%,"Moderate","Low"))))</x:f>
        <x:v>No finance data</x:v>
      </x:c>
      <x:c r="AF168" s="60"/>
      <x:c r="AG168" s="60"/>
      <x:c r="AH168" s="44" t="str">
        <x:v>Undergraduate tuition-contribution proxy only; not an audited total institutional budget.</x:v>
      </x:c>
    </x:row>
    <x:row r="169">
      <x:c r="A169" s="16" t="n">
        <x:v>243744</x:v>
      </x:c>
      <x:c r="B169" s="16" t="str">
        <x:v>Stanford University</x:v>
      </x:c>
      <x:c r="C169" s="16" t="str">
        <x:v>CA</x:v>
      </x:c>
      <x:c r="D169" s="16" t="str">
        <x:v>Private nonprofit</x:v>
      </x:c>
      <x:c r="E169" s="34" t="n">
        <x:v>6994</x:v>
      </x:c>
      <x:c r="F169" s="21" t="n">
        <x:v>0.0395</x:v>
      </x:c>
      <x:c r="G169" s="16" t="str">
        <x:v>National</x:v>
      </x:c>
      <x:c r="H169" s="36" t="n">
        <x:f>IF(G169="National",Assumptions!$B$11,IF(G169="Statewide",Assumptions!$B$12,Assumptions!$B$13))</x:f>
        <x:v>0.25</x:v>
      </x:c>
      <x:c r="I169" s="21" t="n">
        <x:v>-0.06638496203204658</x:v>
      </x:c>
      <x:c r="J169" s="21" t="n">
        <x:v>-0.13740068518113568</x:v>
      </x:c>
      <x:c r="K169" s="21" t="n">
        <x:v>-0.2731806039713064</x:v>
      </x:c>
      <x:c r="L169" s="36" t="n">
        <x:f>IF(Assumptions!$B$4=2030,I169,IF(Assumptions!$B$4=2035,J169,K169))</x:f>
        <x:v>-0.13740068518113568</x:v>
      </x:c>
      <x:c r="M169" s="36" t="n">
        <x:f>Assumptions!$B$19</x:f>
        <x:v>-0.04739891965741583</x:v>
      </x:c>
      <x:c r="N169" s="52" t="n">
        <x:f>H169*L169+(1-H169)*M169+O169</x:f>
        <x:v>-0.06989936103834579</x:v>
      </x:c>
      <x:c r="O169" s="36" t="n">
        <x:f>Assumptions!$B$10</x:f>
        <x:v>0</x:v>
      </x:c>
      <x:c r="P169" s="54" t="n">
        <x:f>E169*(1+N169)</x:f>
        <x:v>6505.123868897809</x:v>
      </x:c>
      <x:c r="Q169" s="54" t="n">
        <x:f>P169-E169</x:f>
        <x:v>-488.8761311021908</x:v>
      </x:c>
      <x:c r="R169" s="16" t="str">
        <x:v>Yes</x:v>
      </x:c>
      <x:c r="S169" s="56" t="n">
        <x:v>25894</x:v>
      </x:c>
      <x:c r="T169" s="56" t="n">
        <x:v>124493</x:v>
      </x:c>
      <x:c r="U169" s="40" t="n">
        <x:f>E169*Assumptions!$B$8</x:f>
        <x:v>5944.9</x:v>
      </x:c>
      <x:c r="V169" s="40" t="n">
        <x:f>P169*Assumptions!$B$8</x:f>
        <x:v>5529.355288563138</x:v>
      </x:c>
      <x:c r="W169" s="54" t="n">
        <x:f>V169-U169</x:f>
        <x:v>-415.5447114368617</x:v>
      </x:c>
      <x:c r="X169" s="58" t="n">
        <x:f>IF(R169="No","",W169*S169)</x:f>
        <x:v>-10760114.757946096</x:v>
      </x:c>
      <x:c r="Y169" s="58" t="n">
        <x:f>IF(R169="No","",W169*T169*Assumptions!$B$9)</x:f>
        <x:v>-15519722.328272766</x:v>
      </x:c>
      <x:c r="Z169" s="58" t="n">
        <x:f>IF(R169="No","",X169-Y169)</x:f>
        <x:v>4759607.570326669</x:v>
      </x:c>
      <x:c r="AA169" s="58" t="n">
        <x:f>IF(R169="No","",MAX(0,-Z169))</x:f>
        <x:v>0</x:v>
      </x:c>
      <x:c r="AB169" s="52" t="n">
        <x:f>IF(OR(R169="No",U169*S169=0),"",AA169/(U169*S169))</x:f>
        <x:v>0</x:v>
      </x:c>
      <x:c r="AC169" s="54" t="str">
        <x:f>IF(OR(R169="No",S169-T169*Assumptions!$B$9&lt;=0),"",AA169/(Assumptions!$B$8*(S169-T169*Assumptions!$B$9)))</x:f>
      </x:c>
      <x:c r="AD169" s="52" t="n">
        <x:f>IF(OR(R169="No",U169*S169=0),"",AA169/(U169*S169))</x:f>
        <x:v>0</x:v>
      </x:c>
      <x:c r="AE169" s="50" t="str">
        <x:f>IF(R169="No","No finance data",IF(AB169&gt;=10%,"Severe",IF(AB169&gt;=5%,"High",IF(AB169&gt;=2%,"Moderate","Low"))))</x:f>
        <x:v>Low</x:v>
      </x:c>
      <x:c r="AF169" s="60" t="n">
        <x:v>37.429434</x:v>
      </x:c>
      <x:c r="AG169" s="60" t="n">
        <x:v>-122.167359</x:v>
      </x:c>
      <x:c r="AH169" s="44" t="str">
        <x:v>Undergraduate tuition-contribution proxy only; not an audited total institutional budget.</x:v>
      </x:c>
    </x:row>
    <x:row r="170">
      <x:c r="A170" s="16" t="n">
        <x:v>117751</x:v>
      </x:c>
      <x:c r="B170" s="16" t="str">
        <x:v>The Master's University and Seminary</x:v>
      </x:c>
      <x:c r="C170" s="16" t="str">
        <x:v>CA</x:v>
      </x:c>
      <x:c r="D170" s="16" t="str">
        <x:v>Private nonprofit</x:v>
      </x:c>
      <x:c r="E170" s="34" t="n">
        <x:v>1126</x:v>
      </x:c>
      <x:c r="F170" s="21" t="n">
        <x:v>0.6698</x:v>
      </x:c>
      <x:c r="G170" s="16" t="str">
        <x:v>Regional</x:v>
      </x:c>
      <x:c r="H170" s="36" t="n">
        <x:f>IF(G170="National",Assumptions!$B$11,IF(G170="Statewide",Assumptions!$B$12,Assumptions!$B$13))</x:f>
        <x:v>0.85</x:v>
      </x:c>
      <x:c r="I170" s="21" t="n">
        <x:v>-0.06638496203204658</x:v>
      </x:c>
      <x:c r="J170" s="21" t="n">
        <x:v>-0.13740068518113568</x:v>
      </x:c>
      <x:c r="K170" s="21" t="n">
        <x:v>-0.2731806039713064</x:v>
      </x:c>
      <x:c r="L170" s="36" t="n">
        <x:f>IF(Assumptions!$B$4=2030,I170,IF(Assumptions!$B$4=2035,J170,K170))</x:f>
        <x:v>-0.13740068518113568</x:v>
      </x:c>
      <x:c r="M170" s="36" t="n">
        <x:f>Assumptions!$B$19</x:f>
        <x:v>-0.04739891965741583</x:v>
      </x:c>
      <x:c r="N170" s="52" t="n">
        <x:f>H170*L170+(1-H170)*M170+O170</x:f>
        <x:v>-0.1239004203525777</x:v>
      </x:c>
      <x:c r="O170" s="36" t="n">
        <x:f>Assumptions!$B$10</x:f>
        <x:v>0</x:v>
      </x:c>
      <x:c r="P170" s="54" t="n">
        <x:f>E170*(1+N170)</x:f>
        <x:v>986.4881266829974</x:v>
      </x:c>
      <x:c r="Q170" s="54" t="n">
        <x:f>P170-E170</x:f>
        <x:v>-139.5118733170026</x:v>
      </x:c>
      <x:c r="R170" s="16" t="str">
        <x:v>Yes</x:v>
      </x:c>
      <x:c r="S170" s="56" t="n">
        <x:v>13338</x:v>
      </x:c>
      <x:c r="T170" s="56" t="n">
        <x:v>8686</x:v>
      </x:c>
      <x:c r="U170" s="40" t="n">
        <x:f>E170*Assumptions!$B$8</x:f>
        <x:v>957.1</x:v>
      </x:c>
      <x:c r="V170" s="40" t="n">
        <x:f>P170*Assumptions!$B$8</x:f>
        <x:v>838.5149076805478</x:v>
      </x:c>
      <x:c r="W170" s="54" t="n">
        <x:f>V170-U170</x:f>
        <x:v>-118.5850923194522</x:v>
      </x:c>
      <x:c r="X170" s="58" t="n">
        <x:f>IF(R170="No","",W170*S170)</x:f>
        <x:v>-1581687.9613568534</x:v>
      </x:c>
      <x:c r="Y170" s="58" t="n">
        <x:f>IF(R170="No","",W170*T170*Assumptions!$B$9)</x:f>
        <x:v>-309009.0335660285</x:v>
      </x:c>
      <x:c r="Z170" s="58" t="n">
        <x:f>IF(R170="No","",X170-Y170)</x:f>
        <x:v>-1272678.9277908248</x:v>
      </x:c>
      <x:c r="AA170" s="58" t="n">
        <x:f>IF(R170="No","",MAX(0,-Z170))</x:f>
        <x:v>1272678.9277908248</x:v>
      </x:c>
      <x:c r="AB170" s="52" t="n">
        <x:f>IF(OR(R170="No",U170*S170=0),"",AA170/(U170*S170))</x:f>
        <x:v>0.09969441380326399</x:v>
      </x:c>
      <x:c r="AC170" s="54" t="n">
        <x:f>IF(OR(R170="No",S170-T170*Assumptions!$B$9&lt;=0),"",AA170/(Assumptions!$B$8*(S170-T170*Assumptions!$B$9)))</x:f>
        <x:v>139.51187331700257</x:v>
      </x:c>
      <x:c r="AD170" s="52" t="n">
        <x:f>IF(OR(R170="No",U170*S170=0),"",AA170/(U170*S170))</x:f>
        <x:v>0.09969441380326399</x:v>
      </x:c>
      <x:c r="AE170" s="50" t="str">
        <x:f>IF(R170="No","No finance data",IF(AB170&gt;=10%,"Severe",IF(AB170&gt;=5%,"High",IF(AB170&gt;=2%,"Moderate","Low"))))</x:f>
        <x:v>High</x:v>
      </x:c>
      <x:c r="AF170" s="60" t="n">
        <x:v>34.381755</x:v>
      </x:c>
      <x:c r="AG170" s="60" t="n">
        <x:v>-118.518193</x:v>
      </x:c>
      <x:c r="AH170" s="44" t="str">
        <x:v>Undergraduate tuition-contribution proxy only; not an audited total institutional budget.</x:v>
      </x:c>
    </x:row>
    <x:row r="171">
      <x:c r="A171" s="16" t="n">
        <x:v>124292</x:v>
      </x:c>
      <x:c r="B171" s="16" t="str">
        <x:v>Thomas Aquinas College</x:v>
      </x:c>
      <x:c r="C171" s="16" t="str">
        <x:v>CA</x:v>
      </x:c>
      <x:c r="D171" s="16" t="str">
        <x:v>Private nonprofit</x:v>
      </x:c>
      <x:c r="E171" s="34" t="n">
        <x:v>377</x:v>
      </x:c>
      <x:c r="F171" s="21"/>
      <x:c r="G171" s="16" t="str">
        <x:v>Regional</x:v>
      </x:c>
      <x:c r="H171" s="36" t="n">
        <x:f>IF(G171="National",Assumptions!$B$11,IF(G171="Statewide",Assumptions!$B$12,Assumptions!$B$13))</x:f>
        <x:v>0.85</x:v>
      </x:c>
      <x:c r="I171" s="21" t="n">
        <x:v>-0.06638496203204658</x:v>
      </x:c>
      <x:c r="J171" s="21" t="n">
        <x:v>-0.13740068518113568</x:v>
      </x:c>
      <x:c r="K171" s="21" t="n">
        <x:v>-0.2731806039713064</x:v>
      </x:c>
      <x:c r="L171" s="36" t="n">
        <x:f>IF(Assumptions!$B$4=2030,I171,IF(Assumptions!$B$4=2035,J171,K171))</x:f>
        <x:v>-0.13740068518113568</x:v>
      </x:c>
      <x:c r="M171" s="36" t="n">
        <x:f>Assumptions!$B$19</x:f>
        <x:v>-0.04739891965741583</x:v>
      </x:c>
      <x:c r="N171" s="52" t="n">
        <x:f>H171*L171+(1-H171)*M171+O171</x:f>
        <x:v>-0.1239004203525777</x:v>
      </x:c>
      <x:c r="O171" s="36" t="n">
        <x:f>Assumptions!$B$10</x:f>
        <x:v>0</x:v>
      </x:c>
      <x:c r="P171" s="54" t="n">
        <x:f>E171*(1+N171)</x:f>
        <x:v>330.2895415270782</x:v>
      </x:c>
      <x:c r="Q171" s="54" t="n">
        <x:f>P171-E171</x:f>
        <x:v>-46.7104584729218</x:v>
      </x:c>
      <x:c r="R171" s="16" t="str">
        <x:v>No</x:v>
      </x:c>
      <x:c r="S171" s="56"/>
      <x:c r="T171" s="56"/>
      <x:c r="U171" s="40" t="n">
        <x:f>E171*Assumptions!$B$8</x:f>
        <x:v>320.45</x:v>
      </x:c>
      <x:c r="V171" s="40" t="n">
        <x:f>P171*Assumptions!$B$8</x:f>
        <x:v>280.74611029801645</x:v>
      </x:c>
      <x:c r="W171" s="54" t="n">
        <x:f>V171-U171</x:f>
        <x:v>-39.70388970198354</x:v>
      </x:c>
      <x:c r="X171" s="58" t="str">
        <x:f>IF(R171="No","",W171*S171)</x:f>
      </x:c>
      <x:c r="Y171" s="58" t="str">
        <x:f>IF(R171="No","",W171*T171*Assumptions!$B$9)</x:f>
      </x:c>
      <x:c r="Z171" s="58" t="str">
        <x:f>IF(R171="No","",X171-Y171)</x:f>
      </x:c>
      <x:c r="AA171" s="58" t="str">
        <x:f>IF(R171="No","",MAX(0,-Z171))</x:f>
      </x:c>
      <x:c r="AB171" s="52" t="str">
        <x:f>IF(OR(R171="No",U171*S171=0),"",AA171/(U171*S171))</x:f>
      </x:c>
      <x:c r="AC171" s="54" t="str">
        <x:f>IF(OR(R171="No",S171-T171*Assumptions!$B$9&lt;=0),"",AA171/(Assumptions!$B$8*(S171-T171*Assumptions!$B$9)))</x:f>
      </x:c>
      <x:c r="AD171" s="52" t="str">
        <x:f>IF(OR(R171="No",U171*S171=0),"",AA171/(U171*S171))</x:f>
      </x:c>
      <x:c r="AE171" s="50" t="str">
        <x:f>IF(R171="No","No finance data",IF(AB171&gt;=10%,"Severe",IF(AB171&gt;=5%,"High",IF(AB171&gt;=2%,"Moderate","Low"))))</x:f>
        <x:v>No finance data</x:v>
      </x:c>
      <x:c r="AF171" s="60"/>
      <x:c r="AG171" s="60"/>
      <x:c r="AH171" s="44" t="str">
        <x:v>Undergraduate tuition-contribution proxy only; not an audited total institutional budget.</x:v>
      </x:c>
    </x:row>
    <x:row r="172">
      <x:c r="A172" s="16" t="n">
        <x:v>459727</x:v>
      </x:c>
      <x:c r="B172" s="16" t="str">
        <x:v>Touro University Worldwide</x:v>
      </x:c>
      <x:c r="C172" s="16" t="str">
        <x:v>CA</x:v>
      </x:c>
      <x:c r="D172" s="16" t="str">
        <x:v>Private nonprofit</x:v>
      </x:c>
      <x:c r="E172" s="34" t="n">
        <x:v>382</x:v>
      </x:c>
      <x:c r="F172" s="21"/>
      <x:c r="G172" s="16" t="str">
        <x:v>Regional</x:v>
      </x:c>
      <x:c r="H172" s="36" t="n">
        <x:f>IF(G172="National",Assumptions!$B$11,IF(G172="Statewide",Assumptions!$B$12,Assumptions!$B$13))</x:f>
        <x:v>0.85</x:v>
      </x:c>
      <x:c r="I172" s="21" t="n">
        <x:v>-0.06638496203204658</x:v>
      </x:c>
      <x:c r="J172" s="21" t="n">
        <x:v>-0.13740068518113568</x:v>
      </x:c>
      <x:c r="K172" s="21" t="n">
        <x:v>-0.2731806039713064</x:v>
      </x:c>
      <x:c r="L172" s="36" t="n">
        <x:f>IF(Assumptions!$B$4=2030,I172,IF(Assumptions!$B$4=2035,J172,K172))</x:f>
        <x:v>-0.13740068518113568</x:v>
      </x:c>
      <x:c r="M172" s="36" t="n">
        <x:f>Assumptions!$B$19</x:f>
        <x:v>-0.04739891965741583</x:v>
      </x:c>
      <x:c r="N172" s="52" t="n">
        <x:f>H172*L172+(1-H172)*M172+O172</x:f>
        <x:v>-0.1239004203525777</x:v>
      </x:c>
      <x:c r="O172" s="36" t="n">
        <x:f>Assumptions!$B$10</x:f>
        <x:v>0</x:v>
      </x:c>
      <x:c r="P172" s="54" t="n">
        <x:f>E172*(1+N172)</x:f>
        <x:v>334.6700394253153</x:v>
      </x:c>
      <x:c r="Q172" s="54" t="n">
        <x:f>P172-E172</x:f>
        <x:v>-47.32996057468472</x:v>
      </x:c>
      <x:c r="R172" s="16" t="str">
        <x:v>No</x:v>
      </x:c>
      <x:c r="S172" s="56"/>
      <x:c r="T172" s="56"/>
      <x:c r="U172" s="40" t="n">
        <x:f>E172*Assumptions!$B$8</x:f>
        <x:v>324.7</x:v>
      </x:c>
      <x:c r="V172" s="40" t="n">
        <x:f>P172*Assumptions!$B$8</x:f>
        <x:v>284.46953351151797</x:v>
      </x:c>
      <x:c r="W172" s="54" t="n">
        <x:f>V172-U172</x:f>
        <x:v>-40.23046648848202</x:v>
      </x:c>
      <x:c r="X172" s="58" t="str">
        <x:f>IF(R172="No","",W172*S172)</x:f>
      </x:c>
      <x:c r="Y172" s="58" t="str">
        <x:f>IF(R172="No","",W172*T172*Assumptions!$B$9)</x:f>
      </x:c>
      <x:c r="Z172" s="58" t="str">
        <x:f>IF(R172="No","",X172-Y172)</x:f>
      </x:c>
      <x:c r="AA172" s="58" t="str">
        <x:f>IF(R172="No","",MAX(0,-Z172))</x:f>
      </x:c>
      <x:c r="AB172" s="52" t="str">
        <x:f>IF(OR(R172="No",U172*S172=0),"",AA172/(U172*S172))</x:f>
      </x:c>
      <x:c r="AC172" s="54" t="str">
        <x:f>IF(OR(R172="No",S172-T172*Assumptions!$B$9&lt;=0),"",AA172/(Assumptions!$B$8*(S172-T172*Assumptions!$B$9)))</x:f>
      </x:c>
      <x:c r="AD172" s="52" t="str">
        <x:f>IF(OR(R172="No",U172*S172=0),"",AA172/(U172*S172))</x:f>
      </x:c>
      <x:c r="AE172" s="50" t="str">
        <x:f>IF(R172="No","No finance data",IF(AB172&gt;=10%,"Severe",IF(AB172&gt;=5%,"High",IF(AB172&gt;=2%,"Moderate","Low"))))</x:f>
        <x:v>No finance data</x:v>
      </x:c>
      <x:c r="AF172" s="60"/>
      <x:c r="AG172" s="60"/>
      <x:c r="AH172" s="44" t="str">
        <x:v>Undergraduate tuition-contribution proxy only; not an audited total institutional budget.</x:v>
      </x:c>
    </x:row>
    <x:row r="173">
      <x:c r="A173" s="16" t="n">
        <x:v>110635</x:v>
      </x:c>
      <x:c r="B173" s="16" t="str">
        <x:v>University of California-Berkeley</x:v>
      </x:c>
      <x:c r="C173" s="16" t="str">
        <x:v>CA</x:v>
      </x:c>
      <x:c r="D173" s="16" t="str">
        <x:v>Public</x:v>
      </x:c>
      <x:c r="E173" s="34" t="n">
        <x:v>27496</x:v>
      </x:c>
      <x:c r="F173" s="21" t="n">
        <x:v>0.1444</x:v>
      </x:c>
      <x:c r="G173" s="16" t="str">
        <x:v>National</x:v>
      </x:c>
      <x:c r="H173" s="36" t="n">
        <x:f>IF(G173="National",Assumptions!$B$11,IF(G173="Statewide",Assumptions!$B$12,Assumptions!$B$13))</x:f>
        <x:v>0.25</x:v>
      </x:c>
      <x:c r="I173" s="21" t="n">
        <x:v>-0.06638496203204658</x:v>
      </x:c>
      <x:c r="J173" s="21" t="n">
        <x:v>-0.13740068518113568</x:v>
      </x:c>
      <x:c r="K173" s="21" t="n">
        <x:v>-0.2731806039713064</x:v>
      </x:c>
      <x:c r="L173" s="36" t="n">
        <x:f>IF(Assumptions!$B$4=2030,I173,IF(Assumptions!$B$4=2035,J173,K173))</x:f>
        <x:v>-0.13740068518113568</x:v>
      </x:c>
      <x:c r="M173" s="36" t="n">
        <x:f>Assumptions!$B$19</x:f>
        <x:v>-0.04739891965741583</x:v>
      </x:c>
      <x:c r="N173" s="52" t="n">
        <x:f>H173*L173+(1-H173)*M173+O173</x:f>
        <x:v>-0.06989936103834579</x:v>
      </x:c>
      <x:c r="O173" s="36" t="n">
        <x:f>Assumptions!$B$10</x:f>
        <x:v>0</x:v>
      </x:c>
      <x:c r="P173" s="54" t="n">
        <x:f>E173*(1+N173)</x:f>
        <x:v>25574.047168889643</x:v>
      </x:c>
      <x:c r="Q173" s="54" t="n">
        <x:f>P173-E173</x:f>
        <x:v>-1921.9528311103568</x:v>
      </x:c>
      <x:c r="R173" s="16" t="str">
        <x:v>Yes</x:v>
      </x:c>
      <x:c r="S173" s="56" t="n">
        <x:v>21095</x:v>
      </x:c>
      <x:c r="T173" s="56" t="n">
        <x:v>21463</x:v>
      </x:c>
      <x:c r="U173" s="40" t="n">
        <x:f>E173*Assumptions!$B$8</x:f>
        <x:v>23371.6</x:v>
      </x:c>
      <x:c r="V173" s="40" t="n">
        <x:f>P173*Assumptions!$B$8</x:f>
        <x:v>21737.940093556197</x:v>
      </x:c>
      <x:c r="W173" s="54" t="n">
        <x:f>V173-U173</x:f>
        <x:v>-1633.6599064438014</x:v>
      </x:c>
      <x:c r="X173" s="58" t="n">
        <x:f>IF(R173="No","",W173*S173)</x:f>
        <x:v>-34462055.72643199</x:v>
      </x:c>
      <x:c r="Y173" s="58" t="n">
        <x:f>IF(R173="No","",W173*T173*Assumptions!$B$9)</x:f>
        <x:v>-10518972.771600993</x:v>
      </x:c>
      <x:c r="Z173" s="58" t="n">
        <x:f>IF(R173="No","",X173-Y173)</x:f>
        <x:v>-23943082.954830997</x:v>
      </x:c>
      <x:c r="AA173" s="58" t="n">
        <x:f>IF(R173="No","",MAX(0,-Z173))</x:f>
        <x:v>23943082.954830997</x:v>
      </x:c>
      <x:c r="AB173" s="52" t="n">
        <x:f>IF(OR(R173="No",U173*S173=0),"",AA173/(U173*S173))</x:f>
        <x:v>0.04856373668234649</x:v>
      </x:c>
      <x:c r="AC173" s="54" t="n">
        <x:f>IF(OR(R173="No",S173-T173*Assumptions!$B$9&lt;=0),"",AA173/(Assumptions!$B$8*(S173-T173*Assumptions!$B$9)))</x:f>
        <x:v>1921.9528311103545</x:v>
      </x:c>
      <x:c r="AD173" s="52" t="n">
        <x:f>IF(OR(R173="No",U173*S173=0),"",AA173/(U173*S173))</x:f>
        <x:v>0.04856373668234649</x:v>
      </x:c>
      <x:c r="AE173" s="50" t="str">
        <x:f>IF(R173="No","No finance data",IF(AB173&gt;=10%,"Severe",IF(AB173&gt;=5%,"High",IF(AB173&gt;=2%,"Moderate","Low"))))</x:f>
        <x:v>Moderate</x:v>
      </x:c>
      <x:c r="AF173" s="60" t="n">
        <x:v>37.871918</x:v>
      </x:c>
      <x:c r="AG173" s="60" t="n">
        <x:v>-122.260463</x:v>
      </x:c>
      <x:c r="AH173" s="44" t="str">
        <x:v>Undergraduate tuition-contribution proxy only; not an audited total institutional budget.</x:v>
      </x:c>
    </x:row>
    <x:row r="174">
      <x:c r="A174" s="16" t="n">
        <x:v>110644</x:v>
      </x:c>
      <x:c r="B174" s="16" t="str">
        <x:v>University of California-Davis</x:v>
      </x:c>
      <x:c r="C174" s="16" t="str">
        <x:v>CA</x:v>
      </x:c>
      <x:c r="D174" s="16" t="str">
        <x:v>Public</x:v>
      </x:c>
      <x:c r="E174" s="34" t="n">
        <x:v>28239</x:v>
      </x:c>
      <x:c r="F174" s="21" t="n">
        <x:v>0.4875</x:v>
      </x:c>
      <x:c r="G174" s="16" t="str">
        <x:v>National</x:v>
      </x:c>
      <x:c r="H174" s="36" t="n">
        <x:f>IF(G174="National",Assumptions!$B$11,IF(G174="Statewide",Assumptions!$B$12,Assumptions!$B$13))</x:f>
        <x:v>0.25</x:v>
      </x:c>
      <x:c r="I174" s="21" t="n">
        <x:v>-0.06638496203204658</x:v>
      </x:c>
      <x:c r="J174" s="21" t="n">
        <x:v>-0.13740068518113568</x:v>
      </x:c>
      <x:c r="K174" s="21" t="n">
        <x:v>-0.2731806039713064</x:v>
      </x:c>
      <x:c r="L174" s="36" t="n">
        <x:f>IF(Assumptions!$B$4=2030,I174,IF(Assumptions!$B$4=2035,J174,K174))</x:f>
        <x:v>-0.13740068518113568</x:v>
      </x:c>
      <x:c r="M174" s="36" t="n">
        <x:f>Assumptions!$B$19</x:f>
        <x:v>-0.04739891965741583</x:v>
      </x:c>
      <x:c r="N174" s="52" t="n">
        <x:f>H174*L174+(1-H174)*M174+O174</x:f>
        <x:v>-0.06989936103834579</x:v>
      </x:c>
      <x:c r="O174" s="36" t="n">
        <x:f>Assumptions!$B$10</x:f>
        <x:v>0</x:v>
      </x:c>
      <x:c r="P174" s="54" t="n">
        <x:f>E174*(1+N174)</x:f>
        <x:v>26265.111943638152</x:v>
      </x:c>
      <x:c r="Q174" s="54" t="n">
        <x:f>P174-E174</x:f>
        <x:v>-1973.8880563618477</x:v>
      </x:c>
      <x:c r="R174" s="16" t="str">
        <x:v>Yes</x:v>
      </x:c>
      <x:c r="S174" s="56" t="n">
        <x:v>18166</x:v>
      </x:c>
      <x:c r="T174" s="56" t="n">
        <x:v>25671</x:v>
      </x:c>
      <x:c r="U174" s="40" t="n">
        <x:f>E174*Assumptions!$B$8</x:f>
        <x:v>24003.149999999998</x:v>
      </x:c>
      <x:c r="V174" s="40" t="n">
        <x:f>P174*Assumptions!$B$8</x:f>
        <x:v>22325.345152092428</x:v>
      </x:c>
      <x:c r="W174" s="54" t="n">
        <x:f>V174-U174</x:f>
        <x:v>-1677.8048479075696</x:v>
      </x:c>
      <x:c r="X174" s="58" t="n">
        <x:f>IF(R174="No","",W174*S174)</x:f>
        <x:v>-30479002.86708891</x:v>
      </x:c>
      <x:c r="Y174" s="58" t="n">
        <x:f>IF(R174="No","",W174*T174*Assumptions!$B$9)</x:f>
        <x:v>-12921278.475190567</x:v>
      </x:c>
      <x:c r="Z174" s="58" t="n">
        <x:f>IF(R174="No","",X174-Y174)</x:f>
        <x:v>-17557724.39189834</x:v>
      </x:c>
      <x:c r="AA174" s="58" t="n">
        <x:f>IF(R174="No","",MAX(0,-Z174))</x:f>
        <x:v>17557724.39189834</x:v>
      </x:c>
      <x:c r="AB174" s="52" t="n">
        <x:f>IF(OR(R174="No",U174*S174=0),"",AA174/(U174*S174))</x:f>
        <x:v>0.04026620298678724</x:v>
      </x:c>
      <x:c r="AC174" s="54" t="n">
        <x:f>IF(OR(R174="No",S174-T174*Assumptions!$B$9&lt;=0),"",AA174/(Assumptions!$B$8*(S174-T174*Assumptions!$B$9)))</x:f>
        <x:v>1973.888056361846</x:v>
      </x:c>
      <x:c r="AD174" s="52" t="n">
        <x:f>IF(OR(R174="No",U174*S174=0),"",AA174/(U174*S174))</x:f>
        <x:v>0.04026620298678724</x:v>
      </x:c>
      <x:c r="AE174" s="50" t="str">
        <x:f>IF(R174="No","No finance data",IF(AB174&gt;=10%,"Severe",IF(AB174&gt;=5%,"High",IF(AB174&gt;=2%,"Moderate","Low"))))</x:f>
        <x:v>Moderate</x:v>
      </x:c>
      <x:c r="AF174" s="60" t="n">
        <x:v>38.539667</x:v>
      </x:c>
      <x:c r="AG174" s="60" t="n">
        <x:v>-121.749567</x:v>
      </x:c>
      <x:c r="AH174" s="44" t="str">
        <x:v>Undergraduate tuition-contribution proxy only; not an audited total institutional budget.</x:v>
      </x:c>
    </x:row>
    <x:row r="175">
      <x:c r="A175" s="16" t="n">
        <x:v>110653</x:v>
      </x:c>
      <x:c r="B175" s="16" t="str">
        <x:v>University of California-Irvine</x:v>
      </x:c>
      <x:c r="C175" s="16" t="str">
        <x:v>CA</x:v>
      </x:c>
      <x:c r="D175" s="16" t="str">
        <x:v>Public</x:v>
      </x:c>
      <x:c r="E175" s="34" t="n">
        <x:v>25245</x:v>
      </x:c>
      <x:c r="F175" s="21" t="n">
        <x:v>0.2882</x:v>
      </x:c>
      <x:c r="G175" s="16" t="str">
        <x:v>National</x:v>
      </x:c>
      <x:c r="H175" s="36" t="n">
        <x:f>IF(G175="National",Assumptions!$B$11,IF(G175="Statewide",Assumptions!$B$12,Assumptions!$B$13))</x:f>
        <x:v>0.25</x:v>
      </x:c>
      <x:c r="I175" s="21" t="n">
        <x:v>-0.06638496203204658</x:v>
      </x:c>
      <x:c r="J175" s="21" t="n">
        <x:v>-0.13740068518113568</x:v>
      </x:c>
      <x:c r="K175" s="21" t="n">
        <x:v>-0.2731806039713064</x:v>
      </x:c>
      <x:c r="L175" s="36" t="n">
        <x:f>IF(Assumptions!$B$4=2030,I175,IF(Assumptions!$B$4=2035,J175,K175))</x:f>
        <x:v>-0.13740068518113568</x:v>
      </x:c>
      <x:c r="M175" s="36" t="n">
        <x:f>Assumptions!$B$19</x:f>
        <x:v>-0.04739891965741583</x:v>
      </x:c>
      <x:c r="N175" s="52" t="n">
        <x:f>H175*L175+(1-H175)*M175+O175</x:f>
        <x:v>-0.06989936103834579</x:v>
      </x:c>
      <x:c r="O175" s="36" t="n">
        <x:f>Assumptions!$B$10</x:f>
        <x:v>0</x:v>
      </x:c>
      <x:c r="P175" s="54" t="n">
        <x:f>E175*(1+N175)</x:f>
        <x:v>23480.39063058696</x:v>
      </x:c>
      <x:c r="Q175" s="54" t="n">
        <x:f>P175-E175</x:f>
        <x:v>-1764.6093694130395</x:v>
      </x:c>
      <x:c r="R175" s="16" t="str">
        <x:v>Yes</x:v>
      </x:c>
      <x:c r="S175" s="56" t="n">
        <x:v>15318</x:v>
      </x:c>
      <x:c r="T175" s="56" t="n">
        <x:v>25085</x:v>
      </x:c>
      <x:c r="U175" s="40" t="n">
        <x:f>E175*Assumptions!$B$8</x:f>
        <x:v>21458.25</x:v>
      </x:c>
      <x:c r="V175" s="40" t="n">
        <x:f>P175*Assumptions!$B$8</x:f>
        <x:v>19958.332035998916</x:v>
      </x:c>
      <x:c r="W175" s="54" t="n">
        <x:f>V175-U175</x:f>
        <x:v>-1499.9179640010843</x:v>
      </x:c>
      <x:c r="X175" s="58" t="n">
        <x:f>IF(R175="No","",W175*S175)</x:f>
        <x:v>-22975743.37256861</x:v>
      </x:c>
      <x:c r="Y175" s="58" t="n">
        <x:f>IF(R175="No","",W175*T175*Assumptions!$B$9)</x:f>
        <x:v>-11287632.63809016</x:v>
      </x:c>
      <x:c r="Z175" s="58" t="n">
        <x:f>IF(R175="No","",X175-Y175)</x:f>
        <x:v>-11688110.734478451</x:v>
      </x:c>
      <x:c r="AA175" s="58" t="n">
        <x:f>IF(R175="No","",MAX(0,-Z175))</x:f>
        <x:v>11688110.734478451</x:v>
      </x:c>
      <x:c r="AB175" s="52" t="n">
        <x:f>IF(OR(R175="No",U175*S175=0),"",AA175/(U175*S175))</x:f>
        <x:v>0.03555887001510053</x:v>
      </x:c>
      <x:c r="AC175" s="54" t="n">
        <x:f>IF(OR(R175="No",S175-T175*Assumptions!$B$9&lt;=0),"",AA175/(Assumptions!$B$8*(S175-T175*Assumptions!$B$9)))</x:f>
        <x:v>1764.6093694130407</x:v>
      </x:c>
      <x:c r="AD175" s="52" t="n">
        <x:f>IF(OR(R175="No",U175*S175=0),"",AA175/(U175*S175))</x:f>
        <x:v>0.03555887001510053</x:v>
      </x:c>
      <x:c r="AE175" s="50" t="str">
        <x:f>IF(R175="No","No finance data",IF(AB175&gt;=10%,"Severe",IF(AB175&gt;=5%,"High",IF(AB175&gt;=2%,"Moderate","Low"))))</x:f>
        <x:v>Moderate</x:v>
      </x:c>
      <x:c r="AF175" s="60" t="n">
        <x:v>33.648434</x:v>
      </x:c>
      <x:c r="AG175" s="60" t="n">
        <x:v>-117.841248</x:v>
      </x:c>
      <x:c r="AH175" s="44" t="str">
        <x:v>Undergraduate tuition-contribution proxy only; not an audited total institutional budget.</x:v>
      </x:c>
    </x:row>
    <x:row r="176">
      <x:c r="A176" s="16" t="n">
        <x:v>110662</x:v>
      </x:c>
      <x:c r="B176" s="16" t="str">
        <x:v>University of California-Los Angeles</x:v>
      </x:c>
      <x:c r="C176" s="16" t="str">
        <x:v>CA</x:v>
      </x:c>
      <x:c r="D176" s="16" t="str">
        <x:v>Public</x:v>
      </x:c>
      <x:c r="E176" s="34" t="n">
        <x:v>29581</x:v>
      </x:c>
      <x:c r="F176" s="21" t="n">
        <x:v>0.1077</x:v>
      </x:c>
      <x:c r="G176" s="16" t="str">
        <x:v>National</x:v>
      </x:c>
      <x:c r="H176" s="36" t="n">
        <x:f>IF(G176="National",Assumptions!$B$11,IF(G176="Statewide",Assumptions!$B$12,Assumptions!$B$13))</x:f>
        <x:v>0.25</x:v>
      </x:c>
      <x:c r="I176" s="21" t="n">
        <x:v>-0.06638496203204658</x:v>
      </x:c>
      <x:c r="J176" s="21" t="n">
        <x:v>-0.13740068518113568</x:v>
      </x:c>
      <x:c r="K176" s="21" t="n">
        <x:v>-0.2731806039713064</x:v>
      </x:c>
      <x:c r="L176" s="36" t="n">
        <x:f>IF(Assumptions!$B$4=2030,I176,IF(Assumptions!$B$4=2035,J176,K176))</x:f>
        <x:v>-0.13740068518113568</x:v>
      </x:c>
      <x:c r="M176" s="36" t="n">
        <x:f>Assumptions!$B$19</x:f>
        <x:v>-0.04739891965741583</x:v>
      </x:c>
      <x:c r="N176" s="52" t="n">
        <x:f>H176*L176+(1-H176)*M176+O176</x:f>
        <x:v>-0.06989936103834579</x:v>
      </x:c>
      <x:c r="O176" s="36" t="n">
        <x:f>Assumptions!$B$10</x:f>
        <x:v>0</x:v>
      </x:c>
      <x:c r="P176" s="54" t="n">
        <x:f>E176*(1+N176)</x:f>
        <x:v>27513.307001124693</x:v>
      </x:c>
      <x:c r="Q176" s="54" t="n">
        <x:f>P176-E176</x:f>
        <x:v>-2067.6929988753072</x:v>
      </x:c>
      <x:c r="R176" s="16" t="str">
        <x:v>Yes</x:v>
      </x:c>
      <x:c r="S176" s="56" t="n">
        <x:v>18698</x:v>
      </x:c>
      <x:c r="T176" s="56" t="n">
        <x:v>60528</x:v>
      </x:c>
      <x:c r="U176" s="40" t="n">
        <x:f>E176*Assumptions!$B$8</x:f>
        <x:v>25143.85</x:v>
      </x:c>
      <x:c r="V176" s="40" t="n">
        <x:f>P176*Assumptions!$B$8</x:f>
        <x:v>23386.310950955987</x:v>
      </x:c>
      <x:c r="W176" s="54" t="n">
        <x:f>V176-U176</x:f>
        <x:v>-1757.5390490440113</x:v>
      </x:c>
      <x:c r="X176" s="58" t="n">
        <x:f>IF(R176="No","",W176*S176)</x:f>
        <x:v>-32862465.139024924</x:v>
      </x:c>
      <x:c r="Y176" s="58" t="n">
        <x:f>IF(R176="No","",W176*T176*Assumptions!$B$9)</x:f>
        <x:v>-31914097.068160776</x:v>
      </x:c>
      <x:c r="Z176" s="58" t="n">
        <x:f>IF(R176="No","",X176-Y176)</x:f>
        <x:v>-948368.0708641484</x:v>
      </x:c>
      <x:c r="AA176" s="58" t="n">
        <x:f>IF(R176="No","",MAX(0,-Z176))</x:f>
        <x:v>948368.0708641484</x:v>
      </x:c>
      <x:c r="AB176" s="52" t="n">
        <x:f>IF(OR(R176="No",U176*S176=0),"",AA176/(U176*S176))</x:f>
        <x:v>0.00201720479282765</x:v>
      </x:c>
      <x:c r="AC176" s="54" t="n">
        <x:f>IF(OR(R176="No",S176-T176*Assumptions!$B$9&lt;=0),"",AA176/(Assumptions!$B$8*(S176-T176*Assumptions!$B$9)))</x:f>
        <x:v>2067.692998875299</x:v>
      </x:c>
      <x:c r="AD176" s="52" t="n">
        <x:f>IF(OR(R176="No",U176*S176=0),"",AA176/(U176*S176))</x:f>
        <x:v>0.00201720479282765</x:v>
      </x:c>
      <x:c r="AE176" s="50" t="str">
        <x:f>IF(R176="No","No finance data",IF(AB176&gt;=10%,"Severe",IF(AB176&gt;=5%,"High",IF(AB176&gt;=2%,"Moderate","Low"))))</x:f>
        <x:v>Low</x:v>
      </x:c>
      <x:c r="AF176" s="60" t="n">
        <x:v>34.07178</x:v>
      </x:c>
      <x:c r="AG176" s="60" t="n">
        <x:v>-118.442179</x:v>
      </x:c>
      <x:c r="AH176" s="44" t="str">
        <x:v>Undergraduate tuition-contribution proxy only; not an audited total institutional budget.</x:v>
      </x:c>
    </x:row>
    <x:row r="177">
      <x:c r="A177" s="16" t="n">
        <x:v>445188</x:v>
      </x:c>
      <x:c r="B177" s="16" t="str">
        <x:v>University of California-Merced</x:v>
      </x:c>
      <x:c r="C177" s="16" t="str">
        <x:v>CA</x:v>
      </x:c>
      <x:c r="D177" s="16" t="str">
        <x:v>Public</x:v>
      </x:c>
      <x:c r="E177" s="34" t="n">
        <x:v>6237</x:v>
      </x:c>
      <x:c r="F177" s="21" t="n">
        <x:v>0.866</x:v>
      </x:c>
      <x:c r="G177" s="16" t="str">
        <x:v>Statewide</x:v>
      </x:c>
      <x:c r="H177" s="36" t="n">
        <x:f>IF(G177="National",Assumptions!$B$11,IF(G177="Statewide",Assumptions!$B$12,Assumptions!$B$13))</x:f>
        <x:v>0.6</x:v>
      </x:c>
      <x:c r="I177" s="21" t="n">
        <x:v>-0.06638496203204658</x:v>
      </x:c>
      <x:c r="J177" s="21" t="n">
        <x:v>-0.13740068518113568</x:v>
      </x:c>
      <x:c r="K177" s="21" t="n">
        <x:v>-0.2731806039713064</x:v>
      </x:c>
      <x:c r="L177" s="36" t="n">
        <x:f>IF(Assumptions!$B$4=2030,I177,IF(Assumptions!$B$4=2035,J177,K177))</x:f>
        <x:v>-0.13740068518113568</x:v>
      </x:c>
      <x:c r="M177" s="36" t="n">
        <x:f>Assumptions!$B$19</x:f>
        <x:v>-0.04739891965741583</x:v>
      </x:c>
      <x:c r="N177" s="52" t="n">
        <x:f>H177*L177+(1-H177)*M177+O177</x:f>
        <x:v>-0.10139997897164774</x:v>
      </x:c>
      <x:c r="O177" s="36" t="n">
        <x:f>Assumptions!$B$10</x:f>
        <x:v>0</x:v>
      </x:c>
      <x:c r="P177" s="54" t="n">
        <x:f>E177*(1+N177)</x:f>
        <x:v>5604.568331153833</x:v>
      </x:c>
      <x:c r="Q177" s="54" t="n">
        <x:f>P177-E177</x:f>
        <x:v>-632.4316688461668</x:v>
      </x:c>
      <x:c r="R177" s="16" t="str">
        <x:v>Yes</x:v>
      </x:c>
      <x:c r="S177" s="56" t="n">
        <x:v>9491</x:v>
      </x:c>
      <x:c r="T177" s="56" t="n">
        <x:v>11615</x:v>
      </x:c>
      <x:c r="U177" s="40" t="n">
        <x:f>E177*Assumptions!$B$8</x:f>
        <x:v>5301.45</x:v>
      </x:c>
      <x:c r="V177" s="40" t="n">
        <x:f>P177*Assumptions!$B$8</x:f>
        <x:v>4763.883081480758</x:v>
      </x:c>
      <x:c r="W177" s="54" t="n">
        <x:f>V177-U177</x:f>
        <x:v>-537.5669185192419</x:v>
      </x:c>
      <x:c r="X177" s="58" t="n">
        <x:f>IF(R177="No","",W177*S177)</x:f>
        <x:v>-5102047.623666124</x:v>
      </x:c>
      <x:c r="Y177" s="58" t="n">
        <x:f>IF(R177="No","",W177*T177*Assumptions!$B$9)</x:f>
        <x:v>-1873151.9275802982</x:v>
      </x:c>
      <x:c r="Z177" s="58" t="n">
        <x:f>IF(R177="No","",X177-Y177)</x:f>
        <x:v>-3228895.6960858265</x:v>
      </x:c>
      <x:c r="AA177" s="58" t="n">
        <x:f>IF(R177="No","",MAX(0,-Z177))</x:f>
        <x:v>3228895.6960858265</x:v>
      </x:c>
      <x:c r="AB177" s="52" t="n">
        <x:f>IF(OR(R177="No",U177*S177=0),"",AA177/(U177*S177))</x:f>
        <x:v>0.06417226569309896</x:v>
      </x:c>
      <x:c r="AC177" s="54" t="n">
        <x:f>IF(OR(R177="No",S177-T177*Assumptions!$B$9&lt;=0),"",AA177/(Assumptions!$B$8*(S177-T177*Assumptions!$B$9)))</x:f>
        <x:v>632.431668846167</x:v>
      </x:c>
      <x:c r="AD177" s="52" t="n">
        <x:f>IF(OR(R177="No",U177*S177=0),"",AA177/(U177*S177))</x:f>
        <x:v>0.06417226569309896</x:v>
      </x:c>
      <x:c r="AE177" s="50" t="str">
        <x:f>IF(R177="No","No finance data",IF(AB177&gt;=10%,"Severe",IF(AB177&gt;=5%,"High",IF(AB177&gt;=2%,"Moderate","Low"))))</x:f>
        <x:v>High</x:v>
      </x:c>
      <x:c r="AF177" s="60" t="n">
        <x:v>37.366237</x:v>
      </x:c>
      <x:c r="AG177" s="60" t="n">
        <x:v>-120.424944</x:v>
      </x:c>
      <x:c r="AH177" s="44" t="str">
        <x:v>Undergraduate tuition-contribution proxy only; not an audited total institutional budget.</x:v>
      </x:c>
    </x:row>
    <x:row r="178">
      <x:c r="A178" s="16" t="n">
        <x:v>110671</x:v>
      </x:c>
      <x:c r="B178" s="16" t="str">
        <x:v>University of California-Riverside</x:v>
      </x:c>
      <x:c r="C178" s="16" t="str">
        <x:v>CA</x:v>
      </x:c>
      <x:c r="D178" s="16" t="str">
        <x:v>Public</x:v>
      </x:c>
      <x:c r="E178" s="34" t="n">
        <x:v>18597</x:v>
      </x:c>
      <x:c r="F178" s="21" t="n">
        <x:v>0.6538</x:v>
      </x:c>
      <x:c r="G178" s="16" t="str">
        <x:v>Statewide</x:v>
      </x:c>
      <x:c r="H178" s="36" t="n">
        <x:f>IF(G178="National",Assumptions!$B$11,IF(G178="Statewide",Assumptions!$B$12,Assumptions!$B$13))</x:f>
        <x:v>0.6</x:v>
      </x:c>
      <x:c r="I178" s="21" t="n">
        <x:v>-0.06638496203204658</x:v>
      </x:c>
      <x:c r="J178" s="21" t="n">
        <x:v>-0.13740068518113568</x:v>
      </x:c>
      <x:c r="K178" s="21" t="n">
        <x:v>-0.2731806039713064</x:v>
      </x:c>
      <x:c r="L178" s="36" t="n">
        <x:f>IF(Assumptions!$B$4=2030,I178,IF(Assumptions!$B$4=2035,J178,K178))</x:f>
        <x:v>-0.13740068518113568</x:v>
      </x:c>
      <x:c r="M178" s="36" t="n">
        <x:f>Assumptions!$B$19</x:f>
        <x:v>-0.04739891965741583</x:v>
      </x:c>
      <x:c r="N178" s="52" t="n">
        <x:f>H178*L178+(1-H178)*M178+O178</x:f>
        <x:v>-0.10139997897164774</x:v>
      </x:c>
      <x:c r="O178" s="36" t="n">
        <x:f>Assumptions!$B$10</x:f>
        <x:v>0</x:v>
      </x:c>
      <x:c r="P178" s="54" t="n">
        <x:f>E178*(1+N178)</x:f>
        <x:v>16711.264591064268</x:v>
      </x:c>
      <x:c r="Q178" s="54" t="n">
        <x:f>P178-E178</x:f>
        <x:v>-1885.7354089357323</x:v>
      </x:c>
      <x:c r="R178" s="16" t="str">
        <x:v>Yes</x:v>
      </x:c>
      <x:c r="S178" s="56" t="n">
        <x:v>12175</x:v>
      </x:c>
      <x:c r="T178" s="56" t="n">
        <x:v>14457</x:v>
      </x:c>
      <x:c r="U178" s="40" t="n">
        <x:f>E178*Assumptions!$B$8</x:f>
        <x:v>15807.449999999999</x:v>
      </x:c>
      <x:c r="V178" s="40" t="n">
        <x:f>P178*Assumptions!$B$8</x:f>
        <x:v>14204.574902404627</x:v>
      </x:c>
      <x:c r="W178" s="54" t="n">
        <x:f>V178-U178</x:f>
        <x:v>-1602.8750975953717</x:v>
      </x:c>
      <x:c r="X178" s="58" t="n">
        <x:f>IF(R178="No","",W178*S178)</x:f>
        <x:v>-19515004.31322365</x:v>
      </x:c>
      <x:c r="Y178" s="58" t="n">
        <x:f>IF(R178="No","",W178*T178*Assumptions!$B$9)</x:f>
        <x:v>-6951829.585780886</x:v>
      </x:c>
      <x:c r="Z178" s="58" t="n">
        <x:f>IF(R178="No","",X178-Y178)</x:f>
        <x:v>-12563174.727442764</x:v>
      </x:c>
      <x:c r="AA178" s="58" t="n">
        <x:f>IF(R178="No","",MAX(0,-Z178))</x:f>
        <x:v>12563174.727442764</x:v>
      </x:c>
      <x:c r="AB178" s="52" t="n">
        <x:f>IF(OR(R178="No",U178*S178=0),"",AA178/(U178*S178))</x:f>
        <x:v>0.06527826654471271</x:v>
      </x:c>
      <x:c r="AC178" s="54" t="n">
        <x:f>IF(OR(R178="No",S178-T178*Assumptions!$B$9&lt;=0),"",AA178/(Assumptions!$B$8*(S178-T178*Assumptions!$B$9)))</x:f>
        <x:v>1885.7354089357314</x:v>
      </x:c>
      <x:c r="AD178" s="52" t="n">
        <x:f>IF(OR(R178="No",U178*S178=0),"",AA178/(U178*S178))</x:f>
        <x:v>0.06527826654471271</x:v>
      </x:c>
      <x:c r="AE178" s="50" t="str">
        <x:f>IF(R178="No","No finance data",IF(AB178&gt;=10%,"Severe",IF(AB178&gt;=5%,"High",IF(AB178&gt;=2%,"Moderate","Low"))))</x:f>
        <x:v>High</x:v>
      </x:c>
      <x:c r="AF178" s="60" t="n">
        <x:v>33.97246</x:v>
      </x:c>
      <x:c r="AG178" s="60" t="n">
        <x:v>-117.32741</x:v>
      </x:c>
      <x:c r="AH178" s="44" t="str">
        <x:v>Undergraduate tuition-contribution proxy only; not an audited total institutional budget.</x:v>
      </x:c>
    </x:row>
    <x:row r="179">
      <x:c r="A179" s="16" t="n">
        <x:v>110680</x:v>
      </x:c>
      <x:c r="B179" s="16" t="str">
        <x:v>University of California-San Diego</x:v>
      </x:c>
      <x:c r="C179" s="16" t="str">
        <x:v>CA</x:v>
      </x:c>
      <x:c r="D179" s="16" t="str">
        <x:v>Public</x:v>
      </x:c>
      <x:c r="E179" s="34" t="n">
        <x:v>26584</x:v>
      </x:c>
      <x:c r="F179" s="21" t="n">
        <x:v>0.342</x:v>
      </x:c>
      <x:c r="G179" s="16" t="str">
        <x:v>National</x:v>
      </x:c>
      <x:c r="H179" s="36" t="n">
        <x:f>IF(G179="National",Assumptions!$B$11,IF(G179="Statewide",Assumptions!$B$12,Assumptions!$B$13))</x:f>
        <x:v>0.25</x:v>
      </x:c>
      <x:c r="I179" s="21" t="n">
        <x:v>-0.06638496203204658</x:v>
      </x:c>
      <x:c r="J179" s="21" t="n">
        <x:v>-0.13740068518113568</x:v>
      </x:c>
      <x:c r="K179" s="21" t="n">
        <x:v>-0.2731806039713064</x:v>
      </x:c>
      <x:c r="L179" s="36" t="n">
        <x:f>IF(Assumptions!$B$4=2030,I179,IF(Assumptions!$B$4=2035,J179,K179))</x:f>
        <x:v>-0.13740068518113568</x:v>
      </x:c>
      <x:c r="M179" s="36" t="n">
        <x:f>Assumptions!$B$19</x:f>
        <x:v>-0.04739891965741583</x:v>
      </x:c>
      <x:c r="N179" s="52" t="n">
        <x:f>H179*L179+(1-H179)*M179+O179</x:f>
        <x:v>-0.06989936103834579</x:v>
      </x:c>
      <x:c r="O179" s="36" t="n">
        <x:f>Assumptions!$B$10</x:f>
        <x:v>0</x:v>
      </x:c>
      <x:c r="P179" s="54" t="n">
        <x:f>E179*(1+N179)</x:f>
        <x:v>24725.795386156613</x:v>
      </x:c>
      <x:c r="Q179" s="54" t="n">
        <x:f>P179-E179</x:f>
        <x:v>-1858.204613843387</x:v>
      </x:c>
      <x:c r="R179" s="16" t="str">
        <x:v>Yes</x:v>
      </x:c>
      <x:c r="S179" s="56" t="n">
        <x:v>18651</x:v>
      </x:c>
      <x:c r="T179" s="56" t="n">
        <x:v>22086</x:v>
      </x:c>
      <x:c r="U179" s="40" t="n">
        <x:f>E179*Assumptions!$B$8</x:f>
        <x:v>22596.399999999998</x:v>
      </x:c>
      <x:c r="V179" s="40" t="n">
        <x:f>P179*Assumptions!$B$8</x:f>
        <x:v>21016.926078233122</x:v>
      </x:c>
      <x:c r="W179" s="54" t="n">
        <x:f>V179-U179</x:f>
        <x:v>-1579.4739217668757</x:v>
      </x:c>
      <x:c r="X179" s="58" t="n">
        <x:f>IF(R179="No","",W179*S179)</x:f>
        <x:v>-29458768.114873998</x:v>
      </x:c>
      <x:c r="Y179" s="58" t="n">
        <x:f>IF(R179="No","",W179*T179*Assumptions!$B$9)</x:f>
        <x:v>-10465278.310842963</x:v>
      </x:c>
      <x:c r="Z179" s="58" t="n">
        <x:f>IF(R179="No","",X179-Y179)</x:f>
        <x:v>-18993489.804031037</x:v>
      </x:c>
      <x:c r="AA179" s="58" t="n">
        <x:f>IF(R179="No","",MAX(0,-Z179))</x:f>
        <x:v>18993489.804031037</x:v>
      </x:c>
      <x:c r="AB179" s="52" t="n">
        <x:f>IF(OR(R179="No",U179*S179=0),"",AA179/(U179*S179))</x:f>
        <x:v>0.04506749216440488</x:v>
      </x:c>
      <x:c r="AC179" s="54" t="n">
        <x:f>IF(OR(R179="No",S179-T179*Assumptions!$B$9&lt;=0),"",AA179/(Assumptions!$B$8*(S179-T179*Assumptions!$B$9)))</x:f>
        <x:v>1858.2046138433834</x:v>
      </x:c>
      <x:c r="AD179" s="52" t="n">
        <x:f>IF(OR(R179="No",U179*S179=0),"",AA179/(U179*S179))</x:f>
        <x:v>0.04506749216440488</x:v>
      </x:c>
      <x:c r="AE179" s="50" t="str">
        <x:f>IF(R179="No","No finance data",IF(AB179&gt;=10%,"Severe",IF(AB179&gt;=5%,"High",IF(AB179&gt;=2%,"Moderate","Low"))))</x:f>
        <x:v>Moderate</x:v>
      </x:c>
      <x:c r="AF179" s="60" t="n">
        <x:v>32.877749</x:v>
      </x:c>
      <x:c r="AG179" s="60" t="n">
        <x:v>-117.235866</x:v>
      </x:c>
      <x:c r="AH179" s="44" t="str">
        <x:v>Undergraduate tuition-contribution proxy only; not an audited total institutional budget.</x:v>
      </x:c>
    </x:row>
    <x:row r="180">
      <x:c r="A180" s="16" t="n">
        <x:v>110705</x:v>
      </x:c>
      <x:c r="B180" s="16" t="str">
        <x:v>University of California-Santa Barbara</x:v>
      </x:c>
      <x:c r="C180" s="16" t="str">
        <x:v>CA</x:v>
      </x:c>
      <x:c r="D180" s="16" t="str">
        <x:v>Public</x:v>
      </x:c>
      <x:c r="E180" s="34" t="n">
        <x:v>20606</x:v>
      </x:c>
      <x:c r="F180" s="21" t="n">
        <x:v>0.2918</x:v>
      </x:c>
      <x:c r="G180" s="16" t="str">
        <x:v>National</x:v>
      </x:c>
      <x:c r="H180" s="36" t="n">
        <x:f>IF(G180="National",Assumptions!$B$11,IF(G180="Statewide",Assumptions!$B$12,Assumptions!$B$13))</x:f>
        <x:v>0.25</x:v>
      </x:c>
      <x:c r="I180" s="21" t="n">
        <x:v>-0.06638496203204658</x:v>
      </x:c>
      <x:c r="J180" s="21" t="n">
        <x:v>-0.13740068518113568</x:v>
      </x:c>
      <x:c r="K180" s="21" t="n">
        <x:v>-0.2731806039713064</x:v>
      </x:c>
      <x:c r="L180" s="36" t="n">
        <x:f>IF(Assumptions!$B$4=2030,I180,IF(Assumptions!$B$4=2035,J180,K180))</x:f>
        <x:v>-0.13740068518113568</x:v>
      </x:c>
      <x:c r="M180" s="36" t="n">
        <x:f>Assumptions!$B$19</x:f>
        <x:v>-0.04739891965741583</x:v>
      </x:c>
      <x:c r="N180" s="52" t="n">
        <x:f>H180*L180+(1-H180)*M180+O180</x:f>
        <x:v>-0.06989936103834579</x:v>
      </x:c>
      <x:c r="O180" s="36" t="n">
        <x:f>Assumptions!$B$10</x:f>
        <x:v>0</x:v>
      </x:c>
      <x:c r="P180" s="54" t="n">
        <x:f>E180*(1+N180)</x:f>
        <x:v>19165.653766443847</x:v>
      </x:c>
      <x:c r="Q180" s="54" t="n">
        <x:f>P180-E180</x:f>
        <x:v>-1440.3462335561526</x:v>
      </x:c>
      <x:c r="R180" s="16" t="str">
        <x:v>Yes</x:v>
      </x:c>
      <x:c r="S180" s="56" t="n">
        <x:v>16684</x:v>
      </x:c>
      <x:c r="T180" s="56" t="n">
        <x:v>14453</x:v>
      </x:c>
      <x:c r="U180" s="40" t="n">
        <x:f>E180*Assumptions!$B$8</x:f>
        <x:v>17515.1</x:v>
      </x:c>
      <x:c r="V180" s="40" t="n">
        <x:f>P180*Assumptions!$B$8</x:f>
        <x:v>16290.80570147727</x:v>
      </x:c>
      <x:c r="W180" s="54" t="n">
        <x:f>V180-U180</x:f>
        <x:v>-1224.2942985227292</x:v>
      </x:c>
      <x:c r="X180" s="58" t="n">
        <x:f>IF(R180="No","",W180*S180)</x:f>
        <x:v>-20426126.076553214</x:v>
      </x:c>
      <x:c r="Y180" s="58" t="n">
        <x:f>IF(R180="No","",W180*T180*Assumptions!$B$9)</x:f>
        <x:v>-5308417.6489647</x:v>
      </x:c>
      <x:c r="Z180" s="58" t="n">
        <x:f>IF(R180="No","",X180-Y180)</x:f>
        <x:v>-15117708.427588515</x:v>
      </x:c>
      <x:c r="AA180" s="58" t="n">
        <x:f>IF(R180="No","",MAX(0,-Z180))</x:f>
        <x:v>15117708.427588515</x:v>
      </x:c>
      <x:c r="AB180" s="52" t="n">
        <x:f>IF(OR(R180="No",U180*S180=0),"",AA180/(U180*S180))</x:f>
        <x:v>0.05173365500105473</x:v>
      </x:c>
      <x:c r="AC180" s="54" t="n">
        <x:f>IF(OR(R180="No",S180-T180*Assumptions!$B$9&lt;=0),"",AA180/(Assumptions!$B$8*(S180-T180*Assumptions!$B$9)))</x:f>
        <x:v>1440.3462335561521</x:v>
      </x:c>
      <x:c r="AD180" s="52" t="n">
        <x:f>IF(OR(R180="No",U180*S180=0),"",AA180/(U180*S180))</x:f>
        <x:v>0.05173365500105473</x:v>
      </x:c>
      <x:c r="AE180" s="50" t="str">
        <x:f>IF(R180="No","No finance data",IF(AB180&gt;=10%,"Severe",IF(AB180&gt;=5%,"High",IF(AB180&gt;=2%,"Moderate","Low"))))</x:f>
        <x:v>High</x:v>
      </x:c>
      <x:c r="AF180" s="60" t="n">
        <x:v>34.416297</x:v>
      </x:c>
      <x:c r="AG180" s="60" t="n">
        <x:v>-119.846426</x:v>
      </x:c>
      <x:c r="AH180" s="44" t="str">
        <x:v>Undergraduate tuition-contribution proxy only; not an audited total institutional budget.</x:v>
      </x:c>
    </x:row>
    <x:row r="181">
      <x:c r="A181" s="16" t="n">
        <x:v>110714</x:v>
      </x:c>
      <x:c r="B181" s="16" t="str">
        <x:v>University of California-Santa Cruz</x:v>
      </x:c>
      <x:c r="C181" s="16" t="str">
        <x:v>CA</x:v>
      </x:c>
      <x:c r="D181" s="16" t="str">
        <x:v>Public</x:v>
      </x:c>
      <x:c r="E181" s="34" t="n">
        <x:v>16231</x:v>
      </x:c>
      <x:c r="F181" s="21" t="n">
        <x:v>0.5864</x:v>
      </x:c>
      <x:c r="G181" s="16" t="str">
        <x:v>Statewide</x:v>
      </x:c>
      <x:c r="H181" s="36" t="n">
        <x:f>IF(G181="National",Assumptions!$B$11,IF(G181="Statewide",Assumptions!$B$12,Assumptions!$B$13))</x:f>
        <x:v>0.6</x:v>
      </x:c>
      <x:c r="I181" s="21" t="n">
        <x:v>-0.06638496203204658</x:v>
      </x:c>
      <x:c r="J181" s="21" t="n">
        <x:v>-0.13740068518113568</x:v>
      </x:c>
      <x:c r="K181" s="21" t="n">
        <x:v>-0.2731806039713064</x:v>
      </x:c>
      <x:c r="L181" s="36" t="n">
        <x:f>IF(Assumptions!$B$4=2030,I181,IF(Assumptions!$B$4=2035,J181,K181))</x:f>
        <x:v>-0.13740068518113568</x:v>
      </x:c>
      <x:c r="M181" s="36" t="n">
        <x:f>Assumptions!$B$19</x:f>
        <x:v>-0.04739891965741583</x:v>
      </x:c>
      <x:c r="N181" s="52" t="n">
        <x:f>H181*L181+(1-H181)*M181+O181</x:f>
        <x:v>-0.10139997897164774</x:v>
      </x:c>
      <x:c r="O181" s="36" t="n">
        <x:f>Assumptions!$B$10</x:f>
        <x:v>0</x:v>
      </x:c>
      <x:c r="P181" s="54" t="n">
        <x:f>E181*(1+N181)</x:f>
        <x:v>14585.176941311185</x:v>
      </x:c>
      <x:c r="Q181" s="54" t="n">
        <x:f>P181-E181</x:f>
        <x:v>-1645.8230586888149</x:v>
      </x:c>
      <x:c r="R181" s="16" t="str">
        <x:v>Yes</x:v>
      </x:c>
      <x:c r="S181" s="56" t="n">
        <x:v>12748</x:v>
      </x:c>
      <x:c r="T181" s="56" t="n">
        <x:v>11970</x:v>
      </x:c>
      <x:c r="U181" s="40" t="n">
        <x:f>E181*Assumptions!$B$8</x:f>
        <x:v>13796.35</x:v>
      </x:c>
      <x:c r="V181" s="40" t="n">
        <x:f>P181*Assumptions!$B$8</x:f>
        <x:v>12397.400400114508</x:v>
      </x:c>
      <x:c r="W181" s="54" t="n">
        <x:f>V181-U181</x:f>
        <x:v>-1398.9495998854927</x:v>
      </x:c>
      <x:c r="X181" s="58" t="n">
        <x:f>IF(R181="No","",W181*S181)</x:f>
        <x:v>-17833809.499340262</x:v>
      </x:c>
      <x:c r="Y181" s="58" t="n">
        <x:f>IF(R181="No","",W181*T181*Assumptions!$B$9)</x:f>
        <x:v>-5023628.0131888045</x:v>
      </x:c>
      <x:c r="Z181" s="58" t="n">
        <x:f>IF(R181="No","",X181-Y181)</x:f>
        <x:v>-12810181.486151457</x:v>
      </x:c>
      <x:c r="AA181" s="58" t="n">
        <x:f>IF(R181="No","",MAX(0,-Z181))</x:f>
        <x:v>12810181.486151457</x:v>
      </x:c>
      <x:c r="AB181" s="52" t="n">
        <x:f>IF(OR(R181="No",U181*S181=0),"",AA181/(U181*S181))</x:f>
        <x:v>0.07283649258263089</x:v>
      </x:c>
      <x:c r="AC181" s="54" t="n">
        <x:f>IF(OR(R181="No",S181-T181*Assumptions!$B$9&lt;=0),"",AA181/(Assumptions!$B$8*(S181-T181*Assumptions!$B$9)))</x:f>
        <x:v>1645.823058688815</x:v>
      </x:c>
      <x:c r="AD181" s="52" t="n">
        <x:f>IF(OR(R181="No",U181*S181=0),"",AA181/(U181*S181))</x:f>
        <x:v>0.07283649258263089</x:v>
      </x:c>
      <x:c r="AE181" s="50" t="str">
        <x:f>IF(R181="No","No finance data",IF(AB181&gt;=10%,"Severe",IF(AB181&gt;=5%,"High",IF(AB181&gt;=2%,"Moderate","Low"))))</x:f>
        <x:v>High</x:v>
      </x:c>
      <x:c r="AF181" s="60" t="n">
        <x:v>36.995584</x:v>
      </x:c>
      <x:c r="AG181" s="60" t="n">
        <x:v>-122.058801</x:v>
      </x:c>
      <x:c r="AH181" s="44" t="str">
        <x:v>Undergraduate tuition-contribution proxy only; not an audited total institutional budget.</x:v>
      </x:c>
    </x:row>
    <x:row r="182">
      <x:c r="A182" s="16" t="n">
        <x:v>117140</x:v>
      </x:c>
      <x:c r="B182" s="16" t="str">
        <x:v>University of La Verne</x:v>
      </x:c>
      <x:c r="C182" s="16" t="str">
        <x:v>CA</x:v>
      </x:c>
      <x:c r="D182" s="16" t="str">
        <x:v>Private nonprofit</x:v>
      </x:c>
      <x:c r="E182" s="34" t="n">
        <x:v>5140</x:v>
      </x:c>
      <x:c r="F182" s="21" t="n">
        <x:v>0.7194</x:v>
      </x:c>
      <x:c r="G182" s="16" t="str">
        <x:v>Regional</x:v>
      </x:c>
      <x:c r="H182" s="36" t="n">
        <x:f>IF(G182="National",Assumptions!$B$11,IF(G182="Statewide",Assumptions!$B$12,Assumptions!$B$13))</x:f>
        <x:v>0.85</x:v>
      </x:c>
      <x:c r="I182" s="21" t="n">
        <x:v>-0.06638496203204658</x:v>
      </x:c>
      <x:c r="J182" s="21" t="n">
        <x:v>-0.13740068518113568</x:v>
      </x:c>
      <x:c r="K182" s="21" t="n">
        <x:v>-0.2731806039713064</x:v>
      </x:c>
      <x:c r="L182" s="36" t="n">
        <x:f>IF(Assumptions!$B$4=2030,I182,IF(Assumptions!$B$4=2035,J182,K182))</x:f>
        <x:v>-0.13740068518113568</x:v>
      </x:c>
      <x:c r="M182" s="36" t="n">
        <x:f>Assumptions!$B$19</x:f>
        <x:v>-0.04739891965741583</x:v>
      </x:c>
      <x:c r="N182" s="52" t="n">
        <x:f>H182*L182+(1-H182)*M182+O182</x:f>
        <x:v>-0.1239004203525777</x:v>
      </x:c>
      <x:c r="O182" s="36" t="n">
        <x:f>Assumptions!$B$10</x:f>
        <x:v>0</x:v>
      </x:c>
      <x:c r="P182" s="54" t="n">
        <x:f>E182*(1+N182)</x:f>
        <x:v>4503.15183938775</x:v>
      </x:c>
      <x:c r="Q182" s="54" t="n">
        <x:f>P182-E182</x:f>
        <x:v>-636.8481606122496</x:v>
      </x:c>
      <x:c r="R182" s="16" t="str">
        <x:v>Yes</x:v>
      </x:c>
      <x:c r="S182" s="56" t="n">
        <x:v>19968</x:v>
      </x:c>
      <x:c r="T182" s="56" t="n">
        <x:v>9461</x:v>
      </x:c>
      <x:c r="U182" s="40" t="n">
        <x:f>E182*Assumptions!$B$8</x:f>
        <x:v>4369</x:v>
      </x:c>
      <x:c r="V182" s="40" t="n">
        <x:f>P182*Assumptions!$B$8</x:f>
        <x:v>3827.679063479588</x:v>
      </x:c>
      <x:c r="W182" s="54" t="n">
        <x:f>V182-U182</x:f>
        <x:v>-541.320936520412</x:v>
      </x:c>
      <x:c r="X182" s="58" t="n">
        <x:f>IF(R182="No","",W182*S182)</x:f>
        <x:v>-10809096.460439587</x:v>
      </x:c>
      <x:c r="Y182" s="58" t="n">
        <x:f>IF(R182="No","",W182*T182*Assumptions!$B$9)</x:f>
        <x:v>-1536431.2141258854</x:v>
      </x:c>
      <x:c r="Z182" s="58" t="n">
        <x:f>IF(R182="No","",X182-Y182)</x:f>
        <x:v>-9272665.246313702</x:v>
      </x:c>
      <x:c r="AA182" s="58" t="n">
        <x:f>IF(R182="No","",MAX(0,-Z182))</x:f>
        <x:v>9272665.246313702</x:v>
      </x:c>
      <x:c r="AB182" s="52" t="n">
        <x:f>IF(OR(R182="No",U182*S182=0),"",AA182/(U182*S182))</x:f>
        <x:v>0.1062889137877379</x:v>
      </x:c>
      <x:c r="AC182" s="54" t="n">
        <x:f>IF(OR(R182="No",S182-T182*Assumptions!$B$9&lt;=0),"",AA182/(Assumptions!$B$8*(S182-T182*Assumptions!$B$9)))</x:f>
        <x:v>636.8481606122494</x:v>
      </x:c>
      <x:c r="AD182" s="52" t="n">
        <x:f>IF(OR(R182="No",U182*S182=0),"",AA182/(U182*S182))</x:f>
        <x:v>0.1062889137877379</x:v>
      </x:c>
      <x:c r="AE182" s="50" t="str">
        <x:f>IF(R182="No","No finance data",IF(AB182&gt;=10%,"Severe",IF(AB182&gt;=5%,"High",IF(AB182&gt;=2%,"Moderate","Low"))))</x:f>
        <x:v>Severe</x:v>
      </x:c>
      <x:c r="AF182" s="60" t="n">
        <x:v>34.100855</x:v>
      </x:c>
      <x:c r="AG182" s="60" t="n">
        <x:v>-117.773262</x:v>
      </x:c>
      <x:c r="AH182" s="44" t="str">
        <x:v>Undergraduate tuition-contribution proxy only; not an audited total institutional budget.</x:v>
      </x:c>
    </x:row>
    <x:row r="183">
      <x:c r="A183" s="16" t="n">
        <x:v>121691</x:v>
      </x:c>
      <x:c r="B183" s="16" t="str">
        <x:v>University of Redlands</x:v>
      </x:c>
      <x:c r="C183" s="16" t="str">
        <x:v>CA</x:v>
      </x:c>
      <x:c r="D183" s="16" t="str">
        <x:v>Private nonprofit</x:v>
      </x:c>
      <x:c r="E183" s="34" t="n">
        <x:v>3452</x:v>
      </x:c>
      <x:c r="F183" s="21" t="n">
        <x:v>0.8297</x:v>
      </x:c>
      <x:c r="G183" s="16" t="str">
        <x:v>Regional</x:v>
      </x:c>
      <x:c r="H183" s="36" t="n">
        <x:f>IF(G183="National",Assumptions!$B$11,IF(G183="Statewide",Assumptions!$B$12,Assumptions!$B$13))</x:f>
        <x:v>0.85</x:v>
      </x:c>
      <x:c r="I183" s="21" t="n">
        <x:v>-0.06638496203204658</x:v>
      </x:c>
      <x:c r="J183" s="21" t="n">
        <x:v>-0.13740068518113568</x:v>
      </x:c>
      <x:c r="K183" s="21" t="n">
        <x:v>-0.2731806039713064</x:v>
      </x:c>
      <x:c r="L183" s="36" t="n">
        <x:f>IF(Assumptions!$B$4=2030,I183,IF(Assumptions!$B$4=2035,J183,K183))</x:f>
        <x:v>-0.13740068518113568</x:v>
      </x:c>
      <x:c r="M183" s="36" t="n">
        <x:f>Assumptions!$B$19</x:f>
        <x:v>-0.04739891965741583</x:v>
      </x:c>
      <x:c r="N183" s="52" t="n">
        <x:f>H183*L183+(1-H183)*M183+O183</x:f>
        <x:v>-0.1239004203525777</x:v>
      </x:c>
      <x:c r="O183" s="36" t="n">
        <x:f>Assumptions!$B$10</x:f>
        <x:v>0</x:v>
      </x:c>
      <x:c r="P183" s="54" t="n">
        <x:f>E183*(1+N183)</x:f>
        <x:v>3024.295748942902</x:v>
      </x:c>
      <x:c r="Q183" s="54" t="n">
        <x:f>P183-E183</x:f>
        <x:v>-427.7042510570982</x:v>
      </x:c>
      <x:c r="R183" s="16" t="str">
        <x:v>Yes</x:v>
      </x:c>
      <x:c r="S183" s="56" t="n">
        <x:v>16487</x:v>
      </x:c>
      <x:c r="T183" s="56" t="n">
        <x:v>10203</x:v>
      </x:c>
      <x:c r="U183" s="40" t="n">
        <x:f>E183*Assumptions!$B$8</x:f>
        <x:v>2934.2</x:v>
      </x:c>
      <x:c r="V183" s="40" t="n">
        <x:f>P183*Assumptions!$B$8</x:f>
        <x:v>2570.6513866014666</x:v>
      </x:c>
      <x:c r="W183" s="54" t="n">
        <x:f>V183-U183</x:f>
        <x:v>-363.54861339853323</x:v>
      </x:c>
      <x:c r="X183" s="58" t="n">
        <x:f>IF(R183="No","",W183*S183)</x:f>
        <x:v>-5993825.989101618</x:v>
      </x:c>
      <x:c r="Y183" s="58" t="n">
        <x:f>IF(R183="No","",W183*T183*Assumptions!$B$9)</x:f>
        <x:v>-1112785.9507515703</x:v>
      </x:c>
      <x:c r="Z183" s="58" t="n">
        <x:f>IF(R183="No","",X183-Y183)</x:f>
        <x:v>-4881040.038350048</x:v>
      </x:c>
      <x:c r="AA183" s="58" t="n">
        <x:f>IF(R183="No","",MAX(0,-Z183))</x:f>
        <x:v>4881040.038350048</x:v>
      </x:c>
      <x:c r="AB183" s="52" t="n">
        <x:f>IF(OR(R183="No",U183*S183=0),"",AA183/(U183*S183))</x:f>
        <x:v>0.10089764260907033</x:v>
      </x:c>
      <x:c r="AC183" s="54" t="n">
        <x:f>IF(OR(R183="No",S183-T183*Assumptions!$B$9&lt;=0),"",AA183/(Assumptions!$B$8*(S183-T183*Assumptions!$B$9)))</x:f>
        <x:v>427.70425105709796</x:v>
      </x:c>
      <x:c r="AD183" s="52" t="n">
        <x:f>IF(OR(R183="No",U183*S183=0),"",AA183/(U183*S183))</x:f>
        <x:v>0.10089764260907033</x:v>
      </x:c>
      <x:c r="AE183" s="50" t="str">
        <x:f>IF(R183="No","No finance data",IF(AB183&gt;=10%,"Severe",IF(AB183&gt;=5%,"High",IF(AB183&gt;=2%,"Moderate","Low"))))</x:f>
        <x:v>Severe</x:v>
      </x:c>
      <x:c r="AF183" s="60" t="n">
        <x:v>34.064218</x:v>
      </x:c>
      <x:c r="AG183" s="60" t="n">
        <x:v>-117.163218</x:v>
      </x:c>
      <x:c r="AH183" s="44" t="str">
        <x:v>Undergraduate tuition-contribution proxy only; not an audited total institutional budget.</x:v>
      </x:c>
    </x:row>
    <x:row r="184">
      <x:c r="A184" s="16" t="n">
        <x:v>122436</x:v>
      </x:c>
      <x:c r="B184" s="16" t="str">
        <x:v>University of San Diego</x:v>
      </x:c>
      <x:c r="C184" s="16" t="str">
        <x:v>CA</x:v>
      </x:c>
      <x:c r="D184" s="16" t="str">
        <x:v>Private nonprofit</x:v>
      </x:c>
      <x:c r="E184" s="34" t="n">
        <x:v>5551</x:v>
      </x:c>
      <x:c r="F184" s="21" t="n">
        <x:v>0.527</x:v>
      </x:c>
      <x:c r="G184" s="16" t="str">
        <x:v>Regional</x:v>
      </x:c>
      <x:c r="H184" s="36" t="n">
        <x:f>IF(G184="National",Assumptions!$B$11,IF(G184="Statewide",Assumptions!$B$12,Assumptions!$B$13))</x:f>
        <x:v>0.85</x:v>
      </x:c>
      <x:c r="I184" s="21" t="n">
        <x:v>-0.06638496203204658</x:v>
      </x:c>
      <x:c r="J184" s="21" t="n">
        <x:v>-0.13740068518113568</x:v>
      </x:c>
      <x:c r="K184" s="21" t="n">
        <x:v>-0.2731806039713064</x:v>
      </x:c>
      <x:c r="L184" s="36" t="n">
        <x:f>IF(Assumptions!$B$4=2030,I184,IF(Assumptions!$B$4=2035,J184,K184))</x:f>
        <x:v>-0.13740068518113568</x:v>
      </x:c>
      <x:c r="M184" s="36" t="n">
        <x:f>Assumptions!$B$19</x:f>
        <x:v>-0.04739891965741583</x:v>
      </x:c>
      <x:c r="N184" s="52" t="n">
        <x:f>H184*L184+(1-H184)*M184+O184</x:f>
        <x:v>-0.1239004203525777</x:v>
      </x:c>
      <x:c r="O184" s="36" t="n">
        <x:f>Assumptions!$B$10</x:f>
        <x:v>0</x:v>
      </x:c>
      <x:c r="P184" s="54" t="n">
        <x:f>E184*(1+N184)</x:f>
        <x:v>4863.228766622841</x:v>
      </x:c>
      <x:c r="Q184" s="54" t="n">
        <x:f>P184-E184</x:f>
        <x:v>-687.7712333771588</x:v>
      </x:c>
      <x:c r="R184" s="16" t="str">
        <x:v>Yes</x:v>
      </x:c>
      <x:c r="S184" s="56" t="n">
        <x:v>29522</x:v>
      </x:c>
      <x:c r="T184" s="56" t="n">
        <x:v>16595</x:v>
      </x:c>
      <x:c r="U184" s="40" t="n">
        <x:f>E184*Assumptions!$B$8</x:f>
        <x:v>4718.349999999999</x:v>
      </x:c>
      <x:c r="V184" s="40" t="n">
        <x:f>P184*Assumptions!$B$8</x:f>
        <x:v>4133.744451629415</x:v>
      </x:c>
      <x:c r="W184" s="54" t="n">
        <x:f>V184-U184</x:f>
        <x:v>-584.6055483705841</x:v>
      </x:c>
      <x:c r="X184" s="58" t="n">
        <x:f>IF(R184="No","",W184*S184)</x:f>
        <x:v>-17258724.998996384</x:v>
      </x:c>
      <x:c r="Y184" s="58" t="n">
        <x:f>IF(R184="No","",W184*T184*Assumptions!$B$9)</x:f>
        <x:v>-2910458.722562953</x:v>
      </x:c>
      <x:c r="Z184" s="58" t="n">
        <x:f>IF(R184="No","",X184-Y184)</x:f>
        <x:v>-14348266.27643343</x:v>
      </x:c>
      <x:c r="AA184" s="58" t="n">
        <x:f>IF(R184="No","",MAX(0,-Z184))</x:f>
        <x:v>14348266.27643343</x:v>
      </x:c>
      <x:c r="AB184" s="52" t="n">
        <x:f>IF(OR(R184="No",U184*S184=0),"",AA184/(U184*S184))</x:f>
        <x:v>0.10300623151966284</x:v>
      </x:c>
      <x:c r="AC184" s="54" t="n">
        <x:f>IF(OR(R184="No",S184-T184*Assumptions!$B$9&lt;=0),"",AA184/(Assumptions!$B$8*(S184-T184*Assumptions!$B$9)))</x:f>
        <x:v>687.7712333771578</x:v>
      </x:c>
      <x:c r="AD184" s="52" t="n">
        <x:f>IF(OR(R184="No",U184*S184=0),"",AA184/(U184*S184))</x:f>
        <x:v>0.10300623151966284</x:v>
      </x:c>
      <x:c r="AE184" s="50" t="str">
        <x:f>IF(R184="No","No finance data",IF(AB184&gt;=10%,"Severe",IF(AB184&gt;=5%,"High",IF(AB184&gt;=2%,"Moderate","Low"))))</x:f>
        <x:v>Severe</x:v>
      </x:c>
      <x:c r="AF184" s="60" t="n">
        <x:v>32.770816</x:v>
      </x:c>
      <x:c r="AG184" s="60" t="n">
        <x:v>-117.192073</x:v>
      </x:c>
      <x:c r="AH184" s="44" t="str">
        <x:v>Undergraduate tuition-contribution proxy only; not an audited total institutional budget.</x:v>
      </x:c>
    </x:row>
    <x:row r="185">
      <x:c r="A185" s="16" t="n">
        <x:v>122612</x:v>
      </x:c>
      <x:c r="B185" s="16" t="str">
        <x:v>University of San Francisco</x:v>
      </x:c>
      <x:c r="C185" s="16" t="str">
        <x:v>CA</x:v>
      </x:c>
      <x:c r="D185" s="16" t="str">
        <x:v>Private nonprofit</x:v>
      </x:c>
      <x:c r="E185" s="34" t="n">
        <x:v>6682</x:v>
      </x:c>
      <x:c r="F185" s="21" t="n">
        <x:v>0.7092</x:v>
      </x:c>
      <x:c r="G185" s="16" t="str">
        <x:v>Regional</x:v>
      </x:c>
      <x:c r="H185" s="36" t="n">
        <x:f>IF(G185="National",Assumptions!$B$11,IF(G185="Statewide",Assumptions!$B$12,Assumptions!$B$13))</x:f>
        <x:v>0.85</x:v>
      </x:c>
      <x:c r="I185" s="21" t="n">
        <x:v>-0.06638496203204658</x:v>
      </x:c>
      <x:c r="J185" s="21" t="n">
        <x:v>-0.13740068518113568</x:v>
      </x:c>
      <x:c r="K185" s="21" t="n">
        <x:v>-0.2731806039713064</x:v>
      </x:c>
      <x:c r="L185" s="36" t="n">
        <x:f>IF(Assumptions!$B$4=2030,I185,IF(Assumptions!$B$4=2035,J185,K185))</x:f>
        <x:v>-0.13740068518113568</x:v>
      </x:c>
      <x:c r="M185" s="36" t="n">
        <x:f>Assumptions!$B$19</x:f>
        <x:v>-0.04739891965741583</x:v>
      </x:c>
      <x:c r="N185" s="52" t="n">
        <x:f>H185*L185+(1-H185)*M185+O185</x:f>
        <x:v>-0.1239004203525777</x:v>
      </x:c>
      <x:c r="O185" s="36" t="n">
        <x:f>Assumptions!$B$10</x:f>
        <x:v>0</x:v>
      </x:c>
      <x:c r="P185" s="54" t="n">
        <x:f>E185*(1+N185)</x:f>
        <x:v>5854.097391204075</x:v>
      </x:c>
      <x:c r="Q185" s="54" t="n">
        <x:f>P185-E185</x:f>
        <x:v>-827.9026087959246</x:v>
      </x:c>
      <x:c r="R185" s="16" t="str">
        <x:v>Yes</x:v>
      </x:c>
      <x:c r="S185" s="56" t="n">
        <x:v>29262</x:v>
      </x:c>
      <x:c r="T185" s="56" t="n">
        <x:v>16235</x:v>
      </x:c>
      <x:c r="U185" s="40" t="n">
        <x:f>E185*Assumptions!$B$8</x:f>
        <x:v>5679.7</x:v>
      </x:c>
      <x:c r="V185" s="40" t="n">
        <x:f>P185*Assumptions!$B$8</x:f>
        <x:v>4975.982782523464</x:v>
      </x:c>
      <x:c r="W185" s="54" t="n">
        <x:f>V185-U185</x:f>
        <x:v>-703.7172174765356</x:v>
      </x:c>
      <x:c r="X185" s="58" t="n">
        <x:f>IF(R185="No","",W185*S185)</x:f>
        <x:v>-20592173.217798382</x:v>
      </x:c>
      <x:c r="Y185" s="58" t="n">
        <x:f>IF(R185="No","",W185*T185*Assumptions!$B$9)</x:f>
        <x:v>-3427454.707719466</x:v>
      </x:c>
      <x:c r="Z185" s="58" t="n">
        <x:f>IF(R185="No","",X185-Y185)</x:f>
        <x:v>-17164718.510078914</x:v>
      </x:c>
      <x:c r="AA185" s="58" t="n">
        <x:f>IF(R185="No","",MAX(0,-Z185))</x:f>
        <x:v>17164718.510078914</x:v>
      </x:c>
      <x:c r="AB185" s="52" t="n">
        <x:f>IF(OR(R185="No",U185*S185=0),"",AA185/(U185*S185))</x:f>
        <x:v>0.1032778724294272</x:v>
      </x:c>
      <x:c r="AC185" s="54" t="n">
        <x:f>IF(OR(R185="No",S185-T185*Assumptions!$B$9&lt;=0),"",AA185/(Assumptions!$B$8*(S185-T185*Assumptions!$B$9)))</x:f>
        <x:v>827.9026087959242</x:v>
      </x:c>
      <x:c r="AD185" s="52" t="n">
        <x:f>IF(OR(R185="No",U185*S185=0),"",AA185/(U185*S185))</x:f>
        <x:v>0.1032778724294272</x:v>
      </x:c>
      <x:c r="AE185" s="50" t="str">
        <x:f>IF(R185="No","No finance data",IF(AB185&gt;=10%,"Severe",IF(AB185&gt;=5%,"High",IF(AB185&gt;=2%,"Moderate","Low"))))</x:f>
        <x:v>Severe</x:v>
      </x:c>
      <x:c r="AF185" s="60" t="n">
        <x:v>37.776618</x:v>
      </x:c>
      <x:c r="AG185" s="60" t="n">
        <x:v>-122.450477</x:v>
      </x:c>
      <x:c r="AH185" s="44" t="str">
        <x:v>Undergraduate tuition-contribution proxy only; not an audited total institutional budget.</x:v>
      </x:c>
    </x:row>
    <x:row r="186">
      <x:c r="A186" s="16" t="n">
        <x:v>123961</x:v>
      </x:c>
      <x:c r="B186" s="16" t="str">
        <x:v>University of Southern California</x:v>
      </x:c>
      <x:c r="C186" s="16" t="str">
        <x:v>CA</x:v>
      </x:c>
      <x:c r="D186" s="16" t="str">
        <x:v>Private nonprofit</x:v>
      </x:c>
      <x:c r="E186" s="34" t="n">
        <x:v>18519</x:v>
      </x:c>
      <x:c r="F186" s="21" t="n">
        <x:v>0.1251</x:v>
      </x:c>
      <x:c r="G186" s="16" t="str">
        <x:v>National</x:v>
      </x:c>
      <x:c r="H186" s="36" t="n">
        <x:f>IF(G186="National",Assumptions!$B$11,IF(G186="Statewide",Assumptions!$B$12,Assumptions!$B$13))</x:f>
        <x:v>0.25</x:v>
      </x:c>
      <x:c r="I186" s="21" t="n">
        <x:v>-0.06638496203204658</x:v>
      </x:c>
      <x:c r="J186" s="21" t="n">
        <x:v>-0.13740068518113568</x:v>
      </x:c>
      <x:c r="K186" s="21" t="n">
        <x:v>-0.2731806039713064</x:v>
      </x:c>
      <x:c r="L186" s="36" t="n">
        <x:f>IF(Assumptions!$B$4=2030,I186,IF(Assumptions!$B$4=2035,J186,K186))</x:f>
        <x:v>-0.13740068518113568</x:v>
      </x:c>
      <x:c r="M186" s="36" t="n">
        <x:f>Assumptions!$B$19</x:f>
        <x:v>-0.04739891965741583</x:v>
      </x:c>
      <x:c r="N186" s="52" t="n">
        <x:f>H186*L186+(1-H186)*M186+O186</x:f>
        <x:v>-0.06989936103834579</x:v>
      </x:c>
      <x:c r="O186" s="36" t="n">
        <x:f>Assumptions!$B$10</x:f>
        <x:v>0</x:v>
      </x:c>
      <x:c r="P186" s="54" t="n">
        <x:f>E186*(1+N186)</x:f>
        <x:v>17224.533732930875</x:v>
      </x:c>
      <x:c r="Q186" s="54" t="n">
        <x:f>P186-E186</x:f>
        <x:v>-1294.466267069125</x:v>
      </x:c>
      <x:c r="R186" s="16" t="str">
        <x:v>Yes</x:v>
      </x:c>
      <x:c r="S186" s="56" t="n">
        <x:v>37787</x:v>
      </x:c>
      <x:c r="T186" s="56" t="n">
        <x:v>58475</x:v>
      </x:c>
      <x:c r="U186" s="40" t="n">
        <x:f>E186*Assumptions!$B$8</x:f>
        <x:v>15741.15</x:v>
      </x:c>
      <x:c r="V186" s="40" t="n">
        <x:f>P186*Assumptions!$B$8</x:f>
        <x:v>14640.853672991243</x:v>
      </x:c>
      <x:c r="W186" s="54" t="n">
        <x:f>V186-U186</x:f>
        <x:v>-1100.2963270087566</x:v>
      </x:c>
      <x:c r="X186" s="58" t="n">
        <x:f>IF(R186="No","",W186*S186)</x:f>
        <x:v>-41576897.308679886</x:v>
      </x:c>
      <x:c r="Y186" s="58" t="n">
        <x:f>IF(R186="No","",W186*T186*Assumptions!$B$9)</x:f>
        <x:v>-19301948.31655111</x:v>
      </x:c>
      <x:c r="Z186" s="58" t="n">
        <x:f>IF(R186="No","",X186-Y186)</x:f>
        <x:v>-22274948.992128775</x:v>
      </x:c>
      <x:c r="AA186" s="58" t="n">
        <x:f>IF(R186="No","",MAX(0,-Z186))</x:f>
        <x:v>22274948.992128775</x:v>
      </x:c>
      <x:c r="AB186" s="52" t="n">
        <x:f>IF(OR(R186="No",U186*S186=0),"",AA186/(U186*S186))</x:f>
        <x:v>0.03744879494378467</x:v>
      </x:c>
      <x:c r="AC186" s="54" t="n">
        <x:f>IF(OR(R186="No",S186-T186*Assumptions!$B$9&lt;=0),"",AA186/(Assumptions!$B$8*(S186-T186*Assumptions!$B$9)))</x:f>
        <x:v>1294.4662670691255</x:v>
      </x:c>
      <x:c r="AD186" s="52" t="n">
        <x:f>IF(OR(R186="No",U186*S186=0),"",AA186/(U186*S186))</x:f>
        <x:v>0.03744879494378467</x:v>
      </x:c>
      <x:c r="AE186" s="50" t="str">
        <x:f>IF(R186="No","No finance data",IF(AB186&gt;=10%,"Severe",IF(AB186&gt;=5%,"High",IF(AB186&gt;=2%,"Moderate","Low"))))</x:f>
        <x:v>Moderate</x:v>
      </x:c>
      <x:c r="AF186" s="60" t="n">
        <x:v>34.021281</x:v>
      </x:c>
      <x:c r="AG186" s="60" t="n">
        <x:v>-118.284169</x:v>
      </x:c>
      <x:c r="AH186" s="44" t="str">
        <x:v>Undergraduate tuition-contribution proxy only; not an audited total institutional budget.</x:v>
      </x:c>
    </x:row>
    <x:row r="187">
      <x:c r="A187" s="16" t="n">
        <x:v>120883</x:v>
      </x:c>
      <x:c r="B187" s="16" t="str">
        <x:v>University of the Pacific</x:v>
      </x:c>
      <x:c r="C187" s="16" t="str">
        <x:v>CA</x:v>
      </x:c>
      <x:c r="D187" s="16" t="str">
        <x:v>Private nonprofit</x:v>
      </x:c>
      <x:c r="E187" s="34" t="n">
        <x:v>3720</x:v>
      </x:c>
      <x:c r="F187" s="21" t="n">
        <x:v>0.793</x:v>
      </x:c>
      <x:c r="G187" s="16" t="str">
        <x:v>Regional</x:v>
      </x:c>
      <x:c r="H187" s="36" t="n">
        <x:f>IF(G187="National",Assumptions!$B$11,IF(G187="Statewide",Assumptions!$B$12,Assumptions!$B$13))</x:f>
        <x:v>0.85</x:v>
      </x:c>
      <x:c r="I187" s="21" t="n">
        <x:v>-0.06638496203204658</x:v>
      </x:c>
      <x:c r="J187" s="21" t="n">
        <x:v>-0.13740068518113568</x:v>
      </x:c>
      <x:c r="K187" s="21" t="n">
        <x:v>-0.2731806039713064</x:v>
      </x:c>
      <x:c r="L187" s="36" t="n">
        <x:f>IF(Assumptions!$B$4=2030,I187,IF(Assumptions!$B$4=2035,J187,K187))</x:f>
        <x:v>-0.13740068518113568</x:v>
      </x:c>
      <x:c r="M187" s="36" t="n">
        <x:f>Assumptions!$B$19</x:f>
        <x:v>-0.04739891965741583</x:v>
      </x:c>
      <x:c r="N187" s="52" t="n">
        <x:f>H187*L187+(1-H187)*M187+O187</x:f>
        <x:v>-0.1239004203525777</x:v>
      </x:c>
      <x:c r="O187" s="36" t="n">
        <x:f>Assumptions!$B$10</x:f>
        <x:v>0</x:v>
      </x:c>
      <x:c r="P187" s="54" t="n">
        <x:f>E187*(1+N187)</x:f>
        <x:v>3259.0904362884107</x:v>
      </x:c>
      <x:c r="Q187" s="54" t="n">
        <x:f>P187-E187</x:f>
        <x:v>-460.90956371158927</x:v>
      </x:c>
      <x:c r="R187" s="16" t="str">
        <x:v>Yes</x:v>
      </x:c>
      <x:c r="S187" s="56" t="n">
        <x:v>32783</x:v>
      </x:c>
      <x:c r="T187" s="56" t="n">
        <x:v>19278</x:v>
      </x:c>
      <x:c r="U187" s="40" t="n">
        <x:f>E187*Assumptions!$B$8</x:f>
        <x:v>3162</x:v>
      </x:c>
      <x:c r="V187" s="40" t="n">
        <x:f>P187*Assumptions!$B$8</x:f>
        <x:v>2770.226870845149</x:v>
      </x:c>
      <x:c r="W187" s="54" t="n">
        <x:f>V187-U187</x:f>
        <x:v>-391.7731291548512</x:v>
      </x:c>
      <x:c r="X187" s="58" t="n">
        <x:f>IF(R187="No","",W187*S187)</x:f>
        <x:v>-12843498.493083486</x:v>
      </x:c>
      <x:c r="Y187" s="58" t="n">
        <x:f>IF(R187="No","",W187*T187*Assumptions!$B$9)</x:f>
        <x:v>-2265780.7151541663</x:v>
      </x:c>
      <x:c r="Z187" s="58" t="n">
        <x:f>IF(R187="No","",X187-Y187)</x:f>
        <x:v>-10577717.777929321</x:v>
      </x:c>
      <x:c r="AA187" s="58" t="n">
        <x:f>IF(R187="No","",MAX(0,-Z187))</x:f>
        <x:v>10577717.777929321</x:v>
      </x:c>
      <x:c r="AB187" s="52" t="n">
        <x:f>IF(OR(R187="No",U187*S187=0),"",AA187/(U187*S187))</x:f>
        <x:v>0.10204257662054911</x:v>
      </x:c>
      <x:c r="AC187" s="54" t="n">
        <x:f>IF(OR(R187="No",S187-T187*Assumptions!$B$9&lt;=0),"",AA187/(Assumptions!$B$8*(S187-T187*Assumptions!$B$9)))</x:f>
        <x:v>460.90956371158967</x:v>
      </x:c>
      <x:c r="AD187" s="52" t="n">
        <x:f>IF(OR(R187="No",U187*S187=0),"",AA187/(U187*S187))</x:f>
        <x:v>0.10204257662054911</x:v>
      </x:c>
      <x:c r="AE187" s="50" t="str">
        <x:f>IF(R187="No","No finance data",IF(AB187&gt;=10%,"Severe",IF(AB187&gt;=5%,"High",IF(AB187&gt;=2%,"Moderate","Low"))))</x:f>
        <x:v>Severe</x:v>
      </x:c>
      <x:c r="AF187" s="60" t="n">
        <x:v>37.981424</x:v>
      </x:c>
      <x:c r="AG187" s="60" t="n">
        <x:v>-121.312301</x:v>
      </x:c>
      <x:c r="AH187" s="44" t="str">
        <x:v>Undergraduate tuition-contribution proxy only; not an audited total institutional budget.</x:v>
      </x:c>
    </x:row>
    <x:row r="188">
      <x:c r="A188" s="16" t="n">
        <x:v>449870</x:v>
      </x:c>
      <x:c r="B188" s="16" t="str">
        <x:v>University of the West</x:v>
      </x:c>
      <x:c r="C188" s="16" t="str">
        <x:v>CA</x:v>
      </x:c>
      <x:c r="D188" s="16" t="str">
        <x:v>Private nonprofit</x:v>
      </x:c>
      <x:c r="E188" s="34" t="n">
        <x:v>99</x:v>
      </x:c>
      <x:c r="F188" s="21"/>
      <x:c r="G188" s="16" t="str">
        <x:v>Regional</x:v>
      </x:c>
      <x:c r="H188" s="36" t="n">
        <x:f>IF(G188="National",Assumptions!$B$11,IF(G188="Statewide",Assumptions!$B$12,Assumptions!$B$13))</x:f>
        <x:v>0.85</x:v>
      </x:c>
      <x:c r="I188" s="21" t="n">
        <x:v>-0.06638496203204658</x:v>
      </x:c>
      <x:c r="J188" s="21" t="n">
        <x:v>-0.13740068518113568</x:v>
      </x:c>
      <x:c r="K188" s="21" t="n">
        <x:v>-0.2731806039713064</x:v>
      </x:c>
      <x:c r="L188" s="36" t="n">
        <x:f>IF(Assumptions!$B$4=2030,I188,IF(Assumptions!$B$4=2035,J188,K188))</x:f>
        <x:v>-0.13740068518113568</x:v>
      </x:c>
      <x:c r="M188" s="36" t="n">
        <x:f>Assumptions!$B$19</x:f>
        <x:v>-0.04739891965741583</x:v>
      </x:c>
      <x:c r="N188" s="52" t="n">
        <x:f>H188*L188+(1-H188)*M188+O188</x:f>
        <x:v>-0.1239004203525777</x:v>
      </x:c>
      <x:c r="O188" s="36" t="n">
        <x:f>Assumptions!$B$10</x:f>
        <x:v>0</x:v>
      </x:c>
      <x:c r="P188" s="54" t="n">
        <x:f>E188*(1+N188)</x:f>
        <x:v>86.7338583850948</x:v>
      </x:c>
      <x:c r="Q188" s="54" t="n">
        <x:f>P188-E188</x:f>
        <x:v>-12.266141614905195</x:v>
      </x:c>
      <x:c r="R188" s="16" t="str">
        <x:v>No</x:v>
      </x:c>
      <x:c r="S188" s="56"/>
      <x:c r="T188" s="56"/>
      <x:c r="U188" s="40" t="n">
        <x:f>E188*Assumptions!$B$8</x:f>
        <x:v>84.14999999999999</x:v>
      </x:c>
      <x:c r="V188" s="40" t="n">
        <x:f>P188*Assumptions!$B$8</x:f>
        <x:v>73.72377962733059</x:v>
      </x:c>
      <x:c r="W188" s="54" t="n">
        <x:f>V188-U188</x:f>
        <x:v>-10.426220372669405</x:v>
      </x:c>
      <x:c r="X188" s="58" t="str">
        <x:f>IF(R188="No","",W188*S188)</x:f>
      </x:c>
      <x:c r="Y188" s="58" t="str">
        <x:f>IF(R188="No","",W188*T188*Assumptions!$B$9)</x:f>
      </x:c>
      <x:c r="Z188" s="58" t="str">
        <x:f>IF(R188="No","",X188-Y188)</x:f>
      </x:c>
      <x:c r="AA188" s="58" t="str">
        <x:f>IF(R188="No","",MAX(0,-Z188))</x:f>
      </x:c>
      <x:c r="AB188" s="52" t="str">
        <x:f>IF(OR(R188="No",U188*S188=0),"",AA188/(U188*S188))</x:f>
      </x:c>
      <x:c r="AC188" s="54" t="str">
        <x:f>IF(OR(R188="No",S188-T188*Assumptions!$B$9&lt;=0),"",AA188/(Assumptions!$B$8*(S188-T188*Assumptions!$B$9)))</x:f>
      </x:c>
      <x:c r="AD188" s="52" t="str">
        <x:f>IF(OR(R188="No",U188*S188=0),"",AA188/(U188*S188))</x:f>
      </x:c>
      <x:c r="AE188" s="50" t="str">
        <x:f>IF(R188="No","No finance data",IF(AB188&gt;=10%,"Severe",IF(AB188&gt;=5%,"High",IF(AB188&gt;=2%,"Moderate","Low"))))</x:f>
        <x:v>No finance data</x:v>
      </x:c>
      <x:c r="AF188" s="60"/>
      <x:c r="AG188" s="60"/>
      <x:c r="AH188" s="44" t="str">
        <x:v>Undergraduate tuition-contribution proxy only; not an audited total institutional budget.</x:v>
      </x:c>
    </x:row>
    <x:row r="189">
      <x:c r="A189" s="16" t="n">
        <x:v>123651</x:v>
      </x:c>
      <x:c r="B189" s="16" t="str">
        <x:v>Vanguard University of Southern California</x:v>
      </x:c>
      <x:c r="C189" s="16" t="str">
        <x:v>CA</x:v>
      </x:c>
      <x:c r="D189" s="16" t="str">
        <x:v>Private nonprofit</x:v>
      </x:c>
      <x:c r="E189" s="34" t="n">
        <x:v>1856</x:v>
      </x:c>
      <x:c r="F189" s="21" t="n">
        <x:v>0.6901</x:v>
      </x:c>
      <x:c r="G189" s="16" t="str">
        <x:v>Regional</x:v>
      </x:c>
      <x:c r="H189" s="36" t="n">
        <x:f>IF(G189="National",Assumptions!$B$11,IF(G189="Statewide",Assumptions!$B$12,Assumptions!$B$13))</x:f>
        <x:v>0.85</x:v>
      </x:c>
      <x:c r="I189" s="21" t="n">
        <x:v>-0.06638496203204658</x:v>
      </x:c>
      <x:c r="J189" s="21" t="n">
        <x:v>-0.13740068518113568</x:v>
      </x:c>
      <x:c r="K189" s="21" t="n">
        <x:v>-0.2731806039713064</x:v>
      </x:c>
      <x:c r="L189" s="36" t="n">
        <x:f>IF(Assumptions!$B$4=2030,I189,IF(Assumptions!$B$4=2035,J189,K189))</x:f>
        <x:v>-0.13740068518113568</x:v>
      </x:c>
      <x:c r="M189" s="36" t="n">
        <x:f>Assumptions!$B$19</x:f>
        <x:v>-0.04739891965741583</x:v>
      </x:c>
      <x:c r="N189" s="52" t="n">
        <x:f>H189*L189+(1-H189)*M189+O189</x:f>
        <x:v>-0.1239004203525777</x:v>
      </x:c>
      <x:c r="O189" s="36" t="n">
        <x:f>Assumptions!$B$10</x:f>
        <x:v>0</x:v>
      </x:c>
      <x:c r="P189" s="54" t="n">
        <x:f>E189*(1+N189)</x:f>
        <x:v>1626.0408198256157</x:v>
      </x:c>
      <x:c r="Q189" s="54" t="n">
        <x:f>P189-E189</x:f>
        <x:v>-229.9591801743843</x:v>
      </x:c>
      <x:c r="R189" s="16" t="str">
        <x:v>Yes</x:v>
      </x:c>
      <x:c r="S189" s="56" t="n">
        <x:v>18264</x:v>
      </x:c>
      <x:c r="T189" s="56" t="n">
        <x:v>7817</x:v>
      </x:c>
      <x:c r="U189" s="40" t="n">
        <x:f>E189*Assumptions!$B$8</x:f>
        <x:v>1577.6</x:v>
      </x:c>
      <x:c r="V189" s="40" t="n">
        <x:f>P189*Assumptions!$B$8</x:f>
        <x:v>1382.1346968517732</x:v>
      </x:c>
      <x:c r="W189" s="54" t="n">
        <x:f>V189-U189</x:f>
        <x:v>-195.46530314822667</x:v>
      </x:c>
      <x:c r="X189" s="58" t="n">
        <x:f>IF(R189="No","",W189*S189)</x:f>
        <x:v>-3569978.296699212</x:v>
      </x:c>
      <x:c r="Y189" s="58" t="n">
        <x:f>IF(R189="No","",W189*T189*Assumptions!$B$9)</x:f>
        <x:v>-458385.6824129063</x:v>
      </x:c>
      <x:c r="Z189" s="58" t="n">
        <x:f>IF(R189="No","",X189-Y189)</x:f>
        <x:v>-3111592.6142863054</x:v>
      </x:c>
      <x:c r="AA189" s="58" t="n">
        <x:f>IF(R189="No","",MAX(0,-Z189))</x:f>
        <x:v>3111592.6142863054</x:v>
      </x:c>
      <x:c r="AB189" s="52" t="n">
        <x:f>IF(OR(R189="No",U189*S189=0),"",AA189/(U189*S189))</x:f>
        <x:v>0.1079915900980426</x:v>
      </x:c>
      <x:c r="AC189" s="54" t="n">
        <x:f>IF(OR(R189="No",S189-T189*Assumptions!$B$9&lt;=0),"",AA189/(Assumptions!$B$8*(S189-T189*Assumptions!$B$9)))</x:f>
        <x:v>229.95918017438433</x:v>
      </x:c>
      <x:c r="AD189" s="52" t="n">
        <x:f>IF(OR(R189="No",U189*S189=0),"",AA189/(U189*S189))</x:f>
        <x:v>0.1079915900980426</x:v>
      </x:c>
      <x:c r="AE189" s="50" t="str">
        <x:f>IF(R189="No","No finance data",IF(AB189&gt;=10%,"Severe",IF(AB189&gt;=5%,"High",IF(AB189&gt;=2%,"Moderate","Low"))))</x:f>
        <x:v>Severe</x:v>
      </x:c>
      <x:c r="AF189" s="60" t="n">
        <x:v>33.662686</x:v>
      </x:c>
      <x:c r="AG189" s="60" t="n">
        <x:v>-117.900911</x:v>
      </x:c>
      <x:c r="AH189" s="44" t="str">
        <x:v>Undergraduate tuition-contribution proxy only; not an audited total institutional budget.</x:v>
      </x:c>
    </x:row>
    <x:row r="190">
      <x:c r="A190" s="16" t="n">
        <x:v>125727</x:v>
      </x:c>
      <x:c r="B190" s="16" t="str">
        <x:v>Westmont College</x:v>
      </x:c>
      <x:c r="C190" s="16" t="str">
        <x:v>CA</x:v>
      </x:c>
      <x:c r="D190" s="16" t="str">
        <x:v>Private nonprofit</x:v>
      </x:c>
      <x:c r="E190" s="34" t="n">
        <x:v>1296</x:v>
      </x:c>
      <x:c r="F190" s="21" t="n">
        <x:v>0.7897</x:v>
      </x:c>
      <x:c r="G190" s="16" t="str">
        <x:v>Regional</x:v>
      </x:c>
      <x:c r="H190" s="36" t="n">
        <x:f>IF(G190="National",Assumptions!$B$11,IF(G190="Statewide",Assumptions!$B$12,Assumptions!$B$13))</x:f>
        <x:v>0.85</x:v>
      </x:c>
      <x:c r="I190" s="21" t="n">
        <x:v>-0.06638496203204658</x:v>
      </x:c>
      <x:c r="J190" s="21" t="n">
        <x:v>-0.13740068518113568</x:v>
      </x:c>
      <x:c r="K190" s="21" t="n">
        <x:v>-0.2731806039713064</x:v>
      </x:c>
      <x:c r="L190" s="36" t="n">
        <x:f>IF(Assumptions!$B$4=2030,I190,IF(Assumptions!$B$4=2035,J190,K190))</x:f>
        <x:v>-0.13740068518113568</x:v>
      </x:c>
      <x:c r="M190" s="36" t="n">
        <x:f>Assumptions!$B$19</x:f>
        <x:v>-0.04739891965741583</x:v>
      </x:c>
      <x:c r="N190" s="52" t="n">
        <x:f>H190*L190+(1-H190)*M190+O190</x:f>
        <x:v>-0.1239004203525777</x:v>
      </x:c>
      <x:c r="O190" s="36" t="n">
        <x:f>Assumptions!$B$10</x:f>
        <x:v>0</x:v>
      </x:c>
      <x:c r="P190" s="54" t="n">
        <x:f>E190*(1+N190)</x:f>
        <x:v>1135.4250552230592</x:v>
      </x:c>
      <x:c r="Q190" s="54" t="n">
        <x:f>P190-E190</x:f>
        <x:v>-160.5749447769408</x:v>
      </x:c>
      <x:c r="R190" s="16" t="str">
        <x:v>Yes</x:v>
      </x:c>
      <x:c r="S190" s="56" t="n">
        <x:v>19874</x:v>
      </x:c>
      <x:c r="T190" s="56" t="n">
        <x:v>16996</x:v>
      </x:c>
      <x:c r="U190" s="40" t="n">
        <x:f>E190*Assumptions!$B$8</x:f>
        <x:v>1101.6</x:v>
      </x:c>
      <x:c r="V190" s="40" t="n">
        <x:f>P190*Assumptions!$B$8</x:f>
        <x:v>965.1112969396003</x:v>
      </x:c>
      <x:c r="W190" s="54" t="n">
        <x:f>V190-U190</x:f>
        <x:v>-136.48870306039964</x:v>
      </x:c>
      <x:c r="X190" s="58" t="n">
        <x:f>IF(R190="No","",W190*S190)</x:f>
        <x:v>-2712576.4846223826</x:v>
      </x:c>
      <x:c r="Y190" s="58" t="n">
        <x:f>IF(R190="No","",W190*T190*Assumptions!$B$9)</x:f>
        <x:v>-695928.5991643657</x:v>
      </x:c>
      <x:c r="Z190" s="58" t="n">
        <x:f>IF(R190="No","",X190-Y190)</x:f>
        <x:v>-2016647.8854580168</x:v>
      </x:c>
      <x:c r="AA190" s="58" t="n">
        <x:f>IF(R190="No","",MAX(0,-Z190))</x:f>
        <x:v>2016647.8854580168</x:v>
      </x:c>
      <x:c r="AB190" s="52" t="n">
        <x:f>IF(OR(R190="No",U190*S190=0),"",AA190/(U190*S190))</x:f>
        <x:v>0.09211298635369863</x:v>
      </x:c>
      <x:c r="AC190" s="54" t="n">
        <x:f>IF(OR(R190="No",S190-T190*Assumptions!$B$9&lt;=0),"",AA190/(Assumptions!$B$8*(S190-T190*Assumptions!$B$9)))</x:f>
        <x:v>160.57494477694075</x:v>
      </x:c>
      <x:c r="AD190" s="52" t="n">
        <x:f>IF(OR(R190="No",U190*S190=0),"",AA190/(U190*S190))</x:f>
        <x:v>0.09211298635369863</x:v>
      </x:c>
      <x:c r="AE190" s="50" t="str">
        <x:f>IF(R190="No","No finance data",IF(AB190&gt;=10%,"Severe",IF(AB190&gt;=5%,"High",IF(AB190&gt;=2%,"Moderate","Low"))))</x:f>
        <x:v>High</x:v>
      </x:c>
      <x:c r="AF190" s="60" t="n">
        <x:v>34.450151</x:v>
      </x:c>
      <x:c r="AG190" s="60" t="n">
        <x:v>-119.662517</x:v>
      </x:c>
      <x:c r="AH190" s="44" t="str">
        <x:v>Undergraduate tuition-contribution proxy only; not an audited total institutional budget.</x:v>
      </x:c>
    </x:row>
    <x:row r="191">
      <x:c r="A191" s="16" t="n">
        <x:v>125763</x:v>
      </x:c>
      <x:c r="B191" s="16" t="str">
        <x:v>Whittier College</x:v>
      </x:c>
      <x:c r="C191" s="16" t="str">
        <x:v>CA</x:v>
      </x:c>
      <x:c r="D191" s="16" t="str">
        <x:v>Private nonprofit</x:v>
      </x:c>
      <x:c r="E191" s="34" t="n">
        <x:v>1643</x:v>
      </x:c>
      <x:c r="F191" s="21" t="n">
        <x:v>0.8249</x:v>
      </x:c>
      <x:c r="G191" s="16" t="str">
        <x:v>Regional</x:v>
      </x:c>
      <x:c r="H191" s="36" t="n">
        <x:f>IF(G191="National",Assumptions!$B$11,IF(G191="Statewide",Assumptions!$B$12,Assumptions!$B$13))</x:f>
        <x:v>0.85</x:v>
      </x:c>
      <x:c r="I191" s="21" t="n">
        <x:v>-0.06638496203204658</x:v>
      </x:c>
      <x:c r="J191" s="21" t="n">
        <x:v>-0.13740068518113568</x:v>
      </x:c>
      <x:c r="K191" s="21" t="n">
        <x:v>-0.2731806039713064</x:v>
      </x:c>
      <x:c r="L191" s="36" t="n">
        <x:f>IF(Assumptions!$B$4=2030,I191,IF(Assumptions!$B$4=2035,J191,K191))</x:f>
        <x:v>-0.13740068518113568</x:v>
      </x:c>
      <x:c r="M191" s="36" t="n">
        <x:f>Assumptions!$B$19</x:f>
        <x:v>-0.04739891965741583</x:v>
      </x:c>
      <x:c r="N191" s="52" t="n">
        <x:f>H191*L191+(1-H191)*M191+O191</x:f>
        <x:v>-0.1239004203525777</x:v>
      </x:c>
      <x:c r="O191" s="36" t="n">
        <x:f>Assumptions!$B$10</x:f>
        <x:v>0</x:v>
      </x:c>
      <x:c r="P191" s="54" t="n">
        <x:f>E191*(1+N191)</x:f>
        <x:v>1439.4316093607147</x:v>
      </x:c>
      <x:c r="Q191" s="54" t="n">
        <x:f>P191-E191</x:f>
        <x:v>-203.56839063928533</x:v>
      </x:c>
      <x:c r="R191" s="16" t="str">
        <x:v>Yes</x:v>
      </x:c>
      <x:c r="S191" s="56" t="n">
        <x:v>21740</x:v>
      </x:c>
      <x:c r="T191" s="56" t="n">
        <x:v>13575</x:v>
      </x:c>
      <x:c r="U191" s="40" t="n">
        <x:f>E191*Assumptions!$B$8</x:f>
        <x:v>1396.55</x:v>
      </x:c>
      <x:c r="V191" s="40" t="n">
        <x:f>P191*Assumptions!$B$8</x:f>
        <x:v>1223.5168679566075</x:v>
      </x:c>
      <x:c r="W191" s="54" t="n">
        <x:f>V191-U191</x:f>
        <x:v>-173.03313204339247</x:v>
      </x:c>
      <x:c r="X191" s="58" t="n">
        <x:f>IF(R191="No","",W191*S191)</x:f>
        <x:v>-3761740.2906233524</x:v>
      </x:c>
      <x:c r="Y191" s="58" t="n">
        <x:f>IF(R191="No","",W191*T191*Assumptions!$B$9)</x:f>
        <x:v>-704677.4302467158</x:v>
      </x:c>
      <x:c r="Z191" s="58" t="n">
        <x:f>IF(R191="No","",X191-Y191)</x:f>
        <x:v>-3057062.8603766365</x:v>
      </x:c>
      <x:c r="AA191" s="58" t="n">
        <x:f>IF(R191="No","",MAX(0,-Z191))</x:f>
        <x:v>3057062.8603766365</x:v>
      </x:c>
      <x:c r="AB191" s="52" t="n">
        <x:f>IF(OR(R191="No",U191*S191=0),"",AA191/(U191*S191))</x:f>
        <x:v>0.10069046350410155</x:v>
      </x:c>
      <x:c r="AC191" s="54" t="n">
        <x:f>IF(OR(R191="No",S191-T191*Assumptions!$B$9&lt;=0),"",AA191/(Assumptions!$B$8*(S191-T191*Assumptions!$B$9)))</x:f>
        <x:v>203.56839063928527</x:v>
      </x:c>
      <x:c r="AD191" s="52" t="n">
        <x:f>IF(OR(R191="No",U191*S191=0),"",AA191/(U191*S191))</x:f>
        <x:v>0.10069046350410155</x:v>
      </x:c>
      <x:c r="AE191" s="50" t="str">
        <x:f>IF(R191="No","No finance data",IF(AB191&gt;=10%,"Severe",IF(AB191&gt;=5%,"High",IF(AB191&gt;=2%,"Moderate","Low"))))</x:f>
        <x:v>Severe</x:v>
      </x:c>
      <x:c r="AF191" s="60" t="n">
        <x:v>33.978773</x:v>
      </x:c>
      <x:c r="AG191" s="60" t="n">
        <x:v>-118.032299</x:v>
      </x:c>
      <x:c r="AH191" s="44" t="str">
        <x:v>Undergraduate tuition-contribution proxy only; not an audited total institutional budget.</x:v>
      </x:c>
    </x:row>
    <x:row r="192">
      <x:c r="A192" s="16" t="n">
        <x:v>122728</x:v>
      </x:c>
      <x:c r="B192" s="16" t="str">
        <x:v>William Jessup University</x:v>
      </x:c>
      <x:c r="C192" s="16" t="str">
        <x:v>CA</x:v>
      </x:c>
      <x:c r="D192" s="16" t="str">
        <x:v>Private nonprofit</x:v>
      </x:c>
      <x:c r="E192" s="34" t="n">
        <x:v>1093</x:v>
      </x:c>
      <x:c r="F192" s="21" t="n">
        <x:v>0.7778</x:v>
      </x:c>
      <x:c r="G192" s="16" t="str">
        <x:v>Regional</x:v>
      </x:c>
      <x:c r="H192" s="36" t="n">
        <x:f>IF(G192="National",Assumptions!$B$11,IF(G192="Statewide",Assumptions!$B$12,Assumptions!$B$13))</x:f>
        <x:v>0.85</x:v>
      </x:c>
      <x:c r="I192" s="21" t="n">
        <x:v>-0.06638496203204658</x:v>
      </x:c>
      <x:c r="J192" s="21" t="n">
        <x:v>-0.13740068518113568</x:v>
      </x:c>
      <x:c r="K192" s="21" t="n">
        <x:v>-0.2731806039713064</x:v>
      </x:c>
      <x:c r="L192" s="36" t="n">
        <x:f>IF(Assumptions!$B$4=2030,I192,IF(Assumptions!$B$4=2035,J192,K192))</x:f>
        <x:v>-0.13740068518113568</x:v>
      </x:c>
      <x:c r="M192" s="36" t="n">
        <x:f>Assumptions!$B$19</x:f>
        <x:v>-0.04739891965741583</x:v>
      </x:c>
      <x:c r="N192" s="52" t="n">
        <x:f>H192*L192+(1-H192)*M192+O192</x:f>
        <x:v>-0.1239004203525777</x:v>
      </x:c>
      <x:c r="O192" s="36" t="n">
        <x:f>Assumptions!$B$10</x:f>
        <x:v>0</x:v>
      </x:c>
      <x:c r="P192" s="54" t="n">
        <x:f>E192*(1+N192)</x:f>
        <x:v>957.5768405546326</x:v>
      </x:c>
      <x:c r="Q192" s="54" t="n">
        <x:f>P192-E192</x:f>
        <x:v>-135.42315944536745</x:v>
      </x:c>
      <x:c r="R192" s="16" t="str">
        <x:v>Yes</x:v>
      </x:c>
      <x:c r="S192" s="56" t="n">
        <x:v>14061</x:v>
      </x:c>
      <x:c r="T192" s="56" t="n">
        <x:v>5996</x:v>
      </x:c>
      <x:c r="U192" s="40" t="n">
        <x:f>E192*Assumptions!$B$8</x:f>
        <x:v>929.05</x:v>
      </x:c>
      <x:c r="V192" s="40" t="n">
        <x:f>P192*Assumptions!$B$8</x:f>
        <x:v>813.9403144714377</x:v>
      </x:c>
      <x:c r="W192" s="54" t="n">
        <x:f>V192-U192</x:f>
        <x:v>-115.1096855285623</x:v>
      </x:c>
      <x:c r="X192" s="58" t="n">
        <x:f>IF(R192="No","",W192*S192)</x:f>
        <x:v>-1618557.2882171145</x:v>
      </x:c>
      <x:c r="Y192" s="58" t="n">
        <x:f>IF(R192="No","",W192*T192*Assumptions!$B$9)</x:f>
        <x:v>-207059.30232877785</x:v>
      </x:c>
      <x:c r="Z192" s="58" t="n">
        <x:f>IF(R192="No","",X192-Y192)</x:f>
        <x:v>-1411497.9858883368</x:v>
      </x:c>
      <x:c r="AA192" s="58" t="n">
        <x:f>IF(R192="No","",MAX(0,-Z192))</x:f>
        <x:v>1411497.9858883368</x:v>
      </x:c>
      <x:c r="AB192" s="52" t="n">
        <x:f>IF(OR(R192="No",U192*S192=0),"",AA192/(U192*S192))</x:f>
        <x:v>0.1080500486770058</x:v>
      </x:c>
      <x:c r="AC192" s="54" t="n">
        <x:f>IF(OR(R192="No",S192-T192*Assumptions!$B$9&lt;=0),"",AA192/(Assumptions!$B$8*(S192-T192*Assumptions!$B$9)))</x:f>
        <x:v>135.42315944536742</x:v>
      </x:c>
      <x:c r="AD192" s="52" t="n">
        <x:f>IF(OR(R192="No",U192*S192=0),"",AA192/(U192*S192))</x:f>
        <x:v>0.1080500486770058</x:v>
      </x:c>
      <x:c r="AE192" s="50" t="str">
        <x:f>IF(R192="No","No finance data",IF(AB192&gt;=10%,"Severe",IF(AB192&gt;=5%,"High",IF(AB192&gt;=2%,"Moderate","Low"))))</x:f>
        <x:v>Severe</x:v>
      </x:c>
      <x:c r="AF192" s="60" t="n">
        <x:v>38.819728</x:v>
      </x:c>
      <x:c r="AG192" s="60" t="n">
        <x:v>-121.292312</x:v>
      </x:c>
      <x:c r="AH192" s="44" t="str">
        <x:v>Undergraduate tuition-contribution proxy only; not an audited total institutional budget.</x:v>
      </x:c>
    </x:row>
    <x:row r="193">
      <x:c r="A193" s="16" t="n">
        <x:v>125897</x:v>
      </x:c>
      <x:c r="B193" s="16" t="str">
        <x:v>Woodbury University</x:v>
      </x:c>
      <x:c r="C193" s="16" t="str">
        <x:v>CA</x:v>
      </x:c>
      <x:c r="D193" s="16" t="str">
        <x:v>Private nonprofit</x:v>
      </x:c>
      <x:c r="E193" s="34" t="n">
        <x:v>1245</x:v>
      </x:c>
      <x:c r="F193" s="21" t="n">
        <x:v>0.6304</x:v>
      </x:c>
      <x:c r="G193" s="16" t="str">
        <x:v>Regional</x:v>
      </x:c>
      <x:c r="H193" s="36" t="n">
        <x:f>IF(G193="National",Assumptions!$B$11,IF(G193="Statewide",Assumptions!$B$12,Assumptions!$B$13))</x:f>
        <x:v>0.85</x:v>
      </x:c>
      <x:c r="I193" s="21" t="n">
        <x:v>-0.06638496203204658</x:v>
      </x:c>
      <x:c r="J193" s="21" t="n">
        <x:v>-0.13740068518113568</x:v>
      </x:c>
      <x:c r="K193" s="21" t="n">
        <x:v>-0.2731806039713064</x:v>
      </x:c>
      <x:c r="L193" s="36" t="n">
        <x:f>IF(Assumptions!$B$4=2030,I193,IF(Assumptions!$B$4=2035,J193,K193))</x:f>
        <x:v>-0.13740068518113568</x:v>
      </x:c>
      <x:c r="M193" s="36" t="n">
        <x:f>Assumptions!$B$19</x:f>
        <x:v>-0.04739891965741583</x:v>
      </x:c>
      <x:c r="N193" s="52" t="n">
        <x:f>H193*L193+(1-H193)*M193+O193</x:f>
        <x:v>-0.1239004203525777</x:v>
      </x:c>
      <x:c r="O193" s="36" t="n">
        <x:f>Assumptions!$B$10</x:f>
        <x:v>0</x:v>
      </x:c>
      <x:c r="P193" s="54" t="n">
        <x:f>E193*(1+N193)</x:f>
        <x:v>1090.7439766610407</x:v>
      </x:c>
      <x:c r="Q193" s="54" t="n">
        <x:f>P193-E193</x:f>
        <x:v>-154.25602333895927</x:v>
      </x:c>
      <x:c r="R193" s="16" t="str">
        <x:v>Yes</x:v>
      </x:c>
      <x:c r="S193" s="56" t="n">
        <x:v>30307</x:v>
      </x:c>
      <x:c r="T193" s="56" t="n">
        <x:v>17485</x:v>
      </x:c>
      <x:c r="U193" s="40" t="n">
        <x:f>E193*Assumptions!$B$8</x:f>
        <x:v>1058.25</x:v>
      </x:c>
      <x:c r="V193" s="40" t="n">
        <x:f>P193*Assumptions!$B$8</x:f>
        <x:v>927.1323801618846</x:v>
      </x:c>
      <x:c r="W193" s="54" t="n">
        <x:f>V193-U193</x:f>
        <x:v>-131.1176198381154</x:v>
      </x:c>
      <x:c r="X193" s="58" t="n">
        <x:f>IF(R193="No","",W193*S193)</x:f>
        <x:v>-3973781.704433763</x:v>
      </x:c>
      <x:c r="Y193" s="58" t="n">
        <x:f>IF(R193="No","",W193*T193*Assumptions!$B$9)</x:f>
        <x:v>-687777.4748608343</x:v>
      </x:c>
      <x:c r="Z193" s="58" t="n">
        <x:f>IF(R193="No","",X193-Y193)</x:f>
        <x:v>-3286004.2295729285</x:v>
      </x:c>
      <x:c r="AA193" s="58" t="n">
        <x:f>IF(R193="No","",MAX(0,-Z193))</x:f>
        <x:v>3286004.2295729285</x:v>
      </x:c>
      <x:c r="AB193" s="52" t="n">
        <x:f>IF(OR(R193="No",U193*S193=0),"",AA193/(U193*S193))</x:f>
        <x:v>0.10245588097357464</x:v>
      </x:c>
      <x:c r="AC193" s="54" t="n">
        <x:f>IF(OR(R193="No",S193-T193*Assumptions!$B$9&lt;=0),"",AA193/(Assumptions!$B$8*(S193-T193*Assumptions!$B$9)))</x:f>
        <x:v>154.2560233389593</x:v>
      </x:c>
      <x:c r="AD193" s="52" t="n">
        <x:f>IF(OR(R193="No",U193*S193=0),"",AA193/(U193*S193))</x:f>
        <x:v>0.10245588097357464</x:v>
      </x:c>
      <x:c r="AE193" s="50" t="str">
        <x:f>IF(R193="No","No finance data",IF(AB193&gt;=10%,"Severe",IF(AB193&gt;=5%,"High",IF(AB193&gt;=2%,"Moderate","Low"))))</x:f>
        <x:v>Severe</x:v>
      </x:c>
      <x:c r="AF193" s="60" t="n">
        <x:v>34.208011</x:v>
      </x:c>
      <x:c r="AG193" s="60" t="n">
        <x:v>-118.341147</x:v>
      </x:c>
      <x:c r="AH193" s="44" t="str">
        <x:v>Undergraduate tuition-contribution proxy only; not an audited total institutional budget.</x:v>
      </x:c>
    </x:row>
    <x:row r="194">
      <x:c r="A194" s="16" t="n">
        <x:v>401223</x:v>
      </x:c>
      <x:c r="B194" s="16" t="str">
        <x:v>World Mission University</x:v>
      </x:c>
      <x:c r="C194" s="16" t="str">
        <x:v>CA</x:v>
      </x:c>
      <x:c r="D194" s="16" t="str">
        <x:v>Private nonprofit</x:v>
      </x:c>
      <x:c r="E194" s="34" t="n">
        <x:v>137</x:v>
      </x:c>
      <x:c r="F194" s="21"/>
      <x:c r="G194" s="16" t="str">
        <x:v>Regional</x:v>
      </x:c>
      <x:c r="H194" s="36" t="n">
        <x:f>IF(G194="National",Assumptions!$B$11,IF(G194="Statewide",Assumptions!$B$12,Assumptions!$B$13))</x:f>
        <x:v>0.85</x:v>
      </x:c>
      <x:c r="I194" s="21" t="n">
        <x:v>-0.06638496203204658</x:v>
      </x:c>
      <x:c r="J194" s="21" t="n">
        <x:v>-0.13740068518113568</x:v>
      </x:c>
      <x:c r="K194" s="21" t="n">
        <x:v>-0.2731806039713064</x:v>
      </x:c>
      <x:c r="L194" s="36" t="n">
        <x:f>IF(Assumptions!$B$4=2030,I194,IF(Assumptions!$B$4=2035,J194,K194))</x:f>
        <x:v>-0.13740068518113568</x:v>
      </x:c>
      <x:c r="M194" s="36" t="n">
        <x:f>Assumptions!$B$19</x:f>
        <x:v>-0.04739891965741583</x:v>
      </x:c>
      <x:c r="N194" s="52" t="n">
        <x:f>H194*L194+(1-H194)*M194+O194</x:f>
        <x:v>-0.1239004203525777</x:v>
      </x:c>
      <x:c r="O194" s="36" t="n">
        <x:f>Assumptions!$B$10</x:f>
        <x:v>0</x:v>
      </x:c>
      <x:c r="P194" s="54" t="n">
        <x:f>E194*(1+N194)</x:f>
        <x:v>120.02564241169685</x:v>
      </x:c>
      <x:c r="Q194" s="54" t="n">
        <x:f>P194-E194</x:f>
        <x:v>-16.97435758830315</x:v>
      </x:c>
      <x:c r="R194" s="16" t="str">
        <x:v>No</x:v>
      </x:c>
      <x:c r="S194" s="56"/>
      <x:c r="T194" s="56"/>
      <x:c r="U194" s="40" t="n">
        <x:f>E194*Assumptions!$B$8</x:f>
        <x:v>116.45</x:v>
      </x:c>
      <x:c r="V194" s="40" t="n">
        <x:f>P194*Assumptions!$B$8</x:f>
        <x:v>102.02179604994232</x:v>
      </x:c>
      <x:c r="W194" s="54" t="n">
        <x:f>V194-U194</x:f>
        <x:v>-14.428203950057679</x:v>
      </x:c>
      <x:c r="X194" s="58" t="str">
        <x:f>IF(R194="No","",W194*S194)</x:f>
      </x:c>
      <x:c r="Y194" s="58" t="str">
        <x:f>IF(R194="No","",W194*T194*Assumptions!$B$9)</x:f>
      </x:c>
      <x:c r="Z194" s="58" t="str">
        <x:f>IF(R194="No","",X194-Y194)</x:f>
      </x:c>
      <x:c r="AA194" s="58" t="str">
        <x:f>IF(R194="No","",MAX(0,-Z194))</x:f>
      </x:c>
      <x:c r="AB194" s="52" t="str">
        <x:f>IF(OR(R194="No",U194*S194=0),"",AA194/(U194*S194))</x:f>
      </x:c>
      <x:c r="AC194" s="54" t="str">
        <x:f>IF(OR(R194="No",S194-T194*Assumptions!$B$9&lt;=0),"",AA194/(Assumptions!$B$8*(S194-T194*Assumptions!$B$9)))</x:f>
      </x:c>
      <x:c r="AD194" s="52" t="str">
        <x:f>IF(OR(R194="No",U194*S194=0),"",AA194/(U194*S194))</x:f>
      </x:c>
      <x:c r="AE194" s="50" t="str">
        <x:f>IF(R194="No","No finance data",IF(AB194&gt;=10%,"Severe",IF(AB194&gt;=5%,"High",IF(AB194&gt;=2%,"Moderate","Low"))))</x:f>
        <x:v>No finance data</x:v>
      </x:c>
      <x:c r="AF194" s="60"/>
      <x:c r="AG194" s="60"/>
      <x:c r="AH194" s="44" t="str">
        <x:v>Undergraduate tuition-contribution proxy only; not an audited total institutional budget.</x:v>
      </x:c>
    </x:row>
    <x:row r="195">
      <x:c r="A195" s="16" t="n">
        <x:v>126076</x:v>
      </x:c>
      <x:c r="B195" s="16" t="str">
        <x:v>Yeshiva Ohr Elchonon Chabad West Coast Talmudical Seminary</x:v>
      </x:c>
      <x:c r="C195" s="16" t="str">
        <x:v>CA</x:v>
      </x:c>
      <x:c r="D195" s="16" t="str">
        <x:v>Private nonprofit</x:v>
      </x:c>
      <x:c r="E195" s="34" t="n">
        <x:v>161</x:v>
      </x:c>
      <x:c r="F195" s="21"/>
      <x:c r="G195" s="16" t="str">
        <x:v>Regional</x:v>
      </x:c>
      <x:c r="H195" s="36" t="n">
        <x:f>IF(G195="National",Assumptions!$B$11,IF(G195="Statewide",Assumptions!$B$12,Assumptions!$B$13))</x:f>
        <x:v>0.85</x:v>
      </x:c>
      <x:c r="I195" s="21" t="n">
        <x:v>-0.06638496203204658</x:v>
      </x:c>
      <x:c r="J195" s="21" t="n">
        <x:v>-0.13740068518113568</x:v>
      </x:c>
      <x:c r="K195" s="21" t="n">
        <x:v>-0.2731806039713064</x:v>
      </x:c>
      <x:c r="L195" s="36" t="n">
        <x:f>IF(Assumptions!$B$4=2030,I195,IF(Assumptions!$B$4=2035,J195,K195))</x:f>
        <x:v>-0.13740068518113568</x:v>
      </x:c>
      <x:c r="M195" s="36" t="n">
        <x:f>Assumptions!$B$19</x:f>
        <x:v>-0.04739891965741583</x:v>
      </x:c>
      <x:c r="N195" s="52" t="n">
        <x:f>H195*L195+(1-H195)*M195+O195</x:f>
        <x:v>-0.1239004203525777</x:v>
      </x:c>
      <x:c r="O195" s="36" t="n">
        <x:f>Assumptions!$B$10</x:f>
        <x:v>0</x:v>
      </x:c>
      <x:c r="P195" s="54" t="n">
        <x:f>E195*(1+N195)</x:f>
        <x:v>141.05203232323498</x:v>
      </x:c>
      <x:c r="Q195" s="54" t="n">
        <x:f>P195-E195</x:f>
        <x:v>-19.947967676765018</x:v>
      </x:c>
      <x:c r="R195" s="16" t="str">
        <x:v>No</x:v>
      </x:c>
      <x:c r="S195" s="56"/>
      <x:c r="T195" s="56"/>
      <x:c r="U195" s="40" t="n">
        <x:f>E195*Assumptions!$B$8</x:f>
        <x:v>136.85</x:v>
      </x:c>
      <x:c r="V195" s="40" t="n">
        <x:f>P195*Assumptions!$B$8</x:f>
        <x:v>119.89422747474973</x:v>
      </x:c>
      <x:c r="W195" s="54" t="n">
        <x:f>V195-U195</x:f>
        <x:v>-16.955772525250268</x:v>
      </x:c>
      <x:c r="X195" s="58" t="str">
        <x:f>IF(R195="No","",W195*S195)</x:f>
      </x:c>
      <x:c r="Y195" s="58" t="str">
        <x:f>IF(R195="No","",W195*T195*Assumptions!$B$9)</x:f>
      </x:c>
      <x:c r="Z195" s="58" t="str">
        <x:f>IF(R195="No","",X195-Y195)</x:f>
      </x:c>
      <x:c r="AA195" s="58" t="str">
        <x:f>IF(R195="No","",MAX(0,-Z195))</x:f>
      </x:c>
      <x:c r="AB195" s="52" t="str">
        <x:f>IF(OR(R195="No",U195*S195=0),"",AA195/(U195*S195))</x:f>
      </x:c>
      <x:c r="AC195" s="54" t="str">
        <x:f>IF(OR(R195="No",S195-T195*Assumptions!$B$9&lt;=0),"",AA195/(Assumptions!$B$8*(S195-T195*Assumptions!$B$9)))</x:f>
      </x:c>
      <x:c r="AD195" s="52" t="str">
        <x:f>IF(OR(R195="No",U195*S195=0),"",AA195/(U195*S195))</x:f>
      </x:c>
      <x:c r="AE195" s="50" t="str">
        <x:f>IF(R195="No","No finance data",IF(AB195&gt;=10%,"Severe",IF(AB195&gt;=5%,"High",IF(AB195&gt;=2%,"Moderate","Low"))))</x:f>
        <x:v>No finance data</x:v>
      </x:c>
      <x:c r="AF195" s="60"/>
      <x:c r="AG195" s="60"/>
      <x:c r="AH195" s="44" t="str">
        <x:v>Undergraduate tuition-contribution proxy only; not an audited total institutional budget.</x:v>
      </x:c>
    </x:row>
    <x:row r="196">
      <x:c r="A196" s="16" t="n">
        <x:v>126182</x:v>
      </x:c>
      <x:c r="B196" s="16" t="str">
        <x:v>Adams State University</x:v>
      </x:c>
      <x:c r="C196" s="16" t="str">
        <x:v>CO</x:v>
      </x:c>
      <x:c r="D196" s="16" t="str">
        <x:v>Public</x:v>
      </x:c>
      <x:c r="E196" s="34" t="n">
        <x:v>2067</x:v>
      </x:c>
      <x:c r="F196" s="21" t="n">
        <x:v>0.9983</x:v>
      </x:c>
      <x:c r="G196" s="16" t="str">
        <x:v>Regional</x:v>
      </x:c>
      <x:c r="H196" s="36" t="n">
        <x:f>IF(G196="National",Assumptions!$B$11,IF(G196="Statewide",Assumptions!$B$12,Assumptions!$B$13))</x:f>
        <x:v>0.85</x:v>
      </x:c>
      <x:c r="I196" s="21" t="n">
        <x:v>-0.07785475065375969</x:v>
      </x:c>
      <x:c r="J196" s="21" t="n">
        <x:v>-0.08921717055863954</x:v>
      </x:c>
      <x:c r="K196" s="21" t="n">
        <x:v>-0.13662430609716936</x:v>
      </x:c>
      <x:c r="L196" s="36" t="n">
        <x:f>IF(Assumptions!$B$4=2030,I196,IF(Assumptions!$B$4=2035,J196,K196))</x:f>
        <x:v>-0.08921717055863954</x:v>
      </x:c>
      <x:c r="M196" s="36" t="n">
        <x:f>Assumptions!$B$19</x:f>
        <x:v>-0.04739891965741583</x:v>
      </x:c>
      <x:c r="N196" s="52" t="n">
        <x:f>H196*L196+(1-H196)*M196+O196</x:f>
        <x:v>-0.08294443292345598</x:v>
      </x:c>
      <x:c r="O196" s="36" t="n">
        <x:f>Assumptions!$B$10</x:f>
        <x:v>0</x:v>
      </x:c>
      <x:c r="P196" s="54" t="n">
        <x:f>E196*(1+N196)</x:f>
        <x:v>1895.5538571472164</x:v>
      </x:c>
      <x:c r="Q196" s="54" t="n">
        <x:f>P196-E196</x:f>
        <x:v>-171.44614285278362</x:v>
      </x:c>
      <x:c r="R196" s="16" t="str">
        <x:v>Yes</x:v>
      </x:c>
      <x:c r="S196" s="56" t="n">
        <x:v>6779</x:v>
      </x:c>
      <x:c r="T196" s="56" t="n">
        <x:v>8530</x:v>
      </x:c>
      <x:c r="U196" s="40" t="n">
        <x:f>E196*Assumptions!$B$8</x:f>
        <x:v>1756.95</x:v>
      </x:c>
      <x:c r="V196" s="40" t="n">
        <x:f>P196*Assumptions!$B$8</x:f>
        <x:v>1611.2207785751339</x:v>
      </x:c>
      <x:c r="W196" s="54" t="n">
        <x:f>V196-U196</x:f>
        <x:v>-145.72922142486618</x:v>
      </x:c>
      <x:c r="X196" s="58" t="n">
        <x:f>IF(R196="No","",W196*S196)</x:f>
        <x:v>-987898.3920391678</x:v>
      </x:c>
      <x:c r="Y196" s="58" t="n">
        <x:f>IF(R196="No","",W196*T196*Assumptions!$B$9)</x:f>
        <x:v>-372921.0776262326</x:v>
      </x:c>
      <x:c r="Z196" s="58" t="n">
        <x:f>IF(R196="No","",X196-Y196)</x:f>
        <x:v>-614977.3144129352</x:v>
      </x:c>
      <x:c r="AA196" s="58" t="n">
        <x:f>IF(R196="No","",MAX(0,-Z196))</x:f>
        <x:v>614977.3144129352</x:v>
      </x:c>
      <x:c r="AB196" s="52" t="n">
        <x:f>IF(OR(R196="No",U196*S196=0),"",AA196/(U196*S196))</x:f>
        <x:v>0.051633796568370645</x:v>
      </x:c>
      <x:c r="AC196" s="54" t="n">
        <x:f>IF(OR(R196="No",S196-T196*Assumptions!$B$9&lt;=0),"",AA196/(Assumptions!$B$8*(S196-T196*Assumptions!$B$9)))</x:f>
        <x:v>171.4461428527837</x:v>
      </x:c>
      <x:c r="AD196" s="52" t="n">
        <x:f>IF(OR(R196="No",U196*S196=0),"",AA196/(U196*S196))</x:f>
        <x:v>0.051633796568370645</x:v>
      </x:c>
      <x:c r="AE196" s="50" t="str">
        <x:f>IF(R196="No","No finance data",IF(AB196&gt;=10%,"Severe",IF(AB196&gt;=5%,"High",IF(AB196&gt;=2%,"Moderate","Low"))))</x:f>
        <x:v>High</x:v>
      </x:c>
      <x:c r="AF196" s="60" t="n">
        <x:v>37.473636</x:v>
      </x:c>
      <x:c r="AG196" s="60" t="n">
        <x:v>-105.879642</x:v>
      </x:c>
      <x:c r="AH196" s="44" t="str">
        <x:v>Undergraduate tuition-contribution proxy only; not an audited total institutional budget.</x:v>
      </x:c>
    </x:row>
    <x:row r="197">
      <x:c r="A197" s="16" t="n">
        <x:v>126669</x:v>
      </x:c>
      <x:c r="B197" s="16" t="str">
        <x:v>Colorado Christian University</x:v>
      </x:c>
      <x:c r="C197" s="16" t="str">
        <x:v>CO</x:v>
      </x:c>
      <x:c r="D197" s="16" t="str">
        <x:v>Private nonprofit</x:v>
      </x:c>
      <x:c r="E197" s="34" t="n">
        <x:v>3885</x:v>
      </x:c>
      <x:c r="F197" s="21"/>
      <x:c r="G197" s="16" t="str">
        <x:v>Regional</x:v>
      </x:c>
      <x:c r="H197" s="36" t="n">
        <x:f>IF(G197="National",Assumptions!$B$11,IF(G197="Statewide",Assumptions!$B$12,Assumptions!$B$13))</x:f>
        <x:v>0.85</x:v>
      </x:c>
      <x:c r="I197" s="21" t="n">
        <x:v>-0.07785475065375969</x:v>
      </x:c>
      <x:c r="J197" s="21" t="n">
        <x:v>-0.08921717055863954</x:v>
      </x:c>
      <x:c r="K197" s="21" t="n">
        <x:v>-0.13662430609716936</x:v>
      </x:c>
      <x:c r="L197" s="36" t="n">
        <x:f>IF(Assumptions!$B$4=2030,I197,IF(Assumptions!$B$4=2035,J197,K197))</x:f>
        <x:v>-0.08921717055863954</x:v>
      </x:c>
      <x:c r="M197" s="36" t="n">
        <x:f>Assumptions!$B$19</x:f>
        <x:v>-0.04739891965741583</x:v>
      </x:c>
      <x:c r="N197" s="52" t="n">
        <x:f>H197*L197+(1-H197)*M197+O197</x:f>
        <x:v>-0.08294443292345598</x:v>
      </x:c>
      <x:c r="O197" s="36" t="n">
        <x:f>Assumptions!$B$10</x:f>
        <x:v>0</x:v>
      </x:c>
      <x:c r="P197" s="54" t="n">
        <x:f>E197*(1+N197)</x:f>
        <x:v>3562.7608780923733</x:v>
      </x:c>
      <x:c r="Q197" s="54" t="n">
        <x:f>P197-E197</x:f>
        <x:v>-322.23912190762667</x:v>
      </x:c>
      <x:c r="R197" s="16" t="str">
        <x:v>Yes</x:v>
      </x:c>
      <x:c r="S197" s="56" t="n">
        <x:v>11648</x:v>
      </x:c>
      <x:c r="T197" s="56" t="n">
        <x:v>3519</x:v>
      </x:c>
      <x:c r="U197" s="40" t="n">
        <x:f>E197*Assumptions!$B$8</x:f>
        <x:v>3302.25</x:v>
      </x:c>
      <x:c r="V197" s="40" t="n">
        <x:f>P197*Assumptions!$B$8</x:f>
        <x:v>3028.3467463785173</x:v>
      </x:c>
      <x:c r="W197" s="54" t="n">
        <x:f>V197-U197</x:f>
        <x:v>-273.9032536214827</x:v>
      </x:c>
      <x:c r="X197" s="58" t="n">
        <x:f>IF(R197="No","",W197*S197)</x:f>
        <x:v>-3190425.0981830303</x:v>
      </x:c>
      <x:c r="Y197" s="58" t="n">
        <x:f>IF(R197="No","",W197*T197*Assumptions!$B$9)</x:f>
        <x:v>-289159.6648481993</x:v>
      </x:c>
      <x:c r="Z197" s="58" t="n">
        <x:f>IF(R197="No","",X197-Y197)</x:f>
        <x:v>-2901265.433334831</x:v>
      </x:c>
      <x:c r="AA197" s="58" t="n">
        <x:f>IF(R197="No","",MAX(0,-Z197))</x:f>
        <x:v>2901265.433334831</x:v>
      </x:c>
      <x:c r="AB197" s="52" t="n">
        <x:f>IF(OR(R197="No",U197*S197=0),"",AA197/(U197*S197))</x:f>
        <x:v>0.07542688159813903</x:v>
      </x:c>
      <x:c r="AC197" s="54" t="n">
        <x:f>IF(OR(R197="No",S197-T197*Assumptions!$B$9&lt;=0),"",AA197/(Assumptions!$B$8*(S197-T197*Assumptions!$B$9)))</x:f>
        <x:v>322.2391219076267</x:v>
      </x:c>
      <x:c r="AD197" s="52" t="n">
        <x:f>IF(OR(R197="No",U197*S197=0),"",AA197/(U197*S197))</x:f>
        <x:v>0.07542688159813903</x:v>
      </x:c>
      <x:c r="AE197" s="50" t="str">
        <x:f>IF(R197="No","No finance data",IF(AB197&gt;=10%,"Severe",IF(AB197&gt;=5%,"High",IF(AB197&gt;=2%,"Moderate","Low"))))</x:f>
        <x:v>High</x:v>
      </x:c>
      <x:c r="AF197" s="60" t="n">
        <x:v>39.71388</x:v>
      </x:c>
      <x:c r="AG197" s="60" t="n">
        <x:v>-105.09456</x:v>
      </x:c>
      <x:c r="AH197" s="44" t="str">
        <x:v>Undergraduate tuition-contribution proxy only; not an audited total institutional budget.</x:v>
      </x:c>
    </x:row>
    <x:row r="198">
      <x:c r="A198" s="16" t="n">
        <x:v>126678</x:v>
      </x:c>
      <x:c r="B198" s="16" t="str">
        <x:v>Colorado College</x:v>
      </x:c>
      <x:c r="C198" s="16" t="str">
        <x:v>CO</x:v>
      </x:c>
      <x:c r="D198" s="16" t="str">
        <x:v>Private nonprofit</x:v>
      </x:c>
      <x:c r="E198" s="34" t="n">
        <x:v>2096</x:v>
      </x:c>
      <x:c r="F198" s="21" t="n">
        <x:v>0.1425</x:v>
      </x:c>
      <x:c r="G198" s="16" t="str">
        <x:v>National</x:v>
      </x:c>
      <x:c r="H198" s="36" t="n">
        <x:f>IF(G198="National",Assumptions!$B$11,IF(G198="Statewide",Assumptions!$B$12,Assumptions!$B$13))</x:f>
        <x:v>0.25</x:v>
      </x:c>
      <x:c r="I198" s="21" t="n">
        <x:v>-0.07785475065375969</x:v>
      </x:c>
      <x:c r="J198" s="21" t="n">
        <x:v>-0.08921717055863954</x:v>
      </x:c>
      <x:c r="K198" s="21" t="n">
        <x:v>-0.13662430609716936</x:v>
      </x:c>
      <x:c r="L198" s="36" t="n">
        <x:f>IF(Assumptions!$B$4=2030,I198,IF(Assumptions!$B$4=2035,J198,K198))</x:f>
        <x:v>-0.08921717055863954</x:v>
      </x:c>
      <x:c r="M198" s="36" t="n">
        <x:f>Assumptions!$B$19</x:f>
        <x:v>-0.04739891965741583</x:v>
      </x:c>
      <x:c r="N198" s="52" t="n">
        <x:f>H198*L198+(1-H198)*M198+O198</x:f>
        <x:v>-0.057853482382721755</x:v>
      </x:c>
      <x:c r="O198" s="36" t="n">
        <x:f>Assumptions!$B$10</x:f>
        <x:v>0</x:v>
      </x:c>
      <x:c r="P198" s="54" t="n">
        <x:f>E198*(1+N198)</x:f>
        <x:v>1974.7391009258154</x:v>
      </x:c>
      <x:c r="Q198" s="54" t="n">
        <x:f>P198-E198</x:f>
        <x:v>-121.26089907418464</x:v>
      </x:c>
      <x:c r="R198" s="16" t="str">
        <x:v>Yes</x:v>
      </x:c>
      <x:c r="S198" s="56" t="n">
        <x:v>34550</x:v>
      </x:c>
      <x:c r="T198" s="56" t="n">
        <x:v>26985</x:v>
      </x:c>
      <x:c r="U198" s="40" t="n">
        <x:f>E198*Assumptions!$B$8</x:f>
        <x:v>1781.6</x:v>
      </x:c>
      <x:c r="V198" s="40" t="n">
        <x:f>P198*Assumptions!$B$8</x:f>
        <x:v>1678.528235786943</x:v>
      </x:c>
      <x:c r="W198" s="54" t="n">
        <x:f>V198-U198</x:f>
        <x:v>-103.0717642130569</x:v>
      </x:c>
      <x:c r="X198" s="58" t="n">
        <x:f>IF(R198="No","",W198*S198)</x:f>
        <x:v>-3561129.4535611155</x:v>
      </x:c>
      <x:c r="Y198" s="58" t="n">
        <x:f>IF(R198="No","",W198*T198*Assumptions!$B$9)</x:f>
        <x:v>-834417.4671868022</x:v>
      </x:c>
      <x:c r="Z198" s="58" t="n">
        <x:f>IF(R198="No","",X198-Y198)</x:f>
        <x:v>-2726711.9863743135</x:v>
      </x:c>
      <x:c r="AA198" s="58" t="n">
        <x:f>IF(R198="No","",MAX(0,-Z198))</x:f>
        <x:v>2726711.9863743135</x:v>
      </x:c>
      <x:c r="AB198" s="52" t="n">
        <x:f>IF(OR(R198="No",U198*S198=0),"",AA198/(U198*S198))</x:f>
        <x:v>0.044297683059152236</x:v>
      </x:c>
      <x:c r="AC198" s="54" t="n">
        <x:f>IF(OR(R198="No",S198-T198*Assumptions!$B$9&lt;=0),"",AA198/(Assumptions!$B$8*(S198-T198*Assumptions!$B$9)))</x:f>
        <x:v>121.26089907418458</x:v>
      </x:c>
      <x:c r="AD198" s="52" t="n">
        <x:f>IF(OR(R198="No",U198*S198=0),"",AA198/(U198*S198))</x:f>
        <x:v>0.044297683059152236</x:v>
      </x:c>
      <x:c r="AE198" s="50" t="str">
        <x:f>IF(R198="No","No finance data",IF(AB198&gt;=10%,"Severe",IF(AB198&gt;=5%,"High",IF(AB198&gt;=2%,"Moderate","Low"))))</x:f>
        <x:v>Moderate</x:v>
      </x:c>
      <x:c r="AF198" s="60" t="n">
        <x:v>38.84886</x:v>
      </x:c>
      <x:c r="AG198" s="60" t="n">
        <x:v>-104.822697</x:v>
      </x:c>
      <x:c r="AH198" s="44" t="str">
        <x:v>Undergraduate tuition-contribution proxy only; not an audited total institutional budget.</x:v>
      </x:c>
    </x:row>
    <x:row r="199">
      <x:c r="A199" s="16" t="n">
        <x:v>367839</x:v>
      </x:c>
      <x:c r="B199" s="16" t="str">
        <x:v>Colorado Heights University</x:v>
      </x:c>
      <x:c r="C199" s="16" t="str">
        <x:v>CO</x:v>
      </x:c>
      <x:c r="D199" s="16" t="str">
        <x:v>Private nonprofit</x:v>
      </x:c>
      <x:c r="E199" s="34" t="n">
        <x:v>94</x:v>
      </x:c>
      <x:c r="F199" s="21"/>
      <x:c r="G199" s="16" t="str">
        <x:v>Regional</x:v>
      </x:c>
      <x:c r="H199" s="36" t="n">
        <x:f>IF(G199="National",Assumptions!$B$11,IF(G199="Statewide",Assumptions!$B$12,Assumptions!$B$13))</x:f>
        <x:v>0.85</x:v>
      </x:c>
      <x:c r="I199" s="21" t="n">
        <x:v>-0.07785475065375969</x:v>
      </x:c>
      <x:c r="J199" s="21" t="n">
        <x:v>-0.08921717055863954</x:v>
      </x:c>
      <x:c r="K199" s="21" t="n">
        <x:v>-0.13662430609716936</x:v>
      </x:c>
      <x:c r="L199" s="36" t="n">
        <x:f>IF(Assumptions!$B$4=2030,I199,IF(Assumptions!$B$4=2035,J199,K199))</x:f>
        <x:v>-0.08921717055863954</x:v>
      </x:c>
      <x:c r="M199" s="36" t="n">
        <x:f>Assumptions!$B$19</x:f>
        <x:v>-0.04739891965741583</x:v>
      </x:c>
      <x:c r="N199" s="52" t="n">
        <x:f>H199*L199+(1-H199)*M199+O199</x:f>
        <x:v>-0.08294443292345598</x:v>
      </x:c>
      <x:c r="O199" s="36" t="n">
        <x:f>Assumptions!$B$10</x:f>
        <x:v>0</x:v>
      </x:c>
      <x:c r="P199" s="54" t="n">
        <x:f>E199*(1+N199)</x:f>
        <x:v>86.20322330519514</x:v>
      </x:c>
      <x:c r="Q199" s="54" t="n">
        <x:f>P199-E199</x:f>
        <x:v>-7.796776694804862</x:v>
      </x:c>
      <x:c r="R199" s="16" t="str">
        <x:v>No</x:v>
      </x:c>
      <x:c r="S199" s="56"/>
      <x:c r="T199" s="56"/>
      <x:c r="U199" s="40" t="n">
        <x:f>E199*Assumptions!$B$8</x:f>
        <x:v>79.89999999999999</x:v>
      </x:c>
      <x:c r="V199" s="40" t="n">
        <x:f>P199*Assumptions!$B$8</x:f>
        <x:v>73.27273980941587</x:v>
      </x:c>
      <x:c r="W199" s="54" t="n">
        <x:f>V199-U199</x:f>
        <x:v>-6.627260190584124</x:v>
      </x:c>
      <x:c r="X199" s="58" t="str">
        <x:f>IF(R199="No","",W199*S199)</x:f>
      </x:c>
      <x:c r="Y199" s="58" t="str">
        <x:f>IF(R199="No","",W199*T199*Assumptions!$B$9)</x:f>
      </x:c>
      <x:c r="Z199" s="58" t="str">
        <x:f>IF(R199="No","",X199-Y199)</x:f>
      </x:c>
      <x:c r="AA199" s="58" t="str">
        <x:f>IF(R199="No","",MAX(0,-Z199))</x:f>
      </x:c>
      <x:c r="AB199" s="52" t="str">
        <x:f>IF(OR(R199="No",U199*S199=0),"",AA199/(U199*S199))</x:f>
      </x:c>
      <x:c r="AC199" s="54" t="str">
        <x:f>IF(OR(R199="No",S199-T199*Assumptions!$B$9&lt;=0),"",AA199/(Assumptions!$B$8*(S199-T199*Assumptions!$B$9)))</x:f>
      </x:c>
      <x:c r="AD199" s="52" t="str">
        <x:f>IF(OR(R199="No",U199*S199=0),"",AA199/(U199*S199))</x:f>
      </x:c>
      <x:c r="AE199" s="50" t="str">
        <x:f>IF(R199="No","No finance data",IF(AB199&gt;=10%,"Severe",IF(AB199&gt;=5%,"High",IF(AB199&gt;=2%,"Moderate","Low"))))</x:f>
        <x:v>No finance data</x:v>
      </x:c>
      <x:c r="AF199" s="60"/>
      <x:c r="AG199" s="60"/>
      <x:c r="AH199" s="44" t="str">
        <x:v>Undergraduate tuition-contribution proxy only; not an audited total institutional budget.</x:v>
      </x:c>
    </x:row>
    <x:row r="200">
      <x:c r="A200" s="16" t="n">
        <x:v>127556</x:v>
      </x:c>
      <x:c r="B200" s="16" t="str">
        <x:v>Colorado Mesa University</x:v>
      </x:c>
      <x:c r="C200" s="16" t="str">
        <x:v>CO</x:v>
      </x:c>
      <x:c r="D200" s="16" t="str">
        <x:v>Public</x:v>
      </x:c>
      <x:c r="E200" s="34" t="n">
        <x:v>8625</x:v>
      </x:c>
      <x:c r="F200" s="21" t="n">
        <x:v>0.8024</x:v>
      </x:c>
      <x:c r="G200" s="16" t="str">
        <x:v>Statewide</x:v>
      </x:c>
      <x:c r="H200" s="36" t="n">
        <x:f>IF(G200="National",Assumptions!$B$11,IF(G200="Statewide",Assumptions!$B$12,Assumptions!$B$13))</x:f>
        <x:v>0.6</x:v>
      </x:c>
      <x:c r="I200" s="21" t="n">
        <x:v>-0.07785475065375969</x:v>
      </x:c>
      <x:c r="J200" s="21" t="n">
        <x:v>-0.08921717055863954</x:v>
      </x:c>
      <x:c r="K200" s="21" t="n">
        <x:v>-0.13662430609716936</x:v>
      </x:c>
      <x:c r="L200" s="36" t="n">
        <x:f>IF(Assumptions!$B$4=2030,I200,IF(Assumptions!$B$4=2035,J200,K200))</x:f>
        <x:v>-0.08921717055863954</x:v>
      </x:c>
      <x:c r="M200" s="36" t="n">
        <x:f>Assumptions!$B$19</x:f>
        <x:v>-0.04739891965741583</x:v>
      </x:c>
      <x:c r="N200" s="52" t="n">
        <x:f>H200*L200+(1-H200)*M200+O200</x:f>
        <x:v>-0.07248987019815006</x:v>
      </x:c>
      <x:c r="O200" s="36" t="n">
        <x:f>Assumptions!$B$10</x:f>
        <x:v>0</x:v>
      </x:c>
      <x:c r="P200" s="54" t="n">
        <x:f>E200*(1+N200)</x:f>
        <x:v>7999.774869540956</x:v>
      </x:c>
      <x:c r="Q200" s="54" t="n">
        <x:f>P200-E200</x:f>
        <x:v>-625.2251304590436</x:v>
      </x:c>
      <x:c r="R200" s="16" t="str">
        <x:v>Yes</x:v>
      </x:c>
      <x:c r="S200" s="56" t="n">
        <x:v>8250</x:v>
      </x:c>
      <x:c r="T200" s="56" t="n">
        <x:v>9082</x:v>
      </x:c>
      <x:c r="U200" s="40" t="n">
        <x:f>E200*Assumptions!$B$8</x:f>
        <x:v>7331.25</x:v>
      </x:c>
      <x:c r="V200" s="40" t="n">
        <x:f>P200*Assumptions!$B$8</x:f>
        <x:v>6799.808639109813</x:v>
      </x:c>
      <x:c r="W200" s="54" t="n">
        <x:f>V200-U200</x:f>
        <x:v>-531.4413608901868</x:v>
      </x:c>
      <x:c r="X200" s="58" t="n">
        <x:f>IF(R200="No","",W200*S200)</x:f>
        <x:v>-4384391.227344042</x:v>
      </x:c>
      <x:c r="Y200" s="58" t="n">
        <x:f>IF(R200="No","",W200*T200*Assumptions!$B$9)</x:f>
        <x:v>-1447965.131881403</x:v>
      </x:c>
      <x:c r="Z200" s="58" t="n">
        <x:f>IF(R200="No","",X200-Y200)</x:f>
        <x:v>-2936426.095462639</x:v>
      </x:c>
      <x:c r="AA200" s="58" t="n">
        <x:f>IF(R200="No","",MAX(0,-Z200))</x:f>
        <x:v>2936426.095462639</x:v>
      </x:c>
      <x:c r="AB200" s="52" t="n">
        <x:f>IF(OR(R200="No",U200*S200=0),"",AA200/(U200*S200))</x:f>
        <x:v>0.048549761065800945</x:v>
      </x:c>
      <x:c r="AC200" s="54" t="n">
        <x:f>IF(OR(R200="No",S200-T200*Assumptions!$B$9&lt;=0),"",AA200/(Assumptions!$B$8*(S200-T200*Assumptions!$B$9)))</x:f>
        <x:v>625.2251304590435</x:v>
      </x:c>
      <x:c r="AD200" s="52" t="n">
        <x:f>IF(OR(R200="No",U200*S200=0),"",AA200/(U200*S200))</x:f>
        <x:v>0.048549761065800945</x:v>
      </x:c>
      <x:c r="AE200" s="50" t="str">
        <x:f>IF(R200="No","No finance data",IF(AB200&gt;=10%,"Severe",IF(AB200&gt;=5%,"High",IF(AB200&gt;=2%,"Moderate","Low"))))</x:f>
        <x:v>Moderate</x:v>
      </x:c>
      <x:c r="AF200" s="60" t="n">
        <x:v>39.080643</x:v>
      </x:c>
      <x:c r="AG200" s="60" t="n">
        <x:v>-108.553275</x:v>
      </x:c>
      <x:c r="AH200" s="44" t="str">
        <x:v>Undergraduate tuition-contribution proxy only; not an audited total institutional budget.</x:v>
      </x:c>
    </x:row>
    <x:row r="201">
      <x:c r="A201" s="16" t="n">
        <x:v>126775</x:v>
      </x:c>
      <x:c r="B201" s="16" t="str">
        <x:v>Colorado School of Mines</x:v>
      </x:c>
      <x:c r="C201" s="16" t="str">
        <x:v>CO</x:v>
      </x:c>
      <x:c r="D201" s="16" t="str">
        <x:v>Public</x:v>
      </x:c>
      <x:c r="E201" s="34" t="n">
        <x:v>4532</x:v>
      </x:c>
      <x:c r="F201" s="21" t="n">
        <x:v>0.5688</x:v>
      </x:c>
      <x:c r="G201" s="16" t="str">
        <x:v>Regional</x:v>
      </x:c>
      <x:c r="H201" s="36" t="n">
        <x:f>IF(G201="National",Assumptions!$B$11,IF(G201="Statewide",Assumptions!$B$12,Assumptions!$B$13))</x:f>
        <x:v>0.85</x:v>
      </x:c>
      <x:c r="I201" s="21" t="n">
        <x:v>-0.07785475065375969</x:v>
      </x:c>
      <x:c r="J201" s="21" t="n">
        <x:v>-0.08921717055863954</x:v>
      </x:c>
      <x:c r="K201" s="21" t="n">
        <x:v>-0.13662430609716936</x:v>
      </x:c>
      <x:c r="L201" s="36" t="n">
        <x:f>IF(Assumptions!$B$4=2030,I201,IF(Assumptions!$B$4=2035,J201,K201))</x:f>
        <x:v>-0.08921717055863954</x:v>
      </x:c>
      <x:c r="M201" s="36" t="n">
        <x:f>Assumptions!$B$19</x:f>
        <x:v>-0.04739891965741583</x:v>
      </x:c>
      <x:c r="N201" s="52" t="n">
        <x:f>H201*L201+(1-H201)*M201+O201</x:f>
        <x:v>-0.08294443292345598</x:v>
      </x:c>
      <x:c r="O201" s="36" t="n">
        <x:f>Assumptions!$B$10</x:f>
        <x:v>0</x:v>
      </x:c>
      <x:c r="P201" s="54" t="n">
        <x:f>E201*(1+N201)</x:f>
        <x:v>4156.095829990897</x:v>
      </x:c>
      <x:c r="Q201" s="54" t="n">
        <x:f>P201-E201</x:f>
        <x:v>-375.9041700091029</x:v>
      </x:c>
      <x:c r="R201" s="16" t="str">
        <x:v>Yes</x:v>
      </x:c>
      <x:c r="S201" s="56" t="n">
        <x:v>21181</x:v>
      </x:c>
      <x:c r="T201" s="56" t="n">
        <x:v>16440</x:v>
      </x:c>
      <x:c r="U201" s="40" t="n">
        <x:f>E201*Assumptions!$B$8</x:f>
        <x:v>3852.2</x:v>
      </x:c>
      <x:c r="V201" s="40" t="n">
        <x:f>P201*Assumptions!$B$8</x:f>
        <x:v>3532.6814554922626</x:v>
      </x:c>
      <x:c r="W201" s="54" t="n">
        <x:f>V201-U201</x:f>
        <x:v>-319.51854450773726</x:v>
      </x:c>
      <x:c r="X201" s="58" t="n">
        <x:f>IF(R201="No","",W201*S201)</x:f>
        <x:v>-6767722.291218383</x:v>
      </x:c>
      <x:c r="Y201" s="58" t="n">
        <x:f>IF(R201="No","",W201*T201*Assumptions!$B$9)</x:f>
        <x:v>-1575865.4615121603</x:v>
      </x:c>
      <x:c r="Z201" s="58" t="n">
        <x:f>IF(R201="No","",X201-Y201)</x:f>
        <x:v>-5191856.829706223</x:v>
      </x:c>
      <x:c r="AA201" s="58" t="n">
        <x:f>IF(R201="No","",MAX(0,-Z201))</x:f>
        <x:v>5191856.829706223</x:v>
      </x:c>
      <x:c r="AB201" s="52" t="n">
        <x:f>IF(OR(R201="No",U201*S201=0),"",AA201/(U201*S201))</x:f>
        <x:v>0.06363080546590041</x:v>
      </x:c>
      <x:c r="AC201" s="54" t="n">
        <x:f>IF(OR(R201="No",S201-T201*Assumptions!$B$9&lt;=0),"",AA201/(Assumptions!$B$8*(S201-T201*Assumptions!$B$9)))</x:f>
        <x:v>375.90417000910264</x:v>
      </x:c>
      <x:c r="AD201" s="52" t="n">
        <x:f>IF(OR(R201="No",U201*S201=0),"",AA201/(U201*S201))</x:f>
        <x:v>0.06363080546590041</x:v>
      </x:c>
      <x:c r="AE201" s="50" t="str">
        <x:f>IF(R201="No","No finance data",IF(AB201&gt;=10%,"Severe",IF(AB201&gt;=5%,"High",IF(AB201&gt;=2%,"Moderate","Low"))))</x:f>
        <x:v>High</x:v>
      </x:c>
      <x:c r="AF201" s="60" t="n">
        <x:v>39.751443</x:v>
      </x:c>
      <x:c r="AG201" s="60" t="n">
        <x:v>-105.223364</x:v>
      </x:c>
      <x:c r="AH201" s="44" t="str">
        <x:v>Undergraduate tuition-contribution proxy only; not an audited total institutional budget.</x:v>
      </x:c>
    </x:row>
    <x:row r="202">
      <x:c r="A202" s="16" t="n">
        <x:v>126818</x:v>
      </x:c>
      <x:c r="B202" s="16" t="str">
        <x:v>Colorado State University-Fort Collins</x:v>
      </x:c>
      <x:c r="C202" s="16" t="str">
        <x:v>CO</x:v>
      </x:c>
      <x:c r="D202" s="16" t="str">
        <x:v>Public</x:v>
      </x:c>
      <x:c r="E202" s="34" t="n">
        <x:v>22727</x:v>
      </x:c>
      <x:c r="F202" s="21" t="n">
        <x:v>0.8964</x:v>
      </x:c>
      <x:c r="G202" s="16" t="str">
        <x:v>Statewide</x:v>
      </x:c>
      <x:c r="H202" s="36" t="n">
        <x:f>IF(G202="National",Assumptions!$B$11,IF(G202="Statewide",Assumptions!$B$12,Assumptions!$B$13))</x:f>
        <x:v>0.6</x:v>
      </x:c>
      <x:c r="I202" s="21" t="n">
        <x:v>-0.07785475065375969</x:v>
      </x:c>
      <x:c r="J202" s="21" t="n">
        <x:v>-0.08921717055863954</x:v>
      </x:c>
      <x:c r="K202" s="21" t="n">
        <x:v>-0.13662430609716936</x:v>
      </x:c>
      <x:c r="L202" s="36" t="n">
        <x:f>IF(Assumptions!$B$4=2030,I202,IF(Assumptions!$B$4=2035,J202,K202))</x:f>
        <x:v>-0.08921717055863954</x:v>
      </x:c>
      <x:c r="M202" s="36" t="n">
        <x:f>Assumptions!$B$19</x:f>
        <x:v>-0.04739891965741583</x:v>
      </x:c>
      <x:c r="N202" s="52" t="n">
        <x:f>H202*L202+(1-H202)*M202+O202</x:f>
        <x:v>-0.07248987019815006</x:v>
      </x:c>
      <x:c r="O202" s="36" t="n">
        <x:f>Assumptions!$B$10</x:f>
        <x:v>0</x:v>
      </x:c>
      <x:c r="P202" s="54" t="n">
        <x:f>E202*(1+N202)</x:f>
        <x:v>21079.522720006644</x:v>
      </x:c>
      <x:c r="Q202" s="54" t="n">
        <x:f>P202-E202</x:f>
        <x:v>-1647.4772799933562</x:v>
      </x:c>
      <x:c r="R202" s="16" t="str">
        <x:v>Yes</x:v>
      </x:c>
      <x:c r="S202" s="56" t="n">
        <x:v>15851</x:v>
      </x:c>
      <x:c r="T202" s="56" t="n">
        <x:v>14690</x:v>
      </x:c>
      <x:c r="U202" s="40" t="n">
        <x:f>E202*Assumptions!$B$8</x:f>
        <x:v>19317.95</x:v>
      </x:c>
      <x:c r="V202" s="40" t="n">
        <x:f>P202*Assumptions!$B$8</x:f>
        <x:v>17917.594312005647</x:v>
      </x:c>
      <x:c r="W202" s="54" t="n">
        <x:f>V202-U202</x:f>
        <x:v>-1400.3556879943535</x:v>
      </x:c>
      <x:c r="X202" s="58" t="n">
        <x:f>IF(R202="No","",W202*S202)</x:f>
        <x:v>-22197038.010398496</x:v>
      </x:c>
      <x:c r="Y202" s="58" t="n">
        <x:f>IF(R202="No","",W202*T202*Assumptions!$B$9)</x:f>
        <x:v>-6171367.516991115</x:v>
      </x:c>
      <x:c r="Z202" s="58" t="n">
        <x:f>IF(R202="No","",X202-Y202)</x:f>
        <x:v>-16025670.49340738</x:v>
      </x:c>
      <x:c r="AA202" s="58" t="n">
        <x:f>IF(R202="No","",MAX(0,-Z202))</x:f>
        <x:v>16025670.49340738</x:v>
      </x:c>
      <x:c r="AB202" s="52" t="n">
        <x:f>IF(OR(R202="No",U202*S202=0),"",AA202/(U202*S202))</x:f>
        <x:v>0.05233575639061445</x:v>
      </x:c>
      <x:c r="AC202" s="54" t="n">
        <x:f>IF(OR(R202="No",S202-T202*Assumptions!$B$9&lt;=0),"",AA202/(Assumptions!$B$8*(S202-T202*Assumptions!$B$9)))</x:f>
        <x:v>1647.477279993357</x:v>
      </x:c>
      <x:c r="AD202" s="52" t="n">
        <x:f>IF(OR(R202="No",U202*S202=0),"",AA202/(U202*S202))</x:f>
        <x:v>0.05233575639061445</x:v>
      </x:c>
      <x:c r="AE202" s="50" t="str">
        <x:f>IF(R202="No","No finance data",IF(AB202&gt;=10%,"Severe",IF(AB202&gt;=5%,"High",IF(AB202&gt;=2%,"Moderate","Low"))))</x:f>
        <x:v>High</x:v>
      </x:c>
      <x:c r="AF202" s="60" t="n">
        <x:v>40.574805</x:v>
      </x:c>
      <x:c r="AG202" s="60" t="n">
        <x:v>-105.080732</x:v>
      </x:c>
      <x:c r="AH202" s="44" t="str">
        <x:v>Undergraduate tuition-contribution proxy only; not an audited total institutional budget.</x:v>
      </x:c>
    </x:row>
    <x:row r="203">
      <x:c r="A203" s="16" t="n">
        <x:v>476975</x:v>
      </x:c>
      <x:c r="B203" s="16" t="str">
        <x:v>Colorado State University-Global Campus</x:v>
      </x:c>
      <x:c r="C203" s="16" t="str">
        <x:v>CO</x:v>
      </x:c>
      <x:c r="D203" s="16" t="str">
        <x:v>Public</x:v>
      </x:c>
      <x:c r="E203" s="34" t="n">
        <x:v>6828</x:v>
      </x:c>
      <x:c r="F203" s="21" t="n">
        <x:v>0.9603</x:v>
      </x:c>
      <x:c r="G203" s="16" t="str">
        <x:v>Statewide</x:v>
      </x:c>
      <x:c r="H203" s="36" t="n">
        <x:f>IF(G203="National",Assumptions!$B$11,IF(G203="Statewide",Assumptions!$B$12,Assumptions!$B$13))</x:f>
        <x:v>0.6</x:v>
      </x:c>
      <x:c r="I203" s="21" t="n">
        <x:v>-0.07785475065375969</x:v>
      </x:c>
      <x:c r="J203" s="21" t="n">
        <x:v>-0.08921717055863954</x:v>
      </x:c>
      <x:c r="K203" s="21" t="n">
        <x:v>-0.13662430609716936</x:v>
      </x:c>
      <x:c r="L203" s="36" t="n">
        <x:f>IF(Assumptions!$B$4=2030,I203,IF(Assumptions!$B$4=2035,J203,K203))</x:f>
        <x:v>-0.08921717055863954</x:v>
      </x:c>
      <x:c r="M203" s="36" t="n">
        <x:f>Assumptions!$B$19</x:f>
        <x:v>-0.04739891965741583</x:v>
      </x:c>
      <x:c r="N203" s="52" t="n">
        <x:f>H203*L203+(1-H203)*M203+O203</x:f>
        <x:v>-0.07248987019815006</x:v>
      </x:c>
      <x:c r="O203" s="36" t="n">
        <x:f>Assumptions!$B$10</x:f>
        <x:v>0</x:v>
      </x:c>
      <x:c r="P203" s="54" t="n">
        <x:f>E203*(1+N203)</x:f>
        <x:v>6333.039166287032</x:v>
      </x:c>
      <x:c r="Q203" s="54" t="n">
        <x:f>P203-E203</x:f>
        <x:v>-494.96083371296845</x:v>
      </x:c>
      <x:c r="R203" s="16" t="str">
        <x:v>Yes</x:v>
      </x:c>
      <x:c r="S203" s="56" t="n">
        <x:v>10501</x:v>
      </x:c>
      <x:c r="T203" s="56" t="n">
        <x:v>2332</x:v>
      </x:c>
      <x:c r="U203" s="40" t="n">
        <x:f>E203*Assumptions!$B$8</x:f>
        <x:v>5803.8</x:v>
      </x:c>
      <x:c r="V203" s="40" t="n">
        <x:f>P203*Assumptions!$B$8</x:f>
        <x:v>5383.083291343976</x:v>
      </x:c>
      <x:c r="W203" s="54" t="n">
        <x:f>V203-U203</x:f>
        <x:v>-420.7167086560239</x:v>
      </x:c>
      <x:c r="X203" s="58" t="n">
        <x:f>IF(R203="No","",W203*S203)</x:f>
        <x:v>-4417946.157596907</x:v>
      </x:c>
      <x:c r="Y203" s="58" t="n">
        <x:f>IF(R203="No","",W203*T203*Assumptions!$B$9)</x:f>
        <x:v>-294333.4093757543</x:v>
      </x:c>
      <x:c r="Z203" s="58" t="n">
        <x:f>IF(R203="No","",X203-Y203)</x:f>
        <x:v>-4123612.7482211525</x:v>
      </x:c>
      <x:c r="AA203" s="58" t="n">
        <x:f>IF(R203="No","",MAX(0,-Z203))</x:f>
        <x:v>4123612.7482211525</x:v>
      </x:c>
      <x:c r="AB203" s="52" t="n">
        <x:f>IF(OR(R203="No",U203*S203=0),"",AA203/(U203*S203))</x:f>
        <x:v>0.06766043365014274</x:v>
      </x:c>
      <x:c r="AC203" s="54" t="n">
        <x:f>IF(OR(R203="No",S203-T203*Assumptions!$B$9&lt;=0),"",AA203/(Assumptions!$B$8*(S203-T203*Assumptions!$B$9)))</x:f>
        <x:v>494.96083371296936</x:v>
      </x:c>
      <x:c r="AD203" s="52" t="n">
        <x:f>IF(OR(R203="No",U203*S203=0),"",AA203/(U203*S203))</x:f>
        <x:v>0.06766043365014274</x:v>
      </x:c>
      <x:c r="AE203" s="50" t="str">
        <x:f>IF(R203="No","No finance data",IF(AB203&gt;=10%,"Severe",IF(AB203&gt;=5%,"High",IF(AB203&gt;=2%,"Moderate","Low"))))</x:f>
        <x:v>High</x:v>
      </x:c>
      <x:c r="AF203" s="60" t="n">
        <x:v>39.724786</x:v>
      </x:c>
      <x:c r="AG203" s="60" t="n">
        <x:v>-104.786666</x:v>
      </x:c>
      <x:c r="AH203" s="44" t="str">
        <x:v>Undergraduate tuition-contribution proxy only; not an audited total institutional budget.</x:v>
      </x:c>
    </x:row>
    <x:row r="204">
      <x:c r="A204" s="16" t="n">
        <x:v>128106</x:v>
      </x:c>
      <x:c r="B204" s="16" t="str">
        <x:v>Colorado State University-Pueblo</x:v>
      </x:c>
      <x:c r="C204" s="16" t="str">
        <x:v>CO</x:v>
      </x:c>
      <x:c r="D204" s="16" t="str">
        <x:v>Public</x:v>
      </x:c>
      <x:c r="E204" s="34" t="n">
        <x:v>3944</x:v>
      </x:c>
      <x:c r="F204" s="21" t="n">
        <x:v>0.9917</x:v>
      </x:c>
      <x:c r="G204" s="16" t="str">
        <x:v>Regional</x:v>
      </x:c>
      <x:c r="H204" s="36" t="n">
        <x:f>IF(G204="National",Assumptions!$B$11,IF(G204="Statewide",Assumptions!$B$12,Assumptions!$B$13))</x:f>
        <x:v>0.85</x:v>
      </x:c>
      <x:c r="I204" s="21" t="n">
        <x:v>-0.07785475065375969</x:v>
      </x:c>
      <x:c r="J204" s="21" t="n">
        <x:v>-0.08921717055863954</x:v>
      </x:c>
      <x:c r="K204" s="21" t="n">
        <x:v>-0.13662430609716936</x:v>
      </x:c>
      <x:c r="L204" s="36" t="n">
        <x:f>IF(Assumptions!$B$4=2030,I204,IF(Assumptions!$B$4=2035,J204,K204))</x:f>
        <x:v>-0.08921717055863954</x:v>
      </x:c>
      <x:c r="M204" s="36" t="n">
        <x:f>Assumptions!$B$19</x:f>
        <x:v>-0.04739891965741583</x:v>
      </x:c>
      <x:c r="N204" s="52" t="n">
        <x:f>H204*L204+(1-H204)*M204+O204</x:f>
        <x:v>-0.08294443292345598</x:v>
      </x:c>
      <x:c r="O204" s="36" t="n">
        <x:f>Assumptions!$B$10</x:f>
        <x:v>0</x:v>
      </x:c>
      <x:c r="P204" s="54" t="n">
        <x:f>E204*(1+N204)</x:f>
        <x:v>3616.8671565498894</x:v>
      </x:c>
      <x:c r="Q204" s="54" t="n">
        <x:f>P204-E204</x:f>
        <x:v>-327.1328434501106</x:v>
      </x:c>
      <x:c r="R204" s="16" t="str">
        <x:v>Yes</x:v>
      </x:c>
      <x:c r="S204" s="56" t="n">
        <x:v>4860</x:v>
      </x:c>
      <x:c r="T204" s="56" t="n">
        <x:v>5348</x:v>
      </x:c>
      <x:c r="U204" s="40" t="n">
        <x:f>E204*Assumptions!$B$8</x:f>
        <x:v>3352.4</x:v>
      </x:c>
      <x:c r="V204" s="40" t="n">
        <x:f>P204*Assumptions!$B$8</x:f>
        <x:v>3074.3370830674057</x:v>
      </x:c>
      <x:c r="W204" s="54" t="n">
        <x:f>V204-U204</x:f>
        <x:v>-278.06291693259436</x:v>
      </x:c>
      <x:c r="X204" s="58" t="n">
        <x:f>IF(R204="No","",W204*S204)</x:f>
        <x:v>-1351385.7762924086</x:v>
      </x:c>
      <x:c r="Y204" s="58" t="n">
        <x:f>IF(R204="No","",W204*T204*Assumptions!$B$9)</x:f>
        <x:v>-446124.14392665436</x:v>
      </x:c>
      <x:c r="Z204" s="58" t="n">
        <x:f>IF(R204="No","",X204-Y204)</x:f>
        <x:v>-905261.6323657542</x:v>
      </x:c>
      <x:c r="AA204" s="58" t="n">
        <x:f>IF(R204="No","",MAX(0,-Z204))</x:f>
        <x:v>905261.6323657542</x:v>
      </x:c>
      <x:c r="AB204" s="52" t="n">
        <x:f>IF(OR(R204="No",U204*S204=0),"",AA204/(U204*S204))</x:f>
        <x:v>0.05556253000526828</x:v>
      </x:c>
      <x:c r="AC204" s="54" t="n">
        <x:f>IF(OR(R204="No",S204-T204*Assumptions!$B$9&lt;=0),"",AA204/(Assumptions!$B$8*(S204-T204*Assumptions!$B$9)))</x:f>
        <x:v>327.132843450111</x:v>
      </x:c>
      <x:c r="AD204" s="52" t="n">
        <x:f>IF(OR(R204="No",U204*S204=0),"",AA204/(U204*S204))</x:f>
        <x:v>0.05556253000526828</x:v>
      </x:c>
      <x:c r="AE204" s="50" t="str">
        <x:f>IF(R204="No","No finance data",IF(AB204&gt;=10%,"Severe",IF(AB204&gt;=5%,"High",IF(AB204&gt;=2%,"Moderate","Low"))))</x:f>
        <x:v>High</x:v>
      </x:c>
      <x:c r="AF204" s="60" t="n">
        <x:v>38.30859</x:v>
      </x:c>
      <x:c r="AG204" s="60" t="n">
        <x:v>-104.579033</x:v>
      </x:c>
      <x:c r="AH204" s="44" t="str">
        <x:v>Undergraduate tuition-contribution proxy only; not an audited total institutional budget.</x:v>
      </x:c>
    </x:row>
    <x:row r="205">
      <x:c r="A205" s="16" t="n">
        <x:v>127185</x:v>
      </x:c>
      <x:c r="B205" s="16" t="str">
        <x:v>Fort Lewis College</x:v>
      </x:c>
      <x:c r="C205" s="16" t="str">
        <x:v>CO</x:v>
      </x:c>
      <x:c r="D205" s="16" t="str">
        <x:v>Public</x:v>
      </x:c>
      <x:c r="E205" s="34" t="n">
        <x:v>3559</x:v>
      </x:c>
      <x:c r="F205" s="21" t="n">
        <x:v>0.9275</x:v>
      </x:c>
      <x:c r="G205" s="16" t="str">
        <x:v>Regional</x:v>
      </x:c>
      <x:c r="H205" s="36" t="n">
        <x:f>IF(G205="National",Assumptions!$B$11,IF(G205="Statewide",Assumptions!$B$12,Assumptions!$B$13))</x:f>
        <x:v>0.85</x:v>
      </x:c>
      <x:c r="I205" s="21" t="n">
        <x:v>-0.07785475065375969</x:v>
      </x:c>
      <x:c r="J205" s="21" t="n">
        <x:v>-0.08921717055863954</x:v>
      </x:c>
      <x:c r="K205" s="21" t="n">
        <x:v>-0.13662430609716936</x:v>
      </x:c>
      <x:c r="L205" s="36" t="n">
        <x:f>IF(Assumptions!$B$4=2030,I205,IF(Assumptions!$B$4=2035,J205,K205))</x:f>
        <x:v>-0.08921717055863954</x:v>
      </x:c>
      <x:c r="M205" s="36" t="n">
        <x:f>Assumptions!$B$19</x:f>
        <x:v>-0.04739891965741583</x:v>
      </x:c>
      <x:c r="N205" s="52" t="n">
        <x:f>H205*L205+(1-H205)*M205+O205</x:f>
        <x:v>-0.08294443292345598</x:v>
      </x:c>
      <x:c r="O205" s="36" t="n">
        <x:f>Assumptions!$B$10</x:f>
        <x:v>0</x:v>
      </x:c>
      <x:c r="P205" s="54" t="n">
        <x:f>E205*(1+N205)</x:f>
        <x:v>3263.8007632254203</x:v>
      </x:c>
      <x:c r="Q205" s="54" t="n">
        <x:f>P205-E205</x:f>
        <x:v>-295.19923677457973</x:v>
      </x:c>
      <x:c r="R205" s="16" t="str">
        <x:v>Yes</x:v>
      </x:c>
      <x:c r="S205" s="56" t="n">
        <x:v>3815</x:v>
      </x:c>
      <x:c r="T205" s="56" t="n">
        <x:v>9153</x:v>
      </x:c>
      <x:c r="U205" s="40" t="n">
        <x:f>E205*Assumptions!$B$8</x:f>
        <x:v>3025.15</x:v>
      </x:c>
      <x:c r="V205" s="40" t="n">
        <x:f>P205*Assumptions!$B$8</x:f>
        <x:v>2774.230648741607</x:v>
      </x:c>
      <x:c r="W205" s="54" t="n">
        <x:f>V205-U205</x:f>
        <x:v>-250.9193512583929</x:v>
      </x:c>
      <x:c r="X205" s="58" t="n">
        <x:f>IF(R205="No","",W205*S205)</x:f>
        <x:v>-957257.3250507689</x:v>
      </x:c>
      <x:c r="Y205" s="58" t="n">
        <x:f>IF(R205="No","",W205*T205*Assumptions!$B$9)</x:f>
        <x:v>-688999.446620421</x:v>
      </x:c>
      <x:c r="Z205" s="58" t="n">
        <x:f>IF(R205="No","",X205-Y205)</x:f>
        <x:v>-268257.8784303479</x:v>
      </x:c>
      <x:c r="AA205" s="58" t="n">
        <x:f>IF(R205="No","",MAX(0,-Z205))</x:f>
        <x:v>268257.8784303479</x:v>
      </x:c>
      <x:c r="AB205" s="52" t="n">
        <x:f>IF(OR(R205="No",U205*S205=0),"",AA205/(U205*S205))</x:f>
        <x:v>0.023244008712573216</x:v>
      </x:c>
      <x:c r="AC205" s="54" t="n">
        <x:f>IF(OR(R205="No",S205-T205*Assumptions!$B$9&lt;=0),"",AA205/(Assumptions!$B$8*(S205-T205*Assumptions!$B$9)))</x:f>
        <x:v>295.19923677457996</x:v>
      </x:c>
      <x:c r="AD205" s="52" t="n">
        <x:f>IF(OR(R205="No",U205*S205=0),"",AA205/(U205*S205))</x:f>
        <x:v>0.023244008712573216</x:v>
      </x:c>
      <x:c r="AE205" s="50" t="str">
        <x:f>IF(R205="No","No finance data",IF(AB205&gt;=10%,"Severe",IF(AB205&gt;=5%,"High",IF(AB205&gt;=2%,"Moderate","Low"))))</x:f>
        <x:v>Moderate</x:v>
      </x:c>
      <x:c r="AF205" s="60" t="n">
        <x:v>37.275939</x:v>
      </x:c>
      <x:c r="AG205" s="60" t="n">
        <x:v>-107.867422</x:v>
      </x:c>
      <x:c r="AH205" s="44" t="str">
        <x:v>Undergraduate tuition-contribution proxy only; not an audited total institutional budget.</x:v>
      </x:c>
    </x:row>
    <x:row r="206">
      <x:c r="A206" s="16" t="n">
        <x:v>127565</x:v>
      </x:c>
      <x:c r="B206" s="16" t="str">
        <x:v>Metropolitan State University of Denver</x:v>
      </x:c>
      <x:c r="C206" s="16" t="str">
        <x:v>CO</x:v>
      </x:c>
      <x:c r="D206" s="16" t="str">
        <x:v>Public</x:v>
      </x:c>
      <x:c r="E206" s="34" t="n">
        <x:v>19649</x:v>
      </x:c>
      <x:c r="F206" s="21" t="n">
        <x:v>0.8882</x:v>
      </x:c>
      <x:c r="G206" s="16" t="str">
        <x:v>Statewide</x:v>
      </x:c>
      <x:c r="H206" s="36" t="n">
        <x:f>IF(G206="National",Assumptions!$B$11,IF(G206="Statewide",Assumptions!$B$12,Assumptions!$B$13))</x:f>
        <x:v>0.6</x:v>
      </x:c>
      <x:c r="I206" s="21" t="n">
        <x:v>-0.07785475065375969</x:v>
      </x:c>
      <x:c r="J206" s="21" t="n">
        <x:v>-0.08921717055863954</x:v>
      </x:c>
      <x:c r="K206" s="21" t="n">
        <x:v>-0.13662430609716936</x:v>
      </x:c>
      <x:c r="L206" s="36" t="n">
        <x:f>IF(Assumptions!$B$4=2030,I206,IF(Assumptions!$B$4=2035,J206,K206))</x:f>
        <x:v>-0.08921717055863954</x:v>
      </x:c>
      <x:c r="M206" s="36" t="n">
        <x:f>Assumptions!$B$19</x:f>
        <x:v>-0.04739891965741583</x:v>
      </x:c>
      <x:c r="N206" s="52" t="n">
        <x:f>H206*L206+(1-H206)*M206+O206</x:f>
        <x:v>-0.07248987019815006</x:v>
      </x:c>
      <x:c r="O206" s="36" t="n">
        <x:f>Assumptions!$B$10</x:f>
        <x:v>0</x:v>
      </x:c>
      <x:c r="P206" s="54" t="n">
        <x:f>E206*(1+N206)</x:f>
        <x:v>18224.64654047655</x:v>
      </x:c>
      <x:c r="Q206" s="54" t="n">
        <x:f>P206-E206</x:f>
        <x:v>-1424.3534595234487</x:v>
      </x:c>
      <x:c r="R206" s="16" t="str">
        <x:v>Yes</x:v>
      </x:c>
      <x:c r="S206" s="56" t="n">
        <x:v>7321</x:v>
      </x:c>
      <x:c r="T206" s="56" t="n">
        <x:v>6190</x:v>
      </x:c>
      <x:c r="U206" s="40" t="n">
        <x:f>E206*Assumptions!$B$8</x:f>
        <x:v>16701.649999999998</x:v>
      </x:c>
      <x:c r="V206" s="40" t="n">
        <x:f>P206*Assumptions!$B$8</x:f>
        <x:v>15490.949559405068</x:v>
      </x:c>
      <x:c r="W206" s="54" t="n">
        <x:f>V206-U206</x:f>
        <x:v>-1210.7004405949301</x:v>
      </x:c>
      <x:c r="X206" s="58" t="n">
        <x:f>IF(R206="No","",W206*S206)</x:f>
        <x:v>-8863537.925595483</x:v>
      </x:c>
      <x:c r="Y206" s="58" t="n">
        <x:f>IF(R206="No","",W206*T206*Assumptions!$B$9)</x:f>
        <x:v>-2248270.718184785</x:v>
      </x:c>
      <x:c r="Z206" s="58" t="n">
        <x:f>IF(R206="No","",X206-Y206)</x:f>
        <x:v>-6615267.207410698</x:v>
      </x:c>
      <x:c r="AA206" s="58" t="n">
        <x:f>IF(R206="No","",MAX(0,-Z206))</x:f>
        <x:v>6615267.207410698</x:v>
      </x:c>
      <x:c r="AB206" s="52" t="n">
        <x:f>IF(OR(R206="No",U206*S206=0),"",AA206/(U206*S206))</x:f>
        <x:v>0.05410253391103552</x:v>
      </x:c>
      <x:c r="AC206" s="54" t="n">
        <x:f>IF(OR(R206="No",S206-T206*Assumptions!$B$9&lt;=0),"",AA206/(Assumptions!$B$8*(S206-T206*Assumptions!$B$9)))</x:f>
        <x:v>1424.3534595234473</x:v>
      </x:c>
      <x:c r="AD206" s="52" t="n">
        <x:f>IF(OR(R206="No",U206*S206=0),"",AA206/(U206*S206))</x:f>
        <x:v>0.05410253391103552</x:v>
      </x:c>
      <x:c r="AE206" s="50" t="str">
        <x:f>IF(R206="No","No finance data",IF(AB206&gt;=10%,"Severe",IF(AB206&gt;=5%,"High",IF(AB206&gt;=2%,"Moderate","Low"))))</x:f>
        <x:v>High</x:v>
      </x:c>
      <x:c r="AF206" s="60" t="n">
        <x:v>39.744202</x:v>
      </x:c>
      <x:c r="AG206" s="60" t="n">
        <x:v>-105.00504</x:v>
      </x:c>
      <x:c r="AH206" s="44" t="str">
        <x:v>Undergraduate tuition-contribution proxy only; not an audited total institutional budget.</x:v>
      </x:c>
    </x:row>
    <x:row r="207">
      <x:c r="A207" s="16" t="n">
        <x:v>127653</x:v>
      </x:c>
      <x:c r="B207" s="16" t="str">
        <x:v>Naropa University</x:v>
      </x:c>
      <x:c r="C207" s="16" t="str">
        <x:v>CO</x:v>
      </x:c>
      <x:c r="D207" s="16" t="str">
        <x:v>Private nonprofit</x:v>
      </x:c>
      <x:c r="E207" s="34" t="n">
        <x:v>397</x:v>
      </x:c>
      <x:c r="F207" s="21"/>
      <x:c r="G207" s="16" t="str">
        <x:v>Regional</x:v>
      </x:c>
      <x:c r="H207" s="36" t="n">
        <x:f>IF(G207="National",Assumptions!$B$11,IF(G207="Statewide",Assumptions!$B$12,Assumptions!$B$13))</x:f>
        <x:v>0.85</x:v>
      </x:c>
      <x:c r="I207" s="21" t="n">
        <x:v>-0.07785475065375969</x:v>
      </x:c>
      <x:c r="J207" s="21" t="n">
        <x:v>-0.08921717055863954</x:v>
      </x:c>
      <x:c r="K207" s="21" t="n">
        <x:v>-0.13662430609716936</x:v>
      </x:c>
      <x:c r="L207" s="36" t="n">
        <x:f>IF(Assumptions!$B$4=2030,I207,IF(Assumptions!$B$4=2035,J207,K207))</x:f>
        <x:v>-0.08921717055863954</x:v>
      </x:c>
      <x:c r="M207" s="36" t="n">
        <x:f>Assumptions!$B$19</x:f>
        <x:v>-0.04739891965741583</x:v>
      </x:c>
      <x:c r="N207" s="52" t="n">
        <x:f>H207*L207+(1-H207)*M207+O207</x:f>
        <x:v>-0.08294443292345598</x:v>
      </x:c>
      <x:c r="O207" s="36" t="n">
        <x:f>Assumptions!$B$10</x:f>
        <x:v>0</x:v>
      </x:c>
      <x:c r="P207" s="54" t="n">
        <x:f>E207*(1+N207)</x:f>
        <x:v>364.07106012938794</x:v>
      </x:c>
      <x:c r="Q207" s="54" t="n">
        <x:f>P207-E207</x:f>
        <x:v>-32.928939870612055</x:v>
      </x:c>
      <x:c r="R207" s="16" t="str">
        <x:v>No</x:v>
      </x:c>
      <x:c r="S207" s="56"/>
      <x:c r="T207" s="56"/>
      <x:c r="U207" s="40" t="n">
        <x:f>E207*Assumptions!$B$8</x:f>
        <x:v>337.45</x:v>
      </x:c>
      <x:c r="V207" s="40" t="n">
        <x:f>P207*Assumptions!$B$8</x:f>
        <x:v>309.4604011099797</x:v>
      </x:c>
      <x:c r="W207" s="54" t="n">
        <x:f>V207-U207</x:f>
        <x:v>-27.98959889002026</x:v>
      </x:c>
      <x:c r="X207" s="58" t="str">
        <x:f>IF(R207="No","",W207*S207)</x:f>
      </x:c>
      <x:c r="Y207" s="58" t="str">
        <x:f>IF(R207="No","",W207*T207*Assumptions!$B$9)</x:f>
      </x:c>
      <x:c r="Z207" s="58" t="str">
        <x:f>IF(R207="No","",X207-Y207)</x:f>
      </x:c>
      <x:c r="AA207" s="58" t="str">
        <x:f>IF(R207="No","",MAX(0,-Z207))</x:f>
      </x:c>
      <x:c r="AB207" s="52" t="str">
        <x:f>IF(OR(R207="No",U207*S207=0),"",AA207/(U207*S207))</x:f>
      </x:c>
      <x:c r="AC207" s="54" t="str">
        <x:f>IF(OR(R207="No",S207-T207*Assumptions!$B$9&lt;=0),"",AA207/(Assumptions!$B$8*(S207-T207*Assumptions!$B$9)))</x:f>
      </x:c>
      <x:c r="AD207" s="52" t="str">
        <x:f>IF(OR(R207="No",U207*S207=0),"",AA207/(U207*S207))</x:f>
      </x:c>
      <x:c r="AE207" s="50" t="str">
        <x:f>IF(R207="No","No finance data",IF(AB207&gt;=10%,"Severe",IF(AB207&gt;=5%,"High",IF(AB207&gt;=2%,"Moderate","Low"))))</x:f>
        <x:v>No finance data</x:v>
      </x:c>
      <x:c r="AF207" s="60"/>
      <x:c r="AG207" s="60"/>
      <x:c r="AH207" s="44" t="str">
        <x:v>Undergraduate tuition-contribution proxy only; not an audited total institutional budget.</x:v>
      </x:c>
    </x:row>
    <x:row r="208">
      <x:c r="A208" s="16" t="n">
        <x:v>127714</x:v>
      </x:c>
      <x:c r="B208" s="16" t="str">
        <x:v>Nazarene Bible College</x:v>
      </x:c>
      <x:c r="C208" s="16" t="str">
        <x:v>CO</x:v>
      </x:c>
      <x:c r="D208" s="16" t="str">
        <x:v>Private nonprofit</x:v>
      </x:c>
      <x:c r="E208" s="34" t="n">
        <x:v>725</x:v>
      </x:c>
      <x:c r="F208" s="21"/>
      <x:c r="G208" s="16" t="str">
        <x:v>Regional</x:v>
      </x:c>
      <x:c r="H208" s="36" t="n">
        <x:f>IF(G208="National",Assumptions!$B$11,IF(G208="Statewide",Assumptions!$B$12,Assumptions!$B$13))</x:f>
        <x:v>0.85</x:v>
      </x:c>
      <x:c r="I208" s="21" t="n">
        <x:v>-0.07785475065375969</x:v>
      </x:c>
      <x:c r="J208" s="21" t="n">
        <x:v>-0.08921717055863954</x:v>
      </x:c>
      <x:c r="K208" s="21" t="n">
        <x:v>-0.13662430609716936</x:v>
      </x:c>
      <x:c r="L208" s="36" t="n">
        <x:f>IF(Assumptions!$B$4=2030,I208,IF(Assumptions!$B$4=2035,J208,K208))</x:f>
        <x:v>-0.08921717055863954</x:v>
      </x:c>
      <x:c r="M208" s="36" t="n">
        <x:f>Assumptions!$B$19</x:f>
        <x:v>-0.04739891965741583</x:v>
      </x:c>
      <x:c r="N208" s="52" t="n">
        <x:f>H208*L208+(1-H208)*M208+O208</x:f>
        <x:v>-0.08294443292345598</x:v>
      </x:c>
      <x:c r="O208" s="36" t="n">
        <x:f>Assumptions!$B$10</x:f>
        <x:v>0</x:v>
      </x:c>
      <x:c r="P208" s="54" t="n">
        <x:f>E208*(1+N208)</x:f>
        <x:v>664.8652861304944</x:v>
      </x:c>
      <x:c r="Q208" s="54" t="n">
        <x:f>P208-E208</x:f>
        <x:v>-60.13471386950562</x:v>
      </x:c>
      <x:c r="R208" s="16" t="str">
        <x:v>No</x:v>
      </x:c>
      <x:c r="S208" s="56"/>
      <x:c r="T208" s="56"/>
      <x:c r="U208" s="40" t="n">
        <x:f>E208*Assumptions!$B$8</x:f>
        <x:v>616.25</x:v>
      </x:c>
      <x:c r="V208" s="40" t="n">
        <x:f>P208*Assumptions!$B$8</x:f>
        <x:v>565.1354932109202</x:v>
      </x:c>
      <x:c r="W208" s="54" t="n">
        <x:f>V208-U208</x:f>
        <x:v>-51.11450678907977</x:v>
      </x:c>
      <x:c r="X208" s="58" t="str">
        <x:f>IF(R208="No","",W208*S208)</x:f>
      </x:c>
      <x:c r="Y208" s="58" t="str">
        <x:f>IF(R208="No","",W208*T208*Assumptions!$B$9)</x:f>
      </x:c>
      <x:c r="Z208" s="58" t="str">
        <x:f>IF(R208="No","",X208-Y208)</x:f>
      </x:c>
      <x:c r="AA208" s="58" t="str">
        <x:f>IF(R208="No","",MAX(0,-Z208))</x:f>
      </x:c>
      <x:c r="AB208" s="52" t="str">
        <x:f>IF(OR(R208="No",U208*S208=0),"",AA208/(U208*S208))</x:f>
      </x:c>
      <x:c r="AC208" s="54" t="str">
        <x:f>IF(OR(R208="No",S208-T208*Assumptions!$B$9&lt;=0),"",AA208/(Assumptions!$B$8*(S208-T208*Assumptions!$B$9)))</x:f>
      </x:c>
      <x:c r="AD208" s="52" t="str">
        <x:f>IF(OR(R208="No",U208*S208=0),"",AA208/(U208*S208))</x:f>
      </x:c>
      <x:c r="AE208" s="50" t="str">
        <x:f>IF(R208="No","No finance data",IF(AB208&gt;=10%,"Severe",IF(AB208&gt;=5%,"High",IF(AB208&gt;=2%,"Moderate","Low"))))</x:f>
        <x:v>No finance data</x:v>
      </x:c>
      <x:c r="AF208" s="60"/>
      <x:c r="AG208" s="60"/>
      <x:c r="AH208" s="44" t="str">
        <x:v>Undergraduate tuition-contribution proxy only; not an audited total institutional budget.</x:v>
      </x:c>
    </x:row>
    <x:row r="209">
      <x:c r="A209" s="16" t="n">
        <x:v>127918</x:v>
      </x:c>
      <x:c r="B209" s="16" t="str">
        <x:v>Regis University</x:v>
      </x:c>
      <x:c r="C209" s="16" t="str">
        <x:v>CO</x:v>
      </x:c>
      <x:c r="D209" s="16" t="str">
        <x:v>Private nonprofit</x:v>
      </x:c>
      <x:c r="E209" s="34" t="n">
        <x:v>4458</x:v>
      </x:c>
      <x:c r="F209" s="21" t="n">
        <x:v>0.8137</x:v>
      </x:c>
      <x:c r="G209" s="16" t="str">
        <x:v>Regional</x:v>
      </x:c>
      <x:c r="H209" s="36" t="n">
        <x:f>IF(G209="National",Assumptions!$B$11,IF(G209="Statewide",Assumptions!$B$12,Assumptions!$B$13))</x:f>
        <x:v>0.85</x:v>
      </x:c>
      <x:c r="I209" s="21" t="n">
        <x:v>-0.07785475065375969</x:v>
      </x:c>
      <x:c r="J209" s="21" t="n">
        <x:v>-0.08921717055863954</x:v>
      </x:c>
      <x:c r="K209" s="21" t="n">
        <x:v>-0.13662430609716936</x:v>
      </x:c>
      <x:c r="L209" s="36" t="n">
        <x:f>IF(Assumptions!$B$4=2030,I209,IF(Assumptions!$B$4=2035,J209,K209))</x:f>
        <x:v>-0.08921717055863954</x:v>
      </x:c>
      <x:c r="M209" s="36" t="n">
        <x:f>Assumptions!$B$19</x:f>
        <x:v>-0.04739891965741583</x:v>
      </x:c>
      <x:c r="N209" s="52" t="n">
        <x:f>H209*L209+(1-H209)*M209+O209</x:f>
        <x:v>-0.08294443292345598</x:v>
      </x:c>
      <x:c r="O209" s="36" t="n">
        <x:f>Assumptions!$B$10</x:f>
        <x:v>0</x:v>
      </x:c>
      <x:c r="P209" s="54" t="n">
        <x:f>E209*(1+N209)</x:f>
        <x:v>4088.2337180272334</x:v>
      </x:c>
      <x:c r="Q209" s="54" t="n">
        <x:f>P209-E209</x:f>
        <x:v>-369.7662819727666</x:v>
      </x:c>
      <x:c r="R209" s="16" t="str">
        <x:v>Yes</x:v>
      </x:c>
      <x:c r="S209" s="56" t="n">
        <x:v>17297</x:v>
      </x:c>
      <x:c r="T209" s="56" t="n">
        <x:v>8320</x:v>
      </x:c>
      <x:c r="U209" s="40" t="n">
        <x:f>E209*Assumptions!$B$8</x:f>
        <x:v>3789.2999999999997</x:v>
      </x:c>
      <x:c r="V209" s="40" t="n">
        <x:f>P209*Assumptions!$B$8</x:f>
        <x:v>3474.998660323148</x:v>
      </x:c>
      <x:c r="W209" s="54" t="n">
        <x:f>V209-U209</x:f>
        <x:v>-314.3013396768515</x:v>
      </x:c>
      <x:c r="X209" s="58" t="n">
        <x:f>IF(R209="No","",W209*S209)</x:f>
        <x:v>-5436470.272390501</x:v>
      </x:c>
      <x:c r="Y209" s="58" t="n">
        <x:f>IF(R209="No","",W209*T209*Assumptions!$B$9)</x:f>
        <x:v>-784496.1438334213</x:v>
      </x:c>
      <x:c r="Z209" s="58" t="n">
        <x:f>IF(R209="No","",X209-Y209)</x:f>
        <x:v>-4651974.1285570795</x:v>
      </x:c>
      <x:c r="AA209" s="58" t="n">
        <x:f>IF(R209="No","",MAX(0,-Z209))</x:f>
        <x:v>4651974.1285570795</x:v>
      </x:c>
      <x:c r="AB209" s="52" t="n">
        <x:f>IF(OR(R209="No",U209*S209=0),"",AA209/(U209*S209))</x:f>
        <x:v>0.07097534553391173</x:v>
      </x:c>
      <x:c r="AC209" s="54" t="n">
        <x:f>IF(OR(R209="No",S209-T209*Assumptions!$B$9&lt;=0),"",AA209/(Assumptions!$B$8*(S209-T209*Assumptions!$B$9)))</x:f>
        <x:v>369.7662819727665</x:v>
      </x:c>
      <x:c r="AD209" s="52" t="n">
        <x:f>IF(OR(R209="No",U209*S209=0),"",AA209/(U209*S209))</x:f>
        <x:v>0.07097534553391173</x:v>
      </x:c>
      <x:c r="AE209" s="50" t="str">
        <x:f>IF(R209="No","No finance data",IF(AB209&gt;=10%,"Severe",IF(AB209&gt;=5%,"High",IF(AB209&gt;=2%,"Moderate","Low"))))</x:f>
        <x:v>High</x:v>
      </x:c>
      <x:c r="AF209" s="60" t="n">
        <x:v>39.788175</x:v>
      </x:c>
      <x:c r="AG209" s="60" t="n">
        <x:v>-105.030756</x:v>
      </x:c>
      <x:c r="AH209" s="44" t="str">
        <x:v>Undergraduate tuition-contribution proxy only; not an audited total institutional budget.</x:v>
      </x:c>
    </x:row>
    <x:row r="210">
      <x:c r="A210" s="16" t="n">
        <x:v>126614</x:v>
      </x:c>
      <x:c r="B210" s="16" t="str">
        <x:v>University of Colorado Boulder</x:v>
      </x:c>
      <x:c r="C210" s="16" t="str">
        <x:v>CO</x:v>
      </x:c>
      <x:c r="D210" s="16" t="str">
        <x:v>Public</x:v>
      </x:c>
      <x:c r="E210" s="34" t="n">
        <x:v>26496</x:v>
      </x:c>
      <x:c r="F210" s="21" t="n">
        <x:v>0.7958</x:v>
      </x:c>
      <x:c r="G210" s="16" t="str">
        <x:v>National</x:v>
      </x:c>
      <x:c r="H210" s="36" t="n">
        <x:f>IF(G210="National",Assumptions!$B$11,IF(G210="Statewide",Assumptions!$B$12,Assumptions!$B$13))</x:f>
        <x:v>0.25</x:v>
      </x:c>
      <x:c r="I210" s="21" t="n">
        <x:v>-0.07785475065375969</x:v>
      </x:c>
      <x:c r="J210" s="21" t="n">
        <x:v>-0.08921717055863954</x:v>
      </x:c>
      <x:c r="K210" s="21" t="n">
        <x:v>-0.13662430609716936</x:v>
      </x:c>
      <x:c r="L210" s="36" t="n">
        <x:f>IF(Assumptions!$B$4=2030,I210,IF(Assumptions!$B$4=2035,J210,K210))</x:f>
        <x:v>-0.08921717055863954</x:v>
      </x:c>
      <x:c r="M210" s="36" t="n">
        <x:f>Assumptions!$B$19</x:f>
        <x:v>-0.04739891965741583</x:v>
      </x:c>
      <x:c r="N210" s="52" t="n">
        <x:f>H210*L210+(1-H210)*M210+O210</x:f>
        <x:v>-0.057853482382721755</x:v>
      </x:c>
      <x:c r="O210" s="36" t="n">
        <x:f>Assumptions!$B$10</x:f>
        <x:v>0</x:v>
      </x:c>
      <x:c r="P210" s="54" t="n">
        <x:f>E210*(1+N210)</x:f>
        <x:v>24963.114130787406</x:v>
      </x:c>
      <x:c r="Q210" s="54" t="n">
        <x:f>P210-E210</x:f>
        <x:v>-1532.8858692125941</x:v>
      </x:c>
      <x:c r="R210" s="16" t="str">
        <x:v>Yes</x:v>
      </x:c>
      <x:c r="S210" s="56" t="n">
        <x:v>20776</x:v>
      </x:c>
      <x:c r="T210" s="56" t="n">
        <x:v>18097</x:v>
      </x:c>
      <x:c r="U210" s="40" t="n">
        <x:f>E210*Assumptions!$B$8</x:f>
        <x:v>22521.6</x:v>
      </x:c>
      <x:c r="V210" s="40" t="n">
        <x:f>P210*Assumptions!$B$8</x:f>
        <x:v>21218.647011169294</x:v>
      </x:c>
      <x:c r="W210" s="54" t="n">
        <x:f>V210-U210</x:f>
        <x:v>-1302.9529888307043</x:v>
      </x:c>
      <x:c r="X210" s="58" t="n">
        <x:f>IF(R210="No","",W210*S210)</x:f>
        <x:v>-27070151.295946714</x:v>
      </x:c>
      <x:c r="Y210" s="58" t="n">
        <x:f>IF(R210="No","",W210*T210*Assumptions!$B$9)</x:f>
        <x:v>-7073862.071660776</x:v>
      </x:c>
      <x:c r="Z210" s="58" t="n">
        <x:f>IF(R210="No","",X210-Y210)</x:f>
        <x:v>-19996289.224285938</x:v>
      </x:c>
      <x:c r="AA210" s="58" t="n">
        <x:f>IF(R210="No","",MAX(0,-Z210))</x:f>
        <x:v>19996289.224285938</x:v>
      </x:c>
      <x:c r="AB210" s="52" t="n">
        <x:f>IF(OR(R210="No",U210*S210=0),"",AA210/(U210*S210))</x:f>
        <x:v>0.04273544516650902</x:v>
      </x:c>
      <x:c r="AC210" s="54" t="n">
        <x:f>IF(OR(R210="No",S210-T210*Assumptions!$B$9&lt;=0),"",AA210/(Assumptions!$B$8*(S210-T210*Assumptions!$B$9)))</x:f>
        <x:v>1532.8858692125932</x:v>
      </x:c>
      <x:c r="AD210" s="52" t="n">
        <x:f>IF(OR(R210="No",U210*S210=0),"",AA210/(U210*S210))</x:f>
        <x:v>0.04273544516650902</x:v>
      </x:c>
      <x:c r="AE210" s="50" t="str">
        <x:f>IF(R210="No","No finance data",IF(AB210&gt;=10%,"Severe",IF(AB210&gt;=5%,"High",IF(AB210&gt;=2%,"Moderate","Low"))))</x:f>
        <x:v>Moderate</x:v>
      </x:c>
      <x:c r="AF210" s="60" t="n">
        <x:v>40.008781</x:v>
      </x:c>
      <x:c r="AG210" s="60" t="n">
        <x:v>-105.270823</x:v>
      </x:c>
      <x:c r="AH210" s="44" t="str">
        <x:v>Undergraduate tuition-contribution proxy only; not an audited total institutional budget.</x:v>
      </x:c>
    </x:row>
    <x:row r="211">
      <x:c r="A211" s="16" t="n">
        <x:v>126580</x:v>
      </x:c>
      <x:c r="B211" s="16" t="str">
        <x:v>University of Colorado Colorado Springs</x:v>
      </x:c>
      <x:c r="C211" s="16" t="str">
        <x:v>CO</x:v>
      </x:c>
      <x:c r="D211" s="16" t="str">
        <x:v>Public</x:v>
      </x:c>
      <x:c r="E211" s="34" t="n">
        <x:v>9514</x:v>
      </x:c>
      <x:c r="F211" s="21" t="n">
        <x:v>0.9527</x:v>
      </x:c>
      <x:c r="G211" s="16" t="str">
        <x:v>Statewide</x:v>
      </x:c>
      <x:c r="H211" s="36" t="n">
        <x:f>IF(G211="National",Assumptions!$B$11,IF(G211="Statewide",Assumptions!$B$12,Assumptions!$B$13))</x:f>
        <x:v>0.6</x:v>
      </x:c>
      <x:c r="I211" s="21" t="n">
        <x:v>-0.07785475065375969</x:v>
      </x:c>
      <x:c r="J211" s="21" t="n">
        <x:v>-0.08921717055863954</x:v>
      </x:c>
      <x:c r="K211" s="21" t="n">
        <x:v>-0.13662430609716936</x:v>
      </x:c>
      <x:c r="L211" s="36" t="n">
        <x:f>IF(Assumptions!$B$4=2030,I211,IF(Assumptions!$B$4=2035,J211,K211))</x:f>
        <x:v>-0.08921717055863954</x:v>
      </x:c>
      <x:c r="M211" s="36" t="n">
        <x:f>Assumptions!$B$19</x:f>
        <x:v>-0.04739891965741583</x:v>
      </x:c>
      <x:c r="N211" s="52" t="n">
        <x:f>H211*L211+(1-H211)*M211+O211</x:f>
        <x:v>-0.07248987019815006</x:v>
      </x:c>
      <x:c r="O211" s="36" t="n">
        <x:f>Assumptions!$B$10</x:f>
        <x:v>0</x:v>
      </x:c>
      <x:c r="P211" s="54" t="n">
        <x:f>E211*(1+N211)</x:f>
        <x:v>8824.331374934802</x:v>
      </x:c>
      <x:c r="Q211" s="54" t="n">
        <x:f>P211-E211</x:f>
        <x:v>-689.6686250651983</x:v>
      </x:c>
      <x:c r="R211" s="16" t="str">
        <x:v>Yes</x:v>
      </x:c>
      <x:c r="S211" s="56" t="n">
        <x:v>9307</x:v>
      </x:c>
      <x:c r="T211" s="56" t="n">
        <x:v>9798</x:v>
      </x:c>
      <x:c r="U211" s="40" t="n">
        <x:f>E211*Assumptions!$B$8</x:f>
        <x:v>8086.9</x:v>
      </x:c>
      <x:c r="V211" s="40" t="n">
        <x:f>P211*Assumptions!$B$8</x:f>
        <x:v>7500.681668694581</x:v>
      </x:c>
      <x:c r="W211" s="54" t="n">
        <x:f>V211-U211</x:f>
        <x:v>-586.2183313054184</x:v>
      </x:c>
      <x:c r="X211" s="58" t="n">
        <x:f>IF(R211="No","",W211*S211)</x:f>
        <x:v>-5455934.009459529</x:v>
      </x:c>
      <x:c r="Y211" s="58" t="n">
        <x:f>IF(R211="No","",W211*T211*Assumptions!$B$9)</x:f>
        <x:v>-1723130.1630391467</x:v>
      </x:c>
      <x:c r="Z211" s="58" t="n">
        <x:f>IF(R211="No","",X211-Y211)</x:f>
        <x:v>-3732803.846420382</x:v>
      </x:c>
      <x:c r="AA211" s="58" t="n">
        <x:f>IF(R211="No","",MAX(0,-Z211))</x:f>
        <x:v>3732803.846420382</x:v>
      </x:c>
      <x:c r="AB211" s="52" t="n">
        <x:f>IF(OR(R211="No",U211*S211=0),"",AA211/(U211*S211))</x:f>
        <x:v>0.04959562667602227</x:v>
      </x:c>
      <x:c r="AC211" s="54" t="n">
        <x:f>IF(OR(R211="No",S211-T211*Assumptions!$B$9&lt;=0),"",AA211/(Assumptions!$B$8*(S211-T211*Assumptions!$B$9)))</x:f>
        <x:v>689.6686250651981</x:v>
      </x:c>
      <x:c r="AD211" s="52" t="n">
        <x:f>IF(OR(R211="No",U211*S211=0),"",AA211/(U211*S211))</x:f>
        <x:v>0.04959562667602227</x:v>
      </x:c>
      <x:c r="AE211" s="50" t="str">
        <x:f>IF(R211="No","No finance data",IF(AB211&gt;=10%,"Severe",IF(AB211&gt;=5%,"High",IF(AB211&gt;=2%,"Moderate","Low"))))</x:f>
        <x:v>Moderate</x:v>
      </x:c>
      <x:c r="AF211" s="60" t="n">
        <x:v>38.892735</x:v>
      </x:c>
      <x:c r="AG211" s="60" t="n">
        <x:v>-104.800296</x:v>
      </x:c>
      <x:c r="AH211" s="44" t="str">
        <x:v>Undergraduate tuition-contribution proxy only; not an audited total institutional budget.</x:v>
      </x:c>
    </x:row>
    <x:row r="212">
      <x:c r="A212" s="16" t="n">
        <x:v>126562</x:v>
      </x:c>
      <x:c r="B212" s="16" t="str">
        <x:v>University of Colorado Denver/Anschutz Medical Campus</x:v>
      </x:c>
      <x:c r="C212" s="16" t="str">
        <x:v>CO</x:v>
      </x:c>
      <x:c r="D212" s="16" t="str">
        <x:v>Public</x:v>
      </x:c>
      <x:c r="E212" s="34" t="n">
        <x:v>10855</x:v>
      </x:c>
      <x:c r="F212" s="21" t="n">
        <x:v>0.7205</x:v>
      </x:c>
      <x:c r="G212" s="16" t="str">
        <x:v>Statewide</x:v>
      </x:c>
      <x:c r="H212" s="36" t="n">
        <x:f>IF(G212="National",Assumptions!$B$11,IF(G212="Statewide",Assumptions!$B$12,Assumptions!$B$13))</x:f>
        <x:v>0.6</x:v>
      </x:c>
      <x:c r="I212" s="21" t="n">
        <x:v>-0.07785475065375969</x:v>
      </x:c>
      <x:c r="J212" s="21" t="n">
        <x:v>-0.08921717055863954</x:v>
      </x:c>
      <x:c r="K212" s="21" t="n">
        <x:v>-0.13662430609716936</x:v>
      </x:c>
      <x:c r="L212" s="36" t="n">
        <x:f>IF(Assumptions!$B$4=2030,I212,IF(Assumptions!$B$4=2035,J212,K212))</x:f>
        <x:v>-0.08921717055863954</x:v>
      </x:c>
      <x:c r="M212" s="36" t="n">
        <x:f>Assumptions!$B$19</x:f>
        <x:v>-0.04739891965741583</x:v>
      </x:c>
      <x:c r="N212" s="52" t="n">
        <x:f>H212*L212+(1-H212)*M212+O212</x:f>
        <x:v>-0.07248987019815006</x:v>
      </x:c>
      <x:c r="O212" s="36" t="n">
        <x:f>Assumptions!$B$10</x:f>
        <x:v>0</x:v>
      </x:c>
      <x:c r="P212" s="54" t="n">
        <x:f>E212*(1+N212)</x:f>
        <x:v>10068.122458999082</x:v>
      </x:c>
      <x:c r="Q212" s="54" t="n">
        <x:f>P212-E212</x:f>
        <x:v>-786.8775410009184</x:v>
      </x:c>
      <x:c r="R212" s="16" t="str">
        <x:v>Yes</x:v>
      </x:c>
      <x:c r="S212" s="56" t="n">
        <x:v>14119</x:v>
      </x:c>
      <x:c r="T212" s="56" t="n">
        <x:v>31574</x:v>
      </x:c>
      <x:c r="U212" s="40" t="n">
        <x:f>E212*Assumptions!$B$8</x:f>
        <x:v>9226.75</x:v>
      </x:c>
      <x:c r="V212" s="40" t="n">
        <x:f>P212*Assumptions!$B$8</x:f>
        <x:v>8557.904090149219</x:v>
      </x:c>
      <x:c r="W212" s="54" t="n">
        <x:f>V212-U212</x:f>
        <x:v>-668.845909850781</x:v>
      </x:c>
      <x:c r="X212" s="58" t="n">
        <x:f>IF(R212="No","",W212*S212)</x:f>
        <x:v>-9443435.401183177</x:v>
      </x:c>
      <x:c r="Y212" s="58" t="n">
        <x:f>IF(R212="No","",W212*T212*Assumptions!$B$9)</x:f>
        <x:v>-6335442.227288567</x:v>
      </x:c>
      <x:c r="Z212" s="58" t="n">
        <x:f>IF(R212="No","",X212-Y212)</x:f>
        <x:v>-3107993.1738946093</x:v>
      </x:c>
      <x:c r="AA212" s="58" t="n">
        <x:f>IF(R212="No","",MAX(0,-Z212))</x:f>
        <x:v>3107993.1738946093</x:v>
      </x:c>
      <x:c r="AB212" s="52" t="n">
        <x:f>IF(OR(R212="No",U212*S212=0),"",AA212/(U212*S212))</x:f>
        <x:v>0.023857633602717167</x:v>
      </x:c>
      <x:c r="AC212" s="54" t="n">
        <x:f>IF(OR(R212="No",S212-T212*Assumptions!$B$9&lt;=0),"",AA212/(Assumptions!$B$8*(S212-T212*Assumptions!$B$9)))</x:f>
        <x:v>786.8775410009188</x:v>
      </x:c>
      <x:c r="AD212" s="52" t="n">
        <x:f>IF(OR(R212="No",U212*S212=0),"",AA212/(U212*S212))</x:f>
        <x:v>0.023857633602717167</x:v>
      </x:c>
      <x:c r="AE212" s="50" t="str">
        <x:f>IF(R212="No","No finance data",IF(AB212&gt;=10%,"Severe",IF(AB212&gt;=5%,"High",IF(AB212&gt;=2%,"Moderate","Low"))))</x:f>
        <x:v>Moderate</x:v>
      </x:c>
      <x:c r="AF212" s="60" t="n">
        <x:v>39.745149</x:v>
      </x:c>
      <x:c r="AG212" s="60" t="n">
        <x:v>-104.837722</x:v>
      </x:c>
      <x:c r="AH212" s="44" t="str">
        <x:v>Undergraduate tuition-contribution proxy only; not an audited total institutional budget.</x:v>
      </x:c>
    </x:row>
    <x:row r="213">
      <x:c r="A213" s="16" t="n">
        <x:v>127060</x:v>
      </x:c>
      <x:c r="B213" s="16" t="str">
        <x:v>University of Denver</x:v>
      </x:c>
      <x:c r="C213" s="16" t="str">
        <x:v>CO</x:v>
      </x:c>
      <x:c r="D213" s="16" t="str">
        <x:v>Private nonprofit</x:v>
      </x:c>
      <x:c r="E213" s="34" t="n">
        <x:v>5758</x:v>
      </x:c>
      <x:c r="F213" s="21" t="n">
        <x:v>0.6363</x:v>
      </x:c>
      <x:c r="G213" s="16" t="str">
        <x:v>Regional</x:v>
      </x:c>
      <x:c r="H213" s="36" t="n">
        <x:f>IF(G213="National",Assumptions!$B$11,IF(G213="Statewide",Assumptions!$B$12,Assumptions!$B$13))</x:f>
        <x:v>0.85</x:v>
      </x:c>
      <x:c r="I213" s="21" t="n">
        <x:v>-0.07785475065375969</x:v>
      </x:c>
      <x:c r="J213" s="21" t="n">
        <x:v>-0.08921717055863954</x:v>
      </x:c>
      <x:c r="K213" s="21" t="n">
        <x:v>-0.13662430609716936</x:v>
      </x:c>
      <x:c r="L213" s="36" t="n">
        <x:f>IF(Assumptions!$B$4=2030,I213,IF(Assumptions!$B$4=2035,J213,K213))</x:f>
        <x:v>-0.08921717055863954</x:v>
      </x:c>
      <x:c r="M213" s="36" t="n">
        <x:f>Assumptions!$B$19</x:f>
        <x:v>-0.04739891965741583</x:v>
      </x:c>
      <x:c r="N213" s="52" t="n">
        <x:f>H213*L213+(1-H213)*M213+O213</x:f>
        <x:v>-0.08294443292345598</x:v>
      </x:c>
      <x:c r="O213" s="36" t="n">
        <x:f>Assumptions!$B$10</x:f>
        <x:v>0</x:v>
      </x:c>
      <x:c r="P213" s="54" t="n">
        <x:f>E213*(1+N213)</x:f>
        <x:v>5280.405955226741</x:v>
      </x:c>
      <x:c r="Q213" s="54" t="n">
        <x:f>P213-E213</x:f>
        <x:v>-477.59404477325916</x:v>
      </x:c>
      <x:c r="R213" s="16" t="str">
        <x:v>Yes</x:v>
      </x:c>
      <x:c r="S213" s="56" t="n">
        <x:v>30315</x:v>
      </x:c>
      <x:c r="T213" s="56" t="n">
        <x:v>16310</x:v>
      </x:c>
      <x:c r="U213" s="40" t="n">
        <x:f>E213*Assumptions!$B$8</x:f>
        <x:v>4894.3</x:v>
      </x:c>
      <x:c r="V213" s="40" t="n">
        <x:f>P213*Assumptions!$B$8</x:f>
        <x:v>4488.345061942729</x:v>
      </x:c>
      <x:c r="W213" s="54" t="n">
        <x:f>V213-U213</x:f>
        <x:v>-405.95493805727074</x:v>
      </x:c>
      <x:c r="X213" s="58" t="n">
        <x:f>IF(R213="No","",W213*S213)</x:f>
        <x:v>-12306523.947206162</x:v>
      </x:c>
      <x:c r="Y213" s="58" t="n">
        <x:f>IF(R213="No","",W213*T213*Assumptions!$B$9)</x:f>
        <x:v>-1986337.5119142258</x:v>
      </x:c>
      <x:c r="Z213" s="58" t="n">
        <x:f>IF(R213="No","",X213-Y213)</x:f>
        <x:v>-10320186.435291937</x:v>
      </x:c>
      <x:c r="AA213" s="58" t="n">
        <x:f>IF(R213="No","",MAX(0,-Z213))</x:f>
        <x:v>10320186.435291937</x:v>
      </x:c>
      <x:c r="AB213" s="52" t="n">
        <x:f>IF(OR(R213="No",U213*S213=0),"",AA213/(U213*S213))</x:f>
        <x:v>0.06955676641201052</x:v>
      </x:c>
      <x:c r="AC213" s="54" t="n">
        <x:f>IF(OR(R213="No",S213-T213*Assumptions!$B$9&lt;=0),"",AA213/(Assumptions!$B$8*(S213-T213*Assumptions!$B$9)))</x:f>
        <x:v>477.59404477325967</x:v>
      </x:c>
      <x:c r="AD213" s="52" t="n">
        <x:f>IF(OR(R213="No",U213*S213=0),"",AA213/(U213*S213))</x:f>
        <x:v>0.06955676641201052</x:v>
      </x:c>
      <x:c r="AE213" s="50" t="str">
        <x:f>IF(R213="No","No finance data",IF(AB213&gt;=10%,"Severe",IF(AB213&gt;=5%,"High",IF(AB213&gt;=2%,"Moderate","Low"))))</x:f>
        <x:v>High</x:v>
      </x:c>
      <x:c r="AF213" s="60" t="n">
        <x:v>39.678005</x:v>
      </x:c>
      <x:c r="AG213" s="60" t="n">
        <x:v>-104.963259</x:v>
      </x:c>
      <x:c r="AH213" s="44" t="str">
        <x:v>Undergraduate tuition-contribution proxy only; not an audited total institutional budget.</x:v>
      </x:c>
    </x:row>
    <x:row r="214">
      <x:c r="A214" s="16" t="n">
        <x:v>127741</x:v>
      </x:c>
      <x:c r="B214" s="16" t="str">
        <x:v>University of Northern Colorado</x:v>
      </x:c>
      <x:c r="C214" s="16" t="str">
        <x:v>CO</x:v>
      </x:c>
      <x:c r="D214" s="16" t="str">
        <x:v>Public</x:v>
      </x:c>
      <x:c r="E214" s="34" t="n">
        <x:v>8915</x:v>
      </x:c>
      <x:c r="F214" s="21" t="n">
        <x:v>0.9113</x:v>
      </x:c>
      <x:c r="G214" s="16" t="str">
        <x:v>Statewide</x:v>
      </x:c>
      <x:c r="H214" s="36" t="n">
        <x:f>IF(G214="National",Assumptions!$B$11,IF(G214="Statewide",Assumptions!$B$12,Assumptions!$B$13))</x:f>
        <x:v>0.6</x:v>
      </x:c>
      <x:c r="I214" s="21" t="n">
        <x:v>-0.07785475065375969</x:v>
      </x:c>
      <x:c r="J214" s="21" t="n">
        <x:v>-0.08921717055863954</x:v>
      </x:c>
      <x:c r="K214" s="21" t="n">
        <x:v>-0.13662430609716936</x:v>
      </x:c>
      <x:c r="L214" s="36" t="n">
        <x:f>IF(Assumptions!$B$4=2030,I214,IF(Assumptions!$B$4=2035,J214,K214))</x:f>
        <x:v>-0.08921717055863954</x:v>
      </x:c>
      <x:c r="M214" s="36" t="n">
        <x:f>Assumptions!$B$19</x:f>
        <x:v>-0.04739891965741583</x:v>
      </x:c>
      <x:c r="N214" s="52" t="n">
        <x:f>H214*L214+(1-H214)*M214+O214</x:f>
        <x:v>-0.07248987019815006</x:v>
      </x:c>
      <x:c r="O214" s="36" t="n">
        <x:f>Assumptions!$B$10</x:f>
        <x:v>0</x:v>
      </x:c>
      <x:c r="P214" s="54" t="n">
        <x:f>E214*(1+N214)</x:f>
        <x:v>8268.752807183493</x:v>
      </x:c>
      <x:c r="Q214" s="54" t="n">
        <x:f>P214-E214</x:f>
        <x:v>-646.2471928165069</x:v>
      </x:c>
      <x:c r="R214" s="16" t="str">
        <x:v>Yes</x:v>
      </x:c>
      <x:c r="S214" s="56" t="n">
        <x:v>9464</x:v>
      </x:c>
      <x:c r="T214" s="56" t="n">
        <x:v>8948</x:v>
      </x:c>
      <x:c r="U214" s="40" t="n">
        <x:f>E214*Assumptions!$B$8</x:f>
        <x:v>7577.75</x:v>
      </x:c>
      <x:c r="V214" s="40" t="n">
        <x:f>P214*Assumptions!$B$8</x:f>
        <x:v>7028.439886105969</x:v>
      </x:c>
      <x:c r="W214" s="54" t="n">
        <x:f>V214-U214</x:f>
        <x:v>-549.310113894031</x:v>
      </x:c>
      <x:c r="X214" s="58" t="n">
        <x:f>IF(R214="No","",W214*S214)</x:f>
        <x:v>-5198670.91789311</x:v>
      </x:c>
      <x:c r="Y214" s="58" t="n">
        <x:f>IF(R214="No","",W214*T214*Assumptions!$B$9)</x:f>
        <x:v>-1474568.0697371368</x:v>
      </x:c>
      <x:c r="Z214" s="58" t="n">
        <x:f>IF(R214="No","",X214-Y214)</x:f>
        <x:v>-3724102.848155973</x:v>
      </x:c>
      <x:c r="AA214" s="58" t="n">
        <x:f>IF(R214="No","",MAX(0,-Z214))</x:f>
        <x:v>3724102.848155973</x:v>
      </x:c>
      <x:c r="AB214" s="52" t="n">
        <x:f>IF(OR(R214="No",U214*S214=0),"",AA214/(U214*S214))</x:f>
        <x:v>0.05192860566307879</x:v>
      </x:c>
      <x:c r="AC214" s="54" t="n">
        <x:f>IF(OR(R214="No",S214-T214*Assumptions!$B$9&lt;=0),"",AA214/(Assumptions!$B$8*(S214-T214*Assumptions!$B$9)))</x:f>
        <x:v>646.2471928165072</x:v>
      </x:c>
      <x:c r="AD214" s="52" t="n">
        <x:f>IF(OR(R214="No",U214*S214=0),"",AA214/(U214*S214))</x:f>
        <x:v>0.05192860566307879</x:v>
      </x:c>
      <x:c r="AE214" s="50" t="str">
        <x:f>IF(R214="No","No finance data",IF(AB214&gt;=10%,"Severe",IF(AB214&gt;=5%,"High",IF(AB214&gt;=2%,"Moderate","Low"))))</x:f>
        <x:v>High</x:v>
      </x:c>
      <x:c r="AF214" s="60" t="n">
        <x:v>40.410855</x:v>
      </x:c>
      <x:c r="AG214" s="60" t="n">
        <x:v>-104.692777</x:v>
      </x:c>
      <x:c r="AH214" s="44" t="str">
        <x:v>Undergraduate tuition-contribution proxy only; not an audited total institutional budget.</x:v>
      </x:c>
    </x:row>
    <x:row r="215">
      <x:c r="A215" s="16" t="n">
        <x:v>128391</x:v>
      </x:c>
      <x:c r="B215" s="16" t="str">
        <x:v>Western State Colorado University</x:v>
      </x:c>
      <x:c r="C215" s="16" t="str">
        <x:v>CO</x:v>
      </x:c>
      <x:c r="D215" s="16" t="str">
        <x:v>Public</x:v>
      </x:c>
      <x:c r="E215" s="34" t="n">
        <x:v>1945</x:v>
      </x:c>
      <x:c r="F215" s="21" t="n">
        <x:v>0.9087</x:v>
      </x:c>
      <x:c r="G215" s="16" t="str">
        <x:v>Regional</x:v>
      </x:c>
      <x:c r="H215" s="36" t="n">
        <x:f>IF(G215="National",Assumptions!$B$11,IF(G215="Statewide",Assumptions!$B$12,Assumptions!$B$13))</x:f>
        <x:v>0.85</x:v>
      </x:c>
      <x:c r="I215" s="21" t="n">
        <x:v>-0.07785475065375969</x:v>
      </x:c>
      <x:c r="J215" s="21" t="n">
        <x:v>-0.08921717055863954</x:v>
      </x:c>
      <x:c r="K215" s="21" t="n">
        <x:v>-0.13662430609716936</x:v>
      </x:c>
      <x:c r="L215" s="36" t="n">
        <x:f>IF(Assumptions!$B$4=2030,I215,IF(Assumptions!$B$4=2035,J215,K215))</x:f>
        <x:v>-0.08921717055863954</x:v>
      </x:c>
      <x:c r="M215" s="36" t="n">
        <x:f>Assumptions!$B$19</x:f>
        <x:v>-0.04739891965741583</x:v>
      </x:c>
      <x:c r="N215" s="52" t="n">
        <x:f>H215*L215+(1-H215)*M215+O215</x:f>
        <x:v>-0.08294443292345598</x:v>
      </x:c>
      <x:c r="O215" s="36" t="n">
        <x:f>Assumptions!$B$10</x:f>
        <x:v>0</x:v>
      </x:c>
      <x:c r="P215" s="54" t="n">
        <x:f>E215*(1+N215)</x:f>
        <x:v>1783.673077963878</x:v>
      </x:c>
      <x:c r="Q215" s="54" t="n">
        <x:f>P215-E215</x:f>
        <x:v>-161.3269220361219</x:v>
      </x:c>
      <x:c r="R215" s="16" t="str">
        <x:v>Yes</x:v>
      </x:c>
      <x:c r="S215" s="56" t="n">
        <x:v>9399</x:v>
      </x:c>
      <x:c r="T215" s="56" t="n">
        <x:v>11050</x:v>
      </x:c>
      <x:c r="U215" s="40" t="n">
        <x:f>E215*Assumptions!$B$8</x:f>
        <x:v>1653.25</x:v>
      </x:c>
      <x:c r="V215" s="40" t="n">
        <x:f>P215*Assumptions!$B$8</x:f>
        <x:v>1516.1221162692964</x:v>
      </x:c>
      <x:c r="W215" s="54" t="n">
        <x:f>V215-U215</x:f>
        <x:v>-137.12788373070362</x:v>
      </x:c>
      <x:c r="X215" s="58" t="n">
        <x:f>IF(R215="No","",W215*S215)</x:f>
        <x:v>-1288864.9791848832</x:v>
      </x:c>
      <x:c r="Y215" s="58" t="n">
        <x:f>IF(R215="No","",W215*T215*Assumptions!$B$9)</x:f>
        <x:v>-454578.9345672825</x:v>
      </x:c>
      <x:c r="Z215" s="58" t="n">
        <x:f>IF(R215="No","",X215-Y215)</x:f>
        <x:v>-834286.0446176007</x:v>
      </x:c>
      <x:c r="AA215" s="58" t="n">
        <x:f>IF(R215="No","",MAX(0,-Z215))</x:f>
        <x:v>834286.0446176007</x:v>
      </x:c>
      <x:c r="AB215" s="52" t="n">
        <x:f>IF(OR(R215="No",U215*S215=0),"",AA215/(U215*S215))</x:f>
        <x:v>0.053690172348793086</x:v>
      </x:c>
      <x:c r="AC215" s="54" t="n">
        <x:f>IF(OR(R215="No",S215-T215*Assumptions!$B$9&lt;=0),"",AA215/(Assumptions!$B$8*(S215-T215*Assumptions!$B$9)))</x:f>
        <x:v>161.3269220361219</x:v>
      </x:c>
      <x:c r="AD215" s="52" t="n">
        <x:f>IF(OR(R215="No",U215*S215=0),"",AA215/(U215*S215))</x:f>
        <x:v>0.053690172348793086</x:v>
      </x:c>
      <x:c r="AE215" s="50" t="str">
        <x:f>IF(R215="No","No finance data",IF(AB215&gt;=10%,"Severe",IF(AB215&gt;=5%,"High",IF(AB215&gt;=2%,"Moderate","Low"))))</x:f>
        <x:v>High</x:v>
      </x:c>
      <x:c r="AF215" s="60" t="n">
        <x:v>38.549936</x:v>
      </x:c>
      <x:c r="AG215" s="60" t="n">
        <x:v>-106.919132</x:v>
      </x:c>
      <x:c r="AH215" s="44" t="str">
        <x:v>Undergraduate tuition-contribution proxy only; not an audited total institutional budget.</x:v>
      </x:c>
    </x:row>
    <x:row r="216">
      <x:c r="A216" s="16" t="n">
        <x:v>128498</x:v>
      </x:c>
      <x:c r="B216" s="16" t="str">
        <x:v>Albertus Magnus College</x:v>
      </x:c>
      <x:c r="C216" s="16" t="str">
        <x:v>CT</x:v>
      </x:c>
      <x:c r="D216" s="16" t="str">
        <x:v>Private nonprofit</x:v>
      </x:c>
      <x:c r="E216" s="34" t="n">
        <x:v>1188</x:v>
      </x:c>
      <x:c r="F216" s="21" t="n">
        <x:v>0.8173</x:v>
      </x:c>
      <x:c r="G216" s="16" t="str">
        <x:v>Regional</x:v>
      </x:c>
      <x:c r="H216" s="36" t="n">
        <x:f>IF(G216="National",Assumptions!$B$11,IF(G216="Statewide",Assumptions!$B$12,Assumptions!$B$13))</x:f>
        <x:v>0.85</x:v>
      </x:c>
      <x:c r="I216" s="21" t="n">
        <x:v>-0.043196544276457916</x:v>
      </x:c>
      <x:c r="J216" s="21" t="n">
        <x:v>-0.0305300575953924</x:v>
      </x:c>
      <x:c r="K216" s="21" t="n">
        <x:v>-0.04596382289416845</x:v>
      </x:c>
      <x:c r="L216" s="36" t="n">
        <x:f>IF(Assumptions!$B$4=2030,I216,IF(Assumptions!$B$4=2035,J216,K216))</x:f>
        <x:v>-0.0305300575953924</x:v>
      </x:c>
      <x:c r="M216" s="36" t="n">
        <x:f>Assumptions!$B$19</x:f>
        <x:v>-0.04739891965741583</x:v>
      </x:c>
      <x:c r="N216" s="52" t="n">
        <x:f>H216*L216+(1-H216)*M216+O216</x:f>
        <x:v>-0.03306038690469591</x:v>
      </x:c>
      <x:c r="O216" s="36" t="n">
        <x:f>Assumptions!$B$10</x:f>
        <x:v>0</x:v>
      </x:c>
      <x:c r="P216" s="54" t="n">
        <x:f>E216*(1+N216)</x:f>
        <x:v>1148.7242603572213</x:v>
      </x:c>
      <x:c r="Q216" s="54" t="n">
        <x:f>P216-E216</x:f>
        <x:v>-39.27573964277872</x:v>
      </x:c>
      <x:c r="R216" s="16" t="str">
        <x:v>Yes</x:v>
      </x:c>
      <x:c r="S216" s="56" t="n">
        <x:v>15895</x:v>
      </x:c>
      <x:c r="T216" s="56" t="n">
        <x:v>7842</x:v>
      </x:c>
      <x:c r="U216" s="40" t="n">
        <x:f>E216*Assumptions!$B$8</x:f>
        <x:v>1009.8</x:v>
      </x:c>
      <x:c r="V216" s="40" t="n">
        <x:f>P216*Assumptions!$B$8</x:f>
        <x:v>976.4156213036381</x:v>
      </x:c>
      <x:c r="W216" s="54" t="n">
        <x:f>V216-U216</x:f>
        <x:v>-33.384378696361864</x:v>
      </x:c>
      <x:c r="X216" s="58" t="n">
        <x:f>IF(R216="No","",W216*S216)</x:f>
        <x:v>-530644.6993786718</x:v>
      </x:c>
      <x:c r="Y216" s="58" t="n">
        <x:f>IF(R216="No","",W216*T216*Assumptions!$B$9)</x:f>
        <x:v>-78540.08932106092</x:v>
      </x:c>
      <x:c r="Z216" s="58" t="n">
        <x:f>IF(R216="No","",X216-Y216)</x:f>
        <x:v>-452104.6100576109</x:v>
      </x:c>
      <x:c r="AA216" s="58" t="n">
        <x:f>IF(R216="No","",MAX(0,-Z216))</x:f>
        <x:v>452104.6100576109</x:v>
      </x:c>
      <x:c r="AB216" s="52" t="n">
        <x:f>IF(OR(R216="No",U216*S216=0),"",AA216/(U216*S216))</x:f>
        <x:v>0.028167158453485563</x:v>
      </x:c>
      <x:c r="AC216" s="54" t="n">
        <x:f>IF(OR(R216="No",S216-T216*Assumptions!$B$9&lt;=0),"",AA216/(Assumptions!$B$8*(S216-T216*Assumptions!$B$9)))</x:f>
        <x:v>39.27573964277867</x:v>
      </x:c>
      <x:c r="AD216" s="52" t="n">
        <x:f>IF(OR(R216="No",U216*S216=0),"",AA216/(U216*S216))</x:f>
        <x:v>0.028167158453485563</x:v>
      </x:c>
      <x:c r="AE216" s="50" t="str">
        <x:f>IF(R216="No","No finance data",IF(AB216&gt;=10%,"Severe",IF(AB216&gt;=5%,"High",IF(AB216&gt;=2%,"Moderate","Low"))))</x:f>
        <x:v>Moderate</x:v>
      </x:c>
      <x:c r="AF216" s="60" t="n">
        <x:v>41.332519</x:v>
      </x:c>
      <x:c r="AG216" s="60" t="n">
        <x:v>-72.923848</x:v>
      </x:c>
      <x:c r="AH216" s="44" t="str">
        <x:v>Undergraduate tuition-contribution proxy only; not an audited total institutional budget.</x:v>
      </x:c>
    </x:row>
    <x:row r="217">
      <x:c r="A217" s="16" t="n">
        <x:v>128771</x:v>
      </x:c>
      <x:c r="B217" s="16" t="str">
        <x:v>Central Connecticut State University</x:v>
      </x:c>
      <x:c r="C217" s="16" t="str">
        <x:v>CT</x:v>
      </x:c>
      <x:c r="D217" s="16" t="str">
        <x:v>Public</x:v>
      </x:c>
      <x:c r="E217" s="34" t="n">
        <x:v>9693</x:v>
      </x:c>
      <x:c r="F217" s="21" t="n">
        <x:v>0.7483</x:v>
      </x:c>
      <x:c r="G217" s="16" t="str">
        <x:v>Statewide</x:v>
      </x:c>
      <x:c r="H217" s="36" t="n">
        <x:f>IF(G217="National",Assumptions!$B$11,IF(G217="Statewide",Assumptions!$B$12,Assumptions!$B$13))</x:f>
        <x:v>0.6</x:v>
      </x:c>
      <x:c r="I217" s="21" t="n">
        <x:v>-0.043196544276457916</x:v>
      </x:c>
      <x:c r="J217" s="21" t="n">
        <x:v>-0.0305300575953924</x:v>
      </x:c>
      <x:c r="K217" s="21" t="n">
        <x:v>-0.04596382289416845</x:v>
      </x:c>
      <x:c r="L217" s="36" t="n">
        <x:f>IF(Assumptions!$B$4=2030,I217,IF(Assumptions!$B$4=2035,J217,K217))</x:f>
        <x:v>-0.0305300575953924</x:v>
      </x:c>
      <x:c r="M217" s="36" t="n">
        <x:f>Assumptions!$B$19</x:f>
        <x:v>-0.04739891965741583</x:v>
      </x:c>
      <x:c r="N217" s="52" t="n">
        <x:f>H217*L217+(1-H217)*M217+O217</x:f>
        <x:v>-0.03727760242020177</x:v>
      </x:c>
      <x:c r="O217" s="36" t="n">
        <x:f>Assumptions!$B$10</x:f>
        <x:v>0</x:v>
      </x:c>
      <x:c r="P217" s="54" t="n">
        <x:f>E217*(1+N217)</x:f>
        <x:v>9331.668199740985</x:v>
      </x:c>
      <x:c r="Q217" s="54" t="n">
        <x:f>P217-E217</x:f>
        <x:v>-361.3318002590149</x:v>
      </x:c>
      <x:c r="R217" s="16" t="str">
        <x:v>Yes</x:v>
      </x:c>
      <x:c r="S217" s="56" t="n">
        <x:v>11783</x:v>
      </x:c>
      <x:c r="T217" s="56" t="n">
        <x:v>14841</x:v>
      </x:c>
      <x:c r="U217" s="40" t="n">
        <x:f>E217*Assumptions!$B$8</x:f>
        <x:v>8239.05</x:v>
      </x:c>
      <x:c r="V217" s="40" t="n">
        <x:f>P217*Assumptions!$B$8</x:f>
        <x:v>7931.917969779837</x:v>
      </x:c>
      <x:c r="W217" s="54" t="n">
        <x:f>V217-U217</x:f>
        <x:v>-307.13203022016205</x:v>
      </x:c>
      <x:c r="X217" s="58" t="n">
        <x:f>IF(R217="No","",W217*S217)</x:f>
        <x:v>-3618936.7120841695</x:v>
      </x:c>
      <x:c r="Y217" s="58" t="n">
        <x:f>IF(R217="No","",W217*T217*Assumptions!$B$9)</x:f>
        <x:v>-1367443.9381492275</x:v>
      </x:c>
      <x:c r="Z217" s="58" t="n">
        <x:f>IF(R217="No","",X217-Y217)</x:f>
        <x:v>-2251492.7739349417</x:v>
      </x:c>
      <x:c r="AA217" s="58" t="n">
        <x:f>IF(R217="No","",MAX(0,-Z217))</x:f>
        <x:v>2251492.7739349417</x:v>
      </x:c>
      <x:c r="AB217" s="52" t="n">
        <x:f>IF(OR(R217="No",U217*S217=0),"",AA217/(U217*S217))</x:f>
        <x:v>0.02319196470014189</x:v>
      </x:c>
      <x:c r="AC217" s="54" t="n">
        <x:f>IF(OR(R217="No",S217-T217*Assumptions!$B$9&lt;=0),"",AA217/(Assumptions!$B$8*(S217-T217*Assumptions!$B$9)))</x:f>
        <x:v>361.3318002590142</x:v>
      </x:c>
      <x:c r="AD217" s="52" t="n">
        <x:f>IF(OR(R217="No",U217*S217=0),"",AA217/(U217*S217))</x:f>
        <x:v>0.02319196470014189</x:v>
      </x:c>
      <x:c r="AE217" s="50" t="str">
        <x:f>IF(R217="No","No finance data",IF(AB217&gt;=10%,"Severe",IF(AB217&gt;=5%,"High",IF(AB217&gt;=2%,"Moderate","Low"))))</x:f>
        <x:v>Moderate</x:v>
      </x:c>
      <x:c r="AF217" s="60" t="n">
        <x:v>41.692502</x:v>
      </x:c>
      <x:c r="AG217" s="60" t="n">
        <x:v>-72.765991</x:v>
      </x:c>
      <x:c r="AH217" s="44" t="str">
        <x:v>Undergraduate tuition-contribution proxy only; not an audited total institutional budget.</x:v>
      </x:c>
    </x:row>
    <x:row r="218">
      <x:c r="A218" s="16" t="n">
        <x:v>128780</x:v>
      </x:c>
      <x:c r="B218" s="16" t="str">
        <x:v>Charter Oak State College</x:v>
      </x:c>
      <x:c r="C218" s="16" t="str">
        <x:v>CT</x:v>
      </x:c>
      <x:c r="D218" s="16" t="str">
        <x:v>Public</x:v>
      </x:c>
      <x:c r="E218" s="34" t="n">
        <x:v>1634</x:v>
      </x:c>
      <x:c r="F218" s="21"/>
      <x:c r="G218" s="16" t="str">
        <x:v>Regional</x:v>
      </x:c>
      <x:c r="H218" s="36" t="n">
        <x:f>IF(G218="National",Assumptions!$B$11,IF(G218="Statewide",Assumptions!$B$12,Assumptions!$B$13))</x:f>
        <x:v>0.85</x:v>
      </x:c>
      <x:c r="I218" s="21" t="n">
        <x:v>-0.043196544276457916</x:v>
      </x:c>
      <x:c r="J218" s="21" t="n">
        <x:v>-0.0305300575953924</x:v>
      </x:c>
      <x:c r="K218" s="21" t="n">
        <x:v>-0.04596382289416845</x:v>
      </x:c>
      <x:c r="L218" s="36" t="n">
        <x:f>IF(Assumptions!$B$4=2030,I218,IF(Assumptions!$B$4=2035,J218,K218))</x:f>
        <x:v>-0.0305300575953924</x:v>
      </x:c>
      <x:c r="M218" s="36" t="n">
        <x:f>Assumptions!$B$19</x:f>
        <x:v>-0.04739891965741583</x:v>
      </x:c>
      <x:c r="N218" s="52" t="n">
        <x:f>H218*L218+(1-H218)*M218+O218</x:f>
        <x:v>-0.03306038690469591</x:v>
      </x:c>
      <x:c r="O218" s="36" t="n">
        <x:f>Assumptions!$B$10</x:f>
        <x:v>0</x:v>
      </x:c>
      <x:c r="P218" s="54" t="n">
        <x:f>E218*(1+N218)</x:f>
        <x:v>1579.979327797727</x:v>
      </x:c>
      <x:c r="Q218" s="54" t="n">
        <x:f>P218-E218</x:f>
        <x:v>-54.02067220227309</x:v>
      </x:c>
      <x:c r="R218" s="16" t="str">
        <x:v>Yes</x:v>
      </x:c>
      <x:c r="S218" s="56" t="n">
        <x:v>8969</x:v>
      </x:c>
      <x:c r="T218" s="56" t="n">
        <x:v>4394</x:v>
      </x:c>
      <x:c r="U218" s="40" t="n">
        <x:f>E218*Assumptions!$B$8</x:f>
        <x:v>1388.8999999999999</x:v>
      </x:c>
      <x:c r="V218" s="40" t="n">
        <x:f>P218*Assumptions!$B$8</x:f>
        <x:v>1342.9824286280677</x:v>
      </x:c>
      <x:c r="W218" s="54" t="n">
        <x:f>V218-U218</x:f>
        <x:v>-45.91757137193213</x:v>
      </x:c>
      <x:c r="X218" s="58" t="n">
        <x:f>IF(R218="No","",W218*S218)</x:f>
        <x:v>-411834.69763485924</x:v>
      </x:c>
      <x:c r="Y218" s="58" t="n">
        <x:f>IF(R218="No","",W218*T218*Assumptions!$B$9)</x:f>
        <x:v>-60528.54258248092</x:v>
      </x:c>
      <x:c r="Z218" s="58" t="n">
        <x:f>IF(R218="No","",X218-Y218)</x:f>
        <x:v>-351306.1550523783</x:v>
      </x:c>
      <x:c r="AA218" s="58" t="n">
        <x:f>IF(R218="No","",MAX(0,-Z218))</x:f>
        <x:v>351306.1550523783</x:v>
      </x:c>
      <x:c r="AB218" s="52" t="n">
        <x:f>IF(OR(R218="No",U218*S218=0),"",AA218/(U218*S218))</x:f>
        <x:v>0.028201405745394953</x:v>
      </x:c>
      <x:c r="AC218" s="54" t="n">
        <x:f>IF(OR(R218="No",S218-T218*Assumptions!$B$9&lt;=0),"",AA218/(Assumptions!$B$8*(S218-T218*Assumptions!$B$9)))</x:f>
        <x:v>54.02067220227309</x:v>
      </x:c>
      <x:c r="AD218" s="52" t="n">
        <x:f>IF(OR(R218="No",U218*S218=0),"",AA218/(U218*S218))</x:f>
        <x:v>0.028201405745394953</x:v>
      </x:c>
      <x:c r="AE218" s="50" t="str">
        <x:f>IF(R218="No","No finance data",IF(AB218&gt;=10%,"Severe",IF(AB218&gt;=5%,"High",IF(AB218&gt;=2%,"Moderate","Low"))))</x:f>
        <x:v>Moderate</x:v>
      </x:c>
      <x:c r="AF218" s="60" t="n">
        <x:v>41.688246</x:v>
      </x:c>
      <x:c r="AG218" s="60" t="n">
        <x:v>-72.767972</x:v>
      </x:c>
      <x:c r="AH218" s="44" t="str">
        <x:v>Undergraduate tuition-contribution proxy only; not an audited total institutional budget.</x:v>
      </x:c>
    </x:row>
    <x:row r="219">
      <x:c r="A219" s="16" t="n">
        <x:v>128902</x:v>
      </x:c>
      <x:c r="B219" s="16" t="str">
        <x:v>Connecticut College</x:v>
      </x:c>
      <x:c r="C219" s="16" t="str">
        <x:v>CT</x:v>
      </x:c>
      <x:c r="D219" s="16" t="str">
        <x:v>Private nonprofit</x:v>
      </x:c>
      <x:c r="E219" s="34" t="n">
        <x:v>1854</x:v>
      </x:c>
      <x:c r="F219" s="21" t="n">
        <x:v>0.4095</x:v>
      </x:c>
      <x:c r="G219" s="16" t="str">
        <x:v>Regional</x:v>
      </x:c>
      <x:c r="H219" s="36" t="n">
        <x:f>IF(G219="National",Assumptions!$B$11,IF(G219="Statewide",Assumptions!$B$12,Assumptions!$B$13))</x:f>
        <x:v>0.85</x:v>
      </x:c>
      <x:c r="I219" s="21" t="n">
        <x:v>-0.043196544276457916</x:v>
      </x:c>
      <x:c r="J219" s="21" t="n">
        <x:v>-0.0305300575953924</x:v>
      </x:c>
      <x:c r="K219" s="21" t="n">
        <x:v>-0.04596382289416845</x:v>
      </x:c>
      <x:c r="L219" s="36" t="n">
        <x:f>IF(Assumptions!$B$4=2030,I219,IF(Assumptions!$B$4=2035,J219,K219))</x:f>
        <x:v>-0.0305300575953924</x:v>
      </x:c>
      <x:c r="M219" s="36" t="n">
        <x:f>Assumptions!$B$19</x:f>
        <x:v>-0.04739891965741583</x:v>
      </x:c>
      <x:c r="N219" s="52" t="n">
        <x:f>H219*L219+(1-H219)*M219+O219</x:f>
        <x:v>-0.03306038690469591</x:v>
      </x:c>
      <x:c r="O219" s="36" t="n">
        <x:f>Assumptions!$B$10</x:f>
        <x:v>0</x:v>
      </x:c>
      <x:c r="P219" s="54" t="n">
        <x:f>E219*(1+N219)</x:f>
        <x:v>1792.7060426786938</x:v>
      </x:c>
      <x:c r="Q219" s="54" t="n">
        <x:f>P219-E219</x:f>
        <x:v>-61.29395732130615</x:v>
      </x:c>
      <x:c r="R219" s="16" t="str">
        <x:v>Yes</x:v>
      </x:c>
      <x:c r="S219" s="56" t="n">
        <x:v>26046</x:v>
      </x:c>
      <x:c r="T219" s="56" t="n">
        <x:v>15305</x:v>
      </x:c>
      <x:c r="U219" s="40" t="n">
        <x:f>E219*Assumptions!$B$8</x:f>
        <x:v>1575.8999999999999</x:v>
      </x:c>
      <x:c r="V219" s="40" t="n">
        <x:f>P219*Assumptions!$B$8</x:f>
        <x:v>1523.8001362768898</x:v>
      </x:c>
      <x:c r="W219" s="54" t="n">
        <x:f>V219-U219</x:f>
        <x:v>-52.09986372311005</x:v>
      </x:c>
      <x:c r="X219" s="58" t="n">
        <x:f>IF(R219="No","",W219*S219)</x:f>
        <x:v>-1356993.0505321242</x:v>
      </x:c>
      <x:c r="Y219" s="58" t="n">
        <x:f>IF(R219="No","",W219*T219*Assumptions!$B$9)</x:f>
        <x:v>-239216.52428465977</x:v>
      </x:c>
      <x:c r="Z219" s="58" t="n">
        <x:f>IF(R219="No","",X219-Y219)</x:f>
        <x:v>-1117776.5262474646</x:v>
      </x:c>
      <x:c r="AA219" s="58" t="n">
        <x:f>IF(R219="No","",MAX(0,-Z219))</x:f>
        <x:v>1117776.5262474646</x:v>
      </x:c>
      <x:c r="AB219" s="52" t="n">
        <x:f>IF(OR(R219="No",U219*S219=0),"",AA219/(U219*S219))</x:f>
        <x:v>0.027232360855670552</x:v>
      </x:c>
      <x:c r="AC219" s="54" t="n">
        <x:f>IF(OR(R219="No",S219-T219*Assumptions!$B$9&lt;=0),"",AA219/(Assumptions!$B$8*(S219-T219*Assumptions!$B$9)))</x:f>
        <x:v>61.29395732130594</x:v>
      </x:c>
      <x:c r="AD219" s="52" t="n">
        <x:f>IF(OR(R219="No",U219*S219=0),"",AA219/(U219*S219))</x:f>
        <x:v>0.027232360855670552</x:v>
      </x:c>
      <x:c r="AE219" s="50" t="str">
        <x:f>IF(R219="No","No finance data",IF(AB219&gt;=10%,"Severe",IF(AB219&gt;=5%,"High",IF(AB219&gt;=2%,"Moderate","Low"))))</x:f>
        <x:v>Moderate</x:v>
      </x:c>
      <x:c r="AF219" s="60" t="n">
        <x:v>41.379833</x:v>
      </x:c>
      <x:c r="AG219" s="60" t="n">
        <x:v>-72.107321</x:v>
      </x:c>
      <x:c r="AH219" s="44" t="str">
        <x:v>Undergraduate tuition-contribution proxy only; not an audited total institutional budget.</x:v>
      </x:c>
    </x:row>
    <x:row r="220">
      <x:c r="A220" s="16" t="n">
        <x:v>129215</x:v>
      </x:c>
      <x:c r="B220" s="16" t="str">
        <x:v>Eastern Connecticut State University</x:v>
      </x:c>
      <x:c r="C220" s="16" t="str">
        <x:v>CT</x:v>
      </x:c>
      <x:c r="D220" s="16" t="str">
        <x:v>Public</x:v>
      </x:c>
      <x:c r="E220" s="34" t="n">
        <x:v>4767</x:v>
      </x:c>
      <x:c r="F220" s="21" t="n">
        <x:v>0.732</x:v>
      </x:c>
      <x:c r="G220" s="16" t="str">
        <x:v>Regional</x:v>
      </x:c>
      <x:c r="H220" s="36" t="n">
        <x:f>IF(G220="National",Assumptions!$B$11,IF(G220="Statewide",Assumptions!$B$12,Assumptions!$B$13))</x:f>
        <x:v>0.85</x:v>
      </x:c>
      <x:c r="I220" s="21" t="n">
        <x:v>-0.043196544276457916</x:v>
      </x:c>
      <x:c r="J220" s="21" t="n">
        <x:v>-0.0305300575953924</x:v>
      </x:c>
      <x:c r="K220" s="21" t="n">
        <x:v>-0.04596382289416845</x:v>
      </x:c>
      <x:c r="L220" s="36" t="n">
        <x:f>IF(Assumptions!$B$4=2030,I220,IF(Assumptions!$B$4=2035,J220,K220))</x:f>
        <x:v>-0.0305300575953924</x:v>
      </x:c>
      <x:c r="M220" s="36" t="n">
        <x:f>Assumptions!$B$19</x:f>
        <x:v>-0.04739891965741583</x:v>
      </x:c>
      <x:c r="N220" s="52" t="n">
        <x:f>H220*L220+(1-H220)*M220+O220</x:f>
        <x:v>-0.03306038690469591</x:v>
      </x:c>
      <x:c r="O220" s="36" t="n">
        <x:f>Assumptions!$B$10</x:f>
        <x:v>0</x:v>
      </x:c>
      <x:c r="P220" s="54" t="n">
        <x:f>E220*(1+N220)</x:f>
        <x:v>4609.401135625315</x:v>
      </x:c>
      <x:c r="Q220" s="54" t="n">
        <x:f>P220-E220</x:f>
        <x:v>-157.59886437468504</x:v>
      </x:c>
      <x:c r="R220" s="16" t="str">
        <x:v>Yes</x:v>
      </x:c>
      <x:c r="S220" s="56" t="n">
        <x:v>9326</x:v>
      </x:c>
      <x:c r="T220" s="56" t="n">
        <x:v>15572</x:v>
      </x:c>
      <x:c r="U220" s="40" t="n">
        <x:f>E220*Assumptions!$B$8</x:f>
        <x:v>4051.95</x:v>
      </x:c>
      <x:c r="V220" s="40" t="n">
        <x:f>P220*Assumptions!$B$8</x:f>
        <x:v>3917.9909652815177</x:v>
      </x:c>
      <x:c r="W220" s="54" t="n">
        <x:f>V220-U220</x:f>
        <x:v>-133.95903471848214</x:v>
      </x:c>
      <x:c r="X220" s="58" t="n">
        <x:f>IF(R220="No","",W220*S220)</x:f>
        <x:v>-1249301.9577845645</x:v>
      </x:c>
      <x:c r="Y220" s="58" t="n">
        <x:f>IF(R220="No","",W220*T220*Assumptions!$B$9)</x:f>
        <x:v>-625803.0265908611</x:v>
      </x:c>
      <x:c r="Z220" s="58" t="n">
        <x:f>IF(R220="No","",X220-Y220)</x:f>
        <x:v>-623498.9311937033</x:v>
      </x:c>
      <x:c r="AA220" s="58" t="n">
        <x:f>IF(R220="No","",MAX(0,-Z220))</x:f>
        <x:v>623498.9311937033</x:v>
      </x:c>
      <x:c r="AB220" s="52" t="n">
        <x:f>IF(OR(R220="No",U220*S220=0),"",AA220/(U220*S220))</x:f>
        <x:v>0.01649970671340512</x:v>
      </x:c>
      <x:c r="AC220" s="54" t="n">
        <x:f>IF(OR(R220="No",S220-T220*Assumptions!$B$9&lt;=0),"",AA220/(Assumptions!$B$8*(S220-T220*Assumptions!$B$9)))</x:f>
        <x:v>157.59886437468487</x:v>
      </x:c>
      <x:c r="AD220" s="52" t="n">
        <x:f>IF(OR(R220="No",U220*S220=0),"",AA220/(U220*S220))</x:f>
        <x:v>0.01649970671340512</x:v>
      </x:c>
      <x:c r="AE220" s="50" t="str">
        <x:f>IF(R220="No","No finance data",IF(AB220&gt;=10%,"Severe",IF(AB220&gt;=5%,"High",IF(AB220&gt;=2%,"Moderate","Low"))))</x:f>
        <x:v>Low</x:v>
      </x:c>
      <x:c r="AF220" s="60" t="n">
        <x:v>41.721673</x:v>
      </x:c>
      <x:c r="AG220" s="60" t="n">
        <x:v>-72.218753</x:v>
      </x:c>
      <x:c r="AH220" s="44" t="str">
        <x:v>Undergraduate tuition-contribution proxy only; not an audited total institutional budget.</x:v>
      </x:c>
    </x:row>
    <x:row r="221">
      <x:c r="A221" s="16" t="n">
        <x:v>129242</x:v>
      </x:c>
      <x:c r="B221" s="16" t="str">
        <x:v>Fairfield University</x:v>
      </x:c>
      <x:c r="C221" s="16" t="str">
        <x:v>CT</x:v>
      </x:c>
      <x:c r="D221" s="16" t="str">
        <x:v>Private nonprofit</x:v>
      </x:c>
      <x:c r="E221" s="34" t="n">
        <x:v>3863</x:v>
      </x:c>
      <x:c r="F221" s="21" t="n">
        <x:v>0.5581</x:v>
      </x:c>
      <x:c r="G221" s="16" t="str">
        <x:v>Regional</x:v>
      </x:c>
      <x:c r="H221" s="36" t="n">
        <x:f>IF(G221="National",Assumptions!$B$11,IF(G221="Statewide",Assumptions!$B$12,Assumptions!$B$13))</x:f>
        <x:v>0.85</x:v>
      </x:c>
      <x:c r="I221" s="21" t="n">
        <x:v>-0.043196544276457916</x:v>
      </x:c>
      <x:c r="J221" s="21" t="n">
        <x:v>-0.0305300575953924</x:v>
      </x:c>
      <x:c r="K221" s="21" t="n">
        <x:v>-0.04596382289416845</x:v>
      </x:c>
      <x:c r="L221" s="36" t="n">
        <x:f>IF(Assumptions!$B$4=2030,I221,IF(Assumptions!$B$4=2035,J221,K221))</x:f>
        <x:v>-0.0305300575953924</x:v>
      </x:c>
      <x:c r="M221" s="36" t="n">
        <x:f>Assumptions!$B$19</x:f>
        <x:v>-0.04739891965741583</x:v>
      </x:c>
      <x:c r="N221" s="52" t="n">
        <x:f>H221*L221+(1-H221)*M221+O221</x:f>
        <x:v>-0.03306038690469591</x:v>
      </x:c>
      <x:c r="O221" s="36" t="n">
        <x:f>Assumptions!$B$10</x:f>
        <x:v>0</x:v>
      </x:c>
      <x:c r="P221" s="54" t="n">
        <x:f>E221*(1+N221)</x:f>
        <x:v>3735.2877253871598</x:v>
      </x:c>
      <x:c r="Q221" s="54" t="n">
        <x:f>P221-E221</x:f>
        <x:v>-127.71227461284025</x:v>
      </x:c>
      <x:c r="R221" s="16" t="str">
        <x:v>Yes</x:v>
      </x:c>
      <x:c r="S221" s="56" t="n">
        <x:v>27902</x:v>
      </x:c>
      <x:c r="T221" s="56" t="n">
        <x:v>14076</x:v>
      </x:c>
      <x:c r="U221" s="40" t="n">
        <x:f>E221*Assumptions!$B$8</x:f>
        <x:v>3283.5499999999997</x:v>
      </x:c>
      <x:c r="V221" s="40" t="n">
        <x:f>P221*Assumptions!$B$8</x:f>
        <x:v>3174.9945665790856</x:v>
      </x:c>
      <x:c r="W221" s="54" t="n">
        <x:f>V221-U221</x:f>
        <x:v>-108.55543342091414</x:v>
      </x:c>
      <x:c r="X221" s="58" t="n">
        <x:f>IF(R221="No","",W221*S221)</x:f>
        <x:v>-3028913.703310346</x:v>
      </x:c>
      <x:c r="Y221" s="58" t="n">
        <x:f>IF(R221="No","",W221*T221*Assumptions!$B$9)</x:f>
        <x:v>-458407.88424983626</x:v>
      </x:c>
      <x:c r="Z221" s="58" t="n">
        <x:f>IF(R221="No","",X221-Y221)</x:f>
        <x:v>-2570505.81906051</x:v>
      </x:c>
      <x:c r="AA221" s="58" t="n">
        <x:f>IF(R221="No","",MAX(0,-Z221))</x:f>
        <x:v>2570505.81906051</x:v>
      </x:c>
      <x:c r="AB221" s="52" t="n">
        <x:f>IF(OR(R221="No",U221*S221=0),"",AA221/(U221*S221))</x:f>
        <x:v>0.028056896050235633</x:v>
      </x:c>
      <x:c r="AC221" s="54" t="n">
        <x:f>IF(OR(R221="No",S221-T221*Assumptions!$B$9&lt;=0),"",AA221/(Assumptions!$B$8*(S221-T221*Assumptions!$B$9)))</x:f>
        <x:v>127.71227461284016</x:v>
      </x:c>
      <x:c r="AD221" s="52" t="n">
        <x:f>IF(OR(R221="No",U221*S221=0),"",AA221/(U221*S221))</x:f>
        <x:v>0.028056896050235633</x:v>
      </x:c>
      <x:c r="AE221" s="50" t="str">
        <x:f>IF(R221="No","No finance data",IF(AB221&gt;=10%,"Severe",IF(AB221&gt;=5%,"High",IF(AB221&gt;=2%,"Moderate","Low"))))</x:f>
        <x:v>Moderate</x:v>
      </x:c>
      <x:c r="AF221" s="60" t="n">
        <x:v>41.157673</x:v>
      </x:c>
      <x:c r="AG221" s="60" t="n">
        <x:v>-73.255903</x:v>
      </x:c>
      <x:c r="AH221" s="44" t="str">
        <x:v>Undergraduate tuition-contribution proxy only; not an audited total institutional budget.</x:v>
      </x:c>
    </x:row>
    <x:row r="222">
      <x:c r="A222" s="16" t="n">
        <x:v>129534</x:v>
      </x:c>
      <x:c r="B222" s="16" t="str">
        <x:v>Holy Apostles College and Seminary</x:v>
      </x:c>
      <x:c r="C222" s="16" t="str">
        <x:v>CT</x:v>
      </x:c>
      <x:c r="D222" s="16" t="str">
        <x:v>Private nonprofit</x:v>
      </x:c>
      <x:c r="E222" s="34" t="n">
        <x:v>95</x:v>
      </x:c>
      <x:c r="F222" s="21"/>
      <x:c r="G222" s="16" t="str">
        <x:v>Regional</x:v>
      </x:c>
      <x:c r="H222" s="36" t="n">
        <x:f>IF(G222="National",Assumptions!$B$11,IF(G222="Statewide",Assumptions!$B$12,Assumptions!$B$13))</x:f>
        <x:v>0.85</x:v>
      </x:c>
      <x:c r="I222" s="21" t="n">
        <x:v>-0.043196544276457916</x:v>
      </x:c>
      <x:c r="J222" s="21" t="n">
        <x:v>-0.0305300575953924</x:v>
      </x:c>
      <x:c r="K222" s="21" t="n">
        <x:v>-0.04596382289416845</x:v>
      </x:c>
      <x:c r="L222" s="36" t="n">
        <x:f>IF(Assumptions!$B$4=2030,I222,IF(Assumptions!$B$4=2035,J222,K222))</x:f>
        <x:v>-0.0305300575953924</x:v>
      </x:c>
      <x:c r="M222" s="36" t="n">
        <x:f>Assumptions!$B$19</x:f>
        <x:v>-0.04739891965741583</x:v>
      </x:c>
      <x:c r="N222" s="52" t="n">
        <x:f>H222*L222+(1-H222)*M222+O222</x:f>
        <x:v>-0.03306038690469591</x:v>
      </x:c>
      <x:c r="O222" s="36" t="n">
        <x:f>Assumptions!$B$10</x:f>
        <x:v>0</x:v>
      </x:c>
      <x:c r="P222" s="54" t="n">
        <x:f>E222*(1+N222)</x:f>
        <x:v>91.85926324405389</x:v>
      </x:c>
      <x:c r="Q222" s="54" t="n">
        <x:f>P222-E222</x:f>
        <x:v>-3.140736755946108</x:v>
      </x:c>
      <x:c r="R222" s="16" t="str">
        <x:v>No</x:v>
      </x:c>
      <x:c r="S222" s="56"/>
      <x:c r="T222" s="56"/>
      <x:c r="U222" s="40" t="n">
        <x:f>E222*Assumptions!$B$8</x:f>
        <x:v>80.75</x:v>
      </x:c>
      <x:c r="V222" s="40" t="n">
        <x:f>P222*Assumptions!$B$8</x:f>
        <x:v>78.08037375744581</x:v>
      </x:c>
      <x:c r="W222" s="54" t="n">
        <x:f>V222-U222</x:f>
        <x:v>-2.6696262425541875</x:v>
      </x:c>
      <x:c r="X222" s="58" t="str">
        <x:f>IF(R222="No","",W222*S222)</x:f>
      </x:c>
      <x:c r="Y222" s="58" t="str">
        <x:f>IF(R222="No","",W222*T222*Assumptions!$B$9)</x:f>
      </x:c>
      <x:c r="Z222" s="58" t="str">
        <x:f>IF(R222="No","",X222-Y222)</x:f>
      </x:c>
      <x:c r="AA222" s="58" t="str">
        <x:f>IF(R222="No","",MAX(0,-Z222))</x:f>
      </x:c>
      <x:c r="AB222" s="52" t="str">
        <x:f>IF(OR(R222="No",U222*S222=0),"",AA222/(U222*S222))</x:f>
      </x:c>
      <x:c r="AC222" s="54" t="str">
        <x:f>IF(OR(R222="No",S222-T222*Assumptions!$B$9&lt;=0),"",AA222/(Assumptions!$B$8*(S222-T222*Assumptions!$B$9)))</x:f>
      </x:c>
      <x:c r="AD222" s="52" t="str">
        <x:f>IF(OR(R222="No",U222*S222=0),"",AA222/(U222*S222))</x:f>
      </x:c>
      <x:c r="AE222" s="50" t="str">
        <x:f>IF(R222="No","No finance data",IF(AB222&gt;=10%,"Severe",IF(AB222&gt;=5%,"High",IF(AB222&gt;=2%,"Moderate","Low"))))</x:f>
        <x:v>No finance data</x:v>
      </x:c>
      <x:c r="AF222" s="60"/>
      <x:c r="AG222" s="60"/>
      <x:c r="AH222" s="44" t="str">
        <x:v>Undergraduate tuition-contribution proxy only; not an audited total institutional budget.</x:v>
      </x:c>
    </x:row>
    <x:row r="223">
      <x:c r="A223" s="16" t="n">
        <x:v>129774</x:v>
      </x:c>
      <x:c r="B223" s="16" t="str">
        <x:v>Mitchell College</x:v>
      </x:c>
      <x:c r="C223" s="16" t="str">
        <x:v>CT</x:v>
      </x:c>
      <x:c r="D223" s="16" t="str">
        <x:v>Private nonprofit</x:v>
      </x:c>
      <x:c r="E223" s="34" t="n">
        <x:v>659</x:v>
      </x:c>
      <x:c r="F223" s="21" t="n">
        <x:v>0.7799</x:v>
      </x:c>
      <x:c r="G223" s="16" t="str">
        <x:v>Regional</x:v>
      </x:c>
      <x:c r="H223" s="36" t="n">
        <x:f>IF(G223="National",Assumptions!$B$11,IF(G223="Statewide",Assumptions!$B$12,Assumptions!$B$13))</x:f>
        <x:v>0.85</x:v>
      </x:c>
      <x:c r="I223" s="21" t="n">
        <x:v>-0.043196544276457916</x:v>
      </x:c>
      <x:c r="J223" s="21" t="n">
        <x:v>-0.0305300575953924</x:v>
      </x:c>
      <x:c r="K223" s="21" t="n">
        <x:v>-0.04596382289416845</x:v>
      </x:c>
      <x:c r="L223" s="36" t="n">
        <x:f>IF(Assumptions!$B$4=2030,I223,IF(Assumptions!$B$4=2035,J223,K223))</x:f>
        <x:v>-0.0305300575953924</x:v>
      </x:c>
      <x:c r="M223" s="36" t="n">
        <x:f>Assumptions!$B$19</x:f>
        <x:v>-0.04739891965741583</x:v>
      </x:c>
      <x:c r="N223" s="52" t="n">
        <x:f>H223*L223+(1-H223)*M223+O223</x:f>
        <x:v>-0.03306038690469591</x:v>
      </x:c>
      <x:c r="O223" s="36" t="n">
        <x:f>Assumptions!$B$10</x:f>
        <x:v>0</x:v>
      </x:c>
      <x:c r="P223" s="54" t="n">
        <x:f>E223*(1+N223)</x:f>
        <x:v>637.2132050298054</x:v>
      </x:c>
      <x:c r="Q223" s="54" t="n">
        <x:f>P223-E223</x:f>
        <x:v>-21.78679497019459</x:v>
      </x:c>
      <x:c r="R223" s="16" t="str">
        <x:v>Yes</x:v>
      </x:c>
      <x:c r="S223" s="56" t="n">
        <x:v>28537</x:v>
      </x:c>
      <x:c r="T223" s="56" t="n">
        <x:v>5492</x:v>
      </x:c>
      <x:c r="U223" s="40" t="n">
        <x:f>E223*Assumptions!$B$8</x:f>
        <x:v>560.15</x:v>
      </x:c>
      <x:c r="V223" s="40" t="n">
        <x:f>P223*Assumptions!$B$8</x:f>
        <x:v>541.6312242753346</x:v>
      </x:c>
      <x:c r="W223" s="54" t="n">
        <x:f>V223-U223</x:f>
        <x:v>-18.518775724665375</x:v>
      </x:c>
      <x:c r="X223" s="58" t="n">
        <x:f>IF(R223="No","",W223*S223)</x:f>
        <x:v>-528470.3028547758</x:v>
      </x:c>
      <x:c r="Y223" s="58" t="n">
        <x:f>IF(R223="No","",W223*T223*Assumptions!$B$9)</x:f>
        <x:v>-30511.53488395867</x:v>
      </x:c>
      <x:c r="Z223" s="58" t="n">
        <x:f>IF(R223="No","",X223-Y223)</x:f>
        <x:v>-497958.7679708171</x:v>
      </x:c>
      <x:c r="AA223" s="58" t="n">
        <x:f>IF(R223="No","",MAX(0,-Z223))</x:f>
        <x:v>497958.7679708171</x:v>
      </x:c>
      <x:c r="AB223" s="52" t="n">
        <x:f>IF(OR(R223="No",U223*S223=0),"",AA223/(U223*S223))</x:f>
        <x:v>0.031151626577255086</x:v>
      </x:c>
      <x:c r="AC223" s="54" t="n">
        <x:f>IF(OR(R223="No",S223-T223*Assumptions!$B$9&lt;=0),"",AA223/(Assumptions!$B$8*(S223-T223*Assumptions!$B$9)))</x:f>
        <x:v>21.786794970194556</x:v>
      </x:c>
      <x:c r="AD223" s="52" t="n">
        <x:f>IF(OR(R223="No",U223*S223=0),"",AA223/(U223*S223))</x:f>
        <x:v>0.031151626577255086</x:v>
      </x:c>
      <x:c r="AE223" s="50" t="str">
        <x:f>IF(R223="No","No finance data",IF(AB223&gt;=10%,"Severe",IF(AB223&gt;=5%,"High",IF(AB223&gt;=2%,"Moderate","Low"))))</x:f>
        <x:v>Moderate</x:v>
      </x:c>
      <x:c r="AF223" s="60" t="n">
        <x:v>41.328013</x:v>
      </x:c>
      <x:c r="AG223" s="60" t="n">
        <x:v>-72.09523</x:v>
      </x:c>
      <x:c r="AH223" s="44" t="str">
        <x:v>Undergraduate tuition-contribution proxy only; not an audited total institutional budget.</x:v>
      </x:c>
    </x:row>
    <x:row r="224">
      <x:c r="A224" s="16" t="n">
        <x:v>130226</x:v>
      </x:c>
      <x:c r="B224" s="16" t="str">
        <x:v>Quinnipiac University</x:v>
      </x:c>
      <x:c r="C224" s="16" t="str">
        <x:v>CT</x:v>
      </x:c>
      <x:c r="D224" s="16" t="str">
        <x:v>Private nonprofit</x:v>
      </x:c>
      <x:c r="E224" s="34" t="n">
        <x:v>6931</x:v>
      </x:c>
      <x:c r="F224" s="21" t="n">
        <x:v>0.8812</x:v>
      </x:c>
      <x:c r="G224" s="16" t="str">
        <x:v>Regional</x:v>
      </x:c>
      <x:c r="H224" s="36" t="n">
        <x:f>IF(G224="National",Assumptions!$B$11,IF(G224="Statewide",Assumptions!$B$12,Assumptions!$B$13))</x:f>
        <x:v>0.85</x:v>
      </x:c>
      <x:c r="I224" s="21" t="n">
        <x:v>-0.043196544276457916</x:v>
      </x:c>
      <x:c r="J224" s="21" t="n">
        <x:v>-0.0305300575953924</x:v>
      </x:c>
      <x:c r="K224" s="21" t="n">
        <x:v>-0.04596382289416845</x:v>
      </x:c>
      <x:c r="L224" s="36" t="n">
        <x:f>IF(Assumptions!$B$4=2030,I224,IF(Assumptions!$B$4=2035,J224,K224))</x:f>
        <x:v>-0.0305300575953924</x:v>
      </x:c>
      <x:c r="M224" s="36" t="n">
        <x:f>Assumptions!$B$19</x:f>
        <x:v>-0.04739891965741583</x:v>
      </x:c>
      <x:c r="N224" s="52" t="n">
        <x:f>H224*L224+(1-H224)*M224+O224</x:f>
        <x:v>-0.03306038690469591</x:v>
      </x:c>
      <x:c r="O224" s="36" t="n">
        <x:f>Assumptions!$B$10</x:f>
        <x:v>0</x:v>
      </x:c>
      <x:c r="P224" s="54" t="n">
        <x:f>E224*(1+N224)</x:f>
        <x:v>6701.858458363553</x:v>
      </x:c>
      <x:c r="Q224" s="54" t="n">
        <x:f>P224-E224</x:f>
        <x:v>-229.14154163644707</x:v>
      </x:c>
      <x:c r="R224" s="16" t="str">
        <x:v>Yes</x:v>
      </x:c>
      <x:c r="S224" s="56" t="n">
        <x:v>26605</x:v>
      </x:c>
      <x:c r="T224" s="56" t="n">
        <x:v>14938</x:v>
      </x:c>
      <x:c r="U224" s="40" t="n">
        <x:f>E224*Assumptions!$B$8</x:f>
        <x:v>5891.349999999999</x:v>
      </x:c>
      <x:c r="V224" s="40" t="n">
        <x:f>P224*Assumptions!$B$8</x:f>
        <x:v>5696.57968960902</x:v>
      </x:c>
      <x:c r="W224" s="54" t="n">
        <x:f>V224-U224</x:f>
        <x:v>-194.77031039097983</x:v>
      </x:c>
      <x:c r="X224" s="58" t="n">
        <x:f>IF(R224="No","",W224*S224)</x:f>
        <x:v>-5181864.107952018</x:v>
      </x:c>
      <x:c r="Y224" s="58" t="n">
        <x:f>IF(R224="No","",W224*T224*Assumptions!$B$9)</x:f>
        <x:v>-872843.6689861369</x:v>
      </x:c>
      <x:c r="Z224" s="58" t="n">
        <x:f>IF(R224="No","",X224-Y224)</x:f>
        <x:v>-4309020.438965881</x:v>
      </x:c>
      <x:c r="AA224" s="58" t="n">
        <x:f>IF(R224="No","",MAX(0,-Z224))</x:f>
        <x:v>4309020.438965881</x:v>
      </x:c>
      <x:c r="AB224" s="52" t="n">
        <x:f>IF(OR(R224="No",U224*S224=0),"",AA224/(U224*S224))</x:f>
        <x:v>0.02749162848053858</x:v>
      </x:c>
      <x:c r="AC224" s="54" t="n">
        <x:f>IF(OR(R224="No",S224-T224*Assumptions!$B$9&lt;=0),"",AA224/(Assumptions!$B$8*(S224-T224*Assumptions!$B$9)))</x:f>
        <x:v>229.14154163644687</x:v>
      </x:c>
      <x:c r="AD224" s="52" t="n">
        <x:f>IF(OR(R224="No",U224*S224=0),"",AA224/(U224*S224))</x:f>
        <x:v>0.02749162848053858</x:v>
      </x:c>
      <x:c r="AE224" s="50" t="str">
        <x:f>IF(R224="No","No finance data",IF(AB224&gt;=10%,"Severe",IF(AB224&gt;=5%,"High",IF(AB224&gt;=2%,"Moderate","Low"))))</x:f>
        <x:v>Moderate</x:v>
      </x:c>
      <x:c r="AF224" s="60" t="n">
        <x:v>41.418915</x:v>
      </x:c>
      <x:c r="AG224" s="60" t="n">
        <x:v>-72.894117</x:v>
      </x:c>
      <x:c r="AH224" s="44" t="str">
        <x:v>Undergraduate tuition-contribution proxy only; not an audited total institutional budget.</x:v>
      </x:c>
    </x:row>
    <x:row r="225">
      <x:c r="A225" s="16" t="n">
        <x:v>130253</x:v>
      </x:c>
      <x:c r="B225" s="16" t="str">
        <x:v>Sacred Heart University</x:v>
      </x:c>
      <x:c r="C225" s="16" t="str">
        <x:v>CT</x:v>
      </x:c>
      <x:c r="D225" s="16" t="str">
        <x:v>Private nonprofit</x:v>
      </x:c>
      <x:c r="E225" s="34" t="n">
        <x:v>5109</x:v>
      </x:c>
      <x:c r="F225" s="21" t="n">
        <x:v>0.6612</x:v>
      </x:c>
      <x:c r="G225" s="16" t="str">
        <x:v>Regional</x:v>
      </x:c>
      <x:c r="H225" s="36" t="n">
        <x:f>IF(G225="National",Assumptions!$B$11,IF(G225="Statewide",Assumptions!$B$12,Assumptions!$B$13))</x:f>
        <x:v>0.85</x:v>
      </x:c>
      <x:c r="I225" s="21" t="n">
        <x:v>-0.043196544276457916</x:v>
      </x:c>
      <x:c r="J225" s="21" t="n">
        <x:v>-0.0305300575953924</x:v>
      </x:c>
      <x:c r="K225" s="21" t="n">
        <x:v>-0.04596382289416845</x:v>
      </x:c>
      <x:c r="L225" s="36" t="n">
        <x:f>IF(Assumptions!$B$4=2030,I225,IF(Assumptions!$B$4=2035,J225,K225))</x:f>
        <x:v>-0.0305300575953924</x:v>
      </x:c>
      <x:c r="M225" s="36" t="n">
        <x:f>Assumptions!$B$19</x:f>
        <x:v>-0.04739891965741583</x:v>
      </x:c>
      <x:c r="N225" s="52" t="n">
        <x:f>H225*L225+(1-H225)*M225+O225</x:f>
        <x:v>-0.03306038690469591</x:v>
      </x:c>
      <x:c r="O225" s="36" t="n">
        <x:f>Assumptions!$B$10</x:f>
        <x:v>0</x:v>
      </x:c>
      <x:c r="P225" s="54" t="n">
        <x:f>E225*(1+N225)</x:f>
        <x:v>4940.094483303908</x:v>
      </x:c>
      <x:c r="Q225" s="54" t="n">
        <x:f>P225-E225</x:f>
        <x:v>-168.90551669609158</x:v>
      </x:c>
      <x:c r="R225" s="16" t="str">
        <x:v>Yes</x:v>
      </x:c>
      <x:c r="S225" s="56" t="n">
        <x:v>23555</x:v>
      </x:c>
      <x:c r="T225" s="56" t="n">
        <x:v>9442</x:v>
      </x:c>
      <x:c r="U225" s="40" t="n">
        <x:f>E225*Assumptions!$B$8</x:f>
        <x:v>4342.65</x:v>
      </x:c>
      <x:c r="V225" s="40" t="n">
        <x:f>P225*Assumptions!$B$8</x:f>
        <x:v>4199.080310808322</x:v>
      </x:c>
      <x:c r="W225" s="54" t="n">
        <x:f>V225-U225</x:f>
        <x:v>-143.56968919167775</x:v>
      </x:c>
      <x:c r="X225" s="58" t="n">
        <x:f>IF(R225="No","",W225*S225)</x:f>
        <x:v>-3381784.0289099696</x:v>
      </x:c>
      <x:c r="Y225" s="58" t="n">
        <x:f>IF(R225="No","",W225*T225*Assumptions!$B$9)</x:f>
        <x:v>-406675.5016043464</x:v>
      </x:c>
      <x:c r="Z225" s="58" t="n">
        <x:f>IF(R225="No","",X225-Y225)</x:f>
        <x:v>-2975108.527305623</x:v>
      </x:c>
      <x:c r="AA225" s="58" t="n">
        <x:f>IF(R225="No","",MAX(0,-Z225))</x:f>
        <x:v>2975108.527305623</x:v>
      </x:c>
      <x:c r="AB225" s="52" t="n">
        <x:f>IF(OR(R225="No",U225*S225=0),"",AA225/(U225*S225))</x:f>
        <x:v>0.02908471923557083</x:v>
      </x:c>
      <x:c r="AC225" s="54" t="n">
        <x:f>IF(OR(R225="No",S225-T225*Assumptions!$B$9&lt;=0),"",AA225/(Assumptions!$B$8*(S225-T225*Assumptions!$B$9)))</x:f>
        <x:v>168.90551669609147</x:v>
      </x:c>
      <x:c r="AD225" s="52" t="n">
        <x:f>IF(OR(R225="No",U225*S225=0),"",AA225/(U225*S225))</x:f>
        <x:v>0.02908471923557083</x:v>
      </x:c>
      <x:c r="AE225" s="50" t="str">
        <x:f>IF(R225="No","No finance data",IF(AB225&gt;=10%,"Severe",IF(AB225&gt;=5%,"High",IF(AB225&gt;=2%,"Moderate","Low"))))</x:f>
        <x:v>Moderate</x:v>
      </x:c>
      <x:c r="AF225" s="60" t="n">
        <x:v>41.220893</x:v>
      </x:c>
      <x:c r="AG225" s="60" t="n">
        <x:v>-73.243332</x:v>
      </x:c>
      <x:c r="AH225" s="44" t="str">
        <x:v>Undergraduate tuition-contribution proxy only; not an audited total institutional budget.</x:v>
      </x:c>
    </x:row>
    <x:row r="226">
      <x:c r="A226" s="16" t="n">
        <x:v>130493</x:v>
      </x:c>
      <x:c r="B226" s="16" t="str">
        <x:v>Southern Connecticut State University</x:v>
      </x:c>
      <x:c r="C226" s="16" t="str">
        <x:v>CT</x:v>
      </x:c>
      <x:c r="D226" s="16" t="str">
        <x:v>Public</x:v>
      </x:c>
      <x:c r="E226" s="34" t="n">
        <x:v>8106</x:v>
      </x:c>
      <x:c r="F226" s="21" t="n">
        <x:v>0.8293</x:v>
      </x:c>
      <x:c r="G226" s="16" t="str">
        <x:v>Statewide</x:v>
      </x:c>
      <x:c r="H226" s="36" t="n">
        <x:f>IF(G226="National",Assumptions!$B$11,IF(G226="Statewide",Assumptions!$B$12,Assumptions!$B$13))</x:f>
        <x:v>0.6</x:v>
      </x:c>
      <x:c r="I226" s="21" t="n">
        <x:v>-0.043196544276457916</x:v>
      </x:c>
      <x:c r="J226" s="21" t="n">
        <x:v>-0.0305300575953924</x:v>
      </x:c>
      <x:c r="K226" s="21" t="n">
        <x:v>-0.04596382289416845</x:v>
      </x:c>
      <x:c r="L226" s="36" t="n">
        <x:f>IF(Assumptions!$B$4=2030,I226,IF(Assumptions!$B$4=2035,J226,K226))</x:f>
        <x:v>-0.0305300575953924</x:v>
      </x:c>
      <x:c r="M226" s="36" t="n">
        <x:f>Assumptions!$B$19</x:f>
        <x:v>-0.04739891965741583</x:v>
      </x:c>
      <x:c r="N226" s="52" t="n">
        <x:f>H226*L226+(1-H226)*M226+O226</x:f>
        <x:v>-0.03727760242020177</x:v>
      </x:c>
      <x:c r="O226" s="36" t="n">
        <x:f>Assumptions!$B$10</x:f>
        <x:v>0</x:v>
      </x:c>
      <x:c r="P226" s="54" t="n">
        <x:f>E226*(1+N226)</x:f>
        <x:v>7803.827754781845</x:v>
      </x:c>
      <x:c r="Q226" s="54" t="n">
        <x:f>P226-E226</x:f>
        <x:v>-302.1722452181548</x:v>
      </x:c>
      <x:c r="R226" s="16" t="str">
        <x:v>Yes</x:v>
      </x:c>
      <x:c r="S226" s="56" t="n">
        <x:v>11066</x:v>
      </x:c>
      <x:c r="T226" s="56" t="n">
        <x:v>13964</x:v>
      </x:c>
      <x:c r="U226" s="40" t="n">
        <x:f>E226*Assumptions!$B$8</x:f>
        <x:v>6890.099999999999</x:v>
      </x:c>
      <x:c r="V226" s="40" t="n">
        <x:f>P226*Assumptions!$B$8</x:f>
        <x:v>6633.2535915645685</x:v>
      </x:c>
      <x:c r="W226" s="54" t="n">
        <x:f>V226-U226</x:f>
        <x:v>-256.84640843543093</x:v>
      </x:c>
      <x:c r="X226" s="58" t="n">
        <x:f>IF(R226="No","",W226*S226)</x:f>
        <x:v>-2842262.355746479</x:v>
      </x:c>
      <x:c r="Y226" s="58" t="n">
        <x:f>IF(R226="No","",W226*T226*Assumptions!$B$9)</x:f>
        <x:v>-1075980.974217707</x:v>
      </x:c>
      <x:c r="Z226" s="58" t="n">
        <x:f>IF(R226="No","",X226-Y226)</x:f>
        <x:v>-1766281.3815287717</x:v>
      </x:c>
      <x:c r="AA226" s="58" t="n">
        <x:f>IF(R226="No","",MAX(0,-Z226))</x:f>
        <x:v>1766281.3815287717</x:v>
      </x:c>
      <x:c r="AB226" s="52" t="n">
        <x:f>IF(OR(R226="No",U226*S226=0),"",AA226/(U226*S226))</x:f>
        <x:v>0.02316560783690966</x:v>
      </x:c>
      <x:c r="AC226" s="54" t="n">
        <x:f>IF(OR(R226="No",S226-T226*Assumptions!$B$9&lt;=0),"",AA226/(Assumptions!$B$8*(S226-T226*Assumptions!$B$9)))</x:f>
        <x:v>302.1722452181541</x:v>
      </x:c>
      <x:c r="AD226" s="52" t="n">
        <x:f>IF(OR(R226="No",U226*S226=0),"",AA226/(U226*S226))</x:f>
        <x:v>0.02316560783690966</x:v>
      </x:c>
      <x:c r="AE226" s="50" t="str">
        <x:f>IF(R226="No","No finance data",IF(AB226&gt;=10%,"Severe",IF(AB226&gt;=5%,"High",IF(AB226&gt;=2%,"Moderate","Low"))))</x:f>
        <x:v>Moderate</x:v>
      </x:c>
      <x:c r="AF226" s="60" t="n">
        <x:v>41.333225</x:v>
      </x:c>
      <x:c r="AG226" s="60" t="n">
        <x:v>-72.947897</x:v>
      </x:c>
      <x:c r="AH226" s="44" t="str">
        <x:v>Undergraduate tuition-contribution proxy only; not an audited total institutional budget.</x:v>
      </x:c>
    </x:row>
    <x:row r="227">
      <x:c r="A227" s="16" t="n">
        <x:v>130590</x:v>
      </x:c>
      <x:c r="B227" s="16" t="str">
        <x:v>Trinity College</x:v>
      </x:c>
      <x:c r="C227" s="16" t="str">
        <x:v>CT</x:v>
      </x:c>
      <x:c r="D227" s="16" t="str">
        <x:v>Private nonprofit</x:v>
      </x:c>
      <x:c r="E227" s="34" t="n">
        <x:v>2251</x:v>
      </x:c>
      <x:c r="F227" s="21" t="n">
        <x:v>0.3775</x:v>
      </x:c>
      <x:c r="G227" s="16" t="str">
        <x:v>Regional</x:v>
      </x:c>
      <x:c r="H227" s="36" t="n">
        <x:f>IF(G227="National",Assumptions!$B$11,IF(G227="Statewide",Assumptions!$B$12,Assumptions!$B$13))</x:f>
        <x:v>0.85</x:v>
      </x:c>
      <x:c r="I227" s="21" t="n">
        <x:v>-0.043196544276457916</x:v>
      </x:c>
      <x:c r="J227" s="21" t="n">
        <x:v>-0.0305300575953924</x:v>
      </x:c>
      <x:c r="K227" s="21" t="n">
        <x:v>-0.04596382289416845</x:v>
      </x:c>
      <x:c r="L227" s="36" t="n">
        <x:f>IF(Assumptions!$B$4=2030,I227,IF(Assumptions!$B$4=2035,J227,K227))</x:f>
        <x:v>-0.0305300575953924</x:v>
      </x:c>
      <x:c r="M227" s="36" t="n">
        <x:f>Assumptions!$B$19</x:f>
        <x:v>-0.04739891965741583</x:v>
      </x:c>
      <x:c r="N227" s="52" t="n">
        <x:f>H227*L227+(1-H227)*M227+O227</x:f>
        <x:v>-0.03306038690469591</x:v>
      </x:c>
      <x:c r="O227" s="36" t="n">
        <x:f>Assumptions!$B$10</x:f>
        <x:v>0</x:v>
      </x:c>
      <x:c r="P227" s="54" t="n">
        <x:f>E227*(1+N227)</x:f>
        <x:v>2176.5810690775293</x:v>
      </x:c>
      <x:c r="Q227" s="54" t="n">
        <x:f>P227-E227</x:f>
        <x:v>-74.41893092247074</x:v>
      </x:c>
      <x:c r="R227" s="16" t="str">
        <x:v>Yes</x:v>
      </x:c>
      <x:c r="S227" s="56" t="n">
        <x:v>31151</x:v>
      </x:c>
      <x:c r="T227" s="56" t="n">
        <x:v>26649</x:v>
      </x:c>
      <x:c r="U227" s="40" t="n">
        <x:f>E227*Assumptions!$B$8</x:f>
        <x:v>1913.35</x:v>
      </x:c>
      <x:c r="V227" s="40" t="n">
        <x:f>P227*Assumptions!$B$8</x:f>
        <x:v>1850.0939087158997</x:v>
      </x:c>
      <x:c r="W227" s="54" t="n">
        <x:f>V227-U227</x:f>
        <x:v>-63.256091284100194</x:v>
      </x:c>
      <x:c r="X227" s="58" t="n">
        <x:f>IF(R227="No","",W227*S227)</x:f>
        <x:v>-1970490.499591005</x:v>
      </x:c>
      <x:c r="Y227" s="58" t="n">
        <x:f>IF(R227="No","",W227*T227*Assumptions!$B$9)</x:f>
        <x:v>-505713.4729889958</x:v>
      </x:c>
      <x:c r="Z227" s="58" t="n">
        <x:f>IF(R227="No","",X227-Y227)</x:f>
        <x:v>-1464777.0266020093</x:v>
      </x:c>
      <x:c r="AA227" s="58" t="n">
        <x:f>IF(R227="No","",MAX(0,-Z227))</x:f>
        <x:v>1464777.0266020093</x:v>
      </x:c>
      <x:c r="AB227" s="52" t="n">
        <x:f>IF(OR(R227="No",U227*S227=0),"",AA227/(U227*S227))</x:f>
        <x:v>0.024575655268890672</x:v>
      </x:c>
      <x:c r="AC227" s="54" t="n">
        <x:f>IF(OR(R227="No",S227-T227*Assumptions!$B$9&lt;=0),"",AA227/(Assumptions!$B$8*(S227-T227*Assumptions!$B$9)))</x:f>
        <x:v>74.41893092247082</x:v>
      </x:c>
      <x:c r="AD227" s="52" t="n">
        <x:f>IF(OR(R227="No",U227*S227=0),"",AA227/(U227*S227))</x:f>
        <x:v>0.024575655268890672</x:v>
      </x:c>
      <x:c r="AE227" s="50" t="str">
        <x:f>IF(R227="No","No finance data",IF(AB227&gt;=10%,"Severe",IF(AB227&gt;=5%,"High",IF(AB227&gt;=2%,"Moderate","Low"))))</x:f>
        <x:v>Moderate</x:v>
      </x:c>
      <x:c r="AF227" s="60" t="n">
        <x:v>41.747451</x:v>
      </x:c>
      <x:c r="AG227" s="60" t="n">
        <x:v>-72.690882</x:v>
      </x:c>
      <x:c r="AH227" s="44" t="str">
        <x:v>Undergraduate tuition-contribution proxy only; not an audited total institutional budget.</x:v>
      </x:c>
    </x:row>
    <x:row r="228">
      <x:c r="A228" s="16" t="n">
        <x:v>128744</x:v>
      </x:c>
      <x:c r="B228" s="16" t="str">
        <x:v>University of Bridgeport</x:v>
      </x:c>
      <x:c r="C228" s="16" t="str">
        <x:v>CT</x:v>
      </x:c>
      <x:c r="D228" s="16" t="str">
        <x:v>Private nonprofit</x:v>
      </x:c>
      <x:c r="E228" s="34" t="n">
        <x:v>2897</x:v>
      </x:c>
      <x:c r="F228" s="21" t="n">
        <x:v>0.7314</x:v>
      </x:c>
      <x:c r="G228" s="16" t="str">
        <x:v>Regional</x:v>
      </x:c>
      <x:c r="H228" s="36" t="n">
        <x:f>IF(G228="National",Assumptions!$B$11,IF(G228="Statewide",Assumptions!$B$12,Assumptions!$B$13))</x:f>
        <x:v>0.85</x:v>
      </x:c>
      <x:c r="I228" s="21" t="n">
        <x:v>-0.043196544276457916</x:v>
      </x:c>
      <x:c r="J228" s="21" t="n">
        <x:v>-0.0305300575953924</x:v>
      </x:c>
      <x:c r="K228" s="21" t="n">
        <x:v>-0.04596382289416845</x:v>
      </x:c>
      <x:c r="L228" s="36" t="n">
        <x:f>IF(Assumptions!$B$4=2030,I228,IF(Assumptions!$B$4=2035,J228,K228))</x:f>
        <x:v>-0.0305300575953924</x:v>
      </x:c>
      <x:c r="M228" s="36" t="n">
        <x:f>Assumptions!$B$19</x:f>
        <x:v>-0.04739891965741583</x:v>
      </x:c>
      <x:c r="N228" s="52" t="n">
        <x:f>H228*L228+(1-H228)*M228+O228</x:f>
        <x:v>-0.03306038690469591</x:v>
      </x:c>
      <x:c r="O228" s="36" t="n">
        <x:f>Assumptions!$B$10</x:f>
        <x:v>0</x:v>
      </x:c>
      <x:c r="P228" s="54" t="n">
        <x:f>E228*(1+N228)</x:f>
        <x:v>2801.224059137096</x:v>
      </x:c>
      <x:c r="Q228" s="54" t="n">
        <x:f>P228-E228</x:f>
        <x:v>-95.77594086290401</x:v>
      </x:c>
      <x:c r="R228" s="16" t="str">
        <x:v>Yes</x:v>
      </x:c>
      <x:c r="S228" s="56" t="n">
        <x:v>16481</x:v>
      </x:c>
      <x:c r="T228" s="56" t="n">
        <x:v>7830</x:v>
      </x:c>
      <x:c r="U228" s="40" t="n">
        <x:f>E228*Assumptions!$B$8</x:f>
        <x:v>2462.45</x:v>
      </x:c>
      <x:c r="V228" s="40" t="n">
        <x:f>P228*Assumptions!$B$8</x:f>
        <x:v>2381.0404502665315</x:v>
      </x:c>
      <x:c r="W228" s="54" t="n">
        <x:f>V228-U228</x:f>
        <x:v>-81.40954973346834</x:v>
      </x:c>
      <x:c r="X228" s="58" t="n">
        <x:f>IF(R228="No","",W228*S228)</x:f>
        <x:v>-1341710.7891572916</x:v>
      </x:c>
      <x:c r="Y228" s="58" t="n">
        <x:f>IF(R228="No","",W228*T228*Assumptions!$B$9)</x:f>
        <x:v>-191231.03232391714</x:v>
      </x:c>
      <x:c r="Z228" s="58" t="n">
        <x:f>IF(R228="No","",X228-Y228)</x:f>
        <x:v>-1150479.7568333745</x:v>
      </x:c>
      <x:c r="AA228" s="58" t="n">
        <x:f>IF(R228="No","",MAX(0,-Z228))</x:f>
        <x:v>1150479.7568333745</x:v>
      </x:c>
      <x:c r="AB228" s="52" t="n">
        <x:f>IF(OR(R228="No",U228*S228=0),"",AA228/(U228*S228))</x:f>
        <x:v>0.028348364039631212</x:v>
      </x:c>
      <x:c r="AC228" s="54" t="n">
        <x:f>IF(OR(R228="No",S228-T228*Assumptions!$B$9&lt;=0),"",AA228/(Assumptions!$B$8*(S228-T228*Assumptions!$B$9)))</x:f>
        <x:v>95.77594086290394</x:v>
      </x:c>
      <x:c r="AD228" s="52" t="n">
        <x:f>IF(OR(R228="No",U228*S228=0),"",AA228/(U228*S228))</x:f>
        <x:v>0.028348364039631212</x:v>
      </x:c>
      <x:c r="AE228" s="50" t="str">
        <x:f>IF(R228="No","No finance data",IF(AB228&gt;=10%,"Severe",IF(AB228&gt;=5%,"High",IF(AB228&gt;=2%,"Moderate","Low"))))</x:f>
        <x:v>Moderate</x:v>
      </x:c>
      <x:c r="AF228" s="60" t="n">
        <x:v>41.164741</x:v>
      </x:c>
      <x:c r="AG228" s="60" t="n">
        <x:v>-73.190166</x:v>
      </x:c>
      <x:c r="AH228" s="44" t="str">
        <x:v>Undergraduate tuition-contribution proxy only; not an audited total institutional budget.</x:v>
      </x:c>
    </x:row>
    <x:row r="229">
      <x:c r="A229" s="16" t="n">
        <x:v>129020</x:v>
      </x:c>
      <x:c r="B229" s="16" t="str">
        <x:v>University of Connecticut</x:v>
      </x:c>
      <x:c r="C229" s="16" t="str">
        <x:v>CT</x:v>
      </x:c>
      <x:c r="D229" s="16" t="str">
        <x:v>Public</x:v>
      </x:c>
      <x:c r="E229" s="34" t="n">
        <x:v>18451</x:v>
      </x:c>
      <x:c r="F229" s="21" t="n">
        <x:v>0.556</x:v>
      </x:c>
      <x:c r="G229" s="16" t="str">
        <x:v>Statewide</x:v>
      </x:c>
      <x:c r="H229" s="36" t="n">
        <x:f>IF(G229="National",Assumptions!$B$11,IF(G229="Statewide",Assumptions!$B$12,Assumptions!$B$13))</x:f>
        <x:v>0.6</x:v>
      </x:c>
      <x:c r="I229" s="21" t="n">
        <x:v>-0.043196544276457916</x:v>
      </x:c>
      <x:c r="J229" s="21" t="n">
        <x:v>-0.0305300575953924</x:v>
      </x:c>
      <x:c r="K229" s="21" t="n">
        <x:v>-0.04596382289416845</x:v>
      </x:c>
      <x:c r="L229" s="36" t="n">
        <x:f>IF(Assumptions!$B$4=2030,I229,IF(Assumptions!$B$4=2035,J229,K229))</x:f>
        <x:v>-0.0305300575953924</x:v>
      </x:c>
      <x:c r="M229" s="36" t="n">
        <x:f>Assumptions!$B$19</x:f>
        <x:v>-0.04739891965741583</x:v>
      </x:c>
      <x:c r="N229" s="52" t="n">
        <x:f>H229*L229+(1-H229)*M229+O229</x:f>
        <x:v>-0.03727760242020177</x:v>
      </x:c>
      <x:c r="O229" s="36" t="n">
        <x:f>Assumptions!$B$10</x:f>
        <x:v>0</x:v>
      </x:c>
      <x:c r="P229" s="54" t="n">
        <x:f>E229*(1+N229)</x:f>
        <x:v>17763.190957744857</x:v>
      </x:c>
      <x:c r="Q229" s="54" t="n">
        <x:f>P229-E229</x:f>
        <x:v>-687.8090422551431</x:v>
      </x:c>
      <x:c r="R229" s="16" t="str">
        <x:v>Yes</x:v>
      </x:c>
      <x:c r="S229" s="56" t="n">
        <x:v>15891</x:v>
      </x:c>
      <x:c r="T229" s="56" t="n">
        <x:v>22290</x:v>
      </x:c>
      <x:c r="U229" s="40" t="n">
        <x:f>E229*Assumptions!$B$8</x:f>
        <x:v>15683.35</x:v>
      </x:c>
      <x:c r="V229" s="40" t="n">
        <x:f>P229*Assumptions!$B$8</x:f>
        <x:v>15098.712314083128</x:v>
      </x:c>
      <x:c r="W229" s="54" t="n">
        <x:f>V229-U229</x:f>
        <x:v>-584.6376859168722</x:v>
      </x:c>
      <x:c r="X229" s="58" t="n">
        <x:f>IF(R229="No","",W229*S229)</x:f>
        <x:v>-9290477.466905016</x:v>
      </x:c>
      <x:c r="Y229" s="58" t="n">
        <x:f>IF(R229="No","",W229*T229*Assumptions!$B$9)</x:f>
        <x:v>-3909472.2057261243</x:v>
      </x:c>
      <x:c r="Z229" s="58" t="n">
        <x:f>IF(R229="No","",X229-Y229)</x:f>
        <x:v>-5381005.261178892</x:v>
      </x:c>
      <x:c r="AA229" s="58" t="n">
        <x:f>IF(R229="No","",MAX(0,-Z229))</x:f>
        <x:v>5381005.261178892</x:v>
      </x:c>
      <x:c r="AB229" s="52" t="n">
        <x:f>IF(OR(R229="No",U229*S229=0),"",AA229/(U229*S229))</x:f>
        <x:v>0.02159102968192924</x:v>
      </x:c>
      <x:c r="AC229" s="54" t="n">
        <x:f>IF(OR(R229="No",S229-T229*Assumptions!$B$9&lt;=0),"",AA229/(Assumptions!$B$8*(S229-T229*Assumptions!$B$9)))</x:f>
        <x:v>687.8090422551438</x:v>
      </x:c>
      <x:c r="AD229" s="52" t="n">
        <x:f>IF(OR(R229="No",U229*S229=0),"",AA229/(U229*S229))</x:f>
        <x:v>0.02159102968192924</x:v>
      </x:c>
      <x:c r="AE229" s="50" t="str">
        <x:f>IF(R229="No","No finance data",IF(AB229&gt;=10%,"Severe",IF(AB229&gt;=5%,"High",IF(AB229&gt;=2%,"Moderate","Low"))))</x:f>
        <x:v>Moderate</x:v>
      </x:c>
      <x:c r="AF229" s="60" t="n">
        <x:v>41.809098</x:v>
      </x:c>
      <x:c r="AG229" s="60" t="n">
        <x:v>-72.249948</x:v>
      </x:c>
      <x:c r="AH229" s="44" t="str">
        <x:v>Undergraduate tuition-contribution proxy only; not an audited total institutional budget.</x:v>
      </x:c>
    </x:row>
    <x:row r="230">
      <x:c r="A230" s="16" t="n">
        <x:v>436827</x:v>
      </x:c>
      <x:c r="B230" s="16" t="str">
        <x:v>University of Connecticut-Avery Point</x:v>
      </x:c>
      <x:c r="C230" s="16" t="str">
        <x:v>CT</x:v>
      </x:c>
      <x:c r="D230" s="16" t="str">
        <x:v>Public</x:v>
      </x:c>
      <x:c r="E230" s="34" t="n">
        <x:v>687</x:v>
      </x:c>
      <x:c r="F230" s="21"/>
      <x:c r="G230" s="16" t="str">
        <x:v>Regional</x:v>
      </x:c>
      <x:c r="H230" s="36" t="n">
        <x:f>IF(G230="National",Assumptions!$B$11,IF(G230="Statewide",Assumptions!$B$12,Assumptions!$B$13))</x:f>
        <x:v>0.85</x:v>
      </x:c>
      <x:c r="I230" s="21" t="n">
        <x:v>-0.043196544276457916</x:v>
      </x:c>
      <x:c r="J230" s="21" t="n">
        <x:v>-0.0305300575953924</x:v>
      </x:c>
      <x:c r="K230" s="21" t="n">
        <x:v>-0.04596382289416845</x:v>
      </x:c>
      <x:c r="L230" s="36" t="n">
        <x:f>IF(Assumptions!$B$4=2030,I230,IF(Assumptions!$B$4=2035,J230,K230))</x:f>
        <x:v>-0.0305300575953924</x:v>
      </x:c>
      <x:c r="M230" s="36" t="n">
        <x:f>Assumptions!$B$19</x:f>
        <x:v>-0.04739891965741583</x:v>
      </x:c>
      <x:c r="N230" s="52" t="n">
        <x:f>H230*L230+(1-H230)*M230+O230</x:f>
        <x:v>-0.03306038690469591</x:v>
      </x:c>
      <x:c r="O230" s="36" t="n">
        <x:f>Assumptions!$B$10</x:f>
        <x:v>0</x:v>
      </x:c>
      <x:c r="P230" s="54" t="n">
        <x:f>E230*(1+N230)</x:f>
        <x:v>664.2875141964739</x:v>
      </x:c>
      <x:c r="Q230" s="54" t="n">
        <x:f>P230-E230</x:f>
        <x:v>-22.71248580352608</x:v>
      </x:c>
      <x:c r="R230" s="16" t="str">
        <x:v>No</x:v>
      </x:c>
      <x:c r="S230" s="56"/>
      <x:c r="T230" s="56"/>
      <x:c r="U230" s="40" t="n">
        <x:f>E230*Assumptions!$B$8</x:f>
        <x:v>583.9499999999999</x:v>
      </x:c>
      <x:c r="V230" s="40" t="n">
        <x:f>P230*Assumptions!$B$8</x:f>
        <x:v>564.6443870670029</x:v>
      </x:c>
      <x:c r="W230" s="54" t="n">
        <x:f>V230-U230</x:f>
        <x:v>-19.305612932997064</x:v>
      </x:c>
      <x:c r="X230" s="58" t="str">
        <x:f>IF(R230="No","",W230*S230)</x:f>
      </x:c>
      <x:c r="Y230" s="58" t="str">
        <x:f>IF(R230="No","",W230*T230*Assumptions!$B$9)</x:f>
      </x:c>
      <x:c r="Z230" s="58" t="str">
        <x:f>IF(R230="No","",X230-Y230)</x:f>
      </x:c>
      <x:c r="AA230" s="58" t="str">
        <x:f>IF(R230="No","",MAX(0,-Z230))</x:f>
      </x:c>
      <x:c r="AB230" s="52" t="str">
        <x:f>IF(OR(R230="No",U230*S230=0),"",AA230/(U230*S230))</x:f>
      </x:c>
      <x:c r="AC230" s="54" t="str">
        <x:f>IF(OR(R230="No",S230-T230*Assumptions!$B$9&lt;=0),"",AA230/(Assumptions!$B$8*(S230-T230*Assumptions!$B$9)))</x:f>
      </x:c>
      <x:c r="AD230" s="52" t="str">
        <x:f>IF(OR(R230="No",U230*S230=0),"",AA230/(U230*S230))</x:f>
      </x:c>
      <x:c r="AE230" s="50" t="str">
        <x:f>IF(R230="No","No finance data",IF(AB230&gt;=10%,"Severe",IF(AB230&gt;=5%,"High",IF(AB230&gt;=2%,"Moderate","Low"))))</x:f>
        <x:v>No finance data</x:v>
      </x:c>
      <x:c r="AF230" s="60"/>
      <x:c r="AG230" s="60"/>
      <x:c r="AH230" s="44" t="str">
        <x:v>Undergraduate tuition-contribution proxy only; not an audited total institutional budget.</x:v>
      </x:c>
    </x:row>
    <x:row r="231">
      <x:c r="A231" s="16" t="n">
        <x:v>436836</x:v>
      </x:c>
      <x:c r="B231" s="16" t="str">
        <x:v>University of Connecticut-Stamford</x:v>
      </x:c>
      <x:c r="C231" s="16" t="str">
        <x:v>CT</x:v>
      </x:c>
      <x:c r="D231" s="16" t="str">
        <x:v>Public</x:v>
      </x:c>
      <x:c r="E231" s="34" t="n">
        <x:v>1430</x:v>
      </x:c>
      <x:c r="F231" s="21"/>
      <x:c r="G231" s="16" t="str">
        <x:v>Regional</x:v>
      </x:c>
      <x:c r="H231" s="36" t="n">
        <x:f>IF(G231="National",Assumptions!$B$11,IF(G231="Statewide",Assumptions!$B$12,Assumptions!$B$13))</x:f>
        <x:v>0.85</x:v>
      </x:c>
      <x:c r="I231" s="21" t="n">
        <x:v>-0.043196544276457916</x:v>
      </x:c>
      <x:c r="J231" s="21" t="n">
        <x:v>-0.0305300575953924</x:v>
      </x:c>
      <x:c r="K231" s="21" t="n">
        <x:v>-0.04596382289416845</x:v>
      </x:c>
      <x:c r="L231" s="36" t="n">
        <x:f>IF(Assumptions!$B$4=2030,I231,IF(Assumptions!$B$4=2035,J231,K231))</x:f>
        <x:v>-0.0305300575953924</x:v>
      </x:c>
      <x:c r="M231" s="36" t="n">
        <x:f>Assumptions!$B$19</x:f>
        <x:v>-0.04739891965741583</x:v>
      </x:c>
      <x:c r="N231" s="52" t="n">
        <x:f>H231*L231+(1-H231)*M231+O231</x:f>
        <x:v>-0.03306038690469591</x:v>
      </x:c>
      <x:c r="O231" s="36" t="n">
        <x:f>Assumptions!$B$10</x:f>
        <x:v>0</x:v>
      </x:c>
      <x:c r="P231" s="54" t="n">
        <x:f>E231*(1+N231)</x:f>
        <x:v>1382.7236467262849</x:v>
      </x:c>
      <x:c r="Q231" s="54" t="n">
        <x:f>P231-E231</x:f>
        <x:v>-47.27635327371513</x:v>
      </x:c>
      <x:c r="R231" s="16" t="str">
        <x:v>No</x:v>
      </x:c>
      <x:c r="S231" s="56"/>
      <x:c r="T231" s="56"/>
      <x:c r="U231" s="40" t="n">
        <x:f>E231*Assumptions!$B$8</x:f>
        <x:v>1215.5</x:v>
      </x:c>
      <x:c r="V231" s="40" t="n">
        <x:f>P231*Assumptions!$B$8</x:f>
        <x:v>1175.315099717342</x:v>
      </x:c>
      <x:c r="W231" s="54" t="n">
        <x:f>V231-U231</x:f>
        <x:v>-40.18490028265796</x:v>
      </x:c>
      <x:c r="X231" s="58" t="str">
        <x:f>IF(R231="No","",W231*S231)</x:f>
      </x:c>
      <x:c r="Y231" s="58" t="str">
        <x:f>IF(R231="No","",W231*T231*Assumptions!$B$9)</x:f>
      </x:c>
      <x:c r="Z231" s="58" t="str">
        <x:f>IF(R231="No","",X231-Y231)</x:f>
      </x:c>
      <x:c r="AA231" s="58" t="str">
        <x:f>IF(R231="No","",MAX(0,-Z231))</x:f>
      </x:c>
      <x:c r="AB231" s="52" t="str">
        <x:f>IF(OR(R231="No",U231*S231=0),"",AA231/(U231*S231))</x:f>
      </x:c>
      <x:c r="AC231" s="54" t="str">
        <x:f>IF(OR(R231="No",S231-T231*Assumptions!$B$9&lt;=0),"",AA231/(Assumptions!$B$8*(S231-T231*Assumptions!$B$9)))</x:f>
      </x:c>
      <x:c r="AD231" s="52" t="str">
        <x:f>IF(OR(R231="No",U231*S231=0),"",AA231/(U231*S231))</x:f>
      </x:c>
      <x:c r="AE231" s="50" t="str">
        <x:f>IF(R231="No","No finance data",IF(AB231&gt;=10%,"Severe",IF(AB231&gt;=5%,"High",IF(AB231&gt;=2%,"Moderate","Low"))))</x:f>
        <x:v>No finance data</x:v>
      </x:c>
      <x:c r="AF231" s="60"/>
      <x:c r="AG231" s="60"/>
      <x:c r="AH231" s="44" t="str">
        <x:v>Undergraduate tuition-contribution proxy only; not an audited total institutional budget.</x:v>
      </x:c>
    </x:row>
    <x:row r="232">
      <x:c r="A232" s="16" t="n">
        <x:v>436818</x:v>
      </x:c>
      <x:c r="B232" s="16" t="str">
        <x:v>University of Connecticut-Tri-Campus</x:v>
      </x:c>
      <x:c r="C232" s="16" t="str">
        <x:v>CT</x:v>
      </x:c>
      <x:c r="D232" s="16" t="str">
        <x:v>Public</x:v>
      </x:c>
      <x:c r="E232" s="34" t="n">
        <x:v>2192</x:v>
      </x:c>
      <x:c r="F232" s="21"/>
      <x:c r="G232" s="16" t="str">
        <x:v>Regional</x:v>
      </x:c>
      <x:c r="H232" s="36" t="n">
        <x:f>IF(G232="National",Assumptions!$B$11,IF(G232="Statewide",Assumptions!$B$12,Assumptions!$B$13))</x:f>
        <x:v>0.85</x:v>
      </x:c>
      <x:c r="I232" s="21" t="n">
        <x:v>-0.043196544276457916</x:v>
      </x:c>
      <x:c r="J232" s="21" t="n">
        <x:v>-0.0305300575953924</x:v>
      </x:c>
      <x:c r="K232" s="21" t="n">
        <x:v>-0.04596382289416845</x:v>
      </x:c>
      <x:c r="L232" s="36" t="n">
        <x:f>IF(Assumptions!$B$4=2030,I232,IF(Assumptions!$B$4=2035,J232,K232))</x:f>
        <x:v>-0.0305300575953924</x:v>
      </x:c>
      <x:c r="M232" s="36" t="n">
        <x:f>Assumptions!$B$19</x:f>
        <x:v>-0.04739891965741583</x:v>
      </x:c>
      <x:c r="N232" s="52" t="n">
        <x:f>H232*L232+(1-H232)*M232+O232</x:f>
        <x:v>-0.03306038690469591</x:v>
      </x:c>
      <x:c r="O232" s="36" t="n">
        <x:f>Assumptions!$B$10</x:f>
        <x:v>0</x:v>
      </x:c>
      <x:c r="P232" s="54" t="n">
        <x:f>E232*(1+N232)</x:f>
        <x:v>2119.5316319049066</x:v>
      </x:c>
      <x:c r="Q232" s="54" t="n">
        <x:f>P232-E232</x:f>
        <x:v>-72.46836809509341</x:v>
      </x:c>
      <x:c r="R232" s="16" t="str">
        <x:v>No</x:v>
      </x:c>
      <x:c r="S232" s="56"/>
      <x:c r="T232" s="56"/>
      <x:c r="U232" s="40" t="n">
        <x:f>E232*Assumptions!$B$8</x:f>
        <x:v>1863.2</x:v>
      </x:c>
      <x:c r="V232" s="40" t="n">
        <x:f>P232*Assumptions!$B$8</x:f>
        <x:v>1801.6018871191704</x:v>
      </x:c>
      <x:c r="W232" s="54" t="n">
        <x:f>V232-U232</x:f>
        <x:v>-61.5981128808296</x:v>
      </x:c>
      <x:c r="X232" s="58" t="str">
        <x:f>IF(R232="No","",W232*S232)</x:f>
      </x:c>
      <x:c r="Y232" s="58" t="str">
        <x:f>IF(R232="No","",W232*T232*Assumptions!$B$9)</x:f>
      </x:c>
      <x:c r="Z232" s="58" t="str">
        <x:f>IF(R232="No","",X232-Y232)</x:f>
      </x:c>
      <x:c r="AA232" s="58" t="str">
        <x:f>IF(R232="No","",MAX(0,-Z232))</x:f>
      </x:c>
      <x:c r="AB232" s="52" t="str">
        <x:f>IF(OR(R232="No",U232*S232=0),"",AA232/(U232*S232))</x:f>
      </x:c>
      <x:c r="AC232" s="54" t="str">
        <x:f>IF(OR(R232="No",S232-T232*Assumptions!$B$9&lt;=0),"",AA232/(Assumptions!$B$8*(S232-T232*Assumptions!$B$9)))</x:f>
      </x:c>
      <x:c r="AD232" s="52" t="str">
        <x:f>IF(OR(R232="No",U232*S232=0),"",AA232/(U232*S232))</x:f>
      </x:c>
      <x:c r="AE232" s="50" t="str">
        <x:f>IF(R232="No","No finance data",IF(AB232&gt;=10%,"Severe",IF(AB232&gt;=5%,"High",IF(AB232&gt;=2%,"Moderate","Low"))))</x:f>
        <x:v>No finance data</x:v>
      </x:c>
      <x:c r="AF232" s="60"/>
      <x:c r="AG232" s="60"/>
      <x:c r="AH232" s="44" t="str">
        <x:v>Undergraduate tuition-contribution proxy only; not an audited total institutional budget.</x:v>
      </x:c>
    </x:row>
    <x:row r="233">
      <x:c r="A233" s="16" t="n">
        <x:v>129525</x:v>
      </x:c>
      <x:c r="B233" s="16" t="str">
        <x:v>University of Hartford</x:v>
      </x:c>
      <x:c r="C233" s="16" t="str">
        <x:v>CT</x:v>
      </x:c>
      <x:c r="D233" s="16" t="str">
        <x:v>Private nonprofit</x:v>
      </x:c>
      <x:c r="E233" s="34" t="n">
        <x:v>5028</x:v>
      </x:c>
      <x:c r="F233" s="21" t="n">
        <x:v>0.7879</x:v>
      </x:c>
      <x:c r="G233" s="16" t="str">
        <x:v>Regional</x:v>
      </x:c>
      <x:c r="H233" s="36" t="n">
        <x:f>IF(G233="National",Assumptions!$B$11,IF(G233="Statewide",Assumptions!$B$12,Assumptions!$B$13))</x:f>
        <x:v>0.85</x:v>
      </x:c>
      <x:c r="I233" s="21" t="n">
        <x:v>-0.043196544276457916</x:v>
      </x:c>
      <x:c r="J233" s="21" t="n">
        <x:v>-0.0305300575953924</x:v>
      </x:c>
      <x:c r="K233" s="21" t="n">
        <x:v>-0.04596382289416845</x:v>
      </x:c>
      <x:c r="L233" s="36" t="n">
        <x:f>IF(Assumptions!$B$4=2030,I233,IF(Assumptions!$B$4=2035,J233,K233))</x:f>
        <x:v>-0.0305300575953924</x:v>
      </x:c>
      <x:c r="M233" s="36" t="n">
        <x:f>Assumptions!$B$19</x:f>
        <x:v>-0.04739891965741583</x:v>
      </x:c>
      <x:c r="N233" s="52" t="n">
        <x:f>H233*L233+(1-H233)*M233+O233</x:f>
        <x:v>-0.03306038690469591</x:v>
      </x:c>
      <x:c r="O233" s="36" t="n">
        <x:f>Assumptions!$B$10</x:f>
        <x:v>0</x:v>
      </x:c>
      <x:c r="P233" s="54" t="n">
        <x:f>E233*(1+N233)</x:f>
        <x:v>4861.772374643189</x:v>
      </x:c>
      <x:c r="Q233" s="54" t="n">
        <x:f>P233-E233</x:f>
        <x:v>-166.22762535681068</x:v>
      </x:c>
      <x:c r="R233" s="16" t="str">
        <x:v>Yes</x:v>
      </x:c>
      <x:c r="S233" s="56" t="n">
        <x:v>18012</x:v>
      </x:c>
      <x:c r="T233" s="56" t="n">
        <x:v>14379</x:v>
      </x:c>
      <x:c r="U233" s="40" t="n">
        <x:f>E233*Assumptions!$B$8</x:f>
        <x:v>4273.8</x:v>
      </x:c>
      <x:c r="V233" s="40" t="n">
        <x:f>P233*Assumptions!$B$8</x:f>
        <x:v>4132.506518446711</x:v>
      </x:c>
      <x:c r="W233" s="54" t="n">
        <x:f>V233-U233</x:f>
        <x:v>-141.29348155328898</x:v>
      </x:c>
      <x:c r="X233" s="58" t="n">
        <x:f>IF(R233="No","",W233*S233)</x:f>
        <x:v>-2544978.189737841</x:v>
      </x:c>
      <x:c r="Y233" s="58" t="n">
        <x:f>IF(R233="No","",W233*T233*Assumptions!$B$9)</x:f>
        <x:v>-609497.6913764226</x:v>
      </x:c>
      <x:c r="Z233" s="58" t="n">
        <x:f>IF(R233="No","",X233-Y233)</x:f>
        <x:v>-1935480.4983614185</x:v>
      </x:c>
      <x:c r="AA233" s="58" t="n">
        <x:f>IF(R233="No","",MAX(0,-Z233))</x:f>
        <x:v>1935480.4983614185</x:v>
      </x:c>
      <x:c r="AB233" s="52" t="n">
        <x:f>IF(OR(R233="No",U233*S233=0),"",AA233/(U233*S233))</x:f>
        <x:v>0.02514274361184736</x:v>
      </x:c>
      <x:c r="AC233" s="54" t="n">
        <x:f>IF(OR(R233="No",S233-T233*Assumptions!$B$9&lt;=0),"",AA233/(Assumptions!$B$8*(S233-T233*Assumptions!$B$9)))</x:f>
        <x:v>166.2276253568106</x:v>
      </x:c>
      <x:c r="AD233" s="52" t="n">
        <x:f>IF(OR(R233="No",U233*S233=0),"",AA233/(U233*S233))</x:f>
        <x:v>0.02514274361184736</x:v>
      </x:c>
      <x:c r="AE233" s="50" t="str">
        <x:f>IF(R233="No","No finance data",IF(AB233&gt;=10%,"Severe",IF(AB233&gt;=5%,"High",IF(AB233&gt;=2%,"Moderate","Low"))))</x:f>
        <x:v>Moderate</x:v>
      </x:c>
      <x:c r="AF233" s="60" t="n">
        <x:v>41.798591</x:v>
      </x:c>
      <x:c r="AG233" s="60" t="n">
        <x:v>-72.715213</x:v>
      </x:c>
      <x:c r="AH233" s="44" t="str">
        <x:v>Undergraduate tuition-contribution proxy only; not an audited total institutional budget.</x:v>
      </x:c>
    </x:row>
    <x:row r="234">
      <x:c r="A234" s="16" t="n">
        <x:v>129941</x:v>
      </x:c>
      <x:c r="B234" s="16" t="str">
        <x:v>University of New Haven</x:v>
      </x:c>
      <x:c r="C234" s="16" t="str">
        <x:v>CT</x:v>
      </x:c>
      <x:c r="D234" s="16" t="str">
        <x:v>Private nonprofit</x:v>
      </x:c>
      <x:c r="E234" s="34" t="n">
        <x:v>4942</x:v>
      </x:c>
      <x:c r="F234" s="21" t="n">
        <x:v>0.9413</x:v>
      </x:c>
      <x:c r="G234" s="16" t="str">
        <x:v>Regional</x:v>
      </x:c>
      <x:c r="H234" s="36" t="n">
        <x:f>IF(G234="National",Assumptions!$B$11,IF(G234="Statewide",Assumptions!$B$12,Assumptions!$B$13))</x:f>
        <x:v>0.85</x:v>
      </x:c>
      <x:c r="I234" s="21" t="n">
        <x:v>-0.043196544276457916</x:v>
      </x:c>
      <x:c r="J234" s="21" t="n">
        <x:v>-0.0305300575953924</x:v>
      </x:c>
      <x:c r="K234" s="21" t="n">
        <x:v>-0.04596382289416845</x:v>
      </x:c>
      <x:c r="L234" s="36" t="n">
        <x:f>IF(Assumptions!$B$4=2030,I234,IF(Assumptions!$B$4=2035,J234,K234))</x:f>
        <x:v>-0.0305300575953924</x:v>
      </x:c>
      <x:c r="M234" s="36" t="n">
        <x:f>Assumptions!$B$19</x:f>
        <x:v>-0.04739891965741583</x:v>
      </x:c>
      <x:c r="N234" s="52" t="n">
        <x:f>H234*L234+(1-H234)*M234+O234</x:f>
        <x:v>-0.03306038690469591</x:v>
      </x:c>
      <x:c r="O234" s="36" t="n">
        <x:f>Assumptions!$B$10</x:f>
        <x:v>0</x:v>
      </x:c>
      <x:c r="P234" s="54" t="n">
        <x:f>E234*(1+N234)</x:f>
        <x:v>4778.615567916992</x:v>
      </x:c>
      <x:c r="Q234" s="54" t="n">
        <x:f>P234-E234</x:f>
        <x:v>-163.3844320830076</x:v>
      </x:c>
      <x:c r="R234" s="16" t="str">
        <x:v>Yes</x:v>
      </x:c>
      <x:c r="S234" s="56" t="n">
        <x:v>19270</x:v>
      </x:c>
      <x:c r="T234" s="56" t="n">
        <x:v>10728</x:v>
      </x:c>
      <x:c r="U234" s="40" t="n">
        <x:f>E234*Assumptions!$B$8</x:f>
        <x:v>4200.7</x:v>
      </x:c>
      <x:c r="V234" s="40" t="n">
        <x:f>P234*Assumptions!$B$8</x:f>
        <x:v>4061.8232327294436</x:v>
      </x:c>
      <x:c r="W234" s="54" t="n">
        <x:f>V234-U234</x:f>
        <x:v>-138.87676727055623</x:v>
      </x:c>
      <x:c r="X234" s="58" t="n">
        <x:f>IF(R234="No","",W234*S234)</x:f>
        <x:v>-2676155.3053036183</x:v>
      </x:c>
      <x:c r="Y234" s="58" t="n">
        <x:f>IF(R234="No","",W234*T234*Assumptions!$B$9)</x:f>
        <x:v>-446960.98778355814</x:v>
      </x:c>
      <x:c r="Z234" s="58" t="n">
        <x:f>IF(R234="No","",X234-Y234)</x:f>
        <x:v>-2229194.31752006</x:v>
      </x:c>
      <x:c r="AA234" s="58" t="n">
        <x:f>IF(R234="No","",MAX(0,-Z234))</x:f>
        <x:v>2229194.31752006</x:v>
      </x:c>
      <x:c r="AB234" s="52" t="n">
        <x:f>IF(OR(R234="No",U234*S234=0),"",AA234/(U234*S234))</x:f>
        <x:v>0.02753877044314568</x:v>
      </x:c>
      <x:c r="AC234" s="54" t="n">
        <x:f>IF(OR(R234="No",S234-T234*Assumptions!$B$9&lt;=0),"",AA234/(Assumptions!$B$8*(S234-T234*Assumptions!$B$9)))</x:f>
        <x:v>163.3844320830073</x:v>
      </x:c>
      <x:c r="AD234" s="52" t="n">
        <x:f>IF(OR(R234="No",U234*S234=0),"",AA234/(U234*S234))</x:f>
        <x:v>0.02753877044314568</x:v>
      </x:c>
      <x:c r="AE234" s="50" t="str">
        <x:f>IF(R234="No","No finance data",IF(AB234&gt;=10%,"Severe",IF(AB234&gt;=5%,"High",IF(AB234&gt;=2%,"Moderate","Low"))))</x:f>
        <x:v>Moderate</x:v>
      </x:c>
      <x:c r="AF234" s="60" t="n">
        <x:v>41.291314</x:v>
      </x:c>
      <x:c r="AG234" s="60" t="n">
        <x:v>-72.961472</x:v>
      </x:c>
      <x:c r="AH234" s="44" t="str">
        <x:v>Undergraduate tuition-contribution proxy only; not an audited total institutional budget.</x:v>
      </x:c>
    </x:row>
    <x:row r="235">
      <x:c r="A235" s="16" t="n">
        <x:v>130314</x:v>
      </x:c>
      <x:c r="B235" s="16" t="str">
        <x:v>University of Saint Joseph</x:v>
      </x:c>
      <x:c r="C235" s="16" t="str">
        <x:v>CT</x:v>
      </x:c>
      <x:c r="D235" s="16" t="str">
        <x:v>Private nonprofit</x:v>
      </x:c>
      <x:c r="E235" s="34" t="n">
        <x:v>904</x:v>
      </x:c>
      <x:c r="F235" s="21" t="n">
        <x:v>0.7825</x:v>
      </x:c>
      <x:c r="G235" s="16" t="str">
        <x:v>Regional</x:v>
      </x:c>
      <x:c r="H235" s="36" t="n">
        <x:f>IF(G235="National",Assumptions!$B$11,IF(G235="Statewide",Assumptions!$B$12,Assumptions!$B$13))</x:f>
        <x:v>0.85</x:v>
      </x:c>
      <x:c r="I235" s="21" t="n">
        <x:v>-0.043196544276457916</x:v>
      </x:c>
      <x:c r="J235" s="21" t="n">
        <x:v>-0.0305300575953924</x:v>
      </x:c>
      <x:c r="K235" s="21" t="n">
        <x:v>-0.04596382289416845</x:v>
      </x:c>
      <x:c r="L235" s="36" t="n">
        <x:f>IF(Assumptions!$B$4=2030,I235,IF(Assumptions!$B$4=2035,J235,K235))</x:f>
        <x:v>-0.0305300575953924</x:v>
      </x:c>
      <x:c r="M235" s="36" t="n">
        <x:f>Assumptions!$B$19</x:f>
        <x:v>-0.04739891965741583</x:v>
      </x:c>
      <x:c r="N235" s="52" t="n">
        <x:f>H235*L235+(1-H235)*M235+O235</x:f>
        <x:v>-0.03306038690469591</x:v>
      </x:c>
      <x:c r="O235" s="36" t="n">
        <x:f>Assumptions!$B$10</x:f>
        <x:v>0</x:v>
      </x:c>
      <x:c r="P235" s="54" t="n">
        <x:f>E235*(1+N235)</x:f>
        <x:v>874.1134102381549</x:v>
      </x:c>
      <x:c r="Q235" s="54" t="n">
        <x:f>P235-E235</x:f>
        <x:v>-29.88658976184513</x:v>
      </x:c>
      <x:c r="R235" s="16" t="str">
        <x:v>Yes</x:v>
      </x:c>
      <x:c r="S235" s="56" t="n">
        <x:v>22873</x:v>
      </x:c>
      <x:c r="T235" s="56" t="n">
        <x:v>13104</x:v>
      </x:c>
      <x:c r="U235" s="40" t="n">
        <x:f>E235*Assumptions!$B$8</x:f>
        <x:v>768.4</x:v>
      </x:c>
      <x:c r="V235" s="40" t="n">
        <x:f>P235*Assumptions!$B$8</x:f>
        <x:v>742.9963987024316</x:v>
      </x:c>
      <x:c r="W235" s="54" t="n">
        <x:f>V235-U235</x:f>
        <x:v>-25.403601297568343</x:v>
      </x:c>
      <x:c r="X235" s="58" t="n">
        <x:f>IF(R235="No","",W235*S235)</x:f>
        <x:v>-581056.5724792808</x:v>
      </x:c>
      <x:c r="Y235" s="58" t="n">
        <x:f>IF(R235="No","",W235*T235*Assumptions!$B$9)</x:f>
        <x:v>-99866.63742100068</x:v>
      </x:c>
      <x:c r="Z235" s="58" t="n">
        <x:f>IF(R235="No","",X235-Y235)</x:f>
        <x:v>-481189.93505828007</x:v>
      </x:c>
      <x:c r="AA235" s="58" t="n">
        <x:f>IF(R235="No","",MAX(0,-Z235))</x:f>
        <x:v>481189.93505828007</x:v>
      </x:c>
      <x:c r="AB235" s="52" t="n">
        <x:f>IF(OR(R235="No",U235*S235=0),"",AA235/(U235*S235))</x:f>
        <x:v>0.02737827292752893</x:v>
      </x:c>
      <x:c r="AC235" s="54" t="n">
        <x:f>IF(OR(R235="No",S235-T235*Assumptions!$B$9&lt;=0),"",AA235/(Assumptions!$B$8*(S235-T235*Assumptions!$B$9)))</x:f>
        <x:v>29.886589761845112</x:v>
      </x:c>
      <x:c r="AD235" s="52" t="n">
        <x:f>IF(OR(R235="No",U235*S235=0),"",AA235/(U235*S235))</x:f>
        <x:v>0.02737827292752893</x:v>
      </x:c>
      <x:c r="AE235" s="50" t="str">
        <x:f>IF(R235="No","No finance data",IF(AB235&gt;=10%,"Severe",IF(AB235&gt;=5%,"High",IF(AB235&gt;=2%,"Moderate","Low"))))</x:f>
        <x:v>Moderate</x:v>
      </x:c>
      <x:c r="AF235" s="60" t="n">
        <x:v>41.781041</x:v>
      </x:c>
      <x:c r="AG235" s="60" t="n">
        <x:v>-72.72965</x:v>
      </x:c>
      <x:c r="AH235" s="44" t="str">
        <x:v>Undergraduate tuition-contribution proxy only; not an audited total institutional budget.</x:v>
      </x:c>
    </x:row>
    <x:row r="236">
      <x:c r="A236" s="16" t="n">
        <x:v>130697</x:v>
      </x:c>
      <x:c r="B236" s="16" t="str">
        <x:v>Wesleyan University</x:v>
      </x:c>
      <x:c r="C236" s="16" t="str">
        <x:v>CT</x:v>
      </x:c>
      <x:c r="D236" s="16" t="str">
        <x:v>Private nonprofit</x:v>
      </x:c>
      <x:c r="E236" s="34" t="n">
        <x:v>2819</x:v>
      </x:c>
      <x:c r="F236" s="21" t="n">
        <x:v>0.1944</x:v>
      </x:c>
      <x:c r="G236" s="16" t="str">
        <x:v>National</x:v>
      </x:c>
      <x:c r="H236" s="36" t="n">
        <x:f>IF(G236="National",Assumptions!$B$11,IF(G236="Statewide",Assumptions!$B$12,Assumptions!$B$13))</x:f>
        <x:v>0.25</x:v>
      </x:c>
      <x:c r="I236" s="21" t="n">
        <x:v>-0.043196544276457916</x:v>
      </x:c>
      <x:c r="J236" s="21" t="n">
        <x:v>-0.0305300575953924</x:v>
      </x:c>
      <x:c r="K236" s="21" t="n">
        <x:v>-0.04596382289416845</x:v>
      </x:c>
      <x:c r="L236" s="36" t="n">
        <x:f>IF(Assumptions!$B$4=2030,I236,IF(Assumptions!$B$4=2035,J236,K236))</x:f>
        <x:v>-0.0305300575953924</x:v>
      </x:c>
      <x:c r="M236" s="36" t="n">
        <x:f>Assumptions!$B$19</x:f>
        <x:v>-0.04739891965741583</x:v>
      </x:c>
      <x:c r="N236" s="52" t="n">
        <x:f>H236*L236+(1-H236)*M236+O236</x:f>
        <x:v>-0.04318170414190997</x:v>
      </x:c>
      <x:c r="O236" s="36" t="n">
        <x:f>Assumptions!$B$10</x:f>
        <x:v>0</x:v>
      </x:c>
      <x:c r="P236" s="54" t="n">
        <x:f>E236*(1+N236)</x:f>
        <x:v>2697.2707760239555</x:v>
      </x:c>
      <x:c r="Q236" s="54" t="n">
        <x:f>P236-E236</x:f>
        <x:v>-121.72922397604452</x:v>
      </x:c>
      <x:c r="R236" s="16" t="str">
        <x:v>Yes</x:v>
      </x:c>
      <x:c r="S236" s="56" t="n">
        <x:v>31216</x:v>
      </x:c>
      <x:c r="T236" s="56" t="n">
        <x:v>27460</x:v>
      </x:c>
      <x:c r="U236" s="40" t="n">
        <x:f>E236*Assumptions!$B$8</x:f>
        <x:v>2396.15</x:v>
      </x:c>
      <x:c r="V236" s="40" t="n">
        <x:f>P236*Assumptions!$B$8</x:f>
        <x:v>2292.6801596203622</x:v>
      </x:c>
      <x:c r="W236" s="54" t="n">
        <x:f>V236-U236</x:f>
        <x:v>-103.46984037963784</x:v>
      </x:c>
      <x:c r="X236" s="58" t="n">
        <x:f>IF(R236="No","",W236*S236)</x:f>
        <x:v>-3229914.5372907748</x:v>
      </x:c>
      <x:c r="Y236" s="58" t="n">
        <x:f>IF(R236="No","",W236*T236*Assumptions!$B$9)</x:f>
        <x:v>-852384.5450474565</x:v>
      </x:c>
      <x:c r="Z236" s="58" t="n">
        <x:f>IF(R236="No","",X236-Y236)</x:f>
        <x:v>-2377529.9922433184</x:v>
      </x:c>
      <x:c r="AA236" s="58" t="n">
        <x:f>IF(R236="No","",MAX(0,-Z236))</x:f>
        <x:v>2377529.9922433184</x:v>
      </x:c>
      <x:c r="AB236" s="52" t="n">
        <x:f>IF(OR(R236="No",U236*S236=0),"",AA236/(U236*S236))</x:f>
        <x:v>0.031785917406868584</x:v>
      </x:c>
      <x:c r="AC236" s="54" t="n">
        <x:f>IF(OR(R236="No",S236-T236*Assumptions!$B$9&lt;=0),"",AA236/(Assumptions!$B$8*(S236-T236*Assumptions!$B$9)))</x:f>
        <x:v>121.72922397604452</x:v>
      </x:c>
      <x:c r="AD236" s="52" t="n">
        <x:f>IF(OR(R236="No",U236*S236=0),"",AA236/(U236*S236))</x:f>
        <x:v>0.031785917406868584</x:v>
      </x:c>
      <x:c r="AE236" s="50" t="str">
        <x:f>IF(R236="No","No finance data",IF(AB236&gt;=10%,"Severe",IF(AB236&gt;=5%,"High",IF(AB236&gt;=2%,"Moderate","Low"))))</x:f>
        <x:v>Moderate</x:v>
      </x:c>
      <x:c r="AF236" s="60" t="n">
        <x:v>41.554665</x:v>
      </x:c>
      <x:c r="AG236" s="60" t="n">
        <x:v>-72.657146</x:v>
      </x:c>
      <x:c r="AH236" s="44" t="str">
        <x:v>Undergraduate tuition-contribution proxy only; not an audited total institutional budget.</x:v>
      </x:c>
    </x:row>
    <x:row r="237">
      <x:c r="A237" s="16" t="n">
        <x:v>130776</x:v>
      </x:c>
      <x:c r="B237" s="16" t="str">
        <x:v>Western Connecticut State University</x:v>
      </x:c>
      <x:c r="C237" s="16" t="str">
        <x:v>CT</x:v>
      </x:c>
      <x:c r="D237" s="16" t="str">
        <x:v>Public</x:v>
      </x:c>
      <x:c r="E237" s="34" t="n">
        <x:v>5081</x:v>
      </x:c>
      <x:c r="F237" s="21" t="n">
        <x:v>0.8485</x:v>
      </x:c>
      <x:c r="G237" s="16" t="str">
        <x:v>Statewide</x:v>
      </x:c>
      <x:c r="H237" s="36" t="n">
        <x:f>IF(G237="National",Assumptions!$B$11,IF(G237="Statewide",Assumptions!$B$12,Assumptions!$B$13))</x:f>
        <x:v>0.6</x:v>
      </x:c>
      <x:c r="I237" s="21" t="n">
        <x:v>-0.043196544276457916</x:v>
      </x:c>
      <x:c r="J237" s="21" t="n">
        <x:v>-0.0305300575953924</x:v>
      </x:c>
      <x:c r="K237" s="21" t="n">
        <x:v>-0.04596382289416845</x:v>
      </x:c>
      <x:c r="L237" s="36" t="n">
        <x:f>IF(Assumptions!$B$4=2030,I237,IF(Assumptions!$B$4=2035,J237,K237))</x:f>
        <x:v>-0.0305300575953924</x:v>
      </x:c>
      <x:c r="M237" s="36" t="n">
        <x:f>Assumptions!$B$19</x:f>
        <x:v>-0.04739891965741583</x:v>
      </x:c>
      <x:c r="N237" s="52" t="n">
        <x:f>H237*L237+(1-H237)*M237+O237</x:f>
        <x:v>-0.03727760242020177</x:v>
      </x:c>
      <x:c r="O237" s="36" t="n">
        <x:f>Assumptions!$B$10</x:f>
        <x:v>0</x:v>
      </x:c>
      <x:c r="P237" s="54" t="n">
        <x:f>E237*(1+N237)</x:f>
        <x:v>4891.592502102955</x:v>
      </x:c>
      <x:c r="Q237" s="54" t="n">
        <x:f>P237-E237</x:f>
        <x:v>-189.40749789704478</x:v>
      </x:c>
      <x:c r="R237" s="16" t="str">
        <x:v>Yes</x:v>
      </x:c>
      <x:c r="S237" s="56" t="n">
        <x:v>11565</x:v>
      </x:c>
      <x:c r="T237" s="56" t="n">
        <x:v>16547</x:v>
      </x:c>
      <x:c r="U237" s="40" t="n">
        <x:f>E237*Assumptions!$B$8</x:f>
        <x:v>4318.849999999999</x:v>
      </x:c>
      <x:c r="V237" s="40" t="n">
        <x:f>P237*Assumptions!$B$8</x:f>
        <x:v>4157.8536267875115</x:v>
      </x:c>
      <x:c r="W237" s="54" t="n">
        <x:f>V237-U237</x:f>
        <x:v>-160.99637321248792</x:v>
      </x:c>
      <x:c r="X237" s="58" t="n">
        <x:f>IF(R237="No","",W237*S237)</x:f>
        <x:v>-1861923.0562024228</x:v>
      </x:c>
      <x:c r="Y237" s="58" t="n">
        <x:f>IF(R237="No","",W237*T237*Assumptions!$B$9)</x:f>
        <x:v>-799202.0962641112</x:v>
      </x:c>
      <x:c r="Z237" s="58" t="n">
        <x:f>IF(R237="No","",X237-Y237)</x:f>
        <x:v>-1062720.9599383115</x:v>
      </x:c>
      <x:c r="AA237" s="58" t="n">
        <x:f>IF(R237="No","",MAX(0,-Z237))</x:f>
        <x:v>1062720.9599383115</x:v>
      </x:c>
      <x:c r="AB237" s="52" t="n">
        <x:f>IF(OR(R237="No",U237*S237=0),"",AA237/(U237*S237))</x:f>
        <x:v>0.021276759690056993</x:v>
      </x:c>
      <x:c r="AC237" s="54" t="n">
        <x:f>IF(OR(R237="No",S237-T237*Assumptions!$B$9&lt;=0),"",AA237/(Assumptions!$B$8*(S237-T237*Assumptions!$B$9)))</x:f>
        <x:v>189.4074978970446</x:v>
      </x:c>
      <x:c r="AD237" s="52" t="n">
        <x:f>IF(OR(R237="No",U237*S237=0),"",AA237/(U237*S237))</x:f>
        <x:v>0.021276759690056993</x:v>
      </x:c>
      <x:c r="AE237" s="50" t="str">
        <x:f>IF(R237="No","No finance data",IF(AB237&gt;=10%,"Severe",IF(AB237&gt;=5%,"High",IF(AB237&gt;=2%,"Moderate","Low"))))</x:f>
        <x:v>Moderate</x:v>
      </x:c>
      <x:c r="AF237" s="60" t="n">
        <x:v>41.400365</x:v>
      </x:c>
      <x:c r="AG237" s="60" t="n">
        <x:v>-73.444264</x:v>
      </x:c>
      <x:c r="AH237" s="44" t="str">
        <x:v>Undergraduate tuition-contribution proxy only; not an audited total institutional budget.</x:v>
      </x:c>
    </x:row>
    <x:row r="238">
      <x:c r="A238" s="16" t="n">
        <x:v>130794</x:v>
      </x:c>
      <x:c r="B238" s="16" t="str">
        <x:v>Yale University</x:v>
      </x:c>
      <x:c r="C238" s="16" t="str">
        <x:v>CT</x:v>
      </x:c>
      <x:c r="D238" s="16" t="str">
        <x:v>Private nonprofit</x:v>
      </x:c>
      <x:c r="E238" s="34" t="n">
        <x:v>5528</x:v>
      </x:c>
      <x:c r="F238" s="21" t="n">
        <x:v>0.0531</x:v>
      </x:c>
      <x:c r="G238" s="16" t="str">
        <x:v>National</x:v>
      </x:c>
      <x:c r="H238" s="36" t="n">
        <x:f>IF(G238="National",Assumptions!$B$11,IF(G238="Statewide",Assumptions!$B$12,Assumptions!$B$13))</x:f>
        <x:v>0.25</x:v>
      </x:c>
      <x:c r="I238" s="21" t="n">
        <x:v>-0.043196544276457916</x:v>
      </x:c>
      <x:c r="J238" s="21" t="n">
        <x:v>-0.0305300575953924</x:v>
      </x:c>
      <x:c r="K238" s="21" t="n">
        <x:v>-0.04596382289416845</x:v>
      </x:c>
      <x:c r="L238" s="36" t="n">
        <x:f>IF(Assumptions!$B$4=2030,I238,IF(Assumptions!$B$4=2035,J238,K238))</x:f>
        <x:v>-0.0305300575953924</x:v>
      </x:c>
      <x:c r="M238" s="36" t="n">
        <x:f>Assumptions!$B$19</x:f>
        <x:v>-0.04739891965741583</x:v>
      </x:c>
      <x:c r="N238" s="52" t="n">
        <x:f>H238*L238+(1-H238)*M238+O238</x:f>
        <x:v>-0.04318170414190997</x:v>
      </x:c>
      <x:c r="O238" s="36" t="n">
        <x:f>Assumptions!$B$10</x:f>
        <x:v>0</x:v>
      </x:c>
      <x:c r="P238" s="54" t="n">
        <x:f>E238*(1+N238)</x:f>
        <x:v>5289.291539503522</x:v>
      </x:c>
      <x:c r="Q238" s="54" t="n">
        <x:f>P238-E238</x:f>
        <x:v>-238.70846049647844</x:v>
      </x:c>
      <x:c r="R238" s="16" t="str">
        <x:v>Yes</x:v>
      </x:c>
      <x:c r="S238" s="56" t="n">
        <x:v>17601</x:v>
      </x:c>
      <x:c r="T238" s="56" t="n">
        <x:v>67077</x:v>
      </x:c>
      <x:c r="U238" s="40" t="n">
        <x:f>E238*Assumptions!$B$8</x:f>
        <x:v>4698.8</x:v>
      </x:c>
      <x:c r="V238" s="40" t="n">
        <x:f>P238*Assumptions!$B$8</x:f>
        <x:v>4495.897808577994</x:v>
      </x:c>
      <x:c r="W238" s="54" t="n">
        <x:f>V238-U238</x:f>
        <x:v>-202.90219142200658</x:v>
      </x:c>
      <x:c r="X238" s="58" t="n">
        <x:f>IF(R238="No","",W238*S238)</x:f>
        <x:v>-3571281.471218738</x:v>
      </x:c>
      <x:c r="Y238" s="58" t="n">
        <x:f>IF(R238="No","",W238*T238*Assumptions!$B$9)</x:f>
        <x:v>-4083021.088204181</x:v>
      </x:c>
      <x:c r="Z238" s="58" t="n">
        <x:f>IF(R238="No","",X238-Y238)</x:f>
        <x:v>511739.61698544305</x:v>
      </x:c>
      <x:c r="AA238" s="58" t="n">
        <x:f>IF(R238="No","",MAX(0,-Z238))</x:f>
        <x:v>0</x:v>
      </x:c>
      <x:c r="AB238" s="52" t="n">
        <x:f>IF(OR(R238="No",U238*S238=0),"",AA238/(U238*S238))</x:f>
        <x:v>0</x:v>
      </x:c>
      <x:c r="AC238" s="54" t="str">
        <x:f>IF(OR(R238="No",S238-T238*Assumptions!$B$9&lt;=0),"",AA238/(Assumptions!$B$8*(S238-T238*Assumptions!$B$9)))</x:f>
      </x:c>
      <x:c r="AD238" s="52" t="n">
        <x:f>IF(OR(R238="No",U238*S238=0),"",AA238/(U238*S238))</x:f>
        <x:v>0</x:v>
      </x:c>
      <x:c r="AE238" s="50" t="str">
        <x:f>IF(R238="No","No finance data",IF(AB238&gt;=10%,"Severe",IF(AB238&gt;=5%,"High",IF(AB238&gt;=2%,"Moderate","Low"))))</x:f>
        <x:v>Low</x:v>
      </x:c>
      <x:c r="AF238" s="60" t="n">
        <x:v>41.311158</x:v>
      </x:c>
      <x:c r="AG238" s="60" t="n">
        <x:v>-72.926688</x:v>
      </x:c>
      <x:c r="AH238" s="44" t="str">
        <x:v>Undergraduate tuition-contribution proxy only; not an audited total institutional budget.</x:v>
      </x:c>
    </x:row>
    <x:row r="239">
      <x:c r="A239" s="16" t="n">
        <x:v>131159</x:v>
      </x:c>
      <x:c r="B239" s="16" t="str">
        <x:v>American University</x:v>
      </x:c>
      <x:c r="C239" s="16" t="str">
        <x:v>DC</x:v>
      </x:c>
      <x:c r="D239" s="16" t="str">
        <x:v>Private nonprofit</x:v>
      </x:c>
      <x:c r="E239" s="34" t="n">
        <x:v>7300</x:v>
      </x:c>
      <x:c r="F239" s="21" t="n">
        <x:v>0.6409</x:v>
      </x:c>
      <x:c r="G239" s="16" t="str">
        <x:v>Regional</x:v>
      </x:c>
      <x:c r="H239" s="36" t="n">
        <x:f>IF(G239="National",Assumptions!$B$11,IF(G239="Statewide",Assumptions!$B$12,Assumptions!$B$13))</x:f>
        <x:v>0.85</x:v>
      </x:c>
      <x:c r="I239" s="21" t="n">
        <x:v>0.1995311638168782</x:v>
      </x:c>
      <x:c r="J239" s="21" t="n">
        <x:v>0.2509652509652509</x:v>
      </x:c>
      <x:c r="K239" s="21" t="n">
        <x:v>0.038196359624931064</x:v>
      </x:c>
      <x:c r="L239" s="36" t="n">
        <x:f>IF(Assumptions!$B$4=2030,I239,IF(Assumptions!$B$4=2035,J239,K239))</x:f>
        <x:v>0.2509652509652509</x:v>
      </x:c>
      <x:c r="M239" s="36" t="n">
        <x:f>Assumptions!$B$19</x:f>
        <x:v>-0.04739891965741583</x:v>
      </x:c>
      <x:c r="N239" s="52" t="n">
        <x:f>H239*L239+(1-H239)*M239+O239</x:f>
        <x:v>0.2062106253718509</x:v>
      </x:c>
      <x:c r="O239" s="36" t="n">
        <x:f>Assumptions!$B$10</x:f>
        <x:v>0</x:v>
      </x:c>
      <x:c r="P239" s="54" t="n">
        <x:f>E239*(1+N239)</x:f>
        <x:v>8805.337565214511</x:v>
      </x:c>
      <x:c r="Q239" s="54" t="n">
        <x:f>P239-E239</x:f>
        <x:v>1505.3375652145114</x:v>
      </x:c>
      <x:c r="R239" s="16" t="str">
        <x:v>Yes</x:v>
      </x:c>
      <x:c r="S239" s="56" t="n">
        <x:v>30451</x:v>
      </x:c>
      <x:c r="T239" s="56" t="n">
        <x:v>16023</x:v>
      </x:c>
      <x:c r="U239" s="40" t="n">
        <x:f>E239*Assumptions!$B$8</x:f>
        <x:v>6205</x:v>
      </x:c>
      <x:c r="V239" s="40" t="n">
        <x:f>P239*Assumptions!$B$8</x:f>
        <x:v>7484.536930432335</x:v>
      </x:c>
      <x:c r="W239" s="54" t="n">
        <x:f>V239-U239</x:f>
        <x:v>1279.5369304323349</x:v>
      </x:c>
      <x:c r="X239" s="58" t="n">
        <x:f>IF(R239="No","",W239*S239)</x:f>
        <x:v>38963179.06859503</x:v>
      </x:c>
      <x:c r="Y239" s="58" t="n">
        <x:f>IF(R239="No","",W239*T239*Assumptions!$B$9)</x:f>
        <x:v>6150606.07089519</x:v>
      </x:c>
      <x:c r="Z239" s="58" t="n">
        <x:f>IF(R239="No","",X239-Y239)</x:f>
        <x:v>32812572.997699838</x:v>
      </x:c>
      <x:c r="AA239" s="58" t="n">
        <x:f>IF(R239="No","",MAX(0,-Z239))</x:f>
        <x:v>0</x:v>
      </x:c>
      <x:c r="AB239" s="52" t="n">
        <x:f>IF(OR(R239="No",U239*S239=0),"",AA239/(U239*S239))</x:f>
        <x:v>0</x:v>
      </x:c>
      <x:c r="AC239" s="54" t="n">
        <x:f>IF(OR(R239="No",S239-T239*Assumptions!$B$9&lt;=0),"",AA239/(Assumptions!$B$8*(S239-T239*Assumptions!$B$9)))</x:f>
        <x:v>0</x:v>
      </x:c>
      <x:c r="AD239" s="52" t="n">
        <x:f>IF(OR(R239="No",U239*S239=0),"",AA239/(U239*S239))</x:f>
        <x:v>0</x:v>
      </x:c>
      <x:c r="AE239" s="50" t="str">
        <x:f>IF(R239="No","No finance data",IF(AB239&gt;=10%,"Severe",IF(AB239&gt;=5%,"High",IF(AB239&gt;=2%,"Moderate","Low"))))</x:f>
        <x:v>Low</x:v>
      </x:c>
      <x:c r="AF239" s="60" t="n">
        <x:v>38.936005</x:v>
      </x:c>
      <x:c r="AG239" s="60" t="n">
        <x:v>-77.088875</x:v>
      </x:c>
      <x:c r="AH239" s="44" t="str">
        <x:v>Undergraduate tuition-contribution proxy only; not an audited total institutional budget.</x:v>
      </x:c>
    </x:row>
    <x:row r="240">
      <x:c r="A240" s="16" t="n">
        <x:v>131283</x:v>
      </x:c>
      <x:c r="B240" s="16" t="str">
        <x:v>Catholic University of America</x:v>
      </x:c>
      <x:c r="C240" s="16" t="str">
        <x:v>DC</x:v>
      </x:c>
      <x:c r="D240" s="16" t="str">
        <x:v>Private nonprofit</x:v>
      </x:c>
      <x:c r="E240" s="34" t="n">
        <x:v>3462</x:v>
      </x:c>
      <x:c r="F240" s="21" t="n">
        <x:v>0.8601</x:v>
      </x:c>
      <x:c r="G240" s="16" t="str">
        <x:v>Regional</x:v>
      </x:c>
      <x:c r="H240" s="36" t="n">
        <x:f>IF(G240="National",Assumptions!$B$11,IF(G240="Statewide",Assumptions!$B$12,Assumptions!$B$13))</x:f>
        <x:v>0.85</x:v>
      </x:c>
      <x:c r="I240" s="21" t="n">
        <x:v>0.1995311638168782</x:v>
      </x:c>
      <x:c r="J240" s="21" t="n">
        <x:v>0.2509652509652509</x:v>
      </x:c>
      <x:c r="K240" s="21" t="n">
        <x:v>0.038196359624931064</x:v>
      </x:c>
      <x:c r="L240" s="36" t="n">
        <x:f>IF(Assumptions!$B$4=2030,I240,IF(Assumptions!$B$4=2035,J240,K240))</x:f>
        <x:v>0.2509652509652509</x:v>
      </x:c>
      <x:c r="M240" s="36" t="n">
        <x:f>Assumptions!$B$19</x:f>
        <x:v>-0.04739891965741583</x:v>
      </x:c>
      <x:c r="N240" s="52" t="n">
        <x:f>H240*L240+(1-H240)*M240+O240</x:f>
        <x:v>0.2062106253718509</x:v>
      </x:c>
      <x:c r="O240" s="36" t="n">
        <x:f>Assumptions!$B$10</x:f>
        <x:v>0</x:v>
      </x:c>
      <x:c r="P240" s="54" t="n">
        <x:f>E240*(1+N240)</x:f>
        <x:v>4175.901185037348</x:v>
      </x:c>
      <x:c r="Q240" s="54" t="n">
        <x:f>P240-E240</x:f>
        <x:v>713.9011850373481</x:v>
      </x:c>
      <x:c r="R240" s="16" t="str">
        <x:v>Yes</x:v>
      </x:c>
      <x:c r="S240" s="56" t="n">
        <x:v>22094</x:v>
      </x:c>
      <x:c r="T240" s="56" t="n">
        <x:v>18993</x:v>
      </x:c>
      <x:c r="U240" s="40" t="n">
        <x:f>E240*Assumptions!$B$8</x:f>
        <x:v>2942.7</x:v>
      </x:c>
      <x:c r="V240" s="40" t="n">
        <x:f>P240*Assumptions!$B$8</x:f>
        <x:v>3549.5160072817457</x:v>
      </x:c>
      <x:c r="W240" s="54" t="n">
        <x:f>V240-U240</x:f>
        <x:v>606.8160072817459</x:v>
      </x:c>
      <x:c r="X240" s="58" t="n">
        <x:f>IF(R240="No","",W240*S240)</x:f>
        <x:v>13406992.864882894</x:v>
      </x:c>
      <x:c r="Y240" s="58" t="n">
        <x:f>IF(R240="No","",W240*T240*Assumptions!$B$9)</x:f>
        <x:v>3457576.92789066</x:v>
      </x:c>
      <x:c r="Z240" s="58" t="n">
        <x:f>IF(R240="No","",X240-Y240)</x:f>
        <x:v>9949415.936992234</x:v>
      </x:c>
      <x:c r="AA240" s="58" t="n">
        <x:f>IF(R240="No","",MAX(0,-Z240))</x:f>
        <x:v>0</x:v>
      </x:c>
      <x:c r="AB240" s="52" t="n">
        <x:f>IF(OR(R240="No",U240*S240=0),"",AA240/(U240*S240))</x:f>
        <x:v>0</x:v>
      </x:c>
      <x:c r="AC240" s="54" t="n">
        <x:f>IF(OR(R240="No",S240-T240*Assumptions!$B$9&lt;=0),"",AA240/(Assumptions!$B$8*(S240-T240*Assumptions!$B$9)))</x:f>
        <x:v>0</x:v>
      </x:c>
      <x:c r="AD240" s="52" t="n">
        <x:f>IF(OR(R240="No",U240*S240=0),"",AA240/(U240*S240))</x:f>
        <x:v>0</x:v>
      </x:c>
      <x:c r="AE240" s="50" t="str">
        <x:f>IF(R240="No","No finance data",IF(AB240&gt;=10%,"Severe",IF(AB240&gt;=5%,"High",IF(AB240&gt;=2%,"Moderate","Low"))))</x:f>
        <x:v>Low</x:v>
      </x:c>
      <x:c r="AF240" s="60" t="n">
        <x:v>38.933651</x:v>
      </x:c>
      <x:c r="AG240" s="60" t="n">
        <x:v>-76.997909</x:v>
      </x:c>
      <x:c r="AH240" s="44" t="str">
        <x:v>Undergraduate tuition-contribution proxy only; not an audited total institutional budget.</x:v>
      </x:c>
    </x:row>
    <x:row r="241">
      <x:c r="A241" s="16" t="n">
        <x:v>131450</x:v>
      </x:c>
      <x:c r="B241" s="16" t="str">
        <x:v>Gallaudet University</x:v>
      </x:c>
      <x:c r="C241" s="16" t="str">
        <x:v>DC</x:v>
      </x:c>
      <x:c r="D241" s="16" t="str">
        <x:v>Private nonprofit</x:v>
      </x:c>
      <x:c r="E241" s="34" t="n">
        <x:v>989</x:v>
      </x:c>
      <x:c r="F241" s="21" t="n">
        <x:v>0.6169</x:v>
      </x:c>
      <x:c r="G241" s="16" t="str">
        <x:v>Regional</x:v>
      </x:c>
      <x:c r="H241" s="36" t="n">
        <x:f>IF(G241="National",Assumptions!$B$11,IF(G241="Statewide",Assumptions!$B$12,Assumptions!$B$13))</x:f>
        <x:v>0.85</x:v>
      </x:c>
      <x:c r="I241" s="21" t="n">
        <x:v>0.1995311638168782</x:v>
      </x:c>
      <x:c r="J241" s="21" t="n">
        <x:v>0.2509652509652509</x:v>
      </x:c>
      <x:c r="K241" s="21" t="n">
        <x:v>0.038196359624931064</x:v>
      </x:c>
      <x:c r="L241" s="36" t="n">
        <x:f>IF(Assumptions!$B$4=2030,I241,IF(Assumptions!$B$4=2035,J241,K241))</x:f>
        <x:v>0.2509652509652509</x:v>
      </x:c>
      <x:c r="M241" s="36" t="n">
        <x:f>Assumptions!$B$19</x:f>
        <x:v>-0.04739891965741583</x:v>
      </x:c>
      <x:c r="N241" s="52" t="n">
        <x:f>H241*L241+(1-H241)*M241+O241</x:f>
        <x:v>0.2062106253718509</x:v>
      </x:c>
      <x:c r="O241" s="36" t="n">
        <x:f>Assumptions!$B$10</x:f>
        <x:v>0</x:v>
      </x:c>
      <x:c r="P241" s="54" t="n">
        <x:f>E241*(1+N241)</x:f>
        <x:v>1192.9423084927605</x:v>
      </x:c>
      <x:c r="Q241" s="54" t="n">
        <x:f>P241-E241</x:f>
        <x:v>203.9423084927605</x:v>
      </x:c>
      <x:c r="R241" s="16" t="str">
        <x:v>Yes</x:v>
      </x:c>
      <x:c r="S241" s="56" t="n">
        <x:v>12881</x:v>
      </x:c>
      <x:c r="T241" s="56" t="n">
        <x:v>32110</x:v>
      </x:c>
      <x:c r="U241" s="40" t="n">
        <x:f>E241*Assumptions!$B$8</x:f>
        <x:v>840.65</x:v>
      </x:c>
      <x:c r="V241" s="40" t="n">
        <x:f>P241*Assumptions!$B$8</x:f>
        <x:v>1014.0009622188464</x:v>
      </x:c>
      <x:c r="W241" s="54" t="n">
        <x:f>V241-U241</x:f>
        <x:v>173.35096221884646</x:v>
      </x:c>
      <x:c r="X241" s="58" t="n">
        <x:f>IF(R241="No","",W241*S241)</x:f>
        <x:v>2232933.7443409613</x:v>
      </x:c>
      <x:c r="Y241" s="58" t="n">
        <x:f>IF(R241="No","",W241*T241*Assumptions!$B$9)</x:f>
        <x:v>1669889.819054148</x:v>
      </x:c>
      <x:c r="Z241" s="58" t="n">
        <x:f>IF(R241="No","",X241-Y241)</x:f>
        <x:v>563043.9252868134</x:v>
      </x:c>
      <x:c r="AA241" s="58" t="n">
        <x:f>IF(R241="No","",MAX(0,-Z241))</x:f>
        <x:v>0</x:v>
      </x:c>
      <x:c r="AB241" s="52" t="n">
        <x:f>IF(OR(R241="No",U241*S241=0),"",AA241/(U241*S241))</x:f>
        <x:v>0</x:v>
      </x:c>
      <x:c r="AC241" s="54" t="n">
        <x:f>IF(OR(R241="No",S241-T241*Assumptions!$B$9&lt;=0),"",AA241/(Assumptions!$B$8*(S241-T241*Assumptions!$B$9)))</x:f>
        <x:v>0</x:v>
      </x:c>
      <x:c r="AD241" s="52" t="n">
        <x:f>IF(OR(R241="No",U241*S241=0),"",AA241/(U241*S241))</x:f>
        <x:v>0</x:v>
      </x:c>
      <x:c r="AE241" s="50" t="str">
        <x:f>IF(R241="No","No finance data",IF(AB241&gt;=10%,"Severe",IF(AB241&gt;=5%,"High",IF(AB241&gt;=2%,"Moderate","Low"))))</x:f>
        <x:v>Low</x:v>
      </x:c>
      <x:c r="AF241" s="60" t="n">
        <x:v>38.907371</x:v>
      </x:c>
      <x:c r="AG241" s="60" t="n">
        <x:v>-76.993675</x:v>
      </x:c>
      <x:c r="AH241" s="44" t="str">
        <x:v>Undergraduate tuition-contribution proxy only; not an audited total institutional budget.</x:v>
      </x:c>
    </x:row>
    <x:row r="242">
      <x:c r="A242" s="16" t="n">
        <x:v>131469</x:v>
      </x:c>
      <x:c r="B242" s="16" t="str">
        <x:v>George Washington University</x:v>
      </x:c>
      <x:c r="C242" s="16" t="str">
        <x:v>DC</x:v>
      </x:c>
      <x:c r="D242" s="16" t="str">
        <x:v>Private nonprofit</x:v>
      </x:c>
      <x:c r="E242" s="34" t="n">
        <x:v>10901</x:v>
      </x:c>
      <x:c r="F242" s="21" t="n">
        <x:v>0.4971</x:v>
      </x:c>
      <x:c r="G242" s="16" t="str">
        <x:v>Statewide</x:v>
      </x:c>
      <x:c r="H242" s="36" t="n">
        <x:f>IF(G242="National",Assumptions!$B$11,IF(G242="Statewide",Assumptions!$B$12,Assumptions!$B$13))</x:f>
        <x:v>0.6</x:v>
      </x:c>
      <x:c r="I242" s="21" t="n">
        <x:v>0.1995311638168782</x:v>
      </x:c>
      <x:c r="J242" s="21" t="n">
        <x:v>0.2509652509652509</x:v>
      </x:c>
      <x:c r="K242" s="21" t="n">
        <x:v>0.038196359624931064</x:v>
      </x:c>
      <x:c r="L242" s="36" t="n">
        <x:f>IF(Assumptions!$B$4=2030,I242,IF(Assumptions!$B$4=2035,J242,K242))</x:f>
        <x:v>0.2509652509652509</x:v>
      </x:c>
      <x:c r="M242" s="36" t="n">
        <x:f>Assumptions!$B$19</x:f>
        <x:v>-0.04739891965741583</x:v>
      </x:c>
      <x:c r="N242" s="52" t="n">
        <x:f>H242*L242+(1-H242)*M242+O242</x:f>
        <x:v>0.13161958271618418</x:v>
      </x:c>
      <x:c r="O242" s="36" t="n">
        <x:f>Assumptions!$B$10</x:f>
        <x:v>0</x:v>
      </x:c>
      <x:c r="P242" s="54" t="n">
        <x:f>E242*(1+N242)</x:f>
        <x:v>12335.785071189122</x:v>
      </x:c>
      <x:c r="Q242" s="54" t="n">
        <x:f>P242-E242</x:f>
        <x:v>1434.7850711891224</x:v>
      </x:c>
      <x:c r="R242" s="16" t="str">
        <x:v>Yes</x:v>
      </x:c>
      <x:c r="S242" s="56" t="n">
        <x:v>32166</x:v>
      </x:c>
      <x:c r="T242" s="56" t="n">
        <x:v>21710</x:v>
      </x:c>
      <x:c r="U242" s="40" t="n">
        <x:f>E242*Assumptions!$B$8</x:f>
        <x:v>9265.85</x:v>
      </x:c>
      <x:c r="V242" s="40" t="n">
        <x:f>P242*Assumptions!$B$8</x:f>
        <x:v>10485.417310510753</x:v>
      </x:c>
      <x:c r="W242" s="54" t="n">
        <x:f>V242-U242</x:f>
        <x:v>1219.5673105107526</x:v>
      </x:c>
      <x:c r="X242" s="58" t="n">
        <x:f>IF(R242="No","",W242*S242)</x:f>
        <x:v>39228602.10988887</x:v>
      </x:c>
      <x:c r="Y242" s="58" t="n">
        <x:f>IF(R242="No","",W242*T242*Assumptions!$B$9)</x:f>
        <x:v>7943041.893356531</x:v>
      </x:c>
      <x:c r="Z242" s="58" t="n">
        <x:f>IF(R242="No","",X242-Y242)</x:f>
        <x:v>31285560.216532335</x:v>
      </x:c>
      <x:c r="AA242" s="58" t="n">
        <x:f>IF(R242="No","",MAX(0,-Z242))</x:f>
        <x:v>0</x:v>
      </x:c>
      <x:c r="AB242" s="52" t="n">
        <x:f>IF(OR(R242="No",U242*S242=0),"",AA242/(U242*S242))</x:f>
        <x:v>0</x:v>
      </x:c>
      <x:c r="AC242" s="54" t="n">
        <x:f>IF(OR(R242="No",S242-T242*Assumptions!$B$9&lt;=0),"",AA242/(Assumptions!$B$8*(S242-T242*Assumptions!$B$9)))</x:f>
        <x:v>0</x:v>
      </x:c>
      <x:c r="AD242" s="52" t="n">
        <x:f>IF(OR(R242="No",U242*S242=0),"",AA242/(U242*S242))</x:f>
        <x:v>0</x:v>
      </x:c>
      <x:c r="AE242" s="50" t="str">
        <x:f>IF(R242="No","No finance data",IF(AB242&gt;=10%,"Severe",IF(AB242&gt;=5%,"High",IF(AB242&gt;=2%,"Moderate","Low"))))</x:f>
        <x:v>Low</x:v>
      </x:c>
      <x:c r="AF242" s="60" t="n">
        <x:v>38.89923</x:v>
      </x:c>
      <x:c r="AG242" s="60" t="n">
        <x:v>-77.048363</x:v>
      </x:c>
      <x:c r="AH242" s="44" t="str">
        <x:v>Undergraduate tuition-contribution proxy only; not an audited total institutional budget.</x:v>
      </x:c>
    </x:row>
    <x:row r="243">
      <x:c r="A243" s="16" t="n">
        <x:v>131496</x:v>
      </x:c>
      <x:c r="B243" s="16" t="str">
        <x:v>Georgetown University</x:v>
      </x:c>
      <x:c r="C243" s="16" t="str">
        <x:v>DC</x:v>
      </x:c>
      <x:c r="D243" s="16" t="str">
        <x:v>Private nonprofit</x:v>
      </x:c>
      <x:c r="E243" s="34" t="n">
        <x:v>7168</x:v>
      </x:c>
      <x:c r="F243" s="21" t="n">
        <x:v>0.1198</x:v>
      </x:c>
      <x:c r="G243" s="16" t="str">
        <x:v>National</x:v>
      </x:c>
      <x:c r="H243" s="36" t="n">
        <x:f>IF(G243="National",Assumptions!$B$11,IF(G243="Statewide",Assumptions!$B$12,Assumptions!$B$13))</x:f>
        <x:v>0.25</x:v>
      </x:c>
      <x:c r="I243" s="21" t="n">
        <x:v>0.1995311638168782</x:v>
      </x:c>
      <x:c r="J243" s="21" t="n">
        <x:v>0.2509652509652509</x:v>
      </x:c>
      <x:c r="K243" s="21" t="n">
        <x:v>0.038196359624931064</x:v>
      </x:c>
      <x:c r="L243" s="36" t="n">
        <x:f>IF(Assumptions!$B$4=2030,I243,IF(Assumptions!$B$4=2035,J243,K243))</x:f>
        <x:v>0.2509652509652509</x:v>
      </x:c>
      <x:c r="M243" s="36" t="n">
        <x:f>Assumptions!$B$19</x:f>
        <x:v>-0.04739891965741583</x:v>
      </x:c>
      <x:c r="N243" s="52" t="n">
        <x:f>H243*L243+(1-H243)*M243+O243</x:f>
        <x:v>0.027192122998250856</x:v>
      </x:c>
      <x:c r="O243" s="36" t="n">
        <x:f>Assumptions!$B$10</x:f>
        <x:v>0</x:v>
      </x:c>
      <x:c r="P243" s="54" t="n">
        <x:f>E243*(1+N243)</x:f>
        <x:v>7362.9131376514615</x:v>
      </x:c>
      <x:c r="Q243" s="54" t="n">
        <x:f>P243-E243</x:f>
        <x:v>194.9131376514615</x:v>
      </x:c>
      <x:c r="R243" s="16" t="str">
        <x:v>Yes</x:v>
      </x:c>
      <x:c r="S243" s="56" t="n">
        <x:v>37200</x:v>
      </x:c>
      <x:c r="T243" s="56" t="n">
        <x:v>28645</x:v>
      </x:c>
      <x:c r="U243" s="40" t="n">
        <x:f>E243*Assumptions!$B$8</x:f>
        <x:v>6092.8</x:v>
      </x:c>
      <x:c r="V243" s="40" t="n">
        <x:f>P243*Assumptions!$B$8</x:f>
        <x:v>6258.476167003742</x:v>
      </x:c>
      <x:c r="W243" s="54" t="n">
        <x:f>V243-U243</x:f>
        <x:v>165.6761670037422</x:v>
      </x:c>
      <x:c r="X243" s="58" t="n">
        <x:f>IF(R243="No","",W243*S243)</x:f>
        <x:v>6163153.412539209</x:v>
      </x:c>
      <x:c r="Y243" s="58" t="n">
        <x:f>IF(R243="No","",W243*T243*Assumptions!$B$9)</x:f>
        <x:v>1423738.1411466585</x:v>
      </x:c>
      <x:c r="Z243" s="58" t="n">
        <x:f>IF(R243="No","",X243-Y243)</x:f>
        <x:v>4739415.27139255</x:v>
      </x:c>
      <x:c r="AA243" s="58" t="n">
        <x:f>IF(R243="No","",MAX(0,-Z243))</x:f>
        <x:v>0</x:v>
      </x:c>
      <x:c r="AB243" s="52" t="n">
        <x:f>IF(OR(R243="No",U243*S243=0),"",AA243/(U243*S243))</x:f>
        <x:v>0</x:v>
      </x:c>
      <x:c r="AC243" s="54" t="n">
        <x:f>IF(OR(R243="No",S243-T243*Assumptions!$B$9&lt;=0),"",AA243/(Assumptions!$B$8*(S243-T243*Assumptions!$B$9)))</x:f>
        <x:v>0</x:v>
      </x:c>
      <x:c r="AD243" s="52" t="n">
        <x:f>IF(OR(R243="No",U243*S243=0),"",AA243/(U243*S243))</x:f>
        <x:v>0</x:v>
      </x:c>
      <x:c r="AE243" s="50" t="str">
        <x:f>IF(R243="No","No finance data",IF(AB243&gt;=10%,"Severe",IF(AB243&gt;=5%,"High",IF(AB243&gt;=2%,"Moderate","Low"))))</x:f>
        <x:v>Low</x:v>
      </x:c>
      <x:c r="AF243" s="60" t="n">
        <x:v>38.908809</x:v>
      </x:c>
      <x:c r="AG243" s="60" t="n">
        <x:v>-77.073463</x:v>
      </x:c>
      <x:c r="AH243" s="44" t="str">
        <x:v>Undergraduate tuition-contribution proxy only; not an audited total institutional budget.</x:v>
      </x:c>
    </x:row>
    <x:row r="244">
      <x:c r="A244" s="16" t="n">
        <x:v>131520</x:v>
      </x:c>
      <x:c r="B244" s="16" t="str">
        <x:v>Howard University</x:v>
      </x:c>
      <x:c r="C244" s="16" t="str">
        <x:v>DC</x:v>
      </x:c>
      <x:c r="D244" s="16" t="str">
        <x:v>Private nonprofit</x:v>
      </x:c>
      <x:c r="E244" s="34" t="n">
        <x:v>6796</x:v>
      </x:c>
      <x:c r="F244" s="21" t="n">
        <x:v>0.3525</x:v>
      </x:c>
      <x:c r="G244" s="16" t="str">
        <x:v>Regional</x:v>
      </x:c>
      <x:c r="H244" s="36" t="n">
        <x:f>IF(G244="National",Assumptions!$B$11,IF(G244="Statewide",Assumptions!$B$12,Assumptions!$B$13))</x:f>
        <x:v>0.85</x:v>
      </x:c>
      <x:c r="I244" s="21" t="n">
        <x:v>0.1995311638168782</x:v>
      </x:c>
      <x:c r="J244" s="21" t="n">
        <x:v>0.2509652509652509</x:v>
      </x:c>
      <x:c r="K244" s="21" t="n">
        <x:v>0.038196359624931064</x:v>
      </x:c>
      <x:c r="L244" s="36" t="n">
        <x:f>IF(Assumptions!$B$4=2030,I244,IF(Assumptions!$B$4=2035,J244,K244))</x:f>
        <x:v>0.2509652509652509</x:v>
      </x:c>
      <x:c r="M244" s="36" t="n">
        <x:f>Assumptions!$B$19</x:f>
        <x:v>-0.04739891965741583</x:v>
      </x:c>
      <x:c r="N244" s="52" t="n">
        <x:f>H244*L244+(1-H244)*M244+O244</x:f>
        <x:v>0.2062106253718509</x:v>
      </x:c>
      <x:c r="O244" s="36" t="n">
        <x:f>Assumptions!$B$10</x:f>
        <x:v>0</x:v>
      </x:c>
      <x:c r="P244" s="54" t="n">
        <x:f>E244*(1+N244)</x:f>
        <x:v>8197.4074100271</x:v>
      </x:c>
      <x:c r="Q244" s="54" t="n">
        <x:f>P244-E244</x:f>
        <x:v>1401.407410027099</x:v>
      </x:c>
      <x:c r="R244" s="16" t="str">
        <x:v>Yes</x:v>
      </x:c>
      <x:c r="S244" s="56" t="n">
        <x:v>15126</x:v>
      </x:c>
      <x:c r="T244" s="56" t="n">
        <x:v>18570</x:v>
      </x:c>
      <x:c r="U244" s="40" t="n">
        <x:f>E244*Assumptions!$B$8</x:f>
        <x:v>5776.599999999999</x:v>
      </x:c>
      <x:c r="V244" s="40" t="n">
        <x:f>P244*Assumptions!$B$8</x:f>
        <x:v>6967.796298523034</x:v>
      </x:c>
      <x:c r="W244" s="54" t="n">
        <x:f>V244-U244</x:f>
        <x:v>1191.1962985230348</x:v>
      </x:c>
      <x:c r="X244" s="58" t="n">
        <x:f>IF(R244="No","",W244*S244)</x:f>
        <x:v>18018035.211459424</x:v>
      </x:c>
      <x:c r="Y244" s="58" t="n">
        <x:f>IF(R244="No","",W244*T244*Assumptions!$B$9)</x:f>
        <x:v>6636154.579071826</x:v>
      </x:c>
      <x:c r="Z244" s="58" t="n">
        <x:f>IF(R244="No","",X244-Y244)</x:f>
        <x:v>11381880.632387597</x:v>
      </x:c>
      <x:c r="AA244" s="58" t="n">
        <x:f>IF(R244="No","",MAX(0,-Z244))</x:f>
        <x:v>0</x:v>
      </x:c>
      <x:c r="AB244" s="52" t="n">
        <x:f>IF(OR(R244="No",U244*S244=0),"",AA244/(U244*S244))</x:f>
        <x:v>0</x:v>
      </x:c>
      <x:c r="AC244" s="54" t="n">
        <x:f>IF(OR(R244="No",S244-T244*Assumptions!$B$9&lt;=0),"",AA244/(Assumptions!$B$8*(S244-T244*Assumptions!$B$9)))</x:f>
        <x:v>0</x:v>
      </x:c>
      <x:c r="AD244" s="52" t="n">
        <x:f>IF(OR(R244="No",U244*S244=0),"",AA244/(U244*S244))</x:f>
        <x:v>0</x:v>
      </x:c>
      <x:c r="AE244" s="50" t="str">
        <x:f>IF(R244="No","No finance data",IF(AB244&gt;=10%,"Severe",IF(AB244&gt;=5%,"High",IF(AB244&gt;=2%,"Moderate","Low"))))</x:f>
        <x:v>Low</x:v>
      </x:c>
      <x:c r="AF244" s="60" t="n">
        <x:v>38.922392</x:v>
      </x:c>
      <x:c r="AG244" s="60" t="n">
        <x:v>-77.018966</x:v>
      </x:c>
      <x:c r="AH244" s="44" t="str">
        <x:v>Undergraduate tuition-contribution proxy only; not an audited total institutional budget.</x:v>
      </x:c>
    </x:row>
    <x:row r="245">
      <x:c r="A245" s="16" t="n">
        <x:v>131876</x:v>
      </x:c>
      <x:c r="B245" s="16" t="str">
        <x:v>Trinity Washington University</x:v>
      </x:c>
      <x:c r="C245" s="16" t="str">
        <x:v>DC</x:v>
      </x:c>
      <x:c r="D245" s="16" t="str">
        <x:v>Private nonprofit</x:v>
      </x:c>
      <x:c r="E245" s="34" t="n">
        <x:v>1565</x:v>
      </x:c>
      <x:c r="F245" s="21" t="n">
        <x:v>0.9729</x:v>
      </x:c>
      <x:c r="G245" s="16" t="str">
        <x:v>Regional</x:v>
      </x:c>
      <x:c r="H245" s="36" t="n">
        <x:f>IF(G245="National",Assumptions!$B$11,IF(G245="Statewide",Assumptions!$B$12,Assumptions!$B$13))</x:f>
        <x:v>0.85</x:v>
      </x:c>
      <x:c r="I245" s="21" t="n">
        <x:v>0.1995311638168782</x:v>
      </x:c>
      <x:c r="J245" s="21" t="n">
        <x:v>0.2509652509652509</x:v>
      </x:c>
      <x:c r="K245" s="21" t="n">
        <x:v>0.038196359624931064</x:v>
      </x:c>
      <x:c r="L245" s="36" t="n">
        <x:f>IF(Assumptions!$B$4=2030,I245,IF(Assumptions!$B$4=2035,J245,K245))</x:f>
        <x:v>0.2509652509652509</x:v>
      </x:c>
      <x:c r="M245" s="36" t="n">
        <x:f>Assumptions!$B$19</x:f>
        <x:v>-0.04739891965741583</x:v>
      </x:c>
      <x:c r="N245" s="52" t="n">
        <x:f>H245*L245+(1-H245)*M245+O245</x:f>
        <x:v>0.2062106253718509</x:v>
      </x:c>
      <x:c r="O245" s="36" t="n">
        <x:f>Assumptions!$B$10</x:f>
        <x:v>0</x:v>
      </x:c>
      <x:c r="P245" s="54" t="n">
        <x:f>E245*(1+N245)</x:f>
        <x:v>1887.7196287069469</x:v>
      </x:c>
      <x:c r="Q245" s="54" t="n">
        <x:f>P245-E245</x:f>
        <x:v>322.7196287069469</x:v>
      </x:c>
      <x:c r="R245" s="16" t="str">
        <x:v>Yes</x:v>
      </x:c>
      <x:c r="S245" s="56" t="n">
        <x:v>14342</x:v>
      </x:c>
      <x:c r="T245" s="56" t="n">
        <x:v>7671</x:v>
      </x:c>
      <x:c r="U245" s="40" t="n">
        <x:f>E245*Assumptions!$B$8</x:f>
        <x:v>1330.25</x:v>
      </x:c>
      <x:c r="V245" s="40" t="n">
        <x:f>P245*Assumptions!$B$8</x:f>
        <x:v>1604.5616844009048</x:v>
      </x:c>
      <x:c r="W245" s="54" t="n">
        <x:f>V245-U245</x:f>
        <x:v>274.3116844009048</x:v>
      </x:c>
      <x:c r="X245" s="58" t="n">
        <x:f>IF(R245="No","",W245*S245)</x:f>
        <x:v>3934178.177677777</x:v>
      </x:c>
      <x:c r="Y245" s="58" t="n">
        <x:f>IF(R245="No","",W245*T245*Assumptions!$B$9)</x:f>
        <x:v>631273.4793118022</x:v>
      </x:c>
      <x:c r="Z245" s="58" t="n">
        <x:f>IF(R245="No","",X245-Y245)</x:f>
        <x:v>3302904.698365975</x:v>
      </x:c>
      <x:c r="AA245" s="58" t="n">
        <x:f>IF(R245="No","",MAX(0,-Z245))</x:f>
        <x:v>0</x:v>
      </x:c>
      <x:c r="AB245" s="52" t="n">
        <x:f>IF(OR(R245="No",U245*S245=0),"",AA245/(U245*S245))</x:f>
        <x:v>0</x:v>
      </x:c>
      <x:c r="AC245" s="54" t="n">
        <x:f>IF(OR(R245="No",S245-T245*Assumptions!$B$9&lt;=0),"",AA245/(Assumptions!$B$8*(S245-T245*Assumptions!$B$9)))</x:f>
        <x:v>0</x:v>
      </x:c>
      <x:c r="AD245" s="52" t="n">
        <x:f>IF(OR(R245="No",U245*S245=0),"",AA245/(U245*S245))</x:f>
        <x:v>0</x:v>
      </x:c>
      <x:c r="AE245" s="50" t="str">
        <x:f>IF(R245="No","No finance data",IF(AB245&gt;=10%,"Severe",IF(AB245&gt;=5%,"High",IF(AB245&gt;=2%,"Moderate","Low"))))</x:f>
        <x:v>Low</x:v>
      </x:c>
      <x:c r="AF245" s="60" t="n">
        <x:v>38.927398</x:v>
      </x:c>
      <x:c r="AG245" s="60" t="n">
        <x:v>-77.004261</x:v>
      </x:c>
      <x:c r="AH245" s="44" t="str">
        <x:v>Undergraduate tuition-contribution proxy only; not an audited total institutional budget.</x:v>
      </x:c>
    </x:row>
    <x:row r="246">
      <x:c r="A246" s="16" t="n">
        <x:v>131399</x:v>
      </x:c>
      <x:c r="B246" s="16" t="str">
        <x:v>University of the District of Columbia</x:v>
      </x:c>
      <x:c r="C246" s="16" t="str">
        <x:v>DC</x:v>
      </x:c>
      <x:c r="D246" s="16" t="str">
        <x:v>Public</x:v>
      </x:c>
      <x:c r="E246" s="34" t="n">
        <x:v>4198</x:v>
      </x:c>
      <x:c r="F246" s="21"/>
      <x:c r="G246" s="16" t="str">
        <x:v>Regional</x:v>
      </x:c>
      <x:c r="H246" s="36" t="n">
        <x:f>IF(G246="National",Assumptions!$B$11,IF(G246="Statewide",Assumptions!$B$12,Assumptions!$B$13))</x:f>
        <x:v>0.85</x:v>
      </x:c>
      <x:c r="I246" s="21" t="n">
        <x:v>0.1995311638168782</x:v>
      </x:c>
      <x:c r="J246" s="21" t="n">
        <x:v>0.2509652509652509</x:v>
      </x:c>
      <x:c r="K246" s="21" t="n">
        <x:v>0.038196359624931064</x:v>
      </x:c>
      <x:c r="L246" s="36" t="n">
        <x:f>IF(Assumptions!$B$4=2030,I246,IF(Assumptions!$B$4=2035,J246,K246))</x:f>
        <x:v>0.2509652509652509</x:v>
      </x:c>
      <x:c r="M246" s="36" t="n">
        <x:f>Assumptions!$B$19</x:f>
        <x:v>-0.04739891965741583</x:v>
      </x:c>
      <x:c r="N246" s="52" t="n">
        <x:f>H246*L246+(1-H246)*M246+O246</x:f>
        <x:v>0.2062106253718509</x:v>
      </x:c>
      <x:c r="O246" s="36" t="n">
        <x:f>Assumptions!$B$10</x:f>
        <x:v>0</x:v>
      </x:c>
      <x:c r="P246" s="54" t="n">
        <x:f>E246*(1+N246)</x:f>
        <x:v>5063.672205311031</x:v>
      </x:c>
      <x:c r="Q246" s="54" t="n">
        <x:f>P246-E246</x:f>
        <x:v>865.6722053110307</x:v>
      </x:c>
      <x:c r="R246" s="16" t="str">
        <x:v>Yes</x:v>
      </x:c>
      <x:c r="S246" s="56" t="n">
        <x:v>7919</x:v>
      </x:c>
      <x:c r="T246" s="56" t="n">
        <x:v>11495</x:v>
      </x:c>
      <x:c r="U246" s="40" t="n">
        <x:f>E246*Assumptions!$B$8</x:f>
        <x:v>3568.2999999999997</x:v>
      </x:c>
      <x:c r="V246" s="40" t="n">
        <x:f>P246*Assumptions!$B$8</x:f>
        <x:v>4304.121374514376</x:v>
      </x:c>
      <x:c r="W246" s="54" t="n">
        <x:f>V246-U246</x:f>
        <x:v>735.8213745143762</x:v>
      </x:c>
      <x:c r="X246" s="58" t="n">
        <x:f>IF(R246="No","",W246*S246)</x:f>
        <x:v>5826969.464779345</x:v>
      </x:c>
      <x:c r="Y246" s="58" t="n">
        <x:f>IF(R246="No","",W246*T246*Assumptions!$B$9)</x:f>
        <x:v>2537480.0100128264</x:v>
      </x:c>
      <x:c r="Z246" s="58" t="n">
        <x:f>IF(R246="No","",X246-Y246)</x:f>
        <x:v>3289489.454766519</x:v>
      </x:c>
      <x:c r="AA246" s="58" t="n">
        <x:f>IF(R246="No","",MAX(0,-Z246))</x:f>
        <x:v>0</x:v>
      </x:c>
      <x:c r="AB246" s="52" t="n">
        <x:f>IF(OR(R246="No",U246*S246=0),"",AA246/(U246*S246))</x:f>
        <x:v>0</x:v>
      </x:c>
      <x:c r="AC246" s="54" t="n">
        <x:f>IF(OR(R246="No",S246-T246*Assumptions!$B$9&lt;=0),"",AA246/(Assumptions!$B$8*(S246-T246*Assumptions!$B$9)))</x:f>
        <x:v>0</x:v>
      </x:c>
      <x:c r="AD246" s="52" t="n">
        <x:f>IF(OR(R246="No",U246*S246=0),"",AA246/(U246*S246))</x:f>
        <x:v>0</x:v>
      </x:c>
      <x:c r="AE246" s="50" t="str">
        <x:f>IF(R246="No","No finance data",IF(AB246&gt;=10%,"Severe",IF(AB246&gt;=5%,"High",IF(AB246&gt;=2%,"Moderate","Low"))))</x:f>
        <x:v>Low</x:v>
      </x:c>
      <x:c r="AF246" s="60" t="n">
        <x:v>38.943819</x:v>
      </x:c>
      <x:c r="AG246" s="60" t="n">
        <x:v>-77.066247</x:v>
      </x:c>
      <x:c r="AH246" s="44" t="str">
        <x:v>Undergraduate tuition-contribution proxy only; not an audited total institutional budget.</x:v>
      </x:c>
    </x:row>
    <x:row r="247">
      <x:c r="A247" s="16" t="n">
        <x:v>130934</x:v>
      </x:c>
      <x:c r="B247" s="16" t="str">
        <x:v>Delaware State University</x:v>
      </x:c>
      <x:c r="C247" s="16" t="str">
        <x:v>DE</x:v>
      </x:c>
      <x:c r="D247" s="16" t="str">
        <x:v>Public</x:v>
      </x:c>
      <x:c r="E247" s="34" t="n">
        <x:v>3686</x:v>
      </x:c>
      <x:c r="F247" s="21" t="n">
        <x:v>0.5884</x:v>
      </x:c>
      <x:c r="G247" s="16" t="str">
        <x:v>Regional</x:v>
      </x:c>
      <x:c r="H247" s="36" t="n">
        <x:f>IF(G247="National",Assumptions!$B$11,IF(G247="Statewide",Assumptions!$B$12,Assumptions!$B$13))</x:f>
        <x:v>0.85</x:v>
      </x:c>
      <x:c r="I247" s="21" t="n">
        <x:v>0.025323960362496845</x:v>
      </x:c>
      <x:c r="J247" s="21" t="n">
        <x:v>0.06690946048954016</x:v>
      </x:c>
      <x:c r="K247" s="21" t="n">
        <x:v>0.02371474548996355</x:v>
      </x:c>
      <x:c r="L247" s="36" t="n">
        <x:f>IF(Assumptions!$B$4=2030,I247,IF(Assumptions!$B$4=2035,J247,K247))</x:f>
        <x:v>0.06690946048954016</x:v>
      </x:c>
      <x:c r="M247" s="36" t="n">
        <x:f>Assumptions!$B$19</x:f>
        <x:v>-0.04739891965741583</x:v>
      </x:c>
      <x:c r="N247" s="52" t="n">
        <x:f>H247*L247+(1-H247)*M247+O247</x:f>
        <x:v>0.04976320346749676</x:v>
      </x:c>
      <x:c r="O247" s="36" t="n">
        <x:f>Assumptions!$B$10</x:f>
        <x:v>0</x:v>
      </x:c>
      <x:c r="P247" s="54" t="n">
        <x:f>E247*(1+N247)</x:f>
        <x:v>3869.427167981193</x:v>
      </x:c>
      <x:c r="Q247" s="54" t="n">
        <x:f>P247-E247</x:f>
        <x:v>183.42716798119318</x:v>
      </x:c>
      <x:c r="R247" s="16" t="str">
        <x:v>Yes</x:v>
      </x:c>
      <x:c r="S247" s="56" t="n">
        <x:v>9386</x:v>
      </x:c>
      <x:c r="T247" s="56" t="n">
        <x:v>9166</x:v>
      </x:c>
      <x:c r="U247" s="40" t="n">
        <x:f>E247*Assumptions!$B$8</x:f>
        <x:v>3133.1</x:v>
      </x:c>
      <x:c r="V247" s="40" t="n">
        <x:f>P247*Assumptions!$B$8</x:f>
        <x:v>3289.013092784014</x:v>
      </x:c>
      <x:c r="W247" s="54" t="n">
        <x:f>V247-U247</x:f>
        <x:v>155.91309278401422</x:v>
      </x:c>
      <x:c r="X247" s="58" t="n">
        <x:f>IF(R247="No","",W247*S247)</x:f>
        <x:v>1463400.2888707574</x:v>
      </x:c>
      <x:c r="Y247" s="58" t="n">
        <x:f>IF(R247="No","",W247*T247*Assumptions!$B$9)</x:f>
        <x:v>428729.8225374823</x:v>
      </x:c>
      <x:c r="Z247" s="58" t="n">
        <x:f>IF(R247="No","",X247-Y247)</x:f>
        <x:v>1034670.4663332752</x:v>
      </x:c>
      <x:c r="AA247" s="58" t="n">
        <x:f>IF(R247="No","",MAX(0,-Z247))</x:f>
        <x:v>0</x:v>
      </x:c>
      <x:c r="AB247" s="52" t="n">
        <x:f>IF(OR(R247="No",U247*S247=0),"",AA247/(U247*S247))</x:f>
        <x:v>0</x:v>
      </x:c>
      <x:c r="AC247" s="54" t="n">
        <x:f>IF(OR(R247="No",S247-T247*Assumptions!$B$9&lt;=0),"",AA247/(Assumptions!$B$8*(S247-T247*Assumptions!$B$9)))</x:f>
        <x:v>0</x:v>
      </x:c>
      <x:c r="AD247" s="52" t="n">
        <x:f>IF(OR(R247="No",U247*S247=0),"",AA247/(U247*S247))</x:f>
        <x:v>0</x:v>
      </x:c>
      <x:c r="AE247" s="50" t="str">
        <x:f>IF(R247="No","No finance data",IF(AB247&gt;=10%,"Severe",IF(AB247&gt;=5%,"High",IF(AB247&gt;=2%,"Moderate","Low"))))</x:f>
        <x:v>Low</x:v>
      </x:c>
      <x:c r="AF247" s="60" t="n">
        <x:v>39.187173</x:v>
      </x:c>
      <x:c r="AG247" s="60" t="n">
        <x:v>-75.54053</x:v>
      </x:c>
      <x:c r="AH247" s="44" t="str">
        <x:v>Undergraduate tuition-contribution proxy only; not an audited total institutional budget.</x:v>
      </x:c>
    </x:row>
    <x:row r="248">
      <x:c r="A248" s="16" t="n">
        <x:v>130989</x:v>
      </x:c>
      <x:c r="B248" s="16" t="str">
        <x:v>Goldey-Beacom College</x:v>
      </x:c>
      <x:c r="C248" s="16" t="str">
        <x:v>DE</x:v>
      </x:c>
      <x:c r="D248" s="16" t="str">
        <x:v>Private nonprofit</x:v>
      </x:c>
      <x:c r="E248" s="34" t="n">
        <x:v>622</x:v>
      </x:c>
      <x:c r="F248" s="21" t="n">
        <x:v>0.6288</x:v>
      </x:c>
      <x:c r="G248" s="16" t="str">
        <x:v>Regional</x:v>
      </x:c>
      <x:c r="H248" s="36" t="n">
        <x:f>IF(G248="National",Assumptions!$B$11,IF(G248="Statewide",Assumptions!$B$12,Assumptions!$B$13))</x:f>
        <x:v>0.85</x:v>
      </x:c>
      <x:c r="I248" s="21" t="n">
        <x:v>0.025323960362496845</x:v>
      </x:c>
      <x:c r="J248" s="21" t="n">
        <x:v>0.06690946048954016</x:v>
      </x:c>
      <x:c r="K248" s="21" t="n">
        <x:v>0.02371474548996355</x:v>
      </x:c>
      <x:c r="L248" s="36" t="n">
        <x:f>IF(Assumptions!$B$4=2030,I248,IF(Assumptions!$B$4=2035,J248,K248))</x:f>
        <x:v>0.06690946048954016</x:v>
      </x:c>
      <x:c r="M248" s="36" t="n">
        <x:f>Assumptions!$B$19</x:f>
        <x:v>-0.04739891965741583</x:v>
      </x:c>
      <x:c r="N248" s="52" t="n">
        <x:f>H248*L248+(1-H248)*M248+O248</x:f>
        <x:v>0.04976320346749676</x:v>
      </x:c>
      <x:c r="O248" s="36" t="n">
        <x:f>Assumptions!$B$10</x:f>
        <x:v>0</x:v>
      </x:c>
      <x:c r="P248" s="54" t="n">
        <x:f>E248*(1+N248)</x:f>
        <x:v>652.952712556783</x:v>
      </x:c>
      <x:c r="Q248" s="54" t="n">
        <x:f>P248-E248</x:f>
        <x:v>30.952712556783013</x:v>
      </x:c>
      <x:c r="R248" s="16" t="str">
        <x:v>Yes</x:v>
      </x:c>
      <x:c r="S248" s="56" t="n">
        <x:v>10119</x:v>
      </x:c>
      <x:c r="T248" s="56" t="n">
        <x:v>5430</x:v>
      </x:c>
      <x:c r="U248" s="40" t="n">
        <x:f>E248*Assumptions!$B$8</x:f>
        <x:v>528.6999999999999</x:v>
      </x:c>
      <x:c r="V248" s="40" t="n">
        <x:f>P248*Assumptions!$B$8</x:f>
        <x:v>555.0098056732655</x:v>
      </x:c>
      <x:c r="W248" s="54" t="n">
        <x:f>V248-U248</x:f>
        <x:v>26.3098056732656</x:v>
      </x:c>
      <x:c r="X248" s="58" t="n">
        <x:f>IF(R248="No","",W248*S248)</x:f>
        <x:v>266228.9236077746</x:v>
      </x:c>
      <x:c r="Y248" s="58" t="n">
        <x:f>IF(R248="No","",W248*T248*Assumptions!$B$9)</x:f>
        <x:v>42858.67344174966</x:v>
      </x:c>
      <x:c r="Z248" s="58" t="n">
        <x:f>IF(R248="No","",X248-Y248)</x:f>
        <x:v>223370.25016602495</x:v>
      </x:c>
      <x:c r="AA248" s="58" t="n">
        <x:f>IF(R248="No","",MAX(0,-Z248))</x:f>
        <x:v>0</x:v>
      </x:c>
      <x:c r="AB248" s="52" t="n">
        <x:f>IF(OR(R248="No",U248*S248=0),"",AA248/(U248*S248))</x:f>
        <x:v>0</x:v>
      </x:c>
      <x:c r="AC248" s="54" t="n">
        <x:f>IF(OR(R248="No",S248-T248*Assumptions!$B$9&lt;=0),"",AA248/(Assumptions!$B$8*(S248-T248*Assumptions!$B$9)))</x:f>
        <x:v>0</x:v>
      </x:c>
      <x:c r="AD248" s="52" t="n">
        <x:f>IF(OR(R248="No",U248*S248=0),"",AA248/(U248*S248))</x:f>
        <x:v>0</x:v>
      </x:c>
      <x:c r="AE248" s="50" t="str">
        <x:f>IF(R248="No","No finance data",IF(AB248&gt;=10%,"Severe",IF(AB248&gt;=5%,"High",IF(AB248&gt;=2%,"Moderate","Low"))))</x:f>
        <x:v>Low</x:v>
      </x:c>
      <x:c r="AF248" s="60" t="n">
        <x:v>39.741501</x:v>
      </x:c>
      <x:c r="AG248" s="60" t="n">
        <x:v>-75.689624</x:v>
      </x:c>
      <x:c r="AH248" s="44" t="str">
        <x:v>Undergraduate tuition-contribution proxy only; not an audited total institutional budget.</x:v>
      </x:c>
    </x:row>
    <x:row r="249">
      <x:c r="A249" s="16" t="n">
        <x:v>130943</x:v>
      </x:c>
      <x:c r="B249" s="16" t="str">
        <x:v>University of Delaware</x:v>
      </x:c>
      <x:c r="C249" s="16" t="str">
        <x:v>DE</x:v>
      </x:c>
      <x:c r="D249" s="16" t="str">
        <x:v>Public</x:v>
      </x:c>
      <x:c r="E249" s="34" t="n">
        <x:v>18353</x:v>
      </x:c>
      <x:c r="F249" s="21" t="n">
        <x:v>0.7235</x:v>
      </x:c>
      <x:c r="G249" s="16" t="str">
        <x:v>Statewide</x:v>
      </x:c>
      <x:c r="H249" s="36" t="n">
        <x:f>IF(G249="National",Assumptions!$B$11,IF(G249="Statewide",Assumptions!$B$12,Assumptions!$B$13))</x:f>
        <x:v>0.6</x:v>
      </x:c>
      <x:c r="I249" s="21" t="n">
        <x:v>0.025323960362496845</x:v>
      </x:c>
      <x:c r="J249" s="21" t="n">
        <x:v>0.06690946048954016</x:v>
      </x:c>
      <x:c r="K249" s="21" t="n">
        <x:v>0.02371474548996355</x:v>
      </x:c>
      <x:c r="L249" s="36" t="n">
        <x:f>IF(Assumptions!$B$4=2030,I249,IF(Assumptions!$B$4=2035,J249,K249))</x:f>
        <x:v>0.06690946048954016</x:v>
      </x:c>
      <x:c r="M249" s="36" t="n">
        <x:f>Assumptions!$B$19</x:f>
        <x:v>-0.04739891965741583</x:v>
      </x:c>
      <x:c r="N249" s="52" t="n">
        <x:f>H249*L249+(1-H249)*M249+O249</x:f>
        <x:v>0.021186108430757765</x:v>
      </x:c>
      <x:c r="O249" s="36" t="n">
        <x:f>Assumptions!$B$10</x:f>
        <x:v>0</x:v>
      </x:c>
      <x:c r="P249" s="54" t="n">
        <x:f>E249*(1+N249)</x:f>
        <x:v>18741.8286480297</x:v>
      </x:c>
      <x:c r="Q249" s="54" t="n">
        <x:f>P249-E249</x:f>
        <x:v>388.82864802969925</x:v>
      </x:c>
      <x:c r="R249" s="16" t="str">
        <x:v>Yes</x:v>
      </x:c>
      <x:c r="S249" s="56" t="n">
        <x:v>17801</x:v>
      </x:c>
      <x:c r="T249" s="56" t="n">
        <x:v>19538</x:v>
      </x:c>
      <x:c r="U249" s="40" t="n">
        <x:f>E249*Assumptions!$B$8</x:f>
        <x:v>15600.05</x:v>
      </x:c>
      <x:c r="V249" s="40" t="n">
        <x:f>P249*Assumptions!$B$8</x:f>
        <x:v>15930.554350825243</x:v>
      </x:c>
      <x:c r="W249" s="54" t="n">
        <x:f>V249-U249</x:f>
        <x:v>330.5043508252438</x:v>
      </x:c>
      <x:c r="X249" s="58" t="n">
        <x:f>IF(R249="No","",W249*S249)</x:f>
        <x:v>5883307.949040165</x:v>
      </x:c>
      <x:c r="Y249" s="58" t="n">
        <x:f>IF(R249="No","",W249*T249*Assumptions!$B$9)</x:f>
        <x:v>1937218.201927084</x:v>
      </x:c>
      <x:c r="Z249" s="58" t="n">
        <x:f>IF(R249="No","",X249-Y249)</x:f>
        <x:v>3946089.747113081</x:v>
      </x:c>
      <x:c r="AA249" s="58" t="n">
        <x:f>IF(R249="No","",MAX(0,-Z249))</x:f>
        <x:v>0</x:v>
      </x:c>
      <x:c r="AB249" s="52" t="n">
        <x:f>IF(OR(R249="No",U249*S249=0),"",AA249/(U249*S249))</x:f>
        <x:v>0</x:v>
      </x:c>
      <x:c r="AC249" s="54" t="n">
        <x:f>IF(OR(R249="No",S249-T249*Assumptions!$B$9&lt;=0),"",AA249/(Assumptions!$B$8*(S249-T249*Assumptions!$B$9)))</x:f>
        <x:v>0</x:v>
      </x:c>
      <x:c r="AD249" s="52" t="n">
        <x:f>IF(OR(R249="No",U249*S249=0),"",AA249/(U249*S249))</x:f>
        <x:v>0</x:v>
      </x:c>
      <x:c r="AE249" s="50" t="str">
        <x:f>IF(R249="No","No finance data",IF(AB249&gt;=10%,"Severe",IF(AB249&gt;=5%,"High",IF(AB249&gt;=2%,"Moderate","Low"))))</x:f>
        <x:v>Low</x:v>
      </x:c>
      <x:c r="AF249" s="60" t="n">
        <x:v>39.679577</x:v>
      </x:c>
      <x:c r="AG249" s="60" t="n">
        <x:v>-75.752822</x:v>
      </x:c>
      <x:c r="AH249" s="44" t="str">
        <x:v>Undergraduate tuition-contribution proxy only; not an audited total institutional budget.</x:v>
      </x:c>
    </x:row>
    <x:row r="250">
      <x:c r="A250" s="16" t="n">
        <x:v>131098</x:v>
      </x:c>
      <x:c r="B250" s="16" t="str">
        <x:v>Wesley College</x:v>
      </x:c>
      <x:c r="C250" s="16" t="str">
        <x:v>DE</x:v>
      </x:c>
      <x:c r="D250" s="16" t="str">
        <x:v>Private nonprofit</x:v>
      </x:c>
      <x:c r="E250" s="34" t="n">
        <x:v>1496</x:v>
      </x:c>
      <x:c r="F250" s="21"/>
      <x:c r="G250" s="16" t="str">
        <x:v>Regional</x:v>
      </x:c>
      <x:c r="H250" s="36" t="n">
        <x:f>IF(G250="National",Assumptions!$B$11,IF(G250="Statewide",Assumptions!$B$12,Assumptions!$B$13))</x:f>
        <x:v>0.85</x:v>
      </x:c>
      <x:c r="I250" s="21" t="n">
        <x:v>0.025323960362496845</x:v>
      </x:c>
      <x:c r="J250" s="21" t="n">
        <x:v>0.06690946048954016</x:v>
      </x:c>
      <x:c r="K250" s="21" t="n">
        <x:v>0.02371474548996355</x:v>
      </x:c>
      <x:c r="L250" s="36" t="n">
        <x:f>IF(Assumptions!$B$4=2030,I250,IF(Assumptions!$B$4=2035,J250,K250))</x:f>
        <x:v>0.06690946048954016</x:v>
      </x:c>
      <x:c r="M250" s="36" t="n">
        <x:f>Assumptions!$B$19</x:f>
        <x:v>-0.04739891965741583</x:v>
      </x:c>
      <x:c r="N250" s="52" t="n">
        <x:f>H250*L250+(1-H250)*M250+O250</x:f>
        <x:v>0.04976320346749676</x:v>
      </x:c>
      <x:c r="O250" s="36" t="n">
        <x:f>Assumptions!$B$10</x:f>
        <x:v>0</x:v>
      </x:c>
      <x:c r="P250" s="54" t="n">
        <x:f>E250*(1+N250)</x:f>
        <x:v>1570.4457523873753</x:v>
      </x:c>
      <x:c r="Q250" s="54" t="n">
        <x:f>P250-E250</x:f>
        <x:v>74.44575238737525</x:v>
      </x:c>
      <x:c r="R250" s="16" t="str">
        <x:v>No</x:v>
      </x:c>
      <x:c r="S250" s="56"/>
      <x:c r="T250" s="56"/>
      <x:c r="U250" s="40" t="n">
        <x:f>E250*Assumptions!$B$8</x:f>
        <x:v>1271.6</x:v>
      </x:c>
      <x:c r="V250" s="40" t="n">
        <x:f>P250*Assumptions!$B$8</x:f>
        <x:v>1334.878889529269</x:v>
      </x:c>
      <x:c r="W250" s="54" t="n">
        <x:f>V250-U250</x:f>
        <x:v>63.27888952926901</x:v>
      </x:c>
      <x:c r="X250" s="58" t="str">
        <x:f>IF(R250="No","",W250*S250)</x:f>
      </x:c>
      <x:c r="Y250" s="58" t="str">
        <x:f>IF(R250="No","",W250*T250*Assumptions!$B$9)</x:f>
      </x:c>
      <x:c r="Z250" s="58" t="str">
        <x:f>IF(R250="No","",X250-Y250)</x:f>
      </x:c>
      <x:c r="AA250" s="58" t="str">
        <x:f>IF(R250="No","",MAX(0,-Z250))</x:f>
      </x:c>
      <x:c r="AB250" s="52" t="str">
        <x:f>IF(OR(R250="No",U250*S250=0),"",AA250/(U250*S250))</x:f>
      </x:c>
      <x:c r="AC250" s="54" t="str">
        <x:f>IF(OR(R250="No",S250-T250*Assumptions!$B$9&lt;=0),"",AA250/(Assumptions!$B$8*(S250-T250*Assumptions!$B$9)))</x:f>
      </x:c>
      <x:c r="AD250" s="52" t="str">
        <x:f>IF(OR(R250="No",U250*S250=0),"",AA250/(U250*S250))</x:f>
      </x:c>
      <x:c r="AE250" s="50" t="str">
        <x:f>IF(R250="No","No finance data",IF(AB250&gt;=10%,"Severe",IF(AB250&gt;=5%,"High",IF(AB250&gt;=2%,"Moderate","Low"))))</x:f>
        <x:v>No finance data</x:v>
      </x:c>
      <x:c r="AF250" s="60"/>
      <x:c r="AG250" s="60"/>
      <x:c r="AH250" s="44" t="str">
        <x:v>Undergraduate tuition-contribution proxy only; not an audited total institutional budget.</x:v>
      </x:c>
    </x:row>
    <x:row r="251">
      <x:c r="A251" s="16" t="n">
        <x:v>244190</x:v>
      </x:c>
      <x:c r="B251" s="16" t="str">
        <x:v>Widener University-Delaware Law School</x:v>
      </x:c>
      <x:c r="C251" s="16" t="str">
        <x:v>DE</x:v>
      </x:c>
      <x:c r="D251" s="16" t="str">
        <x:v>Private nonprofit</x:v>
      </x:c>
      <x:c r="E251" s="34" t="n">
        <x:v>63</x:v>
      </x:c>
      <x:c r="F251" s="21"/>
      <x:c r="G251" s="16" t="str">
        <x:v>Regional</x:v>
      </x:c>
      <x:c r="H251" s="36" t="n">
        <x:f>IF(G251="National",Assumptions!$B$11,IF(G251="Statewide",Assumptions!$B$12,Assumptions!$B$13))</x:f>
        <x:v>0.85</x:v>
      </x:c>
      <x:c r="I251" s="21" t="n">
        <x:v>0.025323960362496845</x:v>
      </x:c>
      <x:c r="J251" s="21" t="n">
        <x:v>0.06690946048954016</x:v>
      </x:c>
      <x:c r="K251" s="21" t="n">
        <x:v>0.02371474548996355</x:v>
      </x:c>
      <x:c r="L251" s="36" t="n">
        <x:f>IF(Assumptions!$B$4=2030,I251,IF(Assumptions!$B$4=2035,J251,K251))</x:f>
        <x:v>0.06690946048954016</x:v>
      </x:c>
      <x:c r="M251" s="36" t="n">
        <x:f>Assumptions!$B$19</x:f>
        <x:v>-0.04739891965741583</x:v>
      </x:c>
      <x:c r="N251" s="52" t="n">
        <x:f>H251*L251+(1-H251)*M251+O251</x:f>
        <x:v>0.04976320346749676</x:v>
      </x:c>
      <x:c r="O251" s="36" t="n">
        <x:f>Assumptions!$B$10</x:f>
        <x:v>0</x:v>
      </x:c>
      <x:c r="P251" s="54" t="n">
        <x:f>E251*(1+N251)</x:f>
        <x:v>66.1350818184523</x:v>
      </x:c>
      <x:c r="Q251" s="54" t="n">
        <x:f>P251-E251</x:f>
        <x:v>3.1350818184523064</x:v>
      </x:c>
      <x:c r="R251" s="16" t="str">
        <x:v>No</x:v>
      </x:c>
      <x:c r="S251" s="56"/>
      <x:c r="T251" s="56"/>
      <x:c r="U251" s="40" t="n">
        <x:f>E251*Assumptions!$B$8</x:f>
        <x:v>53.55</x:v>
      </x:c>
      <x:c r="V251" s="40" t="n">
        <x:f>P251*Assumptions!$B$8</x:f>
        <x:v>56.214819545684456</x:v>
      </x:c>
      <x:c r="W251" s="54" t="n">
        <x:f>V251-U251</x:f>
        <x:v>2.664819545684459</x:v>
      </x:c>
      <x:c r="X251" s="58" t="str">
        <x:f>IF(R251="No","",W251*S251)</x:f>
      </x:c>
      <x:c r="Y251" s="58" t="str">
        <x:f>IF(R251="No","",W251*T251*Assumptions!$B$9)</x:f>
      </x:c>
      <x:c r="Z251" s="58" t="str">
        <x:f>IF(R251="No","",X251-Y251)</x:f>
      </x:c>
      <x:c r="AA251" s="58" t="str">
        <x:f>IF(R251="No","",MAX(0,-Z251))</x:f>
      </x:c>
      <x:c r="AB251" s="52" t="str">
        <x:f>IF(OR(R251="No",U251*S251=0),"",AA251/(U251*S251))</x:f>
      </x:c>
      <x:c r="AC251" s="54" t="str">
        <x:f>IF(OR(R251="No",S251-T251*Assumptions!$B$9&lt;=0),"",AA251/(Assumptions!$B$8*(S251-T251*Assumptions!$B$9)))</x:f>
      </x:c>
      <x:c r="AD251" s="52" t="str">
        <x:f>IF(OR(R251="No",U251*S251=0),"",AA251/(U251*S251))</x:f>
      </x:c>
      <x:c r="AE251" s="50" t="str">
        <x:f>IF(R251="No","No finance data",IF(AB251&gt;=10%,"Severe",IF(AB251&gt;=5%,"High",IF(AB251&gt;=2%,"Moderate","Low"))))</x:f>
        <x:v>No finance data</x:v>
      </x:c>
      <x:c r="AF251" s="60"/>
      <x:c r="AG251" s="60"/>
      <x:c r="AH251" s="44" t="str">
        <x:v>Undergraduate tuition-contribution proxy only; not an audited total institutional budget.</x:v>
      </x:c>
    </x:row>
    <x:row r="252">
      <x:c r="A252" s="16" t="n">
        <x:v>131113</x:v>
      </x:c>
      <x:c r="B252" s="16" t="str">
        <x:v>Wilmington University</x:v>
      </x:c>
      <x:c r="C252" s="16" t="str">
        <x:v>DE</x:v>
      </x:c>
      <x:c r="D252" s="16" t="str">
        <x:v>Private nonprofit</x:v>
      </x:c>
      <x:c r="E252" s="34" t="n">
        <x:v>8674</x:v>
      </x:c>
      <x:c r="F252" s="21"/>
      <x:c r="G252" s="16" t="str">
        <x:v>Statewide</x:v>
      </x:c>
      <x:c r="H252" s="36" t="n">
        <x:f>IF(G252="National",Assumptions!$B$11,IF(G252="Statewide",Assumptions!$B$12,Assumptions!$B$13))</x:f>
        <x:v>0.6</x:v>
      </x:c>
      <x:c r="I252" s="21" t="n">
        <x:v>0.025323960362496845</x:v>
      </x:c>
      <x:c r="J252" s="21" t="n">
        <x:v>0.06690946048954016</x:v>
      </x:c>
      <x:c r="K252" s="21" t="n">
        <x:v>0.02371474548996355</x:v>
      </x:c>
      <x:c r="L252" s="36" t="n">
        <x:f>IF(Assumptions!$B$4=2030,I252,IF(Assumptions!$B$4=2035,J252,K252))</x:f>
        <x:v>0.06690946048954016</x:v>
      </x:c>
      <x:c r="M252" s="36" t="n">
        <x:f>Assumptions!$B$19</x:f>
        <x:v>-0.04739891965741583</x:v>
      </x:c>
      <x:c r="N252" s="52" t="n">
        <x:f>H252*L252+(1-H252)*M252+O252</x:f>
        <x:v>0.021186108430757765</x:v>
      </x:c>
      <x:c r="O252" s="36" t="n">
        <x:f>Assumptions!$B$10</x:f>
        <x:v>0</x:v>
      </x:c>
      <x:c r="P252" s="54" t="n">
        <x:f>E252*(1+N252)</x:f>
        <x:v>8857.768304528394</x:v>
      </x:c>
      <x:c r="Q252" s="54" t="n">
        <x:f>P252-E252</x:f>
        <x:v>183.76830452839386</x:v>
      </x:c>
      <x:c r="R252" s="16" t="str">
        <x:v>Yes</x:v>
      </x:c>
      <x:c r="S252" s="56" t="n">
        <x:v>10386</x:v>
      </x:c>
      <x:c r="T252" s="56" t="n">
        <x:v>4104</x:v>
      </x:c>
      <x:c r="U252" s="40" t="n">
        <x:f>E252*Assumptions!$B$8</x:f>
        <x:v>7372.9</x:v>
      </x:c>
      <x:c r="V252" s="40" t="n">
        <x:f>P252*Assumptions!$B$8</x:f>
        <x:v>7529.103058849135</x:v>
      </x:c>
      <x:c r="W252" s="54" t="n">
        <x:f>V252-U252</x:f>
        <x:v>156.20305884913523</x:v>
      </x:c>
      <x:c r="X252" s="58" t="n">
        <x:f>IF(R252="No","",W252*S252)</x:f>
        <x:v>1622324.9692071185</x:v>
      </x:c>
      <x:c r="Y252" s="58" t="n">
        <x:f>IF(R252="No","",W252*T252*Assumptions!$B$9)</x:f>
        <x:v>192317.20605505529</x:v>
      </x:c>
      <x:c r="Z252" s="58" t="n">
        <x:f>IF(R252="No","",X252-Y252)</x:f>
        <x:v>1430007.7631520631</x:v>
      </x:c>
      <x:c r="AA252" s="58" t="n">
        <x:f>IF(R252="No","",MAX(0,-Z252))</x:f>
        <x:v>0</x:v>
      </x:c>
      <x:c r="AB252" s="52" t="n">
        <x:f>IF(OR(R252="No",U252*S252=0),"",AA252/(U252*S252))</x:f>
        <x:v>0</x:v>
      </x:c>
      <x:c r="AC252" s="54" t="n">
        <x:f>IF(OR(R252="No",S252-T252*Assumptions!$B$9&lt;=0),"",AA252/(Assumptions!$B$8*(S252-T252*Assumptions!$B$9)))</x:f>
        <x:v>0</x:v>
      </x:c>
      <x:c r="AD252" s="52" t="n">
        <x:f>IF(OR(R252="No",U252*S252=0),"",AA252/(U252*S252))</x:f>
        <x:v>0</x:v>
      </x:c>
      <x:c r="AE252" s="50" t="str">
        <x:f>IF(R252="No","No finance data",IF(AB252&gt;=10%,"Severe",IF(AB252&gt;=5%,"High",IF(AB252&gt;=2%,"Moderate","Low"))))</x:f>
        <x:v>Low</x:v>
      </x:c>
      <x:c r="AF252" s="60" t="n">
        <x:v>39.682299</x:v>
      </x:c>
      <x:c r="AG252" s="60" t="n">
        <x:v>-75.586998</x:v>
      </x:c>
      <x:c r="AH252" s="44" t="str">
        <x:v>Undergraduate tuition-contribution proxy only; not an audited total institutional budget.</x:v>
      </x:c>
    </x:row>
    <x:row r="253">
      <x:c r="A253" s="16" t="n">
        <x:v>133872</x:v>
      </x:c>
      <x:c r="B253" s="16" t="str">
        <x:v>Adventist University of Health Sciences</x:v>
      </x:c>
      <x:c r="C253" s="16" t="str">
        <x:v>FL</x:v>
      </x:c>
      <x:c r="D253" s="16" t="str">
        <x:v>Private nonprofit</x:v>
      </x:c>
      <x:c r="E253" s="34" t="n">
        <x:v>1704</x:v>
      </x:c>
      <x:c r="F253" s="21" t="n">
        <x:v>0.9027</x:v>
      </x:c>
      <x:c r="G253" s="16" t="str">
        <x:v>Regional</x:v>
      </x:c>
      <x:c r="H253" s="36" t="n">
        <x:f>IF(G253="National",Assumptions!$B$11,IF(G253="Statewide",Assumptions!$B$12,Assumptions!$B$13))</x:f>
        <x:v>0.85</x:v>
      </x:c>
      <x:c r="I253" s="21" t="n">
        <x:v>-0.01895702822183576</x:v>
      </x:c>
      <x:c r="J253" s="21" t="n">
        <x:v>0.0550021999203838</x:v>
      </x:c>
      <x:c r="K253" s="21" t="n">
        <x:v>0.03672400427413103</x:v>
      </x:c>
      <x:c r="L253" s="36" t="n">
        <x:f>IF(Assumptions!$B$4=2030,I253,IF(Assumptions!$B$4=2035,J253,K253))</x:f>
        <x:v>0.0550021999203838</x:v>
      </x:c>
      <x:c r="M253" s="36" t="n">
        <x:f>Assumptions!$B$19</x:f>
        <x:v>-0.04739891965741583</x:v>
      </x:c>
      <x:c r="N253" s="52" t="n">
        <x:f>H253*L253+(1-H253)*M253+O253</x:f>
        <x:v>0.03964203198371385</x:v>
      </x:c>
      <x:c r="O253" s="36" t="n">
        <x:f>Assumptions!$B$10</x:f>
        <x:v>0</x:v>
      </x:c>
      <x:c r="P253" s="54" t="n">
        <x:f>E253*(1+N253)</x:f>
        <x:v>1771.5500225002484</x:v>
      </x:c>
      <x:c r="Q253" s="54" t="n">
        <x:f>P253-E253</x:f>
        <x:v>67.55002250024836</x:v>
      </x:c>
      <x:c r="R253" s="16" t="str">
        <x:v>Yes</x:v>
      </x:c>
      <x:c r="S253" s="56" t="n">
        <x:v>17977</x:v>
      </x:c>
      <x:c r="T253" s="56" t="n">
        <x:v>9926</x:v>
      </x:c>
      <x:c r="U253" s="40" t="n">
        <x:f>E253*Assumptions!$B$8</x:f>
        <x:v>1448.3999999999999</x:v>
      </x:c>
      <x:c r="V253" s="40" t="n">
        <x:f>P253*Assumptions!$B$8</x:f>
        <x:v>1505.817519125211</x:v>
      </x:c>
      <x:c r="W253" s="54" t="n">
        <x:f>V253-U253</x:f>
        <x:v>57.41751912521113</x:v>
      </x:c>
      <x:c r="X253" s="58" t="n">
        <x:f>IF(R253="No","",W253*S253)</x:f>
        <x:v>1032194.7413139205</x:v>
      </x:c>
      <x:c r="Y253" s="58" t="n">
        <x:f>IF(R253="No","",W253*T253*Assumptions!$B$9)</x:f>
        <x:v>170977.8884510537</x:v>
      </x:c>
      <x:c r="Z253" s="58" t="n">
        <x:f>IF(R253="No","",X253-Y253)</x:f>
        <x:v>861216.8528628668</x:v>
      </x:c>
      <x:c r="AA253" s="58" t="n">
        <x:f>IF(R253="No","",MAX(0,-Z253))</x:f>
        <x:v>0</x:v>
      </x:c>
      <x:c r="AB253" s="52" t="n">
        <x:f>IF(OR(R253="No",U253*S253=0),"",AA253/(U253*S253))</x:f>
        <x:v>0</x:v>
      </x:c>
      <x:c r="AC253" s="54" t="n">
        <x:f>IF(OR(R253="No",S253-T253*Assumptions!$B$9&lt;=0),"",AA253/(Assumptions!$B$8*(S253-T253*Assumptions!$B$9)))</x:f>
        <x:v>0</x:v>
      </x:c>
      <x:c r="AD253" s="52" t="n">
        <x:f>IF(OR(R253="No",U253*S253=0),"",AA253/(U253*S253))</x:f>
        <x:v>0</x:v>
      </x:c>
      <x:c r="AE253" s="50" t="str">
        <x:f>IF(R253="No","No finance data",IF(AB253&gt;=10%,"Severe",IF(AB253&gt;=5%,"High",IF(AB253&gt;=2%,"Moderate","Low"))))</x:f>
        <x:v>Low</x:v>
      </x:c>
      <x:c r="AF253" s="60" t="n">
        <x:v>28.576142</x:v>
      </x:c>
      <x:c r="AG253" s="60" t="n">
        <x:v>-81.367687</x:v>
      </x:c>
      <x:c r="AH253" s="44" t="str">
        <x:v>Undergraduate tuition-contribution proxy only; not an audited total institutional budget.</x:v>
      </x:c>
    </x:row>
    <x:row r="254">
      <x:c r="A254" s="16" t="n">
        <x:v>439446</x:v>
      </x:c>
      <x:c r="B254" s="16" t="str">
        <x:v>Atlantic Institute of Oriental Medicine</x:v>
      </x:c>
      <x:c r="C254" s="16" t="str">
        <x:v>FL</x:v>
      </x:c>
      <x:c r="D254" s="16" t="str">
        <x:v>Private nonprofit</x:v>
      </x:c>
      <x:c r="E254" s="34" t="n">
        <x:v>35</x:v>
      </x:c>
      <x:c r="F254" s="21"/>
      <x:c r="G254" s="16" t="str">
        <x:v>Regional</x:v>
      </x:c>
      <x:c r="H254" s="36" t="n">
        <x:f>IF(G254="National",Assumptions!$B$11,IF(G254="Statewide",Assumptions!$B$12,Assumptions!$B$13))</x:f>
        <x:v>0.85</x:v>
      </x:c>
      <x:c r="I254" s="21" t="n">
        <x:v>-0.01895702822183576</x:v>
      </x:c>
      <x:c r="J254" s="21" t="n">
        <x:v>0.0550021999203838</x:v>
      </x:c>
      <x:c r="K254" s="21" t="n">
        <x:v>0.03672400427413103</x:v>
      </x:c>
      <x:c r="L254" s="36" t="n">
        <x:f>IF(Assumptions!$B$4=2030,I254,IF(Assumptions!$B$4=2035,J254,K254))</x:f>
        <x:v>0.0550021999203838</x:v>
      </x:c>
      <x:c r="M254" s="36" t="n">
        <x:f>Assumptions!$B$19</x:f>
        <x:v>-0.04739891965741583</x:v>
      </x:c>
      <x:c r="N254" s="52" t="n">
        <x:f>H254*L254+(1-H254)*M254+O254</x:f>
        <x:v>0.03964203198371385</x:v>
      </x:c>
      <x:c r="O254" s="36" t="n">
        <x:f>Assumptions!$B$10</x:f>
        <x:v>0</x:v>
      </x:c>
      <x:c r="P254" s="54" t="n">
        <x:f>E254*(1+N254)</x:f>
        <x:v>36.38747111942998</x:v>
      </x:c>
      <x:c r="Q254" s="54" t="n">
        <x:f>P254-E254</x:f>
        <x:v>1.387471119429982</x:v>
      </x:c>
      <x:c r="R254" s="16" t="str">
        <x:v>No</x:v>
      </x:c>
      <x:c r="S254" s="56"/>
      <x:c r="T254" s="56"/>
      <x:c r="U254" s="40" t="n">
        <x:f>E254*Assumptions!$B$8</x:f>
        <x:v>29.75</x:v>
      </x:c>
      <x:c r="V254" s="40" t="n">
        <x:f>P254*Assumptions!$B$8</x:f>
        <x:v>30.929350451515482</x:v>
      </x:c>
      <x:c r="W254" s="54" t="n">
        <x:f>V254-U254</x:f>
        <x:v>1.1793504515154822</x:v>
      </x:c>
      <x:c r="X254" s="58" t="str">
        <x:f>IF(R254="No","",W254*S254)</x:f>
      </x:c>
      <x:c r="Y254" s="58" t="str">
        <x:f>IF(R254="No","",W254*T254*Assumptions!$B$9)</x:f>
      </x:c>
      <x:c r="Z254" s="58" t="str">
        <x:f>IF(R254="No","",X254-Y254)</x:f>
      </x:c>
      <x:c r="AA254" s="58" t="str">
        <x:f>IF(R254="No","",MAX(0,-Z254))</x:f>
      </x:c>
      <x:c r="AB254" s="52" t="str">
        <x:f>IF(OR(R254="No",U254*S254=0),"",AA254/(U254*S254))</x:f>
      </x:c>
      <x:c r="AC254" s="54" t="str">
        <x:f>IF(OR(R254="No",S254-T254*Assumptions!$B$9&lt;=0),"",AA254/(Assumptions!$B$8*(S254-T254*Assumptions!$B$9)))</x:f>
      </x:c>
      <x:c r="AD254" s="52" t="str">
        <x:f>IF(OR(R254="No",U254*S254=0),"",AA254/(U254*S254))</x:f>
      </x:c>
      <x:c r="AE254" s="50" t="str">
        <x:f>IF(R254="No","No finance data",IF(AB254&gt;=10%,"Severe",IF(AB254&gt;=5%,"High",IF(AB254&gt;=2%,"Moderate","Low"))))</x:f>
        <x:v>No finance data</x:v>
      </x:c>
      <x:c r="AF254" s="60"/>
      <x:c r="AG254" s="60"/>
      <x:c r="AH254" s="44" t="str">
        <x:v>Undergraduate tuition-contribution proxy only; not an audited total institutional budget.</x:v>
      </x:c>
    </x:row>
    <x:row r="255">
      <x:c r="A255" s="16" t="n">
        <x:v>446048</x:v>
      </x:c>
      <x:c r="B255" s="16" t="str">
        <x:v>Ave Maria University</x:v>
      </x:c>
      <x:c r="C255" s="16" t="str">
        <x:v>FL</x:v>
      </x:c>
      <x:c r="D255" s="16" t="str">
        <x:v>Private nonprofit</x:v>
      </x:c>
      <x:c r="E255" s="34" t="n">
        <x:v>1061</x:v>
      </x:c>
      <x:c r="F255" s="21" t="n">
        <x:v>0.6405</x:v>
      </x:c>
      <x:c r="G255" s="16" t="str">
        <x:v>Regional</x:v>
      </x:c>
      <x:c r="H255" s="36" t="n">
        <x:f>IF(G255="National",Assumptions!$B$11,IF(G255="Statewide",Assumptions!$B$12,Assumptions!$B$13))</x:f>
        <x:v>0.85</x:v>
      </x:c>
      <x:c r="I255" s="21" t="n">
        <x:v>-0.01895702822183576</x:v>
      </x:c>
      <x:c r="J255" s="21" t="n">
        <x:v>0.0550021999203838</x:v>
      </x:c>
      <x:c r="K255" s="21" t="n">
        <x:v>0.03672400427413103</x:v>
      </x:c>
      <x:c r="L255" s="36" t="n">
        <x:f>IF(Assumptions!$B$4=2030,I255,IF(Assumptions!$B$4=2035,J255,K255))</x:f>
        <x:v>0.0550021999203838</x:v>
      </x:c>
      <x:c r="M255" s="36" t="n">
        <x:f>Assumptions!$B$19</x:f>
        <x:v>-0.04739891965741583</x:v>
      </x:c>
      <x:c r="N255" s="52" t="n">
        <x:f>H255*L255+(1-H255)*M255+O255</x:f>
        <x:v>0.03964203198371385</x:v>
      </x:c>
      <x:c r="O255" s="36" t="n">
        <x:f>Assumptions!$B$10</x:f>
        <x:v>0</x:v>
      </x:c>
      <x:c r="P255" s="54" t="n">
        <x:f>E255*(1+N255)</x:f>
        <x:v>1103.0601959347205</x:v>
      </x:c>
      <x:c r="Q255" s="54" t="n">
        <x:f>P255-E255</x:f>
        <x:v>42.06019593472047</x:v>
      </x:c>
      <x:c r="R255" s="16" t="str">
        <x:v>Yes</x:v>
      </x:c>
      <x:c r="S255" s="56" t="n">
        <x:v>6797</x:v>
      </x:c>
      <x:c r="T255" s="56" t="n">
        <x:v>11155</x:v>
      </x:c>
      <x:c r="U255" s="40" t="n">
        <x:f>E255*Assumptions!$B$8</x:f>
        <x:v>901.85</x:v>
      </x:c>
      <x:c r="V255" s="40" t="n">
        <x:f>P255*Assumptions!$B$8</x:f>
        <x:v>937.6011665445124</x:v>
      </x:c>
      <x:c r="W255" s="54" t="n">
        <x:f>V255-U255</x:f>
        <x:v>35.75116654451233</x:v>
      </x:c>
      <x:c r="X255" s="58" t="n">
        <x:f>IF(R255="No","",W255*S255)</x:f>
        <x:v>243000.67900305032</x:v>
      </x:c>
      <x:c r="Y255" s="58" t="n">
        <x:f>IF(R255="No","",W255*T255*Assumptions!$B$9)</x:f>
        <x:v>119641.2788412105</x:v>
      </x:c>
      <x:c r="Z255" s="58" t="n">
        <x:f>IF(R255="No","",X255-Y255)</x:f>
        <x:v>123359.40016183982</x:v>
      </x:c>
      <x:c r="AA255" s="58" t="n">
        <x:f>IF(R255="No","",MAX(0,-Z255))</x:f>
        <x:v>0</x:v>
      </x:c>
      <x:c r="AB255" s="52" t="n">
        <x:f>IF(OR(R255="No",U255*S255=0),"",AA255/(U255*S255))</x:f>
        <x:v>0</x:v>
      </x:c>
      <x:c r="AC255" s="54" t="n">
        <x:f>IF(OR(R255="No",S255-T255*Assumptions!$B$9&lt;=0),"",AA255/(Assumptions!$B$8*(S255-T255*Assumptions!$B$9)))</x:f>
        <x:v>0</x:v>
      </x:c>
      <x:c r="AD255" s="52" t="n">
        <x:f>IF(OR(R255="No",U255*S255=0),"",AA255/(U255*S255))</x:f>
        <x:v>0</x:v>
      </x:c>
      <x:c r="AE255" s="50" t="str">
        <x:f>IF(R255="No","No finance data",IF(AB255&gt;=10%,"Severe",IF(AB255&gt;=5%,"High",IF(AB255&gt;=2%,"Moderate","Low"))))</x:f>
        <x:v>Low</x:v>
      </x:c>
      <x:c r="AF255" s="60" t="n">
        <x:v>26.335983</x:v>
      </x:c>
      <x:c r="AG255" s="60" t="n">
        <x:v>-81.438945</x:v>
      </x:c>
      <x:c r="AH255" s="44" t="str">
        <x:v>Undergraduate tuition-contribution proxy only; not an audited total institutional budget.</x:v>
      </x:c>
    </x:row>
    <x:row r="256">
      <x:c r="A256" s="16" t="n">
        <x:v>132471</x:v>
      </x:c>
      <x:c r="B256" s="16" t="str">
        <x:v>Barry University</x:v>
      </x:c>
      <x:c r="C256" s="16" t="str">
        <x:v>FL</x:v>
      </x:c>
      <x:c r="D256" s="16" t="str">
        <x:v>Private nonprofit</x:v>
      </x:c>
      <x:c r="E256" s="34" t="n">
        <x:v>3703</x:v>
      </x:c>
      <x:c r="F256" s="21" t="n">
        <x:v>0.6369</x:v>
      </x:c>
      <x:c r="G256" s="16" t="str">
        <x:v>Regional</x:v>
      </x:c>
      <x:c r="H256" s="36" t="n">
        <x:f>IF(G256="National",Assumptions!$B$11,IF(G256="Statewide",Assumptions!$B$12,Assumptions!$B$13))</x:f>
        <x:v>0.85</x:v>
      </x:c>
      <x:c r="I256" s="21" t="n">
        <x:v>-0.01895702822183576</x:v>
      </x:c>
      <x:c r="J256" s="21" t="n">
        <x:v>0.0550021999203838</x:v>
      </x:c>
      <x:c r="K256" s="21" t="n">
        <x:v>0.03672400427413103</x:v>
      </x:c>
      <x:c r="L256" s="36" t="n">
        <x:f>IF(Assumptions!$B$4=2030,I256,IF(Assumptions!$B$4=2035,J256,K256))</x:f>
        <x:v>0.0550021999203838</x:v>
      </x:c>
      <x:c r="M256" s="36" t="n">
        <x:f>Assumptions!$B$19</x:f>
        <x:v>-0.04739891965741583</x:v>
      </x:c>
      <x:c r="N256" s="52" t="n">
        <x:f>H256*L256+(1-H256)*M256+O256</x:f>
        <x:v>0.03964203198371385</x:v>
      </x:c>
      <x:c r="O256" s="36" t="n">
        <x:f>Assumptions!$B$10</x:f>
        <x:v>0</x:v>
      </x:c>
      <x:c r="P256" s="54" t="n">
        <x:f>E256*(1+N256)</x:f>
        <x:v>3849.794444435692</x:v>
      </x:c>
      <x:c r="Q256" s="54" t="n">
        <x:f>P256-E256</x:f>
        <x:v>146.79444443569218</x:v>
      </x:c>
      <x:c r="R256" s="16" t="str">
        <x:v>Yes</x:v>
      </x:c>
      <x:c r="S256" s="56" t="n">
        <x:v>17137</x:v>
      </x:c>
      <x:c r="T256" s="56" t="n">
        <x:v>10318</x:v>
      </x:c>
      <x:c r="U256" s="40" t="n">
        <x:f>E256*Assumptions!$B$8</x:f>
        <x:v>3147.5499999999997</x:v>
      </x:c>
      <x:c r="V256" s="40" t="n">
        <x:f>P256*Assumptions!$B$8</x:f>
        <x:v>3272.3252777703383</x:v>
      </x:c>
      <x:c r="W256" s="54" t="n">
        <x:f>V256-U256</x:f>
        <x:v>124.77527777033856</x:v>
      </x:c>
      <x:c r="X256" s="58" t="n">
        <x:f>IF(R256="No","",W256*S256)</x:f>
        <x:v>2138273.935150292</x:v>
      </x:c>
      <x:c r="Y256" s="58" t="n">
        <x:f>IF(R256="No","",W256*T256*Assumptions!$B$9)</x:f>
        <x:v>386229.39481030597</x:v>
      </x:c>
      <x:c r="Z256" s="58" t="n">
        <x:f>IF(R256="No","",X256-Y256)</x:f>
        <x:v>1752044.5403399859</x:v>
      </x:c>
      <x:c r="AA256" s="58" t="n">
        <x:f>IF(R256="No","",MAX(0,-Z256))</x:f>
        <x:v>0</x:v>
      </x:c>
      <x:c r="AB256" s="52" t="n">
        <x:f>IF(OR(R256="No",U256*S256=0),"",AA256/(U256*S256))</x:f>
        <x:v>0</x:v>
      </x:c>
      <x:c r="AC256" s="54" t="n">
        <x:f>IF(OR(R256="No",S256-T256*Assumptions!$B$9&lt;=0),"",AA256/(Assumptions!$B$8*(S256-T256*Assumptions!$B$9)))</x:f>
        <x:v>0</x:v>
      </x:c>
      <x:c r="AD256" s="52" t="n">
        <x:f>IF(OR(R256="No",U256*S256=0),"",AA256/(U256*S256))</x:f>
        <x:v>0</x:v>
      </x:c>
      <x:c r="AE256" s="50" t="str">
        <x:f>IF(R256="No","No finance data",IF(AB256&gt;=10%,"Severe",IF(AB256&gt;=5%,"High",IF(AB256&gt;=2%,"Moderate","Low"))))</x:f>
        <x:v>Low</x:v>
      </x:c>
      <x:c r="AF256" s="60" t="n">
        <x:v>25.878908</x:v>
      </x:c>
      <x:c r="AG256" s="60" t="n">
        <x:v>-80.198925</x:v>
      </x:c>
      <x:c r="AH256" s="44" t="str">
        <x:v>Undergraduate tuition-contribution proxy only; not an audited total institutional budget.</x:v>
      </x:c>
    </x:row>
    <x:row r="257">
      <x:c r="A257" s="16" t="n">
        <x:v>384254</x:v>
      </x:c>
      <x:c r="B257" s="16" t="str">
        <x:v>Beacon College</x:v>
      </x:c>
      <x:c r="C257" s="16" t="str">
        <x:v>FL</x:v>
      </x:c>
      <x:c r="D257" s="16" t="str">
        <x:v>Private nonprofit</x:v>
      </x:c>
      <x:c r="E257" s="34" t="n">
        <x:v>274</x:v>
      </x:c>
      <x:c r="F257" s="21"/>
      <x:c r="G257" s="16" t="str">
        <x:v>Regional</x:v>
      </x:c>
      <x:c r="H257" s="36" t="n">
        <x:f>IF(G257="National",Assumptions!$B$11,IF(G257="Statewide",Assumptions!$B$12,Assumptions!$B$13))</x:f>
        <x:v>0.85</x:v>
      </x:c>
      <x:c r="I257" s="21" t="n">
        <x:v>-0.01895702822183576</x:v>
      </x:c>
      <x:c r="J257" s="21" t="n">
        <x:v>0.0550021999203838</x:v>
      </x:c>
      <x:c r="K257" s="21" t="n">
        <x:v>0.03672400427413103</x:v>
      </x:c>
      <x:c r="L257" s="36" t="n">
        <x:f>IF(Assumptions!$B$4=2030,I257,IF(Assumptions!$B$4=2035,J257,K257))</x:f>
        <x:v>0.0550021999203838</x:v>
      </x:c>
      <x:c r="M257" s="36" t="n">
        <x:f>Assumptions!$B$19</x:f>
        <x:v>-0.04739891965741583</x:v>
      </x:c>
      <x:c r="N257" s="52" t="n">
        <x:f>H257*L257+(1-H257)*M257+O257</x:f>
        <x:v>0.03964203198371385</x:v>
      </x:c>
      <x:c r="O257" s="36" t="n">
        <x:f>Assumptions!$B$10</x:f>
        <x:v>0</x:v>
      </x:c>
      <x:c r="P257" s="54" t="n">
        <x:f>E257*(1+N257)</x:f>
        <x:v>284.8619167635376</x:v>
      </x:c>
      <x:c r="Q257" s="54" t="n">
        <x:f>P257-E257</x:f>
        <x:v>10.861916763537579</x:v>
      </x:c>
      <x:c r="R257" s="16" t="str">
        <x:v>No</x:v>
      </x:c>
      <x:c r="S257" s="56"/>
      <x:c r="T257" s="56"/>
      <x:c r="U257" s="40" t="n">
        <x:f>E257*Assumptions!$B$8</x:f>
        <x:v>232.9</x:v>
      </x:c>
      <x:c r="V257" s="40" t="n">
        <x:f>P257*Assumptions!$B$8</x:f>
        <x:v>242.13262924900692</x:v>
      </x:c>
      <x:c r="W257" s="54" t="n">
        <x:f>V257-U257</x:f>
        <x:v>9.23262924900692</x:v>
      </x:c>
      <x:c r="X257" s="58" t="str">
        <x:f>IF(R257="No","",W257*S257)</x:f>
      </x:c>
      <x:c r="Y257" s="58" t="str">
        <x:f>IF(R257="No","",W257*T257*Assumptions!$B$9)</x:f>
      </x:c>
      <x:c r="Z257" s="58" t="str">
        <x:f>IF(R257="No","",X257-Y257)</x:f>
      </x:c>
      <x:c r="AA257" s="58" t="str">
        <x:f>IF(R257="No","",MAX(0,-Z257))</x:f>
      </x:c>
      <x:c r="AB257" s="52" t="str">
        <x:f>IF(OR(R257="No",U257*S257=0),"",AA257/(U257*S257))</x:f>
      </x:c>
      <x:c r="AC257" s="54" t="str">
        <x:f>IF(OR(R257="No",S257-T257*Assumptions!$B$9&lt;=0),"",AA257/(Assumptions!$B$8*(S257-T257*Assumptions!$B$9)))</x:f>
      </x:c>
      <x:c r="AD257" s="52" t="str">
        <x:f>IF(OR(R257="No",U257*S257=0),"",AA257/(U257*S257))</x:f>
      </x:c>
      <x:c r="AE257" s="50" t="str">
        <x:f>IF(R257="No","No finance data",IF(AB257&gt;=10%,"Severe",IF(AB257&gt;=5%,"High",IF(AB257&gt;=2%,"Moderate","Low"))))</x:f>
        <x:v>No finance data</x:v>
      </x:c>
      <x:c r="AF257" s="60"/>
      <x:c r="AG257" s="60"/>
      <x:c r="AH257" s="44" t="str">
        <x:v>Undergraduate tuition-contribution proxy only; not an audited total institutional budget.</x:v>
      </x:c>
    </x:row>
    <x:row r="258">
      <x:c r="A258" s="16" t="n">
        <x:v>132602</x:v>
      </x:c>
      <x:c r="B258" s="16" t="str">
        <x:v>Bethune-Cookman University</x:v>
      </x:c>
      <x:c r="C258" s="16" t="str">
        <x:v>FL</x:v>
      </x:c>
      <x:c r="D258" s="16" t="str">
        <x:v>Private nonprofit</x:v>
      </x:c>
      <x:c r="E258" s="34" t="n">
        <x:v>3666</x:v>
      </x:c>
      <x:c r="F258" s="21" t="n">
        <x:v>0.9984</x:v>
      </x:c>
      <x:c r="G258" s="16" t="str">
        <x:v>Regional</x:v>
      </x:c>
      <x:c r="H258" s="36" t="n">
        <x:f>IF(G258="National",Assumptions!$B$11,IF(G258="Statewide",Assumptions!$B$12,Assumptions!$B$13))</x:f>
        <x:v>0.85</x:v>
      </x:c>
      <x:c r="I258" s="21" t="n">
        <x:v>-0.01895702822183576</x:v>
      </x:c>
      <x:c r="J258" s="21" t="n">
        <x:v>0.0550021999203838</x:v>
      </x:c>
      <x:c r="K258" s="21" t="n">
        <x:v>0.03672400427413103</x:v>
      </x:c>
      <x:c r="L258" s="36" t="n">
        <x:f>IF(Assumptions!$B$4=2030,I258,IF(Assumptions!$B$4=2035,J258,K258))</x:f>
        <x:v>0.0550021999203838</x:v>
      </x:c>
      <x:c r="M258" s="36" t="n">
        <x:f>Assumptions!$B$19</x:f>
        <x:v>-0.04739891965741583</x:v>
      </x:c>
      <x:c r="N258" s="52" t="n">
        <x:f>H258*L258+(1-H258)*M258+O258</x:f>
        <x:v>0.03964203198371385</x:v>
      </x:c>
      <x:c r="O258" s="36" t="n">
        <x:f>Assumptions!$B$10</x:f>
        <x:v>0</x:v>
      </x:c>
      <x:c r="P258" s="54" t="n">
        <x:f>E258*(1+N258)</x:f>
        <x:v>3811.327689252295</x:v>
      </x:c>
      <x:c r="Q258" s="54" t="n">
        <x:f>P258-E258</x:f>
        <x:v>145.32768925229493</x:v>
      </x:c>
      <x:c r="R258" s="16" t="str">
        <x:v>Yes</x:v>
      </x:c>
      <x:c r="S258" s="56" t="n">
        <x:v>9951</x:v>
      </x:c>
      <x:c r="T258" s="56" t="n">
        <x:v>8909</x:v>
      </x:c>
      <x:c r="U258" s="40" t="n">
        <x:f>E258*Assumptions!$B$8</x:f>
        <x:v>3116.1</x:v>
      </x:c>
      <x:c r="V258" s="40" t="n">
        <x:f>P258*Assumptions!$B$8</x:f>
        <x:v>3239.6285358644504</x:v>
      </x:c>
      <x:c r="W258" s="54" t="n">
        <x:f>V258-U258</x:f>
        <x:v>123.52853586445053</x:v>
      </x:c>
      <x:c r="X258" s="58" t="n">
        <x:f>IF(R258="No","",W258*S258)</x:f>
        <x:v>1229232.4603871473</x:v>
      </x:c>
      <x:c r="Y258" s="58" t="n">
        <x:f>IF(R258="No","",W258*T258*Assumptions!$B$9)</x:f>
        <x:v>330154.71780491696</x:v>
      </x:c>
      <x:c r="Z258" s="58" t="n">
        <x:f>IF(R258="No","",X258-Y258)</x:f>
        <x:v>899077.7425822304</x:v>
      </x:c>
      <x:c r="AA258" s="58" t="n">
        <x:f>IF(R258="No","",MAX(0,-Z258))</x:f>
        <x:v>0</x:v>
      </x:c>
      <x:c r="AB258" s="52" t="n">
        <x:f>IF(OR(R258="No",U258*S258=0),"",AA258/(U258*S258))</x:f>
        <x:v>0</x:v>
      </x:c>
      <x:c r="AC258" s="54" t="n">
        <x:f>IF(OR(R258="No",S258-T258*Assumptions!$B$9&lt;=0),"",AA258/(Assumptions!$B$8*(S258-T258*Assumptions!$B$9)))</x:f>
        <x:v>0</x:v>
      </x:c>
      <x:c r="AD258" s="52" t="n">
        <x:f>IF(OR(R258="No",U258*S258=0),"",AA258/(U258*S258))</x:f>
        <x:v>0</x:v>
      </x:c>
      <x:c r="AE258" s="50" t="str">
        <x:f>IF(R258="No","No finance data",IF(AB258&gt;=10%,"Severe",IF(AB258&gt;=5%,"High",IF(AB258&gt;=2%,"Moderate","Low"))))</x:f>
        <x:v>Low</x:v>
      </x:c>
      <x:c r="AF258" s="60" t="n">
        <x:v>29.207195</x:v>
      </x:c>
      <x:c r="AG258" s="60" t="n">
        <x:v>-81.032946</x:v>
      </x:c>
      <x:c r="AH258" s="44" t="str">
        <x:v>Undergraduate tuition-contribution proxy only; not an audited total institutional budget.</x:v>
      </x:c>
    </x:row>
    <x:row r="259">
      <x:c r="A259" s="16" t="n">
        <x:v>132842</x:v>
      </x:c>
      <x:c r="B259" s="16" t="str">
        <x:v>Carlos Albizu University-Miami</x:v>
      </x:c>
      <x:c r="C259" s="16" t="str">
        <x:v>FL</x:v>
      </x:c>
      <x:c r="D259" s="16" t="str">
        <x:v>Private nonprofit</x:v>
      </x:c>
      <x:c r="E259" s="34" t="n">
        <x:v>202</x:v>
      </x:c>
      <x:c r="F259" s="21"/>
      <x:c r="G259" s="16" t="str">
        <x:v>Regional</x:v>
      </x:c>
      <x:c r="H259" s="36" t="n">
        <x:f>IF(G259="National",Assumptions!$B$11,IF(G259="Statewide",Assumptions!$B$12,Assumptions!$B$13))</x:f>
        <x:v>0.85</x:v>
      </x:c>
      <x:c r="I259" s="21" t="n">
        <x:v>-0.01895702822183576</x:v>
      </x:c>
      <x:c r="J259" s="21" t="n">
        <x:v>0.0550021999203838</x:v>
      </x:c>
      <x:c r="K259" s="21" t="n">
        <x:v>0.03672400427413103</x:v>
      </x:c>
      <x:c r="L259" s="36" t="n">
        <x:f>IF(Assumptions!$B$4=2030,I259,IF(Assumptions!$B$4=2035,J259,K259))</x:f>
        <x:v>0.0550021999203838</x:v>
      </x:c>
      <x:c r="M259" s="36" t="n">
        <x:f>Assumptions!$B$19</x:f>
        <x:v>-0.04739891965741583</x:v>
      </x:c>
      <x:c r="N259" s="52" t="n">
        <x:f>H259*L259+(1-H259)*M259+O259</x:f>
        <x:v>0.03964203198371385</x:v>
      </x:c>
      <x:c r="O259" s="36" t="n">
        <x:f>Assumptions!$B$10</x:f>
        <x:v>0</x:v>
      </x:c>
      <x:c r="P259" s="54" t="n">
        <x:f>E259*(1+N259)</x:f>
        <x:v>210.0076904607102</x:v>
      </x:c>
      <x:c r="Q259" s="54" t="n">
        <x:f>P259-E259</x:f>
        <x:v>8.007690460710194</x:v>
      </x:c>
      <x:c r="R259" s="16" t="str">
        <x:v>No</x:v>
      </x:c>
      <x:c r="S259" s="56"/>
      <x:c r="T259" s="56"/>
      <x:c r="U259" s="40" t="n">
        <x:f>E259*Assumptions!$B$8</x:f>
        <x:v>171.7</x:v>
      </x:c>
      <x:c r="V259" s="40" t="n">
        <x:f>P259*Assumptions!$B$8</x:f>
        <x:v>178.50653689160367</x:v>
      </x:c>
      <x:c r="W259" s="54" t="n">
        <x:f>V259-U259</x:f>
        <x:v>6.806536891603685</x:v>
      </x:c>
      <x:c r="X259" s="58" t="str">
        <x:f>IF(R259="No","",W259*S259)</x:f>
      </x:c>
      <x:c r="Y259" s="58" t="str">
        <x:f>IF(R259="No","",W259*T259*Assumptions!$B$9)</x:f>
      </x:c>
      <x:c r="Z259" s="58" t="str">
        <x:f>IF(R259="No","",X259-Y259)</x:f>
      </x:c>
      <x:c r="AA259" s="58" t="str">
        <x:f>IF(R259="No","",MAX(0,-Z259))</x:f>
      </x:c>
      <x:c r="AB259" s="52" t="str">
        <x:f>IF(OR(R259="No",U259*S259=0),"",AA259/(U259*S259))</x:f>
      </x:c>
      <x:c r="AC259" s="54" t="str">
        <x:f>IF(OR(R259="No",S259-T259*Assumptions!$B$9&lt;=0),"",AA259/(Assumptions!$B$8*(S259-T259*Assumptions!$B$9)))</x:f>
      </x:c>
      <x:c r="AD259" s="52" t="str">
        <x:f>IF(OR(R259="No",U259*S259=0),"",AA259/(U259*S259))</x:f>
      </x:c>
      <x:c r="AE259" s="50" t="str">
        <x:f>IF(R259="No","No finance data",IF(AB259&gt;=10%,"Severe",IF(AB259&gt;=5%,"High",IF(AB259&gt;=2%,"Moderate","Low"))))</x:f>
        <x:v>No finance data</x:v>
      </x:c>
      <x:c r="AF259" s="60"/>
      <x:c r="AG259" s="60"/>
      <x:c r="AH259" s="44" t="str">
        <x:v>Undergraduate tuition-contribution proxy only; not an audited total institutional budget.</x:v>
      </x:c>
    </x:row>
    <x:row r="260">
      <x:c r="A260" s="16" t="n">
        <x:v>133492</x:v>
      </x:c>
      <x:c r="B260" s="16" t="str">
        <x:v>Eckerd College</x:v>
      </x:c>
      <x:c r="C260" s="16" t="str">
        <x:v>FL</x:v>
      </x:c>
      <x:c r="D260" s="16" t="str">
        <x:v>Private nonprofit</x:v>
      </x:c>
      <x:c r="E260" s="34" t="n">
        <x:v>2002</x:v>
      </x:c>
      <x:c r="F260" s="21" t="n">
        <x:v>0.7038</x:v>
      </x:c>
      <x:c r="G260" s="16" t="str">
        <x:v>Regional</x:v>
      </x:c>
      <x:c r="H260" s="36" t="n">
        <x:f>IF(G260="National",Assumptions!$B$11,IF(G260="Statewide",Assumptions!$B$12,Assumptions!$B$13))</x:f>
        <x:v>0.85</x:v>
      </x:c>
      <x:c r="I260" s="21" t="n">
        <x:v>-0.01895702822183576</x:v>
      </x:c>
      <x:c r="J260" s="21" t="n">
        <x:v>0.0550021999203838</x:v>
      </x:c>
      <x:c r="K260" s="21" t="n">
        <x:v>0.03672400427413103</x:v>
      </x:c>
      <x:c r="L260" s="36" t="n">
        <x:f>IF(Assumptions!$B$4=2030,I260,IF(Assumptions!$B$4=2035,J260,K260))</x:f>
        <x:v>0.0550021999203838</x:v>
      </x:c>
      <x:c r="M260" s="36" t="n">
        <x:f>Assumptions!$B$19</x:f>
        <x:v>-0.04739891965741583</x:v>
      </x:c>
      <x:c r="N260" s="52" t="n">
        <x:f>H260*L260+(1-H260)*M260+O260</x:f>
        <x:v>0.03964203198371385</x:v>
      </x:c>
      <x:c r="O260" s="36" t="n">
        <x:f>Assumptions!$B$10</x:f>
        <x:v>0</x:v>
      </x:c>
      <x:c r="P260" s="54" t="n">
        <x:f>E260*(1+N260)</x:f>
        <x:v>2081.363348031395</x:v>
      </x:c>
      <x:c r="Q260" s="54" t="n">
        <x:f>P260-E260</x:f>
        <x:v>79.36334803139516</x:v>
      </x:c>
      <x:c r="R260" s="16" t="str">
        <x:v>Yes</x:v>
      </x:c>
      <x:c r="S260" s="56" t="n">
        <x:v>23526</x:v>
      </x:c>
      <x:c r="T260" s="56" t="n">
        <x:v>13118</x:v>
      </x:c>
      <x:c r="U260" s="40" t="n">
        <x:f>E260*Assumptions!$B$8</x:f>
        <x:v>1701.7</x:v>
      </x:c>
      <x:c r="V260" s="40" t="n">
        <x:f>P260*Assumptions!$B$8</x:f>
        <x:v>1769.1588458266858</x:v>
      </x:c>
      <x:c r="W260" s="54" t="n">
        <x:f>V260-U260</x:f>
        <x:v>67.45884582668577</x:v>
      </x:c>
      <x:c r="X260" s="58" t="n">
        <x:f>IF(R260="No","",W260*S260)</x:f>
        <x:v>1587036.8069186094</x:v>
      </x:c>
      <x:c r="Y260" s="58" t="n">
        <x:f>IF(R260="No","",W260*T260*Assumptions!$B$9)</x:f>
        <x:v>265477.5418663392</x:v>
      </x:c>
      <x:c r="Z260" s="58" t="n">
        <x:f>IF(R260="No","",X260-Y260)</x:f>
        <x:v>1321559.2650522701</x:v>
      </x:c>
      <x:c r="AA260" s="58" t="n">
        <x:f>IF(R260="No","",MAX(0,-Z260))</x:f>
        <x:v>0</x:v>
      </x:c>
      <x:c r="AB260" s="52" t="n">
        <x:f>IF(OR(R260="No",U260*S260=0),"",AA260/(U260*S260))</x:f>
        <x:v>0</x:v>
      </x:c>
      <x:c r="AC260" s="54" t="n">
        <x:f>IF(OR(R260="No",S260-T260*Assumptions!$B$9&lt;=0),"",AA260/(Assumptions!$B$8*(S260-T260*Assumptions!$B$9)))</x:f>
        <x:v>0</x:v>
      </x:c>
      <x:c r="AD260" s="52" t="n">
        <x:f>IF(OR(R260="No",U260*S260=0),"",AA260/(U260*S260))</x:f>
        <x:v>0</x:v>
      </x:c>
      <x:c r="AE260" s="50" t="str">
        <x:f>IF(R260="No","No finance data",IF(AB260&gt;=10%,"Severe",IF(AB260&gt;=5%,"High",IF(AB260&gt;=2%,"Moderate","Low"))))</x:f>
        <x:v>Low</x:v>
      </x:c>
      <x:c r="AF260" s="60" t="n">
        <x:v>27.715798</x:v>
      </x:c>
      <x:c r="AG260" s="60" t="n">
        <x:v>-82.687043</x:v>
      </x:c>
      <x:c r="AH260" s="44" t="str">
        <x:v>Undergraduate tuition-contribution proxy only; not an audited total institutional budget.</x:v>
      </x:c>
    </x:row>
    <x:row r="261">
      <x:c r="A261" s="16" t="n">
        <x:v>133526</x:v>
      </x:c>
      <x:c r="B261" s="16" t="str">
        <x:v>Edward Waters College</x:v>
      </x:c>
      <x:c r="C261" s="16" t="str">
        <x:v>FL</x:v>
      </x:c>
      <x:c r="D261" s="16" t="str">
        <x:v>Private nonprofit</x:v>
      </x:c>
      <x:c r="E261" s="34" t="n">
        <x:v>930</x:v>
      </x:c>
      <x:c r="F261" s="21" t="n">
        <x:v>0.8011</x:v>
      </x:c>
      <x:c r="G261" s="16" t="str">
        <x:v>Regional</x:v>
      </x:c>
      <x:c r="H261" s="36" t="n">
        <x:f>IF(G261="National",Assumptions!$B$11,IF(G261="Statewide",Assumptions!$B$12,Assumptions!$B$13))</x:f>
        <x:v>0.85</x:v>
      </x:c>
      <x:c r="I261" s="21" t="n">
        <x:v>-0.01895702822183576</x:v>
      </x:c>
      <x:c r="J261" s="21" t="n">
        <x:v>0.0550021999203838</x:v>
      </x:c>
      <x:c r="K261" s="21" t="n">
        <x:v>0.03672400427413103</x:v>
      </x:c>
      <x:c r="L261" s="36" t="n">
        <x:f>IF(Assumptions!$B$4=2030,I261,IF(Assumptions!$B$4=2035,J261,K261))</x:f>
        <x:v>0.0550021999203838</x:v>
      </x:c>
      <x:c r="M261" s="36" t="n">
        <x:f>Assumptions!$B$19</x:f>
        <x:v>-0.04739891965741583</x:v>
      </x:c>
      <x:c r="N261" s="52" t="n">
        <x:f>H261*L261+(1-H261)*M261+O261</x:f>
        <x:v>0.03964203198371385</x:v>
      </x:c>
      <x:c r="O261" s="36" t="n">
        <x:f>Assumptions!$B$10</x:f>
        <x:v>0</x:v>
      </x:c>
      <x:c r="P261" s="54" t="n">
        <x:f>E261*(1+N261)</x:f>
        <x:v>966.8670897448538</x:v>
      </x:c>
      <x:c r="Q261" s="54" t="n">
        <x:f>P261-E261</x:f>
        <x:v>36.86708974485384</x:v>
      </x:c>
      <x:c r="R261" s="16" t="str">
        <x:v>Yes</x:v>
      </x:c>
      <x:c r="S261" s="56" t="n">
        <x:v>13698</x:v>
      </x:c>
      <x:c r="T261" s="56" t="n">
        <x:v>4853</x:v>
      </x:c>
      <x:c r="U261" s="40" t="n">
        <x:f>E261*Assumptions!$B$8</x:f>
        <x:v>790.5</x:v>
      </x:c>
      <x:c r="V261" s="40" t="n">
        <x:f>P261*Assumptions!$B$8</x:f>
        <x:v>821.8370262831257</x:v>
      </x:c>
      <x:c r="W261" s="54" t="n">
        <x:f>V261-U261</x:f>
        <x:v>31.337026283125738</x:v>
      </x:c>
      <x:c r="X261" s="58" t="n">
        <x:f>IF(R261="No","",W261*S261)</x:f>
        <x:v>429254.5860262564</x:v>
      </x:c>
      <x:c r="Y261" s="58" t="n">
        <x:f>IF(R261="No","",W261*T261*Assumptions!$B$9)</x:f>
        <x:v>45623.57656560276</x:v>
      </x:c>
      <x:c r="Z261" s="58" t="n">
        <x:f>IF(R261="No","",X261-Y261)</x:f>
        <x:v>383631.00946065364</x:v>
      </x:c>
      <x:c r="AA261" s="58" t="n">
        <x:f>IF(R261="No","",MAX(0,-Z261))</x:f>
        <x:v>0</x:v>
      </x:c>
      <x:c r="AB261" s="52" t="n">
        <x:f>IF(OR(R261="No",U261*S261=0),"",AA261/(U261*S261))</x:f>
        <x:v>0</x:v>
      </x:c>
      <x:c r="AC261" s="54" t="n">
        <x:f>IF(OR(R261="No",S261-T261*Assumptions!$B$9&lt;=0),"",AA261/(Assumptions!$B$8*(S261-T261*Assumptions!$B$9)))</x:f>
        <x:v>0</x:v>
      </x:c>
      <x:c r="AD261" s="52" t="n">
        <x:f>IF(OR(R261="No",U261*S261=0),"",AA261/(U261*S261))</x:f>
        <x:v>0</x:v>
      </x:c>
      <x:c r="AE261" s="50" t="str">
        <x:f>IF(R261="No","No finance data",IF(AB261&gt;=10%,"Severe",IF(AB261&gt;=5%,"High",IF(AB261&gt;=2%,"Moderate","Low"))))</x:f>
        <x:v>Low</x:v>
      </x:c>
      <x:c r="AF261" s="60" t="n">
        <x:v>30.34479</x:v>
      </x:c>
      <x:c r="AG261" s="60" t="n">
        <x:v>-81.684879</x:v>
      </x:c>
      <x:c r="AH261" s="44" t="str">
        <x:v>Undergraduate tuition-contribution proxy only; not an audited total institutional budget.</x:v>
      </x:c>
    </x:row>
    <x:row r="262">
      <x:c r="A262" s="16" t="n">
        <x:v>133553</x:v>
      </x:c>
      <x:c r="B262" s="16" t="str">
        <x:v>Embry-Riddle Aeronautical University-Daytona Beach</x:v>
      </x:c>
      <x:c r="C262" s="16" t="str">
        <x:v>FL</x:v>
      </x:c>
      <x:c r="D262" s="16" t="str">
        <x:v>Private nonprofit</x:v>
      </x:c>
      <x:c r="E262" s="34" t="n">
        <x:v>5247</x:v>
      </x:c>
      <x:c r="F262" s="21" t="n">
        <x:v>0.723</x:v>
      </x:c>
      <x:c r="G262" s="16" t="str">
        <x:v>Regional</x:v>
      </x:c>
      <x:c r="H262" s="36" t="n">
        <x:f>IF(G262="National",Assumptions!$B$11,IF(G262="Statewide",Assumptions!$B$12,Assumptions!$B$13))</x:f>
        <x:v>0.85</x:v>
      </x:c>
      <x:c r="I262" s="21" t="n">
        <x:v>-0.01895702822183576</x:v>
      </x:c>
      <x:c r="J262" s="21" t="n">
        <x:v>0.0550021999203838</x:v>
      </x:c>
      <x:c r="K262" s="21" t="n">
        <x:v>0.03672400427413103</x:v>
      </x:c>
      <x:c r="L262" s="36" t="n">
        <x:f>IF(Assumptions!$B$4=2030,I262,IF(Assumptions!$B$4=2035,J262,K262))</x:f>
        <x:v>0.0550021999203838</x:v>
      </x:c>
      <x:c r="M262" s="36" t="n">
        <x:f>Assumptions!$B$19</x:f>
        <x:v>-0.04739891965741583</x:v>
      </x:c>
      <x:c r="N262" s="52" t="n">
        <x:f>H262*L262+(1-H262)*M262+O262</x:f>
        <x:v>0.03964203198371385</x:v>
      </x:c>
      <x:c r="O262" s="36" t="n">
        <x:f>Assumptions!$B$10</x:f>
        <x:v>0</x:v>
      </x:c>
      <x:c r="P262" s="54" t="n">
        <x:f>E262*(1+N262)</x:f>
        <x:v>5455.001741818546</x:v>
      </x:c>
      <x:c r="Q262" s="54" t="n">
        <x:f>P262-E262</x:f>
        <x:v>208.00174181854618</x:v>
      </x:c>
      <x:c r="R262" s="16" t="str">
        <x:v>Yes</x:v>
      </x:c>
      <x:c r="S262" s="56" t="n">
        <x:v>29601</x:v>
      </x:c>
      <x:c r="T262" s="56" t="n">
        <x:v>13891</x:v>
      </x:c>
      <x:c r="U262" s="40" t="n">
        <x:f>E262*Assumptions!$B$8</x:f>
        <x:v>4459.95</x:v>
      </x:c>
      <x:c r="V262" s="40" t="n">
        <x:f>P262*Assumptions!$B$8</x:f>
        <x:v>4636.751480545764</x:v>
      </x:c>
      <x:c r="W262" s="54" t="n">
        <x:f>V262-U262</x:f>
        <x:v>176.8014805457642</x:v>
      </x:c>
      <x:c r="X262" s="58" t="n">
        <x:f>IF(R262="No","",W262*S262)</x:f>
        <x:v>5233500.625635167</x:v>
      </x:c>
      <x:c r="Y262" s="58" t="n">
        <x:f>IF(R262="No","",W262*T262*Assumptions!$B$9)</x:f>
        <x:v>736784.8098783632</x:v>
      </x:c>
      <x:c r="Z262" s="58" t="n">
        <x:f>IF(R262="No","",X262-Y262)</x:f>
        <x:v>4496715.815756803</x:v>
      </x:c>
      <x:c r="AA262" s="58" t="n">
        <x:f>IF(R262="No","",MAX(0,-Z262))</x:f>
        <x:v>0</x:v>
      </x:c>
      <x:c r="AB262" s="52" t="n">
        <x:f>IF(OR(R262="No",U262*S262=0),"",AA262/(U262*S262))</x:f>
        <x:v>0</x:v>
      </x:c>
      <x:c r="AC262" s="54" t="n">
        <x:f>IF(OR(R262="No",S262-T262*Assumptions!$B$9&lt;=0),"",AA262/(Assumptions!$B$8*(S262-T262*Assumptions!$B$9)))</x:f>
        <x:v>0</x:v>
      </x:c>
      <x:c r="AD262" s="52" t="n">
        <x:f>IF(OR(R262="No",U262*S262=0),"",AA262/(U262*S262))</x:f>
        <x:v>0</x:v>
      </x:c>
      <x:c r="AE262" s="50" t="str">
        <x:f>IF(R262="No","No finance data",IF(AB262&gt;=10%,"Severe",IF(AB262&gt;=5%,"High",IF(AB262&gt;=2%,"Moderate","Low"))))</x:f>
        <x:v>Low</x:v>
      </x:c>
      <x:c r="AF262" s="60" t="n">
        <x:v>29.189903</x:v>
      </x:c>
      <x:c r="AG262" s="60" t="n">
        <x:v>-81.048367</x:v>
      </x:c>
      <x:c r="AH262" s="44" t="str">
        <x:v>Undergraduate tuition-contribution proxy only; not an audited total institutional budget.</x:v>
      </x:c>
    </x:row>
    <x:row r="263">
      <x:c r="A263" s="16" t="n">
        <x:v>426314</x:v>
      </x:c>
      <x:c r="B263" s="16" t="str">
        <x:v>Embry-Riddle Aeronautical University-Worldwide</x:v>
      </x:c>
      <x:c r="C263" s="16" t="str">
        <x:v>FL</x:v>
      </x:c>
      <x:c r="D263" s="16" t="str">
        <x:v>Private nonprofit</x:v>
      </x:c>
      <x:c r="E263" s="34" t="n">
        <x:v>9666</x:v>
      </x:c>
      <x:c r="F263" s="21" t="n">
        <x:v>0.6956</x:v>
      </x:c>
      <x:c r="G263" s="16" t="str">
        <x:v>Statewide</x:v>
      </x:c>
      <x:c r="H263" s="36" t="n">
        <x:f>IF(G263="National",Assumptions!$B$11,IF(G263="Statewide",Assumptions!$B$12,Assumptions!$B$13))</x:f>
        <x:v>0.6</x:v>
      </x:c>
      <x:c r="I263" s="21" t="n">
        <x:v>-0.01895702822183576</x:v>
      </x:c>
      <x:c r="J263" s="21" t="n">
        <x:v>0.0550021999203838</x:v>
      </x:c>
      <x:c r="K263" s="21" t="n">
        <x:v>0.03672400427413103</x:v>
      </x:c>
      <x:c r="L263" s="36" t="n">
        <x:f>IF(Assumptions!$B$4=2030,I263,IF(Assumptions!$B$4=2035,J263,K263))</x:f>
        <x:v>0.0550021999203838</x:v>
      </x:c>
      <x:c r="M263" s="36" t="n">
        <x:f>Assumptions!$B$19</x:f>
        <x:v>-0.04739891965741583</x:v>
      </x:c>
      <x:c r="N263" s="52" t="n">
        <x:f>H263*L263+(1-H263)*M263+O263</x:f>
        <x:v>0.014041752089263941</x:v>
      </x:c>
      <x:c r="O263" s="36" t="n">
        <x:f>Assumptions!$B$10</x:f>
        <x:v>0</x:v>
      </x:c>
      <x:c r="P263" s="54" t="n">
        <x:f>E263*(1+N263)</x:f>
        <x:v>9801.727575694826</x:v>
      </x:c>
      <x:c r="Q263" s="54" t="n">
        <x:f>P263-E263</x:f>
        <x:v>135.72757569482565</x:v>
      </x:c>
      <x:c r="R263" s="16" t="str">
        <x:v>Yes</x:v>
      </x:c>
      <x:c r="S263" s="56" t="n">
        <x:v>12529</x:v>
      </x:c>
      <x:c r="T263" s="56" t="n">
        <x:v>4997</x:v>
      </x:c>
      <x:c r="U263" s="40" t="n">
        <x:f>E263*Assumptions!$B$8</x:f>
        <x:v>8216.1</x:v>
      </x:c>
      <x:c r="V263" s="40" t="n">
        <x:f>P263*Assumptions!$B$8</x:f>
        <x:v>8331.468439340602</x:v>
      </x:c>
      <x:c r="W263" s="54" t="n">
        <x:f>V263-U263</x:f>
        <x:v>115.36843934060198</x:v>
      </x:c>
      <x:c r="X263" s="58" t="n">
        <x:f>IF(R263="No","",W263*S263)</x:f>
        <x:v>1445451.1764984021</x:v>
      </x:c>
      <x:c r="Y263" s="58" t="n">
        <x:f>IF(R263="No","",W263*T263*Assumptions!$B$9)</x:f>
        <x:v>172948.8274154964</x:v>
      </x:c>
      <x:c r="Z263" s="58" t="n">
        <x:f>IF(R263="No","",X263-Y263)</x:f>
        <x:v>1272502.3490829058</x:v>
      </x:c>
      <x:c r="AA263" s="58" t="n">
        <x:f>IF(R263="No","",MAX(0,-Z263))</x:f>
        <x:v>0</x:v>
      </x:c>
      <x:c r="AB263" s="52" t="n">
        <x:f>IF(OR(R263="No",U263*S263=0),"",AA263/(U263*S263))</x:f>
        <x:v>0</x:v>
      </x:c>
      <x:c r="AC263" s="54" t="n">
        <x:f>IF(OR(R263="No",S263-T263*Assumptions!$B$9&lt;=0),"",AA263/(Assumptions!$B$8*(S263-T263*Assumptions!$B$9)))</x:f>
        <x:v>0</x:v>
      </x:c>
      <x:c r="AD263" s="52" t="n">
        <x:f>IF(OR(R263="No",U263*S263=0),"",AA263/(U263*S263))</x:f>
        <x:v>0</x:v>
      </x:c>
      <x:c r="AE263" s="50" t="str">
        <x:f>IF(R263="No","No finance data",IF(AB263&gt;=10%,"Severe",IF(AB263&gt;=5%,"High",IF(AB263&gt;=2%,"Moderate","Low"))))</x:f>
        <x:v>Low</x:v>
      </x:c>
      <x:c r="AF263" s="60" t="n">
        <x:v>29.189903</x:v>
      </x:c>
      <x:c r="AG263" s="60" t="n">
        <x:v>-81.048367</x:v>
      </x:c>
      <x:c r="AH263" s="44" t="str">
        <x:v>Undergraduate tuition-contribution proxy only; not an audited total institutional budget.</x:v>
      </x:c>
    </x:row>
    <x:row r="264">
      <x:c r="A264" s="16" t="n">
        <x:v>385619</x:v>
      </x:c>
      <x:c r="B264" s="16" t="str">
        <x:v>Everglades University</x:v>
      </x:c>
      <x:c r="C264" s="16" t="str">
        <x:v>FL</x:v>
      </x:c>
      <x:c r="D264" s="16" t="str">
        <x:v>Private nonprofit</x:v>
      </x:c>
      <x:c r="E264" s="34" t="n">
        <x:v>1296</x:v>
      </x:c>
      <x:c r="F264" s="21" t="n">
        <x:v>0.6042</x:v>
      </x:c>
      <x:c r="G264" s="16" t="str">
        <x:v>Regional</x:v>
      </x:c>
      <x:c r="H264" s="36" t="n">
        <x:f>IF(G264="National",Assumptions!$B$11,IF(G264="Statewide",Assumptions!$B$12,Assumptions!$B$13))</x:f>
        <x:v>0.85</x:v>
      </x:c>
      <x:c r="I264" s="21" t="n">
        <x:v>-0.01895702822183576</x:v>
      </x:c>
      <x:c r="J264" s="21" t="n">
        <x:v>0.0550021999203838</x:v>
      </x:c>
      <x:c r="K264" s="21" t="n">
        <x:v>0.03672400427413103</x:v>
      </x:c>
      <x:c r="L264" s="36" t="n">
        <x:f>IF(Assumptions!$B$4=2030,I264,IF(Assumptions!$B$4=2035,J264,K264))</x:f>
        <x:v>0.0550021999203838</x:v>
      </x:c>
      <x:c r="M264" s="36" t="n">
        <x:f>Assumptions!$B$19</x:f>
        <x:v>-0.04739891965741583</x:v>
      </x:c>
      <x:c r="N264" s="52" t="n">
        <x:f>H264*L264+(1-H264)*M264+O264</x:f>
        <x:v>0.03964203198371385</x:v>
      </x:c>
      <x:c r="O264" s="36" t="n">
        <x:f>Assumptions!$B$10</x:f>
        <x:v>0</x:v>
      </x:c>
      <x:c r="P264" s="54" t="n">
        <x:f>E264*(1+N264)</x:f>
        <x:v>1347.376073450893</x:v>
      </x:c>
      <x:c r="Q264" s="54" t="n">
        <x:f>P264-E264</x:f>
        <x:v>51.376073450893045</x:v>
      </x:c>
      <x:c r="R264" s="16" t="str">
        <x:v>Yes</x:v>
      </x:c>
      <x:c r="S264" s="56" t="n">
        <x:v>19674</x:v>
      </x:c>
      <x:c r="T264" s="56" t="n">
        <x:v>5620</x:v>
      </x:c>
      <x:c r="U264" s="40" t="n">
        <x:f>E264*Assumptions!$B$8</x:f>
        <x:v>1101.6</x:v>
      </x:c>
      <x:c r="V264" s="40" t="n">
        <x:f>P264*Assumptions!$B$8</x:f>
        <x:v>1145.269662433259</x:v>
      </x:c>
      <x:c r="W264" s="54" t="n">
        <x:f>V264-U264</x:f>
        <x:v>43.66966243325919</x:v>
      </x:c>
      <x:c r="X264" s="58" t="n">
        <x:f>IF(R264="No","",W264*S264)</x:f>
        <x:v>859156.9387119414</x:v>
      </x:c>
      <x:c r="Y264" s="58" t="n">
        <x:f>IF(R264="No","",W264*T264*Assumptions!$B$9)</x:f>
        <x:v>73627.050862475</x:v>
      </x:c>
      <x:c r="Z264" s="58" t="n">
        <x:f>IF(R264="No","",X264-Y264)</x:f>
        <x:v>785529.8878494664</x:v>
      </x:c>
      <x:c r="AA264" s="58" t="n">
        <x:f>IF(R264="No","",MAX(0,-Z264))</x:f>
        <x:v>0</x:v>
      </x:c>
      <x:c r="AB264" s="52" t="n">
        <x:f>IF(OR(R264="No",U264*S264=0),"",AA264/(U264*S264))</x:f>
        <x:v>0</x:v>
      </x:c>
      <x:c r="AC264" s="54" t="n">
        <x:f>IF(OR(R264="No",S264-T264*Assumptions!$B$9&lt;=0),"",AA264/(Assumptions!$B$8*(S264-T264*Assumptions!$B$9)))</x:f>
        <x:v>0</x:v>
      </x:c>
      <x:c r="AD264" s="52" t="n">
        <x:f>IF(OR(R264="No",U264*S264=0),"",AA264/(U264*S264))</x:f>
        <x:v>0</x:v>
      </x:c>
      <x:c r="AE264" s="50" t="str">
        <x:f>IF(R264="No","No finance data",IF(AB264&gt;=10%,"Severe",IF(AB264&gt;=5%,"High",IF(AB264&gt;=2%,"Moderate","Low"))))</x:f>
        <x:v>Low</x:v>
      </x:c>
      <x:c r="AF264" s="60" t="n">
        <x:v>26.391218</x:v>
      </x:c>
      <x:c r="AG264" s="60" t="n">
        <x:v>-80.108331</x:v>
      </x:c>
      <x:c r="AH264" s="44" t="str">
        <x:v>Undergraduate tuition-contribution proxy only; not an audited total institutional budget.</x:v>
      </x:c>
    </x:row>
    <x:row r="265">
      <x:c r="A265" s="16" t="n">
        <x:v>133711</x:v>
      </x:c>
      <x:c r="B265" s="16" t="str">
        <x:v>Flagler College-St Augustine</x:v>
      </x:c>
      <x:c r="C265" s="16" t="str">
        <x:v>FL</x:v>
      </x:c>
      <x:c r="D265" s="16" t="str">
        <x:v>Private nonprofit</x:v>
      </x:c>
      <x:c r="E265" s="34" t="n">
        <x:v>2691</x:v>
      </x:c>
      <x:c r="F265" s="21" t="n">
        <x:v>0.7404</x:v>
      </x:c>
      <x:c r="G265" s="16" t="str">
        <x:v>Regional</x:v>
      </x:c>
      <x:c r="H265" s="36" t="n">
        <x:f>IF(G265="National",Assumptions!$B$11,IF(G265="Statewide",Assumptions!$B$12,Assumptions!$B$13))</x:f>
        <x:v>0.85</x:v>
      </x:c>
      <x:c r="I265" s="21" t="n">
        <x:v>-0.01895702822183576</x:v>
      </x:c>
      <x:c r="J265" s="21" t="n">
        <x:v>0.0550021999203838</x:v>
      </x:c>
      <x:c r="K265" s="21" t="n">
        <x:v>0.03672400427413103</x:v>
      </x:c>
      <x:c r="L265" s="36" t="n">
        <x:f>IF(Assumptions!$B$4=2030,I265,IF(Assumptions!$B$4=2035,J265,K265))</x:f>
        <x:v>0.0550021999203838</x:v>
      </x:c>
      <x:c r="M265" s="36" t="n">
        <x:f>Assumptions!$B$19</x:f>
        <x:v>-0.04739891965741583</x:v>
      </x:c>
      <x:c r="N265" s="52" t="n">
        <x:f>H265*L265+(1-H265)*M265+O265</x:f>
        <x:v>0.03964203198371385</x:v>
      </x:c>
      <x:c r="O265" s="36" t="n">
        <x:f>Assumptions!$B$10</x:f>
        <x:v>0</x:v>
      </x:c>
      <x:c r="P265" s="54" t="n">
        <x:f>E265*(1+N265)</x:f>
        <x:v>2797.676708068174</x:v>
      </x:c>
      <x:c r="Q265" s="54" t="n">
        <x:f>P265-E265</x:f>
        <x:v>106.67670806817387</x:v>
      </x:c>
      <x:c r="R265" s="16" t="str">
        <x:v>Yes</x:v>
      </x:c>
      <x:c r="S265" s="56" t="n">
        <x:v>13140</x:v>
      </x:c>
      <x:c r="T265" s="56" t="n">
        <x:v>7912</x:v>
      </x:c>
      <x:c r="U265" s="40" t="n">
        <x:f>E265*Assumptions!$B$8</x:f>
        <x:v>2287.35</x:v>
      </x:c>
      <x:c r="V265" s="40" t="n">
        <x:f>P265*Assumptions!$B$8</x:f>
        <x:v>2378.0252018579476</x:v>
      </x:c>
      <x:c r="W265" s="54" t="n">
        <x:f>V265-U265</x:f>
        <x:v>90.67520185794774</x:v>
      </x:c>
      <x:c r="X265" s="58" t="n">
        <x:f>IF(R265="No","",W265*S265)</x:f>
        <x:v>1191472.1524134334</x:v>
      </x:c>
      <x:c r="Y265" s="58" t="n">
        <x:f>IF(R265="No","",W265*T265*Assumptions!$B$9)</x:f>
        <x:v>215226.65913002475</x:v>
      </x:c>
      <x:c r="Z265" s="58" t="n">
        <x:f>IF(R265="No","",X265-Y265)</x:f>
        <x:v>976245.4932834087</x:v>
      </x:c>
      <x:c r="AA265" s="58" t="n">
        <x:f>IF(R265="No","",MAX(0,-Z265))</x:f>
        <x:v>0</x:v>
      </x:c>
      <x:c r="AB265" s="52" t="n">
        <x:f>IF(OR(R265="No",U265*S265=0),"",AA265/(U265*S265))</x:f>
        <x:v>0</x:v>
      </x:c>
      <x:c r="AC265" s="54" t="n">
        <x:f>IF(OR(R265="No",S265-T265*Assumptions!$B$9&lt;=0),"",AA265/(Assumptions!$B$8*(S265-T265*Assumptions!$B$9)))</x:f>
        <x:v>0</x:v>
      </x:c>
      <x:c r="AD265" s="52" t="n">
        <x:f>IF(OR(R265="No",U265*S265=0),"",AA265/(U265*S265))</x:f>
        <x:v>0</x:v>
      </x:c>
      <x:c r="AE265" s="50" t="str">
        <x:f>IF(R265="No","No finance data",IF(AB265&gt;=10%,"Severe",IF(AB265&gt;=5%,"High",IF(AB265&gt;=2%,"Moderate","Low"))))</x:f>
        <x:v>Low</x:v>
      </x:c>
      <x:c r="AF265" s="60" t="n">
        <x:v>29.892733</x:v>
      </x:c>
      <x:c r="AG265" s="60" t="n">
        <x:v>-81.314887</x:v>
      </x:c>
      <x:c r="AH265" s="44" t="str">
        <x:v>Undergraduate tuition-contribution proxy only; not an audited total institutional budget.</x:v>
      </x:c>
    </x:row>
    <x:row r="266">
      <x:c r="A266" s="16" t="n">
        <x:v>444990</x:v>
      </x:c>
      <x:c r="B266" s="16" t="str">
        <x:v>Flagler College-Tallahassee</x:v>
      </x:c>
      <x:c r="C266" s="16" t="str">
        <x:v>FL</x:v>
      </x:c>
      <x:c r="D266" s="16" t="str">
        <x:v>Private nonprofit</x:v>
      </x:c>
      <x:c r="E266" s="34" t="n">
        <x:v>435</x:v>
      </x:c>
      <x:c r="F266" s="21"/>
      <x:c r="G266" s="16" t="str">
        <x:v>Regional</x:v>
      </x:c>
      <x:c r="H266" s="36" t="n">
        <x:f>IF(G266="National",Assumptions!$B$11,IF(G266="Statewide",Assumptions!$B$12,Assumptions!$B$13))</x:f>
        <x:v>0.85</x:v>
      </x:c>
      <x:c r="I266" s="21" t="n">
        <x:v>-0.01895702822183576</x:v>
      </x:c>
      <x:c r="J266" s="21" t="n">
        <x:v>0.0550021999203838</x:v>
      </x:c>
      <x:c r="K266" s="21" t="n">
        <x:v>0.03672400427413103</x:v>
      </x:c>
      <x:c r="L266" s="36" t="n">
        <x:f>IF(Assumptions!$B$4=2030,I266,IF(Assumptions!$B$4=2035,J266,K266))</x:f>
        <x:v>0.0550021999203838</x:v>
      </x:c>
      <x:c r="M266" s="36" t="n">
        <x:f>Assumptions!$B$19</x:f>
        <x:v>-0.04739891965741583</x:v>
      </x:c>
      <x:c r="N266" s="52" t="n">
        <x:f>H266*L266+(1-H266)*M266+O266</x:f>
        <x:v>0.03964203198371385</x:v>
      </x:c>
      <x:c r="O266" s="36" t="n">
        <x:f>Assumptions!$B$10</x:f>
        <x:v>0</x:v>
      </x:c>
      <x:c r="P266" s="54" t="n">
        <x:f>E266*(1+N266)</x:f>
        <x:v>452.24428391291553</x:v>
      </x:c>
      <x:c r="Q266" s="54" t="n">
        <x:f>P266-E266</x:f>
        <x:v>17.244283912915535</x:v>
      </x:c>
      <x:c r="R266" s="16" t="str">
        <x:v>No</x:v>
      </x:c>
      <x:c r="S266" s="56"/>
      <x:c r="T266" s="56"/>
      <x:c r="U266" s="40" t="n">
        <x:f>E266*Assumptions!$B$8</x:f>
        <x:v>369.75</x:v>
      </x:c>
      <x:c r="V266" s="40" t="n">
        <x:f>P266*Assumptions!$B$8</x:f>
        <x:v>384.4076413259782</x:v>
      </x:c>
      <x:c r="W266" s="54" t="n">
        <x:f>V266-U266</x:f>
        <x:v>14.657641325978204</x:v>
      </x:c>
      <x:c r="X266" s="58" t="str">
        <x:f>IF(R266="No","",W266*S266)</x:f>
      </x:c>
      <x:c r="Y266" s="58" t="str">
        <x:f>IF(R266="No","",W266*T266*Assumptions!$B$9)</x:f>
      </x:c>
      <x:c r="Z266" s="58" t="str">
        <x:f>IF(R266="No","",X266-Y266)</x:f>
      </x:c>
      <x:c r="AA266" s="58" t="str">
        <x:f>IF(R266="No","",MAX(0,-Z266))</x:f>
      </x:c>
      <x:c r="AB266" s="52" t="str">
        <x:f>IF(OR(R266="No",U266*S266=0),"",AA266/(U266*S266))</x:f>
      </x:c>
      <x:c r="AC266" s="54" t="str">
        <x:f>IF(OR(R266="No",S266-T266*Assumptions!$B$9&lt;=0),"",AA266/(Assumptions!$B$8*(S266-T266*Assumptions!$B$9)))</x:f>
      </x:c>
      <x:c r="AD266" s="52" t="str">
        <x:f>IF(OR(R266="No",U266*S266=0),"",AA266/(U266*S266))</x:f>
      </x:c>
      <x:c r="AE266" s="50" t="str">
        <x:f>IF(R266="No","No finance data",IF(AB266&gt;=10%,"Severe",IF(AB266&gt;=5%,"High",IF(AB266&gt;=2%,"Moderate","Low"))))</x:f>
        <x:v>No finance data</x:v>
      </x:c>
      <x:c r="AF266" s="60"/>
      <x:c r="AG266" s="60"/>
      <x:c r="AH266" s="44" t="str">
        <x:v>Undergraduate tuition-contribution proxy only; not an audited total institutional budget.</x:v>
      </x:c>
    </x:row>
    <x:row r="267">
      <x:c r="A267" s="16" t="n">
        <x:v>133650</x:v>
      </x:c>
      <x:c r="B267" s="16" t="str">
        <x:v>Florida Agricultural and Mechanical University</x:v>
      </x:c>
      <x:c r="C267" s="16" t="str">
        <x:v>FL</x:v>
      </x:c>
      <x:c r="D267" s="16" t="str">
        <x:v>Public</x:v>
      </x:c>
      <x:c r="E267" s="34" t="n">
        <x:v>7705</x:v>
      </x:c>
      <x:c r="F267" s="21" t="n">
        <x:v>0.3529</x:v>
      </x:c>
      <x:c r="G267" s="16" t="str">
        <x:v>Statewide</x:v>
      </x:c>
      <x:c r="H267" s="36" t="n">
        <x:f>IF(G267="National",Assumptions!$B$11,IF(G267="Statewide",Assumptions!$B$12,Assumptions!$B$13))</x:f>
        <x:v>0.6</x:v>
      </x:c>
      <x:c r="I267" s="21" t="n">
        <x:v>-0.01895702822183576</x:v>
      </x:c>
      <x:c r="J267" s="21" t="n">
        <x:v>0.0550021999203838</x:v>
      </x:c>
      <x:c r="K267" s="21" t="n">
        <x:v>0.03672400427413103</x:v>
      </x:c>
      <x:c r="L267" s="36" t="n">
        <x:f>IF(Assumptions!$B$4=2030,I267,IF(Assumptions!$B$4=2035,J267,K267))</x:f>
        <x:v>0.0550021999203838</x:v>
      </x:c>
      <x:c r="M267" s="36" t="n">
        <x:f>Assumptions!$B$19</x:f>
        <x:v>-0.04739891965741583</x:v>
      </x:c>
      <x:c r="N267" s="52" t="n">
        <x:f>H267*L267+(1-H267)*M267+O267</x:f>
        <x:v>0.014041752089263941</x:v>
      </x:c>
      <x:c r="O267" s="36" t="n">
        <x:f>Assumptions!$B$10</x:f>
        <x:v>0</x:v>
      </x:c>
      <x:c r="P267" s="54" t="n">
        <x:f>E267*(1+N267)</x:f>
        <x:v>7813.191699847779</x:v>
      </x:c>
      <x:c r="Q267" s="54" t="n">
        <x:f>P267-E267</x:f>
        <x:v>108.19169984777909</x:v>
      </x:c>
      <x:c r="R267" s="16" t="str">
        <x:v>Yes</x:v>
      </x:c>
      <x:c r="S267" s="56" t="n">
        <x:v>4633</x:v>
      </x:c>
      <x:c r="T267" s="56" t="n">
        <x:v>8989</x:v>
      </x:c>
      <x:c r="U267" s="40" t="n">
        <x:f>E267*Assumptions!$B$8</x:f>
        <x:v>6549.25</x:v>
      </x:c>
      <x:c r="V267" s="40" t="n">
        <x:f>P267*Assumptions!$B$8</x:f>
        <x:v>6641.212944870612</x:v>
      </x:c>
      <x:c r="W267" s="54" t="n">
        <x:f>V267-U267</x:f>
        <x:v>91.96294487061186</x:v>
      </x:c>
      <x:c r="X267" s="58" t="n">
        <x:f>IF(R267="No","",W267*S267)</x:f>
        <x:v>426064.3235855448</x:v>
      </x:c>
      <x:c r="Y267" s="58" t="n">
        <x:f>IF(R267="No","",W267*T267*Assumptions!$B$9)</x:f>
        <x:v>247996.473432579</x:v>
      </x:c>
      <x:c r="Z267" s="58" t="n">
        <x:f>IF(R267="No","",X267-Y267)</x:f>
        <x:v>178067.85015296578</x:v>
      </x:c>
      <x:c r="AA267" s="58" t="n">
        <x:f>IF(R267="No","",MAX(0,-Z267))</x:f>
        <x:v>0</x:v>
      </x:c>
      <x:c r="AB267" s="52" t="n">
        <x:f>IF(OR(R267="No",U267*S267=0),"",AA267/(U267*S267))</x:f>
        <x:v>0</x:v>
      </x:c>
      <x:c r="AC267" s="54" t="n">
        <x:f>IF(OR(R267="No",S267-T267*Assumptions!$B$9&lt;=0),"",AA267/(Assumptions!$B$8*(S267-T267*Assumptions!$B$9)))</x:f>
        <x:v>0</x:v>
      </x:c>
      <x:c r="AD267" s="52" t="n">
        <x:f>IF(OR(R267="No",U267*S267=0),"",AA267/(U267*S267))</x:f>
        <x:v>0</x:v>
      </x:c>
      <x:c r="AE267" s="50" t="str">
        <x:f>IF(R267="No","No finance data",IF(AB267&gt;=10%,"Severe",IF(AB267&gt;=5%,"High",IF(AB267&gt;=2%,"Moderate","Low"))))</x:f>
        <x:v>Low</x:v>
      </x:c>
      <x:c r="AF267" s="60" t="n">
        <x:v>30.428504</x:v>
      </x:c>
      <x:c r="AG267" s="60" t="n">
        <x:v>-84.290226</x:v>
      </x:c>
      <x:c r="AH267" s="44" t="str">
        <x:v>Undergraduate tuition-contribution proxy only; not an audited total institutional budget.</x:v>
      </x:c>
    </x:row>
    <x:row r="268">
      <x:c r="A268" s="16" t="n">
        <x:v>133669</x:v>
      </x:c>
      <x:c r="B268" s="16" t="str">
        <x:v>Florida Atlantic University</x:v>
      </x:c>
      <x:c r="C268" s="16" t="str">
        <x:v>FL</x:v>
      </x:c>
      <x:c r="D268" s="16" t="str">
        <x:v>Public</x:v>
      </x:c>
      <x:c r="E268" s="34" t="n">
        <x:v>24228</x:v>
      </x:c>
      <x:c r="F268" s="21" t="n">
        <x:v>0.7801</x:v>
      </x:c>
      <x:c r="G268" s="16" t="str">
        <x:v>Statewide</x:v>
      </x:c>
      <x:c r="H268" s="36" t="n">
        <x:f>IF(G268="National",Assumptions!$B$11,IF(G268="Statewide",Assumptions!$B$12,Assumptions!$B$13))</x:f>
        <x:v>0.6</x:v>
      </x:c>
      <x:c r="I268" s="21" t="n">
        <x:v>-0.01895702822183576</x:v>
      </x:c>
      <x:c r="J268" s="21" t="n">
        <x:v>0.0550021999203838</x:v>
      </x:c>
      <x:c r="K268" s="21" t="n">
        <x:v>0.03672400427413103</x:v>
      </x:c>
      <x:c r="L268" s="36" t="n">
        <x:f>IF(Assumptions!$B$4=2030,I268,IF(Assumptions!$B$4=2035,J268,K268))</x:f>
        <x:v>0.0550021999203838</x:v>
      </x:c>
      <x:c r="M268" s="36" t="n">
        <x:f>Assumptions!$B$19</x:f>
        <x:v>-0.04739891965741583</x:v>
      </x:c>
      <x:c r="N268" s="52" t="n">
        <x:f>H268*L268+(1-H268)*M268+O268</x:f>
        <x:v>0.014041752089263941</x:v>
      </x:c>
      <x:c r="O268" s="36" t="n">
        <x:f>Assumptions!$B$10</x:f>
        <x:v>0</x:v>
      </x:c>
      <x:c r="P268" s="54" t="n">
        <x:f>E268*(1+N268)</x:f>
        <x:v>24568.203569618687</x:v>
      </x:c>
      <x:c r="Q268" s="54" t="n">
        <x:f>P268-E268</x:f>
        <x:v>340.20356961868674</x:v>
      </x:c>
      <x:c r="R268" s="16" t="str">
        <x:v>Yes</x:v>
      </x:c>
      <x:c r="S268" s="56" t="n">
        <x:v>5808</x:v>
      </x:c>
      <x:c r="T268" s="56" t="n">
        <x:v>8329</x:v>
      </x:c>
      <x:c r="U268" s="40" t="n">
        <x:f>E268*Assumptions!$B$8</x:f>
        <x:v>20593.8</x:v>
      </x:c>
      <x:c r="V268" s="40" t="n">
        <x:f>P268*Assumptions!$B$8</x:f>
        <x:v>20882.973034175884</x:v>
      </x:c>
      <x:c r="W268" s="54" t="n">
        <x:f>V268-U268</x:f>
        <x:v>289.1730341758848</x:v>
      </x:c>
      <x:c r="X268" s="58" t="n">
        <x:f>IF(R268="No","",W268*S268)</x:f>
        <x:v>1679516.982493539</x:v>
      </x:c>
      <x:c r="Y268" s="58" t="n">
        <x:f>IF(R268="No","",W268*T268*Assumptions!$B$9)</x:f>
        <x:v>722556.6604952833</x:v>
      </x:c>
      <x:c r="Z268" s="58" t="n">
        <x:f>IF(R268="No","",X268-Y268)</x:f>
        <x:v>956960.3219982558</x:v>
      </x:c>
      <x:c r="AA268" s="58" t="n">
        <x:f>IF(R268="No","",MAX(0,-Z268))</x:f>
        <x:v>0</x:v>
      </x:c>
      <x:c r="AB268" s="52" t="n">
        <x:f>IF(OR(R268="No",U268*S268=0),"",AA268/(U268*S268))</x:f>
        <x:v>0</x:v>
      </x:c>
      <x:c r="AC268" s="54" t="n">
        <x:f>IF(OR(R268="No",S268-T268*Assumptions!$B$9&lt;=0),"",AA268/(Assumptions!$B$8*(S268-T268*Assumptions!$B$9)))</x:f>
        <x:v>0</x:v>
      </x:c>
      <x:c r="AD268" s="52" t="n">
        <x:f>IF(OR(R268="No",U268*S268=0),"",AA268/(U268*S268))</x:f>
        <x:v>0</x:v>
      </x:c>
      <x:c r="AE268" s="50" t="str">
        <x:f>IF(R268="No","No finance data",IF(AB268&gt;=10%,"Severe",IF(AB268&gt;=5%,"High",IF(AB268&gt;=2%,"Moderate","Low"))))</x:f>
        <x:v>Low</x:v>
      </x:c>
      <x:c r="AF268" s="60" t="n">
        <x:v>26.372421</x:v>
      </x:c>
      <x:c r="AG268" s="60" t="n">
        <x:v>-80.102978</x:v>
      </x:c>
      <x:c r="AH268" s="44" t="str">
        <x:v>Undergraduate tuition-contribution proxy only; not an audited total institutional budget.</x:v>
      </x:c>
    </x:row>
    <x:row r="269">
      <x:c r="A269" s="16" t="n">
        <x:v>433660</x:v>
      </x:c>
      <x:c r="B269" s="16" t="str">
        <x:v>Florida Gulf Coast University</x:v>
      </x:c>
      <x:c r="C269" s="16" t="str">
        <x:v>FL</x:v>
      </x:c>
      <x:c r="D269" s="16" t="str">
        <x:v>Public</x:v>
      </x:c>
      <x:c r="E269" s="34" t="n">
        <x:v>13635</x:v>
      </x:c>
      <x:c r="F269" s="21" t="n">
        <x:v>0.8921</x:v>
      </x:c>
      <x:c r="G269" s="16" t="str">
        <x:v>Statewide</x:v>
      </x:c>
      <x:c r="H269" s="36" t="n">
        <x:f>IF(G269="National",Assumptions!$B$11,IF(G269="Statewide",Assumptions!$B$12,Assumptions!$B$13))</x:f>
        <x:v>0.6</x:v>
      </x:c>
      <x:c r="I269" s="21" t="n">
        <x:v>-0.01895702822183576</x:v>
      </x:c>
      <x:c r="J269" s="21" t="n">
        <x:v>0.0550021999203838</x:v>
      </x:c>
      <x:c r="K269" s="21" t="n">
        <x:v>0.03672400427413103</x:v>
      </x:c>
      <x:c r="L269" s="36" t="n">
        <x:f>IF(Assumptions!$B$4=2030,I269,IF(Assumptions!$B$4=2035,J269,K269))</x:f>
        <x:v>0.0550021999203838</x:v>
      </x:c>
      <x:c r="M269" s="36" t="n">
        <x:f>Assumptions!$B$19</x:f>
        <x:v>-0.04739891965741583</x:v>
      </x:c>
      <x:c r="N269" s="52" t="n">
        <x:f>H269*L269+(1-H269)*M269+O269</x:f>
        <x:v>0.014041752089263941</x:v>
      </x:c>
      <x:c r="O269" s="36" t="n">
        <x:f>Assumptions!$B$10</x:f>
        <x:v>0</x:v>
      </x:c>
      <x:c r="P269" s="54" t="n">
        <x:f>E269*(1+N269)</x:f>
        <x:v>13826.459289737113</x:v>
      </x:c>
      <x:c r="Q269" s="54" t="n">
        <x:f>P269-E269</x:f>
        <x:v>191.45928973711307</x:v>
      </x:c>
      <x:c r="R269" s="16" t="str">
        <x:v>Yes</x:v>
      </x:c>
      <x:c r="S269" s="56" t="n">
        <x:v>4841</x:v>
      </x:c>
      <x:c r="T269" s="56" t="n">
        <x:v>6532</x:v>
      </x:c>
      <x:c r="U269" s="40" t="n">
        <x:f>E269*Assumptions!$B$8</x:f>
        <x:v>11589.75</x:v>
      </x:c>
      <x:c r="V269" s="40" t="n">
        <x:f>P269*Assumptions!$B$8</x:f>
        <x:v>11752.490396276546</x:v>
      </x:c>
      <x:c r="W269" s="54" t="n">
        <x:f>V269-U269</x:f>
        <x:v>162.74039627654565</x:v>
      </x:c>
      <x:c r="X269" s="58" t="n">
        <x:f>IF(R269="No","",W269*S269)</x:f>
        <x:v>787826.2583747575</x:v>
      </x:c>
      <x:c r="Y269" s="58" t="n">
        <x:f>IF(R269="No","",W269*T269*Assumptions!$B$9)</x:f>
        <x:v>318906.0805435188</x:v>
      </x:c>
      <x:c r="Z269" s="58" t="n">
        <x:f>IF(R269="No","",X269-Y269)</x:f>
        <x:v>468920.17783123866</x:v>
      </x:c>
      <x:c r="AA269" s="58" t="n">
        <x:f>IF(R269="No","",MAX(0,-Z269))</x:f>
        <x:v>0</x:v>
      </x:c>
      <x:c r="AB269" s="52" t="n">
        <x:f>IF(OR(R269="No",U269*S269=0),"",AA269/(U269*S269))</x:f>
        <x:v>0</x:v>
      </x:c>
      <x:c r="AC269" s="54" t="n">
        <x:f>IF(OR(R269="No",S269-T269*Assumptions!$B$9&lt;=0),"",AA269/(Assumptions!$B$8*(S269-T269*Assumptions!$B$9)))</x:f>
        <x:v>0</x:v>
      </x:c>
      <x:c r="AD269" s="52" t="n">
        <x:f>IF(OR(R269="No",U269*S269=0),"",AA269/(U269*S269))</x:f>
        <x:v>0</x:v>
      </x:c>
      <x:c r="AE269" s="50" t="str">
        <x:f>IF(R269="No","No finance data",IF(AB269&gt;=10%,"Severe",IF(AB269&gt;=5%,"High",IF(AB269&gt;=2%,"Moderate","Low"))))</x:f>
        <x:v>Low</x:v>
      </x:c>
      <x:c r="AF269" s="60" t="n">
        <x:v>26.463638</x:v>
      </x:c>
      <x:c r="AG269" s="60" t="n">
        <x:v>-81.7726</x:v>
      </x:c>
      <x:c r="AH269" s="44" t="str">
        <x:v>Undergraduate tuition-contribution proxy only; not an audited total institutional budget.</x:v>
      </x:c>
    </x:row>
    <x:row r="270">
      <x:c r="A270" s="16" t="n">
        <x:v>133881</x:v>
      </x:c>
      <x:c r="B270" s="16" t="str">
        <x:v>Florida Institute of Technology</x:v>
      </x:c>
      <x:c r="C270" s="16" t="str">
        <x:v>FL</x:v>
      </x:c>
      <x:c r="D270" s="16" t="str">
        <x:v>Private nonprofit</x:v>
      </x:c>
      <x:c r="E270" s="34" t="n">
        <x:v>3320</x:v>
      </x:c>
      <x:c r="F270" s="21" t="n">
        <x:v>0.6588</x:v>
      </x:c>
      <x:c r="G270" s="16" t="str">
        <x:v>Regional</x:v>
      </x:c>
      <x:c r="H270" s="36" t="n">
        <x:f>IF(G270="National",Assumptions!$B$11,IF(G270="Statewide",Assumptions!$B$12,Assumptions!$B$13))</x:f>
        <x:v>0.85</x:v>
      </x:c>
      <x:c r="I270" s="21" t="n">
        <x:v>-0.01895702822183576</x:v>
      </x:c>
      <x:c r="J270" s="21" t="n">
        <x:v>0.0550021999203838</x:v>
      </x:c>
      <x:c r="K270" s="21" t="n">
        <x:v>0.03672400427413103</x:v>
      </x:c>
      <x:c r="L270" s="36" t="n">
        <x:f>IF(Assumptions!$B$4=2030,I270,IF(Assumptions!$B$4=2035,J270,K270))</x:f>
        <x:v>0.0550021999203838</x:v>
      </x:c>
      <x:c r="M270" s="36" t="n">
        <x:f>Assumptions!$B$19</x:f>
        <x:v>-0.04739891965741583</x:v>
      </x:c>
      <x:c r="N270" s="52" t="n">
        <x:f>H270*L270+(1-H270)*M270+O270</x:f>
        <x:v>0.03964203198371385</x:v>
      </x:c>
      <x:c r="O270" s="36" t="n">
        <x:f>Assumptions!$B$10</x:f>
        <x:v>0</x:v>
      </x:c>
      <x:c r="P270" s="54" t="n">
        <x:f>E270*(1+N270)</x:f>
        <x:v>3451.61154618593</x:v>
      </x:c>
      <x:c r="Q270" s="54" t="n">
        <x:f>P270-E270</x:f>
        <x:v>131.6115461859299</x:v>
      </x:c>
      <x:c r="R270" s="16" t="str">
        <x:v>Yes</x:v>
      </x:c>
      <x:c r="S270" s="56" t="n">
        <x:v>22918</x:v>
      </x:c>
      <x:c r="T270" s="56" t="n">
        <x:v>12182</x:v>
      </x:c>
      <x:c r="U270" s="40" t="n">
        <x:f>E270*Assumptions!$B$8</x:f>
        <x:v>2822</x:v>
      </x:c>
      <x:c r="V270" s="40" t="n">
        <x:f>P270*Assumptions!$B$8</x:f>
        <x:v>2933.86981425804</x:v>
      </x:c>
      <x:c r="W270" s="54" t="n">
        <x:f>V270-U270</x:f>
        <x:v>111.86981425804015</x:v>
      </x:c>
      <x:c r="X270" s="58" t="n">
        <x:f>IF(R270="No","",W270*S270)</x:f>
        <x:v>2563832.403165764</x:v>
      </x:c>
      <x:c r="Y270" s="58" t="n">
        <x:f>IF(R270="No","",W270*T270*Assumptions!$B$9)</x:f>
        <x:v>408839.4231874335</x:v>
      </x:c>
      <x:c r="Z270" s="58" t="n">
        <x:f>IF(R270="No","",X270-Y270)</x:f>
        <x:v>2154992.9799783304</x:v>
      </x:c>
      <x:c r="AA270" s="58" t="n">
        <x:f>IF(R270="No","",MAX(0,-Z270))</x:f>
        <x:v>0</x:v>
      </x:c>
      <x:c r="AB270" s="52" t="n">
        <x:f>IF(OR(R270="No",U270*S270=0),"",AA270/(U270*S270))</x:f>
        <x:v>0</x:v>
      </x:c>
      <x:c r="AC270" s="54" t="n">
        <x:f>IF(OR(R270="No",S270-T270*Assumptions!$B$9&lt;=0),"",AA270/(Assumptions!$B$8*(S270-T270*Assumptions!$B$9)))</x:f>
        <x:v>0</x:v>
      </x:c>
      <x:c r="AD270" s="52" t="n">
        <x:f>IF(OR(R270="No",U270*S270=0),"",AA270/(U270*S270))</x:f>
        <x:v>0</x:v>
      </x:c>
      <x:c r="AE270" s="50" t="str">
        <x:f>IF(R270="No","No finance data",IF(AB270&gt;=10%,"Severe",IF(AB270&gt;=5%,"High",IF(AB270&gt;=2%,"Moderate","Low"))))</x:f>
        <x:v>Low</x:v>
      </x:c>
      <x:c r="AF270" s="60" t="n">
        <x:v>28.065815</x:v>
      </x:c>
      <x:c r="AG270" s="60" t="n">
        <x:v>-80.622893</x:v>
      </x:c>
      <x:c r="AH270" s="44" t="str">
        <x:v>Undergraduate tuition-contribution proxy only; not an audited total institutional budget.</x:v>
      </x:c>
    </x:row>
    <x:row r="271">
      <x:c r="A271" s="16" t="n">
        <x:v>480569</x:v>
      </x:c>
      <x:c r="B271" s="16" t="str">
        <x:v>Florida Institute of Technology-Online</x:v>
      </x:c>
      <x:c r="C271" s="16" t="str">
        <x:v>FL</x:v>
      </x:c>
      <x:c r="D271" s="16" t="str">
        <x:v>Private nonprofit</x:v>
      </x:c>
      <x:c r="E271" s="34" t="n">
        <x:v>2092</x:v>
      </x:c>
      <x:c r="F271" s="21" t="n">
        <x:v>1</x:v>
      </x:c>
      <x:c r="G271" s="16" t="str">
        <x:v>Regional</x:v>
      </x:c>
      <x:c r="H271" s="36" t="n">
        <x:f>IF(G271="National",Assumptions!$B$11,IF(G271="Statewide",Assumptions!$B$12,Assumptions!$B$13))</x:f>
        <x:v>0.85</x:v>
      </x:c>
      <x:c r="I271" s="21" t="n">
        <x:v>-0.01895702822183576</x:v>
      </x:c>
      <x:c r="J271" s="21" t="n">
        <x:v>0.0550021999203838</x:v>
      </x:c>
      <x:c r="K271" s="21" t="n">
        <x:v>0.03672400427413103</x:v>
      </x:c>
      <x:c r="L271" s="36" t="n">
        <x:f>IF(Assumptions!$B$4=2030,I271,IF(Assumptions!$B$4=2035,J271,K271))</x:f>
        <x:v>0.0550021999203838</x:v>
      </x:c>
      <x:c r="M271" s="36" t="n">
        <x:f>Assumptions!$B$19</x:f>
        <x:v>-0.04739891965741583</x:v>
      </x:c>
      <x:c r="N271" s="52" t="n">
        <x:f>H271*L271+(1-H271)*M271+O271</x:f>
        <x:v>0.03964203198371385</x:v>
      </x:c>
      <x:c r="O271" s="36" t="n">
        <x:f>Assumptions!$B$10</x:f>
        <x:v>0</x:v>
      </x:c>
      <x:c r="P271" s="54" t="n">
        <x:f>E271*(1+N271)</x:f>
        <x:v>2174.9311309099294</x:v>
      </x:c>
      <x:c r="Q271" s="54" t="n">
        <x:f>P271-E271</x:f>
        <x:v>82.93113090992938</x:v>
      </x:c>
      <x:c r="R271" s="16" t="str">
        <x:v>Yes</x:v>
      </x:c>
      <x:c r="S271" s="56" t="n">
        <x:v>6208</x:v>
      </x:c>
      <x:c r="T271" s="56" t="n">
        <x:v>3032</x:v>
      </x:c>
      <x:c r="U271" s="40" t="n">
        <x:f>E271*Assumptions!$B$8</x:f>
        <x:v>1778.2</x:v>
      </x:c>
      <x:c r="V271" s="40" t="n">
        <x:f>P271*Assumptions!$B$8</x:f>
        <x:v>1848.69146127344</x:v>
      </x:c>
      <x:c r="W271" s="54" t="n">
        <x:f>V271-U271</x:f>
        <x:v>70.49146127343988</x:v>
      </x:c>
      <x:c r="X271" s="58" t="n">
        <x:f>IF(R271="No","",W271*S271)</x:f>
        <x:v>437610.9915855148</x:v>
      </x:c>
      <x:c r="Y271" s="58" t="n">
        <x:f>IF(R271="No","",W271*T271*Assumptions!$B$9)</x:f>
        <x:v>64119.03317432091</x:v>
      </x:c>
      <x:c r="Z271" s="58" t="n">
        <x:f>IF(R271="No","",X271-Y271)</x:f>
        <x:v>373491.9584111939</x:v>
      </x:c>
      <x:c r="AA271" s="58" t="n">
        <x:f>IF(R271="No","",MAX(0,-Z271))</x:f>
        <x:v>0</x:v>
      </x:c>
      <x:c r="AB271" s="52" t="n">
        <x:f>IF(OR(R271="No",U271*S271=0),"",AA271/(U271*S271))</x:f>
        <x:v>0</x:v>
      </x:c>
      <x:c r="AC271" s="54" t="n">
        <x:f>IF(OR(R271="No",S271-T271*Assumptions!$B$9&lt;=0),"",AA271/(Assumptions!$B$8*(S271-T271*Assumptions!$B$9)))</x:f>
        <x:v>0</x:v>
      </x:c>
      <x:c r="AD271" s="52" t="n">
        <x:f>IF(OR(R271="No",U271*S271=0),"",AA271/(U271*S271))</x:f>
        <x:v>0</x:v>
      </x:c>
      <x:c r="AE271" s="50" t="str">
        <x:f>IF(R271="No","No finance data",IF(AB271&gt;=10%,"Severe",IF(AB271&gt;=5%,"High",IF(AB271&gt;=2%,"Moderate","Low"))))</x:f>
        <x:v>Low</x:v>
      </x:c>
      <x:c r="AF271" s="60" t="n">
        <x:v>28.065754</x:v>
      </x:c>
      <x:c r="AG271" s="60" t="n">
        <x:v>-80.624378</x:v>
      </x:c>
      <x:c r="AH271" s="44" t="str">
        <x:v>Undergraduate tuition-contribution proxy only; not an audited total institutional budget.</x:v>
      </x:c>
    </x:row>
    <x:row r="272">
      <x:c r="A272" s="16" t="n">
        <x:v>133951</x:v>
      </x:c>
      <x:c r="B272" s="16" t="str">
        <x:v>Florida International University</x:v>
      </x:c>
      <x:c r="C272" s="16" t="str">
        <x:v>FL</x:v>
      </x:c>
      <x:c r="D272" s="16" t="str">
        <x:v>Public</x:v>
      </x:c>
      <x:c r="E272" s="34" t="n">
        <x:v>40208</x:v>
      </x:c>
      <x:c r="F272" s="21" t="n">
        <x:v>0.6401</x:v>
      </x:c>
      <x:c r="G272" s="16" t="str">
        <x:v>National</x:v>
      </x:c>
      <x:c r="H272" s="36" t="n">
        <x:f>IF(G272="National",Assumptions!$B$11,IF(G272="Statewide",Assumptions!$B$12,Assumptions!$B$13))</x:f>
        <x:v>0.25</x:v>
      </x:c>
      <x:c r="I272" s="21" t="n">
        <x:v>-0.01895702822183576</x:v>
      </x:c>
      <x:c r="J272" s="21" t="n">
        <x:v>0.0550021999203838</x:v>
      </x:c>
      <x:c r="K272" s="21" t="n">
        <x:v>0.03672400427413103</x:v>
      </x:c>
      <x:c r="L272" s="36" t="n">
        <x:f>IF(Assumptions!$B$4=2030,I272,IF(Assumptions!$B$4=2035,J272,K272))</x:f>
        <x:v>0.0550021999203838</x:v>
      </x:c>
      <x:c r="M272" s="36" t="n">
        <x:f>Assumptions!$B$19</x:f>
        <x:v>-0.04739891965741583</x:v>
      </x:c>
      <x:c r="N272" s="52" t="n">
        <x:f>H272*L272+(1-H272)*M272+O272</x:f>
        <x:v>-0.02179863976296592</x:v>
      </x:c>
      <x:c r="O272" s="36" t="n">
        <x:f>Assumptions!$B$10</x:f>
        <x:v>0</x:v>
      </x:c>
      <x:c r="P272" s="54" t="n">
        <x:f>E272*(1+N272)</x:f>
        <x:v>39331.52029241066</x:v>
      </x:c>
      <x:c r="Q272" s="54" t="n">
        <x:f>P272-E272</x:f>
        <x:v>-876.4797075893366</x:v>
      </x:c>
      <x:c r="R272" s="16" t="str">
        <x:v>Yes</x:v>
      </x:c>
      <x:c r="S272" s="56" t="n">
        <x:v>5286</x:v>
      </x:c>
      <x:c r="T272" s="56" t="n">
        <x:v>6355</x:v>
      </x:c>
      <x:c r="U272" s="40" t="n">
        <x:f>E272*Assumptions!$B$8</x:f>
        <x:v>34176.799999999996</x:v>
      </x:c>
      <x:c r="V272" s="40" t="n">
        <x:f>P272*Assumptions!$B$8</x:f>
        <x:v>33431.79224854906</x:v>
      </x:c>
      <x:c r="W272" s="54" t="n">
        <x:f>V272-U272</x:f>
        <x:v>-745.0077514509321</x:v>
      </x:c>
      <x:c r="X272" s="58" t="n">
        <x:f>IF(R272="No","",W272*S272)</x:f>
        <x:v>-3938110.9741696273</x:v>
      </x:c>
      <x:c r="Y272" s="58" t="n">
        <x:f>IF(R272="No","",W272*T272*Assumptions!$B$9)</x:f>
        <x:v>-1420357.278141202</x:v>
      </x:c>
      <x:c r="Z272" s="58" t="n">
        <x:f>IF(R272="No","",X272-Y272)</x:f>
        <x:v>-2517753.6960284254</x:v>
      </x:c>
      <x:c r="AA272" s="58" t="n">
        <x:f>IF(R272="No","",MAX(0,-Z272))</x:f>
        <x:v>2517753.6960284254</x:v>
      </x:c>
      <x:c r="AB272" s="52" t="n">
        <x:f>IF(OR(R272="No",U272*S272=0),"",AA272/(U272*S272))</x:f>
        <x:v>0.013936531040284372</x:v>
      </x:c>
      <x:c r="AC272" s="54" t="n">
        <x:f>IF(OR(R272="No",S272-T272*Assumptions!$B$9&lt;=0),"",AA272/(Assumptions!$B$8*(S272-T272*Assumptions!$B$9)))</x:f>
        <x:v>876.4797075893321</x:v>
      </x:c>
      <x:c r="AD272" s="52" t="n">
        <x:f>IF(OR(R272="No",U272*S272=0),"",AA272/(U272*S272))</x:f>
        <x:v>0.013936531040284372</x:v>
      </x:c>
      <x:c r="AE272" s="50" t="str">
        <x:f>IF(R272="No","No finance data",IF(AB272&gt;=10%,"Severe",IF(AB272&gt;=5%,"High",IF(AB272&gt;=2%,"Moderate","Low"))))</x:f>
        <x:v>Low</x:v>
      </x:c>
      <x:c r="AF272" s="60" t="n">
        <x:v>25.75732</x:v>
      </x:c>
      <x:c r="AG272" s="60" t="n">
        <x:v>-80.373928</x:v>
      </x:c>
      <x:c r="AH272" s="44" t="str">
        <x:v>Undergraduate tuition-contribution proxy only; not an audited total institutional budget.</x:v>
      </x:c>
    </x:row>
    <x:row r="273">
      <x:c r="A273" s="16" t="n">
        <x:v>133979</x:v>
      </x:c>
      <x:c r="B273" s="16" t="str">
        <x:v>Florida Memorial University</x:v>
      </x:c>
      <x:c r="C273" s="16" t="str">
        <x:v>FL</x:v>
      </x:c>
      <x:c r="D273" s="16" t="str">
        <x:v>Private nonprofit</x:v>
      </x:c>
      <x:c r="E273" s="34" t="n">
        <x:v>1399</x:v>
      </x:c>
      <x:c r="F273" s="21" t="n">
        <x:v>0.5676</x:v>
      </x:c>
      <x:c r="G273" s="16" t="str">
        <x:v>Regional</x:v>
      </x:c>
      <x:c r="H273" s="36" t="n">
        <x:f>IF(G273="National",Assumptions!$B$11,IF(G273="Statewide",Assumptions!$B$12,Assumptions!$B$13))</x:f>
        <x:v>0.85</x:v>
      </x:c>
      <x:c r="I273" s="21" t="n">
        <x:v>-0.01895702822183576</x:v>
      </x:c>
      <x:c r="J273" s="21" t="n">
        <x:v>0.0550021999203838</x:v>
      </x:c>
      <x:c r="K273" s="21" t="n">
        <x:v>0.03672400427413103</x:v>
      </x:c>
      <x:c r="L273" s="36" t="n">
        <x:f>IF(Assumptions!$B$4=2030,I273,IF(Assumptions!$B$4=2035,J273,K273))</x:f>
        <x:v>0.0550021999203838</x:v>
      </x:c>
      <x:c r="M273" s="36" t="n">
        <x:f>Assumptions!$B$19</x:f>
        <x:v>-0.04739891965741583</x:v>
      </x:c>
      <x:c r="N273" s="52" t="n">
        <x:f>H273*L273+(1-H273)*M273+O273</x:f>
        <x:v>0.03964203198371385</x:v>
      </x:c>
      <x:c r="O273" s="36" t="n">
        <x:f>Assumptions!$B$10</x:f>
        <x:v>0</x:v>
      </x:c>
      <x:c r="P273" s="54" t="n">
        <x:f>E273*(1+N273)</x:f>
        <x:v>1454.4592027452156</x:v>
      </x:c>
      <x:c r="Q273" s="54" t="n">
        <x:f>P273-E273</x:f>
        <x:v>55.459202745215634</x:v>
      </x:c>
      <x:c r="R273" s="16" t="str">
        <x:v>Yes</x:v>
      </x:c>
      <x:c r="S273" s="56" t="n">
        <x:v>16237</x:v>
      </x:c>
      <x:c r="T273" s="56" t="n">
        <x:v>7225</x:v>
      </x:c>
      <x:c r="U273" s="40" t="n">
        <x:f>E273*Assumptions!$B$8</x:f>
        <x:v>1189.1499999999999</x:v>
      </x:c>
      <x:c r="V273" s="40" t="n">
        <x:f>P273*Assumptions!$B$8</x:f>
        <x:v>1236.2903223334333</x:v>
      </x:c>
      <x:c r="W273" s="54" t="n">
        <x:f>V273-U273</x:f>
        <x:v>47.14032233343346</x:v>
      </x:c>
      <x:c r="X273" s="58" t="n">
        <x:f>IF(R273="No","",W273*S273)</x:f>
        <x:v>765417.413727959</x:v>
      </x:c>
      <x:c r="Y273" s="58" t="n">
        <x:f>IF(R273="No","",W273*T273*Assumptions!$B$9)</x:f>
        <x:v>102176.64865771703</x:v>
      </x:c>
      <x:c r="Z273" s="58" t="n">
        <x:f>IF(R273="No","",X273-Y273)</x:f>
        <x:v>663240.765070242</x:v>
      </x:c>
      <x:c r="AA273" s="58" t="n">
        <x:f>IF(R273="No","",MAX(0,-Z273))</x:f>
        <x:v>0</x:v>
      </x:c>
      <x:c r="AB273" s="52" t="n">
        <x:f>IF(OR(R273="No",U273*S273=0),"",AA273/(U273*S273))</x:f>
        <x:v>0</x:v>
      </x:c>
      <x:c r="AC273" s="54" t="n">
        <x:f>IF(OR(R273="No",S273-T273*Assumptions!$B$9&lt;=0),"",AA273/(Assumptions!$B$8*(S273-T273*Assumptions!$B$9)))</x:f>
        <x:v>0</x:v>
      </x:c>
      <x:c r="AD273" s="52" t="n">
        <x:f>IF(OR(R273="No",U273*S273=0),"",AA273/(U273*S273))</x:f>
        <x:v>0</x:v>
      </x:c>
      <x:c r="AE273" s="50" t="str">
        <x:f>IF(R273="No","No finance data",IF(AB273&gt;=10%,"Severe",IF(AB273&gt;=5%,"High",IF(AB273&gt;=2%,"Moderate","Low"))))</x:f>
        <x:v>Low</x:v>
      </x:c>
      <x:c r="AF273" s="60" t="n">
        <x:v>25.918278</x:v>
      </x:c>
      <x:c r="AG273" s="60" t="n">
        <x:v>-80.270753</x:v>
      </x:c>
      <x:c r="AH273" s="44" t="str">
        <x:v>Undergraduate tuition-contribution proxy only; not an audited total institutional budget.</x:v>
      </x:c>
    </x:row>
    <x:row r="274">
      <x:c r="A274" s="16" t="n">
        <x:v>134079</x:v>
      </x:c>
      <x:c r="B274" s="16" t="str">
        <x:v>Florida Southern College</x:v>
      </x:c>
      <x:c r="C274" s="16" t="str">
        <x:v>FL</x:v>
      </x:c>
      <x:c r="D274" s="16" t="str">
        <x:v>Private nonprofit</x:v>
      </x:c>
      <x:c r="E274" s="34" t="n">
        <x:v>2519</x:v>
      </x:c>
      <x:c r="F274" s="21" t="n">
        <x:v>0.6088</x:v>
      </x:c>
      <x:c r="G274" s="16" t="str">
        <x:v>Regional</x:v>
      </x:c>
      <x:c r="H274" s="36" t="n">
        <x:f>IF(G274="National",Assumptions!$B$11,IF(G274="Statewide",Assumptions!$B$12,Assumptions!$B$13))</x:f>
        <x:v>0.85</x:v>
      </x:c>
      <x:c r="I274" s="21" t="n">
        <x:v>-0.01895702822183576</x:v>
      </x:c>
      <x:c r="J274" s="21" t="n">
        <x:v>0.0550021999203838</x:v>
      </x:c>
      <x:c r="K274" s="21" t="n">
        <x:v>0.03672400427413103</x:v>
      </x:c>
      <x:c r="L274" s="36" t="n">
        <x:f>IF(Assumptions!$B$4=2030,I274,IF(Assumptions!$B$4=2035,J274,K274))</x:f>
        <x:v>0.0550021999203838</x:v>
      </x:c>
      <x:c r="M274" s="36" t="n">
        <x:f>Assumptions!$B$19</x:f>
        <x:v>-0.04739891965741583</x:v>
      </x:c>
      <x:c r="N274" s="52" t="n">
        <x:f>H274*L274+(1-H274)*M274+O274</x:f>
        <x:v>0.03964203198371385</x:v>
      </x:c>
      <x:c r="O274" s="36" t="n">
        <x:f>Assumptions!$B$10</x:f>
        <x:v>0</x:v>
      </x:c>
      <x:c r="P274" s="54" t="n">
        <x:f>E274*(1+N274)</x:f>
        <x:v>2618.858278566975</x:v>
      </x:c>
      <x:c r="Q274" s="54" t="n">
        <x:f>P274-E274</x:f>
        <x:v>99.85827856697506</x:v>
      </x:c>
      <x:c r="R274" s="16" t="str">
        <x:v>Yes</x:v>
      </x:c>
      <x:c r="S274" s="56" t="n">
        <x:v>19617</x:v>
      </x:c>
      <x:c r="T274" s="56" t="n">
        <x:v>8666</x:v>
      </x:c>
      <x:c r="U274" s="40" t="n">
        <x:f>E274*Assumptions!$B$8</x:f>
        <x:v>2141.15</x:v>
      </x:c>
      <x:c r="V274" s="40" t="n">
        <x:f>P274*Assumptions!$B$8</x:f>
        <x:v>2226.0295367819285</x:v>
      </x:c>
      <x:c r="W274" s="54" t="n">
        <x:f>V274-U274</x:f>
        <x:v>84.87953678192844</x:v>
      </x:c>
      <x:c r="X274" s="58" t="n">
        <x:f>IF(R274="No","",W274*S274)</x:f>
        <x:v>1665081.8730510902</x:v>
      </x:c>
      <x:c r="Y274" s="58" t="n">
        <x:f>IF(R274="No","",W274*T274*Assumptions!$B$9)</x:f>
        <x:v>220669.81972565755</x:v>
      </x:c>
      <x:c r="Z274" s="58" t="n">
        <x:f>IF(R274="No","",X274-Y274)</x:f>
        <x:v>1444412.0533254326</x:v>
      </x:c>
      <x:c r="AA274" s="58" t="n">
        <x:f>IF(R274="No","",MAX(0,-Z274))</x:f>
        <x:v>0</x:v>
      </x:c>
      <x:c r="AB274" s="52" t="n">
        <x:f>IF(OR(R274="No",U274*S274=0),"",AA274/(U274*S274))</x:f>
        <x:v>0</x:v>
      </x:c>
      <x:c r="AC274" s="54" t="n">
        <x:f>IF(OR(R274="No",S274-T274*Assumptions!$B$9&lt;=0),"",AA274/(Assumptions!$B$8*(S274-T274*Assumptions!$B$9)))</x:f>
        <x:v>0</x:v>
      </x:c>
      <x:c r="AD274" s="52" t="n">
        <x:f>IF(OR(R274="No",U274*S274=0),"",AA274/(U274*S274))</x:f>
        <x:v>0</x:v>
      </x:c>
      <x:c r="AE274" s="50" t="str">
        <x:f>IF(R274="No","No finance data",IF(AB274&gt;=10%,"Severe",IF(AB274&gt;=5%,"High",IF(AB274&gt;=2%,"Moderate","Low"))))</x:f>
        <x:v>Low</x:v>
      </x:c>
      <x:c r="AF274" s="60" t="n">
        <x:v>28.032443</x:v>
      </x:c>
      <x:c r="AG274" s="60" t="n">
        <x:v>-81.948203</x:v>
      </x:c>
      <x:c r="AH274" s="44" t="str">
        <x:v>Undergraduate tuition-contribution proxy only; not an audited total institutional budget.</x:v>
      </x:c>
    </x:row>
    <x:row r="275">
      <x:c r="A275" s="16" t="n">
        <x:v>134097</x:v>
      </x:c>
      <x:c r="B275" s="16" t="str">
        <x:v>Florida State University</x:v>
      </x:c>
      <x:c r="C275" s="16" t="str">
        <x:v>FL</x:v>
      </x:c>
      <x:c r="D275" s="16" t="str">
        <x:v>Public</x:v>
      </x:c>
      <x:c r="E275" s="34" t="n">
        <x:v>32229</x:v>
      </x:c>
      <x:c r="F275" s="21" t="n">
        <x:v>0.3707</x:v>
      </x:c>
      <x:c r="G275" s="16" t="str">
        <x:v>National</x:v>
      </x:c>
      <x:c r="H275" s="36" t="n">
        <x:f>IF(G275="National",Assumptions!$B$11,IF(G275="Statewide",Assumptions!$B$12,Assumptions!$B$13))</x:f>
        <x:v>0.25</x:v>
      </x:c>
      <x:c r="I275" s="21" t="n">
        <x:v>-0.01895702822183576</x:v>
      </x:c>
      <x:c r="J275" s="21" t="n">
        <x:v>0.0550021999203838</x:v>
      </x:c>
      <x:c r="K275" s="21" t="n">
        <x:v>0.03672400427413103</x:v>
      </x:c>
      <x:c r="L275" s="36" t="n">
        <x:f>IF(Assumptions!$B$4=2030,I275,IF(Assumptions!$B$4=2035,J275,K275))</x:f>
        <x:v>0.0550021999203838</x:v>
      </x:c>
      <x:c r="M275" s="36" t="n">
        <x:f>Assumptions!$B$19</x:f>
        <x:v>-0.04739891965741583</x:v>
      </x:c>
      <x:c r="N275" s="52" t="n">
        <x:f>H275*L275+(1-H275)*M275+O275</x:f>
        <x:v>-0.02179863976296592</x:v>
      </x:c>
      <x:c r="O275" s="36" t="n">
        <x:f>Assumptions!$B$10</x:f>
        <x:v>0</x:v>
      </x:c>
      <x:c r="P275" s="54" t="n">
        <x:f>E275*(1+N275)</x:f>
        <x:v>31526.451639079372</x:v>
      </x:c>
      <x:c r="Q275" s="54" t="n">
        <x:f>P275-E275</x:f>
        <x:v>-702.5483609206276</x:v>
      </x:c>
      <x:c r="R275" s="16" t="str">
        <x:v>Yes</x:v>
      </x:c>
      <x:c r="S275" s="56" t="n">
        <x:v>6716</x:v>
      </x:c>
      <x:c r="T275" s="56" t="n">
        <x:v>11614</x:v>
      </x:c>
      <x:c r="U275" s="40" t="n">
        <x:f>E275*Assumptions!$B$8</x:f>
        <x:v>27394.649999999998</x:v>
      </x:c>
      <x:c r="V275" s="40" t="n">
        <x:f>P275*Assumptions!$B$8</x:f>
        <x:v>26797.483893217464</x:v>
      </x:c>
      <x:c r="W275" s="54" t="n">
        <x:f>V275-U275</x:f>
        <x:v>-597.1661067825335</x:v>
      </x:c>
      <x:c r="X275" s="58" t="n">
        <x:f>IF(R275="No","",W275*S275)</x:f>
        <x:v>-4010567.573151495</x:v>
      </x:c>
      <x:c r="Y275" s="58" t="n">
        <x:f>IF(R275="No","",W275*T275*Assumptions!$B$9)</x:f>
        <x:v>-2080646.1492517032</x:v>
      </x:c>
      <x:c r="Z275" s="58" t="n">
        <x:f>IF(R275="No","",X275-Y275)</x:f>
        <x:v>-1929921.4238997917</x:v>
      </x:c>
      <x:c r="AA275" s="58" t="n">
        <x:f>IF(R275="No","",MAX(0,-Z275))</x:f>
        <x:v>1929921.4238997917</x:v>
      </x:c>
      <x:c r="AB275" s="52" t="n">
        <x:f>IF(OR(R275="No",U275*S275=0),"",AA275/(U275*S275))</x:f>
        <x:v>0.010489702797193742</x:v>
      </x:c>
      <x:c r="AC275" s="54" t="n">
        <x:f>IF(OR(R275="No",S275-T275*Assumptions!$B$9&lt;=0),"",AA275/(Assumptions!$B$8*(S275-T275*Assumptions!$B$9)))</x:f>
        <x:v>702.5483609206276</x:v>
      </x:c>
      <x:c r="AD275" s="52" t="n">
        <x:f>IF(OR(R275="No",U275*S275=0),"",AA275/(U275*S275))</x:f>
        <x:v>0.010489702797193742</x:v>
      </x:c>
      <x:c r="AE275" s="50" t="str">
        <x:f>IF(R275="No","No finance data",IF(AB275&gt;=10%,"Severe",IF(AB275&gt;=5%,"High",IF(AB275&gt;=2%,"Moderate","Low"))))</x:f>
        <x:v>Low</x:v>
      </x:c>
      <x:c r="AF275" s="60" t="n">
        <x:v>30.443147</x:v>
      </x:c>
      <x:c r="AG275" s="60" t="n">
        <x:v>-84.295064</x:v>
      </x:c>
      <x:c r="AH275" s="44" t="str">
        <x:v>Undergraduate tuition-contribution proxy only; not an audited total institutional budget.</x:v>
      </x:c>
    </x:row>
    <x:row r="276">
      <x:c r="A276" s="16" t="n">
        <x:v>134510</x:v>
      </x:c>
      <x:c r="B276" s="16" t="str">
        <x:v>Hobe Sound Bible College</x:v>
      </x:c>
      <x:c r="C276" s="16" t="str">
        <x:v>FL</x:v>
      </x:c>
      <x:c r="D276" s="16" t="str">
        <x:v>Private nonprofit</x:v>
      </x:c>
      <x:c r="E276" s="34" t="n">
        <x:v>228</x:v>
      </x:c>
      <x:c r="F276" s="21"/>
      <x:c r="G276" s="16" t="str">
        <x:v>Regional</x:v>
      </x:c>
      <x:c r="H276" s="36" t="n">
        <x:f>IF(G276="National",Assumptions!$B$11,IF(G276="Statewide",Assumptions!$B$12,Assumptions!$B$13))</x:f>
        <x:v>0.85</x:v>
      </x:c>
      <x:c r="I276" s="21" t="n">
        <x:v>-0.01895702822183576</x:v>
      </x:c>
      <x:c r="J276" s="21" t="n">
        <x:v>0.0550021999203838</x:v>
      </x:c>
      <x:c r="K276" s="21" t="n">
        <x:v>0.03672400427413103</x:v>
      </x:c>
      <x:c r="L276" s="36" t="n">
        <x:f>IF(Assumptions!$B$4=2030,I276,IF(Assumptions!$B$4=2035,J276,K276))</x:f>
        <x:v>0.0550021999203838</x:v>
      </x:c>
      <x:c r="M276" s="36" t="n">
        <x:f>Assumptions!$B$19</x:f>
        <x:v>-0.04739891965741583</x:v>
      </x:c>
      <x:c r="N276" s="52" t="n">
        <x:f>H276*L276+(1-H276)*M276+O276</x:f>
        <x:v>0.03964203198371385</x:v>
      </x:c>
      <x:c r="O276" s="36" t="n">
        <x:f>Assumptions!$B$10</x:f>
        <x:v>0</x:v>
      </x:c>
      <x:c r="P276" s="54" t="n">
        <x:f>E276*(1+N276)</x:f>
        <x:v>237.03838329228677</x:v>
      </x:c>
      <x:c r="Q276" s="54" t="n">
        <x:f>P276-E276</x:f>
        <x:v>9.038383292286767</x:v>
      </x:c>
      <x:c r="R276" s="16" t="str">
        <x:v>No</x:v>
      </x:c>
      <x:c r="S276" s="56"/>
      <x:c r="T276" s="56"/>
      <x:c r="U276" s="40" t="n">
        <x:f>E276*Assumptions!$B$8</x:f>
        <x:v>193.79999999999998</x:v>
      </x:c>
      <x:c r="V276" s="40" t="n">
        <x:f>P276*Assumptions!$B$8</x:f>
        <x:v>201.48262579844373</x:v>
      </x:c>
      <x:c r="W276" s="54" t="n">
        <x:f>V276-U276</x:f>
        <x:v>7.682625798443752</x:v>
      </x:c>
      <x:c r="X276" s="58" t="str">
        <x:f>IF(R276="No","",W276*S276)</x:f>
      </x:c>
      <x:c r="Y276" s="58" t="str">
        <x:f>IF(R276="No","",W276*T276*Assumptions!$B$9)</x:f>
      </x:c>
      <x:c r="Z276" s="58" t="str">
        <x:f>IF(R276="No","",X276-Y276)</x:f>
      </x:c>
      <x:c r="AA276" s="58" t="str">
        <x:f>IF(R276="No","",MAX(0,-Z276))</x:f>
      </x:c>
      <x:c r="AB276" s="52" t="str">
        <x:f>IF(OR(R276="No",U276*S276=0),"",AA276/(U276*S276))</x:f>
      </x:c>
      <x:c r="AC276" s="54" t="str">
        <x:f>IF(OR(R276="No",S276-T276*Assumptions!$B$9&lt;=0),"",AA276/(Assumptions!$B$8*(S276-T276*Assumptions!$B$9)))</x:f>
      </x:c>
      <x:c r="AD276" s="52" t="str">
        <x:f>IF(OR(R276="No",U276*S276=0),"",AA276/(U276*S276))</x:f>
      </x:c>
      <x:c r="AE276" s="50" t="str">
        <x:f>IF(R276="No","No finance data",IF(AB276&gt;=10%,"Severe",IF(AB276&gt;=5%,"High",IF(AB276&gt;=2%,"Moderate","Low"))))</x:f>
        <x:v>No finance data</x:v>
      </x:c>
      <x:c r="AF276" s="60"/>
      <x:c r="AG276" s="60"/>
      <x:c r="AH276" s="44" t="str">
        <x:v>Undergraduate tuition-contribution proxy only; not an audited total institutional budget.</x:v>
      </x:c>
    </x:row>
    <x:row r="277">
      <x:c r="A277" s="16" t="n">
        <x:v>367884</x:v>
      </x:c>
      <x:c r="B277" s="16" t="str">
        <x:v>Hodges University</x:v>
      </x:c>
      <x:c r="C277" s="16" t="str">
        <x:v>FL</x:v>
      </x:c>
      <x:c r="D277" s="16" t="str">
        <x:v>Private nonprofit</x:v>
      </x:c>
      <x:c r="E277" s="34" t="n">
        <x:v>1476</x:v>
      </x:c>
      <x:c r="F277" s="21"/>
      <x:c r="G277" s="16" t="str">
        <x:v>Regional</x:v>
      </x:c>
      <x:c r="H277" s="36" t="n">
        <x:f>IF(G277="National",Assumptions!$B$11,IF(G277="Statewide",Assumptions!$B$12,Assumptions!$B$13))</x:f>
        <x:v>0.85</x:v>
      </x:c>
      <x:c r="I277" s="21" t="n">
        <x:v>-0.01895702822183576</x:v>
      </x:c>
      <x:c r="J277" s="21" t="n">
        <x:v>0.0550021999203838</x:v>
      </x:c>
      <x:c r="K277" s="21" t="n">
        <x:v>0.03672400427413103</x:v>
      </x:c>
      <x:c r="L277" s="36" t="n">
        <x:f>IF(Assumptions!$B$4=2030,I277,IF(Assumptions!$B$4=2035,J277,K277))</x:f>
        <x:v>0.0550021999203838</x:v>
      </x:c>
      <x:c r="M277" s="36" t="n">
        <x:f>Assumptions!$B$19</x:f>
        <x:v>-0.04739891965741583</x:v>
      </x:c>
      <x:c r="N277" s="52" t="n">
        <x:f>H277*L277+(1-H277)*M277+O277</x:f>
        <x:v>0.03964203198371385</x:v>
      </x:c>
      <x:c r="O277" s="36" t="n">
        <x:f>Assumptions!$B$10</x:f>
        <x:v>0</x:v>
      </x:c>
      <x:c r="P277" s="54" t="n">
        <x:f>E277*(1+N277)</x:f>
        <x:v>1534.5116392079617</x:v>
      </x:c>
      <x:c r="Q277" s="54" t="n">
        <x:f>P277-E277</x:f>
        <x:v>58.51163920796171</x:v>
      </x:c>
      <x:c r="R277" s="16" t="str">
        <x:v>No</x:v>
      </x:c>
      <x:c r="S277" s="56"/>
      <x:c r="T277" s="56"/>
      <x:c r="U277" s="40" t="n">
        <x:f>E277*Assumptions!$B$8</x:f>
        <x:v>1254.6</x:v>
      </x:c>
      <x:c r="V277" s="40" t="n">
        <x:f>P277*Assumptions!$B$8</x:f>
        <x:v>1304.3348933267673</x:v>
      </x:c>
      <x:c r="W277" s="54" t="n">
        <x:f>V277-U277</x:f>
        <x:v>49.734893326767406</x:v>
      </x:c>
      <x:c r="X277" s="58" t="str">
        <x:f>IF(R277="No","",W277*S277)</x:f>
      </x:c>
      <x:c r="Y277" s="58" t="str">
        <x:f>IF(R277="No","",W277*T277*Assumptions!$B$9)</x:f>
      </x:c>
      <x:c r="Z277" s="58" t="str">
        <x:f>IF(R277="No","",X277-Y277)</x:f>
      </x:c>
      <x:c r="AA277" s="58" t="str">
        <x:f>IF(R277="No","",MAX(0,-Z277))</x:f>
      </x:c>
      <x:c r="AB277" s="52" t="str">
        <x:f>IF(OR(R277="No",U277*S277=0),"",AA277/(U277*S277))</x:f>
      </x:c>
      <x:c r="AC277" s="54" t="str">
        <x:f>IF(OR(R277="No",S277-T277*Assumptions!$B$9&lt;=0),"",AA277/(Assumptions!$B$8*(S277-T277*Assumptions!$B$9)))</x:f>
      </x:c>
      <x:c r="AD277" s="52" t="str">
        <x:f>IF(OR(R277="No",U277*S277=0),"",AA277/(U277*S277))</x:f>
      </x:c>
      <x:c r="AE277" s="50" t="str">
        <x:f>IF(R277="No","No finance data",IF(AB277&gt;=10%,"Severe",IF(AB277&gt;=5%,"High",IF(AB277&gt;=2%,"Moderate","Low"))))</x:f>
        <x:v>No finance data</x:v>
      </x:c>
      <x:c r="AF277" s="60"/>
      <x:c r="AG277" s="60"/>
      <x:c r="AH277" s="44" t="str">
        <x:v>Undergraduate tuition-contribution proxy only; not an audited total institutional budget.</x:v>
      </x:c>
    </x:row>
    <x:row r="278">
      <x:c r="A278" s="16" t="n">
        <x:v>134945</x:v>
      </x:c>
      <x:c r="B278" s="16" t="str">
        <x:v>Jacksonville University</x:v>
      </x:c>
      <x:c r="C278" s="16" t="str">
        <x:v>FL</x:v>
      </x:c>
      <x:c r="D278" s="16" t="str">
        <x:v>Private nonprofit</x:v>
      </x:c>
      <x:c r="E278" s="34" t="n">
        <x:v>2964</x:v>
      </x:c>
      <x:c r="F278" s="21" t="n">
        <x:v>0.7762</x:v>
      </x:c>
      <x:c r="G278" s="16" t="str">
        <x:v>Regional</x:v>
      </x:c>
      <x:c r="H278" s="36" t="n">
        <x:f>IF(G278="National",Assumptions!$B$11,IF(G278="Statewide",Assumptions!$B$12,Assumptions!$B$13))</x:f>
        <x:v>0.85</x:v>
      </x:c>
      <x:c r="I278" s="21" t="n">
        <x:v>-0.01895702822183576</x:v>
      </x:c>
      <x:c r="J278" s="21" t="n">
        <x:v>0.0550021999203838</x:v>
      </x:c>
      <x:c r="K278" s="21" t="n">
        <x:v>0.03672400427413103</x:v>
      </x:c>
      <x:c r="L278" s="36" t="n">
        <x:f>IF(Assumptions!$B$4=2030,I278,IF(Assumptions!$B$4=2035,J278,K278))</x:f>
        <x:v>0.0550021999203838</x:v>
      </x:c>
      <x:c r="M278" s="36" t="n">
        <x:f>Assumptions!$B$19</x:f>
        <x:v>-0.04739891965741583</x:v>
      </x:c>
      <x:c r="N278" s="52" t="n">
        <x:f>H278*L278+(1-H278)*M278+O278</x:f>
        <x:v>0.03964203198371385</x:v>
      </x:c>
      <x:c r="O278" s="36" t="n">
        <x:f>Assumptions!$B$10</x:f>
        <x:v>0</x:v>
      </x:c>
      <x:c r="P278" s="54" t="n">
        <x:f>E278*(1+N278)</x:f>
        <x:v>3081.498982799728</x:v>
      </x:c>
      <x:c r="Q278" s="54" t="n">
        <x:f>P278-E278</x:f>
        <x:v>117.49898279972786</x:v>
      </x:c>
      <x:c r="R278" s="16" t="str">
        <x:v>Yes</x:v>
      </x:c>
      <x:c r="S278" s="56" t="n">
        <x:v>15498</x:v>
      </x:c>
      <x:c r="T278" s="56" t="n">
        <x:v>9278</x:v>
      </x:c>
      <x:c r="U278" s="40" t="n">
        <x:f>E278*Assumptions!$B$8</x:f>
        <x:v>2519.4</x:v>
      </x:c>
      <x:c r="V278" s="40" t="n">
        <x:f>P278*Assumptions!$B$8</x:f>
        <x:v>2619.2741353797687</x:v>
      </x:c>
      <x:c r="W278" s="54" t="n">
        <x:f>V278-U278</x:f>
        <x:v>99.87413537976863</x:v>
      </x:c>
      <x:c r="X278" s="58" t="n">
        <x:f>IF(R278="No","",W278*S278)</x:f>
        <x:v>1547849.3501156543</x:v>
      </x:c>
      <x:c r="Y278" s="58" t="n">
        <x:f>IF(R278="No","",W278*T278*Assumptions!$B$9)</x:f>
        <x:v>277989.668416048</x:v>
      </x:c>
      <x:c r="Z278" s="58" t="n">
        <x:f>IF(R278="No","",X278-Y278)</x:f>
        <x:v>1269859.6816996064</x:v>
      </x:c>
      <x:c r="AA278" s="58" t="n">
        <x:f>IF(R278="No","",MAX(0,-Z278))</x:f>
        <x:v>0</x:v>
      </x:c>
      <x:c r="AB278" s="52" t="n">
        <x:f>IF(OR(R278="No",U278*S278=0),"",AA278/(U278*S278))</x:f>
        <x:v>0</x:v>
      </x:c>
      <x:c r="AC278" s="54" t="n">
        <x:f>IF(OR(R278="No",S278-T278*Assumptions!$B$9&lt;=0),"",AA278/(Assumptions!$B$8*(S278-T278*Assumptions!$B$9)))</x:f>
        <x:v>0</x:v>
      </x:c>
      <x:c r="AD278" s="52" t="n">
        <x:f>IF(OR(R278="No",U278*S278=0),"",AA278/(U278*S278))</x:f>
        <x:v>0</x:v>
      </x:c>
      <x:c r="AE278" s="50" t="str">
        <x:f>IF(R278="No","No finance data",IF(AB278&gt;=10%,"Severe",IF(AB278&gt;=5%,"High",IF(AB278&gt;=2%,"Moderate","Low"))))</x:f>
        <x:v>Low</x:v>
      </x:c>
      <x:c r="AF278" s="60" t="n">
        <x:v>30.353227</x:v>
      </x:c>
      <x:c r="AG278" s="60" t="n">
        <x:v>-81.60458</x:v>
      </x:c>
      <x:c r="AH278" s="44" t="str">
        <x:v>Undergraduate tuition-contribution proxy only; not an audited total institutional budget.</x:v>
      </x:c>
    </x:row>
    <x:row r="279">
      <x:c r="A279" s="16" t="n">
        <x:v>414823</x:v>
      </x:c>
      <x:c r="B279" s="16" t="str">
        <x:v>Johnson &amp; Wales University-North Miami</x:v>
      </x:c>
      <x:c r="C279" s="16" t="str">
        <x:v>FL</x:v>
      </x:c>
      <x:c r="D279" s="16" t="str">
        <x:v>Private nonprofit</x:v>
      </x:c>
      <x:c r="E279" s="34" t="n">
        <x:v>1743</x:v>
      </x:c>
      <x:c r="F279" s="21"/>
      <x:c r="G279" s="16" t="str">
        <x:v>Regional</x:v>
      </x:c>
      <x:c r="H279" s="36" t="n">
        <x:f>IF(G279="National",Assumptions!$B$11,IF(G279="Statewide",Assumptions!$B$12,Assumptions!$B$13))</x:f>
        <x:v>0.85</x:v>
      </x:c>
      <x:c r="I279" s="21" t="n">
        <x:v>-0.01895702822183576</x:v>
      </x:c>
      <x:c r="J279" s="21" t="n">
        <x:v>0.0550021999203838</x:v>
      </x:c>
      <x:c r="K279" s="21" t="n">
        <x:v>0.03672400427413103</x:v>
      </x:c>
      <x:c r="L279" s="36" t="n">
        <x:f>IF(Assumptions!$B$4=2030,I279,IF(Assumptions!$B$4=2035,J279,K279))</x:f>
        <x:v>0.0550021999203838</x:v>
      </x:c>
      <x:c r="M279" s="36" t="n">
        <x:f>Assumptions!$B$19</x:f>
        <x:v>-0.04739891965741583</x:v>
      </x:c>
      <x:c r="N279" s="52" t="n">
        <x:f>H279*L279+(1-H279)*M279+O279</x:f>
        <x:v>0.03964203198371385</x:v>
      </x:c>
      <x:c r="O279" s="36" t="n">
        <x:f>Assumptions!$B$10</x:f>
        <x:v>0</x:v>
      </x:c>
      <x:c r="P279" s="54" t="n">
        <x:f>E279*(1+N279)</x:f>
        <x:v>1812.0960617476132</x:v>
      </x:c>
      <x:c r="Q279" s="54" t="n">
        <x:f>P279-E279</x:f>
        <x:v>69.09606174761325</x:v>
      </x:c>
      <x:c r="R279" s="16" t="str">
        <x:v>No</x:v>
      </x:c>
      <x:c r="S279" s="56"/>
      <x:c r="T279" s="56"/>
      <x:c r="U279" s="40" t="n">
        <x:f>E279*Assumptions!$B$8</x:f>
        <x:v>1481.55</x:v>
      </x:c>
      <x:c r="V279" s="40" t="n">
        <x:f>P279*Assumptions!$B$8</x:f>
        <x:v>1540.281652485471</x:v>
      </x:c>
      <x:c r="W279" s="54" t="n">
        <x:f>V279-U279</x:f>
        <x:v>58.73165248547116</x:v>
      </x:c>
      <x:c r="X279" s="58" t="str">
        <x:f>IF(R279="No","",W279*S279)</x:f>
      </x:c>
      <x:c r="Y279" s="58" t="str">
        <x:f>IF(R279="No","",W279*T279*Assumptions!$B$9)</x:f>
      </x:c>
      <x:c r="Z279" s="58" t="str">
        <x:f>IF(R279="No","",X279-Y279)</x:f>
      </x:c>
      <x:c r="AA279" s="58" t="str">
        <x:f>IF(R279="No","",MAX(0,-Z279))</x:f>
      </x:c>
      <x:c r="AB279" s="52" t="str">
        <x:f>IF(OR(R279="No",U279*S279=0),"",AA279/(U279*S279))</x:f>
      </x:c>
      <x:c r="AC279" s="54" t="str">
        <x:f>IF(OR(R279="No",S279-T279*Assumptions!$B$9&lt;=0),"",AA279/(Assumptions!$B$8*(S279-T279*Assumptions!$B$9)))</x:f>
      </x:c>
      <x:c r="AD279" s="52" t="str">
        <x:f>IF(OR(R279="No",U279*S279=0),"",AA279/(U279*S279))</x:f>
      </x:c>
      <x:c r="AE279" s="50" t="str">
        <x:f>IF(R279="No","No finance data",IF(AB279&gt;=10%,"Severe",IF(AB279&gt;=5%,"High",IF(AB279&gt;=2%,"Moderate","Low"))))</x:f>
        <x:v>No finance data</x:v>
      </x:c>
      <x:c r="AF279" s="60"/>
      <x:c r="AG279" s="60"/>
      <x:c r="AH279" s="44" t="str">
        <x:v>Undergraduate tuition-contribution proxy only; not an audited total institutional budget.</x:v>
      </x:c>
    </x:row>
    <x:row r="280">
      <x:c r="A280" s="16" t="n">
        <x:v>132879</x:v>
      </x:c>
      <x:c r="B280" s="16" t="str">
        <x:v>Johnson University Florida</x:v>
      </x:c>
      <x:c r="C280" s="16" t="str">
        <x:v>FL</x:v>
      </x:c>
      <x:c r="D280" s="16" t="str">
        <x:v>Private nonprofit</x:v>
      </x:c>
      <x:c r="E280" s="34" t="n">
        <x:v>201</x:v>
      </x:c>
      <x:c r="F280" s="21"/>
      <x:c r="G280" s="16" t="str">
        <x:v>Regional</x:v>
      </x:c>
      <x:c r="H280" s="36" t="n">
        <x:f>IF(G280="National",Assumptions!$B$11,IF(G280="Statewide",Assumptions!$B$12,Assumptions!$B$13))</x:f>
        <x:v>0.85</x:v>
      </x:c>
      <x:c r="I280" s="21" t="n">
        <x:v>-0.01895702822183576</x:v>
      </x:c>
      <x:c r="J280" s="21" t="n">
        <x:v>0.0550021999203838</x:v>
      </x:c>
      <x:c r="K280" s="21" t="n">
        <x:v>0.03672400427413103</x:v>
      </x:c>
      <x:c r="L280" s="36" t="n">
        <x:f>IF(Assumptions!$B$4=2030,I280,IF(Assumptions!$B$4=2035,J280,K280))</x:f>
        <x:v>0.0550021999203838</x:v>
      </x:c>
      <x:c r="M280" s="36" t="n">
        <x:f>Assumptions!$B$19</x:f>
        <x:v>-0.04739891965741583</x:v>
      </x:c>
      <x:c r="N280" s="52" t="n">
        <x:f>H280*L280+(1-H280)*M280+O280</x:f>
        <x:v>0.03964203198371385</x:v>
      </x:c>
      <x:c r="O280" s="36" t="n">
        <x:f>Assumptions!$B$10</x:f>
        <x:v>0</x:v>
      </x:c>
      <x:c r="P280" s="54" t="n">
        <x:f>E280*(1+N280)</x:f>
        <x:v>208.9680484287265</x:v>
      </x:c>
      <x:c r="Q280" s="54" t="n">
        <x:f>P280-E280</x:f>
        <x:v>7.96804842872649</x:v>
      </x:c>
      <x:c r="R280" s="16" t="str">
        <x:v>No</x:v>
      </x:c>
      <x:c r="S280" s="56"/>
      <x:c r="T280" s="56"/>
      <x:c r="U280" s="40" t="n">
        <x:f>E280*Assumptions!$B$8</x:f>
        <x:v>170.85</x:v>
      </x:c>
      <x:c r="V280" s="40" t="n">
        <x:f>P280*Assumptions!$B$8</x:f>
        <x:v>177.6228411644175</x:v>
      </x:c>
      <x:c r="W280" s="54" t="n">
        <x:f>V280-U280</x:f>
        <x:v>6.772841164417514</x:v>
      </x:c>
      <x:c r="X280" s="58" t="str">
        <x:f>IF(R280="No","",W280*S280)</x:f>
      </x:c>
      <x:c r="Y280" s="58" t="str">
        <x:f>IF(R280="No","",W280*T280*Assumptions!$B$9)</x:f>
      </x:c>
      <x:c r="Z280" s="58" t="str">
        <x:f>IF(R280="No","",X280-Y280)</x:f>
      </x:c>
      <x:c r="AA280" s="58" t="str">
        <x:f>IF(R280="No","",MAX(0,-Z280))</x:f>
      </x:c>
      <x:c r="AB280" s="52" t="str">
        <x:f>IF(OR(R280="No",U280*S280=0),"",AA280/(U280*S280))</x:f>
      </x:c>
      <x:c r="AC280" s="54" t="str">
        <x:f>IF(OR(R280="No",S280-T280*Assumptions!$B$9&lt;=0),"",AA280/(Assumptions!$B$8*(S280-T280*Assumptions!$B$9)))</x:f>
      </x:c>
      <x:c r="AD280" s="52" t="str">
        <x:f>IF(OR(R280="No",U280*S280=0),"",AA280/(U280*S280))</x:f>
      </x:c>
      <x:c r="AE280" s="50" t="str">
        <x:f>IF(R280="No","No finance data",IF(AB280&gt;=10%,"Severe",IF(AB280&gt;=5%,"High",IF(AB280&gt;=2%,"Moderate","Low"))))</x:f>
        <x:v>No finance data</x:v>
      </x:c>
      <x:c r="AF280" s="60"/>
      <x:c r="AG280" s="60"/>
      <x:c r="AH280" s="44" t="str">
        <x:v>Undergraduate tuition-contribution proxy only; not an audited total institutional budget.</x:v>
      </x:c>
    </x:row>
    <x:row r="281">
      <x:c r="A281" s="16" t="n">
        <x:v>132657</x:v>
      </x:c>
      <x:c r="B281" s="16" t="str">
        <x:v>Lynn University</x:v>
      </x:c>
      <x:c r="C281" s="16" t="str">
        <x:v>FL</x:v>
      </x:c>
      <x:c r="D281" s="16" t="str">
        <x:v>Private nonprofit</x:v>
      </x:c>
      <x:c r="E281" s="34" t="n">
        <x:v>1957</x:v>
      </x:c>
      <x:c r="F281" s="21" t="n">
        <x:v>0.8301</x:v>
      </x:c>
      <x:c r="G281" s="16" t="str">
        <x:v>Regional</x:v>
      </x:c>
      <x:c r="H281" s="36" t="n">
        <x:f>IF(G281="National",Assumptions!$B$11,IF(G281="Statewide",Assumptions!$B$12,Assumptions!$B$13))</x:f>
        <x:v>0.85</x:v>
      </x:c>
      <x:c r="I281" s="21" t="n">
        <x:v>-0.01895702822183576</x:v>
      </x:c>
      <x:c r="J281" s="21" t="n">
        <x:v>0.0550021999203838</x:v>
      </x:c>
      <x:c r="K281" s="21" t="n">
        <x:v>0.03672400427413103</x:v>
      </x:c>
      <x:c r="L281" s="36" t="n">
        <x:f>IF(Assumptions!$B$4=2030,I281,IF(Assumptions!$B$4=2035,J281,K281))</x:f>
        <x:v>0.0550021999203838</x:v>
      </x:c>
      <x:c r="M281" s="36" t="n">
        <x:f>Assumptions!$B$19</x:f>
        <x:v>-0.04739891965741583</x:v>
      </x:c>
      <x:c r="N281" s="52" t="n">
        <x:f>H281*L281+(1-H281)*M281+O281</x:f>
        <x:v>0.03964203198371385</x:v>
      </x:c>
      <x:c r="O281" s="36" t="n">
        <x:f>Assumptions!$B$10</x:f>
        <x:v>0</x:v>
      </x:c>
      <x:c r="P281" s="54" t="n">
        <x:f>E281*(1+N281)</x:f>
        <x:v>2034.579456592128</x:v>
      </x:c>
      <x:c r="Q281" s="54" t="n">
        <x:f>P281-E281</x:f>
        <x:v>77.57945659212805</x:v>
      </x:c>
      <x:c r="R281" s="16" t="str">
        <x:v>Yes</x:v>
      </x:c>
      <x:c r="S281" s="56" t="n">
        <x:v>20446</x:v>
      </x:c>
      <x:c r="T281" s="56" t="n">
        <x:v>6479</x:v>
      </x:c>
      <x:c r="U281" s="40" t="n">
        <x:f>E281*Assumptions!$B$8</x:f>
        <x:v>1663.45</x:v>
      </x:c>
      <x:c r="V281" s="40" t="n">
        <x:f>P281*Assumptions!$B$8</x:f>
        <x:v>1729.3925381033089</x:v>
      </x:c>
      <x:c r="W281" s="54" t="n">
        <x:f>V281-U281</x:f>
        <x:v>65.94253810330883</x:v>
      </x:c>
      <x:c r="X281" s="58" t="n">
        <x:f>IF(R281="No","",W281*S281)</x:f>
        <x:v>1348261.1340602525</x:v>
      </x:c>
      <x:c r="Y281" s="58" t="n">
        <x:f>IF(R281="No","",W281*T281*Assumptions!$B$9)</x:f>
        <x:v>128172.51131140138</x:v>
      </x:c>
      <x:c r="Z281" s="58" t="n">
        <x:f>IF(R281="No","",X281-Y281)</x:f>
        <x:v>1220088.622748851</x:v>
      </x:c>
      <x:c r="AA281" s="58" t="n">
        <x:f>IF(R281="No","",MAX(0,-Z281))</x:f>
        <x:v>0</x:v>
      </x:c>
      <x:c r="AB281" s="52" t="n">
        <x:f>IF(OR(R281="No",U281*S281=0),"",AA281/(U281*S281))</x:f>
        <x:v>0</x:v>
      </x:c>
      <x:c r="AC281" s="54" t="n">
        <x:f>IF(OR(R281="No",S281-T281*Assumptions!$B$9&lt;=0),"",AA281/(Assumptions!$B$8*(S281-T281*Assumptions!$B$9)))</x:f>
        <x:v>0</x:v>
      </x:c>
      <x:c r="AD281" s="52" t="n">
        <x:f>IF(OR(R281="No",U281*S281=0),"",AA281/(U281*S281))</x:f>
        <x:v>0</x:v>
      </x:c>
      <x:c r="AE281" s="50" t="str">
        <x:f>IF(R281="No","No finance data",IF(AB281&gt;=10%,"Severe",IF(AB281&gt;=5%,"High",IF(AB281&gt;=2%,"Moderate","Low"))))</x:f>
        <x:v>Low</x:v>
      </x:c>
      <x:c r="AF281" s="60" t="n">
        <x:v>26.385985</x:v>
      </x:c>
      <x:c r="AG281" s="60" t="n">
        <x:v>-80.122806</x:v>
      </x:c>
      <x:c r="AH281" s="44" t="str">
        <x:v>Undergraduate tuition-contribution proxy only; not an audited total institutional budget.</x:v>
      </x:c>
    </x:row>
    <x:row r="282">
      <x:c r="A282" s="16" t="n">
        <x:v>262129</x:v>
      </x:c>
      <x:c r="B282" s="16" t="str">
        <x:v>New College of Florida</x:v>
      </x:c>
      <x:c r="C282" s="16" t="str">
        <x:v>FL</x:v>
      </x:c>
      <x:c r="D282" s="16" t="str">
        <x:v>Public</x:v>
      </x:c>
      <x:c r="E282" s="34" t="n">
        <x:v>852</x:v>
      </x:c>
      <x:c r="F282" s="21" t="n">
        <x:v>0.7418</x:v>
      </x:c>
      <x:c r="G282" s="16" t="str">
        <x:v>Regional</x:v>
      </x:c>
      <x:c r="H282" s="36" t="n">
        <x:f>IF(G282="National",Assumptions!$B$11,IF(G282="Statewide",Assumptions!$B$12,Assumptions!$B$13))</x:f>
        <x:v>0.85</x:v>
      </x:c>
      <x:c r="I282" s="21" t="n">
        <x:v>-0.01895702822183576</x:v>
      </x:c>
      <x:c r="J282" s="21" t="n">
        <x:v>0.0550021999203838</x:v>
      </x:c>
      <x:c r="K282" s="21" t="n">
        <x:v>0.03672400427413103</x:v>
      </x:c>
      <x:c r="L282" s="36" t="n">
        <x:f>IF(Assumptions!$B$4=2030,I282,IF(Assumptions!$B$4=2035,J282,K282))</x:f>
        <x:v>0.0550021999203838</x:v>
      </x:c>
      <x:c r="M282" s="36" t="n">
        <x:f>Assumptions!$B$19</x:f>
        <x:v>-0.04739891965741583</x:v>
      </x:c>
      <x:c r="N282" s="52" t="n">
        <x:f>H282*L282+(1-H282)*M282+O282</x:f>
        <x:v>0.03964203198371385</x:v>
      </x:c>
      <x:c r="O282" s="36" t="n">
        <x:f>Assumptions!$B$10</x:f>
        <x:v>0</x:v>
      </x:c>
      <x:c r="P282" s="54" t="n">
        <x:f>E282*(1+N282)</x:f>
        <x:v>885.7750112501242</x:v>
      </x:c>
      <x:c r="Q282" s="54" t="n">
        <x:f>P282-E282</x:f>
        <x:v>33.77501125012418</x:v>
      </x:c>
      <x:c r="R282" s="16" t="str">
        <x:v>Yes</x:v>
      </x:c>
      <x:c r="S282" s="56" t="n">
        <x:v>857</x:v>
      </x:c>
      <x:c r="T282" s="56" t="n">
        <x:v>27426</x:v>
      </x:c>
      <x:c r="U282" s="40" t="n">
        <x:f>E282*Assumptions!$B$8</x:f>
        <x:v>724.1999999999999</x:v>
      </x:c>
      <x:c r="V282" s="40" t="n">
        <x:f>P282*Assumptions!$B$8</x:f>
        <x:v>752.9087595626055</x:v>
      </x:c>
      <x:c r="W282" s="54" t="n">
        <x:f>V282-U282</x:f>
        <x:v>28.708759562605564</x:v>
      </x:c>
      <x:c r="X282" s="58" t="n">
        <x:f>IF(R282="No","",W282*S282)</x:f>
        <x:v>24603.40694515297</x:v>
      </x:c>
      <x:c r="Y282" s="58" t="n">
        <x:f>IF(R282="No","",W282*T282*Assumptions!$B$9)</x:f>
        <x:v>236209.93192920607</x:v>
      </x:c>
      <x:c r="Z282" s="58" t="n">
        <x:f>IF(R282="No","",X282-Y282)</x:f>
        <x:v>-211606.5249840531</x:v>
      </x:c>
      <x:c r="AA282" s="58" t="n">
        <x:f>IF(R282="No","",MAX(0,-Z282))</x:f>
        <x:v>211606.5249840531</x:v>
      </x:c>
      <x:c r="AB282" s="52" t="n">
        <x:f>IF(OR(R282="No",U282*S282=0),"",AA282/(U282*S282))</x:f>
        <x:v>0.3409492291080024</x:v>
      </x:c>
      <x:c r="AC282" s="54" t="str">
        <x:f>IF(OR(R282="No",S282-T282*Assumptions!$B$9&lt;=0),"",AA282/(Assumptions!$B$8*(S282-T282*Assumptions!$B$9)))</x:f>
      </x:c>
      <x:c r="AD282" s="52" t="n">
        <x:f>IF(OR(R282="No",U282*S282=0),"",AA282/(U282*S282))</x:f>
        <x:v>0.3409492291080024</x:v>
      </x:c>
      <x:c r="AE282" s="50" t="str">
        <x:f>IF(R282="No","No finance data",IF(AB282&gt;=10%,"Severe",IF(AB282&gt;=5%,"High",IF(AB282&gt;=2%,"Moderate","Low"))))</x:f>
        <x:v>Severe</x:v>
      </x:c>
      <x:c r="AF282" s="60" t="n">
        <x:v>27.384925</x:v>
      </x:c>
      <x:c r="AG282" s="60" t="n">
        <x:v>-82.55858</x:v>
      </x:c>
      <x:c r="AH282" s="44" t="str">
        <x:v>Undergraduate tuition-contribution proxy only; not an audited total institutional budget.</x:v>
      </x:c>
    </x:row>
    <x:row r="283">
      <x:c r="A283" s="16" t="n">
        <x:v>136215</x:v>
      </x:c>
      <x:c r="B283" s="16" t="str">
        <x:v>Nova Southeastern University</x:v>
      </x:c>
      <x:c r="C283" s="16" t="str">
        <x:v>FL</x:v>
      </x:c>
      <x:c r="D283" s="16" t="str">
        <x:v>Private nonprofit</x:v>
      </x:c>
      <x:c r="E283" s="34" t="n">
        <x:v>4565</x:v>
      </x:c>
      <x:c r="F283" s="21" t="n">
        <x:v>0.925</x:v>
      </x:c>
      <x:c r="G283" s="16" t="str">
        <x:v>Regional</x:v>
      </x:c>
      <x:c r="H283" s="36" t="n">
        <x:f>IF(G283="National",Assumptions!$B$11,IF(G283="Statewide",Assumptions!$B$12,Assumptions!$B$13))</x:f>
        <x:v>0.85</x:v>
      </x:c>
      <x:c r="I283" s="21" t="n">
        <x:v>-0.01895702822183576</x:v>
      </x:c>
      <x:c r="J283" s="21" t="n">
        <x:v>0.0550021999203838</x:v>
      </x:c>
      <x:c r="K283" s="21" t="n">
        <x:v>0.03672400427413103</x:v>
      </x:c>
      <x:c r="L283" s="36" t="n">
        <x:f>IF(Assumptions!$B$4=2030,I283,IF(Assumptions!$B$4=2035,J283,K283))</x:f>
        <x:v>0.0550021999203838</x:v>
      </x:c>
      <x:c r="M283" s="36" t="n">
        <x:f>Assumptions!$B$19</x:f>
        <x:v>-0.04739891965741583</x:v>
      </x:c>
      <x:c r="N283" s="52" t="n">
        <x:f>H283*L283+(1-H283)*M283+O283</x:f>
        <x:v>0.03964203198371385</x:v>
      </x:c>
      <x:c r="O283" s="36" t="n">
        <x:f>Assumptions!$B$10</x:f>
        <x:v>0</x:v>
      </x:c>
      <x:c r="P283" s="54" t="n">
        <x:f>E283*(1+N283)</x:f>
        <x:v>4745.965876005654</x:v>
      </x:c>
      <x:c r="Q283" s="54" t="n">
        <x:f>P283-E283</x:f>
        <x:v>180.96587600565363</x:v>
      </x:c>
      <x:c r="R283" s="16" t="str">
        <x:v>Yes</x:v>
      </x:c>
      <x:c r="S283" s="56" t="n">
        <x:v>29698</x:v>
      </x:c>
      <x:c r="T283" s="56" t="n">
        <x:v>16296</x:v>
      </x:c>
      <x:c r="U283" s="40" t="n">
        <x:f>E283*Assumptions!$B$8</x:f>
        <x:v>3880.25</x:v>
      </x:c>
      <x:c r="V283" s="40" t="n">
        <x:f>P283*Assumptions!$B$8</x:f>
        <x:v>4034.0709946048055</x:v>
      </x:c>
      <x:c r="W283" s="54" t="n">
        <x:f>V283-U283</x:f>
        <x:v>153.8209946048055</x:v>
      </x:c>
      <x:c r="X283" s="58" t="n">
        <x:f>IF(R283="No","",W283*S283)</x:f>
        <x:v>4568175.897773514</x:v>
      </x:c>
      <x:c r="Y283" s="58" t="n">
        <x:f>IF(R283="No","",W283*T283*Assumptions!$B$9)</x:f>
        <x:v>752000.078423973</x:v>
      </x:c>
      <x:c r="Z283" s="58" t="n">
        <x:f>IF(R283="No","",X283-Y283)</x:f>
        <x:v>3816175.8193495404</x:v>
      </x:c>
      <x:c r="AA283" s="58" t="n">
        <x:f>IF(R283="No","",MAX(0,-Z283))</x:f>
        <x:v>0</x:v>
      </x:c>
      <x:c r="AB283" s="52" t="n">
        <x:f>IF(OR(R283="No",U283*S283=0),"",AA283/(U283*S283))</x:f>
        <x:v>0</x:v>
      </x:c>
      <x:c r="AC283" s="54" t="n">
        <x:f>IF(OR(R283="No",S283-T283*Assumptions!$B$9&lt;=0),"",AA283/(Assumptions!$B$8*(S283-T283*Assumptions!$B$9)))</x:f>
        <x:v>0</x:v>
      </x:c>
      <x:c r="AD283" s="52" t="n">
        <x:f>IF(OR(R283="No",U283*S283=0),"",AA283/(U283*S283))</x:f>
        <x:v>0</x:v>
      </x:c>
      <x:c r="AE283" s="50" t="str">
        <x:f>IF(R283="No","No finance data",IF(AB283&gt;=10%,"Severe",IF(AB283&gt;=5%,"High",IF(AB283&gt;=2%,"Moderate","Low"))))</x:f>
        <x:v>Low</x:v>
      </x:c>
      <x:c r="AF283" s="60" t="n">
        <x:v>26.079337</x:v>
      </x:c>
      <x:c r="AG283" s="60" t="n">
        <x:v>-80.24248</x:v>
      </x:c>
      <x:c r="AH283" s="44" t="str">
        <x:v>Undergraduate tuition-contribution proxy only; not an audited total institutional budget.</x:v>
      </x:c>
    </x:row>
    <x:row r="284">
      <x:c r="A284" s="16" t="n">
        <x:v>136330</x:v>
      </x:c>
      <x:c r="B284" s="16" t="str">
        <x:v>Palm Beach Atlantic University</x:v>
      </x:c>
      <x:c r="C284" s="16" t="str">
        <x:v>FL</x:v>
      </x:c>
      <x:c r="D284" s="16" t="str">
        <x:v>Private nonprofit</x:v>
      </x:c>
      <x:c r="E284" s="34" t="n">
        <x:v>2587</x:v>
      </x:c>
      <x:c r="F284" s="21" t="n">
        <x:v>0.8986</x:v>
      </x:c>
      <x:c r="G284" s="16" t="str">
        <x:v>Regional</x:v>
      </x:c>
      <x:c r="H284" s="36" t="n">
        <x:f>IF(G284="National",Assumptions!$B$11,IF(G284="Statewide",Assumptions!$B$12,Assumptions!$B$13))</x:f>
        <x:v>0.85</x:v>
      </x:c>
      <x:c r="I284" s="21" t="n">
        <x:v>-0.01895702822183576</x:v>
      </x:c>
      <x:c r="J284" s="21" t="n">
        <x:v>0.0550021999203838</x:v>
      </x:c>
      <x:c r="K284" s="21" t="n">
        <x:v>0.03672400427413103</x:v>
      </x:c>
      <x:c r="L284" s="36" t="n">
        <x:f>IF(Assumptions!$B$4=2030,I284,IF(Assumptions!$B$4=2035,J284,K284))</x:f>
        <x:v>0.0550021999203838</x:v>
      </x:c>
      <x:c r="M284" s="36" t="n">
        <x:f>Assumptions!$B$19</x:f>
        <x:v>-0.04739891965741583</x:v>
      </x:c>
      <x:c r="N284" s="52" t="n">
        <x:f>H284*L284+(1-H284)*M284+O284</x:f>
        <x:v>0.03964203198371385</x:v>
      </x:c>
      <x:c r="O284" s="36" t="n">
        <x:f>Assumptions!$B$10</x:f>
        <x:v>0</x:v>
      </x:c>
      <x:c r="P284" s="54" t="n">
        <x:f>E284*(1+N284)</x:f>
        <x:v>2689.553936741868</x:v>
      </x:c>
      <x:c r="Q284" s="54" t="n">
        <x:f>P284-E284</x:f>
        <x:v>102.5539367418678</x:v>
      </x:c>
      <x:c r="R284" s="16" t="str">
        <x:v>Yes</x:v>
      </x:c>
      <x:c r="S284" s="56" t="n">
        <x:v>16719</x:v>
      </x:c>
      <x:c r="T284" s="56" t="n">
        <x:v>9939</x:v>
      </x:c>
      <x:c r="U284" s="40" t="n">
        <x:f>E284*Assumptions!$B$8</x:f>
        <x:v>2198.95</x:v>
      </x:c>
      <x:c r="V284" s="40" t="n">
        <x:f>P284*Assumptions!$B$8</x:f>
        <x:v>2286.1208462305876</x:v>
      </x:c>
      <x:c r="W284" s="54" t="n">
        <x:f>V284-U284</x:f>
        <x:v>87.17084623058781</x:v>
      </x:c>
      <x:c r="X284" s="58" t="n">
        <x:f>IF(R284="No","",W284*S284)</x:f>
        <x:v>1457409.3781291978</x:v>
      </x:c>
      <x:c r="Y284" s="58" t="n">
        <x:f>IF(R284="No","",W284*T284*Assumptions!$B$9)</x:f>
        <x:v>259917.31220574366</x:v>
      </x:c>
      <x:c r="Z284" s="58" t="n">
        <x:f>IF(R284="No","",X284-Y284)</x:f>
        <x:v>1197492.065923454</x:v>
      </x:c>
      <x:c r="AA284" s="58" t="n">
        <x:f>IF(R284="No","",MAX(0,-Z284))</x:f>
        <x:v>0</x:v>
      </x:c>
      <x:c r="AB284" s="52" t="n">
        <x:f>IF(OR(R284="No",U284*S284=0),"",AA284/(U284*S284))</x:f>
        <x:v>0</x:v>
      </x:c>
      <x:c r="AC284" s="54" t="n">
        <x:f>IF(OR(R284="No",S284-T284*Assumptions!$B$9&lt;=0),"",AA284/(Assumptions!$B$8*(S284-T284*Assumptions!$B$9)))</x:f>
        <x:v>0</x:v>
      </x:c>
      <x:c r="AD284" s="52" t="n">
        <x:f>IF(OR(R284="No",U284*S284=0),"",AA284/(U284*S284))</x:f>
        <x:v>0</x:v>
      </x:c>
      <x:c r="AE284" s="50" t="str">
        <x:f>IF(R284="No","No finance data",IF(AB284&gt;=10%,"Severe",IF(AB284&gt;=5%,"High",IF(AB284&gt;=2%,"Moderate","Low"))))</x:f>
        <x:v>Low</x:v>
      </x:c>
      <x:c r="AF284" s="60" t="n">
        <x:v>26.7044</x:v>
      </x:c>
      <x:c r="AG284" s="60" t="n">
        <x:v>-80.05247</x:v>
      </x:c>
      <x:c r="AH284" s="44" t="str">
        <x:v>Undergraduate tuition-contribution proxy only; not an audited total institutional budget.</x:v>
      </x:c>
    </x:row>
    <x:row r="285">
      <x:c r="A285" s="16" t="n">
        <x:v>456481</x:v>
      </x:c>
      <x:c r="B285" s="16" t="str">
        <x:v>Polytechnic University of Puerto Rico-Miami</x:v>
      </x:c>
      <x:c r="C285" s="16" t="str">
        <x:v>FL</x:v>
      </x:c>
      <x:c r="D285" s="16" t="str">
        <x:v>Private nonprofit</x:v>
      </x:c>
      <x:c r="E285" s="34" t="n">
        <x:v>52</x:v>
      </x:c>
      <x:c r="F285" s="21"/>
      <x:c r="G285" s="16" t="str">
        <x:v>Regional</x:v>
      </x:c>
      <x:c r="H285" s="36" t="n">
        <x:f>IF(G285="National",Assumptions!$B$11,IF(G285="Statewide",Assumptions!$B$12,Assumptions!$B$13))</x:f>
        <x:v>0.85</x:v>
      </x:c>
      <x:c r="I285" s="21" t="n">
        <x:v>-0.01895702822183576</x:v>
      </x:c>
      <x:c r="J285" s="21" t="n">
        <x:v>0.0550021999203838</x:v>
      </x:c>
      <x:c r="K285" s="21" t="n">
        <x:v>0.03672400427413103</x:v>
      </x:c>
      <x:c r="L285" s="36" t="n">
        <x:f>IF(Assumptions!$B$4=2030,I285,IF(Assumptions!$B$4=2035,J285,K285))</x:f>
        <x:v>0.0550021999203838</x:v>
      </x:c>
      <x:c r="M285" s="36" t="n">
        <x:f>Assumptions!$B$19</x:f>
        <x:v>-0.04739891965741583</x:v>
      </x:c>
      <x:c r="N285" s="52" t="n">
        <x:f>H285*L285+(1-H285)*M285+O285</x:f>
        <x:v>0.03964203198371385</x:v>
      </x:c>
      <x:c r="O285" s="36" t="n">
        <x:f>Assumptions!$B$10</x:f>
        <x:v>0</x:v>
      </x:c>
      <x:c r="P285" s="54" t="n">
        <x:f>E285*(1+N285)</x:f>
        <x:v>54.06138566315312</x:v>
      </x:c>
      <x:c r="Q285" s="54" t="n">
        <x:f>P285-E285</x:f>
        <x:v>2.0613856631531178</x:v>
      </x:c>
      <x:c r="R285" s="16" t="str">
        <x:v>No</x:v>
      </x:c>
      <x:c r="S285" s="56"/>
      <x:c r="T285" s="56"/>
      <x:c r="U285" s="40" t="n">
        <x:f>E285*Assumptions!$B$8</x:f>
        <x:v>44.199999999999996</x:v>
      </x:c>
      <x:c r="V285" s="40" t="n">
        <x:f>P285*Assumptions!$B$8</x:f>
        <x:v>45.95217781368015</x:v>
      </x:c>
      <x:c r="W285" s="54" t="n">
        <x:f>V285-U285</x:f>
        <x:v>1.7521778136801558</x:v>
      </x:c>
      <x:c r="X285" s="58" t="str">
        <x:f>IF(R285="No","",W285*S285)</x:f>
      </x:c>
      <x:c r="Y285" s="58" t="str">
        <x:f>IF(R285="No","",W285*T285*Assumptions!$B$9)</x:f>
      </x:c>
      <x:c r="Z285" s="58" t="str">
        <x:f>IF(R285="No","",X285-Y285)</x:f>
      </x:c>
      <x:c r="AA285" s="58" t="str">
        <x:f>IF(R285="No","",MAX(0,-Z285))</x:f>
      </x:c>
      <x:c r="AB285" s="52" t="str">
        <x:f>IF(OR(R285="No",U285*S285=0),"",AA285/(U285*S285))</x:f>
      </x:c>
      <x:c r="AC285" s="54" t="str">
        <x:f>IF(OR(R285="No",S285-T285*Assumptions!$B$9&lt;=0),"",AA285/(Assumptions!$B$8*(S285-T285*Assumptions!$B$9)))</x:f>
      </x:c>
      <x:c r="AD285" s="52" t="str">
        <x:f>IF(OR(R285="No",U285*S285=0),"",AA285/(U285*S285))</x:f>
      </x:c>
      <x:c r="AE285" s="50" t="str">
        <x:f>IF(R285="No","No finance data",IF(AB285&gt;=10%,"Severe",IF(AB285&gt;=5%,"High",IF(AB285&gt;=2%,"Moderate","Low"))))</x:f>
        <x:v>No finance data</x:v>
      </x:c>
      <x:c r="AF285" s="60"/>
      <x:c r="AG285" s="60"/>
      <x:c r="AH285" s="44" t="str">
        <x:v>Undergraduate tuition-contribution proxy only; not an audited total institutional budget.</x:v>
      </x:c>
    </x:row>
    <x:row r="286">
      <x:c r="A286" s="16" t="n">
        <x:v>456490</x:v>
      </x:c>
      <x:c r="B286" s="16" t="str">
        <x:v>Polytechnic University of Puerto Rico-Orlando</x:v>
      </x:c>
      <x:c r="C286" s="16" t="str">
        <x:v>FL</x:v>
      </x:c>
      <x:c r="D286" s="16" t="str">
        <x:v>Private nonprofit</x:v>
      </x:c>
      <x:c r="E286" s="34" t="n">
        <x:v>98</x:v>
      </x:c>
      <x:c r="F286" s="21"/>
      <x:c r="G286" s="16" t="str">
        <x:v>Regional</x:v>
      </x:c>
      <x:c r="H286" s="36" t="n">
        <x:f>IF(G286="National",Assumptions!$B$11,IF(G286="Statewide",Assumptions!$B$12,Assumptions!$B$13))</x:f>
        <x:v>0.85</x:v>
      </x:c>
      <x:c r="I286" s="21" t="n">
        <x:v>-0.01895702822183576</x:v>
      </x:c>
      <x:c r="J286" s="21" t="n">
        <x:v>0.0550021999203838</x:v>
      </x:c>
      <x:c r="K286" s="21" t="n">
        <x:v>0.03672400427413103</x:v>
      </x:c>
      <x:c r="L286" s="36" t="n">
        <x:f>IF(Assumptions!$B$4=2030,I286,IF(Assumptions!$B$4=2035,J286,K286))</x:f>
        <x:v>0.0550021999203838</x:v>
      </x:c>
      <x:c r="M286" s="36" t="n">
        <x:f>Assumptions!$B$19</x:f>
        <x:v>-0.04739891965741583</x:v>
      </x:c>
      <x:c r="N286" s="52" t="n">
        <x:f>H286*L286+(1-H286)*M286+O286</x:f>
        <x:v>0.03964203198371385</x:v>
      </x:c>
      <x:c r="O286" s="36" t="n">
        <x:f>Assumptions!$B$10</x:f>
        <x:v>0</x:v>
      </x:c>
      <x:c r="P286" s="54" t="n">
        <x:f>E286*(1+N286)</x:f>
        <x:v>101.88491913440396</x:v>
      </x:c>
      <x:c r="Q286" s="54" t="n">
        <x:f>P286-E286</x:f>
        <x:v>3.884919134403958</x:v>
      </x:c>
      <x:c r="R286" s="16" t="str">
        <x:v>No</x:v>
      </x:c>
      <x:c r="S286" s="56"/>
      <x:c r="T286" s="56"/>
      <x:c r="U286" s="40" t="n">
        <x:f>E286*Assumptions!$B$8</x:f>
        <x:v>83.3</x:v>
      </x:c>
      <x:c r="V286" s="40" t="n">
        <x:f>P286*Assumptions!$B$8</x:f>
        <x:v>86.60218126424336</x:v>
      </x:c>
      <x:c r="W286" s="54" t="n">
        <x:f>V286-U286</x:f>
        <x:v>3.302181264243359</x:v>
      </x:c>
      <x:c r="X286" s="58" t="str">
        <x:f>IF(R286="No","",W286*S286)</x:f>
      </x:c>
      <x:c r="Y286" s="58" t="str">
        <x:f>IF(R286="No","",W286*T286*Assumptions!$B$9)</x:f>
      </x:c>
      <x:c r="Z286" s="58" t="str">
        <x:f>IF(R286="No","",X286-Y286)</x:f>
      </x:c>
      <x:c r="AA286" s="58" t="str">
        <x:f>IF(R286="No","",MAX(0,-Z286))</x:f>
      </x:c>
      <x:c r="AB286" s="52" t="str">
        <x:f>IF(OR(R286="No",U286*S286=0),"",AA286/(U286*S286))</x:f>
      </x:c>
      <x:c r="AC286" s="54" t="str">
        <x:f>IF(OR(R286="No",S286-T286*Assumptions!$B$9&lt;=0),"",AA286/(Assumptions!$B$8*(S286-T286*Assumptions!$B$9)))</x:f>
      </x:c>
      <x:c r="AD286" s="52" t="str">
        <x:f>IF(OR(R286="No",U286*S286=0),"",AA286/(U286*S286))</x:f>
      </x:c>
      <x:c r="AE286" s="50" t="str">
        <x:f>IF(R286="No","No finance data",IF(AB286&gt;=10%,"Severe",IF(AB286&gt;=5%,"High",IF(AB286&gt;=2%,"Moderate","Low"))))</x:f>
        <x:v>No finance data</x:v>
      </x:c>
      <x:c r="AF286" s="60"/>
      <x:c r="AG286" s="60"/>
      <x:c r="AH286" s="44" t="str">
        <x:v>Undergraduate tuition-contribution proxy only; not an audited total institutional budget.</x:v>
      </x:c>
    </x:row>
    <x:row r="287">
      <x:c r="A287" s="16" t="n">
        <x:v>457183</x:v>
      </x:c>
      <x:c r="B287" s="16" t="str">
        <x:v>Remington College of Nursing Orlando</x:v>
      </x:c>
      <x:c r="C287" s="16" t="str">
        <x:v>FL</x:v>
      </x:c>
      <x:c r="D287" s="16" t="str">
        <x:v>Private nonprofit</x:v>
      </x:c>
      <x:c r="E287" s="34" t="n">
        <x:v>111</x:v>
      </x:c>
      <x:c r="F287" s="21"/>
      <x:c r="G287" s="16" t="str">
        <x:v>Regional</x:v>
      </x:c>
      <x:c r="H287" s="36" t="n">
        <x:f>IF(G287="National",Assumptions!$B$11,IF(G287="Statewide",Assumptions!$B$12,Assumptions!$B$13))</x:f>
        <x:v>0.85</x:v>
      </x:c>
      <x:c r="I287" s="21" t="n">
        <x:v>-0.01895702822183576</x:v>
      </x:c>
      <x:c r="J287" s="21" t="n">
        <x:v>0.0550021999203838</x:v>
      </x:c>
      <x:c r="K287" s="21" t="n">
        <x:v>0.03672400427413103</x:v>
      </x:c>
      <x:c r="L287" s="36" t="n">
        <x:f>IF(Assumptions!$B$4=2030,I287,IF(Assumptions!$B$4=2035,J287,K287))</x:f>
        <x:v>0.0550021999203838</x:v>
      </x:c>
      <x:c r="M287" s="36" t="n">
        <x:f>Assumptions!$B$19</x:f>
        <x:v>-0.04739891965741583</x:v>
      </x:c>
      <x:c r="N287" s="52" t="n">
        <x:f>H287*L287+(1-H287)*M287+O287</x:f>
        <x:v>0.03964203198371385</x:v>
      </x:c>
      <x:c r="O287" s="36" t="n">
        <x:f>Assumptions!$B$10</x:f>
        <x:v>0</x:v>
      </x:c>
      <x:c r="P287" s="54" t="n">
        <x:f>E287*(1+N287)</x:f>
        <x:v>115.40026555019224</x:v>
      </x:c>
      <x:c r="Q287" s="54" t="n">
        <x:f>P287-E287</x:f>
        <x:v>4.400265550192245</x:v>
      </x:c>
      <x:c r="R287" s="16" t="str">
        <x:v>No</x:v>
      </x:c>
      <x:c r="S287" s="56"/>
      <x:c r="T287" s="56"/>
      <x:c r="U287" s="40" t="n">
        <x:f>E287*Assumptions!$B$8</x:f>
        <x:v>94.35</x:v>
      </x:c>
      <x:c r="V287" s="40" t="n">
        <x:f>P287*Assumptions!$B$8</x:f>
        <x:v>98.0902257176634</x:v>
      </x:c>
      <x:c r="W287" s="54" t="n">
        <x:f>V287-U287</x:f>
        <x:v>3.7402257176634066</x:v>
      </x:c>
      <x:c r="X287" s="58" t="str">
        <x:f>IF(R287="No","",W287*S287)</x:f>
      </x:c>
      <x:c r="Y287" s="58" t="str">
        <x:f>IF(R287="No","",W287*T287*Assumptions!$B$9)</x:f>
      </x:c>
      <x:c r="Z287" s="58" t="str">
        <x:f>IF(R287="No","",X287-Y287)</x:f>
      </x:c>
      <x:c r="AA287" s="58" t="str">
        <x:f>IF(R287="No","",MAX(0,-Z287))</x:f>
      </x:c>
      <x:c r="AB287" s="52" t="str">
        <x:f>IF(OR(R287="No",U287*S287=0),"",AA287/(U287*S287))</x:f>
      </x:c>
      <x:c r="AC287" s="54" t="str">
        <x:f>IF(OR(R287="No",S287-T287*Assumptions!$B$9&lt;=0),"",AA287/(Assumptions!$B$8*(S287-T287*Assumptions!$B$9)))</x:f>
      </x:c>
      <x:c r="AD287" s="52" t="str">
        <x:f>IF(OR(R287="No",U287*S287=0),"",AA287/(U287*S287))</x:f>
      </x:c>
      <x:c r="AE287" s="50" t="str">
        <x:f>IF(R287="No","No finance data",IF(AB287&gt;=10%,"Severe",IF(AB287&gt;=5%,"High",IF(AB287&gt;=2%,"Moderate","Low"))))</x:f>
        <x:v>No finance data</x:v>
      </x:c>
      <x:c r="AF287" s="60"/>
      <x:c r="AG287" s="60"/>
      <x:c r="AH287" s="44" t="str">
        <x:v>Undergraduate tuition-contribution proxy only; not an audited total institutional budget.</x:v>
      </x:c>
    </x:row>
    <x:row r="288">
      <x:c r="A288" s="16" t="n">
        <x:v>460783</x:v>
      </x:c>
      <x:c r="B288" s="16" t="str">
        <x:v>Remington College-Heathrow Campus</x:v>
      </x:c>
      <x:c r="C288" s="16" t="str">
        <x:v>FL</x:v>
      </x:c>
      <x:c r="D288" s="16" t="str">
        <x:v>Private nonprofit</x:v>
      </x:c>
      <x:c r="E288" s="34" t="n">
        <x:v>252</x:v>
      </x:c>
      <x:c r="F288" s="21"/>
      <x:c r="G288" s="16" t="str">
        <x:v>Regional</x:v>
      </x:c>
      <x:c r="H288" s="36" t="n">
        <x:f>IF(G288="National",Assumptions!$B$11,IF(G288="Statewide",Assumptions!$B$12,Assumptions!$B$13))</x:f>
        <x:v>0.85</x:v>
      </x:c>
      <x:c r="I288" s="21" t="n">
        <x:v>-0.01895702822183576</x:v>
      </x:c>
      <x:c r="J288" s="21" t="n">
        <x:v>0.0550021999203838</x:v>
      </x:c>
      <x:c r="K288" s="21" t="n">
        <x:v>0.03672400427413103</x:v>
      </x:c>
      <x:c r="L288" s="36" t="n">
        <x:f>IF(Assumptions!$B$4=2030,I288,IF(Assumptions!$B$4=2035,J288,K288))</x:f>
        <x:v>0.0550021999203838</x:v>
      </x:c>
      <x:c r="M288" s="36" t="n">
        <x:f>Assumptions!$B$19</x:f>
        <x:v>-0.04739891965741583</x:v>
      </x:c>
      <x:c r="N288" s="52" t="n">
        <x:f>H288*L288+(1-H288)*M288+O288</x:f>
        <x:v>0.03964203198371385</x:v>
      </x:c>
      <x:c r="O288" s="36" t="n">
        <x:f>Assumptions!$B$10</x:f>
        <x:v>0</x:v>
      </x:c>
      <x:c r="P288" s="54" t="n">
        <x:f>E288*(1+N288)</x:f>
        <x:v>261.9897920598959</x:v>
      </x:c>
      <x:c r="Q288" s="54" t="n">
        <x:f>P288-E288</x:f>
        <x:v>9.989792059895876</x:v>
      </x:c>
      <x:c r="R288" s="16" t="str">
        <x:v>No</x:v>
      </x:c>
      <x:c r="S288" s="56"/>
      <x:c r="T288" s="56"/>
      <x:c r="U288" s="40" t="n">
        <x:f>E288*Assumptions!$B$8</x:f>
        <x:v>214.2</x:v>
      </x:c>
      <x:c r="V288" s="40" t="n">
        <x:f>P288*Assumptions!$B$8</x:f>
        <x:v>222.6913232509115</x:v>
      </x:c>
      <x:c r="W288" s="54" t="n">
        <x:f>V288-U288</x:f>
        <x:v>8.491323250911506</x:v>
      </x:c>
      <x:c r="X288" s="58" t="str">
        <x:f>IF(R288="No","",W288*S288)</x:f>
      </x:c>
      <x:c r="Y288" s="58" t="str">
        <x:f>IF(R288="No","",W288*T288*Assumptions!$B$9)</x:f>
      </x:c>
      <x:c r="Z288" s="58" t="str">
        <x:f>IF(R288="No","",X288-Y288)</x:f>
      </x:c>
      <x:c r="AA288" s="58" t="str">
        <x:f>IF(R288="No","",MAX(0,-Z288))</x:f>
      </x:c>
      <x:c r="AB288" s="52" t="str">
        <x:f>IF(OR(R288="No",U288*S288=0),"",AA288/(U288*S288))</x:f>
      </x:c>
      <x:c r="AC288" s="54" t="str">
        <x:f>IF(OR(R288="No",S288-T288*Assumptions!$B$9&lt;=0),"",AA288/(Assumptions!$B$8*(S288-T288*Assumptions!$B$9)))</x:f>
      </x:c>
      <x:c r="AD288" s="52" t="str">
        <x:f>IF(OR(R288="No",U288*S288=0),"",AA288/(U288*S288))</x:f>
      </x:c>
      <x:c r="AE288" s="50" t="str">
        <x:f>IF(R288="No","No finance data",IF(AB288&gt;=10%,"Severe",IF(AB288&gt;=5%,"High",IF(AB288&gt;=2%,"Moderate","Low"))))</x:f>
        <x:v>No finance data</x:v>
      </x:c>
      <x:c r="AF288" s="60"/>
      <x:c r="AG288" s="60"/>
      <x:c r="AH288" s="44" t="str">
        <x:v>Undergraduate tuition-contribution proxy only; not an audited total institutional budget.</x:v>
      </x:c>
    </x:row>
    <x:row r="289">
      <x:c r="A289" s="16" t="n">
        <x:v>136774</x:v>
      </x:c>
      <x:c r="B289" s="16" t="str">
        <x:v>Ringling College of Art and Design</x:v>
      </x:c>
      <x:c r="C289" s="16" t="str">
        <x:v>FL</x:v>
      </x:c>
      <x:c r="D289" s="16" t="str">
        <x:v>Private nonprofit</x:v>
      </x:c>
      <x:c r="E289" s="34" t="n">
        <x:v>1258</x:v>
      </x:c>
      <x:c r="F289" s="21" t="n">
        <x:v>0.6873</x:v>
      </x:c>
      <x:c r="G289" s="16" t="str">
        <x:v>Regional</x:v>
      </x:c>
      <x:c r="H289" s="36" t="n">
        <x:f>IF(G289="National",Assumptions!$B$11,IF(G289="Statewide",Assumptions!$B$12,Assumptions!$B$13))</x:f>
        <x:v>0.85</x:v>
      </x:c>
      <x:c r="I289" s="21" t="n">
        <x:v>-0.01895702822183576</x:v>
      </x:c>
      <x:c r="J289" s="21" t="n">
        <x:v>0.0550021999203838</x:v>
      </x:c>
      <x:c r="K289" s="21" t="n">
        <x:v>0.03672400427413103</x:v>
      </x:c>
      <x:c r="L289" s="36" t="n">
        <x:f>IF(Assumptions!$B$4=2030,I289,IF(Assumptions!$B$4=2035,J289,K289))</x:f>
        <x:v>0.0550021999203838</x:v>
      </x:c>
      <x:c r="M289" s="36" t="n">
        <x:f>Assumptions!$B$19</x:f>
        <x:v>-0.04739891965741583</x:v>
      </x:c>
      <x:c r="N289" s="52" t="n">
        <x:f>H289*L289+(1-H289)*M289+O289</x:f>
        <x:v>0.03964203198371385</x:v>
      </x:c>
      <x:c r="O289" s="36" t="n">
        <x:f>Assumptions!$B$10</x:f>
        <x:v>0</x:v>
      </x:c>
      <x:c r="P289" s="54" t="n">
        <x:f>E289*(1+N289)</x:f>
        <x:v>1307.869676235512</x:v>
      </x:c>
      <x:c r="Q289" s="54" t="n">
        <x:f>P289-E289</x:f>
        <x:v>49.86967623551209</x:v>
      </x:c>
      <x:c r="R289" s="16" t="str">
        <x:v>Yes</x:v>
      </x:c>
      <x:c r="S289" s="56" t="n">
        <x:v>39190</x:v>
      </x:c>
      <x:c r="T289" s="56" t="n">
        <x:v>19413</x:v>
      </x:c>
      <x:c r="U289" s="40" t="n">
        <x:f>E289*Assumptions!$B$8</x:f>
        <x:v>1069.3</x:v>
      </x:c>
      <x:c r="V289" s="40" t="n">
        <x:f>P289*Assumptions!$B$8</x:f>
        <x:v>1111.6892248001852</x:v>
      </x:c>
      <x:c r="W289" s="54" t="n">
        <x:f>V289-U289</x:f>
        <x:v>42.389224800185275</x:v>
      </x:c>
      <x:c r="X289" s="58" t="n">
        <x:f>IF(R289="No","",W289*S289)</x:f>
        <x:v>1661233.7199192608</x:v>
      </x:c>
      <x:c r="Y289" s="58" t="n">
        <x:f>IF(R289="No","",W289*T289*Assumptions!$B$9)</x:f>
        <x:v>246870.60631379898</x:v>
      </x:c>
      <x:c r="Z289" s="58" t="n">
        <x:f>IF(R289="No","",X289-Y289)</x:f>
        <x:v>1414363.1136054618</x:v>
      </x:c>
      <x:c r="AA289" s="58" t="n">
        <x:f>IF(R289="No","",MAX(0,-Z289))</x:f>
        <x:v>0</x:v>
      </x:c>
      <x:c r="AB289" s="52" t="n">
        <x:f>IF(OR(R289="No",U289*S289=0),"",AA289/(U289*S289))</x:f>
        <x:v>0</x:v>
      </x:c>
      <x:c r="AC289" s="54" t="n">
        <x:f>IF(OR(R289="No",S289-T289*Assumptions!$B$9&lt;=0),"",AA289/(Assumptions!$B$8*(S289-T289*Assumptions!$B$9)))</x:f>
        <x:v>0</x:v>
      </x:c>
      <x:c r="AD289" s="52" t="n">
        <x:f>IF(OR(R289="No",U289*S289=0),"",AA289/(U289*S289))</x:f>
        <x:v>0</x:v>
      </x:c>
      <x:c r="AE289" s="50" t="str">
        <x:f>IF(R289="No","No finance data",IF(AB289&gt;=10%,"Severe",IF(AB289&gt;=5%,"High",IF(AB289&gt;=2%,"Moderate","Low"))))</x:f>
        <x:v>Low</x:v>
      </x:c>
      <x:c r="AF289" s="60" t="n">
        <x:v>27.360931</x:v>
      </x:c>
      <x:c r="AG289" s="60" t="n">
        <x:v>-82.547803</x:v>
      </x:c>
      <x:c r="AH289" s="44" t="str">
        <x:v>Undergraduate tuition-contribution proxy only; not an audited total institutional budget.</x:v>
      </x:c>
    </x:row>
    <x:row r="290">
      <x:c r="A290" s="16" t="n">
        <x:v>136950</x:v>
      </x:c>
      <x:c r="B290" s="16" t="str">
        <x:v>Rollins College</x:v>
      </x:c>
      <x:c r="C290" s="16" t="str">
        <x:v>FL</x:v>
      </x:c>
      <x:c r="D290" s="16" t="str">
        <x:v>Private nonprofit</x:v>
      </x:c>
      <x:c r="E290" s="34" t="n">
        <x:v>2678</x:v>
      </x:c>
      <x:c r="F290" s="21" t="n">
        <x:v>0.4869</x:v>
      </x:c>
      <x:c r="G290" s="16" t="str">
        <x:v>Regional</x:v>
      </x:c>
      <x:c r="H290" s="36" t="n">
        <x:f>IF(G290="National",Assumptions!$B$11,IF(G290="Statewide",Assumptions!$B$12,Assumptions!$B$13))</x:f>
        <x:v>0.85</x:v>
      </x:c>
      <x:c r="I290" s="21" t="n">
        <x:v>-0.01895702822183576</x:v>
      </x:c>
      <x:c r="J290" s="21" t="n">
        <x:v>0.0550021999203838</x:v>
      </x:c>
      <x:c r="K290" s="21" t="n">
        <x:v>0.03672400427413103</x:v>
      </x:c>
      <x:c r="L290" s="36" t="n">
        <x:f>IF(Assumptions!$B$4=2030,I290,IF(Assumptions!$B$4=2035,J290,K290))</x:f>
        <x:v>0.0550021999203838</x:v>
      </x:c>
      <x:c r="M290" s="36" t="n">
        <x:f>Assumptions!$B$19</x:f>
        <x:v>-0.04739891965741583</x:v>
      </x:c>
      <x:c r="N290" s="52" t="n">
        <x:f>H290*L290+(1-H290)*M290+O290</x:f>
        <x:v>0.03964203198371385</x:v>
      </x:c>
      <x:c r="O290" s="36" t="n">
        <x:f>Assumptions!$B$10</x:f>
        <x:v>0</x:v>
      </x:c>
      <x:c r="P290" s="54" t="n">
        <x:f>E290*(1+N290)</x:f>
        <x:v>2784.1613616523855</x:v>
      </x:c>
      <x:c r="Q290" s="54" t="n">
        <x:f>P290-E290</x:f>
        <x:v>106.1613616523855</x:v>
      </x:c>
      <x:c r="R290" s="16" t="str">
        <x:v>Yes</x:v>
      </x:c>
      <x:c r="S290" s="56" t="n">
        <x:v>20478</x:v>
      </x:c>
      <x:c r="T290" s="56" t="n">
        <x:v>10610</x:v>
      </x:c>
      <x:c r="U290" s="40" t="n">
        <x:f>E290*Assumptions!$B$8</x:f>
        <x:v>2276.2999999999997</x:v>
      </x:c>
      <x:c r="V290" s="40" t="n">
        <x:f>P290*Assumptions!$B$8</x:f>
        <x:v>2366.5371574045275</x:v>
      </x:c>
      <x:c r="W290" s="54" t="n">
        <x:f>V290-U290</x:f>
        <x:v>90.2371574045278</x:v>
      </x:c>
      <x:c r="X290" s="58" t="n">
        <x:f>IF(R290="No","",W290*S290)</x:f>
        <x:v>1847876.5093299204</x:v>
      </x:c>
      <x:c r="Y290" s="58" t="n">
        <x:f>IF(R290="No","",W290*T290*Assumptions!$B$9)</x:f>
        <x:v>287224.872018612</x:v>
      </x:c>
      <x:c r="Z290" s="58" t="n">
        <x:f>IF(R290="No","",X290-Y290)</x:f>
        <x:v>1560651.6373113084</x:v>
      </x:c>
      <x:c r="AA290" s="58" t="n">
        <x:f>IF(R290="No","",MAX(0,-Z290))</x:f>
        <x:v>0</x:v>
      </x:c>
      <x:c r="AB290" s="52" t="n">
        <x:f>IF(OR(R290="No",U290*S290=0),"",AA290/(U290*S290))</x:f>
        <x:v>0</x:v>
      </x:c>
      <x:c r="AC290" s="54" t="n">
        <x:f>IF(OR(R290="No",S290-T290*Assumptions!$B$9&lt;=0),"",AA290/(Assumptions!$B$8*(S290-T290*Assumptions!$B$9)))</x:f>
        <x:v>0</x:v>
      </x:c>
      <x:c r="AD290" s="52" t="n">
        <x:f>IF(OR(R290="No",U290*S290=0),"",AA290/(U290*S290))</x:f>
        <x:v>0</x:v>
      </x:c>
      <x:c r="AE290" s="50" t="str">
        <x:f>IF(R290="No","No finance data",IF(AB290&gt;=10%,"Severe",IF(AB290&gt;=5%,"High",IF(AB290&gt;=2%,"Moderate","Low"))))</x:f>
        <x:v>Low</x:v>
      </x:c>
      <x:c r="AF290" s="60" t="n">
        <x:v>28.592787</x:v>
      </x:c>
      <x:c r="AG290" s="60" t="n">
        <x:v>-81.349239</x:v>
      </x:c>
      <x:c r="AH290" s="44" t="str">
        <x:v>Undergraduate tuition-contribution proxy only; not an audited total institutional budget.</x:v>
      </x:c>
    </x:row>
    <x:row r="291">
      <x:c r="A291" s="16" t="n">
        <x:v>137272</x:v>
      </x:c>
      <x:c r="B291" s="16" t="str">
        <x:v>Saint John Vianney College Seminary</x:v>
      </x:c>
      <x:c r="C291" s="16" t="str">
        <x:v>FL</x:v>
      </x:c>
      <x:c r="D291" s="16" t="str">
        <x:v>Private nonprofit</x:v>
      </x:c>
      <x:c r="E291" s="34" t="n">
        <x:v>64</x:v>
      </x:c>
      <x:c r="F291" s="21"/>
      <x:c r="G291" s="16" t="str">
        <x:v>Regional</x:v>
      </x:c>
      <x:c r="H291" s="36" t="n">
        <x:f>IF(G291="National",Assumptions!$B$11,IF(G291="Statewide",Assumptions!$B$12,Assumptions!$B$13))</x:f>
        <x:v>0.85</x:v>
      </x:c>
      <x:c r="I291" s="21" t="n">
        <x:v>-0.01895702822183576</x:v>
      </x:c>
      <x:c r="J291" s="21" t="n">
        <x:v>0.0550021999203838</x:v>
      </x:c>
      <x:c r="K291" s="21" t="n">
        <x:v>0.03672400427413103</x:v>
      </x:c>
      <x:c r="L291" s="36" t="n">
        <x:f>IF(Assumptions!$B$4=2030,I291,IF(Assumptions!$B$4=2035,J291,K291))</x:f>
        <x:v>0.0550021999203838</x:v>
      </x:c>
      <x:c r="M291" s="36" t="n">
        <x:f>Assumptions!$B$19</x:f>
        <x:v>-0.04739891965741583</x:v>
      </x:c>
      <x:c r="N291" s="52" t="n">
        <x:f>H291*L291+(1-H291)*M291+O291</x:f>
        <x:v>0.03964203198371385</x:v>
      </x:c>
      <x:c r="O291" s="36" t="n">
        <x:f>Assumptions!$B$10</x:f>
        <x:v>0</x:v>
      </x:c>
      <x:c r="P291" s="54" t="n">
        <x:f>E291*(1+N291)</x:f>
        <x:v>66.53709004695769</x:v>
      </x:c>
      <x:c r="Q291" s="54" t="n">
        <x:f>P291-E291</x:f>
        <x:v>2.5370900469576867</x:v>
      </x:c>
      <x:c r="R291" s="16" t="str">
        <x:v>No</x:v>
      </x:c>
      <x:c r="S291" s="56"/>
      <x:c r="T291" s="56"/>
      <x:c r="U291" s="40" t="n">
        <x:f>E291*Assumptions!$B$8</x:f>
        <x:v>54.4</x:v>
      </x:c>
      <x:c r="V291" s="40" t="n">
        <x:f>P291*Assumptions!$B$8</x:f>
        <x:v>56.55652653991403</x:v>
      </x:c>
      <x:c r="W291" s="54" t="n">
        <x:f>V291-U291</x:f>
        <x:v>2.156526539914033</x:v>
      </x:c>
      <x:c r="X291" s="58" t="str">
        <x:f>IF(R291="No","",W291*S291)</x:f>
      </x:c>
      <x:c r="Y291" s="58" t="str">
        <x:f>IF(R291="No","",W291*T291*Assumptions!$B$9)</x:f>
      </x:c>
      <x:c r="Z291" s="58" t="str">
        <x:f>IF(R291="No","",X291-Y291)</x:f>
      </x:c>
      <x:c r="AA291" s="58" t="str">
        <x:f>IF(R291="No","",MAX(0,-Z291))</x:f>
      </x:c>
      <x:c r="AB291" s="52" t="str">
        <x:f>IF(OR(R291="No",U291*S291=0),"",AA291/(U291*S291))</x:f>
      </x:c>
      <x:c r="AC291" s="54" t="str">
        <x:f>IF(OR(R291="No",S291-T291*Assumptions!$B$9&lt;=0),"",AA291/(Assumptions!$B$8*(S291-T291*Assumptions!$B$9)))</x:f>
      </x:c>
      <x:c r="AD291" s="52" t="str">
        <x:f>IF(OR(R291="No",U291*S291=0),"",AA291/(U291*S291))</x:f>
      </x:c>
      <x:c r="AE291" s="50" t="str">
        <x:f>IF(R291="No","No finance data",IF(AB291&gt;=10%,"Severe",IF(AB291&gt;=5%,"High",IF(AB291&gt;=2%,"Moderate","Low"))))</x:f>
        <x:v>No finance data</x:v>
      </x:c>
      <x:c r="AF291" s="60"/>
      <x:c r="AG291" s="60"/>
      <x:c r="AH291" s="44" t="str">
        <x:v>Undergraduate tuition-contribution proxy only; not an audited total institutional budget.</x:v>
      </x:c>
    </x:row>
    <x:row r="292">
      <x:c r="A292" s="16" t="n">
        <x:v>137032</x:v>
      </x:c>
      <x:c r="B292" s="16" t="str">
        <x:v>Saint Leo University</x:v>
      </x:c>
      <x:c r="C292" s="16" t="str">
        <x:v>FL</x:v>
      </x:c>
      <x:c r="D292" s="16" t="str">
        <x:v>Private nonprofit</x:v>
      </x:c>
      <x:c r="E292" s="34" t="n">
        <x:v>11575</x:v>
      </x:c>
      <x:c r="F292" s="21" t="n">
        <x:v>0.7066</x:v>
      </x:c>
      <x:c r="G292" s="16" t="str">
        <x:v>Statewide</x:v>
      </x:c>
      <x:c r="H292" s="36" t="n">
        <x:f>IF(G292="National",Assumptions!$B$11,IF(G292="Statewide",Assumptions!$B$12,Assumptions!$B$13))</x:f>
        <x:v>0.6</x:v>
      </x:c>
      <x:c r="I292" s="21" t="n">
        <x:v>-0.01895702822183576</x:v>
      </x:c>
      <x:c r="J292" s="21" t="n">
        <x:v>0.0550021999203838</x:v>
      </x:c>
      <x:c r="K292" s="21" t="n">
        <x:v>0.03672400427413103</x:v>
      </x:c>
      <x:c r="L292" s="36" t="n">
        <x:f>IF(Assumptions!$B$4=2030,I292,IF(Assumptions!$B$4=2035,J292,K292))</x:f>
        <x:v>0.0550021999203838</x:v>
      </x:c>
      <x:c r="M292" s="36" t="n">
        <x:f>Assumptions!$B$19</x:f>
        <x:v>-0.04739891965741583</x:v>
      </x:c>
      <x:c r="N292" s="52" t="n">
        <x:f>H292*L292+(1-H292)*M292+O292</x:f>
        <x:v>0.014041752089263941</x:v>
      </x:c>
      <x:c r="O292" s="36" t="n">
        <x:f>Assumptions!$B$10</x:f>
        <x:v>0</x:v>
      </x:c>
      <x:c r="P292" s="54" t="n">
        <x:f>E292*(1+N292)</x:f>
        <x:v>11737.53328043323</x:v>
      </x:c>
      <x:c r="Q292" s="54" t="n">
        <x:f>P292-E292</x:f>
        <x:v>162.53328043323017</x:v>
      </x:c>
      <x:c r="R292" s="16" t="str">
        <x:v>Yes</x:v>
      </x:c>
      <x:c r="S292" s="56" t="n">
        <x:v>11729</x:v>
      </x:c>
      <x:c r="T292" s="56" t="n">
        <x:v>4968</x:v>
      </x:c>
      <x:c r="U292" s="40" t="n">
        <x:f>E292*Assumptions!$B$8</x:f>
        <x:v>9838.75</x:v>
      </x:c>
      <x:c r="V292" s="40" t="n">
        <x:f>P292*Assumptions!$B$8</x:f>
        <x:v>9976.903288368245</x:v>
      </x:c>
      <x:c r="W292" s="54" t="n">
        <x:f>V292-U292</x:f>
        <x:v>138.15328836824483</x:v>
      </x:c>
      <x:c r="X292" s="58" t="n">
        <x:f>IF(R292="No","",W292*S292)</x:f>
        <x:v>1620399.9192711436</x:v>
      </x:c>
      <x:c r="Y292" s="58" t="n">
        <x:f>IF(R292="No","",W292*T292*Assumptions!$B$9)</x:f>
        <x:v>205903.66098403212</x:v>
      </x:c>
      <x:c r="Z292" s="58" t="n">
        <x:f>IF(R292="No","",X292-Y292)</x:f>
        <x:v>1414496.2582871115</x:v>
      </x:c>
      <x:c r="AA292" s="58" t="n">
        <x:f>IF(R292="No","",MAX(0,-Z292))</x:f>
        <x:v>0</x:v>
      </x:c>
      <x:c r="AB292" s="52" t="n">
        <x:f>IF(OR(R292="No",U292*S292=0),"",AA292/(U292*S292))</x:f>
        <x:v>0</x:v>
      </x:c>
      <x:c r="AC292" s="54" t="n">
        <x:f>IF(OR(R292="No",S292-T292*Assumptions!$B$9&lt;=0),"",AA292/(Assumptions!$B$8*(S292-T292*Assumptions!$B$9)))</x:f>
        <x:v>0</x:v>
      </x:c>
      <x:c r="AD292" s="52" t="n">
        <x:f>IF(OR(R292="No",U292*S292=0),"",AA292/(U292*S292))</x:f>
        <x:v>0</x:v>
      </x:c>
      <x:c r="AE292" s="50" t="str">
        <x:f>IF(R292="No","No finance data",IF(AB292&gt;=10%,"Severe",IF(AB292&gt;=5%,"High",IF(AB292&gt;=2%,"Moderate","Low"))))</x:f>
        <x:v>Low</x:v>
      </x:c>
      <x:c r="AF292" s="60" t="n">
        <x:v>28.336776</x:v>
      </x:c>
      <x:c r="AG292" s="60" t="n">
        <x:v>-82.257801</x:v>
      </x:c>
      <x:c r="AH292" s="44" t="str">
        <x:v>Undergraduate tuition-contribution proxy only; not an audited total institutional budget.</x:v>
      </x:c>
    </x:row>
    <x:row r="293">
      <x:c r="A293" s="16" t="n">
        <x:v>366003</x:v>
      </x:c>
      <x:c r="B293" s="16" t="str">
        <x:v>South Florida Bible College and Theological Seminary</x:v>
      </x:c>
      <x:c r="C293" s="16" t="str">
        <x:v>FL</x:v>
      </x:c>
      <x:c r="D293" s="16" t="str">
        <x:v>Private nonprofit</x:v>
      </x:c>
      <x:c r="E293" s="34" t="n">
        <x:v>164</x:v>
      </x:c>
      <x:c r="F293" s="21"/>
      <x:c r="G293" s="16" t="str">
        <x:v>Regional</x:v>
      </x:c>
      <x:c r="H293" s="36" t="n">
        <x:f>IF(G293="National",Assumptions!$B$11,IF(G293="Statewide",Assumptions!$B$12,Assumptions!$B$13))</x:f>
        <x:v>0.85</x:v>
      </x:c>
      <x:c r="I293" s="21" t="n">
        <x:v>-0.01895702822183576</x:v>
      </x:c>
      <x:c r="J293" s="21" t="n">
        <x:v>0.0550021999203838</x:v>
      </x:c>
      <x:c r="K293" s="21" t="n">
        <x:v>0.03672400427413103</x:v>
      </x:c>
      <x:c r="L293" s="36" t="n">
        <x:f>IF(Assumptions!$B$4=2030,I293,IF(Assumptions!$B$4=2035,J293,K293))</x:f>
        <x:v>0.0550021999203838</x:v>
      </x:c>
      <x:c r="M293" s="36" t="n">
        <x:f>Assumptions!$B$19</x:f>
        <x:v>-0.04739891965741583</x:v>
      </x:c>
      <x:c r="N293" s="52" t="n">
        <x:f>H293*L293+(1-H293)*M293+O293</x:f>
        <x:v>0.03964203198371385</x:v>
      </x:c>
      <x:c r="O293" s="36" t="n">
        <x:f>Assumptions!$B$10</x:f>
        <x:v>0</x:v>
      </x:c>
      <x:c r="P293" s="54" t="n">
        <x:f>E293*(1+N293)</x:f>
        <x:v>170.50129324532907</x:v>
      </x:c>
      <x:c r="Q293" s="54" t="n">
        <x:f>P293-E293</x:f>
        <x:v>6.501293245329066</x:v>
      </x:c>
      <x:c r="R293" s="16" t="str">
        <x:v>No</x:v>
      </x:c>
      <x:c r="S293" s="56"/>
      <x:c r="T293" s="56"/>
      <x:c r="U293" s="40" t="n">
        <x:f>E293*Assumptions!$B$8</x:f>
        <x:v>139.4</x:v>
      </x:c>
      <x:c r="V293" s="40" t="n">
        <x:f>P293*Assumptions!$B$8</x:f>
        <x:v>144.9260992585297</x:v>
      </x:c>
      <x:c r="W293" s="54" t="n">
        <x:f>V293-U293</x:f>
        <x:v>5.526099258529683</x:v>
      </x:c>
      <x:c r="X293" s="58" t="str">
        <x:f>IF(R293="No","",W293*S293)</x:f>
      </x:c>
      <x:c r="Y293" s="58" t="str">
        <x:f>IF(R293="No","",W293*T293*Assumptions!$B$9)</x:f>
      </x:c>
      <x:c r="Z293" s="58" t="str">
        <x:f>IF(R293="No","",X293-Y293)</x:f>
      </x:c>
      <x:c r="AA293" s="58" t="str">
        <x:f>IF(R293="No","",MAX(0,-Z293))</x:f>
      </x:c>
      <x:c r="AB293" s="52" t="str">
        <x:f>IF(OR(R293="No",U293*S293=0),"",AA293/(U293*S293))</x:f>
      </x:c>
      <x:c r="AC293" s="54" t="str">
        <x:f>IF(OR(R293="No",S293-T293*Assumptions!$B$9&lt;=0),"",AA293/(Assumptions!$B$8*(S293-T293*Assumptions!$B$9)))</x:f>
      </x:c>
      <x:c r="AD293" s="52" t="str">
        <x:f>IF(OR(R293="No",U293*S293=0),"",AA293/(U293*S293))</x:f>
      </x:c>
      <x:c r="AE293" s="50" t="str">
        <x:f>IF(R293="No","No finance data",IF(AB293&gt;=10%,"Severe",IF(AB293&gt;=5%,"High",IF(AB293&gt;=2%,"Moderate","Low"))))</x:f>
        <x:v>No finance data</x:v>
      </x:c>
      <x:c r="AF293" s="60"/>
      <x:c r="AG293" s="60"/>
      <x:c r="AH293" s="44" t="str">
        <x:v>Undergraduate tuition-contribution proxy only; not an audited total institutional budget.</x:v>
      </x:c>
    </x:row>
    <x:row r="294">
      <x:c r="A294" s="16" t="n">
        <x:v>137564</x:v>
      </x:c>
      <x:c r="B294" s="16" t="str">
        <x:v>Southeastern University</x:v>
      </x:c>
      <x:c r="C294" s="16" t="str">
        <x:v>FL</x:v>
      </x:c>
      <x:c r="D294" s="16" t="str">
        <x:v>Private nonprofit</x:v>
      </x:c>
      <x:c r="E294" s="34" t="n">
        <x:v>3412</x:v>
      </x:c>
      <x:c r="F294" s="21" t="n">
        <x:v>0.4492</x:v>
      </x:c>
      <x:c r="G294" s="16" t="str">
        <x:v>Regional</x:v>
      </x:c>
      <x:c r="H294" s="36" t="n">
        <x:f>IF(G294="National",Assumptions!$B$11,IF(G294="Statewide",Assumptions!$B$12,Assumptions!$B$13))</x:f>
        <x:v>0.85</x:v>
      </x:c>
      <x:c r="I294" s="21" t="n">
        <x:v>-0.01895702822183576</x:v>
      </x:c>
      <x:c r="J294" s="21" t="n">
        <x:v>0.0550021999203838</x:v>
      </x:c>
      <x:c r="K294" s="21" t="n">
        <x:v>0.03672400427413103</x:v>
      </x:c>
      <x:c r="L294" s="36" t="n">
        <x:f>IF(Assumptions!$B$4=2030,I294,IF(Assumptions!$B$4=2035,J294,K294))</x:f>
        <x:v>0.0550021999203838</x:v>
      </x:c>
      <x:c r="M294" s="36" t="n">
        <x:f>Assumptions!$B$19</x:f>
        <x:v>-0.04739891965741583</x:v>
      </x:c>
      <x:c r="N294" s="52" t="n">
        <x:f>H294*L294+(1-H294)*M294+O294</x:f>
        <x:v>0.03964203198371385</x:v>
      </x:c>
      <x:c r="O294" s="36" t="n">
        <x:f>Assumptions!$B$10</x:f>
        <x:v>0</x:v>
      </x:c>
      <x:c r="P294" s="54" t="n">
        <x:f>E294*(1+N294)</x:f>
        <x:v>3547.2586131284315</x:v>
      </x:c>
      <x:c r="Q294" s="54" t="n">
        <x:f>P294-E294</x:f>
        <x:v>135.25861312843153</x:v>
      </x:c>
      <x:c r="R294" s="16" t="str">
        <x:v>Yes</x:v>
      </x:c>
      <x:c r="S294" s="56" t="n">
        <x:v>9304</x:v>
      </x:c>
      <x:c r="T294" s="56" t="n">
        <x:v>3896</x:v>
      </x:c>
      <x:c r="U294" s="40" t="n">
        <x:f>E294*Assumptions!$B$8</x:f>
        <x:v>2900.2</x:v>
      </x:c>
      <x:c r="V294" s="40" t="n">
        <x:f>P294*Assumptions!$B$8</x:f>
        <x:v>3015.1698211591665</x:v>
      </x:c>
      <x:c r="W294" s="54" t="n">
        <x:f>V294-U294</x:f>
        <x:v>114.96982115916671</x:v>
      </x:c>
      <x:c r="X294" s="58" t="n">
        <x:f>IF(R294="No","",W294*S294)</x:f>
        <x:v>1069679.2160648871</x:v>
      </x:c>
      <x:c r="Y294" s="58" t="n">
        <x:f>IF(R294="No","",W294*T294*Assumptions!$B$9)</x:f>
        <x:v>134376.72697083405</x:v>
      </x:c>
      <x:c r="Z294" s="58" t="n">
        <x:f>IF(R294="No","",X294-Y294)</x:f>
        <x:v>935302.489094053</x:v>
      </x:c>
      <x:c r="AA294" s="58" t="n">
        <x:f>IF(R294="No","",MAX(0,-Z294))</x:f>
        <x:v>0</x:v>
      </x:c>
      <x:c r="AB294" s="52" t="n">
        <x:f>IF(OR(R294="No",U294*S294=0),"",AA294/(U294*S294))</x:f>
        <x:v>0</x:v>
      </x:c>
      <x:c r="AC294" s="54" t="n">
        <x:f>IF(OR(R294="No",S294-T294*Assumptions!$B$9&lt;=0),"",AA294/(Assumptions!$B$8*(S294-T294*Assumptions!$B$9)))</x:f>
        <x:v>0</x:v>
      </x:c>
      <x:c r="AD294" s="52" t="n">
        <x:f>IF(OR(R294="No",U294*S294=0),"",AA294/(U294*S294))</x:f>
        <x:v>0</x:v>
      </x:c>
      <x:c r="AE294" s="50" t="str">
        <x:f>IF(R294="No","No finance data",IF(AB294&gt;=10%,"Severe",IF(AB294&gt;=5%,"High",IF(AB294&gt;=2%,"Moderate","Low"))))</x:f>
        <x:v>Low</x:v>
      </x:c>
      <x:c r="AF294" s="60" t="n">
        <x:v>28.029733</x:v>
      </x:c>
      <x:c r="AG294" s="60" t="n">
        <x:v>-81.918382</x:v>
      </x:c>
      <x:c r="AH294" s="44" t="str">
        <x:v>Undergraduate tuition-contribution proxy only; not an audited total institutional budget.</x:v>
      </x:c>
    </x:row>
    <x:row r="295">
      <x:c r="A295" s="16" t="n">
        <x:v>137476</x:v>
      </x:c>
      <x:c r="B295" s="16" t="str">
        <x:v>St Thomas University</x:v>
      </x:c>
      <x:c r="C295" s="16" t="str">
        <x:v>FL</x:v>
      </x:c>
      <x:c r="D295" s="16" t="str">
        <x:v>Private nonprofit</x:v>
      </x:c>
      <x:c r="E295" s="34" t="n">
        <x:v>882</x:v>
      </x:c>
      <x:c r="F295" s="21" t="n">
        <x:v>0.7086</x:v>
      </x:c>
      <x:c r="G295" s="16" t="str">
        <x:v>Regional</x:v>
      </x:c>
      <x:c r="H295" s="36" t="n">
        <x:f>IF(G295="National",Assumptions!$B$11,IF(G295="Statewide",Assumptions!$B$12,Assumptions!$B$13))</x:f>
        <x:v>0.85</x:v>
      </x:c>
      <x:c r="I295" s="21" t="n">
        <x:v>-0.01895702822183576</x:v>
      </x:c>
      <x:c r="J295" s="21" t="n">
        <x:v>0.0550021999203838</x:v>
      </x:c>
      <x:c r="K295" s="21" t="n">
        <x:v>0.03672400427413103</x:v>
      </x:c>
      <x:c r="L295" s="36" t="n">
        <x:f>IF(Assumptions!$B$4=2030,I295,IF(Assumptions!$B$4=2035,J295,K295))</x:f>
        <x:v>0.0550021999203838</x:v>
      </x:c>
      <x:c r="M295" s="36" t="n">
        <x:f>Assumptions!$B$19</x:f>
        <x:v>-0.04739891965741583</x:v>
      </x:c>
      <x:c r="N295" s="52" t="n">
        <x:f>H295*L295+(1-H295)*M295+O295</x:f>
        <x:v>0.03964203198371385</x:v>
      </x:c>
      <x:c r="O295" s="36" t="n">
        <x:f>Assumptions!$B$10</x:f>
        <x:v>0</x:v>
      </x:c>
      <x:c r="P295" s="54" t="n">
        <x:f>E295*(1+N295)</x:f>
        <x:v>916.9642722096356</x:v>
      </x:c>
      <x:c r="Q295" s="54" t="n">
        <x:f>P295-E295</x:f>
        <x:v>34.964272209635624</x:v>
      </x:c>
      <x:c r="R295" s="16" t="str">
        <x:v>Yes</x:v>
      </x:c>
      <x:c r="S295" s="56" t="n">
        <x:v>14588</x:v>
      </x:c>
      <x:c r="T295" s="56" t="n">
        <x:v>5637</x:v>
      </x:c>
      <x:c r="U295" s="40" t="n">
        <x:f>E295*Assumptions!$B$8</x:f>
        <x:v>749.6999999999999</x:v>
      </x:c>
      <x:c r="V295" s="40" t="n">
        <x:f>P295*Assumptions!$B$8</x:f>
        <x:v>779.4196313781903</x:v>
      </x:c>
      <x:c r="W295" s="54" t="n">
        <x:f>V295-U295</x:f>
        <x:v>29.719631378190343</x:v>
      </x:c>
      <x:c r="X295" s="58" t="n">
        <x:f>IF(R295="No","",W295*S295)</x:f>
        <x:v>433549.9825450407</x:v>
      </x:c>
      <x:c r="Y295" s="58" t="n">
        <x:f>IF(R295="No","",W295*T295*Assumptions!$B$9)</x:f>
        <x:v>50258.86862365768</x:v>
      </x:c>
      <x:c r="Z295" s="58" t="n">
        <x:f>IF(R295="No","",X295-Y295)</x:f>
        <x:v>383291.11392138305</x:v>
      </x:c>
      <x:c r="AA295" s="58" t="n">
        <x:f>IF(R295="No","",MAX(0,-Z295))</x:f>
        <x:v>0</x:v>
      </x:c>
      <x:c r="AB295" s="52" t="n">
        <x:f>IF(OR(R295="No",U295*S295=0),"",AA295/(U295*S295))</x:f>
        <x:v>0</x:v>
      </x:c>
      <x:c r="AC295" s="54" t="n">
        <x:f>IF(OR(R295="No",S295-T295*Assumptions!$B$9&lt;=0),"",AA295/(Assumptions!$B$8*(S295-T295*Assumptions!$B$9)))</x:f>
        <x:v>0</x:v>
      </x:c>
      <x:c r="AD295" s="52" t="n">
        <x:f>IF(OR(R295="No",U295*S295=0),"",AA295/(U295*S295))</x:f>
        <x:v>0</x:v>
      </x:c>
      <x:c r="AE295" s="50" t="str">
        <x:f>IF(R295="No","No finance data",IF(AB295&gt;=10%,"Severe",IF(AB295&gt;=5%,"High",IF(AB295&gt;=2%,"Moderate","Low"))))</x:f>
        <x:v>Low</x:v>
      </x:c>
      <x:c r="AF295" s="60" t="n">
        <x:v>25.922071</x:v>
      </x:c>
      <x:c r="AG295" s="60" t="n">
        <x:v>-80.253273</x:v>
      </x:c>
      <x:c r="AH295" s="44" t="str">
        <x:v>Undergraduate tuition-contribution proxy only; not an audited total institutional budget.</x:v>
      </x:c>
    </x:row>
    <x:row r="296">
      <x:c r="A296" s="16" t="n">
        <x:v>137546</x:v>
      </x:c>
      <x:c r="B296" s="16" t="str">
        <x:v>Stetson University</x:v>
      </x:c>
      <x:c r="C296" s="16" t="str">
        <x:v>FL</x:v>
      </x:c>
      <x:c r="D296" s="16" t="str">
        <x:v>Private nonprofit</x:v>
      </x:c>
      <x:c r="E296" s="34" t="n">
        <x:v>3042</x:v>
      </x:c>
      <x:c r="F296" s="21" t="n">
        <x:v>0.9164</x:v>
      </x:c>
      <x:c r="G296" s="16" t="str">
        <x:v>Regional</x:v>
      </x:c>
      <x:c r="H296" s="36" t="n">
        <x:f>IF(G296="National",Assumptions!$B$11,IF(G296="Statewide",Assumptions!$B$12,Assumptions!$B$13))</x:f>
        <x:v>0.85</x:v>
      </x:c>
      <x:c r="I296" s="21" t="n">
        <x:v>-0.01895702822183576</x:v>
      </x:c>
      <x:c r="J296" s="21" t="n">
        <x:v>0.0550021999203838</x:v>
      </x:c>
      <x:c r="K296" s="21" t="n">
        <x:v>0.03672400427413103</x:v>
      </x:c>
      <x:c r="L296" s="36" t="n">
        <x:f>IF(Assumptions!$B$4=2030,I296,IF(Assumptions!$B$4=2035,J296,K296))</x:f>
        <x:v>0.0550021999203838</x:v>
      </x:c>
      <x:c r="M296" s="36" t="n">
        <x:f>Assumptions!$B$19</x:f>
        <x:v>-0.04739891965741583</x:v>
      </x:c>
      <x:c r="N296" s="52" t="n">
        <x:f>H296*L296+(1-H296)*M296+O296</x:f>
        <x:v>0.03964203198371385</x:v>
      </x:c>
      <x:c r="O296" s="36" t="n">
        <x:f>Assumptions!$B$10</x:f>
        <x:v>0</x:v>
      </x:c>
      <x:c r="P296" s="54" t="n">
        <x:f>E296*(1+N296)</x:f>
        <x:v>3162.5910612944576</x:v>
      </x:c>
      <x:c r="Q296" s="54" t="n">
        <x:f>P296-E296</x:f>
        <x:v>120.59106129445763</x:v>
      </x:c>
      <x:c r="R296" s="16" t="str">
        <x:v>Yes</x:v>
      </x:c>
      <x:c r="S296" s="56" t="n">
        <x:v>18545</x:v>
      </x:c>
      <x:c r="T296" s="56" t="n">
        <x:v>10945</x:v>
      </x:c>
      <x:c r="U296" s="40" t="n">
        <x:f>E296*Assumptions!$B$8</x:f>
        <x:v>2585.7</x:v>
      </x:c>
      <x:c r="V296" s="40" t="n">
        <x:f>P296*Assumptions!$B$8</x:f>
        <x:v>2688.202402100289</x:v>
      </x:c>
      <x:c r="W296" s="54" t="n">
        <x:f>V296-U296</x:f>
        <x:v>102.50240210028915</x:v>
      </x:c>
      <x:c r="X296" s="58" t="n">
        <x:f>IF(R296="No","",W296*S296)</x:f>
        <x:v>1900907.0469498623</x:v>
      </x:c>
      <x:c r="Y296" s="58" t="n">
        <x:f>IF(R296="No","",W296*T296*Assumptions!$B$9)</x:f>
        <x:v>336566.6372962994</x:v>
      </x:c>
      <x:c r="Z296" s="58" t="n">
        <x:f>IF(R296="No","",X296-Y296)</x:f>
        <x:v>1564340.4096535628</x:v>
      </x:c>
      <x:c r="AA296" s="58" t="n">
        <x:f>IF(R296="No","",MAX(0,-Z296))</x:f>
        <x:v>0</x:v>
      </x:c>
      <x:c r="AB296" s="52" t="n">
        <x:f>IF(OR(R296="No",U296*S296=0),"",AA296/(U296*S296))</x:f>
        <x:v>0</x:v>
      </x:c>
      <x:c r="AC296" s="54" t="n">
        <x:f>IF(OR(R296="No",S296-T296*Assumptions!$B$9&lt;=0),"",AA296/(Assumptions!$B$8*(S296-T296*Assumptions!$B$9)))</x:f>
        <x:v>0</x:v>
      </x:c>
      <x:c r="AD296" s="52" t="n">
        <x:f>IF(OR(R296="No",U296*S296=0),"",AA296/(U296*S296))</x:f>
        <x:v>0</x:v>
      </x:c>
      <x:c r="AE296" s="50" t="str">
        <x:f>IF(R296="No","No finance data",IF(AB296&gt;=10%,"Severe",IF(AB296&gt;=5%,"High",IF(AB296&gt;=2%,"Moderate","Low"))))</x:f>
        <x:v>Low</x:v>
      </x:c>
      <x:c r="AF296" s="60" t="n">
        <x:v>29.035475</x:v>
      </x:c>
      <x:c r="AG296" s="60" t="n">
        <x:v>-81.300746</x:v>
      </x:c>
      <x:c r="AH296" s="44" t="str">
        <x:v>Undergraduate tuition-contribution proxy only; not an audited total institutional budget.</x:v>
      </x:c>
    </x:row>
    <x:row r="297">
      <x:c r="A297" s="16" t="n">
        <x:v>137777</x:v>
      </x:c>
      <x:c r="B297" s="16" t="str">
        <x:v>Talmudic College of Florida</x:v>
      </x:c>
      <x:c r="C297" s="16" t="str">
        <x:v>FL</x:v>
      </x:c>
      <x:c r="D297" s="16" t="str">
        <x:v>Private nonprofit</x:v>
      </x:c>
      <x:c r="E297" s="34" t="n">
        <x:v>46</x:v>
      </x:c>
      <x:c r="F297" s="21"/>
      <x:c r="G297" s="16" t="str">
        <x:v>Regional</x:v>
      </x:c>
      <x:c r="H297" s="36" t="n">
        <x:f>IF(G297="National",Assumptions!$B$11,IF(G297="Statewide",Assumptions!$B$12,Assumptions!$B$13))</x:f>
        <x:v>0.85</x:v>
      </x:c>
      <x:c r="I297" s="21" t="n">
        <x:v>-0.01895702822183576</x:v>
      </x:c>
      <x:c r="J297" s="21" t="n">
        <x:v>0.0550021999203838</x:v>
      </x:c>
      <x:c r="K297" s="21" t="n">
        <x:v>0.03672400427413103</x:v>
      </x:c>
      <x:c r="L297" s="36" t="n">
        <x:f>IF(Assumptions!$B$4=2030,I297,IF(Assumptions!$B$4=2035,J297,K297))</x:f>
        <x:v>0.0550021999203838</x:v>
      </x:c>
      <x:c r="M297" s="36" t="n">
        <x:f>Assumptions!$B$19</x:f>
        <x:v>-0.04739891965741583</x:v>
      </x:c>
      <x:c r="N297" s="52" t="n">
        <x:f>H297*L297+(1-H297)*M297+O297</x:f>
        <x:v>0.03964203198371385</x:v>
      </x:c>
      <x:c r="O297" s="36" t="n">
        <x:f>Assumptions!$B$10</x:f>
        <x:v>0</x:v>
      </x:c>
      <x:c r="P297" s="54" t="n">
        <x:f>E297*(1+N297)</x:f>
        <x:v>47.82353347125084</x:v>
      </x:c>
      <x:c r="Q297" s="54" t="n">
        <x:f>P297-E297</x:f>
        <x:v>1.8235334712508404</x:v>
      </x:c>
      <x:c r="R297" s="16" t="str">
        <x:v>No</x:v>
      </x:c>
      <x:c r="S297" s="56"/>
      <x:c r="T297" s="56"/>
      <x:c r="U297" s="40" t="n">
        <x:f>E297*Assumptions!$B$8</x:f>
        <x:v>39.1</x:v>
      </x:c>
      <x:c r="V297" s="40" t="n">
        <x:f>P297*Assumptions!$B$8</x:f>
        <x:v>40.65000345056321</x:v>
      </x:c>
      <x:c r="W297" s="54" t="n">
        <x:f>V297-U297</x:f>
        <x:v>1.55000345056321</x:v>
      </x:c>
      <x:c r="X297" s="58" t="str">
        <x:f>IF(R297="No","",W297*S297)</x:f>
      </x:c>
      <x:c r="Y297" s="58" t="str">
        <x:f>IF(R297="No","",W297*T297*Assumptions!$B$9)</x:f>
      </x:c>
      <x:c r="Z297" s="58" t="str">
        <x:f>IF(R297="No","",X297-Y297)</x:f>
      </x:c>
      <x:c r="AA297" s="58" t="str">
        <x:f>IF(R297="No","",MAX(0,-Z297))</x:f>
      </x:c>
      <x:c r="AB297" s="52" t="str">
        <x:f>IF(OR(R297="No",U297*S297=0),"",AA297/(U297*S297))</x:f>
      </x:c>
      <x:c r="AC297" s="54" t="str">
        <x:f>IF(OR(R297="No",S297-T297*Assumptions!$B$9&lt;=0),"",AA297/(Assumptions!$B$8*(S297-T297*Assumptions!$B$9)))</x:f>
      </x:c>
      <x:c r="AD297" s="52" t="str">
        <x:f>IF(OR(R297="No",U297*S297=0),"",AA297/(U297*S297))</x:f>
      </x:c>
      <x:c r="AE297" s="50" t="str">
        <x:f>IF(R297="No","No finance data",IF(AB297&gt;=10%,"Severe",IF(AB297&gt;=5%,"High",IF(AB297&gt;=2%,"Moderate","Low"))))</x:f>
        <x:v>No finance data</x:v>
      </x:c>
      <x:c r="AF297" s="60"/>
      <x:c r="AG297" s="60"/>
      <x:c r="AH297" s="44" t="str">
        <x:v>Undergraduate tuition-contribution proxy only; not an audited total institutional budget.</x:v>
      </x:c>
    </x:row>
    <x:row r="298">
      <x:c r="A298" s="16" t="n">
        <x:v>132408</x:v>
      </x:c>
      <x:c r="B298" s="16" t="str">
        <x:v>The Baptist College of Florida</x:v>
      </x:c>
      <x:c r="C298" s="16" t="str">
        <x:v>FL</x:v>
      </x:c>
      <x:c r="D298" s="16" t="str">
        <x:v>Private nonprofit</x:v>
      </x:c>
      <x:c r="E298" s="34" t="n">
        <x:v>457</x:v>
      </x:c>
      <x:c r="F298" s="21"/>
      <x:c r="G298" s="16" t="str">
        <x:v>Regional</x:v>
      </x:c>
      <x:c r="H298" s="36" t="n">
        <x:f>IF(G298="National",Assumptions!$B$11,IF(G298="Statewide",Assumptions!$B$12,Assumptions!$B$13))</x:f>
        <x:v>0.85</x:v>
      </x:c>
      <x:c r="I298" s="21" t="n">
        <x:v>-0.01895702822183576</x:v>
      </x:c>
      <x:c r="J298" s="21" t="n">
        <x:v>0.0550021999203838</x:v>
      </x:c>
      <x:c r="K298" s="21" t="n">
        <x:v>0.03672400427413103</x:v>
      </x:c>
      <x:c r="L298" s="36" t="n">
        <x:f>IF(Assumptions!$B$4=2030,I298,IF(Assumptions!$B$4=2035,J298,K298))</x:f>
        <x:v>0.0550021999203838</x:v>
      </x:c>
      <x:c r="M298" s="36" t="n">
        <x:f>Assumptions!$B$19</x:f>
        <x:v>-0.04739891965741583</x:v>
      </x:c>
      <x:c r="N298" s="52" t="n">
        <x:f>H298*L298+(1-H298)*M298+O298</x:f>
        <x:v>0.03964203198371385</x:v>
      </x:c>
      <x:c r="O298" s="36" t="n">
        <x:f>Assumptions!$B$10</x:f>
        <x:v>0</x:v>
      </x:c>
      <x:c r="P298" s="54" t="n">
        <x:f>E298*(1+N298)</x:f>
        <x:v>475.11640861655724</x:v>
      </x:c>
      <x:c r="Q298" s="54" t="n">
        <x:f>P298-E298</x:f>
        <x:v>18.116408616557237</x:v>
      </x:c>
      <x:c r="R298" s="16" t="str">
        <x:v>No</x:v>
      </x:c>
      <x:c r="S298" s="56"/>
      <x:c r="T298" s="56"/>
      <x:c r="U298" s="40" t="n">
        <x:f>E298*Assumptions!$B$8</x:f>
        <x:v>388.45</x:v>
      </x:c>
      <x:c r="V298" s="40" t="n">
        <x:f>P298*Assumptions!$B$8</x:f>
        <x:v>403.84894732407366</x:v>
      </x:c>
      <x:c r="W298" s="54" t="n">
        <x:f>V298-U298</x:f>
        <x:v>15.398947324073674</x:v>
      </x:c>
      <x:c r="X298" s="58" t="str">
        <x:f>IF(R298="No","",W298*S298)</x:f>
      </x:c>
      <x:c r="Y298" s="58" t="str">
        <x:f>IF(R298="No","",W298*T298*Assumptions!$B$9)</x:f>
      </x:c>
      <x:c r="Z298" s="58" t="str">
        <x:f>IF(R298="No","",X298-Y298)</x:f>
      </x:c>
      <x:c r="AA298" s="58" t="str">
        <x:f>IF(R298="No","",MAX(0,-Z298))</x:f>
      </x:c>
      <x:c r="AB298" s="52" t="str">
        <x:f>IF(OR(R298="No",U298*S298=0),"",AA298/(U298*S298))</x:f>
      </x:c>
      <x:c r="AC298" s="54" t="str">
        <x:f>IF(OR(R298="No",S298-T298*Assumptions!$B$9&lt;=0),"",AA298/(Assumptions!$B$8*(S298-T298*Assumptions!$B$9)))</x:f>
      </x:c>
      <x:c r="AD298" s="52" t="str">
        <x:f>IF(OR(R298="No",U298*S298=0),"",AA298/(U298*S298))</x:f>
      </x:c>
      <x:c r="AE298" s="50" t="str">
        <x:f>IF(R298="No","No finance data",IF(AB298&gt;=10%,"Severe",IF(AB298&gt;=5%,"High",IF(AB298&gt;=2%,"Moderate","Low"))))</x:f>
        <x:v>No finance data</x:v>
      </x:c>
      <x:c r="AF298" s="60"/>
      <x:c r="AG298" s="60"/>
      <x:c r="AH298" s="44" t="str">
        <x:v>Undergraduate tuition-contribution proxy only; not an audited total institutional budget.</x:v>
      </x:c>
    </x:row>
    <x:row r="299">
      <x:c r="A299" s="16" t="n">
        <x:v>137847</x:v>
      </x:c>
      <x:c r="B299" s="16" t="str">
        <x:v>The University of Tampa</x:v>
      </x:c>
      <x:c r="C299" s="16" t="str">
        <x:v>FL</x:v>
      </x:c>
      <x:c r="D299" s="16" t="str">
        <x:v>Private nonprofit</x:v>
      </x:c>
      <x:c r="E299" s="34" t="n">
        <x:v>7061</x:v>
      </x:c>
      <x:c r="F299" s="21" t="n">
        <x:v>0.5355</x:v>
      </x:c>
      <x:c r="G299" s="16" t="str">
        <x:v>Regional</x:v>
      </x:c>
      <x:c r="H299" s="36" t="n">
        <x:f>IF(G299="National",Assumptions!$B$11,IF(G299="Statewide",Assumptions!$B$12,Assumptions!$B$13))</x:f>
        <x:v>0.85</x:v>
      </x:c>
      <x:c r="I299" s="21" t="n">
        <x:v>-0.01895702822183576</x:v>
      </x:c>
      <x:c r="J299" s="21" t="n">
        <x:v>0.0550021999203838</x:v>
      </x:c>
      <x:c r="K299" s="21" t="n">
        <x:v>0.03672400427413103</x:v>
      </x:c>
      <x:c r="L299" s="36" t="n">
        <x:f>IF(Assumptions!$B$4=2030,I299,IF(Assumptions!$B$4=2035,J299,K299))</x:f>
        <x:v>0.0550021999203838</x:v>
      </x:c>
      <x:c r="M299" s="36" t="n">
        <x:f>Assumptions!$B$19</x:f>
        <x:v>-0.04739891965741583</x:v>
      </x:c>
      <x:c r="N299" s="52" t="n">
        <x:f>H299*L299+(1-H299)*M299+O299</x:f>
        <x:v>0.03964203198371385</x:v>
      </x:c>
      <x:c r="O299" s="36" t="n">
        <x:f>Assumptions!$B$10</x:f>
        <x:v>0</x:v>
      </x:c>
      <x:c r="P299" s="54" t="n">
        <x:f>E299*(1+N299)</x:f>
        <x:v>7340.912387837004</x:v>
      </x:c>
      <x:c r="Q299" s="54" t="n">
        <x:f>P299-E299</x:f>
        <x:v>279.91238783700373</x:v>
      </x:c>
      <x:c r="R299" s="16" t="str">
        <x:v>Yes</x:v>
      </x:c>
      <x:c r="S299" s="56" t="n">
        <x:v>20292</x:v>
      </x:c>
      <x:c r="T299" s="56" t="n">
        <x:v>7338</x:v>
      </x:c>
      <x:c r="U299" s="40" t="n">
        <x:f>E299*Assumptions!$B$8</x:f>
        <x:v>6001.849999999999</x:v>
      </x:c>
      <x:c r="V299" s="40" t="n">
        <x:f>P299*Assumptions!$B$8</x:f>
        <x:v>6239.775529661453</x:v>
      </x:c>
      <x:c r="W299" s="54" t="n">
        <x:f>V299-U299</x:f>
        <x:v>237.92552966145377</x:v>
      </x:c>
      <x:c r="X299" s="58" t="n">
        <x:f>IF(R299="No","",W299*S299)</x:f>
        <x:v>4827984.84789022</x:v>
      </x:c>
      <x:c r="Y299" s="58" t="n">
        <x:f>IF(R299="No","",W299*T299*Assumptions!$B$9)</x:f>
        <x:v>523769.2609967243</x:v>
      </x:c>
      <x:c r="Z299" s="58" t="n">
        <x:f>IF(R299="No","",X299-Y299)</x:f>
        <x:v>4304215.586893495</x:v>
      </x:c>
      <x:c r="AA299" s="58" t="n">
        <x:f>IF(R299="No","",MAX(0,-Z299))</x:f>
        <x:v>0</x:v>
      </x:c>
      <x:c r="AB299" s="52" t="n">
        <x:f>IF(OR(R299="No",U299*S299=0),"",AA299/(U299*S299))</x:f>
        <x:v>0</x:v>
      </x:c>
      <x:c r="AC299" s="54" t="n">
        <x:f>IF(OR(R299="No",S299-T299*Assumptions!$B$9&lt;=0),"",AA299/(Assumptions!$B$8*(S299-T299*Assumptions!$B$9)))</x:f>
        <x:v>0</x:v>
      </x:c>
      <x:c r="AD299" s="52" t="n">
        <x:f>IF(OR(R299="No",U299*S299=0),"",AA299/(U299*S299))</x:f>
        <x:v>0</x:v>
      </x:c>
      <x:c r="AE299" s="50" t="str">
        <x:f>IF(R299="No","No finance data",IF(AB299&gt;=10%,"Severe",IF(AB299&gt;=5%,"High",IF(AB299&gt;=2%,"Moderate","Low"))))</x:f>
        <x:v>Low</x:v>
      </x:c>
      <x:c r="AF299" s="60" t="n">
        <x:v>27.948455</x:v>
      </x:c>
      <x:c r="AG299" s="60" t="n">
        <x:v>-82.46483</x:v>
      </x:c>
      <x:c r="AH299" s="44" t="str">
        <x:v>Undergraduate tuition-contribution proxy only; not an audited total institutional budget.</x:v>
      </x:c>
    </x:row>
    <x:row r="300">
      <x:c r="A300" s="16" t="n">
        <x:v>138354</x:v>
      </x:c>
      <x:c r="B300" s="16" t="str">
        <x:v>The University of West Florida</x:v>
      </x:c>
      <x:c r="C300" s="16" t="str">
        <x:v>FL</x:v>
      </x:c>
      <x:c r="D300" s="16" t="str">
        <x:v>Public</x:v>
      </x:c>
      <x:c r="E300" s="34" t="n">
        <x:v>9783</x:v>
      </x:c>
      <x:c r="F300" s="21" t="n">
        <x:v>0.5281</x:v>
      </x:c>
      <x:c r="G300" s="16" t="str">
        <x:v>Statewide</x:v>
      </x:c>
      <x:c r="H300" s="36" t="n">
        <x:f>IF(G300="National",Assumptions!$B$11,IF(G300="Statewide",Assumptions!$B$12,Assumptions!$B$13))</x:f>
        <x:v>0.6</x:v>
      </x:c>
      <x:c r="I300" s="21" t="n">
        <x:v>-0.01895702822183576</x:v>
      </x:c>
      <x:c r="J300" s="21" t="n">
        <x:v>0.0550021999203838</x:v>
      </x:c>
      <x:c r="K300" s="21" t="n">
        <x:v>0.03672400427413103</x:v>
      </x:c>
      <x:c r="L300" s="36" t="n">
        <x:f>IF(Assumptions!$B$4=2030,I300,IF(Assumptions!$B$4=2035,J300,K300))</x:f>
        <x:v>0.0550021999203838</x:v>
      </x:c>
      <x:c r="M300" s="36" t="n">
        <x:f>Assumptions!$B$19</x:f>
        <x:v>-0.04739891965741583</x:v>
      </x:c>
      <x:c r="N300" s="52" t="n">
        <x:f>H300*L300+(1-H300)*M300+O300</x:f>
        <x:v>0.014041752089263941</x:v>
      </x:c>
      <x:c r="O300" s="36" t="n">
        <x:f>Assumptions!$B$10</x:f>
        <x:v>0</x:v>
      </x:c>
      <x:c r="P300" s="54" t="n">
        <x:f>E300*(1+N300)</x:f>
        <x:v>9920.37046068927</x:v>
      </x:c>
      <x:c r="Q300" s="54" t="n">
        <x:f>P300-E300</x:f>
        <x:v>137.37046068926975</x:v>
      </x:c>
      <x:c r="R300" s="16" t="str">
        <x:v>Yes</x:v>
      </x:c>
      <x:c r="S300" s="56" t="n">
        <x:v>5815</x:v>
      </x:c>
      <x:c r="T300" s="56" t="n">
        <x:v>6167</x:v>
      </x:c>
      <x:c r="U300" s="40" t="n">
        <x:f>E300*Assumptions!$B$8</x:f>
        <x:v>8315.55</x:v>
      </x:c>
      <x:c r="V300" s="40" t="n">
        <x:f>P300*Assumptions!$B$8</x:f>
        <x:v>8432.314891585878</x:v>
      </x:c>
      <x:c r="W300" s="54" t="n">
        <x:f>V300-U300</x:f>
        <x:v>116.76489158587901</x:v>
      </x:c>
      <x:c r="X300" s="58" t="n">
        <x:f>IF(R300="No","",W300*S300)</x:f>
        <x:v>678987.8445718865</x:v>
      </x:c>
      <x:c r="Y300" s="58" t="n">
        <x:f>IF(R300="No","",W300*T300*Assumptions!$B$9)</x:f>
        <x:v>216026.72592303474</x:v>
      </x:c>
      <x:c r="Z300" s="58" t="n">
        <x:f>IF(R300="No","",X300-Y300)</x:f>
        <x:v>462961.11864885176</x:v>
      </x:c>
      <x:c r="AA300" s="58" t="n">
        <x:f>IF(R300="No","",MAX(0,-Z300))</x:f>
        <x:v>0</x:v>
      </x:c>
      <x:c r="AB300" s="52" t="n">
        <x:f>IF(OR(R300="No",U300*S300=0),"",AA300/(U300*S300))</x:f>
        <x:v>0</x:v>
      </x:c>
      <x:c r="AC300" s="54" t="n">
        <x:f>IF(OR(R300="No",S300-T300*Assumptions!$B$9&lt;=0),"",AA300/(Assumptions!$B$8*(S300-T300*Assumptions!$B$9)))</x:f>
        <x:v>0</x:v>
      </x:c>
      <x:c r="AD300" s="52" t="n">
        <x:f>IF(OR(R300="No",U300*S300=0),"",AA300/(U300*S300))</x:f>
        <x:v>0</x:v>
      </x:c>
      <x:c r="AE300" s="50" t="str">
        <x:f>IF(R300="No","No finance data",IF(AB300&gt;=10%,"Severe",IF(AB300&gt;=5%,"High",IF(AB300&gt;=2%,"Moderate","Low"))))</x:f>
        <x:v>Low</x:v>
      </x:c>
      <x:c r="AF300" s="60" t="n">
        <x:v>30.549076</x:v>
      </x:c>
      <x:c r="AG300" s="60" t="n">
        <x:v>-87.218511</x:v>
      </x:c>
      <x:c r="AH300" s="44" t="str">
        <x:v>Undergraduate tuition-contribution proxy only; not an audited total institutional budget.</x:v>
      </x:c>
    </x:row>
    <x:row r="301">
      <x:c r="A301" s="16" t="n">
        <x:v>137953</x:v>
      </x:c>
      <x:c r="B301" s="16" t="str">
        <x:v>Trinity Baptist College</x:v>
      </x:c>
      <x:c r="C301" s="16" t="str">
        <x:v>FL</x:v>
      </x:c>
      <x:c r="D301" s="16" t="str">
        <x:v>Private nonprofit</x:v>
      </x:c>
      <x:c r="E301" s="34" t="n">
        <x:v>350</x:v>
      </x:c>
      <x:c r="F301" s="21"/>
      <x:c r="G301" s="16" t="str">
        <x:v>Regional</x:v>
      </x:c>
      <x:c r="H301" s="36" t="n">
        <x:f>IF(G301="National",Assumptions!$B$11,IF(G301="Statewide",Assumptions!$B$12,Assumptions!$B$13))</x:f>
        <x:v>0.85</x:v>
      </x:c>
      <x:c r="I301" s="21" t="n">
        <x:v>-0.01895702822183576</x:v>
      </x:c>
      <x:c r="J301" s="21" t="n">
        <x:v>0.0550021999203838</x:v>
      </x:c>
      <x:c r="K301" s="21" t="n">
        <x:v>0.03672400427413103</x:v>
      </x:c>
      <x:c r="L301" s="36" t="n">
        <x:f>IF(Assumptions!$B$4=2030,I301,IF(Assumptions!$B$4=2035,J301,K301))</x:f>
        <x:v>0.0550021999203838</x:v>
      </x:c>
      <x:c r="M301" s="36" t="n">
        <x:f>Assumptions!$B$19</x:f>
        <x:v>-0.04739891965741583</x:v>
      </x:c>
      <x:c r="N301" s="52" t="n">
        <x:f>H301*L301+(1-H301)*M301+O301</x:f>
        <x:v>0.03964203198371385</x:v>
      </x:c>
      <x:c r="O301" s="36" t="n">
        <x:f>Assumptions!$B$10</x:f>
        <x:v>0</x:v>
      </x:c>
      <x:c r="P301" s="54" t="n">
        <x:f>E301*(1+N301)</x:f>
        <x:v>363.87471119429983</x:v>
      </x:c>
      <x:c r="Q301" s="54" t="n">
        <x:f>P301-E301</x:f>
        <x:v>13.874711194299834</x:v>
      </x:c>
      <x:c r="R301" s="16" t="str">
        <x:v>No</x:v>
      </x:c>
      <x:c r="S301" s="56"/>
      <x:c r="T301" s="56"/>
      <x:c r="U301" s="40" t="n">
        <x:f>E301*Assumptions!$B$8</x:f>
        <x:v>297.5</x:v>
      </x:c>
      <x:c r="V301" s="40" t="n">
        <x:f>P301*Assumptions!$B$8</x:f>
        <x:v>309.29350451515484</x:v>
      </x:c>
      <x:c r="W301" s="54" t="n">
        <x:f>V301-U301</x:f>
        <x:v>11.793504515154837</x:v>
      </x:c>
      <x:c r="X301" s="58" t="str">
        <x:f>IF(R301="No","",W301*S301)</x:f>
      </x:c>
      <x:c r="Y301" s="58" t="str">
        <x:f>IF(R301="No","",W301*T301*Assumptions!$B$9)</x:f>
      </x:c>
      <x:c r="Z301" s="58" t="str">
        <x:f>IF(R301="No","",X301-Y301)</x:f>
      </x:c>
      <x:c r="AA301" s="58" t="str">
        <x:f>IF(R301="No","",MAX(0,-Z301))</x:f>
      </x:c>
      <x:c r="AB301" s="52" t="str">
        <x:f>IF(OR(R301="No",U301*S301=0),"",AA301/(U301*S301))</x:f>
      </x:c>
      <x:c r="AC301" s="54" t="str">
        <x:f>IF(OR(R301="No",S301-T301*Assumptions!$B$9&lt;=0),"",AA301/(Assumptions!$B$8*(S301-T301*Assumptions!$B$9)))</x:f>
      </x:c>
      <x:c r="AD301" s="52" t="str">
        <x:f>IF(OR(R301="No",U301*S301=0),"",AA301/(U301*S301))</x:f>
      </x:c>
      <x:c r="AE301" s="50" t="str">
        <x:f>IF(R301="No","No finance data",IF(AB301&gt;=10%,"Severe",IF(AB301&gt;=5%,"High",IF(AB301&gt;=2%,"Moderate","Low"))))</x:f>
        <x:v>No finance data</x:v>
      </x:c>
      <x:c r="AF301" s="60"/>
      <x:c r="AG301" s="60"/>
      <x:c r="AH301" s="44" t="str">
        <x:v>Undergraduate tuition-contribution proxy only; not an audited total institutional budget.</x:v>
      </x:c>
    </x:row>
    <x:row r="302">
      <x:c r="A302" s="16" t="n">
        <x:v>137962</x:v>
      </x:c>
      <x:c r="B302" s="16" t="str">
        <x:v>Trinity College of Florida</x:v>
      </x:c>
      <x:c r="C302" s="16" t="str">
        <x:v>FL</x:v>
      </x:c>
      <x:c r="D302" s="16" t="str">
        <x:v>Private nonprofit</x:v>
      </x:c>
      <x:c r="E302" s="34" t="n">
        <x:v>203</x:v>
      </x:c>
      <x:c r="F302" s="21"/>
      <x:c r="G302" s="16" t="str">
        <x:v>Regional</x:v>
      </x:c>
      <x:c r="H302" s="36" t="n">
        <x:f>IF(G302="National",Assumptions!$B$11,IF(G302="Statewide",Assumptions!$B$12,Assumptions!$B$13))</x:f>
        <x:v>0.85</x:v>
      </x:c>
      <x:c r="I302" s="21" t="n">
        <x:v>-0.01895702822183576</x:v>
      </x:c>
      <x:c r="J302" s="21" t="n">
        <x:v>0.0550021999203838</x:v>
      </x:c>
      <x:c r="K302" s="21" t="n">
        <x:v>0.03672400427413103</x:v>
      </x:c>
      <x:c r="L302" s="36" t="n">
        <x:f>IF(Assumptions!$B$4=2030,I302,IF(Assumptions!$B$4=2035,J302,K302))</x:f>
        <x:v>0.0550021999203838</x:v>
      </x:c>
      <x:c r="M302" s="36" t="n">
        <x:f>Assumptions!$B$19</x:f>
        <x:v>-0.04739891965741583</x:v>
      </x:c>
      <x:c r="N302" s="52" t="n">
        <x:f>H302*L302+(1-H302)*M302+O302</x:f>
        <x:v>0.03964203198371385</x:v>
      </x:c>
      <x:c r="O302" s="36" t="n">
        <x:f>Assumptions!$B$10</x:f>
        <x:v>0</x:v>
      </x:c>
      <x:c r="P302" s="54" t="n">
        <x:f>E302*(1+N302)</x:f>
        <x:v>211.04733249269393</x:v>
      </x:c>
      <x:c r="Q302" s="54" t="n">
        <x:f>P302-E302</x:f>
        <x:v>8.047332492693926</x:v>
      </x:c>
      <x:c r="R302" s="16" t="str">
        <x:v>No</x:v>
      </x:c>
      <x:c r="S302" s="56"/>
      <x:c r="T302" s="56"/>
      <x:c r="U302" s="40" t="n">
        <x:f>E302*Assumptions!$B$8</x:f>
        <x:v>172.54999999999998</x:v>
      </x:c>
      <x:c r="V302" s="40" t="n">
        <x:f>P302*Assumptions!$B$8</x:f>
        <x:v>179.39023261878984</x:v>
      </x:c>
      <x:c r="W302" s="54" t="n">
        <x:f>V302-U302</x:f>
        <x:v>6.840232618789855</x:v>
      </x:c>
      <x:c r="X302" s="58" t="str">
        <x:f>IF(R302="No","",W302*S302)</x:f>
      </x:c>
      <x:c r="Y302" s="58" t="str">
        <x:f>IF(R302="No","",W302*T302*Assumptions!$B$9)</x:f>
      </x:c>
      <x:c r="Z302" s="58" t="str">
        <x:f>IF(R302="No","",X302-Y302)</x:f>
      </x:c>
      <x:c r="AA302" s="58" t="str">
        <x:f>IF(R302="No","",MAX(0,-Z302))</x:f>
      </x:c>
      <x:c r="AB302" s="52" t="str">
        <x:f>IF(OR(R302="No",U302*S302=0),"",AA302/(U302*S302))</x:f>
      </x:c>
      <x:c r="AC302" s="54" t="str">
        <x:f>IF(OR(R302="No",S302-T302*Assumptions!$B$9&lt;=0),"",AA302/(Assumptions!$B$8*(S302-T302*Assumptions!$B$9)))</x:f>
      </x:c>
      <x:c r="AD302" s="52" t="str">
        <x:f>IF(OR(R302="No",U302*S302=0),"",AA302/(U302*S302))</x:f>
      </x:c>
      <x:c r="AE302" s="50" t="str">
        <x:f>IF(R302="No","No finance data",IF(AB302&gt;=10%,"Severe",IF(AB302&gt;=5%,"High",IF(AB302&gt;=2%,"Moderate","Low"))))</x:f>
        <x:v>No finance data</x:v>
      </x:c>
      <x:c r="AF302" s="60"/>
      <x:c r="AG302" s="60"/>
      <x:c r="AH302" s="44" t="str">
        <x:v>Undergraduate tuition-contribution proxy only; not an audited total institutional budget.</x:v>
      </x:c>
    </x:row>
    <x:row r="303">
      <x:c r="A303" s="16" t="n">
        <x:v>135610</x:v>
      </x:c>
      <x:c r="B303" s="16" t="str">
        <x:v>Trinity International University-Florida</x:v>
      </x:c>
      <x:c r="C303" s="16" t="str">
        <x:v>FL</x:v>
      </x:c>
      <x:c r="D303" s="16" t="str">
        <x:v>Private nonprofit</x:v>
      </x:c>
      <x:c r="E303" s="34" t="n">
        <x:v>175</x:v>
      </x:c>
      <x:c r="F303" s="21"/>
      <x:c r="G303" s="16" t="str">
        <x:v>Regional</x:v>
      </x:c>
      <x:c r="H303" s="36" t="n">
        <x:f>IF(G303="National",Assumptions!$B$11,IF(G303="Statewide",Assumptions!$B$12,Assumptions!$B$13))</x:f>
        <x:v>0.85</x:v>
      </x:c>
      <x:c r="I303" s="21" t="n">
        <x:v>-0.01895702822183576</x:v>
      </x:c>
      <x:c r="J303" s="21" t="n">
        <x:v>0.0550021999203838</x:v>
      </x:c>
      <x:c r="K303" s="21" t="n">
        <x:v>0.03672400427413103</x:v>
      </x:c>
      <x:c r="L303" s="36" t="n">
        <x:f>IF(Assumptions!$B$4=2030,I303,IF(Assumptions!$B$4=2035,J303,K303))</x:f>
        <x:v>0.0550021999203838</x:v>
      </x:c>
      <x:c r="M303" s="36" t="n">
        <x:f>Assumptions!$B$19</x:f>
        <x:v>-0.04739891965741583</x:v>
      </x:c>
      <x:c r="N303" s="52" t="n">
        <x:f>H303*L303+(1-H303)*M303+O303</x:f>
        <x:v>0.03964203198371385</x:v>
      </x:c>
      <x:c r="O303" s="36" t="n">
        <x:f>Assumptions!$B$10</x:f>
        <x:v>0</x:v>
      </x:c>
      <x:c r="P303" s="54" t="n">
        <x:f>E303*(1+N303)</x:f>
        <x:v>181.93735559714992</x:v>
      </x:c>
      <x:c r="Q303" s="54" t="n">
        <x:f>P303-E303</x:f>
        <x:v>6.937355597149917</x:v>
      </x:c>
      <x:c r="R303" s="16" t="str">
        <x:v>No</x:v>
      </x:c>
      <x:c r="S303" s="56"/>
      <x:c r="T303" s="56"/>
      <x:c r="U303" s="40" t="n">
        <x:f>E303*Assumptions!$B$8</x:f>
        <x:v>148.75</x:v>
      </x:c>
      <x:c r="V303" s="40" t="n">
        <x:f>P303*Assumptions!$B$8</x:f>
        <x:v>154.64675225757742</x:v>
      </x:c>
      <x:c r="W303" s="54" t="n">
        <x:f>V303-U303</x:f>
        <x:v>5.896752257577418</x:v>
      </x:c>
      <x:c r="X303" s="58" t="str">
        <x:f>IF(R303="No","",W303*S303)</x:f>
      </x:c>
      <x:c r="Y303" s="58" t="str">
        <x:f>IF(R303="No","",W303*T303*Assumptions!$B$9)</x:f>
      </x:c>
      <x:c r="Z303" s="58" t="str">
        <x:f>IF(R303="No","",X303-Y303)</x:f>
      </x:c>
      <x:c r="AA303" s="58" t="str">
        <x:f>IF(R303="No","",MAX(0,-Z303))</x:f>
      </x:c>
      <x:c r="AB303" s="52" t="str">
        <x:f>IF(OR(R303="No",U303*S303=0),"",AA303/(U303*S303))</x:f>
      </x:c>
      <x:c r="AC303" s="54" t="str">
        <x:f>IF(OR(R303="No",S303-T303*Assumptions!$B$9&lt;=0),"",AA303/(Assumptions!$B$8*(S303-T303*Assumptions!$B$9)))</x:f>
      </x:c>
      <x:c r="AD303" s="52" t="str">
        <x:f>IF(OR(R303="No",U303*S303=0),"",AA303/(U303*S303))</x:f>
      </x:c>
      <x:c r="AE303" s="50" t="str">
        <x:f>IF(R303="No","No finance data",IF(AB303&gt;=10%,"Severe",IF(AB303&gt;=5%,"High",IF(AB303&gt;=2%,"Moderate","Low"))))</x:f>
        <x:v>No finance data</x:v>
      </x:c>
      <x:c r="AF303" s="60"/>
      <x:c r="AG303" s="60"/>
      <x:c r="AH303" s="44" t="str">
        <x:v>Undergraduate tuition-contribution proxy only; not an audited total institutional budget.</x:v>
      </x:c>
    </x:row>
    <x:row r="304">
      <x:c r="A304" s="16" t="n">
        <x:v>132903</x:v>
      </x:c>
      <x:c r="B304" s="16" t="str">
        <x:v>University of Central Florida</x:v>
      </x:c>
      <x:c r="C304" s="16" t="str">
        <x:v>FL</x:v>
      </x:c>
      <x:c r="D304" s="16" t="str">
        <x:v>Public</x:v>
      </x:c>
      <x:c r="E304" s="34" t="n">
        <x:v>54091</x:v>
      </x:c>
      <x:c r="F304" s="21" t="n">
        <x:v>0.3637</x:v>
      </x:c>
      <x:c r="G304" s="16" t="str">
        <x:v>National</x:v>
      </x:c>
      <x:c r="H304" s="36" t="n">
        <x:f>IF(G304="National",Assumptions!$B$11,IF(G304="Statewide",Assumptions!$B$12,Assumptions!$B$13))</x:f>
        <x:v>0.25</x:v>
      </x:c>
      <x:c r="I304" s="21" t="n">
        <x:v>-0.01895702822183576</x:v>
      </x:c>
      <x:c r="J304" s="21" t="n">
        <x:v>0.0550021999203838</x:v>
      </x:c>
      <x:c r="K304" s="21" t="n">
        <x:v>0.03672400427413103</x:v>
      </x:c>
      <x:c r="L304" s="36" t="n">
        <x:f>IF(Assumptions!$B$4=2030,I304,IF(Assumptions!$B$4=2035,J304,K304))</x:f>
        <x:v>0.0550021999203838</x:v>
      </x:c>
      <x:c r="M304" s="36" t="n">
        <x:f>Assumptions!$B$19</x:f>
        <x:v>-0.04739891965741583</x:v>
      </x:c>
      <x:c r="N304" s="52" t="n">
        <x:f>H304*L304+(1-H304)*M304+O304</x:f>
        <x:v>-0.02179863976296592</x:v>
      </x:c>
      <x:c r="O304" s="36" t="n">
        <x:f>Assumptions!$B$10</x:f>
        <x:v>0</x:v>
      </x:c>
      <x:c r="P304" s="54" t="n">
        <x:f>E304*(1+N304)</x:f>
        <x:v>52911.88977658141</x:v>
      </x:c>
      <x:c r="Q304" s="54" t="n">
        <x:f>P304-E304</x:f>
        <x:v>-1179.1102234185892</x:v>
      </x:c>
      <x:c r="R304" s="16" t="str">
        <x:v>Yes</x:v>
      </x:c>
      <x:c r="S304" s="56" t="n">
        <x:v>4748</x:v>
      </x:c>
      <x:c r="T304" s="56" t="n">
        <x:v>7158</x:v>
      </x:c>
      <x:c r="U304" s="40" t="n">
        <x:f>E304*Assumptions!$B$8</x:f>
        <x:v>45977.35</x:v>
      </x:c>
      <x:c r="V304" s="40" t="n">
        <x:f>P304*Assumptions!$B$8</x:f>
        <x:v>44975.1063100942</x:v>
      </x:c>
      <x:c r="W304" s="54" t="n">
        <x:f>V304-U304</x:f>
        <x:v>-1002.2436899058011</x:v>
      </x:c>
      <x:c r="X304" s="58" t="n">
        <x:f>IF(R304="No","",W304*S304)</x:f>
        <x:v>-4758653.0396727435</x:v>
      </x:c>
      <x:c r="Y304" s="58" t="n">
        <x:f>IF(R304="No","",W304*T304*Assumptions!$B$9)</x:f>
        <x:v>-2152218.0997037175</x:v>
      </x:c>
      <x:c r="Z304" s="58" t="n">
        <x:f>IF(R304="No","",X304-Y304)</x:f>
        <x:v>-2606434.939969026</x:v>
      </x:c>
      <x:c r="AA304" s="58" t="n">
        <x:f>IF(R304="No","",MAX(0,-Z304))</x:f>
        <x:v>2606434.939969026</x:v>
      </x:c>
      <x:c r="AB304" s="52" t="n">
        <x:f>IF(OR(R304="No",U304*S304=0),"",AA304/(U304*S304))</x:f>
        <x:v>0.011939667769075225</x:v>
      </x:c>
      <x:c r="AC304" s="54" t="n">
        <x:f>IF(OR(R304="No",S304-T304*Assumptions!$B$9&lt;=0),"",AA304/(Assumptions!$B$8*(S304-T304*Assumptions!$B$9)))</x:f>
        <x:v>1179.1102234185896</x:v>
      </x:c>
      <x:c r="AD304" s="52" t="n">
        <x:f>IF(OR(R304="No",U304*S304=0),"",AA304/(U304*S304))</x:f>
        <x:v>0.011939667769075225</x:v>
      </x:c>
      <x:c r="AE304" s="50" t="str">
        <x:f>IF(R304="No","No finance data",IF(AB304&gt;=10%,"Severe",IF(AB304&gt;=5%,"High",IF(AB304&gt;=2%,"Moderate","Low"))))</x:f>
        <x:v>Low</x:v>
      </x:c>
      <x:c r="AF304" s="60" t="n">
        <x:v>28.602159</x:v>
      </x:c>
      <x:c r="AG304" s="60" t="n">
        <x:v>-81.200889</x:v>
      </x:c>
      <x:c r="AH304" s="44" t="str">
        <x:v>Undergraduate tuition-contribution proxy only; not an audited total institutional budget.</x:v>
      </x:c>
    </x:row>
    <x:row r="305">
      <x:c r="A305" s="16" t="n">
        <x:v>134130</x:v>
      </x:c>
      <x:c r="B305" s="16" t="str">
        <x:v>University of Florida</x:v>
      </x:c>
      <x:c r="C305" s="16" t="str">
        <x:v>FL</x:v>
      </x:c>
      <x:c r="D305" s="16" t="str">
        <x:v>Public</x:v>
      </x:c>
      <x:c r="E305" s="34" t="n">
        <x:v>32376</x:v>
      </x:c>
      <x:c r="F305" s="21" t="n">
        <x:v>0.3013</x:v>
      </x:c>
      <x:c r="G305" s="16" t="str">
        <x:v>National</x:v>
      </x:c>
      <x:c r="H305" s="36" t="n">
        <x:f>IF(G305="National",Assumptions!$B$11,IF(G305="Statewide",Assumptions!$B$12,Assumptions!$B$13))</x:f>
        <x:v>0.25</x:v>
      </x:c>
      <x:c r="I305" s="21" t="n">
        <x:v>-0.01895702822183576</x:v>
      </x:c>
      <x:c r="J305" s="21" t="n">
        <x:v>0.0550021999203838</x:v>
      </x:c>
      <x:c r="K305" s="21" t="n">
        <x:v>0.03672400427413103</x:v>
      </x:c>
      <x:c r="L305" s="36" t="n">
        <x:f>IF(Assumptions!$B$4=2030,I305,IF(Assumptions!$B$4=2035,J305,K305))</x:f>
        <x:v>0.0550021999203838</x:v>
      </x:c>
      <x:c r="M305" s="36" t="n">
        <x:f>Assumptions!$B$19</x:f>
        <x:v>-0.04739891965741583</x:v>
      </x:c>
      <x:c r="N305" s="52" t="n">
        <x:f>H305*L305+(1-H305)*M305+O305</x:f>
        <x:v>-0.02179863976296592</x:v>
      </x:c>
      <x:c r="O305" s="36" t="n">
        <x:f>Assumptions!$B$10</x:f>
        <x:v>0</x:v>
      </x:c>
      <x:c r="P305" s="54" t="n">
        <x:f>E305*(1+N305)</x:f>
        <x:v>31670.247239034215</x:v>
      </x:c>
      <x:c r="Q305" s="54" t="n">
        <x:f>P305-E305</x:f>
        <x:v>-705.7527609657845</x:v>
      </x:c>
      <x:c r="R305" s="16" t="str">
        <x:v>Yes</x:v>
      </x:c>
      <x:c r="S305" s="56" t="n">
        <x:v>8246</x:v>
      </x:c>
      <x:c r="T305" s="56" t="n">
        <x:v>15912</x:v>
      </x:c>
      <x:c r="U305" s="40" t="n">
        <x:f>E305*Assumptions!$B$8</x:f>
        <x:v>27519.6</x:v>
      </x:c>
      <x:c r="V305" s="40" t="n">
        <x:f>P305*Assumptions!$B$8</x:f>
        <x:v>26919.710153179083</x:v>
      </x:c>
      <x:c r="W305" s="54" t="n">
        <x:f>V305-U305</x:f>
        <x:v>-599.8898468209154</x:v>
      </x:c>
      <x:c r="X305" s="58" t="n">
        <x:f>IF(R305="No","",W305*S305)</x:f>
        <x:v>-4946691.676885269</x:v>
      </x:c>
      <x:c r="Y305" s="58" t="n">
        <x:f>IF(R305="No","",W305*T305*Assumptions!$B$9)</x:f>
        <x:v>-2863634.1727843215</x:v>
      </x:c>
      <x:c r="Z305" s="58" t="n">
        <x:f>IF(R305="No","",X305-Y305)</x:f>
        <x:v>-2083057.5041009472</x:v>
      </x:c>
      <x:c r="AA305" s="58" t="n">
        <x:f>IF(R305="No","",MAX(0,-Z305))</x:f>
        <x:v>2083057.5041009472</x:v>
      </x:c>
      <x:c r="AB305" s="52" t="n">
        <x:f>IF(OR(R305="No",U305*S305=0),"",AA305/(U305*S305))</x:f>
        <x:v>0.0091794320534711</x:v>
      </x:c>
      <x:c r="AC305" s="54" t="n">
        <x:f>IF(OR(R305="No",S305-T305*Assumptions!$B$9&lt;=0),"",AA305/(Assumptions!$B$8*(S305-T305*Assumptions!$B$9)))</x:f>
        <x:v>705.752760965783</x:v>
      </x:c>
      <x:c r="AD305" s="52" t="n">
        <x:f>IF(OR(R305="No",U305*S305=0),"",AA305/(U305*S305))</x:f>
        <x:v>0.0091794320534711</x:v>
      </x:c>
      <x:c r="AE305" s="50" t="str">
        <x:f>IF(R305="No","No finance data",IF(AB305&gt;=10%,"Severe",IF(AB305&gt;=5%,"High",IF(AB305&gt;=2%,"Moderate","Low"))))</x:f>
        <x:v>Low</x:v>
      </x:c>
      <x:c r="AF305" s="60" t="n">
        <x:v>29.64629</x:v>
      </x:c>
      <x:c r="AG305" s="60" t="n">
        <x:v>-82.347911</x:v>
      </x:c>
      <x:c r="AH305" s="44" t="str">
        <x:v>Undergraduate tuition-contribution proxy only; not an audited total institutional budget.</x:v>
      </x:c>
    </x:row>
    <x:row r="306">
      <x:c r="A306" s="16" t="n">
        <x:v>484473</x:v>
      </x:c>
      <x:c r="B306" s="16" t="str">
        <x:v>University of Florida-Online</x:v>
      </x:c>
      <x:c r="C306" s="16" t="str">
        <x:v>FL</x:v>
      </x:c>
      <x:c r="D306" s="16" t="str">
        <x:v>Public</x:v>
      </x:c>
      <x:c r="E306" s="34" t="n">
        <x:v>1596</x:v>
      </x:c>
      <x:c r="F306" s="21" t="n">
        <x:v>0.6574</x:v>
      </x:c>
      <x:c r="G306" s="16" t="str">
        <x:v>Regional</x:v>
      </x:c>
      <x:c r="H306" s="36" t="n">
        <x:f>IF(G306="National",Assumptions!$B$11,IF(G306="Statewide",Assumptions!$B$12,Assumptions!$B$13))</x:f>
        <x:v>0.85</x:v>
      </x:c>
      <x:c r="I306" s="21" t="n">
        <x:v>-0.01895702822183576</x:v>
      </x:c>
      <x:c r="J306" s="21" t="n">
        <x:v>0.0550021999203838</x:v>
      </x:c>
      <x:c r="K306" s="21" t="n">
        <x:v>0.03672400427413103</x:v>
      </x:c>
      <x:c r="L306" s="36" t="n">
        <x:f>IF(Assumptions!$B$4=2030,I306,IF(Assumptions!$B$4=2035,J306,K306))</x:f>
        <x:v>0.0550021999203838</x:v>
      </x:c>
      <x:c r="M306" s="36" t="n">
        <x:f>Assumptions!$B$19</x:f>
        <x:v>-0.04739891965741583</x:v>
      </x:c>
      <x:c r="N306" s="52" t="n">
        <x:f>H306*L306+(1-H306)*M306+O306</x:f>
        <x:v>0.03964203198371385</x:v>
      </x:c>
      <x:c r="O306" s="36" t="n">
        <x:f>Assumptions!$B$10</x:f>
        <x:v>0</x:v>
      </x:c>
      <x:c r="P306" s="54" t="n">
        <x:f>E306*(1+N306)</x:f>
        <x:v>1659.2686830460073</x:v>
      </x:c>
      <x:c r="Q306" s="54" t="n">
        <x:f>P306-E306</x:f>
        <x:v>63.268683046007254</x:v>
      </x:c>
      <x:c r="R306" s="16" t="str">
        <x:v>Yes</x:v>
      </x:c>
      <x:c r="S306" s="56" t="n">
        <x:v>170</x:v>
      </x:c>
      <x:c r="T306" s="56" t="n">
        <x:v>5081</x:v>
      </x:c>
      <x:c r="U306" s="40" t="n">
        <x:f>E306*Assumptions!$B$8</x:f>
        <x:v>1356.6</x:v>
      </x:c>
      <x:c r="V306" s="40" t="n">
        <x:f>P306*Assumptions!$B$8</x:f>
        <x:v>1410.3783805891062</x:v>
      </x:c>
      <x:c r="W306" s="54" t="n">
        <x:f>V306-U306</x:f>
        <x:v>53.77838058910629</x:v>
      </x:c>
      <x:c r="X306" s="58" t="n">
        <x:f>IF(R306="No","",W306*S306)</x:f>
        <x:v>9142.32470014807</x:v>
      </x:c>
      <x:c r="Y306" s="58" t="n">
        <x:f>IF(R306="No","",W306*T306*Assumptions!$B$9)</x:f>
        <x:v>81974.38553197472</x:v>
      </x:c>
      <x:c r="Z306" s="58" t="n">
        <x:f>IF(R306="No","",X306-Y306)</x:f>
        <x:v>-72832.06083182665</x:v>
      </x:c>
      <x:c r="AA306" s="58" t="n">
        <x:f>IF(R306="No","",MAX(0,-Z306))</x:f>
        <x:v>72832.06083182665</x:v>
      </x:c>
      <x:c r="AB306" s="52" t="n">
        <x:f>IF(OR(R306="No",U306*S306=0),"",AA306/(U306*S306))</x:f>
        <x:v>0.3158070818561397</x:v>
      </x:c>
      <x:c r="AC306" s="54" t="str">
        <x:f>IF(OR(R306="No",S306-T306*Assumptions!$B$9&lt;=0),"",AA306/(Assumptions!$B$8*(S306-T306*Assumptions!$B$9)))</x:f>
      </x:c>
      <x:c r="AD306" s="52" t="n">
        <x:f>IF(OR(R306="No",U306*S306=0),"",AA306/(U306*S306))</x:f>
        <x:v>0.3158070818561397</x:v>
      </x:c>
      <x:c r="AE306" s="50" t="str">
        <x:f>IF(R306="No","No finance data",IF(AB306&gt;=10%,"Severe",IF(AB306&gt;=5%,"High",IF(AB306&gt;=2%,"Moderate","Low"))))</x:f>
        <x:v>Severe</x:v>
      </x:c>
      <x:c r="AF306" s="60" t="n">
        <x:v>29.649413</x:v>
      </x:c>
      <x:c r="AG306" s="60" t="n">
        <x:v>-82.339848</x:v>
      </x:c>
      <x:c r="AH306" s="44" t="str">
        <x:v>Undergraduate tuition-contribution proxy only; not an audited total institutional budget.</x:v>
      </x:c>
    </x:row>
    <x:row r="307">
      <x:c r="A307" s="16" t="n">
        <x:v>457402</x:v>
      </x:c>
      <x:c r="B307" s="16" t="str">
        <x:v>University of Fort Lauderdale</x:v>
      </x:c>
      <x:c r="C307" s="16" t="str">
        <x:v>FL</x:v>
      </x:c>
      <x:c r="D307" s="16" t="str">
        <x:v>Private nonprofit</x:v>
      </x:c>
      <x:c r="E307" s="34" t="n">
        <x:v>22</x:v>
      </x:c>
      <x:c r="F307" s="21"/>
      <x:c r="G307" s="16" t="str">
        <x:v>Regional</x:v>
      </x:c>
      <x:c r="H307" s="36" t="n">
        <x:f>IF(G307="National",Assumptions!$B$11,IF(G307="Statewide",Assumptions!$B$12,Assumptions!$B$13))</x:f>
        <x:v>0.85</x:v>
      </x:c>
      <x:c r="I307" s="21" t="n">
        <x:v>-0.01895702822183576</x:v>
      </x:c>
      <x:c r="J307" s="21" t="n">
        <x:v>0.0550021999203838</x:v>
      </x:c>
      <x:c r="K307" s="21" t="n">
        <x:v>0.03672400427413103</x:v>
      </x:c>
      <x:c r="L307" s="36" t="n">
        <x:f>IF(Assumptions!$B$4=2030,I307,IF(Assumptions!$B$4=2035,J307,K307))</x:f>
        <x:v>0.0550021999203838</x:v>
      </x:c>
      <x:c r="M307" s="36" t="n">
        <x:f>Assumptions!$B$19</x:f>
        <x:v>-0.04739891965741583</x:v>
      </x:c>
      <x:c r="N307" s="52" t="n">
        <x:f>H307*L307+(1-H307)*M307+O307</x:f>
        <x:v>0.03964203198371385</x:v>
      </x:c>
      <x:c r="O307" s="36" t="n">
        <x:f>Assumptions!$B$10</x:f>
        <x:v>0</x:v>
      </x:c>
      <x:c r="P307" s="54" t="n">
        <x:f>E307*(1+N307)</x:f>
        <x:v>22.872124703641706</x:v>
      </x:c>
      <x:c r="Q307" s="54" t="n">
        <x:f>P307-E307</x:f>
        <x:v>0.8721247036417061</x:v>
      </x:c>
      <x:c r="R307" s="16" t="str">
        <x:v>No</x:v>
      </x:c>
      <x:c r="S307" s="56"/>
      <x:c r="T307" s="56"/>
      <x:c r="U307" s="40" t="n">
        <x:f>E307*Assumptions!$B$8</x:f>
        <x:v>18.7</x:v>
      </x:c>
      <x:c r="V307" s="40" t="n">
        <x:f>P307*Assumptions!$B$8</x:f>
        <x:v>19.44130599809545</x:v>
      </x:c>
      <x:c r="W307" s="54" t="n">
        <x:f>V307-U307</x:f>
        <x:v>0.7413059980954522</x:v>
      </x:c>
      <x:c r="X307" s="58" t="str">
        <x:f>IF(R307="No","",W307*S307)</x:f>
      </x:c>
      <x:c r="Y307" s="58" t="str">
        <x:f>IF(R307="No","",W307*T307*Assumptions!$B$9)</x:f>
      </x:c>
      <x:c r="Z307" s="58" t="str">
        <x:f>IF(R307="No","",X307-Y307)</x:f>
      </x:c>
      <x:c r="AA307" s="58" t="str">
        <x:f>IF(R307="No","",MAX(0,-Z307))</x:f>
      </x:c>
      <x:c r="AB307" s="52" t="str">
        <x:f>IF(OR(R307="No",U307*S307=0),"",AA307/(U307*S307))</x:f>
      </x:c>
      <x:c r="AC307" s="54" t="str">
        <x:f>IF(OR(R307="No",S307-T307*Assumptions!$B$9&lt;=0),"",AA307/(Assumptions!$B$8*(S307-T307*Assumptions!$B$9)))</x:f>
      </x:c>
      <x:c r="AD307" s="52" t="str">
        <x:f>IF(OR(R307="No",U307*S307=0),"",AA307/(U307*S307))</x:f>
      </x:c>
      <x:c r="AE307" s="50" t="str">
        <x:f>IF(R307="No","No finance data",IF(AB307&gt;=10%,"Severe",IF(AB307&gt;=5%,"High",IF(AB307&gt;=2%,"Moderate","Low"))))</x:f>
        <x:v>No finance data</x:v>
      </x:c>
      <x:c r="AF307" s="60"/>
      <x:c r="AG307" s="60"/>
      <x:c r="AH307" s="44" t="str">
        <x:v>Undergraduate tuition-contribution proxy only; not an audited total institutional budget.</x:v>
      </x:c>
    </x:row>
    <x:row r="308">
      <x:c r="A308" s="16" t="n">
        <x:v>135726</x:v>
      </x:c>
      <x:c r="B308" s="16" t="str">
        <x:v>University of Miami</x:v>
      </x:c>
      <x:c r="C308" s="16" t="str">
        <x:v>FL</x:v>
      </x:c>
      <x:c r="D308" s="16" t="str">
        <x:v>Private nonprofit</x:v>
      </x:c>
      <x:c r="E308" s="34" t="n">
        <x:v>10768</x:v>
      </x:c>
      <x:c r="F308" s="21" t="n">
        <x:v>0.2849</x:v>
      </x:c>
      <x:c r="G308" s="16" t="str">
        <x:v>National</x:v>
      </x:c>
      <x:c r="H308" s="36" t="n">
        <x:f>IF(G308="National",Assumptions!$B$11,IF(G308="Statewide",Assumptions!$B$12,Assumptions!$B$13))</x:f>
        <x:v>0.25</x:v>
      </x:c>
      <x:c r="I308" s="21" t="n">
        <x:v>-0.01895702822183576</x:v>
      </x:c>
      <x:c r="J308" s="21" t="n">
        <x:v>0.0550021999203838</x:v>
      </x:c>
      <x:c r="K308" s="21" t="n">
        <x:v>0.03672400427413103</x:v>
      </x:c>
      <x:c r="L308" s="36" t="n">
        <x:f>IF(Assumptions!$B$4=2030,I308,IF(Assumptions!$B$4=2035,J308,K308))</x:f>
        <x:v>0.0550021999203838</x:v>
      </x:c>
      <x:c r="M308" s="36" t="n">
        <x:f>Assumptions!$B$19</x:f>
        <x:v>-0.04739891965741583</x:v>
      </x:c>
      <x:c r="N308" s="52" t="n">
        <x:f>H308*L308+(1-H308)*M308+O308</x:f>
        <x:v>-0.02179863976296592</x:v>
      </x:c>
      <x:c r="O308" s="36" t="n">
        <x:f>Assumptions!$B$10</x:f>
        <x:v>0</x:v>
      </x:c>
      <x:c r="P308" s="54" t="n">
        <x:f>E308*(1+N308)</x:f>
        <x:v>10533.272247032382</x:v>
      </x:c>
      <x:c r="Q308" s="54" t="n">
        <x:f>P308-E308</x:f>
        <x:v>-234.72775296761756</x:v>
      </x:c>
      <x:c r="R308" s="16" t="str">
        <x:v>Yes</x:v>
      </x:c>
      <x:c r="S308" s="56" t="n">
        <x:v>34840</x:v>
      </x:c>
      <x:c r="T308" s="56" t="n">
        <x:v>29931</x:v>
      </x:c>
      <x:c r="U308" s="40" t="n">
        <x:f>E308*Assumptions!$B$8</x:f>
        <x:v>9152.8</x:v>
      </x:c>
      <x:c r="V308" s="40" t="n">
        <x:f>P308*Assumptions!$B$8</x:f>
        <x:v>8953.281409977524</x:v>
      </x:c>
      <x:c r="W308" s="54" t="n">
        <x:f>V308-U308</x:f>
        <x:v>-199.5185900224751</x:v>
      </x:c>
      <x:c r="X308" s="58" t="n">
        <x:f>IF(R308="No","",W308*S308)</x:f>
        <x:v>-6951227.676383032</x:v>
      </x:c>
      <x:c r="Y308" s="58" t="n">
        <x:f>IF(R308="No","",W308*T308*Assumptions!$B$9)</x:f>
        <x:v>-1791537.2753888108</x:v>
      </x:c>
      <x:c r="Z308" s="58" t="n">
        <x:f>IF(R308="No","",X308-Y308)</x:f>
        <x:v>-5159690.400994222</x:v>
      </x:c>
      <x:c r="AA308" s="58" t="n">
        <x:f>IF(R308="No","",MAX(0,-Z308))</x:f>
        <x:v>5159690.400994222</x:v>
      </x:c>
      <x:c r="AB308" s="52" t="n">
        <x:f>IF(OR(R308="No",U308*S308=0),"",AA308/(U308*S308))</x:f>
        <x:v>0.016180484595813276</x:v>
      </x:c>
      <x:c r="AC308" s="54" t="n">
        <x:f>IF(OR(R308="No",S308-T308*Assumptions!$B$9&lt;=0),"",AA308/(Assumptions!$B$8*(S308-T308*Assumptions!$B$9)))</x:f>
        <x:v>234.72775296761773</x:v>
      </x:c>
      <x:c r="AD308" s="52" t="n">
        <x:f>IF(OR(R308="No",U308*S308=0),"",AA308/(U308*S308))</x:f>
        <x:v>0.016180484595813276</x:v>
      </x:c>
      <x:c r="AE308" s="50" t="str">
        <x:f>IF(R308="No","No finance data",IF(AB308&gt;=10%,"Severe",IF(AB308&gt;=5%,"High",IF(AB308&gt;=2%,"Moderate","Low"))))</x:f>
        <x:v>Low</x:v>
      </x:c>
      <x:c r="AF308" s="60" t="n">
        <x:v>25.72126</x:v>
      </x:c>
      <x:c r="AG308" s="60" t="n">
        <x:v>-80.278662</x:v>
      </x:c>
      <x:c r="AH308" s="44" t="str">
        <x:v>Undergraduate tuition-contribution proxy only; not an audited total institutional budget.</x:v>
      </x:c>
    </x:row>
    <x:row r="309">
      <x:c r="A309" s="16" t="n">
        <x:v>136172</x:v>
      </x:c>
      <x:c r="B309" s="16" t="str">
        <x:v>University of North Florida</x:v>
      </x:c>
      <x:c r="C309" s="16" t="str">
        <x:v>FL</x:v>
      </x:c>
      <x:c r="D309" s="16" t="str">
        <x:v>Public</x:v>
      </x:c>
      <x:c r="E309" s="34" t="n">
        <x:v>13562</x:v>
      </x:c>
      <x:c r="F309" s="21" t="n">
        <x:v>0.7749</x:v>
      </x:c>
      <x:c r="G309" s="16" t="str">
        <x:v>Statewide</x:v>
      </x:c>
      <x:c r="H309" s="36" t="n">
        <x:f>IF(G309="National",Assumptions!$B$11,IF(G309="Statewide",Assumptions!$B$12,Assumptions!$B$13))</x:f>
        <x:v>0.6</x:v>
      </x:c>
      <x:c r="I309" s="21" t="n">
        <x:v>-0.01895702822183576</x:v>
      </x:c>
      <x:c r="J309" s="21" t="n">
        <x:v>0.0550021999203838</x:v>
      </x:c>
      <x:c r="K309" s="21" t="n">
        <x:v>0.03672400427413103</x:v>
      </x:c>
      <x:c r="L309" s="36" t="n">
        <x:f>IF(Assumptions!$B$4=2030,I309,IF(Assumptions!$B$4=2035,J309,K309))</x:f>
        <x:v>0.0550021999203838</x:v>
      </x:c>
      <x:c r="M309" s="36" t="n">
        <x:f>Assumptions!$B$19</x:f>
        <x:v>-0.04739891965741583</x:v>
      </x:c>
      <x:c r="N309" s="52" t="n">
        <x:f>H309*L309+(1-H309)*M309+O309</x:f>
        <x:v>0.014041752089263941</x:v>
      </x:c>
      <x:c r="O309" s="36" t="n">
        <x:f>Assumptions!$B$10</x:f>
        <x:v>0</x:v>
      </x:c>
      <x:c r="P309" s="54" t="n">
        <x:f>E309*(1+N309)</x:f>
        <x:v>13752.434241834597</x:v>
      </x:c>
      <x:c r="Q309" s="54" t="n">
        <x:f>P309-E309</x:f>
        <x:v>190.43424183459683</x:v>
      </x:c>
      <x:c r="R309" s="16" t="str">
        <x:v>Yes</x:v>
      </x:c>
      <x:c r="S309" s="56" t="n">
        <x:v>5103</x:v>
      </x:c>
      <x:c r="T309" s="56" t="n">
        <x:v>6289</x:v>
      </x:c>
      <x:c r="U309" s="40" t="n">
        <x:f>E309*Assumptions!$B$8</x:f>
        <x:v>11527.699999999999</x:v>
      </x:c>
      <x:c r="V309" s="40" t="n">
        <x:f>P309*Assumptions!$B$8</x:f>
        <x:v>11689.569105559407</x:v>
      </x:c>
      <x:c r="W309" s="54" t="n">
        <x:f>V309-U309</x:f>
        <x:v>161.86910555940813</x:v>
      </x:c>
      <x:c r="X309" s="58" t="n">
        <x:f>IF(R309="No","",W309*S309)</x:f>
        <x:v>826018.0456696596</x:v>
      </x:c>
      <x:c r="Y309" s="58" t="n">
        <x:f>IF(R309="No","",W309*T309*Assumptions!$B$9)</x:f>
        <x:v>305398.4414589353</x:v>
      </x:c>
      <x:c r="Z309" s="58" t="n">
        <x:f>IF(R309="No","",X309-Y309)</x:f>
        <x:v>520619.6042107243</x:v>
      </x:c>
      <x:c r="AA309" s="58" t="n">
        <x:f>IF(R309="No","",MAX(0,-Z309))</x:f>
        <x:v>0</x:v>
      </x:c>
      <x:c r="AB309" s="52" t="n">
        <x:f>IF(OR(R309="No",U309*S309=0),"",AA309/(U309*S309))</x:f>
        <x:v>0</x:v>
      </x:c>
      <x:c r="AC309" s="54" t="n">
        <x:f>IF(OR(R309="No",S309-T309*Assumptions!$B$9&lt;=0),"",AA309/(Assumptions!$B$8*(S309-T309*Assumptions!$B$9)))</x:f>
        <x:v>0</x:v>
      </x:c>
      <x:c r="AD309" s="52" t="n">
        <x:f>IF(OR(R309="No",U309*S309=0),"",AA309/(U309*S309))</x:f>
        <x:v>0</x:v>
      </x:c>
      <x:c r="AE309" s="50" t="str">
        <x:f>IF(R309="No","No finance data",IF(AB309&gt;=10%,"Severe",IF(AB309&gt;=5%,"High",IF(AB309&gt;=2%,"Moderate","Low"))))</x:f>
        <x:v>Low</x:v>
      </x:c>
      <x:c r="AF309" s="60" t="n">
        <x:v>30.27194</x:v>
      </x:c>
      <x:c r="AG309" s="60" t="n">
        <x:v>-81.509144</x:v>
      </x:c>
      <x:c r="AH309" s="44" t="str">
        <x:v>Undergraduate tuition-contribution proxy only; not an audited total institutional budget.</x:v>
      </x:c>
    </x:row>
    <x:row r="310">
      <x:c r="A310" s="16" t="n">
        <x:v>137351</x:v>
      </x:c>
      <x:c r="B310" s="16" t="str">
        <x:v>University of South Florida-Main Campus</x:v>
      </x:c>
      <x:c r="C310" s="16" t="str">
        <x:v>FL</x:v>
      </x:c>
      <x:c r="D310" s="16" t="str">
        <x:v>Public</x:v>
      </x:c>
      <x:c r="E310" s="34" t="n">
        <x:v>30282</x:v>
      </x:c>
      <x:c r="F310" s="21" t="n">
        <x:v>0.4938</x:v>
      </x:c>
      <x:c r="G310" s="16" t="str">
        <x:v>National</x:v>
      </x:c>
      <x:c r="H310" s="36" t="n">
        <x:f>IF(G310="National",Assumptions!$B$11,IF(G310="Statewide",Assumptions!$B$12,Assumptions!$B$13))</x:f>
        <x:v>0.25</x:v>
      </x:c>
      <x:c r="I310" s="21" t="n">
        <x:v>-0.01895702822183576</x:v>
      </x:c>
      <x:c r="J310" s="21" t="n">
        <x:v>0.0550021999203838</x:v>
      </x:c>
      <x:c r="K310" s="21" t="n">
        <x:v>0.03672400427413103</x:v>
      </x:c>
      <x:c r="L310" s="36" t="n">
        <x:f>IF(Assumptions!$B$4=2030,I310,IF(Assumptions!$B$4=2035,J310,K310))</x:f>
        <x:v>0.0550021999203838</x:v>
      </x:c>
      <x:c r="M310" s="36" t="n">
        <x:f>Assumptions!$B$19</x:f>
        <x:v>-0.04739891965741583</x:v>
      </x:c>
      <x:c r="N310" s="52" t="n">
        <x:f>H310*L310+(1-H310)*M310+O310</x:f>
        <x:v>-0.02179863976296592</x:v>
      </x:c>
      <x:c r="O310" s="36" t="n">
        <x:f>Assumptions!$B$10</x:f>
        <x:v>0</x:v>
      </x:c>
      <x:c r="P310" s="54" t="n">
        <x:f>E310*(1+N310)</x:f>
        <x:v>29621.893590697866</x:v>
      </x:c>
      <x:c r="Q310" s="54" t="n">
        <x:f>P310-E310</x:f>
        <x:v>-660.1064093021341</x:v>
      </x:c>
      <x:c r="R310" s="16" t="str">
        <x:v>Yes</x:v>
      </x:c>
      <x:c r="S310" s="56" t="n">
        <x:v>5863</x:v>
      </x:c>
      <x:c r="T310" s="56" t="n">
        <x:v>10045</x:v>
      </x:c>
      <x:c r="U310" s="40" t="n">
        <x:f>E310*Assumptions!$B$8</x:f>
        <x:v>25739.7</x:v>
      </x:c>
      <x:c r="V310" s="40" t="n">
        <x:f>P310*Assumptions!$B$8</x:f>
        <x:v>25178.609552093185</x:v>
      </x:c>
      <x:c r="W310" s="54" t="n">
        <x:f>V310-U310</x:f>
        <x:v>-561.0904479068158</x:v>
      </x:c>
      <x:c r="X310" s="58" t="n">
        <x:f>IF(R310="No","",W310*S310)</x:f>
        <x:v>-3289673.296077661</x:v>
      </x:c>
      <x:c r="Y310" s="58" t="n">
        <x:f>IF(R310="No","",W310*T310*Assumptions!$B$9)</x:f>
        <x:v>-1690846.0647671896</x:v>
      </x:c>
      <x:c r="Z310" s="58" t="n">
        <x:f>IF(R310="No","",X310-Y310)</x:f>
        <x:v>-1598827.2313104717</x:v>
      </x:c>
      <x:c r="AA310" s="58" t="n">
        <x:f>IF(R310="No","",MAX(0,-Z310))</x:f>
        <x:v>1598827.2313104717</x:v>
      </x:c>
      <x:c r="AB310" s="52" t="n">
        <x:f>IF(OR(R310="No",U310*S310=0),"",AA310/(U310*S310))</x:f>
        <x:v>0.010594443800882074</x:v>
      </x:c>
      <x:c r="AC310" s="54" t="n">
        <x:f>IF(OR(R310="No",S310-T310*Assumptions!$B$9&lt;=0),"",AA310/(Assumptions!$B$8*(S310-T310*Assumptions!$B$9)))</x:f>
        <x:v>660.1064093021363</x:v>
      </x:c>
      <x:c r="AD310" s="52" t="n">
        <x:f>IF(OR(R310="No",U310*S310=0),"",AA310/(U310*S310))</x:f>
        <x:v>0.010594443800882074</x:v>
      </x:c>
      <x:c r="AE310" s="50" t="str">
        <x:f>IF(R310="No","No finance data",IF(AB310&gt;=10%,"Severe",IF(AB310&gt;=5%,"High",IF(AB310&gt;=2%,"Moderate","Low"))))</x:f>
        <x:v>Low</x:v>
      </x:c>
      <x:c r="AF310" s="60" t="n">
        <x:v>28.061458</x:v>
      </x:c>
      <x:c r="AG310" s="60" t="n">
        <x:v>-82.413232</x:v>
      </x:c>
      <x:c r="AH310" s="44" t="str">
        <x:v>Undergraduate tuition-contribution proxy only; not an audited total institutional budget.</x:v>
      </x:c>
    </x:row>
    <x:row r="311">
      <x:c r="A311" s="16" t="n">
        <x:v>451671</x:v>
      </x:c>
      <x:c r="B311" s="16" t="str">
        <x:v>University of South Florida-Sarasota-Manatee</x:v>
      </x:c>
      <x:c r="C311" s="16" t="str">
        <x:v>FL</x:v>
      </x:c>
      <x:c r="D311" s="16" t="str">
        <x:v>Public</x:v>
      </x:c>
      <x:c r="E311" s="34" t="n">
        <x:v>1752</x:v>
      </x:c>
      <x:c r="F311" s="21"/>
      <x:c r="G311" s="16" t="str">
        <x:v>Regional</x:v>
      </x:c>
      <x:c r="H311" s="36" t="n">
        <x:f>IF(G311="National",Assumptions!$B$11,IF(G311="Statewide",Assumptions!$B$12,Assumptions!$B$13))</x:f>
        <x:v>0.85</x:v>
      </x:c>
      <x:c r="I311" s="21" t="n">
        <x:v>-0.01895702822183576</x:v>
      </x:c>
      <x:c r="J311" s="21" t="n">
        <x:v>0.0550021999203838</x:v>
      </x:c>
      <x:c r="K311" s="21" t="n">
        <x:v>0.03672400427413103</x:v>
      </x:c>
      <x:c r="L311" s="36" t="n">
        <x:f>IF(Assumptions!$B$4=2030,I311,IF(Assumptions!$B$4=2035,J311,K311))</x:f>
        <x:v>0.0550021999203838</x:v>
      </x:c>
      <x:c r="M311" s="36" t="n">
        <x:f>Assumptions!$B$19</x:f>
        <x:v>-0.04739891965741583</x:v>
      </x:c>
      <x:c r="N311" s="52" t="n">
        <x:f>H311*L311+(1-H311)*M311+O311</x:f>
        <x:v>0.03964203198371385</x:v>
      </x:c>
      <x:c r="O311" s="36" t="n">
        <x:f>Assumptions!$B$10</x:f>
        <x:v>0</x:v>
      </x:c>
      <x:c r="P311" s="54" t="n">
        <x:f>E311*(1+N311)</x:f>
        <x:v>1821.4528400354666</x:v>
      </x:c>
      <x:c r="Q311" s="54" t="n">
        <x:f>P311-E311</x:f>
        <x:v>69.45284003546658</x:v>
      </x:c>
      <x:c r="R311" s="16" t="str">
        <x:v>No</x:v>
      </x:c>
      <x:c r="S311" s="56"/>
      <x:c r="T311" s="56"/>
      <x:c r="U311" s="40" t="n">
        <x:f>E311*Assumptions!$B$8</x:f>
        <x:v>1489.2</x:v>
      </x:c>
      <x:c r="V311" s="40" t="n">
        <x:f>P311*Assumptions!$B$8</x:f>
        <x:v>1548.2349140301465</x:v>
      </x:c>
      <x:c r="W311" s="54" t="n">
        <x:f>V311-U311</x:f>
        <x:v>59.03491403014641</x:v>
      </x:c>
      <x:c r="X311" s="58" t="str">
        <x:f>IF(R311="No","",W311*S311)</x:f>
      </x:c>
      <x:c r="Y311" s="58" t="str">
        <x:f>IF(R311="No","",W311*T311*Assumptions!$B$9)</x:f>
      </x:c>
      <x:c r="Z311" s="58" t="str">
        <x:f>IF(R311="No","",X311-Y311)</x:f>
      </x:c>
      <x:c r="AA311" s="58" t="str">
        <x:f>IF(R311="No","",MAX(0,-Z311))</x:f>
      </x:c>
      <x:c r="AB311" s="52" t="str">
        <x:f>IF(OR(R311="No",U311*S311=0),"",AA311/(U311*S311))</x:f>
      </x:c>
      <x:c r="AC311" s="54" t="str">
        <x:f>IF(OR(R311="No",S311-T311*Assumptions!$B$9&lt;=0),"",AA311/(Assumptions!$B$8*(S311-T311*Assumptions!$B$9)))</x:f>
      </x:c>
      <x:c r="AD311" s="52" t="str">
        <x:f>IF(OR(R311="No",U311*S311=0),"",AA311/(U311*S311))</x:f>
      </x:c>
      <x:c r="AE311" s="50" t="str">
        <x:f>IF(R311="No","No finance data",IF(AB311&gt;=10%,"Severe",IF(AB311&gt;=5%,"High",IF(AB311&gt;=2%,"Moderate","Low"))))</x:f>
        <x:v>No finance data</x:v>
      </x:c>
      <x:c r="AF311" s="60"/>
      <x:c r="AG311" s="60"/>
      <x:c r="AH311" s="44" t="str">
        <x:v>Undergraduate tuition-contribution proxy only; not an audited total institutional budget.</x:v>
      </x:c>
    </x:row>
    <x:row r="312">
      <x:c r="A312" s="16" t="n">
        <x:v>448840</x:v>
      </x:c>
      <x:c r="B312" s="16" t="str">
        <x:v>University of South Florida-St Petersburg</x:v>
      </x:c>
      <x:c r="C312" s="16" t="str">
        <x:v>FL</x:v>
      </x:c>
      <x:c r="D312" s="16" t="str">
        <x:v>Public</x:v>
      </x:c>
      <x:c r="E312" s="34" t="n">
        <x:v>3932</x:v>
      </x:c>
      <x:c r="F312" s="21"/>
      <x:c r="G312" s="16" t="str">
        <x:v>Regional</x:v>
      </x:c>
      <x:c r="H312" s="36" t="n">
        <x:f>IF(G312="National",Assumptions!$B$11,IF(G312="Statewide",Assumptions!$B$12,Assumptions!$B$13))</x:f>
        <x:v>0.85</x:v>
      </x:c>
      <x:c r="I312" s="21" t="n">
        <x:v>-0.01895702822183576</x:v>
      </x:c>
      <x:c r="J312" s="21" t="n">
        <x:v>0.0550021999203838</x:v>
      </x:c>
      <x:c r="K312" s="21" t="n">
        <x:v>0.03672400427413103</x:v>
      </x:c>
      <x:c r="L312" s="36" t="n">
        <x:f>IF(Assumptions!$B$4=2030,I312,IF(Assumptions!$B$4=2035,J312,K312))</x:f>
        <x:v>0.0550021999203838</x:v>
      </x:c>
      <x:c r="M312" s="36" t="n">
        <x:f>Assumptions!$B$19</x:f>
        <x:v>-0.04739891965741583</x:v>
      </x:c>
      <x:c r="N312" s="52" t="n">
        <x:f>H312*L312+(1-H312)*M312+O312</x:f>
        <x:v>0.03964203198371385</x:v>
      </x:c>
      <x:c r="O312" s="36" t="n">
        <x:f>Assumptions!$B$10</x:f>
        <x:v>0</x:v>
      </x:c>
      <x:c r="P312" s="54" t="n">
        <x:f>E312*(1+N312)</x:f>
        <x:v>4087.8724697599628</x:v>
      </x:c>
      <x:c r="Q312" s="54" t="n">
        <x:f>P312-E312</x:f>
        <x:v>155.87246975996277</x:v>
      </x:c>
      <x:c r="R312" s="16" t="str">
        <x:v>No</x:v>
      </x:c>
      <x:c r="S312" s="56"/>
      <x:c r="T312" s="56"/>
      <x:c r="U312" s="40" t="n">
        <x:f>E312*Assumptions!$B$8</x:f>
        <x:v>3342.2</x:v>
      </x:c>
      <x:c r="V312" s="40" t="n">
        <x:f>P312*Assumptions!$B$8</x:f>
        <x:v>3474.6915992959684</x:v>
      </x:c>
      <x:c r="W312" s="54" t="n">
        <x:f>V312-U312</x:f>
        <x:v>132.49159929596863</x:v>
      </x:c>
      <x:c r="X312" s="58" t="str">
        <x:f>IF(R312="No","",W312*S312)</x:f>
      </x:c>
      <x:c r="Y312" s="58" t="str">
        <x:f>IF(R312="No","",W312*T312*Assumptions!$B$9)</x:f>
      </x:c>
      <x:c r="Z312" s="58" t="str">
        <x:f>IF(R312="No","",X312-Y312)</x:f>
      </x:c>
      <x:c r="AA312" s="58" t="str">
        <x:f>IF(R312="No","",MAX(0,-Z312))</x:f>
      </x:c>
      <x:c r="AB312" s="52" t="str">
        <x:f>IF(OR(R312="No",U312*S312=0),"",AA312/(U312*S312))</x:f>
      </x:c>
      <x:c r="AC312" s="54" t="str">
        <x:f>IF(OR(R312="No",S312-T312*Assumptions!$B$9&lt;=0),"",AA312/(Assumptions!$B$8*(S312-T312*Assumptions!$B$9)))</x:f>
      </x:c>
      <x:c r="AD312" s="52" t="str">
        <x:f>IF(OR(R312="No",U312*S312=0),"",AA312/(U312*S312))</x:f>
      </x:c>
      <x:c r="AE312" s="50" t="str">
        <x:f>IF(R312="No","No finance data",IF(AB312&gt;=10%,"Severe",IF(AB312&gt;=5%,"High",IF(AB312&gt;=2%,"Moderate","Low"))))</x:f>
        <x:v>No finance data</x:v>
      </x:c>
      <x:c r="AF312" s="60"/>
      <x:c r="AG312" s="60"/>
      <x:c r="AH312" s="44" t="str">
        <x:v>Undergraduate tuition-contribution proxy only; not an audited total institutional budget.</x:v>
      </x:c>
    </x:row>
    <x:row r="313">
      <x:c r="A313" s="16" t="n">
        <x:v>138275</x:v>
      </x:c>
      <x:c r="B313" s="16" t="str">
        <x:v>Warner University</x:v>
      </x:c>
      <x:c r="C313" s="16" t="str">
        <x:v>FL</x:v>
      </x:c>
      <x:c r="D313" s="16" t="str">
        <x:v>Private nonprofit</x:v>
      </x:c>
      <x:c r="E313" s="34" t="n">
        <x:v>1026</x:v>
      </x:c>
      <x:c r="F313" s="21" t="n">
        <x:v>0.5313</x:v>
      </x:c>
      <x:c r="G313" s="16" t="str">
        <x:v>Regional</x:v>
      </x:c>
      <x:c r="H313" s="36" t="n">
        <x:f>IF(G313="National",Assumptions!$B$11,IF(G313="Statewide",Assumptions!$B$12,Assumptions!$B$13))</x:f>
        <x:v>0.85</x:v>
      </x:c>
      <x:c r="I313" s="21" t="n">
        <x:v>-0.01895702822183576</x:v>
      </x:c>
      <x:c r="J313" s="21" t="n">
        <x:v>0.0550021999203838</x:v>
      </x:c>
      <x:c r="K313" s="21" t="n">
        <x:v>0.03672400427413103</x:v>
      </x:c>
      <x:c r="L313" s="36" t="n">
        <x:f>IF(Assumptions!$B$4=2030,I313,IF(Assumptions!$B$4=2035,J313,K313))</x:f>
        <x:v>0.0550021999203838</x:v>
      </x:c>
      <x:c r="M313" s="36" t="n">
        <x:f>Assumptions!$B$19</x:f>
        <x:v>-0.04739891965741583</x:v>
      </x:c>
      <x:c r="N313" s="52" t="n">
        <x:f>H313*L313+(1-H313)*M313+O313</x:f>
        <x:v>0.03964203198371385</x:v>
      </x:c>
      <x:c r="O313" s="36" t="n">
        <x:f>Assumptions!$B$10</x:f>
        <x:v>0</x:v>
      </x:c>
      <x:c r="P313" s="54" t="n">
        <x:f>E313*(1+N313)</x:f>
        <x:v>1066.6727248152904</x:v>
      </x:c>
      <x:c r="Q313" s="54" t="n">
        <x:f>P313-E313</x:f>
        <x:v>40.672724815290394</x:v>
      </x:c>
      <x:c r="R313" s="16" t="str">
        <x:v>Yes</x:v>
      </x:c>
      <x:c r="S313" s="56" t="n">
        <x:v>12921</x:v>
      </x:c>
      <x:c r="T313" s="56" t="n">
        <x:v>3768</x:v>
      </x:c>
      <x:c r="U313" s="40" t="n">
        <x:f>E313*Assumptions!$B$8</x:f>
        <x:v>872.1</x:v>
      </x:c>
      <x:c r="V313" s="40" t="n">
        <x:f>P313*Assumptions!$B$8</x:f>
        <x:v>906.6718160929968</x:v>
      </x:c>
      <x:c r="W313" s="54" t="n">
        <x:f>V313-U313</x:f>
        <x:v>34.571816092996755</x:v>
      </x:c>
      <x:c r="X313" s="58" t="n">
        <x:f>IF(R313="No","",W313*S313)</x:f>
        <x:v>446702.4357376111</x:v>
      </x:c>
      <x:c r="Y313" s="58" t="n">
        <x:f>IF(R313="No","",W313*T313*Assumptions!$B$9)</x:f>
        <x:v>39079.98091152353</x:v>
      </x:c>
      <x:c r="Z313" s="58" t="n">
        <x:f>IF(R313="No","",X313-Y313)</x:f>
        <x:v>407622.4548260876</x:v>
      </x:c>
      <x:c r="AA313" s="58" t="n">
        <x:f>IF(R313="No","",MAX(0,-Z313))</x:f>
        <x:v>0</x:v>
      </x:c>
      <x:c r="AB313" s="52" t="n">
        <x:f>IF(OR(R313="No",U313*S313=0),"",AA313/(U313*S313))</x:f>
        <x:v>0</x:v>
      </x:c>
      <x:c r="AC313" s="54" t="n">
        <x:f>IF(OR(R313="No",S313-T313*Assumptions!$B$9&lt;=0),"",AA313/(Assumptions!$B$8*(S313-T313*Assumptions!$B$9)))</x:f>
        <x:v>0</x:v>
      </x:c>
      <x:c r="AD313" s="52" t="n">
        <x:f>IF(OR(R313="No",U313*S313=0),"",AA313/(U313*S313))</x:f>
        <x:v>0</x:v>
      </x:c>
      <x:c r="AE313" s="50" t="str">
        <x:f>IF(R313="No","No finance data",IF(AB313&gt;=10%,"Severe",IF(AB313&gt;=5%,"High",IF(AB313&gt;=2%,"Moderate","Low"))))</x:f>
        <x:v>Low</x:v>
      </x:c>
      <x:c r="AF313" s="60" t="n">
        <x:v>27.825751</x:v>
      </x:c>
      <x:c r="AG313" s="60" t="n">
        <x:v>-81.599972</x:v>
      </x:c>
      <x:c r="AH313" s="44" t="str">
        <x:v>Undergraduate tuition-contribution proxy only; not an audited total institutional budget.</x:v>
      </x:c>
    </x:row>
    <x:row r="314">
      <x:c r="A314" s="16" t="n">
        <x:v>138293</x:v>
      </x:c>
      <x:c r="B314" s="16" t="str">
        <x:v>Webber International University</x:v>
      </x:c>
      <x:c r="C314" s="16" t="str">
        <x:v>FL</x:v>
      </x:c>
      <x:c r="D314" s="16" t="str">
        <x:v>Private nonprofit</x:v>
      </x:c>
      <x:c r="E314" s="34" t="n">
        <x:v>681</x:v>
      </x:c>
      <x:c r="F314" s="21" t="n">
        <x:v>0.4574</x:v>
      </x:c>
      <x:c r="G314" s="16" t="str">
        <x:v>Regional</x:v>
      </x:c>
      <x:c r="H314" s="36" t="n">
        <x:f>IF(G314="National",Assumptions!$B$11,IF(G314="Statewide",Assumptions!$B$12,Assumptions!$B$13))</x:f>
        <x:v>0.85</x:v>
      </x:c>
      <x:c r="I314" s="21" t="n">
        <x:v>-0.01895702822183576</x:v>
      </x:c>
      <x:c r="J314" s="21" t="n">
        <x:v>0.0550021999203838</x:v>
      </x:c>
      <x:c r="K314" s="21" t="n">
        <x:v>0.03672400427413103</x:v>
      </x:c>
      <x:c r="L314" s="36" t="n">
        <x:f>IF(Assumptions!$B$4=2030,I314,IF(Assumptions!$B$4=2035,J314,K314))</x:f>
        <x:v>0.0550021999203838</x:v>
      </x:c>
      <x:c r="M314" s="36" t="n">
        <x:f>Assumptions!$B$19</x:f>
        <x:v>-0.04739891965741583</x:v>
      </x:c>
      <x:c r="N314" s="52" t="n">
        <x:f>H314*L314+(1-H314)*M314+O314</x:f>
        <x:v>0.03964203198371385</x:v>
      </x:c>
      <x:c r="O314" s="36" t="n">
        <x:f>Assumptions!$B$10</x:f>
        <x:v>0</x:v>
      </x:c>
      <x:c r="P314" s="54" t="n">
        <x:f>E314*(1+N314)</x:f>
        <x:v>707.9962237809092</x:v>
      </x:c>
      <x:c r="Q314" s="54" t="n">
        <x:f>P314-E314</x:f>
        <x:v>26.99622378090919</x:v>
      </x:c>
      <x:c r="R314" s="16" t="str">
        <x:v>Yes</x:v>
      </x:c>
      <x:c r="S314" s="56" t="n">
        <x:v>15717</x:v>
      </x:c>
      <x:c r="T314" s="56" t="n">
        <x:v>3230</x:v>
      </x:c>
      <x:c r="U314" s="40" t="n">
        <x:f>E314*Assumptions!$B$8</x:f>
        <x:v>578.85</x:v>
      </x:c>
      <x:c r="V314" s="40" t="n">
        <x:f>P314*Assumptions!$B$8</x:f>
        <x:v>601.7967902137729</x:v>
      </x:c>
      <x:c r="W314" s="54" t="n">
        <x:f>V314-U314</x:f>
        <x:v>22.94679021377283</x:v>
      </x:c>
      <x:c r="X314" s="58" t="n">
        <x:f>IF(R314="No","",W314*S314)</x:f>
        <x:v>360654.70178986754</x:v>
      </x:c>
      <x:c r="Y314" s="58" t="n">
        <x:f>IF(R314="No","",W314*T314*Assumptions!$B$9)</x:f>
        <x:v>22235.43971714587</x:v>
      </x:c>
      <x:c r="Z314" s="58" t="n">
        <x:f>IF(R314="No","",X314-Y314)</x:f>
        <x:v>338419.26207272167</x:v>
      </x:c>
      <x:c r="AA314" s="58" t="n">
        <x:f>IF(R314="No","",MAX(0,-Z314))</x:f>
        <x:v>0</x:v>
      </x:c>
      <x:c r="AB314" s="52" t="n">
        <x:f>IF(OR(R314="No",U314*S314=0),"",AA314/(U314*S314))</x:f>
        <x:v>0</x:v>
      </x:c>
      <x:c r="AC314" s="54" t="n">
        <x:f>IF(OR(R314="No",S314-T314*Assumptions!$B$9&lt;=0),"",AA314/(Assumptions!$B$8*(S314-T314*Assumptions!$B$9)))</x:f>
        <x:v>0</x:v>
      </x:c>
      <x:c r="AD314" s="52" t="n">
        <x:f>IF(OR(R314="No",U314*S314=0),"",AA314/(U314*S314))</x:f>
        <x:v>0</x:v>
      </x:c>
      <x:c r="AE314" s="50" t="str">
        <x:f>IF(R314="No","No finance data",IF(AB314&gt;=10%,"Severe",IF(AB314&gt;=5%,"High",IF(AB314&gt;=2%,"Moderate","Low"))))</x:f>
        <x:v>Low</x:v>
      </x:c>
      <x:c r="AF314" s="60" t="n">
        <x:v>27.838778</x:v>
      </x:c>
      <x:c r="AG314" s="60" t="n">
        <x:v>-81.532315</x:v>
      </x:c>
      <x:c r="AH314" s="44" t="str">
        <x:v>Undergraduate tuition-contribution proxy only; not an audited total institutional budget.</x:v>
      </x:c>
    </x:row>
    <x:row r="315">
      <x:c r="A315" s="16" t="n">
        <x:v>363712</x:v>
      </x:c>
      <x:c r="B315" s="16" t="str">
        <x:v>Yeshivah Gedolah Rabbinical College</x:v>
      </x:c>
      <x:c r="C315" s="16" t="str">
        <x:v>FL</x:v>
      </x:c>
      <x:c r="D315" s="16" t="str">
        <x:v>Private nonprofit</x:v>
      </x:c>
      <x:c r="E315" s="34" t="n">
        <x:v>31</x:v>
      </x:c>
      <x:c r="F315" s="21"/>
      <x:c r="G315" s="16" t="str">
        <x:v>Regional</x:v>
      </x:c>
      <x:c r="H315" s="36" t="n">
        <x:f>IF(G315="National",Assumptions!$B$11,IF(G315="Statewide",Assumptions!$B$12,Assumptions!$B$13))</x:f>
        <x:v>0.85</x:v>
      </x:c>
      <x:c r="I315" s="21" t="n">
        <x:v>-0.01895702822183576</x:v>
      </x:c>
      <x:c r="J315" s="21" t="n">
        <x:v>0.0550021999203838</x:v>
      </x:c>
      <x:c r="K315" s="21" t="n">
        <x:v>0.03672400427413103</x:v>
      </x:c>
      <x:c r="L315" s="36" t="n">
        <x:f>IF(Assumptions!$B$4=2030,I315,IF(Assumptions!$B$4=2035,J315,K315))</x:f>
        <x:v>0.0550021999203838</x:v>
      </x:c>
      <x:c r="M315" s="36" t="n">
        <x:f>Assumptions!$B$19</x:f>
        <x:v>-0.04739891965741583</x:v>
      </x:c>
      <x:c r="N315" s="52" t="n">
        <x:f>H315*L315+(1-H315)*M315+O315</x:f>
        <x:v>0.03964203198371385</x:v>
      </x:c>
      <x:c r="O315" s="36" t="n">
        <x:f>Assumptions!$B$10</x:f>
        <x:v>0</x:v>
      </x:c>
      <x:c r="P315" s="54" t="n">
        <x:f>E315*(1+N315)</x:f>
        <x:v>32.22890299149513</x:v>
      </x:c>
      <x:c r="Q315" s="54" t="n">
        <x:f>P315-E315</x:f>
        <x:v>1.2289029914951328</x:v>
      </x:c>
      <x:c r="R315" s="16" t="str">
        <x:v>No</x:v>
      </x:c>
      <x:c r="S315" s="56"/>
      <x:c r="T315" s="56"/>
      <x:c r="U315" s="40" t="n">
        <x:f>E315*Assumptions!$B$8</x:f>
        <x:v>26.349999999999998</x:v>
      </x:c>
      <x:c r="V315" s="40" t="n">
        <x:f>P315*Assumptions!$B$8</x:f>
        <x:v>27.39456754277086</x:v>
      </x:c>
      <x:c r="W315" s="54" t="n">
        <x:f>V315-U315</x:f>
        <x:v>1.0445675427708636</x:v>
      </x:c>
      <x:c r="X315" s="58" t="str">
        <x:f>IF(R315="No","",W315*S315)</x:f>
      </x:c>
      <x:c r="Y315" s="58" t="str">
        <x:f>IF(R315="No","",W315*T315*Assumptions!$B$9)</x:f>
      </x:c>
      <x:c r="Z315" s="58" t="str">
        <x:f>IF(R315="No","",X315-Y315)</x:f>
      </x:c>
      <x:c r="AA315" s="58" t="str">
        <x:f>IF(R315="No","",MAX(0,-Z315))</x:f>
      </x:c>
      <x:c r="AB315" s="52" t="str">
        <x:f>IF(OR(R315="No",U315*S315=0),"",AA315/(U315*S315))</x:f>
      </x:c>
      <x:c r="AC315" s="54" t="str">
        <x:f>IF(OR(R315="No",S315-T315*Assumptions!$B$9&lt;=0),"",AA315/(Assumptions!$B$8*(S315-T315*Assumptions!$B$9)))</x:f>
      </x:c>
      <x:c r="AD315" s="52" t="str">
        <x:f>IF(OR(R315="No",U315*S315=0),"",AA315/(U315*S315))</x:f>
      </x:c>
      <x:c r="AE315" s="50" t="str">
        <x:f>IF(R315="No","No finance data",IF(AB315&gt;=10%,"Severe",IF(AB315&gt;=5%,"High",IF(AB315&gt;=2%,"Moderate","Low"))))</x:f>
        <x:v>No finance data</x:v>
      </x:c>
      <x:c r="AF315" s="60"/>
      <x:c r="AG315" s="60"/>
      <x:c r="AH315" s="44" t="str">
        <x:v>Undergraduate tuition-contribution proxy only; not an audited total institutional budget.</x:v>
      </x:c>
    </x:row>
    <x:row r="316">
      <x:c r="A316" s="16" t="n">
        <x:v>138600</x:v>
      </x:c>
      <x:c r="B316" s="16" t="str">
        <x:v>Agnes Scott College</x:v>
      </x:c>
      <x:c r="C316" s="16" t="str">
        <x:v>GA</x:v>
      </x:c>
      <x:c r="D316" s="16" t="str">
        <x:v>Private nonprofit</x:v>
      </x:c>
      <x:c r="E316" s="34" t="n">
        <x:v>846</x:v>
      </x:c>
      <x:c r="F316" s="21" t="n">
        <x:v>0.6985</x:v>
      </x:c>
      <x:c r="G316" s="16" t="str">
        <x:v>Regional</x:v>
      </x:c>
      <x:c r="H316" s="36" t="n">
        <x:f>IF(G316="National",Assumptions!$B$11,IF(G316="Statewide",Assumptions!$B$12,Assumptions!$B$13))</x:f>
        <x:v>0.85</x:v>
      </x:c>
      <x:c r="I316" s="21" t="n">
        <x:v>-0.03669945915000683</x:v>
      </x:c>
      <x:c r="J316" s="21" t="n">
        <x:v>-0.010093857812193963</x:v>
      </x:c>
      <x:c r="K316" s="21" t="n">
        <x:v>-0.044465703481627705</x:v>
      </x:c>
      <x:c r="L316" s="36" t="n">
        <x:f>IF(Assumptions!$B$4=2030,I316,IF(Assumptions!$B$4=2035,J316,K316))</x:f>
        <x:v>-0.010093857812193963</x:v>
      </x:c>
      <x:c r="M316" s="36" t="n">
        <x:f>Assumptions!$B$19</x:f>
        <x:v>-0.04739891965741583</x:v>
      </x:c>
      <x:c r="N316" s="52" t="n">
        <x:f>H316*L316+(1-H316)*M316+O316</x:f>
        <x:v>-0.015689617088977245</x:v>
      </x:c>
      <x:c r="O316" s="36" t="n">
        <x:f>Assumptions!$B$10</x:f>
        <x:v>0</x:v>
      </x:c>
      <x:c r="P316" s="54" t="n">
        <x:f>E316*(1+N316)</x:f>
        <x:v>832.7265839427253</x:v>
      </x:c>
      <x:c r="Q316" s="54" t="n">
        <x:f>P316-E316</x:f>
        <x:v>-13.273416057274744</x:v>
      </x:c>
      <x:c r="R316" s="16" t="str">
        <x:v>Yes</x:v>
      </x:c>
      <x:c r="S316" s="56" t="n">
        <x:v>16707</x:v>
      </x:c>
      <x:c r="T316" s="56" t="n">
        <x:v>15914</x:v>
      </x:c>
      <x:c r="U316" s="40" t="n">
        <x:f>E316*Assumptions!$B$8</x:f>
        <x:v>719.1</x:v>
      </x:c>
      <x:c r="V316" s="40" t="n">
        <x:f>P316*Assumptions!$B$8</x:f>
        <x:v>707.8175963513164</x:v>
      </x:c>
      <x:c r="W316" s="54" t="n">
        <x:f>V316-U316</x:f>
        <x:v>-11.282403648683612</x:v>
      </x:c>
      <x:c r="X316" s="58" t="n">
        <x:f>IF(R316="No","",W316*S316)</x:f>
        <x:v>-188495.1177585571</x:v>
      </x:c>
      <x:c r="Y316" s="58" t="n">
        <x:f>IF(R316="No","",W316*T316*Assumptions!$B$9)</x:f>
        <x:v>-53864.4514995453</x:v>
      </x:c>
      <x:c r="Z316" s="58" t="n">
        <x:f>IF(R316="No","",X316-Y316)</x:f>
        <x:v>-134630.6662590118</x:v>
      </x:c>
      <x:c r="AA316" s="58" t="n">
        <x:f>IF(R316="No","",MAX(0,-Z316))</x:f>
        <x:v>134630.6662590118</x:v>
      </x:c>
      <x:c r="AB316" s="52" t="n">
        <x:f>IF(OR(R316="No",U316*S316=0),"",AA316/(U316*S316))</x:f>
        <x:v>0.011206144897309445</x:v>
      </x:c>
      <x:c r="AC316" s="54" t="n">
        <x:f>IF(OR(R316="No",S316-T316*Assumptions!$B$9&lt;=0),"",AA316/(Assumptions!$B$8*(S316-T316*Assumptions!$B$9)))</x:f>
        <x:v>13.273416057274838</x:v>
      </x:c>
      <x:c r="AD316" s="52" t="n">
        <x:f>IF(OR(R316="No",U316*S316=0),"",AA316/(U316*S316))</x:f>
        <x:v>0.011206144897309445</x:v>
      </x:c>
      <x:c r="AE316" s="50" t="str">
        <x:f>IF(R316="No","No finance data",IF(AB316&gt;=10%,"Severe",IF(AB316&gt;=5%,"High",IF(AB316&gt;=2%,"Moderate","Low"))))</x:f>
        <x:v>Low</x:v>
      </x:c>
      <x:c r="AF316" s="60" t="n">
        <x:v>33.769268</x:v>
      </x:c>
      <x:c r="AG316" s="60" t="n">
        <x:v>-84.295459</x:v>
      </x:c>
      <x:c r="AH316" s="44" t="str">
        <x:v>Undergraduate tuition-contribution proxy only; not an audited total institutional budget.</x:v>
      </x:c>
    </x:row>
    <x:row r="317">
      <x:c r="A317" s="16" t="n">
        <x:v>138716</x:v>
      </x:c>
      <x:c r="B317" s="16" t="str">
        <x:v>Albany State University</x:v>
      </x:c>
      <x:c r="C317" s="16" t="str">
        <x:v>GA</x:v>
      </x:c>
      <x:c r="D317" s="16" t="str">
        <x:v>Public</x:v>
      </x:c>
      <x:c r="E317" s="34" t="n">
        <x:v>2949</x:v>
      </x:c>
      <x:c r="F317" s="21"/>
      <x:c r="G317" s="16" t="str">
        <x:v>Regional</x:v>
      </x:c>
      <x:c r="H317" s="36" t="n">
        <x:f>IF(G317="National",Assumptions!$B$11,IF(G317="Statewide",Assumptions!$B$12,Assumptions!$B$13))</x:f>
        <x:v>0.85</x:v>
      </x:c>
      <x:c r="I317" s="21" t="n">
        <x:v>-0.03669945915000683</x:v>
      </x:c>
      <x:c r="J317" s="21" t="n">
        <x:v>-0.010093857812193963</x:v>
      </x:c>
      <x:c r="K317" s="21" t="n">
        <x:v>-0.044465703481627705</x:v>
      </x:c>
      <x:c r="L317" s="36" t="n">
        <x:f>IF(Assumptions!$B$4=2030,I317,IF(Assumptions!$B$4=2035,J317,K317))</x:f>
        <x:v>-0.010093857812193963</x:v>
      </x:c>
      <x:c r="M317" s="36" t="n">
        <x:f>Assumptions!$B$19</x:f>
        <x:v>-0.04739891965741583</x:v>
      </x:c>
      <x:c r="N317" s="52" t="n">
        <x:f>H317*L317+(1-H317)*M317+O317</x:f>
        <x:v>-0.015689617088977245</x:v>
      </x:c>
      <x:c r="O317" s="36" t="n">
        <x:f>Assumptions!$B$10</x:f>
        <x:v>0</x:v>
      </x:c>
      <x:c r="P317" s="54" t="n">
        <x:f>E317*(1+N317)</x:f>
        <x:v>2902.7313192046063</x:v>
      </x:c>
      <x:c r="Q317" s="54" t="n">
        <x:f>P317-E317</x:f>
        <x:v>-46.26868079539372</x:v>
      </x:c>
      <x:c r="R317" s="16" t="str">
        <x:v>Yes</x:v>
      </x:c>
      <x:c r="S317" s="56" t="n">
        <x:v>3151</x:v>
      </x:c>
      <x:c r="T317" s="56" t="n">
        <x:v>6218</x:v>
      </x:c>
      <x:c r="U317" s="40" t="n">
        <x:f>E317*Assumptions!$B$8</x:f>
        <x:v>2506.65</x:v>
      </x:c>
      <x:c r="V317" s="40" t="n">
        <x:f>P317*Assumptions!$B$8</x:f>
        <x:v>2467.321621323915</x:v>
      </x:c>
      <x:c r="W317" s="54" t="n">
        <x:f>V317-U317</x:f>
        <x:v>-39.32837867608487</x:v>
      </x:c>
      <x:c r="X317" s="58" t="n">
        <x:f>IF(R317="No","",W317*S317)</x:f>
        <x:v>-123923.72120834341</x:v>
      </x:c>
      <x:c r="Y317" s="58" t="n">
        <x:f>IF(R317="No","",W317*T317*Assumptions!$B$9)</x:f>
        <x:v>-73363.1575823687</x:v>
      </x:c>
      <x:c r="Z317" s="58" t="n">
        <x:f>IF(R317="No","",X317-Y317)</x:f>
        <x:v>-50560.56362597471</x:v>
      </x:c>
      <x:c r="AA317" s="58" t="n">
        <x:f>IF(R317="No","",MAX(0,-Z317))</x:f>
        <x:v>50560.56362597471</x:v>
      </x:c>
      <x:c r="AB317" s="52" t="n">
        <x:f>IF(OR(R317="No",U317*S317=0),"",AA317/(U317*S317))</x:f>
        <x:v>0.006401323938301865</x:v>
      </x:c>
      <x:c r="AC317" s="54" t="n">
        <x:f>IF(OR(R317="No",S317-T317*Assumptions!$B$9&lt;=0),"",AA317/(Assumptions!$B$8*(S317-T317*Assumptions!$B$9)))</x:f>
        <x:v>46.26868079539397</x:v>
      </x:c>
      <x:c r="AD317" s="52" t="n">
        <x:f>IF(OR(R317="No",U317*S317=0),"",AA317/(U317*S317))</x:f>
        <x:v>0.006401323938301865</x:v>
      </x:c>
      <x:c r="AE317" s="50" t="str">
        <x:f>IF(R317="No","No finance data",IF(AB317&gt;=10%,"Severe",IF(AB317&gt;=5%,"High",IF(AB317&gt;=2%,"Moderate","Low"))))</x:f>
        <x:v>Low</x:v>
      </x:c>
      <x:c r="AF317" s="60" t="n">
        <x:v>31.56928</x:v>
      </x:c>
      <x:c r="AG317" s="60" t="n">
        <x:v>-84.141825</x:v>
      </x:c>
      <x:c r="AH317" s="44" t="str">
        <x:v>Undergraduate tuition-contribution proxy only; not an audited total institutional budget.</x:v>
      </x:c>
    </x:row>
    <x:row r="318">
      <x:c r="A318" s="16" t="n">
        <x:v>138789</x:v>
      </x:c>
      <x:c r="B318" s="16" t="str">
        <x:v>Armstrong State University</x:v>
      </x:c>
      <x:c r="C318" s="16" t="str">
        <x:v>GA</x:v>
      </x:c>
      <x:c r="D318" s="16" t="str">
        <x:v>Public</x:v>
      </x:c>
      <x:c r="E318" s="34" t="n">
        <x:v>6184</x:v>
      </x:c>
      <x:c r="F318" s="21"/>
      <x:c r="G318" s="16" t="str">
        <x:v>Statewide</x:v>
      </x:c>
      <x:c r="H318" s="36" t="n">
        <x:f>IF(G318="National",Assumptions!$B$11,IF(G318="Statewide",Assumptions!$B$12,Assumptions!$B$13))</x:f>
        <x:v>0.6</x:v>
      </x:c>
      <x:c r="I318" s="21" t="n">
        <x:v>-0.03669945915000683</x:v>
      </x:c>
      <x:c r="J318" s="21" t="n">
        <x:v>-0.010093857812193963</x:v>
      </x:c>
      <x:c r="K318" s="21" t="n">
        <x:v>-0.044465703481627705</x:v>
      </x:c>
      <x:c r="L318" s="36" t="n">
        <x:f>IF(Assumptions!$B$4=2030,I318,IF(Assumptions!$B$4=2035,J318,K318))</x:f>
        <x:v>-0.010093857812193963</x:v>
      </x:c>
      <x:c r="M318" s="36" t="n">
        <x:f>Assumptions!$B$19</x:f>
        <x:v>-0.04739891965741583</x:v>
      </x:c>
      <x:c r="N318" s="52" t="n">
        <x:f>H318*L318+(1-H318)*M318+O318</x:f>
        <x:v>-0.02501588255028271</x:v>
      </x:c>
      <x:c r="O318" s="36" t="n">
        <x:f>Assumptions!$B$10</x:f>
        <x:v>0</x:v>
      </x:c>
      <x:c r="P318" s="54" t="n">
        <x:f>E318*(1+N318)</x:f>
        <x:v>6029.301782309051</x:v>
      </x:c>
      <x:c r="Q318" s="54" t="n">
        <x:f>P318-E318</x:f>
        <x:v>-154.6982176909487</x:v>
      </x:c>
      <x:c r="R318" s="16" t="str">
        <x:v>No</x:v>
      </x:c>
      <x:c r="S318" s="56"/>
      <x:c r="T318" s="56"/>
      <x:c r="U318" s="40" t="n">
        <x:f>E318*Assumptions!$B$8</x:f>
        <x:v>5256.4</x:v>
      </x:c>
      <x:c r="V318" s="40" t="n">
        <x:f>P318*Assumptions!$B$8</x:f>
        <x:v>5124.906514962693</x:v>
      </x:c>
      <x:c r="W318" s="54" t="n">
        <x:f>V318-U318</x:f>
        <x:v>-131.49348503730653</x:v>
      </x:c>
      <x:c r="X318" s="58" t="str">
        <x:f>IF(R318="No","",W318*S318)</x:f>
      </x:c>
      <x:c r="Y318" s="58" t="str">
        <x:f>IF(R318="No","",W318*T318*Assumptions!$B$9)</x:f>
      </x:c>
      <x:c r="Z318" s="58" t="str">
        <x:f>IF(R318="No","",X318-Y318)</x:f>
      </x:c>
      <x:c r="AA318" s="58" t="str">
        <x:f>IF(R318="No","",MAX(0,-Z318))</x:f>
      </x:c>
      <x:c r="AB318" s="52" t="str">
        <x:f>IF(OR(R318="No",U318*S318=0),"",AA318/(U318*S318))</x:f>
      </x:c>
      <x:c r="AC318" s="54" t="str">
        <x:f>IF(OR(R318="No",S318-T318*Assumptions!$B$9&lt;=0),"",AA318/(Assumptions!$B$8*(S318-T318*Assumptions!$B$9)))</x:f>
      </x:c>
      <x:c r="AD318" s="52" t="str">
        <x:f>IF(OR(R318="No",U318*S318=0),"",AA318/(U318*S318))</x:f>
      </x:c>
      <x:c r="AE318" s="50" t="str">
        <x:f>IF(R318="No","No finance data",IF(AB318&gt;=10%,"Severe",IF(AB318&gt;=5%,"High",IF(AB318&gt;=2%,"Moderate","Low"))))</x:f>
        <x:v>No finance data</x:v>
      </x:c>
      <x:c r="AF318" s="60"/>
      <x:c r="AG318" s="60"/>
      <x:c r="AH318" s="44" t="str">
        <x:v>Undergraduate tuition-contribution proxy only; not an audited total institutional budget.</x:v>
      </x:c>
    </x:row>
    <x:row r="319">
      <x:c r="A319" s="16" t="n">
        <x:v>482149</x:v>
      </x:c>
      <x:c r="B319" s="16" t="str">
        <x:v>Augusta University</x:v>
      </x:c>
      <x:c r="C319" s="16" t="str">
        <x:v>GA</x:v>
      </x:c>
      <x:c r="D319" s="16" t="str">
        <x:v>Public</x:v>
      </x:c>
      <x:c r="E319" s="34" t="n">
        <x:v>4773</x:v>
      </x:c>
      <x:c r="F319" s="21" t="n">
        <x:v>0.7328</x:v>
      </x:c>
      <x:c r="G319" s="16" t="str">
        <x:v>Regional</x:v>
      </x:c>
      <x:c r="H319" s="36" t="n">
        <x:f>IF(G319="National",Assumptions!$B$11,IF(G319="Statewide",Assumptions!$B$12,Assumptions!$B$13))</x:f>
        <x:v>0.85</x:v>
      </x:c>
      <x:c r="I319" s="21" t="n">
        <x:v>-0.03669945915000683</x:v>
      </x:c>
      <x:c r="J319" s="21" t="n">
        <x:v>-0.010093857812193963</x:v>
      </x:c>
      <x:c r="K319" s="21" t="n">
        <x:v>-0.044465703481627705</x:v>
      </x:c>
      <x:c r="L319" s="36" t="n">
        <x:f>IF(Assumptions!$B$4=2030,I319,IF(Assumptions!$B$4=2035,J319,K319))</x:f>
        <x:v>-0.010093857812193963</x:v>
      </x:c>
      <x:c r="M319" s="36" t="n">
        <x:f>Assumptions!$B$19</x:f>
        <x:v>-0.04739891965741583</x:v>
      </x:c>
      <x:c r="N319" s="52" t="n">
        <x:f>H319*L319+(1-H319)*M319+O319</x:f>
        <x:v>-0.015689617088977245</x:v>
      </x:c>
      <x:c r="O319" s="36" t="n">
        <x:f>Assumptions!$B$10</x:f>
        <x:v>0</x:v>
      </x:c>
      <x:c r="P319" s="54" t="n">
        <x:f>E319*(1+N319)</x:f>
        <x:v>4698.113457634312</x:v>
      </x:c>
      <x:c r="Q319" s="54" t="n">
        <x:f>P319-E319</x:f>
        <x:v>-74.886542365688</x:v>
      </x:c>
      <x:c r="R319" s="16" t="str">
        <x:v>Yes</x:v>
      </x:c>
      <x:c r="S319" s="56" t="n">
        <x:v>11732</x:v>
      </x:c>
      <x:c r="T319" s="56" t="n">
        <x:v>12980</x:v>
      </x:c>
      <x:c r="U319" s="40" t="n">
        <x:f>E319*Assumptions!$B$8</x:f>
        <x:v>4057.0499999999997</x:v>
      </x:c>
      <x:c r="V319" s="40" t="n">
        <x:f>P319*Assumptions!$B$8</x:f>
        <x:v>3993.3964389891653</x:v>
      </x:c>
      <x:c r="W319" s="54" t="n">
        <x:f>V319-U319</x:f>
        <x:v>-63.65356101083444</x:v>
      </x:c>
      <x:c r="X319" s="58" t="n">
        <x:f>IF(R319="No","",W319*S319)</x:f>
        <x:v>-746783.5777791096</x:v>
      </x:c>
      <x:c r="Y319" s="58" t="n">
        <x:f>IF(R319="No","",W319*T319*Assumptions!$B$9)</x:f>
        <x:v>-247866.9665761893</x:v>
      </x:c>
      <x:c r="Z319" s="58" t="n">
        <x:f>IF(R319="No","",X319-Y319)</x:f>
        <x:v>-498916.6112029203</x:v>
      </x:c>
      <x:c r="AA319" s="58" t="n">
        <x:f>IF(R319="No","",MAX(0,-Z319))</x:f>
        <x:v>498916.6112029203</x:v>
      </x:c>
      <x:c r="AB319" s="52" t="n">
        <x:f>IF(OR(R319="No",U319*S319=0),"",AA319/(U319*S319))</x:f>
        <x:v>0.010482033646727099</x:v>
      </x:c>
      <x:c r="AC319" s="54" t="n">
        <x:f>IF(OR(R319="No",S319-T319*Assumptions!$B$9&lt;=0),"",AA319/(Assumptions!$B$8*(S319-T319*Assumptions!$B$9)))</x:f>
        <x:v>74.88654236568757</x:v>
      </x:c>
      <x:c r="AD319" s="52" t="n">
        <x:f>IF(OR(R319="No",U319*S319=0),"",AA319/(U319*S319))</x:f>
        <x:v>0.010482033646727099</x:v>
      </x:c>
      <x:c r="AE319" s="50" t="str">
        <x:f>IF(R319="No","No finance data",IF(AB319&gt;=10%,"Severe",IF(AB319&gt;=5%,"High",IF(AB319&gt;=2%,"Moderate","Low"))))</x:f>
        <x:v>Low</x:v>
      </x:c>
      <x:c r="AF319" s="60" t="n">
        <x:v>33.47037</x:v>
      </x:c>
      <x:c r="AG319" s="60" t="n">
        <x:v>-81.989071</x:v>
      </x:c>
      <x:c r="AH319" s="44" t="str">
        <x:v>Undergraduate tuition-contribution proxy only; not an audited total institutional budget.</x:v>
      </x:c>
    </x:row>
    <x:row r="320">
      <x:c r="A320" s="16" t="n">
        <x:v>139144</x:v>
      </x:c>
      <x:c r="B320" s="16" t="str">
        <x:v>Berry College</x:v>
      </x:c>
      <x:c r="C320" s="16" t="str">
        <x:v>GA</x:v>
      </x:c>
      <x:c r="D320" s="16" t="str">
        <x:v>Private nonprofit</x:v>
      </x:c>
      <x:c r="E320" s="34" t="n">
        <x:v>2089</x:v>
      </x:c>
      <x:c r="F320" s="21" t="n">
        <x:v>0.699</x:v>
      </x:c>
      <x:c r="G320" s="16" t="str">
        <x:v>Regional</x:v>
      </x:c>
      <x:c r="H320" s="36" t="n">
        <x:f>IF(G320="National",Assumptions!$B$11,IF(G320="Statewide",Assumptions!$B$12,Assumptions!$B$13))</x:f>
        <x:v>0.85</x:v>
      </x:c>
      <x:c r="I320" s="21" t="n">
        <x:v>-0.03669945915000683</x:v>
      </x:c>
      <x:c r="J320" s="21" t="n">
        <x:v>-0.010093857812193963</x:v>
      </x:c>
      <x:c r="K320" s="21" t="n">
        <x:v>-0.044465703481627705</x:v>
      </x:c>
      <x:c r="L320" s="36" t="n">
        <x:f>IF(Assumptions!$B$4=2030,I320,IF(Assumptions!$B$4=2035,J320,K320))</x:f>
        <x:v>-0.010093857812193963</x:v>
      </x:c>
      <x:c r="M320" s="36" t="n">
        <x:f>Assumptions!$B$19</x:f>
        <x:v>-0.04739891965741583</x:v>
      </x:c>
      <x:c r="N320" s="52" t="n">
        <x:f>H320*L320+(1-H320)*M320+O320</x:f>
        <x:v>-0.015689617088977245</x:v>
      </x:c>
      <x:c r="O320" s="36" t="n">
        <x:f>Assumptions!$B$10</x:f>
        <x:v>0</x:v>
      </x:c>
      <x:c r="P320" s="54" t="n">
        <x:f>E320*(1+N320)</x:f>
        <x:v>2056.2243899011264</x:v>
      </x:c>
      <x:c r="Q320" s="54" t="n">
        <x:f>P320-E320</x:f>
        <x:v>-32.775610098873585</x:v>
      </x:c>
      <x:c r="R320" s="16" t="str">
        <x:v>Yes</x:v>
      </x:c>
      <x:c r="S320" s="56" t="n">
        <x:v>13225</x:v>
      </x:c>
      <x:c r="T320" s="56" t="n">
        <x:v>14532</x:v>
      </x:c>
      <x:c r="U320" s="40" t="n">
        <x:f>E320*Assumptions!$B$8</x:f>
        <x:v>1775.6499999999999</x:v>
      </x:c>
      <x:c r="V320" s="40" t="n">
        <x:f>P320*Assumptions!$B$8</x:f>
        <x:v>1747.7907314159575</x:v>
      </x:c>
      <x:c r="W320" s="54" t="n">
        <x:f>V320-U320</x:f>
        <x:v>-27.85926858404241</x:v>
      </x:c>
      <x:c r="X320" s="58" t="n">
        <x:f>IF(R320="No","",W320*S320)</x:f>
        <x:v>-368438.8270239609</x:v>
      </x:c>
      <x:c r="Y320" s="58" t="n">
        <x:f>IF(R320="No","",W320*T320*Assumptions!$B$9)</x:f>
        <x:v>-121455.26731899129</x:v>
      </x:c>
      <x:c r="Z320" s="58" t="n">
        <x:f>IF(R320="No","",X320-Y320)</x:f>
        <x:v>-246983.55970496958</x:v>
      </x:c>
      <x:c r="AA320" s="58" t="n">
        <x:f>IF(R320="No","",MAX(0,-Z320))</x:f>
        <x:v>246983.55970496958</x:v>
      </x:c>
      <x:c r="AB320" s="52" t="n">
        <x:f>IF(OR(R320="No",U320*S320=0),"",AA320/(U320*S320))</x:f>
        <x:v>0.010517560025755667</x:v>
      </x:c>
      <x:c r="AC320" s="54" t="n">
        <x:f>IF(OR(R320="No",S320-T320*Assumptions!$B$9&lt;=0),"",AA320/(Assumptions!$B$8*(S320-T320*Assumptions!$B$9)))</x:f>
        <x:v>32.77561009887342</x:v>
      </x:c>
      <x:c r="AD320" s="52" t="n">
        <x:f>IF(OR(R320="No",U320*S320=0),"",AA320/(U320*S320))</x:f>
        <x:v>0.010517560025755667</x:v>
      </x:c>
      <x:c r="AE320" s="50" t="str">
        <x:f>IF(R320="No","No finance data",IF(AB320&gt;=10%,"Severe",IF(AB320&gt;=5%,"High",IF(AB320&gt;=2%,"Moderate","Low"))))</x:f>
        <x:v>Low</x:v>
      </x:c>
      <x:c r="AF320" s="60" t="n">
        <x:v>34.290414</x:v>
      </x:c>
      <x:c r="AG320" s="60" t="n">
        <x:v>-85.189202</x:v>
      </x:c>
      <x:c r="AH320" s="44" t="str">
        <x:v>Undergraduate tuition-contribution proxy only; not an audited total institutional budget.</x:v>
      </x:c>
    </x:row>
    <x:row r="321">
      <x:c r="A321" s="16" t="n">
        <x:v>139153</x:v>
      </x:c>
      <x:c r="B321" s="16" t="str">
        <x:v>Beulah Heights University</x:v>
      </x:c>
      <x:c r="C321" s="16" t="str">
        <x:v>GA</x:v>
      </x:c>
      <x:c r="D321" s="16" t="str">
        <x:v>Private nonprofit</x:v>
      </x:c>
      <x:c r="E321" s="34" t="n">
        <x:v>487</x:v>
      </x:c>
      <x:c r="F321" s="21"/>
      <x:c r="G321" s="16" t="str">
        <x:v>Regional</x:v>
      </x:c>
      <x:c r="H321" s="36" t="n">
        <x:f>IF(G321="National",Assumptions!$B$11,IF(G321="Statewide",Assumptions!$B$12,Assumptions!$B$13))</x:f>
        <x:v>0.85</x:v>
      </x:c>
      <x:c r="I321" s="21" t="n">
        <x:v>-0.03669945915000683</x:v>
      </x:c>
      <x:c r="J321" s="21" t="n">
        <x:v>-0.010093857812193963</x:v>
      </x:c>
      <x:c r="K321" s="21" t="n">
        <x:v>-0.044465703481627705</x:v>
      </x:c>
      <x:c r="L321" s="36" t="n">
        <x:f>IF(Assumptions!$B$4=2030,I321,IF(Assumptions!$B$4=2035,J321,K321))</x:f>
        <x:v>-0.010093857812193963</x:v>
      </x:c>
      <x:c r="M321" s="36" t="n">
        <x:f>Assumptions!$B$19</x:f>
        <x:v>-0.04739891965741583</x:v>
      </x:c>
      <x:c r="N321" s="52" t="n">
        <x:f>H321*L321+(1-H321)*M321+O321</x:f>
        <x:v>-0.015689617088977245</x:v>
      </x:c>
      <x:c r="O321" s="36" t="n">
        <x:f>Assumptions!$B$10</x:f>
        <x:v>0</x:v>
      </x:c>
      <x:c r="P321" s="54" t="n">
        <x:f>E321*(1+N321)</x:f>
        <x:v>479.3591564776681</x:v>
      </x:c>
      <x:c r="Q321" s="54" t="n">
        <x:f>P321-E321</x:f>
        <x:v>-7.64084352233192</x:v>
      </x:c>
      <x:c r="R321" s="16" t="str">
        <x:v>No</x:v>
      </x:c>
      <x:c r="S321" s="56"/>
      <x:c r="T321" s="56"/>
      <x:c r="U321" s="40" t="n">
        <x:f>E321*Assumptions!$B$8</x:f>
        <x:v>413.95</x:v>
      </x:c>
      <x:c r="V321" s="40" t="n">
        <x:f>P321*Assumptions!$B$8</x:f>
        <x:v>407.45528300601785</x:v>
      </x:c>
      <x:c r="W321" s="54" t="n">
        <x:f>V321-U321</x:f>
        <x:v>-6.494716993982138</x:v>
      </x:c>
      <x:c r="X321" s="58" t="str">
        <x:f>IF(R321="No","",W321*S321)</x:f>
      </x:c>
      <x:c r="Y321" s="58" t="str">
        <x:f>IF(R321="No","",W321*T321*Assumptions!$B$9)</x:f>
      </x:c>
      <x:c r="Z321" s="58" t="str">
        <x:f>IF(R321="No","",X321-Y321)</x:f>
      </x:c>
      <x:c r="AA321" s="58" t="str">
        <x:f>IF(R321="No","",MAX(0,-Z321))</x:f>
      </x:c>
      <x:c r="AB321" s="52" t="str">
        <x:f>IF(OR(R321="No",U321*S321=0),"",AA321/(U321*S321))</x:f>
      </x:c>
      <x:c r="AC321" s="54" t="str">
        <x:f>IF(OR(R321="No",S321-T321*Assumptions!$B$9&lt;=0),"",AA321/(Assumptions!$B$8*(S321-T321*Assumptions!$B$9)))</x:f>
      </x:c>
      <x:c r="AD321" s="52" t="str">
        <x:f>IF(OR(R321="No",U321*S321=0),"",AA321/(U321*S321))</x:f>
      </x:c>
      <x:c r="AE321" s="50" t="str">
        <x:f>IF(R321="No","No finance data",IF(AB321&gt;=10%,"Severe",IF(AB321&gt;=5%,"High",IF(AB321&gt;=2%,"Moderate","Low"))))</x:f>
        <x:v>No finance data</x:v>
      </x:c>
      <x:c r="AF321" s="60"/>
      <x:c r="AG321" s="60"/>
      <x:c r="AH321" s="44" t="str">
        <x:v>Undergraduate tuition-contribution proxy only; not an audited total institutional budget.</x:v>
      </x:c>
    </x:row>
    <x:row r="322">
      <x:c r="A322" s="16" t="n">
        <x:v>139199</x:v>
      </x:c>
      <x:c r="B322" s="16" t="str">
        <x:v>Brenau University</x:v>
      </x:c>
      <x:c r="C322" s="16" t="str">
        <x:v>GA</x:v>
      </x:c>
      <x:c r="D322" s="16" t="str">
        <x:v>Private nonprofit</x:v>
      </x:c>
      <x:c r="E322" s="34" t="n">
        <x:v>1556</x:v>
      </x:c>
      <x:c r="F322" s="21" t="n">
        <x:v>0.8911</x:v>
      </x:c>
      <x:c r="G322" s="16" t="str">
        <x:v>Regional</x:v>
      </x:c>
      <x:c r="H322" s="36" t="n">
        <x:f>IF(G322="National",Assumptions!$B$11,IF(G322="Statewide",Assumptions!$B$12,Assumptions!$B$13))</x:f>
        <x:v>0.85</x:v>
      </x:c>
      <x:c r="I322" s="21" t="n">
        <x:v>-0.03669945915000683</x:v>
      </x:c>
      <x:c r="J322" s="21" t="n">
        <x:v>-0.010093857812193963</x:v>
      </x:c>
      <x:c r="K322" s="21" t="n">
        <x:v>-0.044465703481627705</x:v>
      </x:c>
      <x:c r="L322" s="36" t="n">
        <x:f>IF(Assumptions!$B$4=2030,I322,IF(Assumptions!$B$4=2035,J322,K322))</x:f>
        <x:v>-0.010093857812193963</x:v>
      </x:c>
      <x:c r="M322" s="36" t="n">
        <x:f>Assumptions!$B$19</x:f>
        <x:v>-0.04739891965741583</x:v>
      </x:c>
      <x:c r="N322" s="52" t="n">
        <x:f>H322*L322+(1-H322)*M322+O322</x:f>
        <x:v>-0.015689617088977245</x:v>
      </x:c>
      <x:c r="O322" s="36" t="n">
        <x:f>Assumptions!$B$10</x:f>
        <x:v>0</x:v>
      </x:c>
      <x:c r="P322" s="54" t="n">
        <x:f>E322*(1+N322)</x:f>
        <x:v>1531.5869558095515</x:v>
      </x:c>
      <x:c r="Q322" s="54" t="n">
        <x:f>P322-E322</x:f>
        <x:v>-24.413044190448545</x:v>
      </x:c>
      <x:c r="R322" s="16" t="str">
        <x:v>Yes</x:v>
      </x:c>
      <x:c r="S322" s="56" t="n">
        <x:v>19550</x:v>
      </x:c>
      <x:c r="T322" s="56" t="n">
        <x:v>9123</x:v>
      </x:c>
      <x:c r="U322" s="40" t="n">
        <x:f>E322*Assumptions!$B$8</x:f>
        <x:v>1322.6</x:v>
      </x:c>
      <x:c r="V322" s="40" t="n">
        <x:f>P322*Assumptions!$B$8</x:f>
        <x:v>1301.8489124381188</x:v>
      </x:c>
      <x:c r="W322" s="54" t="n">
        <x:f>V322-U322</x:f>
        <x:v>-20.75108756188115</x:v>
      </x:c>
      <x:c r="X322" s="58" t="n">
        <x:f>IF(R322="No","",W322*S322)</x:f>
        <x:v>-405683.7618347765</x:v>
      </x:c>
      <x:c r="Y322" s="58" t="n">
        <x:f>IF(R322="No","",W322*T322*Assumptions!$B$9)</x:f>
        <x:v>-56793.65154811252</x:v>
      </x:c>
      <x:c r="Z322" s="58" t="n">
        <x:f>IF(R322="No","",X322-Y322)</x:f>
        <x:v>-348890.110286664</x:v>
      </x:c>
      <x:c r="AA322" s="58" t="n">
        <x:f>IF(R322="No","",MAX(0,-Z322))</x:f>
        <x:v>348890.110286664</x:v>
      </x:c>
      <x:c r="AB322" s="52" t="n">
        <x:f>IF(OR(R322="No",U322*S322=0),"",AA322/(U322*S322))</x:f>
        <x:v>0.013493150950316182</x:v>
      </x:c>
      <x:c r="AC322" s="54" t="n">
        <x:f>IF(OR(R322="No",S322-T322*Assumptions!$B$9&lt;=0),"",AA322/(Assumptions!$B$8*(S322-T322*Assumptions!$B$9)))</x:f>
        <x:v>24.413044190448417</x:v>
      </x:c>
      <x:c r="AD322" s="52" t="n">
        <x:f>IF(OR(R322="No",U322*S322=0),"",AA322/(U322*S322))</x:f>
        <x:v>0.013493150950316182</x:v>
      </x:c>
      <x:c r="AE322" s="50" t="str">
        <x:f>IF(R322="No","No finance data",IF(AB322&gt;=10%,"Severe",IF(AB322&gt;=5%,"High",IF(AB322&gt;=2%,"Moderate","Low"))))</x:f>
        <x:v>Low</x:v>
      </x:c>
      <x:c r="AF322" s="60" t="n">
        <x:v>34.303117</x:v>
      </x:c>
      <x:c r="AG322" s="60" t="n">
        <x:v>-83.821513</x:v>
      </x:c>
      <x:c r="AH322" s="44" t="str">
        <x:v>Undergraduate tuition-contribution proxy only; not an audited total institutional budget.</x:v>
      </x:c>
    </x:row>
    <x:row r="323">
      <x:c r="A323" s="16" t="n">
        <x:v>139205</x:v>
      </x:c>
      <x:c r="B323" s="16" t="str">
        <x:v>Brewton-Parker College</x:v>
      </x:c>
      <x:c r="C323" s="16" t="str">
        <x:v>GA</x:v>
      </x:c>
      <x:c r="D323" s="16" t="str">
        <x:v>Private nonprofit</x:v>
      </x:c>
      <x:c r="E323" s="34" t="n">
        <x:v>405</x:v>
      </x:c>
      <x:c r="F323" s="21" t="n">
        <x:v>0.7974</x:v>
      </x:c>
      <x:c r="G323" s="16" t="str">
        <x:v>Regional</x:v>
      </x:c>
      <x:c r="H323" s="36" t="n">
        <x:f>IF(G323="National",Assumptions!$B$11,IF(G323="Statewide",Assumptions!$B$12,Assumptions!$B$13))</x:f>
        <x:v>0.85</x:v>
      </x:c>
      <x:c r="I323" s="21" t="n">
        <x:v>-0.03669945915000683</x:v>
      </x:c>
      <x:c r="J323" s="21" t="n">
        <x:v>-0.010093857812193963</x:v>
      </x:c>
      <x:c r="K323" s="21" t="n">
        <x:v>-0.044465703481627705</x:v>
      </x:c>
      <x:c r="L323" s="36" t="n">
        <x:f>IF(Assumptions!$B$4=2030,I323,IF(Assumptions!$B$4=2035,J323,K323))</x:f>
        <x:v>-0.010093857812193963</x:v>
      </x:c>
      <x:c r="M323" s="36" t="n">
        <x:f>Assumptions!$B$19</x:f>
        <x:v>-0.04739891965741583</x:v>
      </x:c>
      <x:c r="N323" s="52" t="n">
        <x:f>H323*L323+(1-H323)*M323+O323</x:f>
        <x:v>-0.015689617088977245</x:v>
      </x:c>
      <x:c r="O323" s="36" t="n">
        <x:f>Assumptions!$B$10</x:f>
        <x:v>0</x:v>
      </x:c>
      <x:c r="P323" s="54" t="n">
        <x:f>E323*(1+N323)</x:f>
        <x:v>398.6457050789642</x:v>
      </x:c>
      <x:c r="Q323" s="54" t="n">
        <x:f>P323-E323</x:f>
        <x:v>-6.354294921035773</x:v>
      </x:c>
      <x:c r="R323" s="16" t="str">
        <x:v>Yes</x:v>
      </x:c>
      <x:c r="S323" s="56" t="n">
        <x:v>9389</x:v>
      </x:c>
      <x:c r="T323" s="56" t="n">
        <x:v>4351</x:v>
      </x:c>
      <x:c r="U323" s="40" t="n">
        <x:f>E323*Assumptions!$B$8</x:f>
        <x:v>344.25</x:v>
      </x:c>
      <x:c r="V323" s="40" t="n">
        <x:f>P323*Assumptions!$B$8</x:f>
        <x:v>338.8488493171196</x:v>
      </x:c>
      <x:c r="W323" s="54" t="n">
        <x:f>V323-U323</x:f>
        <x:v>-5.401150682880427</x:v>
      </x:c>
      <x:c r="X323" s="58" t="n">
        <x:f>IF(R323="No","",W323*S323)</x:f>
        <x:v>-50711.40376156433</x:v>
      </x:c>
      <x:c r="Y323" s="58" t="n">
        <x:f>IF(R323="No","",W323*T323*Assumptions!$B$9)</x:f>
        <x:v>-7050.121986363822</x:v>
      </x:c>
      <x:c r="Z323" s="58" t="n">
        <x:f>IF(R323="No","",X323-Y323)</x:f>
        <x:v>-43661.28177520051</x:v>
      </x:c>
      <x:c r="AA323" s="58" t="n">
        <x:f>IF(R323="No","",MAX(0,-Z323))</x:f>
        <x:v>43661.28177520051</x:v>
      </x:c>
      <x:c r="AB323" s="52" t="n">
        <x:f>IF(OR(R323="No",U323*S323=0),"",AA323/(U323*S323))</x:f>
        <x:v>0.013508377640021897</x:v>
      </x:c>
      <x:c r="AC323" s="54" t="n">
        <x:f>IF(OR(R323="No",S323-T323*Assumptions!$B$9&lt;=0),"",AA323/(Assumptions!$B$8*(S323-T323*Assumptions!$B$9)))</x:f>
        <x:v>6.354294921035796</x:v>
      </x:c>
      <x:c r="AD323" s="52" t="n">
        <x:f>IF(OR(R323="No",U323*S323=0),"",AA323/(U323*S323))</x:f>
        <x:v>0.013508377640021897</x:v>
      </x:c>
      <x:c r="AE323" s="50" t="str">
        <x:f>IF(R323="No","No finance data",IF(AB323&gt;=10%,"Severe",IF(AB323&gt;=5%,"High",IF(AB323&gt;=2%,"Moderate","Low"))))</x:f>
        <x:v>Low</x:v>
      </x:c>
      <x:c r="AF323" s="60" t="n">
        <x:v>32.185718</x:v>
      </x:c>
      <x:c r="AG323" s="60" t="n">
        <x:v>-82.586136</x:v>
      </x:c>
      <x:c r="AH323" s="44" t="str">
        <x:v>Undergraduate tuition-contribution proxy only; not an audited total institutional budget.</x:v>
      </x:c>
    </x:row>
    <x:row r="324">
      <x:c r="A324" s="16" t="n">
        <x:v>139287</x:v>
      </x:c>
      <x:c r="B324" s="16" t="str">
        <x:v>Carver Bible College</x:v>
      </x:c>
      <x:c r="C324" s="16" t="str">
        <x:v>GA</x:v>
      </x:c>
      <x:c r="D324" s="16" t="str">
        <x:v>Private nonprofit</x:v>
      </x:c>
      <x:c r="E324" s="34" t="n">
        <x:v>60</x:v>
      </x:c>
      <x:c r="F324" s="21"/>
      <x:c r="G324" s="16" t="str">
        <x:v>Regional</x:v>
      </x:c>
      <x:c r="H324" s="36" t="n">
        <x:f>IF(G324="National",Assumptions!$B$11,IF(G324="Statewide",Assumptions!$B$12,Assumptions!$B$13))</x:f>
        <x:v>0.85</x:v>
      </x:c>
      <x:c r="I324" s="21" t="n">
        <x:v>-0.03669945915000683</x:v>
      </x:c>
      <x:c r="J324" s="21" t="n">
        <x:v>-0.010093857812193963</x:v>
      </x:c>
      <x:c r="K324" s="21" t="n">
        <x:v>-0.044465703481627705</x:v>
      </x:c>
      <x:c r="L324" s="36" t="n">
        <x:f>IF(Assumptions!$B$4=2030,I324,IF(Assumptions!$B$4=2035,J324,K324))</x:f>
        <x:v>-0.010093857812193963</x:v>
      </x:c>
      <x:c r="M324" s="36" t="n">
        <x:f>Assumptions!$B$19</x:f>
        <x:v>-0.04739891965741583</x:v>
      </x:c>
      <x:c r="N324" s="52" t="n">
        <x:f>H324*L324+(1-H324)*M324+O324</x:f>
        <x:v>-0.015689617088977245</x:v>
      </x:c>
      <x:c r="O324" s="36" t="n">
        <x:f>Assumptions!$B$10</x:f>
        <x:v>0</x:v>
      </x:c>
      <x:c r="P324" s="54" t="n">
        <x:f>E324*(1+N324)</x:f>
        <x:v>59.05862297466137</x:v>
      </x:c>
      <x:c r="Q324" s="54" t="n">
        <x:f>P324-E324</x:f>
        <x:v>-0.9413770253386318</x:v>
      </x:c>
      <x:c r="R324" s="16" t="str">
        <x:v>No</x:v>
      </x:c>
      <x:c r="S324" s="56"/>
      <x:c r="T324" s="56"/>
      <x:c r="U324" s="40" t="n">
        <x:f>E324*Assumptions!$B$8</x:f>
        <x:v>51</x:v>
      </x:c>
      <x:c r="V324" s="40" t="n">
        <x:f>P324*Assumptions!$B$8</x:f>
        <x:v>50.19982952846216</x:v>
      </x:c>
      <x:c r="W324" s="54" t="n">
        <x:f>V324-U324</x:f>
        <x:v>-0.8001704715378395</x:v>
      </x:c>
      <x:c r="X324" s="58" t="str">
        <x:f>IF(R324="No","",W324*S324)</x:f>
      </x:c>
      <x:c r="Y324" s="58" t="str">
        <x:f>IF(R324="No","",W324*T324*Assumptions!$B$9)</x:f>
      </x:c>
      <x:c r="Z324" s="58" t="str">
        <x:f>IF(R324="No","",X324-Y324)</x:f>
      </x:c>
      <x:c r="AA324" s="58" t="str">
        <x:f>IF(R324="No","",MAX(0,-Z324))</x:f>
      </x:c>
      <x:c r="AB324" s="52" t="str">
        <x:f>IF(OR(R324="No",U324*S324=0),"",AA324/(U324*S324))</x:f>
      </x:c>
      <x:c r="AC324" s="54" t="str">
        <x:f>IF(OR(R324="No",S324-T324*Assumptions!$B$9&lt;=0),"",AA324/(Assumptions!$B$8*(S324-T324*Assumptions!$B$9)))</x:f>
      </x:c>
      <x:c r="AD324" s="52" t="str">
        <x:f>IF(OR(R324="No",U324*S324=0),"",AA324/(U324*S324))</x:f>
      </x:c>
      <x:c r="AE324" s="50" t="str">
        <x:f>IF(R324="No","No finance data",IF(AB324&gt;=10%,"Severe",IF(AB324&gt;=5%,"High",IF(AB324&gt;=2%,"Moderate","Low"))))</x:f>
        <x:v>No finance data</x:v>
      </x:c>
      <x:c r="AF324" s="60"/>
      <x:c r="AG324" s="60"/>
      <x:c r="AH324" s="44" t="str">
        <x:v>Undergraduate tuition-contribution proxy only; not an audited total institutional budget.</x:v>
      </x:c>
    </x:row>
    <x:row r="325">
      <x:c r="A325" s="16" t="n">
        <x:v>138947</x:v>
      </x:c>
      <x:c r="B325" s="16" t="str">
        <x:v>Clark Atlanta University</x:v>
      </x:c>
      <x:c r="C325" s="16" t="str">
        <x:v>GA</x:v>
      </x:c>
      <x:c r="D325" s="16" t="str">
        <x:v>Private nonprofit</x:v>
      </x:c>
      <x:c r="E325" s="34" t="n">
        <x:v>2741</x:v>
      </x:c>
      <x:c r="F325" s="21" t="n">
        <x:v>0.5824</x:v>
      </x:c>
      <x:c r="G325" s="16" t="str">
        <x:v>Regional</x:v>
      </x:c>
      <x:c r="H325" s="36" t="n">
        <x:f>IF(G325="National",Assumptions!$B$11,IF(G325="Statewide",Assumptions!$B$12,Assumptions!$B$13))</x:f>
        <x:v>0.85</x:v>
      </x:c>
      <x:c r="I325" s="21" t="n">
        <x:v>-0.03669945915000683</x:v>
      </x:c>
      <x:c r="J325" s="21" t="n">
        <x:v>-0.010093857812193963</x:v>
      </x:c>
      <x:c r="K325" s="21" t="n">
        <x:v>-0.044465703481627705</x:v>
      </x:c>
      <x:c r="L325" s="36" t="n">
        <x:f>IF(Assumptions!$B$4=2030,I325,IF(Assumptions!$B$4=2035,J325,K325))</x:f>
        <x:v>-0.010093857812193963</x:v>
      </x:c>
      <x:c r="M325" s="36" t="n">
        <x:f>Assumptions!$B$19</x:f>
        <x:v>-0.04739891965741583</x:v>
      </x:c>
      <x:c r="N325" s="52" t="n">
        <x:f>H325*L325+(1-H325)*M325+O325</x:f>
        <x:v>-0.015689617088977245</x:v>
      </x:c>
      <x:c r="O325" s="36" t="n">
        <x:f>Assumptions!$B$10</x:f>
        <x:v>0</x:v>
      </x:c>
      <x:c r="P325" s="54" t="n">
        <x:f>E325*(1+N325)</x:f>
        <x:v>2697.9947595591134</x:v>
      </x:c>
      <x:c r="Q325" s="54" t="n">
        <x:f>P325-E325</x:f>
        <x:v>-43.00524044088661</x:v>
      </x:c>
      <x:c r="R325" s="16" t="str">
        <x:v>Yes</x:v>
      </x:c>
      <x:c r="S325" s="56" t="n">
        <x:v>17750</x:v>
      </x:c>
      <x:c r="T325" s="56" t="n">
        <x:v>8743</x:v>
      </x:c>
      <x:c r="U325" s="40" t="n">
        <x:f>E325*Assumptions!$B$8</x:f>
        <x:v>2329.85</x:v>
      </x:c>
      <x:c r="V325" s="40" t="n">
        <x:f>P325*Assumptions!$B$8</x:f>
        <x:v>2293.295545625246</x:v>
      </x:c>
      <x:c r="W325" s="54" t="n">
        <x:f>V325-U325</x:f>
        <x:v>-36.55445437475373</x:v>
      </x:c>
      <x:c r="X325" s="58" t="n">
        <x:f>IF(R325="No","",W325*S325)</x:f>
        <x:v>-648841.5651518787</x:v>
      </x:c>
      <x:c r="Y325" s="58" t="n">
        <x:f>IF(R325="No","",W325*T325*Assumptions!$B$9)</x:f>
        <x:v>-95878.67837954157</x:v>
      </x:c>
      <x:c r="Z325" s="58" t="n">
        <x:f>IF(R325="No","",X325-Y325)</x:f>
        <x:v>-552962.8867723371</x:v>
      </x:c>
      <x:c r="AA325" s="58" t="n">
        <x:f>IF(R325="No","",MAX(0,-Z325))</x:f>
        <x:v>552962.8867723371</x:v>
      </x:c>
      <x:c r="AB325" s="52" t="n">
        <x:f>IF(OR(R325="No",U325*S325=0),"",AA325/(U325*S325))</x:f>
        <x:v>0.013371177840375678</x:v>
      </x:c>
      <x:c r="AC325" s="54" t="n">
        <x:f>IF(OR(R325="No",S325-T325*Assumptions!$B$9&lt;=0),"",AA325/(Assumptions!$B$8*(S325-T325*Assumptions!$B$9)))</x:f>
        <x:v>43.00524044088674</x:v>
      </x:c>
      <x:c r="AD325" s="52" t="n">
        <x:f>IF(OR(R325="No",U325*S325=0),"",AA325/(U325*S325))</x:f>
        <x:v>0.013371177840375678</x:v>
      </x:c>
      <x:c r="AE325" s="50" t="str">
        <x:f>IF(R325="No","No finance data",IF(AB325&gt;=10%,"Severe",IF(AB325&gt;=5%,"High",IF(AB325&gt;=2%,"Moderate","Low"))))</x:f>
        <x:v>Low</x:v>
      </x:c>
      <x:c r="AF325" s="60" t="n">
        <x:v>33.747628</x:v>
      </x:c>
      <x:c r="AG325" s="60" t="n">
        <x:v>-84.412584</x:v>
      </x:c>
      <x:c r="AH325" s="44" t="str">
        <x:v>Undergraduate tuition-contribution proxy only; not an audited total institutional budget.</x:v>
      </x:c>
    </x:row>
    <x:row r="326">
      <x:c r="A326" s="16" t="n">
        <x:v>139311</x:v>
      </x:c>
      <x:c r="B326" s="16" t="str">
        <x:v>Clayton  State University</x:v>
      </x:c>
      <x:c r="C326" s="16" t="str">
        <x:v>GA</x:v>
      </x:c>
      <x:c r="D326" s="16" t="str">
        <x:v>Public</x:v>
      </x:c>
      <x:c r="E326" s="34" t="n">
        <x:v>5920</x:v>
      </x:c>
      <x:c r="F326" s="21" t="n">
        <x:v>0.6256</x:v>
      </x:c>
      <x:c r="G326" s="16" t="str">
        <x:v>Statewide</x:v>
      </x:c>
      <x:c r="H326" s="36" t="n">
        <x:f>IF(G326="National",Assumptions!$B$11,IF(G326="Statewide",Assumptions!$B$12,Assumptions!$B$13))</x:f>
        <x:v>0.6</x:v>
      </x:c>
      <x:c r="I326" s="21" t="n">
        <x:v>-0.03669945915000683</x:v>
      </x:c>
      <x:c r="J326" s="21" t="n">
        <x:v>-0.010093857812193963</x:v>
      </x:c>
      <x:c r="K326" s="21" t="n">
        <x:v>-0.044465703481627705</x:v>
      </x:c>
      <x:c r="L326" s="36" t="n">
        <x:f>IF(Assumptions!$B$4=2030,I326,IF(Assumptions!$B$4=2035,J326,K326))</x:f>
        <x:v>-0.010093857812193963</x:v>
      </x:c>
      <x:c r="M326" s="36" t="n">
        <x:f>Assumptions!$B$19</x:f>
        <x:v>-0.04739891965741583</x:v>
      </x:c>
      <x:c r="N326" s="52" t="n">
        <x:f>H326*L326+(1-H326)*M326+O326</x:f>
        <x:v>-0.02501588255028271</x:v>
      </x:c>
      <x:c r="O326" s="36" t="n">
        <x:f>Assumptions!$B$10</x:f>
        <x:v>0</x:v>
      </x:c>
      <x:c r="P326" s="54" t="n">
        <x:f>E326*(1+N326)</x:f>
        <x:v>5771.905975302326</x:v>
      </x:c>
      <x:c r="Q326" s="54" t="n">
        <x:f>P326-E326</x:f>
        <x:v>-148.09402469767429</x:v>
      </x:c>
      <x:c r="R326" s="16" t="str">
        <x:v>Yes</x:v>
      </x:c>
      <x:c r="S326" s="56" t="n">
        <x:v>4656</x:v>
      </x:c>
      <x:c r="T326" s="56" t="n">
        <x:v>6070</x:v>
      </x:c>
      <x:c r="U326" s="40" t="n">
        <x:f>E326*Assumptions!$B$8</x:f>
        <x:v>5032</x:v>
      </x:c>
      <x:c r="V326" s="40" t="n">
        <x:f>P326*Assumptions!$B$8</x:f>
        <x:v>4906.120079006977</x:v>
      </x:c>
      <x:c r="W326" s="54" t="n">
        <x:f>V326-U326</x:f>
        <x:v>-125.879920993023</x:v>
      </x:c>
      <x:c r="X326" s="58" t="n">
        <x:f>IF(R326="No","",W326*S326)</x:f>
        <x:v>-586096.9121435151</x:v>
      </x:c>
      <x:c r="Y326" s="58" t="n">
        <x:f>IF(R326="No","",W326*T326*Assumptions!$B$9)</x:f>
        <x:v>-229227.3361282949</x:v>
      </x:c>
      <x:c r="Z326" s="58" t="n">
        <x:f>IF(R326="No","",X326-Y326)</x:f>
        <x:v>-356869.57601522014</x:v>
      </x:c>
      <x:c r="AA326" s="58" t="n">
        <x:f>IF(R326="No","",MAX(0,-Z326))</x:f>
        <x:v>356869.57601522014</x:v>
      </x:c>
      <x:c r="AB326" s="52" t="n">
        <x:f>IF(OR(R326="No",U326*S326=0),"",AA326/(U326*S326))</x:f>
        <x:v>0.015231964568310073</x:v>
      </x:c>
      <x:c r="AC326" s="54" t="n">
        <x:f>IF(OR(R326="No",S326-T326*Assumptions!$B$9&lt;=0),"",AA326/(Assumptions!$B$8*(S326-T326*Assumptions!$B$9)))</x:f>
        <x:v>148.0940246976741</x:v>
      </x:c>
      <x:c r="AD326" s="52" t="n">
        <x:f>IF(OR(R326="No",U326*S326=0),"",AA326/(U326*S326))</x:f>
        <x:v>0.015231964568310073</x:v>
      </x:c>
      <x:c r="AE326" s="50" t="str">
        <x:f>IF(R326="No","No finance data",IF(AB326&gt;=10%,"Severe",IF(AB326&gt;=5%,"High",IF(AB326&gt;=2%,"Moderate","Low"))))</x:f>
        <x:v>Low</x:v>
      </x:c>
      <x:c r="AF326" s="60" t="n">
        <x:v>33.594079</x:v>
      </x:c>
      <x:c r="AG326" s="60" t="n">
        <x:v>-84.328174</x:v>
      </x:c>
      <x:c r="AH326" s="44" t="str">
        <x:v>Undergraduate tuition-contribution proxy only; not an audited total institutional budget.</x:v>
      </x:c>
    </x:row>
    <x:row r="327">
      <x:c r="A327" s="16" t="n">
        <x:v>139366</x:v>
      </x:c>
      <x:c r="B327" s="16" t="str">
        <x:v>Columbus State University</x:v>
      </x:c>
      <x:c r="C327" s="16" t="str">
        <x:v>GA</x:v>
      </x:c>
      <x:c r="D327" s="16" t="str">
        <x:v>Public</x:v>
      </x:c>
      <x:c r="E327" s="34" t="n">
        <x:v>6743</x:v>
      </x:c>
      <x:c r="F327" s="21" t="n">
        <x:v>0.7852</x:v>
      </x:c>
      <x:c r="G327" s="16" t="str">
        <x:v>Statewide</x:v>
      </x:c>
      <x:c r="H327" s="36" t="n">
        <x:f>IF(G327="National",Assumptions!$B$11,IF(G327="Statewide",Assumptions!$B$12,Assumptions!$B$13))</x:f>
        <x:v>0.6</x:v>
      </x:c>
      <x:c r="I327" s="21" t="n">
        <x:v>-0.03669945915000683</x:v>
      </x:c>
      <x:c r="J327" s="21" t="n">
        <x:v>-0.010093857812193963</x:v>
      </x:c>
      <x:c r="K327" s="21" t="n">
        <x:v>-0.044465703481627705</x:v>
      </x:c>
      <x:c r="L327" s="36" t="n">
        <x:f>IF(Assumptions!$B$4=2030,I327,IF(Assumptions!$B$4=2035,J327,K327))</x:f>
        <x:v>-0.010093857812193963</x:v>
      </x:c>
      <x:c r="M327" s="36" t="n">
        <x:f>Assumptions!$B$19</x:f>
        <x:v>-0.04739891965741583</x:v>
      </x:c>
      <x:c r="N327" s="52" t="n">
        <x:f>H327*L327+(1-H327)*M327+O327</x:f>
        <x:v>-0.02501588255028271</x:v>
      </x:c>
      <x:c r="O327" s="36" t="n">
        <x:f>Assumptions!$B$10</x:f>
        <x:v>0</x:v>
      </x:c>
      <x:c r="P327" s="54" t="n">
        <x:f>E327*(1+N327)</x:f>
        <x:v>6574.317903963443</x:v>
      </x:c>
      <x:c r="Q327" s="54" t="n">
        <x:f>P327-E327</x:f>
        <x:v>-168.6820960365567</x:v>
      </x:c>
      <x:c r="R327" s="16" t="str">
        <x:v>Yes</x:v>
      </x:c>
      <x:c r="S327" s="56" t="n">
        <x:v>5773</x:v>
      </x:c>
      <x:c r="T327" s="56" t="n">
        <x:v>7409</x:v>
      </x:c>
      <x:c r="U327" s="40" t="n">
        <x:f>E327*Assumptions!$B$8</x:f>
        <x:v>5731.55</x:v>
      </x:c>
      <x:c r="V327" s="40" t="n">
        <x:f>P327*Assumptions!$B$8</x:f>
        <x:v>5588.170218368927</x:v>
      </x:c>
      <x:c r="W327" s="54" t="n">
        <x:f>V327-U327</x:f>
        <x:v>-143.37978163107346</x:v>
      </x:c>
      <x:c r="X327" s="58" t="n">
        <x:f>IF(R327="No","",W327*S327)</x:f>
        <x:v>-827731.479356187</x:v>
      </x:c>
      <x:c r="Y327" s="58" t="n">
        <x:f>IF(R327="No","",W327*T327*Assumptions!$B$9)</x:f>
        <x:v>-318690.240631387</x:v>
      </x:c>
      <x:c r="Z327" s="58" t="n">
        <x:f>IF(R327="No","",X327-Y327)</x:f>
        <x:v>-509041.23872480006</x:v>
      </x:c>
      <x:c r="AA327" s="58" t="n">
        <x:f>IF(R327="No","",MAX(0,-Z327))</x:f>
        <x:v>509041.23872480006</x:v>
      </x:c>
      <x:c r="AB327" s="52" t="n">
        <x:f>IF(OR(R327="No",U327*S327=0),"",AA327/(U327*S327))</x:f>
        <x:v>0.01538435610917531</x:v>
      </x:c>
      <x:c r="AC327" s="54" t="n">
        <x:f>IF(OR(R327="No",S327-T327*Assumptions!$B$9&lt;=0),"",AA327/(Assumptions!$B$8*(S327-T327*Assumptions!$B$9)))</x:f>
        <x:v>168.682096036557</x:v>
      </x:c>
      <x:c r="AD327" s="52" t="n">
        <x:f>IF(OR(R327="No",U327*S327=0),"",AA327/(U327*S327))</x:f>
        <x:v>0.01538435610917531</x:v>
      </x:c>
      <x:c r="AE327" s="50" t="str">
        <x:f>IF(R327="No","No finance data",IF(AB327&gt;=10%,"Severe",IF(AB327&gt;=5%,"High",IF(AB327&gt;=2%,"Moderate","Low"))))</x:f>
        <x:v>Low</x:v>
      </x:c>
      <x:c r="AF327" s="60" t="n">
        <x:v>32.50096</x:v>
      </x:c>
      <x:c r="AG327" s="60" t="n">
        <x:v>-84.94106</x:v>
      </x:c>
      <x:c r="AH327" s="44" t="str">
        <x:v>Undergraduate tuition-contribution proxy only; not an audited total institutional budget.</x:v>
      </x:c>
    </x:row>
    <x:row r="328">
      <x:c r="A328" s="16" t="n">
        <x:v>139393</x:v>
      </x:c>
      <x:c r="B328" s="16" t="str">
        <x:v>Covenant College</x:v>
      </x:c>
      <x:c r="C328" s="16" t="str">
        <x:v>GA</x:v>
      </x:c>
      <x:c r="D328" s="16" t="str">
        <x:v>Private nonprofit</x:v>
      </x:c>
      <x:c r="E328" s="34" t="n">
        <x:v>1007</x:v>
      </x:c>
      <x:c r="F328" s="21" t="n">
        <x:v>0.8854</x:v>
      </x:c>
      <x:c r="G328" s="16" t="str">
        <x:v>Regional</x:v>
      </x:c>
      <x:c r="H328" s="36" t="n">
        <x:f>IF(G328="National",Assumptions!$B$11,IF(G328="Statewide",Assumptions!$B$12,Assumptions!$B$13))</x:f>
        <x:v>0.85</x:v>
      </x:c>
      <x:c r="I328" s="21" t="n">
        <x:v>-0.03669945915000683</x:v>
      </x:c>
      <x:c r="J328" s="21" t="n">
        <x:v>-0.010093857812193963</x:v>
      </x:c>
      <x:c r="K328" s="21" t="n">
        <x:v>-0.044465703481627705</x:v>
      </x:c>
      <x:c r="L328" s="36" t="n">
        <x:f>IF(Assumptions!$B$4=2030,I328,IF(Assumptions!$B$4=2035,J328,K328))</x:f>
        <x:v>-0.010093857812193963</x:v>
      </x:c>
      <x:c r="M328" s="36" t="n">
        <x:f>Assumptions!$B$19</x:f>
        <x:v>-0.04739891965741583</x:v>
      </x:c>
      <x:c r="N328" s="52" t="n">
        <x:f>H328*L328+(1-H328)*M328+O328</x:f>
        <x:v>-0.015689617088977245</x:v>
      </x:c>
      <x:c r="O328" s="36" t="n">
        <x:f>Assumptions!$B$10</x:f>
        <x:v>0</x:v>
      </x:c>
      <x:c r="P328" s="54" t="n">
        <x:f>E328*(1+N328)</x:f>
        <x:v>991.2005555914</x:v>
      </x:c>
      <x:c r="Q328" s="54" t="n">
        <x:f>P328-E328</x:f>
        <x:v>-15.799444408600039</x:v>
      </x:c>
      <x:c r="R328" s="16" t="str">
        <x:v>Yes</x:v>
      </x:c>
      <x:c r="S328" s="56" t="n">
        <x:v>15371</x:v>
      </x:c>
      <x:c r="T328" s="56" t="n">
        <x:v>9687</x:v>
      </x:c>
      <x:c r="U328" s="40" t="n">
        <x:f>E328*Assumptions!$B$8</x:f>
        <x:v>855.9499999999999</x:v>
      </x:c>
      <x:c r="V328" s="40" t="n">
        <x:f>P328*Assumptions!$B$8</x:f>
        <x:v>842.52047225269</x:v>
      </x:c>
      <x:c r="W328" s="54" t="n">
        <x:f>V328-U328</x:f>
        <x:v>-13.429527747309976</x:v>
      </x:c>
      <x:c r="X328" s="58" t="n">
        <x:f>IF(R328="No","",W328*S328)</x:f>
        <x:v>-206425.27100390164</x:v>
      </x:c>
      <x:c r="Y328" s="58" t="n">
        <x:f>IF(R328="No","",W328*T328*Assumptions!$B$9)</x:f>
        <x:v>-39027.55058645752</x:v>
      </x:c>
      <x:c r="Z328" s="58" t="n">
        <x:f>IF(R328="No","",X328-Y328)</x:f>
        <x:v>-167397.72041744413</x:v>
      </x:c>
      <x:c r="AA328" s="58" t="n">
        <x:f>IF(R328="No","",MAX(0,-Z328))</x:f>
        <x:v>167397.72041744413</x:v>
      </x:c>
      <x:c r="AB328" s="52" t="n">
        <x:f>IF(OR(R328="No",U328*S328=0),"",AA328/(U328*S328))</x:f>
        <x:v>0.012723278124545642</x:v>
      </x:c>
      <x:c r="AC328" s="54" t="n">
        <x:f>IF(OR(R328="No",S328-T328*Assumptions!$B$9&lt;=0),"",AA328/(Assumptions!$B$8*(S328-T328*Assumptions!$B$9)))</x:f>
        <x:v>15.799444408599975</x:v>
      </x:c>
      <x:c r="AD328" s="52" t="n">
        <x:f>IF(OR(R328="No",U328*S328=0),"",AA328/(U328*S328))</x:f>
        <x:v>0.012723278124545642</x:v>
      </x:c>
      <x:c r="AE328" s="50" t="str">
        <x:f>IF(R328="No","No finance data",IF(AB328&gt;=10%,"Severe",IF(AB328&gt;=5%,"High",IF(AB328&gt;=2%,"Moderate","Low"))))</x:f>
        <x:v>Low</x:v>
      </x:c>
      <x:c r="AF328" s="60" t="n">
        <x:v>34.965161</x:v>
      </x:c>
      <x:c r="AG328" s="60" t="n">
        <x:v>-85.375066</x:v>
      </x:c>
      <x:c r="AH328" s="44" t="str">
        <x:v>Undergraduate tuition-contribution proxy only; not an audited total institutional budget.</x:v>
      </x:c>
    </x:row>
    <x:row r="329">
      <x:c r="A329" s="16" t="n">
        <x:v>139463</x:v>
      </x:c>
      <x:c r="B329" s="16" t="str">
        <x:v>Dalton State College</x:v>
      </x:c>
      <x:c r="C329" s="16" t="str">
        <x:v>GA</x:v>
      </x:c>
      <x:c r="D329" s="16" t="str">
        <x:v>Public</x:v>
      </x:c>
      <x:c r="E329" s="34" t="n">
        <x:v>4794</x:v>
      </x:c>
      <x:c r="F329" s="21"/>
      <x:c r="G329" s="16" t="str">
        <x:v>Regional</x:v>
      </x:c>
      <x:c r="H329" s="36" t="n">
        <x:f>IF(G329="National",Assumptions!$B$11,IF(G329="Statewide",Assumptions!$B$12,Assumptions!$B$13))</x:f>
        <x:v>0.85</x:v>
      </x:c>
      <x:c r="I329" s="21" t="n">
        <x:v>-0.03669945915000683</x:v>
      </x:c>
      <x:c r="J329" s="21" t="n">
        <x:v>-0.010093857812193963</x:v>
      </x:c>
      <x:c r="K329" s="21" t="n">
        <x:v>-0.044465703481627705</x:v>
      </x:c>
      <x:c r="L329" s="36" t="n">
        <x:f>IF(Assumptions!$B$4=2030,I329,IF(Assumptions!$B$4=2035,J329,K329))</x:f>
        <x:v>-0.010093857812193963</x:v>
      </x:c>
      <x:c r="M329" s="36" t="n">
        <x:f>Assumptions!$B$19</x:f>
        <x:v>-0.04739891965741583</x:v>
      </x:c>
      <x:c r="N329" s="52" t="n">
        <x:f>H329*L329+(1-H329)*M329+O329</x:f>
        <x:v>-0.015689617088977245</x:v>
      </x:c>
      <x:c r="O329" s="36" t="n">
        <x:f>Assumptions!$B$10</x:f>
        <x:v>0</x:v>
      </x:c>
      <x:c r="P329" s="54" t="n">
        <x:f>E329*(1+N329)</x:f>
        <x:v>4718.783975675443</x:v>
      </x:c>
      <x:c r="Q329" s="54" t="n">
        <x:f>P329-E329</x:f>
        <x:v>-75.21602432455711</x:v>
      </x:c>
      <x:c r="R329" s="16" t="str">
        <x:v>Yes</x:v>
      </x:c>
      <x:c r="S329" s="56" t="n">
        <x:v>2589</x:v>
      </x:c>
      <x:c r="T329" s="56" t="n">
        <x:v>4630</x:v>
      </x:c>
      <x:c r="U329" s="40" t="n">
        <x:f>E329*Assumptions!$B$8</x:f>
        <x:v>4074.9</x:v>
      </x:c>
      <x:c r="V329" s="40" t="n">
        <x:f>P329*Assumptions!$B$8</x:f>
        <x:v>4010.966379324126</x:v>
      </x:c>
      <x:c r="W329" s="54" t="n">
        <x:f>V329-U329</x:f>
        <x:v>-63.933620675873954</x:v>
      </x:c>
      <x:c r="X329" s="58" t="n">
        <x:f>IF(R329="No","",W329*S329)</x:f>
        <x:v>-165524.14392983768</x:v>
      </x:c>
      <x:c r="Y329" s="58" t="n">
        <x:f>IF(R329="No","",W329*T329*Assumptions!$B$9)</x:f>
        <x:v>-88803.79911878893</x:v>
      </x:c>
      <x:c r="Z329" s="58" t="n">
        <x:f>IF(R329="No","",X329-Y329)</x:f>
        <x:v>-76720.34481104875</x:v>
      </x:c>
      <x:c r="AA329" s="58" t="n">
        <x:f>IF(R329="No","",MAX(0,-Z329))</x:f>
        <x:v>76720.34481104875</x:v>
      </x:c>
      <x:c r="AB329" s="52" t="n">
        <x:f>IF(OR(R329="No",U329*S329=0),"",AA329/(U329*S329))</x:f>
        <x:v>0.007272128430580481</x:v>
      </x:c>
      <x:c r="AC329" s="54" t="n">
        <x:f>IF(OR(R329="No",S329-T329*Assumptions!$B$9&lt;=0),"",AA329/(Assumptions!$B$8*(S329-T329*Assumptions!$B$9)))</x:f>
        <x:v>75.2160243245576</x:v>
      </x:c>
      <x:c r="AD329" s="52" t="n">
        <x:f>IF(OR(R329="No",U329*S329=0),"",AA329/(U329*S329))</x:f>
        <x:v>0.007272128430580481</x:v>
      </x:c>
      <x:c r="AE329" s="50" t="str">
        <x:f>IF(R329="No","No finance data",IF(AB329&gt;=10%,"Severe",IF(AB329&gt;=5%,"High",IF(AB329&gt;=2%,"Moderate","Low"))))</x:f>
        <x:v>Low</x:v>
      </x:c>
      <x:c r="AF329" s="60" t="n">
        <x:v>34.774221</x:v>
      </x:c>
      <x:c r="AG329" s="60" t="n">
        <x:v>-85.002775</x:v>
      </x:c>
      <x:c r="AH329" s="44" t="str">
        <x:v>Undergraduate tuition-contribution proxy only; not an audited total institutional budget.</x:v>
      </x:c>
    </x:row>
    <x:row r="330">
      <x:c r="A330" s="16" t="n">
        <x:v>139630</x:v>
      </x:c>
      <x:c r="B330" s="16" t="str">
        <x:v>Emmanuel College</x:v>
      </x:c>
      <x:c r="C330" s="16" t="str">
        <x:v>GA</x:v>
      </x:c>
      <x:c r="D330" s="16" t="str">
        <x:v>Private nonprofit</x:v>
      </x:c>
      <x:c r="E330" s="34" t="n">
        <x:v>763</x:v>
      </x:c>
      <x:c r="F330" s="21" t="n">
        <x:v>0.7784</x:v>
      </x:c>
      <x:c r="G330" s="16" t="str">
        <x:v>Regional</x:v>
      </x:c>
      <x:c r="H330" s="36" t="n">
        <x:f>IF(G330="National",Assumptions!$B$11,IF(G330="Statewide",Assumptions!$B$12,Assumptions!$B$13))</x:f>
        <x:v>0.85</x:v>
      </x:c>
      <x:c r="I330" s="21" t="n">
        <x:v>-0.03669945915000683</x:v>
      </x:c>
      <x:c r="J330" s="21" t="n">
        <x:v>-0.010093857812193963</x:v>
      </x:c>
      <x:c r="K330" s="21" t="n">
        <x:v>-0.044465703481627705</x:v>
      </x:c>
      <x:c r="L330" s="36" t="n">
        <x:f>IF(Assumptions!$B$4=2030,I330,IF(Assumptions!$B$4=2035,J330,K330))</x:f>
        <x:v>-0.010093857812193963</x:v>
      </x:c>
      <x:c r="M330" s="36" t="n">
        <x:f>Assumptions!$B$19</x:f>
        <x:v>-0.04739891965741583</x:v>
      </x:c>
      <x:c r="N330" s="52" t="n">
        <x:f>H330*L330+(1-H330)*M330+O330</x:f>
        <x:v>-0.015689617088977245</x:v>
      </x:c>
      <x:c r="O330" s="36" t="n">
        <x:f>Assumptions!$B$10</x:f>
        <x:v>0</x:v>
      </x:c>
      <x:c r="P330" s="54" t="n">
        <x:f>E330*(1+N330)</x:f>
        <x:v>751.0288221611104</x:v>
      </x:c>
      <x:c r="Q330" s="54" t="n">
        <x:f>P330-E330</x:f>
        <x:v>-11.971177838889616</x:v>
      </x:c>
      <x:c r="R330" s="16" t="str">
        <x:v>Yes</x:v>
      </x:c>
      <x:c r="S330" s="56" t="n">
        <x:v>10559</x:v>
      </x:c>
      <x:c r="T330" s="56" t="n">
        <x:v>4939</x:v>
      </x:c>
      <x:c r="U330" s="40" t="n">
        <x:f>E330*Assumptions!$B$8</x:f>
        <x:v>648.55</x:v>
      </x:c>
      <x:c r="V330" s="40" t="n">
        <x:f>P330*Assumptions!$B$8</x:f>
        <x:v>638.3744988369438</x:v>
      </x:c>
      <x:c r="W330" s="54" t="n">
        <x:f>V330-U330</x:f>
        <x:v>-10.175501163056197</x:v>
      </x:c>
      <x:c r="X330" s="58" t="n">
        <x:f>IF(R330="No","",W330*S330)</x:f>
        <x:v>-107443.11678071038</x:v>
      </x:c>
      <x:c r="Y330" s="58" t="n">
        <x:f>IF(R330="No","",W330*T330*Assumptions!$B$9)</x:f>
        <x:v>-15077.040073300366</x:v>
      </x:c>
      <x:c r="Z330" s="58" t="n">
        <x:f>IF(R330="No","",X330-Y330)</x:f>
        <x:v>-92366.07670741001</x:v>
      </x:c>
      <x:c r="AA330" s="58" t="n">
        <x:f>IF(R330="No","",MAX(0,-Z330))</x:f>
        <x:v>92366.07670741001</x:v>
      </x:c>
      <x:c r="AB330" s="52" t="n">
        <x:f>IF(OR(R330="No",U330*S330=0),"",AA330/(U330*S330))</x:f>
        <x:v>0.013487959200849818</x:v>
      </x:c>
      <x:c r="AC330" s="54" t="n">
        <x:f>IF(OR(R330="No",S330-T330*Assumptions!$B$9&lt;=0),"",AA330/(Assumptions!$B$8*(S330-T330*Assumptions!$B$9)))</x:f>
        <x:v>11.971177838889645</x:v>
      </x:c>
      <x:c r="AD330" s="52" t="n">
        <x:f>IF(OR(R330="No",U330*S330=0),"",AA330/(U330*S330))</x:f>
        <x:v>0.013487959200849818</x:v>
      </x:c>
      <x:c r="AE330" s="50" t="str">
        <x:f>IF(R330="No","No finance data",IF(AB330&gt;=10%,"Severe",IF(AB330&gt;=5%,"High",IF(AB330&gt;=2%,"Moderate","Low"))))</x:f>
        <x:v>Low</x:v>
      </x:c>
      <x:c r="AF330" s="60" t="n">
        <x:v>34.283641</x:v>
      </x:c>
      <x:c r="AG330" s="60" t="n">
        <x:v>-83.14822</x:v>
      </x:c>
      <x:c r="AH330" s="44" t="str">
        <x:v>Undergraduate tuition-contribution proxy only; not an audited total institutional budget.</x:v>
      </x:c>
    </x:row>
    <x:row r="331">
      <x:c r="A331" s="16" t="n">
        <x:v>139658</x:v>
      </x:c>
      <x:c r="B331" s="16" t="str">
        <x:v>Emory University</x:v>
      </x:c>
      <x:c r="C331" s="16" t="str">
        <x:v>GA</x:v>
      </x:c>
      <x:c r="D331" s="16" t="str">
        <x:v>Private nonprofit</x:v>
      </x:c>
      <x:c r="E331" s="34" t="n">
        <x:v>6770</x:v>
      </x:c>
      <x:c r="F331" s="21" t="n">
        <x:v>0.1305</x:v>
      </x:c>
      <x:c r="G331" s="16" t="str">
        <x:v>National</x:v>
      </x:c>
      <x:c r="H331" s="36" t="n">
        <x:f>IF(G331="National",Assumptions!$B$11,IF(G331="Statewide",Assumptions!$B$12,Assumptions!$B$13))</x:f>
        <x:v>0.25</x:v>
      </x:c>
      <x:c r="I331" s="21" t="n">
        <x:v>-0.03669945915000683</x:v>
      </x:c>
      <x:c r="J331" s="21" t="n">
        <x:v>-0.010093857812193963</x:v>
      </x:c>
      <x:c r="K331" s="21" t="n">
        <x:v>-0.044465703481627705</x:v>
      </x:c>
      <x:c r="L331" s="36" t="n">
        <x:f>IF(Assumptions!$B$4=2030,I331,IF(Assumptions!$B$4=2035,J331,K331))</x:f>
        <x:v>-0.010093857812193963</x:v>
      </x:c>
      <x:c r="M331" s="36" t="n">
        <x:f>Assumptions!$B$19</x:f>
        <x:v>-0.04739891965741583</x:v>
      </x:c>
      <x:c r="N331" s="52" t="n">
        <x:f>H331*L331+(1-H331)*M331+O331</x:f>
        <x:v>-0.03807265419611036</x:v>
      </x:c>
      <x:c r="O331" s="36" t="n">
        <x:f>Assumptions!$B$10</x:f>
        <x:v>0</x:v>
      </x:c>
      <x:c r="P331" s="54" t="n">
        <x:f>E331*(1+N331)</x:f>
        <x:v>6512.248131092333</x:v>
      </x:c>
      <x:c r="Q331" s="54" t="n">
        <x:f>P331-E331</x:f>
        <x:v>-257.7518689076669</x:v>
      </x:c>
      <x:c r="R331" s="16" t="str">
        <x:v>Yes</x:v>
      </x:c>
      <x:c r="S331" s="56" t="n">
        <x:v>25445</x:v>
      </x:c>
      <x:c r="T331" s="56" t="n">
        <x:v>49768</x:v>
      </x:c>
      <x:c r="U331" s="40" t="n">
        <x:f>E331*Assumptions!$B$8</x:f>
        <x:v>5754.5</x:v>
      </x:c>
      <x:c r="V331" s="40" t="n">
        <x:f>P331*Assumptions!$B$8</x:f>
        <x:v>5535.410911428483</x:v>
      </x:c>
      <x:c r="W331" s="54" t="n">
        <x:f>V331-U331</x:f>
        <x:v>-219.0890885715171</x:v>
      </x:c>
      <x:c r="X331" s="58" t="n">
        <x:f>IF(R331="No","",W331*S331)</x:f>
        <x:v>-5574721.858702253</x:v>
      </x:c>
      <x:c r="Y331" s="58" t="n">
        <x:f>IF(R331="No","",W331*T331*Assumptions!$B$9)</x:f>
        <x:v>-3271087.728008179</x:v>
      </x:c>
      <x:c r="Z331" s="58" t="n">
        <x:f>IF(R331="No","",X331-Y331)</x:f>
        <x:v>-2303634.1306940736</x:v>
      </x:c>
      <x:c r="AA331" s="58" t="n">
        <x:f>IF(R331="No","",MAX(0,-Z331))</x:f>
        <x:v>2303634.1306940736</x:v>
      </x:c>
      <x:c r="AB331" s="52" t="n">
        <x:f>IF(OR(R331="No",U331*S331=0),"",AA331/(U331*S331))</x:f>
        <x:v>0.015732707007680174</x:v>
      </x:c>
      <x:c r="AC331" s="54" t="n">
        <x:f>IF(OR(R331="No",S331-T331*Assumptions!$B$9&lt;=0),"",AA331/(Assumptions!$B$8*(S331-T331*Assumptions!$B$9)))</x:f>
        <x:v>257.7518689076672</x:v>
      </x:c>
      <x:c r="AD331" s="52" t="n">
        <x:f>IF(OR(R331="No",U331*S331=0),"",AA331/(U331*S331))</x:f>
        <x:v>0.015732707007680174</x:v>
      </x:c>
      <x:c r="AE331" s="50" t="str">
        <x:f>IF(R331="No","No finance data",IF(AB331&gt;=10%,"Severe",IF(AB331&gt;=5%,"High",IF(AB331&gt;=2%,"Moderate","Low"))))</x:f>
        <x:v>Low</x:v>
      </x:c>
      <x:c r="AF331" s="60" t="n">
        <x:v>33.790183</x:v>
      </x:c>
      <x:c r="AG331" s="60" t="n">
        <x:v>-84.325512</x:v>
      </x:c>
      <x:c r="AH331" s="44" t="str">
        <x:v>Undergraduate tuition-contribution proxy only; not an audited total institutional budget.</x:v>
      </x:c>
    </x:row>
    <x:row r="332">
      <x:c r="A332" s="16" t="n">
        <x:v>139719</x:v>
      </x:c>
      <x:c r="B332" s="16" t="str">
        <x:v>Fort Valley State University</x:v>
      </x:c>
      <x:c r="C332" s="16" t="str">
        <x:v>GA</x:v>
      </x:c>
      <x:c r="D332" s="16" t="str">
        <x:v>Public</x:v>
      </x:c>
      <x:c r="E332" s="34" t="n">
        <x:v>2220</x:v>
      </x:c>
      <x:c r="F332" s="21" t="n">
        <x:v>0.7226</x:v>
      </x:c>
      <x:c r="G332" s="16" t="str">
        <x:v>Regional</x:v>
      </x:c>
      <x:c r="H332" s="36" t="n">
        <x:f>IF(G332="National",Assumptions!$B$11,IF(G332="Statewide",Assumptions!$B$12,Assumptions!$B$13))</x:f>
        <x:v>0.85</x:v>
      </x:c>
      <x:c r="I332" s="21" t="n">
        <x:v>-0.03669945915000683</x:v>
      </x:c>
      <x:c r="J332" s="21" t="n">
        <x:v>-0.010093857812193963</x:v>
      </x:c>
      <x:c r="K332" s="21" t="n">
        <x:v>-0.044465703481627705</x:v>
      </x:c>
      <x:c r="L332" s="36" t="n">
        <x:f>IF(Assumptions!$B$4=2030,I332,IF(Assumptions!$B$4=2035,J332,K332))</x:f>
        <x:v>-0.010093857812193963</x:v>
      </x:c>
      <x:c r="M332" s="36" t="n">
        <x:f>Assumptions!$B$19</x:f>
        <x:v>-0.04739891965741583</x:v>
      </x:c>
      <x:c r="N332" s="52" t="n">
        <x:f>H332*L332+(1-H332)*M332+O332</x:f>
        <x:v>-0.015689617088977245</x:v>
      </x:c>
      <x:c r="O332" s="36" t="n">
        <x:f>Assumptions!$B$10</x:f>
        <x:v>0</x:v>
      </x:c>
      <x:c r="P332" s="54" t="n">
        <x:f>E332*(1+N332)</x:f>
        <x:v>2185.1690500624704</x:v>
      </x:c>
      <x:c r="Q332" s="54" t="n">
        <x:f>P332-E332</x:f>
        <x:v>-34.83094993752957</x:v>
      </x:c>
      <x:c r="R332" s="16" t="str">
        <x:v>Yes</x:v>
      </x:c>
      <x:c r="S332" s="56" t="n">
        <x:v>3157</x:v>
      </x:c>
      <x:c r="T332" s="56" t="n">
        <x:v>4522</x:v>
      </x:c>
      <x:c r="U332" s="40" t="n">
        <x:f>E332*Assumptions!$B$8</x:f>
        <x:v>1887</x:v>
      </x:c>
      <x:c r="V332" s="40" t="n">
        <x:f>P332*Assumptions!$B$8</x:f>
        <x:v>1857.3936925530998</x:v>
      </x:c>
      <x:c r="W332" s="54" t="n">
        <x:f>V332-U332</x:f>
        <x:v>-29.606307446900246</x:v>
      </x:c>
      <x:c r="X332" s="58" t="n">
        <x:f>IF(R332="No","",W332*S332)</x:f>
        <x:v>-93467.11260986408</x:v>
      </x:c>
      <x:c r="Y332" s="58" t="n">
        <x:f>IF(R332="No","",W332*T332*Assumptions!$B$9)</x:f>
        <x:v>-40163.91668246488</x:v>
      </x:c>
      <x:c r="Z332" s="58" t="n">
        <x:f>IF(R332="No","",X332-Y332)</x:f>
        <x:v>-53303.1959273992</x:v>
      </x:c>
      <x:c r="AA332" s="58" t="n">
        <x:f>IF(R332="No","",MAX(0,-Z332))</x:f>
        <x:v>53303.1959273992</x:v>
      </x:c>
      <x:c r="AB332" s="52" t="n">
        <x:f>IF(OR(R332="No",U332*S332=0),"",AA332/(U332*S332))</x:f>
        <x:v>0.008947604246751601</x:v>
      </x:c>
      <x:c r="AC332" s="54" t="n">
        <x:f>IF(OR(R332="No",S332-T332*Assumptions!$B$9&lt;=0),"",AA332/(Assumptions!$B$8*(S332-T332*Assumptions!$B$9)))</x:f>
        <x:v>34.830949937529695</x:v>
      </x:c>
      <x:c r="AD332" s="52" t="n">
        <x:f>IF(OR(R332="No",U332*S332=0),"",AA332/(U332*S332))</x:f>
        <x:v>0.008947604246751601</x:v>
      </x:c>
      <x:c r="AE332" s="50" t="str">
        <x:f>IF(R332="No","No finance data",IF(AB332&gt;=10%,"Severe",IF(AB332&gt;=5%,"High",IF(AB332&gt;=2%,"Moderate","Low"))))</x:f>
        <x:v>Low</x:v>
      </x:c>
      <x:c r="AF332" s="60" t="n">
        <x:v>32.537595</x:v>
      </x:c>
      <x:c r="AG332" s="60" t="n">
        <x:v>-83.89537</x:v>
      </x:c>
      <x:c r="AH332" s="44" t="str">
        <x:v>Undergraduate tuition-contribution proxy only; not an audited total institutional budget.</x:v>
      </x:c>
    </x:row>
    <x:row r="333">
      <x:c r="A333" s="16" t="n">
        <x:v>461236</x:v>
      </x:c>
      <x:c r="B333" s="16" t="str">
        <x:v>Georgia Christian University</x:v>
      </x:c>
      <x:c r="C333" s="16" t="str">
        <x:v>GA</x:v>
      </x:c>
      <x:c r="D333" s="16" t="str">
        <x:v>Private nonprofit</x:v>
      </x:c>
      <x:c r="E333" s="34" t="n">
        <x:v>153</x:v>
      </x:c>
      <x:c r="F333" s="21"/>
      <x:c r="G333" s="16" t="str">
        <x:v>Regional</x:v>
      </x:c>
      <x:c r="H333" s="36" t="n">
        <x:f>IF(G333="National",Assumptions!$B$11,IF(G333="Statewide",Assumptions!$B$12,Assumptions!$B$13))</x:f>
        <x:v>0.85</x:v>
      </x:c>
      <x:c r="I333" s="21" t="n">
        <x:v>-0.03669945915000683</x:v>
      </x:c>
      <x:c r="J333" s="21" t="n">
        <x:v>-0.010093857812193963</x:v>
      </x:c>
      <x:c r="K333" s="21" t="n">
        <x:v>-0.044465703481627705</x:v>
      </x:c>
      <x:c r="L333" s="36" t="n">
        <x:f>IF(Assumptions!$B$4=2030,I333,IF(Assumptions!$B$4=2035,J333,K333))</x:f>
        <x:v>-0.010093857812193963</x:v>
      </x:c>
      <x:c r="M333" s="36" t="n">
        <x:f>Assumptions!$B$19</x:f>
        <x:v>-0.04739891965741583</x:v>
      </x:c>
      <x:c r="N333" s="52" t="n">
        <x:f>H333*L333+(1-H333)*M333+O333</x:f>
        <x:v>-0.015689617088977245</x:v>
      </x:c>
      <x:c r="O333" s="36" t="n">
        <x:f>Assumptions!$B$10</x:f>
        <x:v>0</x:v>
      </x:c>
      <x:c r="P333" s="54" t="n">
        <x:f>E333*(1+N333)</x:f>
        <x:v>150.5994885853865</x:v>
      </x:c>
      <x:c r="Q333" s="54" t="n">
        <x:f>P333-E333</x:f>
        <x:v>-2.4005114146135043</x:v>
      </x:c>
      <x:c r="R333" s="16" t="str">
        <x:v>No</x:v>
      </x:c>
      <x:c r="S333" s="56"/>
      <x:c r="T333" s="56"/>
      <x:c r="U333" s="40" t="n">
        <x:f>E333*Assumptions!$B$8</x:f>
        <x:v>130.04999999999998</x:v>
      </x:c>
      <x:c r="V333" s="40" t="n">
        <x:f>P333*Assumptions!$B$8</x:f>
        <x:v>128.00956529757852</x:v>
      </x:c>
      <x:c r="W333" s="54" t="n">
        <x:f>V333-U333</x:f>
        <x:v>-2.0404347024214644</x:v>
      </x:c>
      <x:c r="X333" s="58" t="str">
        <x:f>IF(R333="No","",W333*S333)</x:f>
      </x:c>
      <x:c r="Y333" s="58" t="str">
        <x:f>IF(R333="No","",W333*T333*Assumptions!$B$9)</x:f>
      </x:c>
      <x:c r="Z333" s="58" t="str">
        <x:f>IF(R333="No","",X333-Y333)</x:f>
      </x:c>
      <x:c r="AA333" s="58" t="str">
        <x:f>IF(R333="No","",MAX(0,-Z333))</x:f>
      </x:c>
      <x:c r="AB333" s="52" t="str">
        <x:f>IF(OR(R333="No",U333*S333=0),"",AA333/(U333*S333))</x:f>
      </x:c>
      <x:c r="AC333" s="54" t="str">
        <x:f>IF(OR(R333="No",S333-T333*Assumptions!$B$9&lt;=0),"",AA333/(Assumptions!$B$8*(S333-T333*Assumptions!$B$9)))</x:f>
      </x:c>
      <x:c r="AD333" s="52" t="str">
        <x:f>IF(OR(R333="No",U333*S333=0),"",AA333/(U333*S333))</x:f>
      </x:c>
      <x:c r="AE333" s="50" t="str">
        <x:f>IF(R333="No","No finance data",IF(AB333&gt;=10%,"Severe",IF(AB333&gt;=5%,"High",IF(AB333&gt;=2%,"Moderate","Low"))))</x:f>
        <x:v>No finance data</x:v>
      </x:c>
      <x:c r="AF333" s="60"/>
      <x:c r="AG333" s="60"/>
      <x:c r="AH333" s="44" t="str">
        <x:v>Undergraduate tuition-contribution proxy only; not an audited total institutional budget.</x:v>
      </x:c>
    </x:row>
    <x:row r="334">
      <x:c r="A334" s="16" t="n">
        <x:v>139861</x:v>
      </x:c>
      <x:c r="B334" s="16" t="str">
        <x:v>Georgia College and State University</x:v>
      </x:c>
      <x:c r="C334" s="16" t="str">
        <x:v>GA</x:v>
      </x:c>
      <x:c r="D334" s="16" t="str">
        <x:v>Public</x:v>
      </x:c>
      <x:c r="E334" s="34" t="n">
        <x:v>5933</x:v>
      </x:c>
      <x:c r="F334" s="21" t="n">
        <x:v>0.8768</x:v>
      </x:c>
      <x:c r="G334" s="16" t="str">
        <x:v>Statewide</x:v>
      </x:c>
      <x:c r="H334" s="36" t="n">
        <x:f>IF(G334="National",Assumptions!$B$11,IF(G334="Statewide",Assumptions!$B$12,Assumptions!$B$13))</x:f>
        <x:v>0.6</x:v>
      </x:c>
      <x:c r="I334" s="21" t="n">
        <x:v>-0.03669945915000683</x:v>
      </x:c>
      <x:c r="J334" s="21" t="n">
        <x:v>-0.010093857812193963</x:v>
      </x:c>
      <x:c r="K334" s="21" t="n">
        <x:v>-0.044465703481627705</x:v>
      </x:c>
      <x:c r="L334" s="36" t="n">
        <x:f>IF(Assumptions!$B$4=2030,I334,IF(Assumptions!$B$4=2035,J334,K334))</x:f>
        <x:v>-0.010093857812193963</x:v>
      </x:c>
      <x:c r="M334" s="36" t="n">
        <x:f>Assumptions!$B$19</x:f>
        <x:v>-0.04739891965741583</x:v>
      </x:c>
      <x:c r="N334" s="52" t="n">
        <x:f>H334*L334+(1-H334)*M334+O334</x:f>
        <x:v>-0.02501588255028271</x:v>
      </x:c>
      <x:c r="O334" s="36" t="n">
        <x:f>Assumptions!$B$10</x:f>
        <x:v>0</x:v>
      </x:c>
      <x:c r="P334" s="54" t="n">
        <x:f>E334*(1+N334)</x:f>
        <x:v>5784.5807688291725</x:v>
      </x:c>
      <x:c r="Q334" s="54" t="n">
        <x:f>P334-E334</x:f>
        <x:v>-148.41923117082752</x:v>
      </x:c>
      <x:c r="R334" s="16" t="str">
        <x:v>Yes</x:v>
      </x:c>
      <x:c r="S334" s="56" t="n">
        <x:v>8763</x:v>
      </x:c>
      <x:c r="T334" s="56" t="n">
        <x:v>6888</x:v>
      </x:c>
      <x:c r="U334" s="40" t="n">
        <x:f>E334*Assumptions!$B$8</x:f>
        <x:v>5043.05</x:v>
      </x:c>
      <x:c r="V334" s="40" t="n">
        <x:f>P334*Assumptions!$B$8</x:f>
        <x:v>4916.893653504797</x:v>
      </x:c>
      <x:c r="W334" s="54" t="n">
        <x:f>V334-U334</x:f>
        <x:v>-126.15634649520325</x:v>
      </x:c>
      <x:c r="X334" s="58" t="n">
        <x:f>IF(R334="No","",W334*S334)</x:f>
        <x:v>-1105508.0643374661</x:v>
      </x:c>
      <x:c r="Y334" s="58" t="n">
        <x:f>IF(R334="No","",W334*T334*Assumptions!$B$9)</x:f>
        <x:v>-260689.47439768797</x:v>
      </x:c>
      <x:c r="Z334" s="58" t="n">
        <x:f>IF(R334="No","",X334-Y334)</x:f>
        <x:v>-844818.5899397782</x:v>
      </x:c>
      <x:c r="AA334" s="58" t="n">
        <x:f>IF(R334="No","",MAX(0,-Z334))</x:f>
        <x:v>844818.5899397782</x:v>
      </x:c>
      <x:c r="AB334" s="52" t="n">
        <x:f>IF(OR(R334="No",U334*S334=0),"",AA334/(U334*S334))</x:f>
        <x:v>0.019116895935892192</x:v>
      </x:c>
      <x:c r="AC334" s="54" t="n">
        <x:f>IF(OR(R334="No",S334-T334*Assumptions!$B$9&lt;=0),"",AA334/(Assumptions!$B$8*(S334-T334*Assumptions!$B$9)))</x:f>
        <x:v>148.41923117082735</x:v>
      </x:c>
      <x:c r="AD334" s="52" t="n">
        <x:f>IF(OR(R334="No",U334*S334=0),"",AA334/(U334*S334))</x:f>
        <x:v>0.019116895935892192</x:v>
      </x:c>
      <x:c r="AE334" s="50" t="str">
        <x:f>IF(R334="No","No finance data",IF(AB334&gt;=10%,"Severe",IF(AB334&gt;=5%,"High",IF(AB334&gt;=2%,"Moderate","Low"))))</x:f>
        <x:v>Low</x:v>
      </x:c>
      <x:c r="AF334" s="60" t="n">
        <x:v>33.082787</x:v>
      </x:c>
      <x:c r="AG334" s="60" t="n">
        <x:v>-83.231962</x:v>
      </x:c>
      <x:c r="AH334" s="44" t="str">
        <x:v>Undergraduate tuition-contribution proxy only; not an audited total institutional budget.</x:v>
      </x:c>
    </x:row>
    <x:row r="335">
      <x:c r="A335" s="16" t="n">
        <x:v>447689</x:v>
      </x:c>
      <x:c r="B335" s="16" t="str">
        <x:v>Georgia Gwinnett College</x:v>
      </x:c>
      <x:c r="C335" s="16" t="str">
        <x:v>GA</x:v>
      </x:c>
      <x:c r="D335" s="16" t="str">
        <x:v>Public</x:v>
      </x:c>
      <x:c r="E335" s="34" t="n">
        <x:v>10997</x:v>
      </x:c>
      <x:c r="F335" s="21" t="n">
        <x:v>0.9303</x:v>
      </x:c>
      <x:c r="G335" s="16" t="str">
        <x:v>Statewide</x:v>
      </x:c>
      <x:c r="H335" s="36" t="n">
        <x:f>IF(G335="National",Assumptions!$B$11,IF(G335="Statewide",Assumptions!$B$12,Assumptions!$B$13))</x:f>
        <x:v>0.6</x:v>
      </x:c>
      <x:c r="I335" s="21" t="n">
        <x:v>-0.03669945915000683</x:v>
      </x:c>
      <x:c r="J335" s="21" t="n">
        <x:v>-0.010093857812193963</x:v>
      </x:c>
      <x:c r="K335" s="21" t="n">
        <x:v>-0.044465703481627705</x:v>
      </x:c>
      <x:c r="L335" s="36" t="n">
        <x:f>IF(Assumptions!$B$4=2030,I335,IF(Assumptions!$B$4=2035,J335,K335))</x:f>
        <x:v>-0.010093857812193963</x:v>
      </x:c>
      <x:c r="M335" s="36" t="n">
        <x:f>Assumptions!$B$19</x:f>
        <x:v>-0.04739891965741583</x:v>
      </x:c>
      <x:c r="N335" s="52" t="n">
        <x:f>H335*L335+(1-H335)*M335+O335</x:f>
        <x:v>-0.02501588255028271</x:v>
      </x:c>
      <x:c r="O335" s="36" t="n">
        <x:f>Assumptions!$B$10</x:f>
        <x:v>0</x:v>
      </x:c>
      <x:c r="P335" s="54" t="n">
        <x:f>E335*(1+N335)</x:f>
        <x:v>10721.90033959454</x:v>
      </x:c>
      <x:c r="Q335" s="54" t="n">
        <x:f>P335-E335</x:f>
        <x:v>-275.0996604054599</x:v>
      </x:c>
      <x:c r="R335" s="16" t="str">
        <x:v>Yes</x:v>
      </x:c>
      <x:c r="S335" s="56" t="n">
        <x:v>3648</x:v>
      </x:c>
      <x:c r="T335" s="56" t="n">
        <x:v>4598</x:v>
      </x:c>
      <x:c r="U335" s="40" t="n">
        <x:f>E335*Assumptions!$B$8</x:f>
        <x:v>9347.449999999999</x:v>
      </x:c>
      <x:c r="V335" s="40" t="n">
        <x:f>P335*Assumptions!$B$8</x:f>
        <x:v>9113.61528865536</x:v>
      </x:c>
      <x:c r="W335" s="54" t="n">
        <x:f>V335-U335</x:f>
        <x:v>-233.8347113446398</x:v>
      </x:c>
      <x:c r="X335" s="58" t="n">
        <x:f>IF(R335="No","",W335*S335)</x:f>
        <x:v>-853029.026985246</x:v>
      </x:c>
      <x:c r="Y335" s="58" t="n">
        <x:f>IF(R335="No","",W335*T335*Assumptions!$B$9)</x:f>
        <x:v>-322551.60082879616</x:v>
      </x:c>
      <x:c r="Z335" s="58" t="n">
        <x:f>IF(R335="No","",X335-Y335)</x:f>
        <x:v>-530477.4261564498</x:v>
      </x:c>
      <x:c r="AA335" s="58" t="n">
        <x:f>IF(R335="No","",MAX(0,-Z335))</x:f>
        <x:v>530477.4261564498</x:v>
      </x:c>
      <x:c r="AB335" s="52" t="n">
        <x:f>IF(OR(R335="No",U335*S335=0),"",AA335/(U335*S335))</x:f>
        <x:v>0.015556751960957042</x:v>
      </x:c>
      <x:c r="AC335" s="54" t="n">
        <x:f>IF(OR(R335="No",S335-T335*Assumptions!$B$9&lt;=0),"",AA335/(Assumptions!$B$8*(S335-T335*Assumptions!$B$9)))</x:f>
        <x:v>275.09966040545856</x:v>
      </x:c>
      <x:c r="AD335" s="52" t="n">
        <x:f>IF(OR(R335="No",U335*S335=0),"",AA335/(U335*S335))</x:f>
        <x:v>0.015556751960957042</x:v>
      </x:c>
      <x:c r="AE335" s="50" t="str">
        <x:f>IF(R335="No","No finance data",IF(AB335&gt;=10%,"Severe",IF(AB335&gt;=5%,"High",IF(AB335&gt;=2%,"Moderate","Low"))))</x:f>
        <x:v>Low</x:v>
      </x:c>
      <x:c r="AF335" s="60" t="n">
        <x:v>33.979409</x:v>
      </x:c>
      <x:c r="AG335" s="60" t="n">
        <x:v>-84.00459</x:v>
      </x:c>
      <x:c r="AH335" s="44" t="str">
        <x:v>Undergraduate tuition-contribution proxy only; not an audited total institutional budget.</x:v>
      </x:c>
    </x:row>
    <x:row r="336">
      <x:c r="A336" s="16" t="n">
        <x:v>139755</x:v>
      </x:c>
      <x:c r="B336" s="16" t="str">
        <x:v>Georgia Institute of Technology-Main Campus</x:v>
      </x:c>
      <x:c r="C336" s="16" t="str">
        <x:v>GA</x:v>
      </x:c>
      <x:c r="D336" s="16" t="str">
        <x:v>Public</x:v>
      </x:c>
      <x:c r="E336" s="34" t="n">
        <x:v>14463</x:v>
      </x:c>
      <x:c r="F336" s="21" t="n">
        <x:v>0.1596</x:v>
      </x:c>
      <x:c r="G336" s="16" t="str">
        <x:v>National</x:v>
      </x:c>
      <x:c r="H336" s="36" t="n">
        <x:f>IF(G336="National",Assumptions!$B$11,IF(G336="Statewide",Assumptions!$B$12,Assumptions!$B$13))</x:f>
        <x:v>0.25</x:v>
      </x:c>
      <x:c r="I336" s="21" t="n">
        <x:v>-0.03669945915000683</x:v>
      </x:c>
      <x:c r="J336" s="21" t="n">
        <x:v>-0.010093857812193963</x:v>
      </x:c>
      <x:c r="K336" s="21" t="n">
        <x:v>-0.044465703481627705</x:v>
      </x:c>
      <x:c r="L336" s="36" t="n">
        <x:f>IF(Assumptions!$B$4=2030,I336,IF(Assumptions!$B$4=2035,J336,K336))</x:f>
        <x:v>-0.010093857812193963</x:v>
      </x:c>
      <x:c r="M336" s="36" t="n">
        <x:f>Assumptions!$B$19</x:f>
        <x:v>-0.04739891965741583</x:v>
      </x:c>
      <x:c r="N336" s="52" t="n">
        <x:f>H336*L336+(1-H336)*M336+O336</x:f>
        <x:v>-0.03807265419611036</x:v>
      </x:c>
      <x:c r="O336" s="36" t="n">
        <x:f>Assumptions!$B$10</x:f>
        <x:v>0</x:v>
      </x:c>
      <x:c r="P336" s="54" t="n">
        <x:f>E336*(1+N336)</x:f>
        <x:v>13912.355202361656</x:v>
      </x:c>
      <x:c r="Q336" s="54" t="n">
        <x:f>P336-E336</x:f>
        <x:v>-550.6447976383442</x:v>
      </x:c>
      <x:c r="R336" s="16" t="str">
        <x:v>Yes</x:v>
      </x:c>
      <x:c r="S336" s="56" t="n">
        <x:v>13100</x:v>
      </x:c>
      <x:c r="T336" s="56" t="n">
        <x:v>10243</x:v>
      </x:c>
      <x:c r="U336" s="40" t="n">
        <x:f>E336*Assumptions!$B$8</x:f>
        <x:v>12293.55</x:v>
      </x:c>
      <x:c r="V336" s="40" t="n">
        <x:f>P336*Assumptions!$B$8</x:f>
        <x:v>11825.501922007406</x:v>
      </x:c>
      <x:c r="W336" s="54" t="n">
        <x:f>V336-U336</x:f>
        <x:v>-468.0480779925929</x:v>
      </x:c>
      <x:c r="X336" s="58" t="n">
        <x:f>IF(R336="No","",W336*S336)</x:f>
        <x:v>-6131429.8217029665</x:v>
      </x:c>
      <x:c r="Y336" s="58" t="n">
        <x:f>IF(R336="No","",W336*T336*Assumptions!$B$9)</x:f>
        <x:v>-1438264.9388634386</x:v>
      </x:c>
      <x:c r="Z336" s="58" t="n">
        <x:f>IF(R336="No","",X336-Y336)</x:f>
        <x:v>-4693164.882839528</x:v>
      </x:c>
      <x:c r="AA336" s="58" t="n">
        <x:f>IF(R336="No","",MAX(0,-Z336))</x:f>
        <x:v>4693164.882839528</x:v>
      </x:c>
      <x:c r="AB336" s="52" t="n">
        <x:f>IF(OR(R336="No",U336*S336=0),"",AA336/(U336*S336))</x:f>
        <x:v>0.029141855793115914</x:v>
      </x:c>
      <x:c r="AC336" s="54" t="n">
        <x:f>IF(OR(R336="No",S336-T336*Assumptions!$B$9&lt;=0),"",AA336/(Assumptions!$B$8*(S336-T336*Assumptions!$B$9)))</x:f>
        <x:v>550.6447976383446</x:v>
      </x:c>
      <x:c r="AD336" s="52" t="n">
        <x:f>IF(OR(R336="No",U336*S336=0),"",AA336/(U336*S336))</x:f>
        <x:v>0.029141855793115914</x:v>
      </x:c>
      <x:c r="AE336" s="50" t="str">
        <x:f>IF(R336="No","No finance data",IF(AB336&gt;=10%,"Severe",IF(AB336&gt;=5%,"High",IF(AB336&gt;=2%,"Moderate","Low"))))</x:f>
        <x:v>Moderate</x:v>
      </x:c>
      <x:c r="AF336" s="60" t="n">
        <x:v>33.77242</x:v>
      </x:c>
      <x:c r="AG336" s="60" t="n">
        <x:v>-84.394832</x:v>
      </x:c>
      <x:c r="AH336" s="44" t="str">
        <x:v>Undergraduate tuition-contribution proxy only; not an audited total institutional budget.</x:v>
      </x:c>
    </x:row>
    <x:row r="337">
      <x:c r="A337" s="16" t="n">
        <x:v>139931</x:v>
      </x:c>
      <x:c r="B337" s="16" t="str">
        <x:v>Georgia Southern University</x:v>
      </x:c>
      <x:c r="C337" s="16" t="str">
        <x:v>GA</x:v>
      </x:c>
      <x:c r="D337" s="16" t="str">
        <x:v>Public</x:v>
      </x:c>
      <x:c r="E337" s="34" t="n">
        <x:v>17173</x:v>
      </x:c>
      <x:c r="F337" s="21" t="n">
        <x:v>0.9051</x:v>
      </x:c>
      <x:c r="G337" s="16" t="str">
        <x:v>Statewide</x:v>
      </x:c>
      <x:c r="H337" s="36" t="n">
        <x:f>IF(G337="National",Assumptions!$B$11,IF(G337="Statewide",Assumptions!$B$12,Assumptions!$B$13))</x:f>
        <x:v>0.6</x:v>
      </x:c>
      <x:c r="I337" s="21" t="n">
        <x:v>-0.03669945915000683</x:v>
      </x:c>
      <x:c r="J337" s="21" t="n">
        <x:v>-0.010093857812193963</x:v>
      </x:c>
      <x:c r="K337" s="21" t="n">
        <x:v>-0.044465703481627705</x:v>
      </x:c>
      <x:c r="L337" s="36" t="n">
        <x:f>IF(Assumptions!$B$4=2030,I337,IF(Assumptions!$B$4=2035,J337,K337))</x:f>
        <x:v>-0.010093857812193963</x:v>
      </x:c>
      <x:c r="M337" s="36" t="n">
        <x:f>Assumptions!$B$19</x:f>
        <x:v>-0.04739891965741583</x:v>
      </x:c>
      <x:c r="N337" s="52" t="n">
        <x:f>H337*L337+(1-H337)*M337+O337</x:f>
        <x:v>-0.02501588255028271</x:v>
      </x:c>
      <x:c r="O337" s="36" t="n">
        <x:f>Assumptions!$B$10</x:f>
        <x:v>0</x:v>
      </x:c>
      <x:c r="P337" s="54" t="n">
        <x:f>E337*(1+N337)</x:f>
        <x:v>16743.402248963994</x:v>
      </x:c>
      <x:c r="Q337" s="54" t="n">
        <x:f>P337-E337</x:f>
        <x:v>-429.59775103600623</x:v>
      </x:c>
      <x:c r="R337" s="16" t="str">
        <x:v>Yes</x:v>
      </x:c>
      <x:c r="S337" s="56" t="n">
        <x:v>5676</x:v>
      </x:c>
      <x:c r="T337" s="56" t="n">
        <x:v>5129</x:v>
      </x:c>
      <x:c r="U337" s="40" t="n">
        <x:f>E337*Assumptions!$B$8</x:f>
        <x:v>14597.05</x:v>
      </x:c>
      <x:c r="V337" s="40" t="n">
        <x:f>P337*Assumptions!$B$8</x:f>
        <x:v>14231.891911619394</x:v>
      </x:c>
      <x:c r="W337" s="54" t="n">
        <x:f>V337-U337</x:f>
        <x:v>-365.1580883806055</x:v>
      </x:c>
      <x:c r="X337" s="58" t="n">
        <x:f>IF(R337="No","",W337*S337)</x:f>
        <x:v>-2072637.3096483166</x:v>
      </x:c>
      <x:c r="Y337" s="58" t="n">
        <x:f>IF(R337="No","",W337*T337*Assumptions!$B$9)</x:f>
        <x:v>-561868.7505912376</x:v>
      </x:c>
      <x:c r="Z337" s="58" t="n">
        <x:f>IF(R337="No","",X337-Y337)</x:f>
        <x:v>-1510768.559057079</x:v>
      </x:c>
      <x:c r="AA337" s="58" t="n">
        <x:f>IF(R337="No","",MAX(0,-Z337))</x:f>
        <x:v>1510768.559057079</x:v>
      </x:c>
      <x:c r="AB337" s="52" t="n">
        <x:f>IF(OR(R337="No",U337*S337=0),"",AA337/(U337*S337))</x:f>
        <x:v>0.018234357095716174</x:v>
      </x:c>
      <x:c r="AC337" s="54" t="n">
        <x:f>IF(OR(R337="No",S337-T337*Assumptions!$B$9&lt;=0),"",AA337/(Assumptions!$B$8*(S337-T337*Assumptions!$B$9)))</x:f>
        <x:v>429.59775103600646</x:v>
      </x:c>
      <x:c r="AD337" s="52" t="n">
        <x:f>IF(OR(R337="No",U337*S337=0),"",AA337/(U337*S337))</x:f>
        <x:v>0.018234357095716174</x:v>
      </x:c>
      <x:c r="AE337" s="50" t="str">
        <x:f>IF(R337="No","No finance data",IF(AB337&gt;=10%,"Severe",IF(AB337&gt;=5%,"High",IF(AB337&gt;=2%,"Moderate","Low"))))</x:f>
        <x:v>Low</x:v>
      </x:c>
      <x:c r="AF337" s="60" t="n">
        <x:v>32.426153</x:v>
      </x:c>
      <x:c r="AG337" s="60" t="n">
        <x:v>-81.784045</x:v>
      </x:c>
      <x:c r="AH337" s="44" t="str">
        <x:v>Undergraduate tuition-contribution proxy only; not an audited total institutional budget.</x:v>
      </x:c>
    </x:row>
    <x:row r="338">
      <x:c r="A338" s="16" t="n">
        <x:v>139764</x:v>
      </x:c>
      <x:c r="B338" s="16" t="str">
        <x:v>Georgia Southwestern State University</x:v>
      </x:c>
      <x:c r="C338" s="16" t="str">
        <x:v>GA</x:v>
      </x:c>
      <x:c r="D338" s="16" t="str">
        <x:v>Public</x:v>
      </x:c>
      <x:c r="E338" s="34" t="n">
        <x:v>2301</x:v>
      </x:c>
      <x:c r="F338" s="21" t="n">
        <x:v>0.8558</x:v>
      </x:c>
      <x:c r="G338" s="16" t="str">
        <x:v>Regional</x:v>
      </x:c>
      <x:c r="H338" s="36" t="n">
        <x:f>IF(G338="National",Assumptions!$B$11,IF(G338="Statewide",Assumptions!$B$12,Assumptions!$B$13))</x:f>
        <x:v>0.85</x:v>
      </x:c>
      <x:c r="I338" s="21" t="n">
        <x:v>-0.03669945915000683</x:v>
      </x:c>
      <x:c r="J338" s="21" t="n">
        <x:v>-0.010093857812193963</x:v>
      </x:c>
      <x:c r="K338" s="21" t="n">
        <x:v>-0.044465703481627705</x:v>
      </x:c>
      <x:c r="L338" s="36" t="n">
        <x:f>IF(Assumptions!$B$4=2030,I338,IF(Assumptions!$B$4=2035,J338,K338))</x:f>
        <x:v>-0.010093857812193963</x:v>
      </x:c>
      <x:c r="M338" s="36" t="n">
        <x:f>Assumptions!$B$19</x:f>
        <x:v>-0.04739891965741583</x:v>
      </x:c>
      <x:c r="N338" s="52" t="n">
        <x:f>H338*L338+(1-H338)*M338+O338</x:f>
        <x:v>-0.015689617088977245</x:v>
      </x:c>
      <x:c r="O338" s="36" t="n">
        <x:f>Assumptions!$B$10</x:f>
        <x:v>0</x:v>
      </x:c>
      <x:c r="P338" s="54" t="n">
        <x:f>E338*(1+N338)</x:f>
        <x:v>2264.8981910782636</x:v>
      </x:c>
      <x:c r="Q338" s="54" t="n">
        <x:f>P338-E338</x:f>
        <x:v>-36.10180892173639</x:v>
      </x:c>
      <x:c r="R338" s="16" t="str">
        <x:v>Yes</x:v>
      </x:c>
      <x:c r="S338" s="56" t="n">
        <x:v>4279</x:v>
      </x:c>
      <x:c r="T338" s="56" t="n">
        <x:v>6401</x:v>
      </x:c>
      <x:c r="U338" s="40" t="n">
        <x:f>E338*Assumptions!$B$8</x:f>
        <x:v>1955.85</x:v>
      </x:c>
      <x:c r="V338" s="40" t="n">
        <x:f>P338*Assumptions!$B$8</x:f>
        <x:v>1925.163462416524</x:v>
      </x:c>
      <x:c r="W338" s="54" t="n">
        <x:f>V338-U338</x:f>
        <x:v>-30.68653758347591</x:v>
      </x:c>
      <x:c r="X338" s="58" t="n">
        <x:f>IF(R338="No","",W338*S338)</x:f>
        <x:v>-131307.69431969343</x:v>
      </x:c>
      <x:c r="Y338" s="58" t="n">
        <x:f>IF(R338="No","",W338*T338*Assumptions!$B$9)</x:f>
        <x:v>-58927.35812154879</x:v>
      </x:c>
      <x:c r="Z338" s="58" t="n">
        <x:f>IF(R338="No","",X338-Y338)</x:f>
        <x:v>-72380.33619814465</x:v>
      </x:c>
      <x:c r="AA338" s="58" t="n">
        <x:f>IF(R338="No","",MAX(0,-Z338))</x:f>
        <x:v>72380.33619814465</x:v>
      </x:c>
      <x:c r="AB338" s="52" t="n">
        <x:f>IF(OR(R338="No",U338*S338=0),"",AA338/(U338*S338))</x:f>
        <x:v>0.008648539338109456</x:v>
      </x:c>
      <x:c r="AC338" s="54" t="n">
        <x:f>IF(OR(R338="No",S338-T338*Assumptions!$B$9&lt;=0),"",AA338/(Assumptions!$B$8*(S338-T338*Assumptions!$B$9)))</x:f>
        <x:v>36.10180892173638</x:v>
      </x:c>
      <x:c r="AD338" s="52" t="n">
        <x:f>IF(OR(R338="No",U338*S338=0),"",AA338/(U338*S338))</x:f>
        <x:v>0.008648539338109456</x:v>
      </x:c>
      <x:c r="AE338" s="50" t="str">
        <x:f>IF(R338="No","No finance data",IF(AB338&gt;=10%,"Severe",IF(AB338&gt;=5%,"High",IF(AB338&gt;=2%,"Moderate","Low"))))</x:f>
        <x:v>Low</x:v>
      </x:c>
      <x:c r="AF338" s="60" t="n">
        <x:v>32.054662</x:v>
      </x:c>
      <x:c r="AG338" s="60" t="n">
        <x:v>-84.217738</x:v>
      </x:c>
      <x:c r="AH338" s="44" t="str">
        <x:v>Undergraduate tuition-contribution proxy only; not an audited total institutional budget.</x:v>
      </x:c>
    </x:row>
    <x:row r="339">
      <x:c r="A339" s="16" t="n">
        <x:v>139940</x:v>
      </x:c>
      <x:c r="B339" s="16" t="str">
        <x:v>Georgia State University</x:v>
      </x:c>
      <x:c r="C339" s="16" t="str">
        <x:v>GA</x:v>
      </x:c>
      <x:c r="D339" s="16" t="str">
        <x:v>Public</x:v>
      </x:c>
      <x:c r="E339" s="34" t="n">
        <x:v>24421</x:v>
      </x:c>
      <x:c r="F339" s="21" t="n">
        <x:v>0.9999</x:v>
      </x:c>
      <x:c r="G339" s="16" t="str">
        <x:v>Statewide</x:v>
      </x:c>
      <x:c r="H339" s="36" t="n">
        <x:f>IF(G339="National",Assumptions!$B$11,IF(G339="Statewide",Assumptions!$B$12,Assumptions!$B$13))</x:f>
        <x:v>0.6</x:v>
      </x:c>
      <x:c r="I339" s="21" t="n">
        <x:v>-0.03669945915000683</x:v>
      </x:c>
      <x:c r="J339" s="21" t="n">
        <x:v>-0.010093857812193963</x:v>
      </x:c>
      <x:c r="K339" s="21" t="n">
        <x:v>-0.044465703481627705</x:v>
      </x:c>
      <x:c r="L339" s="36" t="n">
        <x:f>IF(Assumptions!$B$4=2030,I339,IF(Assumptions!$B$4=2035,J339,K339))</x:f>
        <x:v>-0.010093857812193963</x:v>
      </x:c>
      <x:c r="M339" s="36" t="n">
        <x:f>Assumptions!$B$19</x:f>
        <x:v>-0.04739891965741583</x:v>
      </x:c>
      <x:c r="N339" s="52" t="n">
        <x:f>H339*L339+(1-H339)*M339+O339</x:f>
        <x:v>-0.02501588255028271</x:v>
      </x:c>
      <x:c r="O339" s="36" t="n">
        <x:f>Assumptions!$B$10</x:f>
        <x:v>0</x:v>
      </x:c>
      <x:c r="P339" s="54" t="n">
        <x:f>E339*(1+N339)</x:f>
        <x:v>23810.087132239543</x:v>
      </x:c>
      <x:c r="Q339" s="54" t="n">
        <x:f>P339-E339</x:f>
        <x:v>-610.9128677604567</x:v>
      </x:c>
      <x:c r="R339" s="16" t="str">
        <x:v>Yes</x:v>
      </x:c>
      <x:c r="S339" s="56" t="n">
        <x:v>8166</x:v>
      </x:c>
      <x:c r="T339" s="56" t="n">
        <x:v>5687</x:v>
      </x:c>
      <x:c r="U339" s="40" t="n">
        <x:f>E339*Assumptions!$B$8</x:f>
        <x:v>20757.85</x:v>
      </x:c>
      <x:c r="V339" s="40" t="n">
        <x:f>P339*Assumptions!$B$8</x:f>
        <x:v>20238.57406240361</x:v>
      </x:c>
      <x:c r="W339" s="54" t="n">
        <x:f>V339-U339</x:f>
        <x:v>-519.2759375963869</x:v>
      </x:c>
      <x:c r="X339" s="58" t="n">
        <x:f>IF(R339="No","",W339*S339)</x:f>
        <x:v>-4240407.306412096</x:v>
      </x:c>
      <x:c r="Y339" s="58" t="n">
        <x:f>IF(R339="No","",W339*T339*Assumptions!$B$9)</x:f>
        <x:v>-885936.6771331957</x:v>
      </x:c>
      <x:c r="Z339" s="58" t="n">
        <x:f>IF(R339="No","",X339-Y339)</x:f>
        <x:v>-3354470.6292789006</x:v>
      </x:c>
      <x:c r="AA339" s="58" t="n">
        <x:f>IF(R339="No","",MAX(0,-Z339))</x:f>
        <x:v>3354470.6292789006</x:v>
      </x:c>
      <x:c r="AB339" s="52" t="n">
        <x:f>IF(OR(R339="No",U339*S339=0),"",AA339/(U339*S339))</x:f>
        <x:v>0.019789382768377616</x:v>
      </x:c>
      <x:c r="AC339" s="54" t="n">
        <x:f>IF(OR(R339="No",S339-T339*Assumptions!$B$9&lt;=0),"",AA339/(Assumptions!$B$8*(S339-T339*Assumptions!$B$9)))</x:f>
        <x:v>610.9128677604554</x:v>
      </x:c>
      <x:c r="AD339" s="52" t="n">
        <x:f>IF(OR(R339="No",U339*S339=0),"",AA339/(U339*S339))</x:f>
        <x:v>0.019789382768377616</x:v>
      </x:c>
      <x:c r="AE339" s="50" t="str">
        <x:f>IF(R339="No","No finance data",IF(AB339&gt;=10%,"Severe",IF(AB339&gt;=5%,"High",IF(AB339&gt;=2%,"Moderate","Low"))))</x:f>
        <x:v>Low</x:v>
      </x:c>
      <x:c r="AF339" s="60" t="n">
        <x:v>33.7527</x:v>
      </x:c>
      <x:c r="AG339" s="60" t="n">
        <x:v>-84.38667</x:v>
      </x:c>
      <x:c r="AH339" s="44" t="str">
        <x:v>Undergraduate tuition-contribution proxy only; not an audited total institutional budget.</x:v>
      </x:c>
    </x:row>
    <x:row r="340">
      <x:c r="A340" s="16" t="n">
        <x:v>486840</x:v>
      </x:c>
      <x:c r="B340" s="16" t="str">
        <x:v>Kennesaw State University</x:v>
      </x:c>
      <x:c r="C340" s="16" t="str">
        <x:v>GA</x:v>
      </x:c>
      <x:c r="D340" s="16" t="str">
        <x:v>Public</x:v>
      </x:c>
      <x:c r="E340" s="34" t="n">
        <x:v>29841</x:v>
      </x:c>
      <x:c r="F340" s="21" t="n">
        <x:v>0.8159</x:v>
      </x:c>
      <x:c r="G340" s="16" t="str">
        <x:v>National</x:v>
      </x:c>
      <x:c r="H340" s="36" t="n">
        <x:f>IF(G340="National",Assumptions!$B$11,IF(G340="Statewide",Assumptions!$B$12,Assumptions!$B$13))</x:f>
        <x:v>0.25</x:v>
      </x:c>
      <x:c r="I340" s="21" t="n">
        <x:v>-0.03669945915000683</x:v>
      </x:c>
      <x:c r="J340" s="21" t="n">
        <x:v>-0.010093857812193963</x:v>
      </x:c>
      <x:c r="K340" s="21" t="n">
        <x:v>-0.044465703481627705</x:v>
      </x:c>
      <x:c r="L340" s="36" t="n">
        <x:f>IF(Assumptions!$B$4=2030,I340,IF(Assumptions!$B$4=2035,J340,K340))</x:f>
        <x:v>-0.010093857812193963</x:v>
      </x:c>
      <x:c r="M340" s="36" t="n">
        <x:f>Assumptions!$B$19</x:f>
        <x:v>-0.04739891965741583</x:v>
      </x:c>
      <x:c r="N340" s="52" t="n">
        <x:f>H340*L340+(1-H340)*M340+O340</x:f>
        <x:v>-0.03807265419611036</x:v>
      </x:c>
      <x:c r="O340" s="36" t="n">
        <x:f>Assumptions!$B$10</x:f>
        <x:v>0</x:v>
      </x:c>
      <x:c r="P340" s="54" t="n">
        <x:f>E340*(1+N340)</x:f>
        <x:v>28704.87392613387</x:v>
      </x:c>
      <x:c r="Q340" s="54" t="n">
        <x:f>P340-E340</x:f>
        <x:v>-1136.1260738661294</x:v>
      </x:c>
      <x:c r="R340" s="16" t="str">
        <x:v>Yes</x:v>
      </x:c>
      <x:c r="S340" s="56" t="n">
        <x:v>5943</x:v>
      </x:c>
      <x:c r="T340" s="56" t="n">
        <x:v>5627</x:v>
      </x:c>
      <x:c r="U340" s="40" t="n">
        <x:f>E340*Assumptions!$B$8</x:f>
        <x:v>25364.85</x:v>
      </x:c>
      <x:c r="V340" s="40" t="n">
        <x:f>P340*Assumptions!$B$8</x:f>
        <x:v>24399.14283721379</x:v>
      </x:c>
      <x:c r="W340" s="54" t="n">
        <x:f>V340-U340</x:f>
        <x:v>-965.7071627862097</x:v>
      </x:c>
      <x:c r="X340" s="58" t="n">
        <x:f>IF(R340="No","",W340*S340)</x:f>
        <x:v>-5739197.668438444</x:v>
      </x:c>
      <x:c r="Y340" s="58" t="n">
        <x:f>IF(R340="No","",W340*T340*Assumptions!$B$9)</x:f>
        <x:v>-1630210.2614994005</x:v>
      </x:c>
      <x:c r="Z340" s="58" t="n">
        <x:f>IF(R340="No","",X340-Y340)</x:f>
        <x:v>-4108987.4069390437</x:v>
      </x:c>
      <x:c r="AA340" s="58" t="n">
        <x:f>IF(R340="No","",MAX(0,-Z340))</x:f>
        <x:v>4108987.4069390437</x:v>
      </x:c>
      <x:c r="AB340" s="52" t="n">
        <x:f>IF(OR(R340="No",U340*S340=0),"",AA340/(U340*S340))</x:f>
        <x:v>0.02725817538937068</x:v>
      </x:c>
      <x:c r="AC340" s="54" t="n">
        <x:f>IF(OR(R340="No",S340-T340*Assumptions!$B$9&lt;=0),"",AA340/(Assumptions!$B$8*(S340-T340*Assumptions!$B$9)))</x:f>
        <x:v>1136.1260738661292</x:v>
      </x:c>
      <x:c r="AD340" s="52" t="n">
        <x:f>IF(OR(R340="No",U340*S340=0),"",AA340/(U340*S340))</x:f>
        <x:v>0.02725817538937068</x:v>
      </x:c>
      <x:c r="AE340" s="50" t="str">
        <x:f>IF(R340="No","No finance data",IF(AB340&gt;=10%,"Severe",IF(AB340&gt;=5%,"High",IF(AB340&gt;=2%,"Moderate","Low"))))</x:f>
        <x:v>Moderate</x:v>
      </x:c>
      <x:c r="AF340" s="60" t="n">
        <x:v>34.038807</x:v>
      </x:c>
      <x:c r="AG340" s="60" t="n">
        <x:v>-84.583052</x:v>
      </x:c>
      <x:c r="AH340" s="44" t="str">
        <x:v>Undergraduate tuition-contribution proxy only; not an audited total institutional budget.</x:v>
      </x:c>
    </x:row>
    <x:row r="341">
      <x:c r="A341" s="16" t="n">
        <x:v>140234</x:v>
      </x:c>
      <x:c r="B341" s="16" t="str">
        <x:v>LaGrange College</x:v>
      </x:c>
      <x:c r="C341" s="16" t="str">
        <x:v>GA</x:v>
      </x:c>
      <x:c r="D341" s="16" t="str">
        <x:v>Private nonprofit</x:v>
      </x:c>
      <x:c r="E341" s="34" t="n">
        <x:v>905</x:v>
      </x:c>
      <x:c r="F341" s="21" t="n">
        <x:v>0.7482</x:v>
      </x:c>
      <x:c r="G341" s="16" t="str">
        <x:v>Regional</x:v>
      </x:c>
      <x:c r="H341" s="36" t="n">
        <x:f>IF(G341="National",Assumptions!$B$11,IF(G341="Statewide",Assumptions!$B$12,Assumptions!$B$13))</x:f>
        <x:v>0.85</x:v>
      </x:c>
      <x:c r="I341" s="21" t="n">
        <x:v>-0.03669945915000683</x:v>
      </x:c>
      <x:c r="J341" s="21" t="n">
        <x:v>-0.010093857812193963</x:v>
      </x:c>
      <x:c r="K341" s="21" t="n">
        <x:v>-0.044465703481627705</x:v>
      </x:c>
      <x:c r="L341" s="36" t="n">
        <x:f>IF(Assumptions!$B$4=2030,I341,IF(Assumptions!$B$4=2035,J341,K341))</x:f>
        <x:v>-0.010093857812193963</x:v>
      </x:c>
      <x:c r="M341" s="36" t="n">
        <x:f>Assumptions!$B$19</x:f>
        <x:v>-0.04739891965741583</x:v>
      </x:c>
      <x:c r="N341" s="52" t="n">
        <x:f>H341*L341+(1-H341)*M341+O341</x:f>
        <x:v>-0.015689617088977245</x:v>
      </x:c>
      <x:c r="O341" s="36" t="n">
        <x:f>Assumptions!$B$10</x:f>
        <x:v>0</x:v>
      </x:c>
      <x:c r="P341" s="54" t="n">
        <x:f>E341*(1+N341)</x:f>
        <x:v>890.8008965344757</x:v>
      </x:c>
      <x:c r="Q341" s="54" t="n">
        <x:f>P341-E341</x:f>
        <x:v>-14.199103465524331</x:v>
      </x:c>
      <x:c r="R341" s="16" t="str">
        <x:v>Yes</x:v>
      </x:c>
      <x:c r="S341" s="56" t="n">
        <x:v>14755</x:v>
      </x:c>
      <x:c r="T341" s="56" t="n">
        <x:v>11605</x:v>
      </x:c>
      <x:c r="U341" s="40" t="n">
        <x:f>E341*Assumptions!$B$8</x:f>
        <x:v>769.25</x:v>
      </x:c>
      <x:c r="V341" s="40" t="n">
        <x:f>P341*Assumptions!$B$8</x:f>
        <x:v>757.1807620543043</x:v>
      </x:c>
      <x:c r="W341" s="54" t="n">
        <x:f>V341-U341</x:f>
        <x:v>-12.069237945695704</x:v>
      </x:c>
      <x:c r="X341" s="58" t="n">
        <x:f>IF(R341="No","",W341*S341)</x:f>
        <x:v>-178081.6058887401</x:v>
      </x:c>
      <x:c r="Y341" s="58" t="n">
        <x:f>IF(R341="No","",W341*T341*Assumptions!$B$9)</x:f>
        <x:v>-42019.051907939596</x:v>
      </x:c>
      <x:c r="Z341" s="58" t="n">
        <x:f>IF(R341="No","",X341-Y341)</x:f>
        <x:v>-136062.5539808005</x:v>
      </x:c>
      <x:c r="AA341" s="58" t="n">
        <x:f>IF(R341="No","",MAX(0,-Z341))</x:f>
        <x:v>136062.5539808005</x:v>
      </x:c>
      <x:c r="AB341" s="52" t="n">
        <x:f>IF(OR(R341="No",U341*S341=0),"",AA341/(U341*S341))</x:f>
        <x:v>0.011987590528809511</x:v>
      </x:c>
      <x:c r="AC341" s="54" t="n">
        <x:f>IF(OR(R341="No",S341-T341*Assumptions!$B$9&lt;=0),"",AA341/(Assumptions!$B$8*(S341-T341*Assumptions!$B$9)))</x:f>
        <x:v>14.199103465524354</x:v>
      </x:c>
      <x:c r="AD341" s="52" t="n">
        <x:f>IF(OR(R341="No",U341*S341=0),"",AA341/(U341*S341))</x:f>
        <x:v>0.011987590528809511</x:v>
      </x:c>
      <x:c r="AE341" s="50" t="str">
        <x:f>IF(R341="No","No finance data",IF(AB341&gt;=10%,"Severe",IF(AB341&gt;=5%,"High",IF(AB341&gt;=2%,"Moderate","Low"))))</x:f>
        <x:v>Low</x:v>
      </x:c>
      <x:c r="AF341" s="60" t="n">
        <x:v>33.038564</x:v>
      </x:c>
      <x:c r="AG341" s="60" t="n">
        <x:v>-85.043113</x:v>
      </x:c>
      <x:c r="AH341" s="44" t="str">
        <x:v>Undergraduate tuition-contribution proxy only; not an audited total institutional budget.</x:v>
      </x:c>
    </x:row>
    <x:row r="342">
      <x:c r="A342" s="16" t="n">
        <x:v>140252</x:v>
      </x:c>
      <x:c r="B342" s="16" t="str">
        <x:v>Life University</x:v>
      </x:c>
      <x:c r="C342" s="16" t="str">
        <x:v>GA</x:v>
      </x:c>
      <x:c r="D342" s="16" t="str">
        <x:v>Private nonprofit</x:v>
      </x:c>
      <x:c r="E342" s="34" t="n">
        <x:v>721</x:v>
      </x:c>
      <x:c r="F342" s="21" t="n">
        <x:v>0.9591</x:v>
      </x:c>
      <x:c r="G342" s="16" t="str">
        <x:v>Regional</x:v>
      </x:c>
      <x:c r="H342" s="36" t="n">
        <x:f>IF(G342="National",Assumptions!$B$11,IF(G342="Statewide",Assumptions!$B$12,Assumptions!$B$13))</x:f>
        <x:v>0.85</x:v>
      </x:c>
      <x:c r="I342" s="21" t="n">
        <x:v>-0.03669945915000683</x:v>
      </x:c>
      <x:c r="J342" s="21" t="n">
        <x:v>-0.010093857812193963</x:v>
      </x:c>
      <x:c r="K342" s="21" t="n">
        <x:v>-0.044465703481627705</x:v>
      </x:c>
      <x:c r="L342" s="36" t="n">
        <x:f>IF(Assumptions!$B$4=2030,I342,IF(Assumptions!$B$4=2035,J342,K342))</x:f>
        <x:v>-0.010093857812193963</x:v>
      </x:c>
      <x:c r="M342" s="36" t="n">
        <x:f>Assumptions!$B$19</x:f>
        <x:v>-0.04739891965741583</x:v>
      </x:c>
      <x:c r="N342" s="52" t="n">
        <x:f>H342*L342+(1-H342)*M342+O342</x:f>
        <x:v>-0.015689617088977245</x:v>
      </x:c>
      <x:c r="O342" s="36" t="n">
        <x:f>Assumptions!$B$10</x:f>
        <x:v>0</x:v>
      </x:c>
      <x:c r="P342" s="54" t="n">
        <x:f>E342*(1+N342)</x:f>
        <x:v>709.6877860788475</x:v>
      </x:c>
      <x:c r="Q342" s="54" t="n">
        <x:f>P342-E342</x:f>
        <x:v>-11.312213921152534</x:v>
      </x:c>
      <x:c r="R342" s="16" t="str">
        <x:v>Yes</x:v>
      </x:c>
      <x:c r="S342" s="56" t="n">
        <x:v>22718</x:v>
      </x:c>
      <x:c r="T342" s="56" t="n">
        <x:v>6503</x:v>
      </x:c>
      <x:c r="U342" s="40" t="n">
        <x:f>E342*Assumptions!$B$8</x:f>
        <x:v>612.85</x:v>
      </x:c>
      <x:c r="V342" s="40" t="n">
        <x:f>P342*Assumptions!$B$8</x:f>
        <x:v>603.2346181670204</x:v>
      </x:c>
      <x:c r="W342" s="54" t="n">
        <x:f>V342-U342</x:f>
        <x:v>-9.615381832979665</x:v>
      </x:c>
      <x:c r="X342" s="58" t="n">
        <x:f>IF(R342="No","",W342*S342)</x:f>
        <x:v>-218442.24448163202</x:v>
      </x:c>
      <x:c r="Y342" s="58" t="n">
        <x:f>IF(R342="No","",W342*T342*Assumptions!$B$9)</x:f>
        <x:v>-18758.648417960027</x:v>
      </x:c>
      <x:c r="Z342" s="58" t="n">
        <x:f>IF(R342="No","",X342-Y342)</x:f>
        <x:v>-199683.59606367198</x:v>
      </x:c>
      <x:c r="AA342" s="58" t="n">
        <x:f>IF(R342="No","",MAX(0,-Z342))</x:f>
        <x:v>199683.59606367198</x:v>
      </x:c>
      <x:c r="AB342" s="52" t="n">
        <x:f>IF(OR(R342="No",U342*S342=0),"",AA342/(U342*S342))</x:f>
        <x:v>0.01434227691911691</x:v>
      </x:c>
      <x:c r="AC342" s="54" t="n">
        <x:f>IF(OR(R342="No",S342-T342*Assumptions!$B$9&lt;=0),"",AA342/(Assumptions!$B$8*(S342-T342*Assumptions!$B$9)))</x:f>
        <x:v>11.312213921152546</x:v>
      </x:c>
      <x:c r="AD342" s="52" t="n">
        <x:f>IF(OR(R342="No",U342*S342=0),"",AA342/(U342*S342))</x:f>
        <x:v>0.01434227691911691</x:v>
      </x:c>
      <x:c r="AE342" s="50" t="str">
        <x:f>IF(R342="No","No finance data",IF(AB342&gt;=10%,"Severe",IF(AB342&gt;=5%,"High",IF(AB342&gt;=2%,"Moderate","Low"))))</x:f>
        <x:v>Low</x:v>
      </x:c>
      <x:c r="AF342" s="60" t="n">
        <x:v>33.932781</x:v>
      </x:c>
      <x:c r="AG342" s="60" t="n">
        <x:v>-84.514729</x:v>
      </x:c>
      <x:c r="AH342" s="44" t="str">
        <x:v>Undergraduate tuition-contribution proxy only; not an audited total institutional budget.</x:v>
      </x:c>
    </x:row>
    <x:row r="343">
      <x:c r="A343" s="16" t="n">
        <x:v>135364</x:v>
      </x:c>
      <x:c r="B343" s="16" t="str">
        <x:v>Luther Rice College &amp; Seminary</x:v>
      </x:c>
      <x:c r="C343" s="16" t="str">
        <x:v>GA</x:v>
      </x:c>
      <x:c r="D343" s="16" t="str">
        <x:v>Private nonprofit</x:v>
      </x:c>
      <x:c r="E343" s="34" t="n">
        <x:v>409</x:v>
      </x:c>
      <x:c r="F343" s="21"/>
      <x:c r="G343" s="16" t="str">
        <x:v>Regional</x:v>
      </x:c>
      <x:c r="H343" s="36" t="n">
        <x:f>IF(G343="National",Assumptions!$B$11,IF(G343="Statewide",Assumptions!$B$12,Assumptions!$B$13))</x:f>
        <x:v>0.85</x:v>
      </x:c>
      <x:c r="I343" s="21" t="n">
        <x:v>-0.03669945915000683</x:v>
      </x:c>
      <x:c r="J343" s="21" t="n">
        <x:v>-0.010093857812193963</x:v>
      </x:c>
      <x:c r="K343" s="21" t="n">
        <x:v>-0.044465703481627705</x:v>
      </x:c>
      <x:c r="L343" s="36" t="n">
        <x:f>IF(Assumptions!$B$4=2030,I343,IF(Assumptions!$B$4=2035,J343,K343))</x:f>
        <x:v>-0.010093857812193963</x:v>
      </x:c>
      <x:c r="M343" s="36" t="n">
        <x:f>Assumptions!$B$19</x:f>
        <x:v>-0.04739891965741583</x:v>
      </x:c>
      <x:c r="N343" s="52" t="n">
        <x:f>H343*L343+(1-H343)*M343+O343</x:f>
        <x:v>-0.015689617088977245</x:v>
      </x:c>
      <x:c r="O343" s="36" t="n">
        <x:f>Assumptions!$B$10</x:f>
        <x:v>0</x:v>
      </x:c>
      <x:c r="P343" s="54" t="n">
        <x:f>E343*(1+N343)</x:f>
        <x:v>402.5829466106083</x:v>
      </x:c>
      <x:c r="Q343" s="54" t="n">
        <x:f>P343-E343</x:f>
        <x:v>-6.417053389391697</x:v>
      </x:c>
      <x:c r="R343" s="16" t="str">
        <x:v>No</x:v>
      </x:c>
      <x:c r="S343" s="56"/>
      <x:c r="T343" s="56"/>
      <x:c r="U343" s="40" t="n">
        <x:f>E343*Assumptions!$B$8</x:f>
        <x:v>347.65</x:v>
      </x:c>
      <x:c r="V343" s="40" t="n">
        <x:f>P343*Assumptions!$B$8</x:f>
        <x:v>342.1955046190171</x:v>
      </x:c>
      <x:c r="W343" s="54" t="n">
        <x:f>V343-U343</x:f>
        <x:v>-5.454495380982905</x:v>
      </x:c>
      <x:c r="X343" s="58" t="str">
        <x:f>IF(R343="No","",W343*S343)</x:f>
      </x:c>
      <x:c r="Y343" s="58" t="str">
        <x:f>IF(R343="No","",W343*T343*Assumptions!$B$9)</x:f>
      </x:c>
      <x:c r="Z343" s="58" t="str">
        <x:f>IF(R343="No","",X343-Y343)</x:f>
      </x:c>
      <x:c r="AA343" s="58" t="str">
        <x:f>IF(R343="No","",MAX(0,-Z343))</x:f>
      </x:c>
      <x:c r="AB343" s="52" t="str">
        <x:f>IF(OR(R343="No",U343*S343=0),"",AA343/(U343*S343))</x:f>
      </x:c>
      <x:c r="AC343" s="54" t="str">
        <x:f>IF(OR(R343="No",S343-T343*Assumptions!$B$9&lt;=0),"",AA343/(Assumptions!$B$8*(S343-T343*Assumptions!$B$9)))</x:f>
      </x:c>
      <x:c r="AD343" s="52" t="str">
        <x:f>IF(OR(R343="No",U343*S343=0),"",AA343/(U343*S343))</x:f>
      </x:c>
      <x:c r="AE343" s="50" t="str">
        <x:f>IF(R343="No","No finance data",IF(AB343&gt;=10%,"Severe",IF(AB343&gt;=5%,"High",IF(AB343&gt;=2%,"Moderate","Low"))))</x:f>
        <x:v>No finance data</x:v>
      </x:c>
      <x:c r="AF343" s="60"/>
      <x:c r="AG343" s="60"/>
      <x:c r="AH343" s="44" t="str">
        <x:v>Undergraduate tuition-contribution proxy only; not an audited total institutional budget.</x:v>
      </x:c>
    </x:row>
    <x:row r="344">
      <x:c r="A344" s="16" t="n">
        <x:v>140447</x:v>
      </x:c>
      <x:c r="B344" s="16" t="str">
        <x:v>Mercer University</x:v>
      </x:c>
      <x:c r="C344" s="16" t="str">
        <x:v>GA</x:v>
      </x:c>
      <x:c r="D344" s="16" t="str">
        <x:v>Private nonprofit</x:v>
      </x:c>
      <x:c r="E344" s="34" t="n">
        <x:v>4556</x:v>
      </x:c>
      <x:c r="F344" s="21" t="n">
        <x:v>0.7541</x:v>
      </x:c>
      <x:c r="G344" s="16" t="str">
        <x:v>Regional</x:v>
      </x:c>
      <x:c r="H344" s="36" t="n">
        <x:f>IF(G344="National",Assumptions!$B$11,IF(G344="Statewide",Assumptions!$B$12,Assumptions!$B$13))</x:f>
        <x:v>0.85</x:v>
      </x:c>
      <x:c r="I344" s="21" t="n">
        <x:v>-0.03669945915000683</x:v>
      </x:c>
      <x:c r="J344" s="21" t="n">
        <x:v>-0.010093857812193963</x:v>
      </x:c>
      <x:c r="K344" s="21" t="n">
        <x:v>-0.044465703481627705</x:v>
      </x:c>
      <x:c r="L344" s="36" t="n">
        <x:f>IF(Assumptions!$B$4=2030,I344,IF(Assumptions!$B$4=2035,J344,K344))</x:f>
        <x:v>-0.010093857812193963</x:v>
      </x:c>
      <x:c r="M344" s="36" t="n">
        <x:f>Assumptions!$B$19</x:f>
        <x:v>-0.04739891965741583</x:v>
      </x:c>
      <x:c r="N344" s="52" t="n">
        <x:f>H344*L344+(1-H344)*M344+O344</x:f>
        <x:v>-0.015689617088977245</x:v>
      </x:c>
      <x:c r="O344" s="36" t="n">
        <x:f>Assumptions!$B$10</x:f>
        <x:v>0</x:v>
      </x:c>
      <x:c r="P344" s="54" t="n">
        <x:f>E344*(1+N344)</x:f>
        <x:v>4484.51810454262</x:v>
      </x:c>
      <x:c r="Q344" s="54" t="n">
        <x:f>P344-E344</x:f>
        <x:v>-71.48189545738023</x:v>
      </x:c>
      <x:c r="R344" s="16" t="str">
        <x:v>Yes</x:v>
      </x:c>
      <x:c r="S344" s="56" t="n">
        <x:v>18233</x:v>
      </x:c>
      <x:c r="T344" s="56" t="n">
        <x:v>12487</x:v>
      </x:c>
      <x:c r="U344" s="40" t="n">
        <x:f>E344*Assumptions!$B$8</x:f>
        <x:v>3872.6</x:v>
      </x:c>
      <x:c r="V344" s="40" t="n">
        <x:f>P344*Assumptions!$B$8</x:f>
        <x:v>3811.8403888612265</x:v>
      </x:c>
      <x:c r="W344" s="54" t="n">
        <x:f>V344-U344</x:f>
        <x:v>-60.75961113877338</x:v>
      </x:c>
      <x:c r="X344" s="58" t="n">
        <x:f>IF(R344="No","",W344*S344)</x:f>
        <x:v>-1107829.989893255</x:v>
      </x:c>
      <x:c r="Y344" s="58" t="n">
        <x:f>IF(R344="No","",W344*T344*Assumptions!$B$9)</x:f>
        <x:v>-227611.57928695893</x:v>
      </x:c>
      <x:c r="Z344" s="58" t="n">
        <x:f>IF(R344="No","",X344-Y344)</x:f>
        <x:v>-880218.4106062962</x:v>
      </x:c>
      <x:c r="AA344" s="58" t="n">
        <x:f>IF(R344="No","",MAX(0,-Z344))</x:f>
        <x:v>880218.4106062962</x:v>
      </x:c>
      <x:c r="AB344" s="52" t="n">
        <x:f>IF(OR(R344="No",U344*S344=0),"",AA344/(U344*S344))</x:f>
        <x:v>0.012466073263111109</x:v>
      </x:c>
      <x:c r="AC344" s="54" t="n">
        <x:f>IF(OR(R344="No",S344-T344*Assumptions!$B$9&lt;=0),"",AA344/(Assumptions!$B$8*(S344-T344*Assumptions!$B$9)))</x:f>
        <x:v>71.48189545738046</x:v>
      </x:c>
      <x:c r="AD344" s="52" t="n">
        <x:f>IF(OR(R344="No",U344*S344=0),"",AA344/(U344*S344))</x:f>
        <x:v>0.012466073263111109</x:v>
      </x:c>
      <x:c r="AE344" s="50" t="str">
        <x:f>IF(R344="No","No finance data",IF(AB344&gt;=10%,"Severe",IF(AB344&gt;=5%,"High",IF(AB344&gt;=2%,"Moderate","Low"))))</x:f>
        <x:v>Low</x:v>
      </x:c>
      <x:c r="AF344" s="60" t="n">
        <x:v>32.829134</x:v>
      </x:c>
      <x:c r="AG344" s="60" t="n">
        <x:v>-83.649392</x:v>
      </x:c>
      <x:c r="AH344" s="44" t="str">
        <x:v>Undergraduate tuition-contribution proxy only; not an audited total institutional budget.</x:v>
      </x:c>
    </x:row>
    <x:row r="345">
      <x:c r="A345" s="16" t="n">
        <x:v>482158</x:v>
      </x:c>
      <x:c r="B345" s="16" t="str">
        <x:v>Middle Georgia State University</x:v>
      </x:c>
      <x:c r="C345" s="16" t="str">
        <x:v>GA</x:v>
      </x:c>
      <x:c r="D345" s="16" t="str">
        <x:v>Public</x:v>
      </x:c>
      <x:c r="E345" s="34" t="n">
        <x:v>7225</x:v>
      </x:c>
      <x:c r="F345" s="21" t="n">
        <x:v>0.9939</x:v>
      </x:c>
      <x:c r="G345" s="16" t="str">
        <x:v>Statewide</x:v>
      </x:c>
      <x:c r="H345" s="36" t="n">
        <x:f>IF(G345="National",Assumptions!$B$11,IF(G345="Statewide",Assumptions!$B$12,Assumptions!$B$13))</x:f>
        <x:v>0.6</x:v>
      </x:c>
      <x:c r="I345" s="21" t="n">
        <x:v>-0.03669945915000683</x:v>
      </x:c>
      <x:c r="J345" s="21" t="n">
        <x:v>-0.010093857812193963</x:v>
      </x:c>
      <x:c r="K345" s="21" t="n">
        <x:v>-0.044465703481627705</x:v>
      </x:c>
      <x:c r="L345" s="36" t="n">
        <x:f>IF(Assumptions!$B$4=2030,I345,IF(Assumptions!$B$4=2035,J345,K345))</x:f>
        <x:v>-0.010093857812193963</x:v>
      </x:c>
      <x:c r="M345" s="36" t="n">
        <x:f>Assumptions!$B$19</x:f>
        <x:v>-0.04739891965741583</x:v>
      </x:c>
      <x:c r="N345" s="52" t="n">
        <x:f>H345*L345+(1-H345)*M345+O345</x:f>
        <x:v>-0.02501588255028271</x:v>
      </x:c>
      <x:c r="O345" s="36" t="n">
        <x:f>Assumptions!$B$10</x:f>
        <x:v>0</x:v>
      </x:c>
      <x:c r="P345" s="54" t="n">
        <x:f>E345*(1+N345)</x:f>
        <x:v>7044.260248574207</x:v>
      </x:c>
      <x:c r="Q345" s="54" t="n">
        <x:f>P345-E345</x:f>
        <x:v>-180.73975142579275</x:v>
      </x:c>
      <x:c r="R345" s="16" t="str">
        <x:v>Yes</x:v>
      </x:c>
      <x:c r="S345" s="56" t="n">
        <x:v>3834</x:v>
      </x:c>
      <x:c r="T345" s="56" t="n">
        <x:v>6145</x:v>
      </x:c>
      <x:c r="U345" s="40" t="n">
        <x:f>E345*Assumptions!$B$8</x:f>
        <x:v>6141.25</x:v>
      </x:c>
      <x:c r="V345" s="40" t="n">
        <x:f>P345*Assumptions!$B$8</x:f>
        <x:v>5987.621211288076</x:v>
      </x:c>
      <x:c r="W345" s="54" t="n">
        <x:f>V345-U345</x:f>
        <x:v>-153.62878871192424</x:v>
      </x:c>
      <x:c r="X345" s="58" t="n">
        <x:f>IF(R345="No","",W345*S345)</x:f>
        <x:v>-589012.7759215175</x:v>
      </x:c>
      <x:c r="Y345" s="58" t="n">
        <x:f>IF(R345="No","",W345*T345*Assumptions!$B$9)</x:f>
        <x:v>-283214.67199043237</x:v>
      </x:c>
      <x:c r="Z345" s="58" t="n">
        <x:f>IF(R345="No","",X345-Y345)</x:f>
        <x:v>-305798.10393108515</x:v>
      </x:c>
      <x:c r="AA345" s="58" t="n">
        <x:f>IF(R345="No","",MAX(0,-Z345))</x:f>
        <x:v>305798.10393108515</x:v>
      </x:c>
      <x:c r="AB345" s="52" t="n">
        <x:f>IF(OR(R345="No",U345*S345=0),"",AA345/(U345*S345))</x:f>
        <x:v>0.012987510228570136</x:v>
      </x:c>
      <x:c r="AC345" s="54" t="n">
        <x:f>IF(OR(R345="No",S345-T345*Assumptions!$B$9&lt;=0),"",AA345/(Assumptions!$B$8*(S345-T345*Assumptions!$B$9)))</x:f>
        <x:v>180.7397514257932</x:v>
      </x:c>
      <x:c r="AD345" s="52" t="n">
        <x:f>IF(OR(R345="No",U345*S345=0),"",AA345/(U345*S345))</x:f>
        <x:v>0.012987510228570136</x:v>
      </x:c>
      <x:c r="AE345" s="50" t="str">
        <x:f>IF(R345="No","No finance data",IF(AB345&gt;=10%,"Severe",IF(AB345&gt;=5%,"High",IF(AB345&gt;=2%,"Moderate","Low"))))</x:f>
        <x:v>Low</x:v>
      </x:c>
      <x:c r="AF345" s="60" t="n">
        <x:v>32.808092</x:v>
      </x:c>
      <x:c r="AG345" s="60" t="n">
        <x:v>-83.732058</x:v>
      </x:c>
      <x:c r="AH345" s="44" t="str">
        <x:v>Undergraduate tuition-contribution proxy only; not an audited total institutional budget.</x:v>
      </x:c>
    </x:row>
    <x:row r="346">
      <x:c r="A346" s="16" t="n">
        <x:v>140553</x:v>
      </x:c>
      <x:c r="B346" s="16" t="str">
        <x:v>Morehouse College</x:v>
      </x:c>
      <x:c r="C346" s="16" t="str">
        <x:v>GA</x:v>
      </x:c>
      <x:c r="D346" s="16" t="str">
        <x:v>Private nonprofit</x:v>
      </x:c>
      <x:c r="E346" s="34" t="n">
        <x:v>2163</x:v>
      </x:c>
      <x:c r="F346" s="21" t="n">
        <x:v>0.6518</x:v>
      </x:c>
      <x:c r="G346" s="16" t="str">
        <x:v>Regional</x:v>
      </x:c>
      <x:c r="H346" s="36" t="n">
        <x:f>IF(G346="National",Assumptions!$B$11,IF(G346="Statewide",Assumptions!$B$12,Assumptions!$B$13))</x:f>
        <x:v>0.85</x:v>
      </x:c>
      <x:c r="I346" s="21" t="n">
        <x:v>-0.03669945915000683</x:v>
      </x:c>
      <x:c r="J346" s="21" t="n">
        <x:v>-0.010093857812193963</x:v>
      </x:c>
      <x:c r="K346" s="21" t="n">
        <x:v>-0.044465703481627705</x:v>
      </x:c>
      <x:c r="L346" s="36" t="n">
        <x:f>IF(Assumptions!$B$4=2030,I346,IF(Assumptions!$B$4=2035,J346,K346))</x:f>
        <x:v>-0.010093857812193963</x:v>
      </x:c>
      <x:c r="M346" s="36" t="n">
        <x:f>Assumptions!$B$19</x:f>
        <x:v>-0.04739891965741583</x:v>
      </x:c>
      <x:c r="N346" s="52" t="n">
        <x:f>H346*L346+(1-H346)*M346+O346</x:f>
        <x:v>-0.015689617088977245</x:v>
      </x:c>
      <x:c r="O346" s="36" t="n">
        <x:f>Assumptions!$B$10</x:f>
        <x:v>0</x:v>
      </x:c>
      <x:c r="P346" s="54" t="n">
        <x:f>E346*(1+N346)</x:f>
        <x:v>2129.063358236542</x:v>
      </x:c>
      <x:c r="Q346" s="54" t="n">
        <x:f>P346-E346</x:f>
        <x:v>-33.93664176345783</x:v>
      </x:c>
      <x:c r="R346" s="16" t="str">
        <x:v>Yes</x:v>
      </x:c>
      <x:c r="S346" s="56" t="n">
        <x:v>23759</x:v>
      </x:c>
      <x:c r="T346" s="56" t="n">
        <x:v>17804</x:v>
      </x:c>
      <x:c r="U346" s="40" t="n">
        <x:f>E346*Assumptions!$B$8</x:f>
        <x:v>1838.55</x:v>
      </x:c>
      <x:c r="V346" s="40" t="n">
        <x:f>P346*Assumptions!$B$8</x:f>
        <x:v>1809.7038545010607</x:v>
      </x:c>
      <x:c r="W346" s="54" t="n">
        <x:f>V346-U346</x:f>
        <x:v>-28.846145498939222</x:v>
      </x:c>
      <x:c r="X346" s="58" t="n">
        <x:f>IF(R346="No","",W346*S346)</x:f>
        <x:v>-685355.570909297</x:v>
      </x:c>
      <x:c r="Y346" s="58" t="n">
        <x:f>IF(R346="No","",W346*T346*Assumptions!$B$9)</x:f>
        <x:v>-154073.03233893416</x:v>
      </x:c>
      <x:c r="Z346" s="58" t="n">
        <x:f>IF(R346="No","",X346-Y346)</x:f>
        <x:v>-531282.5385703628</x:v>
      </x:c>
      <x:c r="AA346" s="58" t="n">
        <x:f>IF(R346="No","",MAX(0,-Z346))</x:f>
        <x:v>531282.5385703628</x:v>
      </x:c>
      <x:c r="AB346" s="52" t="n">
        <x:f>IF(OR(R346="No",U346*S346=0),"",AA346/(U346*S346))</x:f>
        <x:v>0.012162474414805599</x:v>
      </x:c>
      <x:c r="AC346" s="54" t="n">
        <x:f>IF(OR(R346="No",S346-T346*Assumptions!$B$9&lt;=0),"",AA346/(Assumptions!$B$8*(S346-T346*Assumptions!$B$9)))</x:f>
        <x:v>33.936641763457914</x:v>
      </x:c>
      <x:c r="AD346" s="52" t="n">
        <x:f>IF(OR(R346="No",U346*S346=0),"",AA346/(U346*S346))</x:f>
        <x:v>0.012162474414805599</x:v>
      </x:c>
      <x:c r="AE346" s="50" t="str">
        <x:f>IF(R346="No","No finance data",IF(AB346&gt;=10%,"Severe",IF(AB346&gt;=5%,"High",IF(AB346&gt;=2%,"Moderate","Low"))))</x:f>
        <x:v>Low</x:v>
      </x:c>
      <x:c r="AF346" s="60" t="n">
        <x:v>33.745982</x:v>
      </x:c>
      <x:c r="AG346" s="60" t="n">
        <x:v>-84.414917</x:v>
      </x:c>
      <x:c r="AH346" s="44" t="str">
        <x:v>Undergraduate tuition-contribution proxy only; not an audited total institutional budget.</x:v>
      </x:c>
    </x:row>
    <x:row r="347">
      <x:c r="A347" s="16" t="n">
        <x:v>140696</x:v>
      </x:c>
      <x:c r="B347" s="16" t="str">
        <x:v>Oglethorpe University</x:v>
      </x:c>
      <x:c r="C347" s="16" t="str">
        <x:v>GA</x:v>
      </x:c>
      <x:c r="D347" s="16" t="str">
        <x:v>Private nonprofit</x:v>
      </x:c>
      <x:c r="E347" s="34" t="n">
        <x:v>1140</x:v>
      </x:c>
      <x:c r="F347" s="21" t="n">
        <x:v>0.8129</x:v>
      </x:c>
      <x:c r="G347" s="16" t="str">
        <x:v>Regional</x:v>
      </x:c>
      <x:c r="H347" s="36" t="n">
        <x:f>IF(G347="National",Assumptions!$B$11,IF(G347="Statewide",Assumptions!$B$12,Assumptions!$B$13))</x:f>
        <x:v>0.85</x:v>
      </x:c>
      <x:c r="I347" s="21" t="n">
        <x:v>-0.03669945915000683</x:v>
      </x:c>
      <x:c r="J347" s="21" t="n">
        <x:v>-0.010093857812193963</x:v>
      </x:c>
      <x:c r="K347" s="21" t="n">
        <x:v>-0.044465703481627705</x:v>
      </x:c>
      <x:c r="L347" s="36" t="n">
        <x:f>IF(Assumptions!$B$4=2030,I347,IF(Assumptions!$B$4=2035,J347,K347))</x:f>
        <x:v>-0.010093857812193963</x:v>
      </x:c>
      <x:c r="M347" s="36" t="n">
        <x:f>Assumptions!$B$19</x:f>
        <x:v>-0.04739891965741583</x:v>
      </x:c>
      <x:c r="N347" s="52" t="n">
        <x:f>H347*L347+(1-H347)*M347+O347</x:f>
        <x:v>-0.015689617088977245</x:v>
      </x:c>
      <x:c r="O347" s="36" t="n">
        <x:f>Assumptions!$B$10</x:f>
        <x:v>0</x:v>
      </x:c>
      <x:c r="P347" s="54" t="n">
        <x:f>E347*(1+N347)</x:f>
        <x:v>1122.113836518566</x:v>
      </x:c>
      <x:c r="Q347" s="54" t="n">
        <x:f>P347-E347</x:f>
        <x:v>-17.886163481434096</x:v>
      </x:c>
      <x:c r="R347" s="16" t="str">
        <x:v>Yes</x:v>
      </x:c>
      <x:c r="S347" s="56" t="n">
        <x:v>13320</x:v>
      </x:c>
      <x:c r="T347" s="56" t="n">
        <x:v>5779</x:v>
      </x:c>
      <x:c r="U347" s="40" t="n">
        <x:f>E347*Assumptions!$B$8</x:f>
        <x:v>969</x:v>
      </x:c>
      <x:c r="V347" s="40" t="n">
        <x:f>P347*Assumptions!$B$8</x:f>
        <x:v>953.796761040781</x:v>
      </x:c>
      <x:c r="W347" s="54" t="n">
        <x:f>V347-U347</x:f>
        <x:v>-15.203238959218993</x:v>
      </x:c>
      <x:c r="X347" s="58" t="n">
        <x:f>IF(R347="No","",W347*S347)</x:f>
        <x:v>-202507.142936797</x:v>
      </x:c>
      <x:c r="Y347" s="58" t="n">
        <x:f>IF(R347="No","",W347*T347*Assumptions!$B$9)</x:f>
        <x:v>-26357.855383597966</x:v>
      </x:c>
      <x:c r="Z347" s="58" t="n">
        <x:f>IF(R347="No","",X347-Y347)</x:f>
        <x:v>-176149.28755319904</x:v>
      </x:c>
      <x:c r="AA347" s="58" t="n">
        <x:f>IF(R347="No","",MAX(0,-Z347))</x:f>
        <x:v>176149.28755319904</x:v>
      </x:c>
      <x:c r="AB347" s="52" t="n">
        <x:f>IF(OR(R347="No",U347*S347=0),"",AA347/(U347*S347))</x:f>
        <x:v>0.01364749327913045</x:v>
      </x:c>
      <x:c r="AC347" s="54" t="n">
        <x:f>IF(OR(R347="No",S347-T347*Assumptions!$B$9&lt;=0),"",AA347/(Assumptions!$B$8*(S347-T347*Assumptions!$B$9)))</x:f>
        <x:v>17.886163481434114</x:v>
      </x:c>
      <x:c r="AD347" s="52" t="n">
        <x:f>IF(OR(R347="No",U347*S347=0),"",AA347/(U347*S347))</x:f>
        <x:v>0.01364749327913045</x:v>
      </x:c>
      <x:c r="AE347" s="50" t="str">
        <x:f>IF(R347="No","No finance data",IF(AB347&gt;=10%,"Severe",IF(AB347&gt;=5%,"High",IF(AB347&gt;=2%,"Moderate","Low"))))</x:f>
        <x:v>Low</x:v>
      </x:c>
      <x:c r="AF347" s="60" t="n">
        <x:v>33.875441</x:v>
      </x:c>
      <x:c r="AG347" s="60" t="n">
        <x:v>-84.333687</x:v>
      </x:c>
      <x:c r="AH347" s="44" t="str">
        <x:v>Undergraduate tuition-contribution proxy only; not an audited total institutional budget.</x:v>
      </x:c>
    </x:row>
    <x:row r="348">
      <x:c r="A348" s="16" t="n">
        <x:v>140720</x:v>
      </x:c>
      <x:c r="B348" s="16" t="str">
        <x:v>Paine College</x:v>
      </x:c>
      <x:c r="C348" s="16" t="str">
        <x:v>GA</x:v>
      </x:c>
      <x:c r="D348" s="16" t="str">
        <x:v>Private nonprofit</x:v>
      </x:c>
      <x:c r="E348" s="34" t="n">
        <x:v>551</x:v>
      </x:c>
      <x:c r="F348" s="21"/>
      <x:c r="G348" s="16" t="str">
        <x:v>Regional</x:v>
      </x:c>
      <x:c r="H348" s="36" t="n">
        <x:f>IF(G348="National",Assumptions!$B$11,IF(G348="Statewide",Assumptions!$B$12,Assumptions!$B$13))</x:f>
        <x:v>0.85</x:v>
      </x:c>
      <x:c r="I348" s="21" t="n">
        <x:v>-0.03669945915000683</x:v>
      </x:c>
      <x:c r="J348" s="21" t="n">
        <x:v>-0.010093857812193963</x:v>
      </x:c>
      <x:c r="K348" s="21" t="n">
        <x:v>-0.044465703481627705</x:v>
      </x:c>
      <x:c r="L348" s="36" t="n">
        <x:f>IF(Assumptions!$B$4=2030,I348,IF(Assumptions!$B$4=2035,J348,K348))</x:f>
        <x:v>-0.010093857812193963</x:v>
      </x:c>
      <x:c r="M348" s="36" t="n">
        <x:f>Assumptions!$B$19</x:f>
        <x:v>-0.04739891965741583</x:v>
      </x:c>
      <x:c r="N348" s="52" t="n">
        <x:f>H348*L348+(1-H348)*M348+O348</x:f>
        <x:v>-0.015689617088977245</x:v>
      </x:c>
      <x:c r="O348" s="36" t="n">
        <x:f>Assumptions!$B$10</x:f>
        <x:v>0</x:v>
      </x:c>
      <x:c r="P348" s="54" t="n">
        <x:f>E348*(1+N348)</x:f>
        <x:v>542.3550209839735</x:v>
      </x:c>
      <x:c r="Q348" s="54" t="n">
        <x:f>P348-E348</x:f>
        <x:v>-8.644979016026468</x:v>
      </x:c>
      <x:c r="R348" s="16" t="str">
        <x:v>No</x:v>
      </x:c>
      <x:c r="S348" s="56"/>
      <x:c r="T348" s="56"/>
      <x:c r="U348" s="40" t="n">
        <x:f>E348*Assumptions!$B$8</x:f>
        <x:v>468.34999999999997</x:v>
      </x:c>
      <x:c r="V348" s="40" t="n">
        <x:f>P348*Assumptions!$B$8</x:f>
        <x:v>461.0017678363775</x:v>
      </x:c>
      <x:c r="W348" s="54" t="n">
        <x:f>V348-U348</x:f>
        <x:v>-7.34823216362247</x:v>
      </x:c>
      <x:c r="X348" s="58" t="str">
        <x:f>IF(R348="No","",W348*S348)</x:f>
      </x:c>
      <x:c r="Y348" s="58" t="str">
        <x:f>IF(R348="No","",W348*T348*Assumptions!$B$9)</x:f>
      </x:c>
      <x:c r="Z348" s="58" t="str">
        <x:f>IF(R348="No","",X348-Y348)</x:f>
      </x:c>
      <x:c r="AA348" s="58" t="str">
        <x:f>IF(R348="No","",MAX(0,-Z348))</x:f>
      </x:c>
      <x:c r="AB348" s="52" t="str">
        <x:f>IF(OR(R348="No",U348*S348=0),"",AA348/(U348*S348))</x:f>
      </x:c>
      <x:c r="AC348" s="54" t="str">
        <x:f>IF(OR(R348="No",S348-T348*Assumptions!$B$9&lt;=0),"",AA348/(Assumptions!$B$8*(S348-T348*Assumptions!$B$9)))</x:f>
      </x:c>
      <x:c r="AD348" s="52" t="str">
        <x:f>IF(OR(R348="No",U348*S348=0),"",AA348/(U348*S348))</x:f>
      </x:c>
      <x:c r="AE348" s="50" t="str">
        <x:f>IF(R348="No","No finance data",IF(AB348&gt;=10%,"Severe",IF(AB348&gt;=5%,"High",IF(AB348&gt;=2%,"Moderate","Low"))))</x:f>
        <x:v>No finance data</x:v>
      </x:c>
      <x:c r="AF348" s="60"/>
      <x:c r="AG348" s="60"/>
      <x:c r="AH348" s="44" t="str">
        <x:v>Undergraduate tuition-contribution proxy only; not an audited total institutional budget.</x:v>
      </x:c>
    </x:row>
    <x:row r="349">
      <x:c r="A349" s="16" t="n">
        <x:v>140818</x:v>
      </x:c>
      <x:c r="B349" s="16" t="str">
        <x:v>Piedmont College</x:v>
      </x:c>
      <x:c r="C349" s="16" t="str">
        <x:v>GA</x:v>
      </x:c>
      <x:c r="D349" s="16" t="str">
        <x:v>Private nonprofit</x:v>
      </x:c>
      <x:c r="E349" s="34" t="n">
        <x:v>1284</x:v>
      </x:c>
      <x:c r="F349" s="21" t="n">
        <x:v>0.67</x:v>
      </x:c>
      <x:c r="G349" s="16" t="str">
        <x:v>Regional</x:v>
      </x:c>
      <x:c r="H349" s="36" t="n">
        <x:f>IF(G349="National",Assumptions!$B$11,IF(G349="Statewide",Assumptions!$B$12,Assumptions!$B$13))</x:f>
        <x:v>0.85</x:v>
      </x:c>
      <x:c r="I349" s="21" t="n">
        <x:v>-0.03669945915000683</x:v>
      </x:c>
      <x:c r="J349" s="21" t="n">
        <x:v>-0.010093857812193963</x:v>
      </x:c>
      <x:c r="K349" s="21" t="n">
        <x:v>-0.044465703481627705</x:v>
      </x:c>
      <x:c r="L349" s="36" t="n">
        <x:f>IF(Assumptions!$B$4=2030,I349,IF(Assumptions!$B$4=2035,J349,K349))</x:f>
        <x:v>-0.010093857812193963</x:v>
      </x:c>
      <x:c r="M349" s="36" t="n">
        <x:f>Assumptions!$B$19</x:f>
        <x:v>-0.04739891965741583</x:v>
      </x:c>
      <x:c r="N349" s="52" t="n">
        <x:f>H349*L349+(1-H349)*M349+O349</x:f>
        <x:v>-0.015689617088977245</x:v>
      </x:c>
      <x:c r="O349" s="36" t="n">
        <x:f>Assumptions!$B$10</x:f>
        <x:v>0</x:v>
      </x:c>
      <x:c r="P349" s="54" t="n">
        <x:f>E349*(1+N349)</x:f>
        <x:v>1263.8545316577533</x:v>
      </x:c>
      <x:c r="Q349" s="54" t="n">
        <x:f>P349-E349</x:f>
        <x:v>-20.14546834224666</x:v>
      </x:c>
      <x:c r="R349" s="16" t="str">
        <x:v>Yes</x:v>
      </x:c>
      <x:c r="S349" s="56" t="n">
        <x:v>14689</x:v>
      </x:c>
      <x:c r="T349" s="56" t="n">
        <x:v>7640</x:v>
      </x:c>
      <x:c r="U349" s="40" t="n">
        <x:f>E349*Assumptions!$B$8</x:f>
        <x:v>1091.3999999999999</x:v>
      </x:c>
      <x:c r="V349" s="40" t="n">
        <x:f>P349*Assumptions!$B$8</x:f>
        <x:v>1074.2763519090904</x:v>
      </x:c>
      <x:c r="W349" s="54" t="n">
        <x:f>V349-U349</x:f>
        <x:v>-17.123648090909455</x:v>
      </x:c>
      <x:c r="X349" s="58" t="n">
        <x:f>IF(R349="No","",W349*S349)</x:f>
        <x:v>-251529.266807369</x:v>
      </x:c>
      <x:c r="Y349" s="58" t="n">
        <x:f>IF(R349="No","",W349*T349*Assumptions!$B$9)</x:f>
        <x:v>-39247.40142436447</x:v>
      </x:c>
      <x:c r="Z349" s="58" t="n">
        <x:f>IF(R349="No","",X349-Y349)</x:f>
        <x:v>-212281.8653830045</x:v>
      </x:c>
      <x:c r="AA349" s="58" t="n">
        <x:f>IF(R349="No","",MAX(0,-Z349))</x:f>
        <x:v>212281.8653830045</x:v>
      </x:c>
      <x:c r="AB349" s="52" t="n">
        <x:f>IF(OR(R349="No",U349*S349=0),"",AA349/(U349*S349))</x:f>
        <x:v>0.013241485673091934</x:v>
      </x:c>
      <x:c r="AC349" s="54" t="n">
        <x:f>IF(OR(R349="No",S349-T349*Assumptions!$B$9&lt;=0),"",AA349/(Assumptions!$B$8*(S349-T349*Assumptions!$B$9)))</x:f>
        <x:v>20.14546834224642</x:v>
      </x:c>
      <x:c r="AD349" s="52" t="n">
        <x:f>IF(OR(R349="No",U349*S349=0),"",AA349/(U349*S349))</x:f>
        <x:v>0.013241485673091934</x:v>
      </x:c>
      <x:c r="AE349" s="50" t="str">
        <x:f>IF(R349="No","No finance data",IF(AB349&gt;=10%,"Severe",IF(AB349&gt;=5%,"High",IF(AB349&gt;=2%,"Moderate","Low"))))</x:f>
        <x:v>Low</x:v>
      </x:c>
      <x:c r="AF349" s="60" t="n">
        <x:v>34.566042</x:v>
      </x:c>
      <x:c r="AG349" s="60" t="n">
        <x:v>-83.542126</x:v>
      </x:c>
      <x:c r="AH349" s="44" t="str">
        <x:v>Undergraduate tuition-contribution proxy only; not an audited total institutional budget.</x:v>
      </x:c>
    </x:row>
    <x:row r="350">
      <x:c r="A350" s="16" t="n">
        <x:v>138868</x:v>
      </x:c>
      <x:c r="B350" s="16" t="str">
        <x:v>Point University</x:v>
      </x:c>
      <x:c r="C350" s="16" t="str">
        <x:v>GA</x:v>
      </x:c>
      <x:c r="D350" s="16" t="str">
        <x:v>Private nonprofit</x:v>
      </x:c>
      <x:c r="E350" s="34" t="n">
        <x:v>1337</x:v>
      </x:c>
      <x:c r="F350" s="21" t="n">
        <x:v>0.4656</x:v>
      </x:c>
      <x:c r="G350" s="16" t="str">
        <x:v>Regional</x:v>
      </x:c>
      <x:c r="H350" s="36" t="n">
        <x:f>IF(G350="National",Assumptions!$B$11,IF(G350="Statewide",Assumptions!$B$12,Assumptions!$B$13))</x:f>
        <x:v>0.85</x:v>
      </x:c>
      <x:c r="I350" s="21" t="n">
        <x:v>-0.03669945915000683</x:v>
      </x:c>
      <x:c r="J350" s="21" t="n">
        <x:v>-0.010093857812193963</x:v>
      </x:c>
      <x:c r="K350" s="21" t="n">
        <x:v>-0.044465703481627705</x:v>
      </x:c>
      <x:c r="L350" s="36" t="n">
        <x:f>IF(Assumptions!$B$4=2030,I350,IF(Assumptions!$B$4=2035,J350,K350))</x:f>
        <x:v>-0.010093857812193963</x:v>
      </x:c>
      <x:c r="M350" s="36" t="n">
        <x:f>Assumptions!$B$19</x:f>
        <x:v>-0.04739891965741583</x:v>
      </x:c>
      <x:c r="N350" s="52" t="n">
        <x:f>H350*L350+(1-H350)*M350+O350</x:f>
        <x:v>-0.015689617088977245</x:v>
      </x:c>
      <x:c r="O350" s="36" t="n">
        <x:f>Assumptions!$B$10</x:f>
        <x:v>0</x:v>
      </x:c>
      <x:c r="P350" s="54" t="n">
        <x:f>E350*(1+N350)</x:f>
        <x:v>1316.0229819520375</x:v>
      </x:c>
      <x:c r="Q350" s="54" t="n">
        <x:f>P350-E350</x:f>
        <x:v>-20.977018047962474</x:v>
      </x:c>
      <x:c r="R350" s="16" t="str">
        <x:v>Yes</x:v>
      </x:c>
      <x:c r="S350" s="56" t="n">
        <x:v>9124</x:v>
      </x:c>
      <x:c r="T350" s="56" t="n">
        <x:v>6144</x:v>
      </x:c>
      <x:c r="U350" s="40" t="n">
        <x:f>E350*Assumptions!$B$8</x:f>
        <x:v>1136.45</x:v>
      </x:c>
      <x:c r="V350" s="40" t="n">
        <x:f>P350*Assumptions!$B$8</x:f>
        <x:v>1118.619534659232</x:v>
      </x:c>
      <x:c r="W350" s="54" t="n">
        <x:f>V350-U350</x:f>
        <x:v>-17.830465340768114</x:v>
      </x:c>
      <x:c r="X350" s="58" t="n">
        <x:f>IF(R350="No","",W350*S350)</x:f>
        <x:v>-162685.16576916826</x:v>
      </x:c>
      <x:c r="Y350" s="58" t="n">
        <x:f>IF(R350="No","",W350*T350*Assumptions!$B$9)</x:f>
        <x:v>-32865.113716103784</x:v>
      </x:c>
      <x:c r="Z350" s="58" t="n">
        <x:f>IF(R350="No","",X350-Y350)</x:f>
        <x:v>-129820.05205306449</x:v>
      </x:c>
      <x:c r="AA350" s="58" t="n">
        <x:f>IF(R350="No","",MAX(0,-Z350))</x:f>
        <x:v>129820.05205306449</x:v>
      </x:c>
      <x:c r="AB350" s="52" t="n">
        <x:f>IF(OR(R350="No",U350*S350=0),"",AA350/(U350*S350))</x:f>
        <x:v>0.01252005305802554</x:v>
      </x:c>
      <x:c r="AC350" s="54" t="n">
        <x:f>IF(OR(R350="No",S350-T350*Assumptions!$B$9&lt;=0),"",AA350/(Assumptions!$B$8*(S350-T350*Assumptions!$B$9)))</x:f>
        <x:v>20.977018047962485</x:v>
      </x:c>
      <x:c r="AD350" s="52" t="n">
        <x:f>IF(OR(R350="No",U350*S350=0),"",AA350/(U350*S350))</x:f>
        <x:v>0.01252005305802554</x:v>
      </x:c>
      <x:c r="AE350" s="50" t="str">
        <x:f>IF(R350="No","No finance data",IF(AB350&gt;=10%,"Severe",IF(AB350&gt;=5%,"High",IF(AB350&gt;=2%,"Moderate","Low"))))</x:f>
        <x:v>Low</x:v>
      </x:c>
      <x:c r="AF350" s="60" t="n">
        <x:v>32.87912</x:v>
      </x:c>
      <x:c r="AG350" s="60" t="n">
        <x:v>-85.184931</x:v>
      </x:c>
      <x:c r="AH350" s="44" t="str">
        <x:v>Undergraduate tuition-contribution proxy only; not an audited total institutional budget.</x:v>
      </x:c>
    </x:row>
    <x:row r="351">
      <x:c r="A351" s="16" t="n">
        <x:v>140872</x:v>
      </x:c>
      <x:c r="B351" s="16" t="str">
        <x:v>Reinhardt University</x:v>
      </x:c>
      <x:c r="C351" s="16" t="str">
        <x:v>GA</x:v>
      </x:c>
      <x:c r="D351" s="16" t="str">
        <x:v>Private nonprofit</x:v>
      </x:c>
      <x:c r="E351" s="34" t="n">
        <x:v>1238</x:v>
      </x:c>
      <x:c r="F351" s="21" t="n">
        <x:v>0.704</x:v>
      </x:c>
      <x:c r="G351" s="16" t="str">
        <x:v>Regional</x:v>
      </x:c>
      <x:c r="H351" s="36" t="n">
        <x:f>IF(G351="National",Assumptions!$B$11,IF(G351="Statewide",Assumptions!$B$12,Assumptions!$B$13))</x:f>
        <x:v>0.85</x:v>
      </x:c>
      <x:c r="I351" s="21" t="n">
        <x:v>-0.03669945915000683</x:v>
      </x:c>
      <x:c r="J351" s="21" t="n">
        <x:v>-0.010093857812193963</x:v>
      </x:c>
      <x:c r="K351" s="21" t="n">
        <x:v>-0.044465703481627705</x:v>
      </x:c>
      <x:c r="L351" s="36" t="n">
        <x:f>IF(Assumptions!$B$4=2030,I351,IF(Assumptions!$B$4=2035,J351,K351))</x:f>
        <x:v>-0.010093857812193963</x:v>
      </x:c>
      <x:c r="M351" s="36" t="n">
        <x:f>Assumptions!$B$19</x:f>
        <x:v>-0.04739891965741583</x:v>
      </x:c>
      <x:c r="N351" s="52" t="n">
        <x:f>H351*L351+(1-H351)*M351+O351</x:f>
        <x:v>-0.015689617088977245</x:v>
      </x:c>
      <x:c r="O351" s="36" t="n">
        <x:f>Assumptions!$B$10</x:f>
        <x:v>0</x:v>
      </x:c>
      <x:c r="P351" s="54" t="n">
        <x:f>E351*(1+N351)</x:f>
        <x:v>1218.5762540438461</x:v>
      </x:c>
      <x:c r="Q351" s="54" t="n">
        <x:f>P351-E351</x:f>
        <x:v>-19.42374595615388</x:v>
      </x:c>
      <x:c r="R351" s="16" t="str">
        <x:v>Yes</x:v>
      </x:c>
      <x:c r="S351" s="56" t="n">
        <x:v>12580</x:v>
      </x:c>
      <x:c r="T351" s="56" t="n">
        <x:v>7709</x:v>
      </x:c>
      <x:c r="U351" s="40" t="n">
        <x:f>E351*Assumptions!$B$8</x:f>
        <x:v>1052.3</x:v>
      </x:c>
      <x:c r="V351" s="40" t="n">
        <x:f>P351*Assumptions!$B$8</x:f>
        <x:v>1035.7898159372692</x:v>
      </x:c>
      <x:c r="W351" s="54" t="n">
        <x:f>V351-U351</x:f>
        <x:v>-16.510184062730787</x:v>
      </x:c>
      <x:c r="X351" s="58" t="n">
        <x:f>IF(R351="No","",W351*S351)</x:f>
        <x:v>-207698.1155091533</x:v>
      </x:c>
      <x:c r="Y351" s="58" t="n">
        <x:f>IF(R351="No","",W351*T351*Assumptions!$B$9)</x:f>
        <x:v>-38183.102681877484</x:v>
      </x:c>
      <x:c r="Z351" s="58" t="n">
        <x:f>IF(R351="No","",X351-Y351)</x:f>
        <x:v>-169515.0128272758</x:v>
      </x:c>
      <x:c r="AA351" s="58" t="n">
        <x:f>IF(R351="No","",MAX(0,-Z351))</x:f>
        <x:v>169515.0128272758</x:v>
      </x:c>
      <x:c r="AB351" s="52" t="n">
        <x:f>IF(OR(R351="No",U351*S351=0),"",AA351/(U351*S351))</x:f>
        <x:v>0.01280524686308874</x:v>
      </x:c>
      <x:c r="AC351" s="54" t="n">
        <x:f>IF(OR(R351="No",S351-T351*Assumptions!$B$9&lt;=0),"",AA351/(Assumptions!$B$8*(S351-T351*Assumptions!$B$9)))</x:f>
        <x:v>19.423745956153866</x:v>
      </x:c>
      <x:c r="AD351" s="52" t="n">
        <x:f>IF(OR(R351="No",U351*S351=0),"",AA351/(U351*S351))</x:f>
        <x:v>0.01280524686308874</x:v>
      </x:c>
      <x:c r="AE351" s="50" t="str">
        <x:f>IF(R351="No","No finance data",IF(AB351&gt;=10%,"Severe",IF(AB351&gt;=5%,"High",IF(AB351&gt;=2%,"Moderate","Low"))))</x:f>
        <x:v>Low</x:v>
      </x:c>
      <x:c r="AF351" s="60" t="n">
        <x:v>34.319756</x:v>
      </x:c>
      <x:c r="AG351" s="60" t="n">
        <x:v>-84.554264</x:v>
      </x:c>
      <x:c r="AH351" s="44" t="str">
        <x:v>Undergraduate tuition-contribution proxy only; not an audited total institutional budget.</x:v>
      </x:c>
    </x:row>
    <x:row r="352">
      <x:c r="A352" s="16" t="n">
        <x:v>140951</x:v>
      </x:c>
      <x:c r="B352" s="16" t="str">
        <x:v>Savannah College of Art and Design</x:v>
      </x:c>
      <x:c r="C352" s="16" t="str">
        <x:v>GA</x:v>
      </x:c>
      <x:c r="D352" s="16" t="str">
        <x:v>Private nonprofit</x:v>
      </x:c>
      <x:c r="E352" s="34" t="n">
        <x:v>9421</x:v>
      </x:c>
      <x:c r="F352" s="21" t="n">
        <x:v>0.8078</x:v>
      </x:c>
      <x:c r="G352" s="16" t="str">
        <x:v>Statewide</x:v>
      </x:c>
      <x:c r="H352" s="36" t="n">
        <x:f>IF(G352="National",Assumptions!$B$11,IF(G352="Statewide",Assumptions!$B$12,Assumptions!$B$13))</x:f>
        <x:v>0.6</x:v>
      </x:c>
      <x:c r="I352" s="21" t="n">
        <x:v>-0.03669945915000683</x:v>
      </x:c>
      <x:c r="J352" s="21" t="n">
        <x:v>-0.010093857812193963</x:v>
      </x:c>
      <x:c r="K352" s="21" t="n">
        <x:v>-0.044465703481627705</x:v>
      </x:c>
      <x:c r="L352" s="36" t="n">
        <x:f>IF(Assumptions!$B$4=2030,I352,IF(Assumptions!$B$4=2035,J352,K352))</x:f>
        <x:v>-0.010093857812193963</x:v>
      </x:c>
      <x:c r="M352" s="36" t="n">
        <x:f>Assumptions!$B$19</x:f>
        <x:v>-0.04739891965741583</x:v>
      </x:c>
      <x:c r="N352" s="52" t="n">
        <x:f>H352*L352+(1-H352)*M352+O352</x:f>
        <x:v>-0.02501588255028271</x:v>
      </x:c>
      <x:c r="O352" s="36" t="n">
        <x:f>Assumptions!$B$10</x:f>
        <x:v>0</x:v>
      </x:c>
      <x:c r="P352" s="54" t="n">
        <x:f>E352*(1+N352)</x:f>
        <x:v>9185.325370493787</x:v>
      </x:c>
      <x:c r="Q352" s="54" t="n">
        <x:f>P352-E352</x:f>
        <x:v>-235.67462950621302</x:v>
      </x:c>
      <x:c r="R352" s="16" t="str">
        <x:v>Yes</x:v>
      </x:c>
      <x:c r="S352" s="56" t="n">
        <x:v>27738</x:v>
      </x:c>
      <x:c r="T352" s="56" t="n">
        <x:v>8592</x:v>
      </x:c>
      <x:c r="U352" s="40" t="n">
        <x:f>E352*Assumptions!$B$8</x:f>
        <x:v>8007.849999999999</x:v>
      </x:c>
      <x:c r="V352" s="40" t="n">
        <x:f>P352*Assumptions!$B$8</x:f>
        <x:v>7807.526564919719</x:v>
      </x:c>
      <x:c r="W352" s="54" t="n">
        <x:f>V352-U352</x:f>
        <x:v>-200.32343508028043</x:v>
      </x:c>
      <x:c r="X352" s="58" t="n">
        <x:f>IF(R352="No","",W352*S352)</x:f>
        <x:v>-5556571.4422568185</x:v>
      </x:c>
      <x:c r="Y352" s="58" t="n">
        <x:f>IF(R352="No","",W352*T352*Assumptions!$B$9)</x:f>
        <x:v>-516353.6862629308</x:v>
      </x:c>
      <x:c r="Z352" s="58" t="n">
        <x:f>IF(R352="No","",X352-Y352)</x:f>
        <x:v>-5040217.755993888</x:v>
      </x:c>
      <x:c r="AA352" s="58" t="n">
        <x:f>IF(R352="No","",MAX(0,-Z352))</x:f>
        <x:v>5040217.755993888</x:v>
      </x:c>
      <x:c r="AB352" s="52" t="n">
        <x:f>IF(OR(R352="No",U352*S352=0),"",AA352/(U352*S352))</x:f>
        <x:v>0.02269123986293641</x:v>
      </x:c>
      <x:c r="AC352" s="54" t="n">
        <x:f>IF(OR(R352="No",S352-T352*Assumptions!$B$9&lt;=0),"",AA352/(Assumptions!$B$8*(S352-T352*Assumptions!$B$9)))</x:f>
        <x:v>235.67462950621228</x:v>
      </x:c>
      <x:c r="AD352" s="52" t="n">
        <x:f>IF(OR(R352="No",U352*S352=0),"",AA352/(U352*S352))</x:f>
        <x:v>0.02269123986293641</x:v>
      </x:c>
      <x:c r="AE352" s="50" t="str">
        <x:f>IF(R352="No","No finance data",IF(AB352&gt;=10%,"Severe",IF(AB352&gt;=5%,"High",IF(AB352&gt;=2%,"Moderate","Low"))))</x:f>
        <x:v>Moderate</x:v>
      </x:c>
      <x:c r="AF352" s="60" t="n">
        <x:v>32.072964</x:v>
      </x:c>
      <x:c r="AG352" s="60" t="n">
        <x:v>-81.09395</x:v>
      </x:c>
      <x:c r="AH352" s="44" t="str">
        <x:v>Undergraduate tuition-contribution proxy only; not an audited total institutional budget.</x:v>
      </x:c>
    </x:row>
    <x:row r="353">
      <x:c r="A353" s="16" t="n">
        <x:v>140960</x:v>
      </x:c>
      <x:c r="B353" s="16" t="str">
        <x:v>Savannah State University</x:v>
      </x:c>
      <x:c r="C353" s="16" t="str">
        <x:v>GA</x:v>
      </x:c>
      <x:c r="D353" s="16" t="str">
        <x:v>Public</x:v>
      </x:c>
      <x:c r="E353" s="34" t="n">
        <x:v>4519</x:v>
      </x:c>
      <x:c r="F353" s="21"/>
      <x:c r="G353" s="16" t="str">
        <x:v>Regional</x:v>
      </x:c>
      <x:c r="H353" s="36" t="n">
        <x:f>IF(G353="National",Assumptions!$B$11,IF(G353="Statewide",Assumptions!$B$12,Assumptions!$B$13))</x:f>
        <x:v>0.85</x:v>
      </x:c>
      <x:c r="I353" s="21" t="n">
        <x:v>-0.03669945915000683</x:v>
      </x:c>
      <x:c r="J353" s="21" t="n">
        <x:v>-0.010093857812193963</x:v>
      </x:c>
      <x:c r="K353" s="21" t="n">
        <x:v>-0.044465703481627705</x:v>
      </x:c>
      <x:c r="L353" s="36" t="n">
        <x:f>IF(Assumptions!$B$4=2030,I353,IF(Assumptions!$B$4=2035,J353,K353))</x:f>
        <x:v>-0.010093857812193963</x:v>
      </x:c>
      <x:c r="M353" s="36" t="n">
        <x:f>Assumptions!$B$19</x:f>
        <x:v>-0.04739891965741583</x:v>
      </x:c>
      <x:c r="N353" s="52" t="n">
        <x:f>H353*L353+(1-H353)*M353+O353</x:f>
        <x:v>-0.015689617088977245</x:v>
      </x:c>
      <x:c r="O353" s="36" t="n">
        <x:f>Assumptions!$B$10</x:f>
        <x:v>0</x:v>
      </x:c>
      <x:c r="P353" s="54" t="n">
        <x:f>E353*(1+N353)</x:f>
        <x:v>4448.098620374912</x:v>
      </x:c>
      <x:c r="Q353" s="54" t="n">
        <x:f>P353-E353</x:f>
        <x:v>-70.90137962508834</x:v>
      </x:c>
      <x:c r="R353" s="16" t="str">
        <x:v>Yes</x:v>
      </x:c>
      <x:c r="S353" s="56" t="n">
        <x:v>3636</x:v>
      </x:c>
      <x:c r="T353" s="56" t="n">
        <x:v>6097</x:v>
      </x:c>
      <x:c r="U353" s="40" t="n">
        <x:f>E353*Assumptions!$B$8</x:f>
        <x:v>3841.15</x:v>
      </x:c>
      <x:c r="V353" s="40" t="n">
        <x:f>P353*Assumptions!$B$8</x:f>
        <x:v>3780.883827318675</x:v>
      </x:c>
      <x:c r="W353" s="54" t="n">
        <x:f>V353-U353</x:f>
        <x:v>-60.266172681325315</x:v>
      </x:c>
      <x:c r="X353" s="58" t="n">
        <x:f>IF(R353="No","",W353*S353)</x:f>
        <x:v>-219127.80386929883</x:v>
      </x:c>
      <x:c r="Y353" s="58" t="n">
        <x:f>IF(R353="No","",W353*T353*Assumptions!$B$9)</x:f>
        <x:v>-110232.85645141212</x:v>
      </x:c>
      <x:c r="Z353" s="58" t="n">
        <x:f>IF(R353="No","",X353-Y353)</x:f>
        <x:v>-108894.94741788671</x:v>
      </x:c>
      <x:c r="AA353" s="58" t="n">
        <x:f>IF(R353="No","",MAX(0,-Z353))</x:f>
        <x:v>108894.94741788671</x:v>
      </x:c>
      <x:c r="AB353" s="52" t="n">
        <x:f>IF(OR(R353="No",U353*S353=0),"",AA353/(U353*S353))</x:f>
        <x:v>0.007796911198589977</x:v>
      </x:c>
      <x:c r="AC353" s="54" t="n">
        <x:f>IF(OR(R353="No",S353-T353*Assumptions!$B$9&lt;=0),"",AA353/(Assumptions!$B$8*(S353-T353*Assumptions!$B$9)))</x:f>
        <x:v>70.90137962508861</x:v>
      </x:c>
      <x:c r="AD353" s="52" t="n">
        <x:f>IF(OR(R353="No",U353*S353=0),"",AA353/(U353*S353))</x:f>
        <x:v>0.007796911198589977</x:v>
      </x:c>
      <x:c r="AE353" s="50" t="str">
        <x:f>IF(R353="No","No finance data",IF(AB353&gt;=10%,"Severe",IF(AB353&gt;=5%,"High",IF(AB353&gt;=2%,"Moderate","Low"))))</x:f>
        <x:v>Low</x:v>
      </x:c>
      <x:c r="AF353" s="60" t="n">
        <x:v>32.024781</x:v>
      </x:c>
      <x:c r="AG353" s="60" t="n">
        <x:v>-81.063377</x:v>
      </x:c>
      <x:c r="AH353" s="44" t="str">
        <x:v>Undergraduate tuition-contribution proxy only; not an audited total institutional budget.</x:v>
      </x:c>
    </x:row>
    <x:row r="354">
      <x:c r="A354" s="16" t="n">
        <x:v>140988</x:v>
      </x:c>
      <x:c r="B354" s="16" t="str">
        <x:v>Shorter University</x:v>
      </x:c>
      <x:c r="C354" s="16" t="str">
        <x:v>GA</x:v>
      </x:c>
      <x:c r="D354" s="16" t="str">
        <x:v>Private nonprofit</x:v>
      </x:c>
      <x:c r="E354" s="34" t="n">
        <x:v>1345</x:v>
      </x:c>
      <x:c r="F354" s="21" t="n">
        <x:v>0.812</x:v>
      </x:c>
      <x:c r="G354" s="16" t="str">
        <x:v>Regional</x:v>
      </x:c>
      <x:c r="H354" s="36" t="n">
        <x:f>IF(G354="National",Assumptions!$B$11,IF(G354="Statewide",Assumptions!$B$12,Assumptions!$B$13))</x:f>
        <x:v>0.85</x:v>
      </x:c>
      <x:c r="I354" s="21" t="n">
        <x:v>-0.03669945915000683</x:v>
      </x:c>
      <x:c r="J354" s="21" t="n">
        <x:v>-0.010093857812193963</x:v>
      </x:c>
      <x:c r="K354" s="21" t="n">
        <x:v>-0.044465703481627705</x:v>
      </x:c>
      <x:c r="L354" s="36" t="n">
        <x:f>IF(Assumptions!$B$4=2030,I354,IF(Assumptions!$B$4=2035,J354,K354))</x:f>
        <x:v>-0.010093857812193963</x:v>
      </x:c>
      <x:c r="M354" s="36" t="n">
        <x:f>Assumptions!$B$19</x:f>
        <x:v>-0.04739891965741583</x:v>
      </x:c>
      <x:c r="N354" s="52" t="n">
        <x:f>H354*L354+(1-H354)*M354+O354</x:f>
        <x:v>-0.015689617088977245</x:v>
      </x:c>
      <x:c r="O354" s="36" t="n">
        <x:f>Assumptions!$B$10</x:f>
        <x:v>0</x:v>
      </x:c>
      <x:c r="P354" s="54" t="n">
        <x:f>E354*(1+N354)</x:f>
        <x:v>1323.8974650153257</x:v>
      </x:c>
      <x:c r="Q354" s="54" t="n">
        <x:f>P354-E354</x:f>
        <x:v>-21.10253498467432</x:v>
      </x:c>
      <x:c r="R354" s="16" t="str">
        <x:v>Yes</x:v>
      </x:c>
      <x:c r="S354" s="56" t="n">
        <x:v>9474</x:v>
      </x:c>
      <x:c r="T354" s="56" t="n">
        <x:v>4851</x:v>
      </x:c>
      <x:c r="U354" s="40" t="n">
        <x:f>E354*Assumptions!$B$8</x:f>
        <x:v>1143.25</x:v>
      </x:c>
      <x:c r="V354" s="40" t="n">
        <x:f>P354*Assumptions!$B$8</x:f>
        <x:v>1125.3128452630267</x:v>
      </x:c>
      <x:c r="W354" s="54" t="n">
        <x:f>V354-U354</x:f>
        <x:v>-17.937154736973298</x:v>
      </x:c>
      <x:c r="X354" s="58" t="n">
        <x:f>IF(R354="No","",W354*S354)</x:f>
        <x:v>-169936.603978085</x:v>
      </x:c>
      <x:c r="Y354" s="58" t="n">
        <x:f>IF(R354="No","",W354*T354*Assumptions!$B$9)</x:f>
        <x:v>-26103.94128871724</x:v>
      </x:c>
      <x:c r="Z354" s="58" t="n">
        <x:f>IF(R354="No","",X354-Y354)</x:f>
        <x:v>-143832.66268936777</x:v>
      </x:c>
      <x:c r="AA354" s="58" t="n">
        <x:f>IF(R354="No","",MAX(0,-Z354))</x:f>
        <x:v>143832.66268936777</x:v>
      </x:c>
      <x:c r="AB354" s="52" t="n">
        <x:f>IF(OR(R354="No",U354*S354=0),"",AA354/(U354*S354))</x:f>
        <x:v>0.013279536895860488</x:v>
      </x:c>
      <x:c r="AC354" s="54" t="n">
        <x:f>IF(OR(R354="No",S354-T354*Assumptions!$B$9&lt;=0),"",AA354/(Assumptions!$B$8*(S354-T354*Assumptions!$B$9)))</x:f>
        <x:v>21.102534984674467</x:v>
      </x:c>
      <x:c r="AD354" s="52" t="n">
        <x:f>IF(OR(R354="No",U354*S354=0),"",AA354/(U354*S354))</x:f>
        <x:v>0.013279536895860488</x:v>
      </x:c>
      <x:c r="AE354" s="50" t="str">
        <x:f>IF(R354="No","No finance data",IF(AB354&gt;=10%,"Severe",IF(AB354&gt;=5%,"High",IF(AB354&gt;=2%,"Moderate","Low"))))</x:f>
        <x:v>Low</x:v>
      </x:c>
      <x:c r="AF354" s="60" t="n">
        <x:v>34.257543</x:v>
      </x:c>
      <x:c r="AG354" s="60" t="n">
        <x:v>-85.196529</x:v>
      </x:c>
      <x:c r="AH354" s="44" t="str">
        <x:v>Undergraduate tuition-contribution proxy only; not an audited total institutional budget.</x:v>
      </x:c>
    </x:row>
    <x:row r="355">
      <x:c r="A355" s="16" t="n">
        <x:v>448309</x:v>
      </x:c>
      <x:c r="B355" s="16" t="str">
        <x:v>Shorter University-College of Adult &amp; Professional Programs</x:v>
      </x:c>
      <x:c r="C355" s="16" t="str">
        <x:v>GA</x:v>
      </x:c>
      <x:c r="D355" s="16" t="str">
        <x:v>Private nonprofit</x:v>
      </x:c>
      <x:c r="E355" s="34" t="n">
        <x:v>418</x:v>
      </x:c>
      <x:c r="F355" s="21"/>
      <x:c r="G355" s="16" t="str">
        <x:v>Regional</x:v>
      </x:c>
      <x:c r="H355" s="36" t="n">
        <x:f>IF(G355="National",Assumptions!$B$11,IF(G355="Statewide",Assumptions!$B$12,Assumptions!$B$13))</x:f>
        <x:v>0.85</x:v>
      </x:c>
      <x:c r="I355" s="21" t="n">
        <x:v>-0.03669945915000683</x:v>
      </x:c>
      <x:c r="J355" s="21" t="n">
        <x:v>-0.010093857812193963</x:v>
      </x:c>
      <x:c r="K355" s="21" t="n">
        <x:v>-0.044465703481627705</x:v>
      </x:c>
      <x:c r="L355" s="36" t="n">
        <x:f>IF(Assumptions!$B$4=2030,I355,IF(Assumptions!$B$4=2035,J355,K355))</x:f>
        <x:v>-0.010093857812193963</x:v>
      </x:c>
      <x:c r="M355" s="36" t="n">
        <x:f>Assumptions!$B$19</x:f>
        <x:v>-0.04739891965741583</x:v>
      </x:c>
      <x:c r="N355" s="52" t="n">
        <x:f>H355*L355+(1-H355)*M355+O355</x:f>
        <x:v>-0.015689617088977245</x:v>
      </x:c>
      <x:c r="O355" s="36" t="n">
        <x:f>Assumptions!$B$10</x:f>
        <x:v>0</x:v>
      </x:c>
      <x:c r="P355" s="54" t="n">
        <x:f>E355*(1+N355)</x:f>
        <x:v>411.44174005680753</x:v>
      </x:c>
      <x:c r="Q355" s="54" t="n">
        <x:f>P355-E355</x:f>
        <x:v>-6.558259943192468</x:v>
      </x:c>
      <x:c r="R355" s="16" t="str">
        <x:v>No</x:v>
      </x:c>
      <x:c r="S355" s="56"/>
      <x:c r="T355" s="56"/>
      <x:c r="U355" s="40" t="n">
        <x:f>E355*Assumptions!$B$8</x:f>
        <x:v>355.3</x:v>
      </x:c>
      <x:c r="V355" s="40" t="n">
        <x:f>P355*Assumptions!$B$8</x:f>
        <x:v>349.7254790482864</x:v>
      </x:c>
      <x:c r="W355" s="54" t="n">
        <x:f>V355-U355</x:f>
        <x:v>-5.574520951713623</x:v>
      </x:c>
      <x:c r="X355" s="58" t="str">
        <x:f>IF(R355="No","",W355*S355)</x:f>
      </x:c>
      <x:c r="Y355" s="58" t="str">
        <x:f>IF(R355="No","",W355*T355*Assumptions!$B$9)</x:f>
      </x:c>
      <x:c r="Z355" s="58" t="str">
        <x:f>IF(R355="No","",X355-Y355)</x:f>
      </x:c>
      <x:c r="AA355" s="58" t="str">
        <x:f>IF(R355="No","",MAX(0,-Z355))</x:f>
      </x:c>
      <x:c r="AB355" s="52" t="str">
        <x:f>IF(OR(R355="No",U355*S355=0),"",AA355/(U355*S355))</x:f>
      </x:c>
      <x:c r="AC355" s="54" t="str">
        <x:f>IF(OR(R355="No",S355-T355*Assumptions!$B$9&lt;=0),"",AA355/(Assumptions!$B$8*(S355-T355*Assumptions!$B$9)))</x:f>
      </x:c>
      <x:c r="AD355" s="52" t="str">
        <x:f>IF(OR(R355="No",U355*S355=0),"",AA355/(U355*S355))</x:f>
      </x:c>
      <x:c r="AE355" s="50" t="str">
        <x:f>IF(R355="No","No finance data",IF(AB355&gt;=10%,"Severe",IF(AB355&gt;=5%,"High",IF(AB355&gt;=2%,"Moderate","Low"))))</x:f>
        <x:v>No finance data</x:v>
      </x:c>
      <x:c r="AF355" s="60"/>
      <x:c r="AG355" s="60"/>
      <x:c r="AH355" s="44" t="str">
        <x:v>Undergraduate tuition-contribution proxy only; not an audited total institutional budget.</x:v>
      </x:c>
    </x:row>
    <x:row r="356">
      <x:c r="A356" s="16" t="n">
        <x:v>141060</x:v>
      </x:c>
      <x:c r="B356" s="16" t="str">
        <x:v>Spelman College</x:v>
      </x:c>
      <x:c r="C356" s="16" t="str">
        <x:v>GA</x:v>
      </x:c>
      <x:c r="D356" s="16" t="str">
        <x:v>Private nonprofit</x:v>
      </x:c>
      <x:c r="E356" s="34" t="n">
        <x:v>2142</x:v>
      </x:c>
      <x:c r="F356" s="21" t="n">
        <x:v>0.5076</x:v>
      </x:c>
      <x:c r="G356" s="16" t="str">
        <x:v>Regional</x:v>
      </x:c>
      <x:c r="H356" s="36" t="n">
        <x:f>IF(G356="National",Assumptions!$B$11,IF(G356="Statewide",Assumptions!$B$12,Assumptions!$B$13))</x:f>
        <x:v>0.85</x:v>
      </x:c>
      <x:c r="I356" s="21" t="n">
        <x:v>-0.03669945915000683</x:v>
      </x:c>
      <x:c r="J356" s="21" t="n">
        <x:v>-0.010093857812193963</x:v>
      </x:c>
      <x:c r="K356" s="21" t="n">
        <x:v>-0.044465703481627705</x:v>
      </x:c>
      <x:c r="L356" s="36" t="n">
        <x:f>IF(Assumptions!$B$4=2030,I356,IF(Assumptions!$B$4=2035,J356,K356))</x:f>
        <x:v>-0.010093857812193963</x:v>
      </x:c>
      <x:c r="M356" s="36" t="n">
        <x:f>Assumptions!$B$19</x:f>
        <x:v>-0.04739891965741583</x:v>
      </x:c>
      <x:c r="N356" s="52" t="n">
        <x:f>H356*L356+(1-H356)*M356+O356</x:f>
        <x:v>-0.015689617088977245</x:v>
      </x:c>
      <x:c r="O356" s="36" t="n">
        <x:f>Assumptions!$B$10</x:f>
        <x:v>0</x:v>
      </x:c>
      <x:c r="P356" s="54" t="n">
        <x:f>E356*(1+N356)</x:f>
        <x:v>2108.392840195411</x:v>
      </x:c>
      <x:c r="Q356" s="54" t="n">
        <x:f>P356-E356</x:f>
        <x:v>-33.60715980458917</x:v>
      </x:c>
      <x:c r="R356" s="16" t="str">
        <x:v>Yes</x:v>
      </x:c>
      <x:c r="S356" s="56" t="n">
        <x:v>17391</x:v>
      </x:c>
      <x:c r="T356" s="56" t="n">
        <x:v>13439</x:v>
      </x:c>
      <x:c r="U356" s="40" t="n">
        <x:f>E356*Assumptions!$B$8</x:f>
        <x:v>1820.7</x:v>
      </x:c>
      <x:c r="V356" s="40" t="n">
        <x:f>P356*Assumptions!$B$8</x:f>
        <x:v>1792.1339141660992</x:v>
      </x:c>
      <x:c r="W356" s="54" t="n">
        <x:f>V356-U356</x:f>
        <x:v>-28.566085833900843</x:v>
      </x:c>
      <x:c r="X356" s="58" t="n">
        <x:f>IF(R356="No","",W356*S356)</x:f>
        <x:v>-496792.79873736954</x:v>
      </x:c>
      <x:c r="Y356" s="58" t="n">
        <x:f>IF(R356="No","",W356*T356*Assumptions!$B$9)</x:f>
        <x:v>-115169.88825653802</x:v>
      </x:c>
      <x:c r="Z356" s="58" t="n">
        <x:f>IF(R356="No","",X356-Y356)</x:f>
        <x:v>-381622.9104808315</x:v>
      </x:c>
      <x:c r="AA356" s="58" t="n">
        <x:f>IF(R356="No","",MAX(0,-Z356))</x:f>
        <x:v>381622.9104808315</x:v>
      </x:c>
      <x:c r="AB356" s="52" t="n">
        <x:f>IF(OR(R356="No",U356*S356=0),"",AA356/(U356*S356))</x:f>
        <x:v>0.012052343256671469</x:v>
      </x:c>
      <x:c r="AC356" s="54" t="n">
        <x:f>IF(OR(R356="No",S356-T356*Assumptions!$B$9&lt;=0),"",AA356/(Assumptions!$B$8*(S356-T356*Assumptions!$B$9)))</x:f>
        <x:v>33.60715980458923</x:v>
      </x:c>
      <x:c r="AD356" s="52" t="n">
        <x:f>IF(OR(R356="No",U356*S356=0),"",AA356/(U356*S356))</x:f>
        <x:v>0.012052343256671469</x:v>
      </x:c>
      <x:c r="AE356" s="50" t="str">
        <x:f>IF(R356="No","No finance data",IF(AB356&gt;=10%,"Severe",IF(AB356&gt;=5%,"High",IF(AB356&gt;=2%,"Moderate","Low"))))</x:f>
        <x:v>Low</x:v>
      </x:c>
      <x:c r="AF356" s="60" t="n">
        <x:v>33.745279</x:v>
      </x:c>
      <x:c r="AG356" s="60" t="n">
        <x:v>-84.411527</x:v>
      </x:c>
      <x:c r="AH356" s="44" t="str">
        <x:v>Undergraduate tuition-contribution proxy only; not an audited total institutional budget.</x:v>
      </x:c>
    </x:row>
    <x:row r="357">
      <x:c r="A357" s="16" t="n">
        <x:v>141167</x:v>
      </x:c>
      <x:c r="B357" s="16" t="str">
        <x:v>Thomas University</x:v>
      </x:c>
      <x:c r="C357" s="16" t="str">
        <x:v>GA</x:v>
      </x:c>
      <x:c r="D357" s="16" t="str">
        <x:v>Private nonprofit</x:v>
      </x:c>
      <x:c r="E357" s="34" t="n">
        <x:v>745</x:v>
      </x:c>
      <x:c r="F357" s="21" t="n">
        <x:v>0.2884</x:v>
      </x:c>
      <x:c r="G357" s="16" t="str">
        <x:v>National</x:v>
      </x:c>
      <x:c r="H357" s="36" t="n">
        <x:f>IF(G357="National",Assumptions!$B$11,IF(G357="Statewide",Assumptions!$B$12,Assumptions!$B$13))</x:f>
        <x:v>0.25</x:v>
      </x:c>
      <x:c r="I357" s="21" t="n">
        <x:v>-0.03669945915000683</x:v>
      </x:c>
      <x:c r="J357" s="21" t="n">
        <x:v>-0.010093857812193963</x:v>
      </x:c>
      <x:c r="K357" s="21" t="n">
        <x:v>-0.044465703481627705</x:v>
      </x:c>
      <x:c r="L357" s="36" t="n">
        <x:f>IF(Assumptions!$B$4=2030,I357,IF(Assumptions!$B$4=2035,J357,K357))</x:f>
        <x:v>-0.010093857812193963</x:v>
      </x:c>
      <x:c r="M357" s="36" t="n">
        <x:f>Assumptions!$B$19</x:f>
        <x:v>-0.04739891965741583</x:v>
      </x:c>
      <x:c r="N357" s="52" t="n">
        <x:f>H357*L357+(1-H357)*M357+O357</x:f>
        <x:v>-0.03807265419611036</x:v>
      </x:c>
      <x:c r="O357" s="36" t="n">
        <x:f>Assumptions!$B$10</x:f>
        <x:v>0</x:v>
      </x:c>
      <x:c r="P357" s="54" t="n">
        <x:f>E357*(1+N357)</x:f>
        <x:v>716.6358726238977</x:v>
      </x:c>
      <x:c r="Q357" s="54" t="n">
        <x:f>P357-E357</x:f>
        <x:v>-28.36412737610226</x:v>
      </x:c>
      <x:c r="R357" s="16" t="str">
        <x:v>Yes</x:v>
      </x:c>
      <x:c r="S357" s="56" t="n">
        <x:v>19611</x:v>
      </x:c>
      <x:c r="T357" s="56" t="n">
        <x:v>8905</x:v>
      </x:c>
      <x:c r="U357" s="40" t="n">
        <x:f>E357*Assumptions!$B$8</x:f>
        <x:v>633.25</x:v>
      </x:c>
      <x:c r="V357" s="40" t="n">
        <x:f>P357*Assumptions!$B$8</x:f>
        <x:v>609.1404917303131</x:v>
      </x:c>
      <x:c r="W357" s="54" t="n">
        <x:f>V357-U357</x:f>
        <x:v>-24.1095082696869</x:v>
      </x:c>
      <x:c r="X357" s="58" t="n">
        <x:f>IF(R357="No","",W357*S357)</x:f>
        <x:v>-472811.56667682977</x:v>
      </x:c>
      <x:c r="Y357" s="58" t="n">
        <x:f>IF(R357="No","",W357*T357*Assumptions!$B$9)</x:f>
        <x:v>-64408.55134246854</x:v>
      </x:c>
      <x:c r="Z357" s="58" t="n">
        <x:f>IF(R357="No","",X357-Y357)</x:f>
        <x:v>-408403.01533436123</x:v>
      </x:c>
      <x:c r="AA357" s="58" t="n">
        <x:f>IF(R357="No","",MAX(0,-Z357))</x:f>
        <x:v>408403.01533436123</x:v>
      </x:c>
      <x:c r="AB357" s="52" t="n">
        <x:f>IF(OR(R357="No",U357*S357=0),"",AA357/(U357*S357))</x:f>
        <x:v>0.032886223331549225</x:v>
      </x:c>
      <x:c r="AC357" s="54" t="n">
        <x:f>IF(OR(R357="No",S357-T357*Assumptions!$B$9&lt;=0),"",AA357/(Assumptions!$B$8*(S357-T357*Assumptions!$B$9)))</x:f>
        <x:v>28.364127376102235</x:v>
      </x:c>
      <x:c r="AD357" s="52" t="n">
        <x:f>IF(OR(R357="No",U357*S357=0),"",AA357/(U357*S357))</x:f>
        <x:v>0.032886223331549225</x:v>
      </x:c>
      <x:c r="AE357" s="50" t="str">
        <x:f>IF(R357="No","No finance data",IF(AB357&gt;=10%,"Severe",IF(AB357&gt;=5%,"High",IF(AB357&gt;=2%,"Moderate","Low"))))</x:f>
        <x:v>Moderate</x:v>
      </x:c>
      <x:c r="AF357" s="60" t="n">
        <x:v>30.815576</x:v>
      </x:c>
      <x:c r="AG357" s="60" t="n">
        <x:v>-83.963587</x:v>
      </x:c>
      <x:c r="AH357" s="44" t="str">
        <x:v>Undergraduate tuition-contribution proxy only; not an audited total institutional budget.</x:v>
      </x:c>
    </x:row>
    <x:row r="358">
      <x:c r="A358" s="16" t="n">
        <x:v>141185</x:v>
      </x:c>
      <x:c r="B358" s="16" t="str">
        <x:v>Toccoa Falls College</x:v>
      </x:c>
      <x:c r="C358" s="16" t="str">
        <x:v>GA</x:v>
      </x:c>
      <x:c r="D358" s="16" t="str">
        <x:v>Private nonprofit</x:v>
      </x:c>
      <x:c r="E358" s="34" t="n">
        <x:v>773</x:v>
      </x:c>
      <x:c r="F358" s="21" t="n">
        <x:v>0.6189</x:v>
      </x:c>
      <x:c r="G358" s="16" t="str">
        <x:v>Regional</x:v>
      </x:c>
      <x:c r="H358" s="36" t="n">
        <x:f>IF(G358="National",Assumptions!$B$11,IF(G358="Statewide",Assumptions!$B$12,Assumptions!$B$13))</x:f>
        <x:v>0.85</x:v>
      </x:c>
      <x:c r="I358" s="21" t="n">
        <x:v>-0.03669945915000683</x:v>
      </x:c>
      <x:c r="J358" s="21" t="n">
        <x:v>-0.010093857812193963</x:v>
      </x:c>
      <x:c r="K358" s="21" t="n">
        <x:v>-0.044465703481627705</x:v>
      </x:c>
      <x:c r="L358" s="36" t="n">
        <x:f>IF(Assumptions!$B$4=2030,I358,IF(Assumptions!$B$4=2035,J358,K358))</x:f>
        <x:v>-0.010093857812193963</x:v>
      </x:c>
      <x:c r="M358" s="36" t="n">
        <x:f>Assumptions!$B$19</x:f>
        <x:v>-0.04739891965741583</x:v>
      </x:c>
      <x:c r="N358" s="52" t="n">
        <x:f>H358*L358+(1-H358)*M358+O358</x:f>
        <x:v>-0.015689617088977245</x:v>
      </x:c>
      <x:c r="O358" s="36" t="n">
        <x:f>Assumptions!$B$10</x:f>
        <x:v>0</x:v>
      </x:c>
      <x:c r="P358" s="54" t="n">
        <x:f>E358*(1+N358)</x:f>
        <x:v>760.8719259902206</x:v>
      </x:c>
      <x:c r="Q358" s="54" t="n">
        <x:f>P358-E358</x:f>
        <x:v>-12.128074009779425</x:v>
      </x:c>
      <x:c r="R358" s="16" t="str">
        <x:v>Yes</x:v>
      </x:c>
      <x:c r="S358" s="56" t="n">
        <x:v>10768</x:v>
      </x:c>
      <x:c r="T358" s="56" t="n">
        <x:v>4898</x:v>
      </x:c>
      <x:c r="U358" s="40" t="n">
        <x:f>E358*Assumptions!$B$8</x:f>
        <x:v>657.05</x:v>
      </x:c>
      <x:c r="V358" s="40" t="n">
        <x:f>P358*Assumptions!$B$8</x:f>
        <x:v>646.7411370916875</x:v>
      </x:c>
      <x:c r="W358" s="54" t="n">
        <x:f>V358-U358</x:f>
        <x:v>-10.308862908312449</x:v>
      </x:c>
      <x:c r="X358" s="58" t="n">
        <x:f>IF(R358="No","",W358*S358)</x:f>
        <x:v>-111005.83579670844</x:v>
      </x:c>
      <x:c r="Y358" s="58" t="n">
        <x:f>IF(R358="No","",W358*T358*Assumptions!$B$9)</x:f>
        <x:v>-15147.843157474312</x:v>
      </x:c>
      <x:c r="Z358" s="58" t="n">
        <x:f>IF(R358="No","",X358-Y358)</x:f>
        <x:v>-95857.99263923413</x:v>
      </x:c>
      <x:c r="AA358" s="58" t="n">
        <x:f>IF(R358="No","",MAX(0,-Z358))</x:f>
        <x:v>95857.99263923413</x:v>
      </x:c>
      <x:c r="AB358" s="52" t="n">
        <x:f>IF(OR(R358="No",U358*S358=0),"",AA358/(U358*S358))</x:f>
        <x:v>0.013548613806051551</x:v>
      </x:c>
      <x:c r="AC358" s="54" t="n">
        <x:f>IF(OR(R358="No",S358-T358*Assumptions!$B$9&lt;=0),"",AA358/(Assumptions!$B$8*(S358-T358*Assumptions!$B$9)))</x:f>
        <x:v>12.12807400977935</x:v>
      </x:c>
      <x:c r="AD358" s="52" t="n">
        <x:f>IF(OR(R358="No",U358*S358=0),"",AA358/(U358*S358))</x:f>
        <x:v>0.013548613806051551</x:v>
      </x:c>
      <x:c r="AE358" s="50" t="str">
        <x:f>IF(R358="No","No finance data",IF(AB358&gt;=10%,"Severe",IF(AB358&gt;=5%,"High",IF(AB358&gt;=2%,"Moderate","Low"))))</x:f>
        <x:v>Low</x:v>
      </x:c>
      <x:c r="AF358" s="60" t="n">
        <x:v>34.593414</x:v>
      </x:c>
      <x:c r="AG358" s="60" t="n">
        <x:v>-83.357617</x:v>
      </x:c>
      <x:c r="AH358" s="44" t="str">
        <x:v>Undergraduate tuition-contribution proxy only; not an audited total institutional budget.</x:v>
      </x:c>
    </x:row>
    <x:row r="359">
      <x:c r="A359" s="16" t="n">
        <x:v>141237</x:v>
      </x:c>
      <x:c r="B359" s="16" t="str">
        <x:v>Truett McConnell University</x:v>
      </x:c>
      <x:c r="C359" s="16" t="str">
        <x:v>GA</x:v>
      </x:c>
      <x:c r="D359" s="16" t="str">
        <x:v>Private nonprofit</x:v>
      </x:c>
      <x:c r="E359" s="34" t="n">
        <x:v>752</x:v>
      </x:c>
      <x:c r="F359" s="21" t="n">
        <x:v>0.6882</x:v>
      </x:c>
      <x:c r="G359" s="16" t="str">
        <x:v>Regional</x:v>
      </x:c>
      <x:c r="H359" s="36" t="n">
        <x:f>IF(G359="National",Assumptions!$B$11,IF(G359="Statewide",Assumptions!$B$12,Assumptions!$B$13))</x:f>
        <x:v>0.85</x:v>
      </x:c>
      <x:c r="I359" s="21" t="n">
        <x:v>-0.03669945915000683</x:v>
      </x:c>
      <x:c r="J359" s="21" t="n">
        <x:v>-0.010093857812193963</x:v>
      </x:c>
      <x:c r="K359" s="21" t="n">
        <x:v>-0.044465703481627705</x:v>
      </x:c>
      <x:c r="L359" s="36" t="n">
        <x:f>IF(Assumptions!$B$4=2030,I359,IF(Assumptions!$B$4=2035,J359,K359))</x:f>
        <x:v>-0.010093857812193963</x:v>
      </x:c>
      <x:c r="M359" s="36" t="n">
        <x:f>Assumptions!$B$19</x:f>
        <x:v>-0.04739891965741583</x:v>
      </x:c>
      <x:c r="N359" s="52" t="n">
        <x:f>H359*L359+(1-H359)*M359+O359</x:f>
        <x:v>-0.015689617088977245</x:v>
      </x:c>
      <x:c r="O359" s="36" t="n">
        <x:f>Assumptions!$B$10</x:f>
        <x:v>0</x:v>
      </x:c>
      <x:c r="P359" s="54" t="n">
        <x:f>E359*(1+N359)</x:f>
        <x:v>740.2014079490891</x:v>
      </x:c>
      <x:c r="Q359" s="54" t="n">
        <x:f>P359-E359</x:f>
        <x:v>-11.798592050910884</x:v>
      </x:c>
      <x:c r="R359" s="16" t="str">
        <x:v>Yes</x:v>
      </x:c>
      <x:c r="S359" s="56" t="n">
        <x:v>9332</x:v>
      </x:c>
      <x:c r="T359" s="56" t="n">
        <x:v>4451</x:v>
      </x:c>
      <x:c r="U359" s="40" t="n">
        <x:f>E359*Assumptions!$B$8</x:f>
        <x:v>639.1999999999999</x:v>
      </x:c>
      <x:c r="V359" s="40" t="n">
        <x:f>P359*Assumptions!$B$8</x:f>
        <x:v>629.1711967567257</x:v>
      </x:c>
      <x:c r="W359" s="54" t="n">
        <x:f>V359-U359</x:f>
        <x:v>-10.028803243274183</x:v>
      </x:c>
      <x:c r="X359" s="58" t="n">
        <x:f>IF(R359="No","",W359*S359)</x:f>
        <x:v>-93588.79186623468</x:v>
      </x:c>
      <x:c r="Y359" s="58" t="n">
        <x:f>IF(R359="No","",W359*T359*Assumptions!$B$9)</x:f>
        <x:v>-13391.460970744016</x:v>
      </x:c>
      <x:c r="Z359" s="58" t="n">
        <x:f>IF(R359="No","",X359-Y359)</x:f>
        <x:v>-80197.33089549067</x:v>
      </x:c>
      <x:c r="AA359" s="58" t="n">
        <x:f>IF(R359="No","",MAX(0,-Z359))</x:f>
        <x:v>80197.33089549067</x:v>
      </x:c>
      <x:c r="AB359" s="52" t="n">
        <x:f>IF(OR(R359="No",U359*S359=0),"",AA359/(U359*S359))</x:f>
        <x:v>0.01344461647829227</x:v>
      </x:c>
      <x:c r="AC359" s="54" t="n">
        <x:f>IF(OR(R359="No",S359-T359*Assumptions!$B$9&lt;=0),"",AA359/(Assumptions!$B$8*(S359-T359*Assumptions!$B$9)))</x:f>
        <x:v>11.798592050910806</x:v>
      </x:c>
      <x:c r="AD359" s="52" t="n">
        <x:f>IF(OR(R359="No",U359*S359=0),"",AA359/(U359*S359))</x:f>
        <x:v>0.01344461647829227</x:v>
      </x:c>
      <x:c r="AE359" s="50" t="str">
        <x:f>IF(R359="No","No finance data",IF(AB359&gt;=10%,"Severe",IF(AB359&gt;=5%,"High",IF(AB359&gt;=2%,"Moderate","Low"))))</x:f>
        <x:v>Low</x:v>
      </x:c>
      <x:c r="AF359" s="60" t="n">
        <x:v>34.596306</x:v>
      </x:c>
      <x:c r="AG359" s="60" t="n">
        <x:v>-83.748911</x:v>
      </x:c>
      <x:c r="AH359" s="44" t="str">
        <x:v>Undergraduate tuition-contribution proxy only; not an audited total institutional budget.</x:v>
      </x:c>
    </x:row>
    <x:row r="360">
      <x:c r="A360" s="16" t="n">
        <x:v>139959</x:v>
      </x:c>
      <x:c r="B360" s="16" t="str">
        <x:v>University of Georgia</x:v>
      </x:c>
      <x:c r="C360" s="16" t="str">
        <x:v>GA</x:v>
      </x:c>
      <x:c r="D360" s="16" t="str">
        <x:v>Public</x:v>
      </x:c>
      <x:c r="E360" s="34" t="n">
        <x:v>27335</x:v>
      </x:c>
      <x:c r="F360" s="21" t="n">
        <x:v>0.3998</x:v>
      </x:c>
      <x:c r="G360" s="16" t="str">
        <x:v>National</x:v>
      </x:c>
      <x:c r="H360" s="36" t="n">
        <x:f>IF(G360="National",Assumptions!$B$11,IF(G360="Statewide",Assumptions!$B$12,Assumptions!$B$13))</x:f>
        <x:v>0.25</x:v>
      </x:c>
      <x:c r="I360" s="21" t="n">
        <x:v>-0.03669945915000683</x:v>
      </x:c>
      <x:c r="J360" s="21" t="n">
        <x:v>-0.010093857812193963</x:v>
      </x:c>
      <x:c r="K360" s="21" t="n">
        <x:v>-0.044465703481627705</x:v>
      </x:c>
      <x:c r="L360" s="36" t="n">
        <x:f>IF(Assumptions!$B$4=2030,I360,IF(Assumptions!$B$4=2035,J360,K360))</x:f>
        <x:v>-0.010093857812193963</x:v>
      </x:c>
      <x:c r="M360" s="36" t="n">
        <x:f>Assumptions!$B$19</x:f>
        <x:v>-0.04739891965741583</x:v>
      </x:c>
      <x:c r="N360" s="52" t="n">
        <x:f>H360*L360+(1-H360)*M360+O360</x:f>
        <x:v>-0.03807265419611036</x:v>
      </x:c>
      <x:c r="O360" s="36" t="n">
        <x:f>Assumptions!$B$10</x:f>
        <x:v>0</x:v>
      </x:c>
      <x:c r="P360" s="54" t="n">
        <x:f>E360*(1+N360)</x:f>
        <x:v>26294.283997549323</x:v>
      </x:c>
      <x:c r="Q360" s="54" t="n">
        <x:f>P360-E360</x:f>
        <x:v>-1040.7160024506775</x:v>
      </x:c>
      <x:c r="R360" s="16" t="str">
        <x:v>Yes</x:v>
      </x:c>
      <x:c r="S360" s="56" t="n">
        <x:v>11450</x:v>
      </x:c>
      <x:c r="T360" s="56" t="n">
        <x:v>9089</x:v>
      </x:c>
      <x:c r="U360" s="40" t="n">
        <x:f>E360*Assumptions!$B$8</x:f>
        <x:v>23234.75</x:v>
      </x:c>
      <x:c r="V360" s="40" t="n">
        <x:f>P360*Assumptions!$B$8</x:f>
        <x:v>22350.141397916923</x:v>
      </x:c>
      <x:c r="W360" s="54" t="n">
        <x:f>V360-U360</x:f>
        <x:v>-884.6086020830771</x:v>
      </x:c>
      <x:c r="X360" s="58" t="n">
        <x:f>IF(R360="No","",W360*S360)</x:f>
        <x:v>-10128768.493851233</x:v>
      </x:c>
      <x:c r="Y360" s="58" t="n">
        <x:f>IF(R360="No","",W360*T360*Assumptions!$B$9)</x:f>
        <x:v>-2412062.2752999263</x:v>
      </x:c>
      <x:c r="Z360" s="58" t="n">
        <x:f>IF(R360="No","",X360-Y360)</x:f>
        <x:v>-7716706.218551307</x:v>
      </x:c>
      <x:c r="AA360" s="58" t="n">
        <x:f>IF(R360="No","",MAX(0,-Z360))</x:f>
        <x:v>7716706.218551307</x:v>
      </x:c>
      <x:c r="AB360" s="52" t="n">
        <x:f>IF(OR(R360="No",U360*S360=0),"",AA360/(U360*S360))</x:f>
        <x:v>0.029006042301216617</x:v>
      </x:c>
      <x:c r="AC360" s="54" t="n">
        <x:f>IF(OR(R360="No",S360-T360*Assumptions!$B$9&lt;=0),"",AA360/(Assumptions!$B$8*(S360-T360*Assumptions!$B$9)))</x:f>
        <x:v>1040.716002450679</x:v>
      </x:c>
      <x:c r="AD360" s="52" t="n">
        <x:f>IF(OR(R360="No",U360*S360=0),"",AA360/(U360*S360))</x:f>
        <x:v>0.029006042301216617</x:v>
      </x:c>
      <x:c r="AE360" s="50" t="str">
        <x:f>IF(R360="No","No finance data",IF(AB360&gt;=10%,"Severe",IF(AB360&gt;=5%,"High",IF(AB360&gt;=2%,"Moderate","Low"))))</x:f>
        <x:v>Moderate</x:v>
      </x:c>
      <x:c r="AF360" s="60" t="n">
        <x:v>33.956262</x:v>
      </x:c>
      <x:c r="AG360" s="60" t="n">
        <x:v>-83.374039</x:v>
      </x:c>
      <x:c r="AH360" s="44" t="str">
        <x:v>Undergraduate tuition-contribution proxy only; not an audited total institutional budget.</x:v>
      </x:c>
    </x:row>
    <x:row r="361">
      <x:c r="A361" s="16" t="n">
        <x:v>482680</x:v>
      </x:c>
      <x:c r="B361" s="16" t="str">
        <x:v>University of North Georgia</x:v>
      </x:c>
      <x:c r="C361" s="16" t="str">
        <x:v>GA</x:v>
      </x:c>
      <x:c r="D361" s="16" t="str">
        <x:v>Public</x:v>
      </x:c>
      <x:c r="E361" s="34" t="n">
        <x:v>16048</x:v>
      </x:c>
      <x:c r="F361" s="21" t="n">
        <x:v>0.8116</x:v>
      </x:c>
      <x:c r="G361" s="16" t="str">
        <x:v>Statewide</x:v>
      </x:c>
      <x:c r="H361" s="36" t="n">
        <x:f>IF(G361="National",Assumptions!$B$11,IF(G361="Statewide",Assumptions!$B$12,Assumptions!$B$13))</x:f>
        <x:v>0.6</x:v>
      </x:c>
      <x:c r="I361" s="21" t="n">
        <x:v>-0.03669945915000683</x:v>
      </x:c>
      <x:c r="J361" s="21" t="n">
        <x:v>-0.010093857812193963</x:v>
      </x:c>
      <x:c r="K361" s="21" t="n">
        <x:v>-0.044465703481627705</x:v>
      </x:c>
      <x:c r="L361" s="36" t="n">
        <x:f>IF(Assumptions!$B$4=2030,I361,IF(Assumptions!$B$4=2035,J361,K361))</x:f>
        <x:v>-0.010093857812193963</x:v>
      </x:c>
      <x:c r="M361" s="36" t="n">
        <x:f>Assumptions!$B$19</x:f>
        <x:v>-0.04739891965741583</x:v>
      </x:c>
      <x:c r="N361" s="52" t="n">
        <x:f>H361*L361+(1-H361)*M361+O361</x:f>
        <x:v>-0.02501588255028271</x:v>
      </x:c>
      <x:c r="O361" s="36" t="n">
        <x:f>Assumptions!$B$10</x:f>
        <x:v>0</x:v>
      </x:c>
      <x:c r="P361" s="54" t="n">
        <x:f>E361*(1+N361)</x:f>
        <x:v>15646.545116833062</x:v>
      </x:c>
      <x:c r="Q361" s="54" t="n">
        <x:f>P361-E361</x:f>
        <x:v>-401.4548831669381</x:v>
      </x:c>
      <x:c r="R361" s="16" t="str">
        <x:v>Yes</x:v>
      </x:c>
      <x:c r="S361" s="56" t="n">
        <x:v>4773</x:v>
      </x:c>
      <x:c r="T361" s="56" t="n">
        <x:v>4995</x:v>
      </x:c>
      <x:c r="U361" s="40" t="n">
        <x:f>E361*Assumptions!$B$8</x:f>
        <x:v>13640.8</x:v>
      </x:c>
      <x:c r="V361" s="40" t="n">
        <x:f>P361*Assumptions!$B$8</x:f>
        <x:v>13299.563349308102</x:v>
      </x:c>
      <x:c r="W361" s="54" t="n">
        <x:f>V361-U361</x:f>
        <x:v>-341.236650691897</x:v>
      </x:c>
      <x:c r="X361" s="58" t="n">
        <x:f>IF(R361="No","",W361*S361)</x:f>
        <x:v>-1628722.5337524244</x:v>
      </x:c>
      <x:c r="Y361" s="58" t="n">
        <x:f>IF(R361="No","",W361*T361*Assumptions!$B$9)</x:f>
        <x:v>-511343.1210618077</x:v>
      </x:c>
      <x:c r="Z361" s="58" t="n">
        <x:f>IF(R361="No","",X361-Y361)</x:f>
        <x:v>-1117379.4126906167</x:v>
      </x:c>
      <x:c r="AA361" s="58" t="n">
        <x:f>IF(R361="No","",MAX(0,-Z361))</x:f>
        <x:v>1117379.4126906167</x:v>
      </x:c>
      <x:c r="AB361" s="52" t="n">
        <x:f>IF(OR(R361="No",U361*S361=0),"",AA361/(U361*S361))</x:f>
        <x:v>0.017162058958914914</x:v>
      </x:c>
      <x:c r="AC361" s="54" t="n">
        <x:f>IF(OR(R361="No",S361-T361*Assumptions!$B$9&lt;=0),"",AA361/(Assumptions!$B$8*(S361-T361*Assumptions!$B$9)))</x:f>
        <x:v>401.45488316693763</x:v>
      </x:c>
      <x:c r="AD361" s="52" t="n">
        <x:f>IF(OR(R361="No",U361*S361=0),"",AA361/(U361*S361))</x:f>
        <x:v>0.017162058958914914</x:v>
      </x:c>
      <x:c r="AE361" s="50" t="str">
        <x:f>IF(R361="No","No finance data",IF(AB361&gt;=10%,"Severe",IF(AB361&gt;=5%,"High",IF(AB361&gt;=2%,"Moderate","Low"))))</x:f>
        <x:v>Low</x:v>
      </x:c>
      <x:c r="AF361" s="60" t="n">
        <x:v>34.530219</x:v>
      </x:c>
      <x:c r="AG361" s="60" t="n">
        <x:v>-83.985694</x:v>
      </x:c>
      <x:c r="AH361" s="44" t="str">
        <x:v>Undergraduate tuition-contribution proxy only; not an audited total institutional budget.</x:v>
      </x:c>
    </x:row>
    <x:row r="362">
      <x:c r="A362" s="16" t="n">
        <x:v>141334</x:v>
      </x:c>
      <x:c r="B362" s="16" t="str">
        <x:v>University of West Georgia</x:v>
      </x:c>
      <x:c r="C362" s="16" t="str">
        <x:v>GA</x:v>
      </x:c>
      <x:c r="D362" s="16" t="str">
        <x:v>Public</x:v>
      </x:c>
      <x:c r="E362" s="34" t="n">
        <x:v>10309</x:v>
      </x:c>
      <x:c r="F362" s="21" t="n">
        <x:v>0.697</x:v>
      </x:c>
      <x:c r="G362" s="16" t="str">
        <x:v>Statewide</x:v>
      </x:c>
      <x:c r="H362" s="36" t="n">
        <x:f>IF(G362="National",Assumptions!$B$11,IF(G362="Statewide",Assumptions!$B$12,Assumptions!$B$13))</x:f>
        <x:v>0.6</x:v>
      </x:c>
      <x:c r="I362" s="21" t="n">
        <x:v>-0.03669945915000683</x:v>
      </x:c>
      <x:c r="J362" s="21" t="n">
        <x:v>-0.010093857812193963</x:v>
      </x:c>
      <x:c r="K362" s="21" t="n">
        <x:v>-0.044465703481627705</x:v>
      </x:c>
      <x:c r="L362" s="36" t="n">
        <x:f>IF(Assumptions!$B$4=2030,I362,IF(Assumptions!$B$4=2035,J362,K362))</x:f>
        <x:v>-0.010093857812193963</x:v>
      </x:c>
      <x:c r="M362" s="36" t="n">
        <x:f>Assumptions!$B$19</x:f>
        <x:v>-0.04739891965741583</x:v>
      </x:c>
      <x:c r="N362" s="52" t="n">
        <x:f>H362*L362+(1-H362)*M362+O362</x:f>
        <x:v>-0.02501588255028271</x:v>
      </x:c>
      <x:c r="O362" s="36" t="n">
        <x:f>Assumptions!$B$10</x:f>
        <x:v>0</x:v>
      </x:c>
      <x:c r="P362" s="54" t="n">
        <x:f>E362*(1+N362)</x:f>
        <x:v>10051.111266789136</x:v>
      </x:c>
      <x:c r="Q362" s="54" t="n">
        <x:f>P362-E362</x:f>
        <x:v>-257.8887332108643</x:v>
      </x:c>
      <x:c r="R362" s="16" t="str">
        <x:v>Yes</x:v>
      </x:c>
      <x:c r="S362" s="56" t="n">
        <x:v>6952</x:v>
      </x:c>
      <x:c r="T362" s="56" t="n">
        <x:v>7693</x:v>
      </x:c>
      <x:c r="U362" s="40" t="n">
        <x:f>E362*Assumptions!$B$8</x:f>
        <x:v>8762.65</x:v>
      </x:c>
      <x:c r="V362" s="40" t="n">
        <x:f>P362*Assumptions!$B$8</x:f>
        <x:v>8543.444576770766</x:v>
      </x:c>
      <x:c r="W362" s="54" t="n">
        <x:f>V362-U362</x:f>
        <x:v>-219.20542322923393</x:v>
      </x:c>
      <x:c r="X362" s="58" t="n">
        <x:f>IF(R362="No","",W362*S362)</x:f>
        <x:v>-1523916.1022896343</x:v>
      </x:c>
      <x:c r="Y362" s="58" t="n">
        <x:f>IF(R362="No","",W362*T362*Assumptions!$B$9)</x:f>
        <x:v>-505904.196270749</x:v>
      </x:c>
      <x:c r="Z362" s="58" t="n">
        <x:f>IF(R362="No","",X362-Y362)</x:f>
        <x:v>-1018011.9060188853</x:v>
      </x:c>
      <x:c r="AA362" s="58" t="n">
        <x:f>IF(R362="No","",MAX(0,-Z362))</x:f>
        <x:v>1018011.9060188853</x:v>
      </x:c>
      <x:c r="AB362" s="52" t="n">
        <x:f>IF(OR(R362="No",U362*S362=0),"",AA362/(U362*S362))</x:f>
        <x:v>0.01671119967660637</x:v>
      </x:c>
      <x:c r="AC362" s="54" t="n">
        <x:f>IF(OR(R362="No",S362-T362*Assumptions!$B$9&lt;=0),"",AA362/(Assumptions!$B$8*(S362-T362*Assumptions!$B$9)))</x:f>
        <x:v>257.88873321086345</x:v>
      </x:c>
      <x:c r="AD362" s="52" t="n">
        <x:f>IF(OR(R362="No",U362*S362=0),"",AA362/(U362*S362))</x:f>
        <x:v>0.01671119967660637</x:v>
      </x:c>
      <x:c r="AE362" s="50" t="str">
        <x:f>IF(R362="No","No finance data",IF(AB362&gt;=10%,"Severe",IF(AB362&gt;=5%,"High",IF(AB362&gt;=2%,"Moderate","Low"))))</x:f>
        <x:v>Low</x:v>
      </x:c>
      <x:c r="AF362" s="60" t="n">
        <x:v>33.573621</x:v>
      </x:c>
      <x:c r="AG362" s="60" t="n">
        <x:v>-85.097762</x:v>
      </x:c>
      <x:c r="AH362" s="44" t="str">
        <x:v>Undergraduate tuition-contribution proxy only; not an audited total institutional budget.</x:v>
      </x:c>
    </x:row>
    <x:row r="363">
      <x:c r="A363" s="16" t="n">
        <x:v>141264</x:v>
      </x:c>
      <x:c r="B363" s="16" t="str">
        <x:v>Valdosta State University</x:v>
      </x:c>
      <x:c r="C363" s="16" t="str">
        <x:v>GA</x:v>
      </x:c>
      <x:c r="D363" s="16" t="str">
        <x:v>Public</x:v>
      </x:c>
      <x:c r="E363" s="34" t="n">
        <x:v>8692</x:v>
      </x:c>
      <x:c r="F363" s="21" t="n">
        <x:v>0.7637</x:v>
      </x:c>
      <x:c r="G363" s="16" t="str">
        <x:v>Statewide</x:v>
      </x:c>
      <x:c r="H363" s="36" t="n">
        <x:f>IF(G363="National",Assumptions!$B$11,IF(G363="Statewide",Assumptions!$B$12,Assumptions!$B$13))</x:f>
        <x:v>0.6</x:v>
      </x:c>
      <x:c r="I363" s="21" t="n">
        <x:v>-0.03669945915000683</x:v>
      </x:c>
      <x:c r="J363" s="21" t="n">
        <x:v>-0.010093857812193963</x:v>
      </x:c>
      <x:c r="K363" s="21" t="n">
        <x:v>-0.044465703481627705</x:v>
      </x:c>
      <x:c r="L363" s="36" t="n">
        <x:f>IF(Assumptions!$B$4=2030,I363,IF(Assumptions!$B$4=2035,J363,K363))</x:f>
        <x:v>-0.010093857812193963</x:v>
      </x:c>
      <x:c r="M363" s="36" t="n">
        <x:f>Assumptions!$B$19</x:f>
        <x:v>-0.04739891965741583</x:v>
      </x:c>
      <x:c r="N363" s="52" t="n">
        <x:f>H363*L363+(1-H363)*M363+O363</x:f>
        <x:v>-0.02501588255028271</x:v>
      </x:c>
      <x:c r="O363" s="36" t="n">
        <x:f>Assumptions!$B$10</x:f>
        <x:v>0</x:v>
      </x:c>
      <x:c r="P363" s="54" t="n">
        <x:f>E363*(1+N363)</x:f>
        <x:v>8474.561948872943</x:v>
      </x:c>
      <x:c r="Q363" s="54" t="n">
        <x:f>P363-E363</x:f>
        <x:v>-217.4380511270574</x:v>
      </x:c>
      <x:c r="R363" s="16" t="str">
        <x:v>Yes</x:v>
      </x:c>
      <x:c r="S363" s="56" t="n">
        <x:v>5654</x:v>
      </x:c>
      <x:c r="T363" s="56" t="n">
        <x:v>4684</x:v>
      </x:c>
      <x:c r="U363" s="40" t="n">
        <x:f>E363*Assumptions!$B$8</x:f>
        <x:v>7388.2</x:v>
      </x:c>
      <x:c r="V363" s="40" t="n">
        <x:f>P363*Assumptions!$B$8</x:f>
        <x:v>7203.377656542001</x:v>
      </x:c>
      <x:c r="W363" s="54" t="n">
        <x:f>V363-U363</x:f>
        <x:v>-184.8223434579986</x:v>
      </x:c>
      <x:c r="X363" s="58" t="n">
        <x:f>IF(R363="No","",W363*S363)</x:f>
        <x:v>-1044985.5299115242</x:v>
      </x:c>
      <x:c r="Y363" s="58" t="n">
        <x:f>IF(R363="No","",W363*T363*Assumptions!$B$9)</x:f>
        <x:v>-259712.35702717965</x:v>
      </x:c>
      <x:c r="Z363" s="58" t="n">
        <x:f>IF(R363="No","",X363-Y363)</x:f>
        <x:v>-785273.1728843445</x:v>
      </x:c>
      <x:c r="AA363" s="58" t="n">
        <x:f>IF(R363="No","",MAX(0,-Z363))</x:f>
        <x:v>785273.1728843445</x:v>
      </x:c>
      <x:c r="AB363" s="52" t="n">
        <x:f>IF(OR(R363="No",U363*S363=0),"",AA363/(U363*S363))</x:f>
        <x:v>0.0187986349097349</x:v>
      </x:c>
      <x:c r="AC363" s="54" t="n">
        <x:f>IF(OR(R363="No",S363-T363*Assumptions!$B$9&lt;=0),"",AA363/(Assumptions!$B$8*(S363-T363*Assumptions!$B$9)))</x:f>
        <x:v>217.43805112705718</x:v>
      </x:c>
      <x:c r="AD363" s="52" t="n">
        <x:f>IF(OR(R363="No",U363*S363=0),"",AA363/(U363*S363))</x:f>
        <x:v>0.0187986349097349</x:v>
      </x:c>
      <x:c r="AE363" s="50" t="str">
        <x:f>IF(R363="No","No finance data",IF(AB363&gt;=10%,"Severe",IF(AB363&gt;=5%,"High",IF(AB363&gt;=2%,"Moderate","Low"))))</x:f>
        <x:v>Low</x:v>
      </x:c>
      <x:c r="AF363" s="60" t="n">
        <x:v>30.847402</x:v>
      </x:c>
      <x:c r="AG363" s="60" t="n">
        <x:v>-83.289282</x:v>
      </x:c>
      <x:c r="AH363" s="44" t="str">
        <x:v>Undergraduate tuition-contribution proxy only; not an audited total institutional budget.</x:v>
      </x:c>
    </x:row>
    <x:row r="364">
      <x:c r="A364" s="16" t="n">
        <x:v>141325</x:v>
      </x:c>
      <x:c r="B364" s="16" t="str">
        <x:v>Wesleyan College</x:v>
      </x:c>
      <x:c r="C364" s="16" t="str">
        <x:v>GA</x:v>
      </x:c>
      <x:c r="D364" s="16" t="str">
        <x:v>Private nonprofit</x:v>
      </x:c>
      <x:c r="E364" s="34" t="n">
        <x:v>579</x:v>
      </x:c>
      <x:c r="F364" s="21" t="n">
        <x:v>0.6216</x:v>
      </x:c>
      <x:c r="G364" s="16" t="str">
        <x:v>Regional</x:v>
      </x:c>
      <x:c r="H364" s="36" t="n">
        <x:f>IF(G364="National",Assumptions!$B$11,IF(G364="Statewide",Assumptions!$B$12,Assumptions!$B$13))</x:f>
        <x:v>0.85</x:v>
      </x:c>
      <x:c r="I364" s="21" t="n">
        <x:v>-0.03669945915000683</x:v>
      </x:c>
      <x:c r="J364" s="21" t="n">
        <x:v>-0.010093857812193963</x:v>
      </x:c>
      <x:c r="K364" s="21" t="n">
        <x:v>-0.044465703481627705</x:v>
      </x:c>
      <x:c r="L364" s="36" t="n">
        <x:f>IF(Assumptions!$B$4=2030,I364,IF(Assumptions!$B$4=2035,J364,K364))</x:f>
        <x:v>-0.010093857812193963</x:v>
      </x:c>
      <x:c r="M364" s="36" t="n">
        <x:f>Assumptions!$B$19</x:f>
        <x:v>-0.04739891965741583</x:v>
      </x:c>
      <x:c r="N364" s="52" t="n">
        <x:f>H364*L364+(1-H364)*M364+O364</x:f>
        <x:v>-0.015689617088977245</x:v>
      </x:c>
      <x:c r="O364" s="36" t="n">
        <x:f>Assumptions!$B$10</x:f>
        <x:v>0</x:v>
      </x:c>
      <x:c r="P364" s="54" t="n">
        <x:f>E364*(1+N364)</x:f>
        <x:v>569.9157117054822</x:v>
      </x:c>
      <x:c r="Q364" s="54" t="n">
        <x:f>P364-E364</x:f>
        <x:v>-9.084288294517819</x:v>
      </x:c>
      <x:c r="R364" s="16" t="str">
        <x:v>Yes</x:v>
      </x:c>
      <x:c r="S364" s="56" t="n">
        <x:v>10918</x:v>
      </x:c>
      <x:c r="T364" s="56" t="n">
        <x:v>10846</x:v>
      </x:c>
      <x:c r="U364" s="40" t="n">
        <x:f>E364*Assumptions!$B$8</x:f>
        <x:v>492.15</x:v>
      </x:c>
      <x:c r="V364" s="40" t="n">
        <x:f>P364*Assumptions!$B$8</x:f>
        <x:v>484.4283549496598</x:v>
      </x:c>
      <x:c r="W364" s="54" t="n">
        <x:f>V364-U364</x:f>
        <x:v>-7.7216450503401575</x:v>
      </x:c>
      <x:c r="X364" s="58" t="n">
        <x:f>IF(R364="No","",W364*S364)</x:f>
        <x:v>-84304.92065961384</x:v>
      </x:c>
      <x:c r="Y364" s="58" t="n">
        <x:f>IF(R364="No","",W364*T364*Assumptions!$B$9)</x:f>
        <x:v>-25124.688664796802</x:v>
      </x:c>
      <x:c r="Z364" s="58" t="n">
        <x:f>IF(R364="No","",X364-Y364)</x:f>
        <x:v>-59180.23199481703</x:v>
      </x:c>
      <x:c r="AA364" s="58" t="n">
        <x:f>IF(R364="No","",MAX(0,-Z364))</x:f>
        <x:v>59180.23199481703</x:v>
      </x:c>
      <x:c r="AB364" s="52" t="n">
        <x:f>IF(OR(R364="No",U364*S364=0),"",AA364/(U364*S364))</x:f>
        <x:v>0.011013772054711438</x:v>
      </x:c>
      <x:c r="AC364" s="54" t="n">
        <x:f>IF(OR(R364="No",S364-T364*Assumptions!$B$9&lt;=0),"",AA364/(Assumptions!$B$8*(S364-T364*Assumptions!$B$9)))</x:f>
        <x:v>9.084288294517831</x:v>
      </x:c>
      <x:c r="AD364" s="52" t="n">
        <x:f>IF(OR(R364="No",U364*S364=0),"",AA364/(U364*S364))</x:f>
        <x:v>0.011013772054711438</x:v>
      </x:c>
      <x:c r="AE364" s="50" t="str">
        <x:f>IF(R364="No","No finance data",IF(AB364&gt;=10%,"Severe",IF(AB364&gt;=5%,"High",IF(AB364&gt;=2%,"Moderate","Low"))))</x:f>
        <x:v>Low</x:v>
      </x:c>
      <x:c r="AF364" s="60" t="n">
        <x:v>32.876037</x:v>
      </x:c>
      <x:c r="AG364" s="60" t="n">
        <x:v>-83.715417</x:v>
      </x:c>
      <x:c r="AH364" s="44" t="str">
        <x:v>Undergraduate tuition-contribution proxy only; not an audited total institutional budget.</x:v>
      </x:c>
    </x:row>
    <x:row r="365">
      <x:c r="A365" s="16" t="n">
        <x:v>141361</x:v>
      </x:c>
      <x:c r="B365" s="16" t="str">
        <x:v>Young Harris College</x:v>
      </x:c>
      <x:c r="C365" s="16" t="str">
        <x:v>GA</x:v>
      </x:c>
      <x:c r="D365" s="16" t="str">
        <x:v>Private nonprofit</x:v>
      </x:c>
      <x:c r="E365" s="34" t="n">
        <x:v>1166</x:v>
      </x:c>
      <x:c r="F365" s="21" t="n">
        <x:v>0.7476</x:v>
      </x:c>
      <x:c r="G365" s="16" t="str">
        <x:v>Regional</x:v>
      </x:c>
      <x:c r="H365" s="36" t="n">
        <x:f>IF(G365="National",Assumptions!$B$11,IF(G365="Statewide",Assumptions!$B$12,Assumptions!$B$13))</x:f>
        <x:v>0.85</x:v>
      </x:c>
      <x:c r="I365" s="21" t="n">
        <x:v>-0.03669945915000683</x:v>
      </x:c>
      <x:c r="J365" s="21" t="n">
        <x:v>-0.010093857812193963</x:v>
      </x:c>
      <x:c r="K365" s="21" t="n">
        <x:v>-0.044465703481627705</x:v>
      </x:c>
      <x:c r="L365" s="36" t="n">
        <x:f>IF(Assumptions!$B$4=2030,I365,IF(Assumptions!$B$4=2035,J365,K365))</x:f>
        <x:v>-0.010093857812193963</x:v>
      </x:c>
      <x:c r="M365" s="36" t="n">
        <x:f>Assumptions!$B$19</x:f>
        <x:v>-0.04739891965741583</x:v>
      </x:c>
      <x:c r="N365" s="52" t="n">
        <x:f>H365*L365+(1-H365)*M365+O365</x:f>
        <x:v>-0.015689617088977245</x:v>
      </x:c>
      <x:c r="O365" s="36" t="n">
        <x:f>Assumptions!$B$10</x:f>
        <x:v>0</x:v>
      </x:c>
      <x:c r="P365" s="54" t="n">
        <x:f>E365*(1+N365)</x:f>
        <x:v>1147.7059064742525</x:v>
      </x:c>
      <x:c r="Q365" s="54" t="n">
        <x:f>P365-E365</x:f>
        <x:v>-18.294093525747485</x:v>
      </x:c>
      <x:c r="R365" s="16" t="str">
        <x:v>Yes</x:v>
      </x:c>
      <x:c r="S365" s="56" t="n">
        <x:v>8283</x:v>
      </x:c>
      <x:c r="T365" s="56" t="n">
        <x:v>7968</x:v>
      </x:c>
      <x:c r="U365" s="40" t="n">
        <x:f>E365*Assumptions!$B$8</x:f>
        <x:v>991.1</x:v>
      </x:c>
      <x:c r="V365" s="40" t="n">
        <x:f>P365*Assumptions!$B$8</x:f>
        <x:v>975.5500205031146</x:v>
      </x:c>
      <x:c r="W365" s="54" t="n">
        <x:f>V365-U365</x:f>
        <x:v>-15.549979496885385</x:v>
      </x:c>
      <x:c r="X365" s="58" t="n">
        <x:f>IF(R365="No","",W365*S365)</x:f>
        <x:v>-128800.48017270165</x:v>
      </x:c>
      <x:c r="Y365" s="58" t="n">
        <x:f>IF(R365="No","",W365*T365*Assumptions!$B$9)</x:f>
        <x:v>-37170.670989354825</x:v>
      </x:c>
      <x:c r="Z365" s="58" t="n">
        <x:f>IF(R365="No","",X365-Y365)</x:f>
        <x:v>-91629.80918334682</x:v>
      </x:c>
      <x:c r="AA365" s="58" t="n">
        <x:f>IF(R365="No","",MAX(0,-Z365))</x:f>
        <x:v>91629.80918334682</x:v>
      </x:c>
      <x:c r="AB365" s="52" t="n">
        <x:f>IF(OR(R365="No",U365*S365=0),"",AA365/(U365*S365))</x:f>
        <x:v>0.011161733388688583</x:v>
      </x:c>
      <x:c r="AC365" s="54" t="n">
        <x:f>IF(OR(R365="No",S365-T365*Assumptions!$B$9&lt;=0),"",AA365/(Assumptions!$B$8*(S365-T365*Assumptions!$B$9)))</x:f>
        <x:v>18.294093525747513</x:v>
      </x:c>
      <x:c r="AD365" s="52" t="n">
        <x:f>IF(OR(R365="No",U365*S365=0),"",AA365/(U365*S365))</x:f>
        <x:v>0.011161733388688583</x:v>
      </x:c>
      <x:c r="AE365" s="50" t="str">
        <x:f>IF(R365="No","No finance data",IF(AB365&gt;=10%,"Severe",IF(AB365&gt;=5%,"High",IF(AB365&gt;=2%,"Moderate","Low"))))</x:f>
        <x:v>Low</x:v>
      </x:c>
      <x:c r="AF365" s="60" t="n">
        <x:v>34.933523</x:v>
      </x:c>
      <x:c r="AG365" s="60" t="n">
        <x:v>-83.84587</x:v>
      </x:c>
      <x:c r="AH365" s="44" t="str">
        <x:v>Undergraduate tuition-contribution proxy only; not an audited total institutional budget.</x:v>
      </x:c>
    </x:row>
    <x:row r="366">
      <x:c r="A366" s="16" t="n">
        <x:v>439862</x:v>
      </x:c>
      <x:c r="B366" s="16" t="str">
        <x:v>Pacific Islands University</x:v>
      </x:c>
      <x:c r="C366" s="16" t="str">
        <x:v>GU</x:v>
      </x:c>
      <x:c r="D366" s="16" t="str">
        <x:v>Private nonprofit</x:v>
      </x:c>
      <x:c r="E366" s="34" t="n">
        <x:v>62</x:v>
      </x:c>
      <x:c r="F366" s="21"/>
      <x:c r="G366" s="16" t="str">
        <x:v>Regional</x:v>
      </x:c>
      <x:c r="H366" s="36" t="n">
        <x:f>IF(G366="National",Assumptions!$B$11,IF(G366="Statewide",Assumptions!$B$12,Assumptions!$B$13))</x:f>
        <x:v>0.85</x:v>
      </x:c>
      <x:c r="I366" s="21" t="n">
        <x:v>-0.048361979489554896</x:v>
      </x:c>
      <x:c r="J366" s="21" t="n">
        <x:v>-0.04739891965741583</x:v>
      </x:c>
      <x:c r="K366" s="21" t="n">
        <x:v>-0.11013505452010375</x:v>
      </x:c>
      <x:c r="L366" s="36" t="n">
        <x:f>IF(Assumptions!$B$4=2030,I366,IF(Assumptions!$B$4=2035,J366,K366))</x:f>
        <x:v>-0.04739891965741583</x:v>
      </x:c>
      <x:c r="M366" s="36" t="n">
        <x:f>Assumptions!$B$19</x:f>
        <x:v>-0.04739891965741583</x:v>
      </x:c>
      <x:c r="N366" s="52" t="n">
        <x:f>H366*L366+(1-H366)*M366+O366</x:f>
        <x:v>-0.04739891965741583</x:v>
      </x:c>
      <x:c r="O366" s="36" t="n">
        <x:f>Assumptions!$B$10</x:f>
        <x:v>0</x:v>
      </x:c>
      <x:c r="P366" s="54" t="n">
        <x:f>E366*(1+N366)</x:f>
        <x:v>59.061266981240216</x:v>
      </x:c>
      <x:c r="Q366" s="54" t="n">
        <x:f>P366-E366</x:f>
        <x:v>-2.938733018759784</x:v>
      </x:c>
      <x:c r="R366" s="16" t="str">
        <x:v>No</x:v>
      </x:c>
      <x:c r="S366" s="56"/>
      <x:c r="T366" s="56"/>
      <x:c r="U366" s="40" t="n">
        <x:f>E366*Assumptions!$B$8</x:f>
        <x:v>52.699999999999996</x:v>
      </x:c>
      <x:c r="V366" s="40" t="n">
        <x:f>P366*Assumptions!$B$8</x:f>
        <x:v>50.20207693405418</x:v>
      </x:c>
      <x:c r="W366" s="54" t="n">
        <x:f>V366-U366</x:f>
        <x:v>-2.4979230659458125</x:v>
      </x:c>
      <x:c r="X366" s="58" t="str">
        <x:f>IF(R366="No","",W366*S366)</x:f>
      </x:c>
      <x:c r="Y366" s="58" t="str">
        <x:f>IF(R366="No","",W366*T366*Assumptions!$B$9)</x:f>
      </x:c>
      <x:c r="Z366" s="58" t="str">
        <x:f>IF(R366="No","",X366-Y366)</x:f>
      </x:c>
      <x:c r="AA366" s="58" t="str">
        <x:f>IF(R366="No","",MAX(0,-Z366))</x:f>
      </x:c>
      <x:c r="AB366" s="52" t="str">
        <x:f>IF(OR(R366="No",U366*S366=0),"",AA366/(U366*S366))</x:f>
      </x:c>
      <x:c r="AC366" s="54" t="str">
        <x:f>IF(OR(R366="No",S366-T366*Assumptions!$B$9&lt;=0),"",AA366/(Assumptions!$B$8*(S366-T366*Assumptions!$B$9)))</x:f>
      </x:c>
      <x:c r="AD366" s="52" t="str">
        <x:f>IF(OR(R366="No",U366*S366=0),"",AA366/(U366*S366))</x:f>
      </x:c>
      <x:c r="AE366" s="50" t="str">
        <x:f>IF(R366="No","No finance data",IF(AB366&gt;=10%,"Severe",IF(AB366&gt;=5%,"High",IF(AB366&gt;=2%,"Moderate","Low"))))</x:f>
        <x:v>No finance data</x:v>
      </x:c>
      <x:c r="AF366" s="60"/>
      <x:c r="AG366" s="60"/>
      <x:c r="AH366" s="44" t="str">
        <x:v>Undergraduate tuition-contribution proxy only; not an audited total institutional budget.</x:v>
      </x:c>
    </x:row>
    <x:row r="367">
      <x:c r="A367" s="16" t="n">
        <x:v>240754</x:v>
      </x:c>
      <x:c r="B367" s="16" t="str">
        <x:v>University of Guam</x:v>
      </x:c>
      <x:c r="C367" s="16" t="str">
        <x:v>GU</x:v>
      </x:c>
      <x:c r="D367" s="16" t="str">
        <x:v>Public</x:v>
      </x:c>
      <x:c r="E367" s="34" t="n">
        <x:v>3647</x:v>
      </x:c>
      <x:c r="F367" s="21"/>
      <x:c r="G367" s="16" t="str">
        <x:v>Regional</x:v>
      </x:c>
      <x:c r="H367" s="36" t="n">
        <x:f>IF(G367="National",Assumptions!$B$11,IF(G367="Statewide",Assumptions!$B$12,Assumptions!$B$13))</x:f>
        <x:v>0.85</x:v>
      </x:c>
      <x:c r="I367" s="21" t="n">
        <x:v>-0.048361979489554896</x:v>
      </x:c>
      <x:c r="J367" s="21" t="n">
        <x:v>-0.04739891965741583</x:v>
      </x:c>
      <x:c r="K367" s="21" t="n">
        <x:v>-0.11013505452010375</x:v>
      </x:c>
      <x:c r="L367" s="36" t="n">
        <x:f>IF(Assumptions!$B$4=2030,I367,IF(Assumptions!$B$4=2035,J367,K367))</x:f>
        <x:v>-0.04739891965741583</x:v>
      </x:c>
      <x:c r="M367" s="36" t="n">
        <x:f>Assumptions!$B$19</x:f>
        <x:v>-0.04739891965741583</x:v>
      </x:c>
      <x:c r="N367" s="52" t="n">
        <x:f>H367*L367+(1-H367)*M367+O367</x:f>
        <x:v>-0.04739891965741583</x:v>
      </x:c>
      <x:c r="O367" s="36" t="n">
        <x:f>Assumptions!$B$10</x:f>
        <x:v>0</x:v>
      </x:c>
      <x:c r="P367" s="54" t="n">
        <x:f>E367*(1+N367)</x:f>
        <x:v>3474.1361400094047</x:v>
      </x:c>
      <x:c r="Q367" s="54" t="n">
        <x:f>P367-E367</x:f>
        <x:v>-172.8638599905953</x:v>
      </x:c>
      <x:c r="R367" s="16" t="str">
        <x:v>Yes</x:v>
      </x:c>
      <x:c r="S367" s="56" t="n">
        <x:v>4438</x:v>
      </x:c>
      <x:c r="T367" s="56" t="n">
        <x:v>7280</x:v>
      </x:c>
      <x:c r="U367" s="40" t="n">
        <x:f>E367*Assumptions!$B$8</x:f>
        <x:v>3099.95</x:v>
      </x:c>
      <x:c r="V367" s="40" t="n">
        <x:f>P367*Assumptions!$B$8</x:f>
        <x:v>2953.015719007994</x:v>
      </x:c>
      <x:c r="W367" s="54" t="n">
        <x:f>V367-U367</x:f>
        <x:v>-146.93428099200582</x:v>
      </x:c>
      <x:c r="X367" s="58" t="n">
        <x:f>IF(R367="No","",W367*S367)</x:f>
        <x:v>-652094.3390425219</x:v>
      </x:c>
      <x:c r="Y367" s="58" t="n">
        <x:f>IF(R367="No","",W367*T367*Assumptions!$B$9)</x:f>
        <x:v>-320904.4696865407</x:v>
      </x:c>
      <x:c r="Z367" s="58" t="n">
        <x:f>IF(R367="No","",X367-Y367)</x:f>
        <x:v>-331189.8693559812</x:v>
      </x:c>
      <x:c r="AA367" s="58" t="n">
        <x:f>IF(R367="No","",MAX(0,-Z367))</x:f>
        <x:v>331189.8693559812</x:v>
      </x:c>
      <x:c r="AB367" s="52" t="n">
        <x:f>IF(OR(R367="No",U367*S367=0),"",AA367/(U367*S367))</x:f>
        <x:v>0.024073268343356248</x:v>
      </x:c>
      <x:c r="AC367" s="54" t="n">
        <x:f>IF(OR(R367="No",S367-T367*Assumptions!$B$9&lt;=0),"",AA367/(Assumptions!$B$8*(S367-T367*Assumptions!$B$9)))</x:f>
        <x:v>172.86385999059513</x:v>
      </x:c>
      <x:c r="AD367" s="52" t="n">
        <x:f>IF(OR(R367="No",U367*S367=0),"",AA367/(U367*S367))</x:f>
        <x:v>0.024073268343356248</x:v>
      </x:c>
      <x:c r="AE367" s="50" t="str">
        <x:f>IF(R367="No","No finance data",IF(AB367&gt;=10%,"Severe",IF(AB367&gt;=5%,"High",IF(AB367&gt;=2%,"Moderate","Low"))))</x:f>
        <x:v>Moderate</x:v>
      </x:c>
      <x:c r="AF367" s="60" t="n">
        <x:v>13.433047</x:v>
      </x:c>
      <x:c r="AG367" s="60" t="n">
        <x:v>144.803978</x:v>
      </x:c>
      <x:c r="AH367" s="44" t="str">
        <x:v>Undergraduate tuition-contribution proxy only; not an audited total institutional budget.</x:v>
      </x:c>
    </x:row>
    <x:row r="368">
      <x:c r="A368" s="16" t="n">
        <x:v>230047</x:v>
      </x:c>
      <x:c r="B368" s="16" t="str">
        <x:v>Brigham Young University-Hawaii</x:v>
      </x:c>
      <x:c r="C368" s="16" t="str">
        <x:v>HI</x:v>
      </x:c>
      <x:c r="D368" s="16" t="str">
        <x:v>Private nonprofit</x:v>
      </x:c>
      <x:c r="E368" s="34" t="n">
        <x:v>2557</x:v>
      </x:c>
      <x:c r="F368" s="21" t="n">
        <x:v>0.8769</x:v>
      </x:c>
      <x:c r="G368" s="16" t="str">
        <x:v>Regional</x:v>
      </x:c>
      <x:c r="H368" s="36" t="n">
        <x:f>IF(G368="National",Assumptions!$B$11,IF(G368="Statewide",Assumptions!$B$12,Assumptions!$B$13))</x:f>
        <x:v>0.85</x:v>
      </x:c>
      <x:c r="I368" s="21" t="n">
        <x:v>-0.09182281570823458</x:v>
      </x:c>
      <x:c r="J368" s="21" t="n">
        <x:v>-0.17797401105607003</x:v>
      </x:c>
      <x:c r="K368" s="21" t="n">
        <x:v>-0.3120827051475339</x:v>
      </x:c>
      <x:c r="L368" s="36" t="n">
        <x:f>IF(Assumptions!$B$4=2030,I368,IF(Assumptions!$B$4=2035,J368,K368))</x:f>
        <x:v>-0.17797401105607003</x:v>
      </x:c>
      <x:c r="M368" s="36" t="n">
        <x:f>Assumptions!$B$19</x:f>
        <x:v>-0.04739891965741583</x:v>
      </x:c>
      <x:c r="N368" s="52" t="n">
        <x:f>H368*L368+(1-H368)*M368+O368</x:f>
        <x:v>-0.15838774734627187</x:v>
      </x:c>
      <x:c r="O368" s="36" t="n">
        <x:f>Assumptions!$B$10</x:f>
        <x:v>0</x:v>
      </x:c>
      <x:c r="P368" s="54" t="n">
        <x:f>E368*(1+N368)</x:f>
        <x:v>2152.002530035583</x:v>
      </x:c>
      <x:c r="Q368" s="54" t="n">
        <x:f>P368-E368</x:f>
        <x:v>-404.9974699644172</x:v>
      </x:c>
      <x:c r="R368" s="16" t="str">
        <x:v>Yes</x:v>
      </x:c>
      <x:c r="S368" s="56" t="n">
        <x:v>3265</x:v>
      </x:c>
      <x:c r="T368" s="56" t="n">
        <x:v>12769</x:v>
      </x:c>
      <x:c r="U368" s="40" t="n">
        <x:f>E368*Assumptions!$B$8</x:f>
        <x:v>2173.45</x:v>
      </x:c>
      <x:c r="V368" s="40" t="n">
        <x:f>P368*Assumptions!$B$8</x:f>
        <x:v>1829.2021505302453</x:v>
      </x:c>
      <x:c r="W368" s="54" t="n">
        <x:f>V368-U368</x:f>
        <x:v>-344.24784946975456</x:v>
      </x:c>
      <x:c r="X368" s="58" t="n">
        <x:f>IF(R368="No","",W368*S368)</x:f>
        <x:v>-1123969.2285187487</x:v>
      </x:c>
      <x:c r="Y368" s="58" t="n">
        <x:f>IF(R368="No","",W368*T368*Assumptions!$B$9)</x:f>
        <x:v>-1318710.2369637887</x:v>
      </x:c>
      <x:c r="Z368" s="58" t="n">
        <x:f>IF(R368="No","",X368-Y368)</x:f>
        <x:v>194741.0084450401</x:v>
      </x:c>
      <x:c r="AA368" s="58" t="n">
        <x:f>IF(R368="No","",MAX(0,-Z368))</x:f>
        <x:v>0</x:v>
      </x:c>
      <x:c r="AB368" s="52" t="n">
        <x:f>IF(OR(R368="No",U368*S368=0),"",AA368/(U368*S368))</x:f>
        <x:v>0</x:v>
      </x:c>
      <x:c r="AC368" s="54" t="str">
        <x:f>IF(OR(R368="No",S368-T368*Assumptions!$B$9&lt;=0),"",AA368/(Assumptions!$B$8*(S368-T368*Assumptions!$B$9)))</x:f>
      </x:c>
      <x:c r="AD368" s="52" t="n">
        <x:f>IF(OR(R368="No",U368*S368=0),"",AA368/(U368*S368))</x:f>
        <x:v>0</x:v>
      </x:c>
      <x:c r="AE368" s="50" t="str">
        <x:f>IF(R368="No","No finance data",IF(AB368&gt;=10%,"Severe",IF(AB368&gt;=5%,"High",IF(AB368&gt;=2%,"Moderate","Low"))))</x:f>
        <x:v>Low</x:v>
      </x:c>
      <x:c r="AF368" s="60" t="n">
        <x:v>21.642074</x:v>
      </x:c>
      <x:c r="AG368" s="60" t="n">
        <x:v>-157.926586</x:v>
      </x:c>
      <x:c r="AH368" s="44" t="str">
        <x:v>Undergraduate tuition-contribution proxy only; not an audited total institutional budget.</x:v>
      </x:c>
    </x:row>
    <x:row r="369">
      <x:c r="A369" s="16" t="n">
        <x:v>141486</x:v>
      </x:c>
      <x:c r="B369" s="16" t="str">
        <x:v>Chaminade University of Honolulu</x:v>
      </x:c>
      <x:c r="C369" s="16" t="str">
        <x:v>HI</x:v>
      </x:c>
      <x:c r="D369" s="16" t="str">
        <x:v>Private nonprofit</x:v>
      </x:c>
      <x:c r="E369" s="34" t="n">
        <x:v>1773</x:v>
      </x:c>
      <x:c r="F369" s="21" t="n">
        <x:v>0.9008</x:v>
      </x:c>
      <x:c r="G369" s="16" t="str">
        <x:v>Regional</x:v>
      </x:c>
      <x:c r="H369" s="36" t="n">
        <x:f>IF(G369="National",Assumptions!$B$11,IF(G369="Statewide",Assumptions!$B$12,Assumptions!$B$13))</x:f>
        <x:v>0.85</x:v>
      </x:c>
      <x:c r="I369" s="21" t="n">
        <x:v>-0.09182281570823458</x:v>
      </x:c>
      <x:c r="J369" s="21" t="n">
        <x:v>-0.17797401105607003</x:v>
      </x:c>
      <x:c r="K369" s="21" t="n">
        <x:v>-0.3120827051475339</x:v>
      </x:c>
      <x:c r="L369" s="36" t="n">
        <x:f>IF(Assumptions!$B$4=2030,I369,IF(Assumptions!$B$4=2035,J369,K369))</x:f>
        <x:v>-0.17797401105607003</x:v>
      </x:c>
      <x:c r="M369" s="36" t="n">
        <x:f>Assumptions!$B$19</x:f>
        <x:v>-0.04739891965741583</x:v>
      </x:c>
      <x:c r="N369" s="52" t="n">
        <x:f>H369*L369+(1-H369)*M369+O369</x:f>
        <x:v>-0.15838774734627187</x:v>
      </x:c>
      <x:c r="O369" s="36" t="n">
        <x:f>Assumptions!$B$10</x:f>
        <x:v>0</x:v>
      </x:c>
      <x:c r="P369" s="54" t="n">
        <x:f>E369*(1+N369)</x:f>
        <x:v>1492.17852395506</x:v>
      </x:c>
      <x:c r="Q369" s="54" t="n">
        <x:f>P369-E369</x:f>
        <x:v>-280.82147604494</x:v>
      </x:c>
      <x:c r="R369" s="16" t="str">
        <x:v>Yes</x:v>
      </x:c>
      <x:c r="S369" s="56" t="n">
        <x:v>17719</x:v>
      </x:c>
      <x:c r="T369" s="56" t="n">
        <x:v>10767</x:v>
      </x:c>
      <x:c r="U369" s="40" t="n">
        <x:f>E369*Assumptions!$B$8</x:f>
        <x:v>1507.05</x:v>
      </x:c>
      <x:c r="V369" s="40" t="n">
        <x:f>P369*Assumptions!$B$8</x:f>
        <x:v>1268.351745361801</x:v>
      </x:c>
      <x:c r="W369" s="54" t="n">
        <x:f>V369-U369</x:f>
        <x:v>-238.69825463819893</x:v>
      </x:c>
      <x:c r="X369" s="58" t="n">
        <x:f>IF(R369="No","",W369*S369)</x:f>
        <x:v>-4229494.373934247</x:v>
      </x:c>
      <x:c r="Y369" s="58" t="n">
        <x:f>IF(R369="No","",W369*T369*Assumptions!$B$9)</x:f>
        <x:v>-771019.2323068463</x:v>
      </x:c>
      <x:c r="Z369" s="58" t="n">
        <x:f>IF(R369="No","",X369-Y369)</x:f>
        <x:v>-3458475.1416274</x:v>
      </x:c>
      <x:c r="AA369" s="58" t="n">
        <x:f>IF(R369="No","",MAX(0,-Z369))</x:f>
        <x:v>3458475.1416274</x:v>
      </x:c>
      <x:c r="AB369" s="52" t="n">
        <x:f>IF(OR(R369="No",U369*S369=0),"",AA369/(U369*S369))</x:f>
        <x:v>0.12951431979939035</x:v>
      </x:c>
      <x:c r="AC369" s="54" t="n">
        <x:f>IF(OR(R369="No",S369-T369*Assumptions!$B$9&lt;=0),"",AA369/(Assumptions!$B$8*(S369-T369*Assumptions!$B$9)))</x:f>
        <x:v>280.8214760449399</x:v>
      </x:c>
      <x:c r="AD369" s="52" t="n">
        <x:f>IF(OR(R369="No",U369*S369=0),"",AA369/(U369*S369))</x:f>
        <x:v>0.12951431979939035</x:v>
      </x:c>
      <x:c r="AE369" s="50" t="str">
        <x:f>IF(R369="No","No finance data",IF(AB369&gt;=10%,"Severe",IF(AB369&gt;=5%,"High",IF(AB369&gt;=2%,"Moderate","Low"))))</x:f>
        <x:v>Severe</x:v>
      </x:c>
      <x:c r="AF369" s="60" t="n">
        <x:v>21.28995</x:v>
      </x:c>
      <x:c r="AG369" s="60" t="n">
        <x:v>-157.807851</x:v>
      </x:c>
      <x:c r="AH369" s="44" t="str">
        <x:v>Undergraduate tuition-contribution proxy only; not an audited total institutional budget.</x:v>
      </x:c>
    </x:row>
    <x:row r="370">
      <x:c r="A370" s="16" t="n">
        <x:v>141644</x:v>
      </x:c>
      <x:c r="B370" s="16" t="str">
        <x:v>Hawaii Pacific University</x:v>
      </x:c>
      <x:c r="C370" s="16" t="str">
        <x:v>HI</x:v>
      </x:c>
      <x:c r="D370" s="16" t="str">
        <x:v>Private nonprofit</x:v>
      </x:c>
      <x:c r="E370" s="34" t="n">
        <x:v>3940</x:v>
      </x:c>
      <x:c r="F370" s="21" t="n">
        <x:v>0.8532</x:v>
      </x:c>
      <x:c r="G370" s="16" t="str">
        <x:v>Regional</x:v>
      </x:c>
      <x:c r="H370" s="36" t="n">
        <x:f>IF(G370="National",Assumptions!$B$11,IF(G370="Statewide",Assumptions!$B$12,Assumptions!$B$13))</x:f>
        <x:v>0.85</x:v>
      </x:c>
      <x:c r="I370" s="21" t="n">
        <x:v>-0.09182281570823458</x:v>
      </x:c>
      <x:c r="J370" s="21" t="n">
        <x:v>-0.17797401105607003</x:v>
      </x:c>
      <x:c r="K370" s="21" t="n">
        <x:v>-0.3120827051475339</x:v>
      </x:c>
      <x:c r="L370" s="36" t="n">
        <x:f>IF(Assumptions!$B$4=2030,I370,IF(Assumptions!$B$4=2035,J370,K370))</x:f>
        <x:v>-0.17797401105607003</x:v>
      </x:c>
      <x:c r="M370" s="36" t="n">
        <x:f>Assumptions!$B$19</x:f>
        <x:v>-0.04739891965741583</x:v>
      </x:c>
      <x:c r="N370" s="52" t="n">
        <x:f>H370*L370+(1-H370)*M370+O370</x:f>
        <x:v>-0.15838774734627187</x:v>
      </x:c>
      <x:c r="O370" s="36" t="n">
        <x:f>Assumptions!$B$10</x:f>
        <x:v>0</x:v>
      </x:c>
      <x:c r="P370" s="54" t="n">
        <x:f>E370*(1+N370)</x:f>
        <x:v>3315.9522754556892</x:v>
      </x:c>
      <x:c r="Q370" s="54" t="n">
        <x:f>P370-E370</x:f>
        <x:v>-624.0477245443108</x:v>
      </x:c>
      <x:c r="R370" s="16" t="str">
        <x:v>Yes</x:v>
      </x:c>
      <x:c r="S370" s="56" t="n">
        <x:v>17716</x:v>
      </x:c>
      <x:c r="T370" s="56" t="n">
        <x:v>5889</x:v>
      </x:c>
      <x:c r="U370" s="40" t="n">
        <x:f>E370*Assumptions!$B$8</x:f>
        <x:v>3349</x:v>
      </x:c>
      <x:c r="V370" s="40" t="n">
        <x:f>P370*Assumptions!$B$8</x:f>
        <x:v>2818.5594341373358</x:v>
      </x:c>
      <x:c r="W370" s="54" t="n">
        <x:f>V370-U370</x:f>
        <x:v>-530.4405658626642</x:v>
      </x:c>
      <x:c r="X370" s="58" t="n">
        <x:f>IF(R370="No","",W370*S370)</x:f>
        <x:v>-9397285.06482296</x:v>
      </x:c>
      <x:c r="Y370" s="58" t="n">
        <x:f>IF(R370="No","",W370*T370*Assumptions!$B$9)</x:f>
        <x:v>-937129.3477095689</x:v>
      </x:c>
      <x:c r="Z370" s="58" t="n">
        <x:f>IF(R370="No","",X370-Y370)</x:f>
        <x:v>-8460155.717113392</x:v>
      </x:c>
      <x:c r="AA370" s="58" t="n">
        <x:f>IF(R370="No","",MAX(0,-Z370))</x:f>
        <x:v>8460155.717113392</x:v>
      </x:c>
      <x:c r="AB370" s="52" t="n">
        <x:f>IF(OR(R370="No",U370*S370=0),"",AA370/(U370*S370))</x:f>
        <x:v>0.14259278046680363</x:v>
      </x:c>
      <x:c r="AC370" s="54" t="n">
        <x:f>IF(OR(R370="No",S370-T370*Assumptions!$B$9&lt;=0),"",AA370/(Assumptions!$B$8*(S370-T370*Assumptions!$B$9)))</x:f>
        <x:v>624.047724544311</x:v>
      </x:c>
      <x:c r="AD370" s="52" t="n">
        <x:f>IF(OR(R370="No",U370*S370=0),"",AA370/(U370*S370))</x:f>
        <x:v>0.14259278046680363</x:v>
      </x:c>
      <x:c r="AE370" s="50" t="str">
        <x:f>IF(R370="No","No finance data",IF(AB370&gt;=10%,"Severe",IF(AB370&gt;=5%,"High",IF(AB370&gt;=2%,"Moderate","Low"))))</x:f>
        <x:v>Severe</x:v>
      </x:c>
      <x:c r="AF370" s="60" t="n">
        <x:v>21.310306</x:v>
      </x:c>
      <x:c r="AG370" s="60" t="n">
        <x:v>-157.859645</x:v>
      </x:c>
      <x:c r="AH370" s="44" t="str">
        <x:v>Undergraduate tuition-contribution proxy only; not an audited total institutional budget.</x:v>
      </x:c>
    </x:row>
    <x:row r="371">
      <x:c r="A371" s="16" t="n">
        <x:v>457484</x:v>
      </x:c>
      <x:c r="B371" s="16" t="str">
        <x:v>Pacific Rim Christian University</x:v>
      </x:c>
      <x:c r="C371" s="16" t="str">
        <x:v>HI</x:v>
      </x:c>
      <x:c r="D371" s="16" t="str">
        <x:v>Private nonprofit</x:v>
      </x:c>
      <x:c r="E371" s="34" t="n">
        <x:v>96</x:v>
      </x:c>
      <x:c r="F371" s="21"/>
      <x:c r="G371" s="16" t="str">
        <x:v>Regional</x:v>
      </x:c>
      <x:c r="H371" s="36" t="n">
        <x:f>IF(G371="National",Assumptions!$B$11,IF(G371="Statewide",Assumptions!$B$12,Assumptions!$B$13))</x:f>
        <x:v>0.85</x:v>
      </x:c>
      <x:c r="I371" s="21" t="n">
        <x:v>-0.09182281570823458</x:v>
      </x:c>
      <x:c r="J371" s="21" t="n">
        <x:v>-0.17797401105607003</x:v>
      </x:c>
      <x:c r="K371" s="21" t="n">
        <x:v>-0.3120827051475339</x:v>
      </x:c>
      <x:c r="L371" s="36" t="n">
        <x:f>IF(Assumptions!$B$4=2030,I371,IF(Assumptions!$B$4=2035,J371,K371))</x:f>
        <x:v>-0.17797401105607003</x:v>
      </x:c>
      <x:c r="M371" s="36" t="n">
        <x:f>Assumptions!$B$19</x:f>
        <x:v>-0.04739891965741583</x:v>
      </x:c>
      <x:c r="N371" s="52" t="n">
        <x:f>H371*L371+(1-H371)*M371+O371</x:f>
        <x:v>-0.15838774734627187</x:v>
      </x:c>
      <x:c r="O371" s="36" t="n">
        <x:f>Assumptions!$B$10</x:f>
        <x:v>0</x:v>
      </x:c>
      <x:c r="P371" s="54" t="n">
        <x:f>E371*(1+N371)</x:f>
        <x:v>80.7947762547579</x:v>
      </x:c>
      <x:c r="Q371" s="54" t="n">
        <x:f>P371-E371</x:f>
        <x:v>-15.205223745242094</x:v>
      </x:c>
      <x:c r="R371" s="16" t="str">
        <x:v>No</x:v>
      </x:c>
      <x:c r="S371" s="56"/>
      <x:c r="T371" s="56"/>
      <x:c r="U371" s="40" t="n">
        <x:f>E371*Assumptions!$B$8</x:f>
        <x:v>81.6</x:v>
      </x:c>
      <x:c r="V371" s="40" t="n">
        <x:f>P371*Assumptions!$B$8</x:f>
        <x:v>68.67555981654422</x:v>
      </x:c>
      <x:c r="W371" s="54" t="n">
        <x:f>V371-U371</x:f>
        <x:v>-12.924440183455772</x:v>
      </x:c>
      <x:c r="X371" s="58" t="str">
        <x:f>IF(R371="No","",W371*S371)</x:f>
      </x:c>
      <x:c r="Y371" s="58" t="str">
        <x:f>IF(R371="No","",W371*T371*Assumptions!$B$9)</x:f>
      </x:c>
      <x:c r="Z371" s="58" t="str">
        <x:f>IF(R371="No","",X371-Y371)</x:f>
      </x:c>
      <x:c r="AA371" s="58" t="str">
        <x:f>IF(R371="No","",MAX(0,-Z371))</x:f>
      </x:c>
      <x:c r="AB371" s="52" t="str">
        <x:f>IF(OR(R371="No",U371*S371=0),"",AA371/(U371*S371))</x:f>
      </x:c>
      <x:c r="AC371" s="54" t="str">
        <x:f>IF(OR(R371="No",S371-T371*Assumptions!$B$9&lt;=0),"",AA371/(Assumptions!$B$8*(S371-T371*Assumptions!$B$9)))</x:f>
      </x:c>
      <x:c r="AD371" s="52" t="str">
        <x:f>IF(OR(R371="No",U371*S371=0),"",AA371/(U371*S371))</x:f>
      </x:c>
      <x:c r="AE371" s="50" t="str">
        <x:f>IF(R371="No","No finance data",IF(AB371&gt;=10%,"Severe",IF(AB371&gt;=5%,"High",IF(AB371&gt;=2%,"Moderate","Low"))))</x:f>
        <x:v>No finance data</x:v>
      </x:c>
      <x:c r="AF371" s="60"/>
      <x:c r="AG371" s="60"/>
      <x:c r="AH371" s="44" t="str">
        <x:v>Undergraduate tuition-contribution proxy only; not an audited total institutional budget.</x:v>
      </x:c>
    </x:row>
    <x:row r="372">
      <x:c r="A372" s="16" t="n">
        <x:v>141565</x:v>
      </x:c>
      <x:c r="B372" s="16" t="str">
        <x:v>University of Hawaii at Hilo</x:v>
      </x:c>
      <x:c r="C372" s="16" t="str">
        <x:v>HI</x:v>
      </x:c>
      <x:c r="D372" s="16" t="str">
        <x:v>Public</x:v>
      </x:c>
      <x:c r="E372" s="34" t="n">
        <x:v>3124</x:v>
      </x:c>
      <x:c r="F372" s="21" t="n">
        <x:v>0.9217</x:v>
      </x:c>
      <x:c r="G372" s="16" t="str">
        <x:v>Regional</x:v>
      </x:c>
      <x:c r="H372" s="36" t="n">
        <x:f>IF(G372="National",Assumptions!$B$11,IF(G372="Statewide",Assumptions!$B$12,Assumptions!$B$13))</x:f>
        <x:v>0.85</x:v>
      </x:c>
      <x:c r="I372" s="21" t="n">
        <x:v>-0.09182281570823458</x:v>
      </x:c>
      <x:c r="J372" s="21" t="n">
        <x:v>-0.17797401105607003</x:v>
      </x:c>
      <x:c r="K372" s="21" t="n">
        <x:v>-0.3120827051475339</x:v>
      </x:c>
      <x:c r="L372" s="36" t="n">
        <x:f>IF(Assumptions!$B$4=2030,I372,IF(Assumptions!$B$4=2035,J372,K372))</x:f>
        <x:v>-0.17797401105607003</x:v>
      </x:c>
      <x:c r="M372" s="36" t="n">
        <x:f>Assumptions!$B$19</x:f>
        <x:v>-0.04739891965741583</x:v>
      </x:c>
      <x:c r="N372" s="52" t="n">
        <x:f>H372*L372+(1-H372)*M372+O372</x:f>
        <x:v>-0.15838774734627187</x:v>
      </x:c>
      <x:c r="O372" s="36" t="n">
        <x:f>Assumptions!$B$10</x:f>
        <x:v>0</x:v>
      </x:c>
      <x:c r="P372" s="54" t="n">
        <x:f>E372*(1+N372)</x:f>
        <x:v>2629.196677290247</x:v>
      </x:c>
      <x:c r="Q372" s="54" t="n">
        <x:f>P372-E372</x:f>
        <x:v>-494.80332270975305</x:v>
      </x:c>
      <x:c r="R372" s="16" t="str">
        <x:v>Yes</x:v>
      </x:c>
      <x:c r="S372" s="56" t="n">
        <x:v>7133</x:v>
      </x:c>
      <x:c r="T372" s="56" t="n">
        <x:v>16118</x:v>
      </x:c>
      <x:c r="U372" s="40" t="n">
        <x:f>E372*Assumptions!$B$8</x:f>
        <x:v>2655.4</x:v>
      </x:c>
      <x:c r="V372" s="40" t="n">
        <x:f>P372*Assumptions!$B$8</x:f>
        <x:v>2234.81717569671</x:v>
      </x:c>
      <x:c r="W372" s="54" t="n">
        <x:f>V372-U372</x:f>
        <x:v>-420.5828243032902</x:v>
      </x:c>
      <x:c r="X372" s="58" t="n">
        <x:f>IF(R372="No","",W372*S372)</x:f>
        <x:v>-3000017.285755369</x:v>
      </x:c>
      <x:c r="Y372" s="58" t="n">
        <x:f>IF(R372="No","",W372*T372*Assumptions!$B$9)</x:f>
        <x:v>-2033686.1886361293</x:v>
      </x:c>
      <x:c r="Z372" s="58" t="n">
        <x:f>IF(R372="No","",X372-Y372)</x:f>
        <x:v>-966331.0971192396</x:v>
      </x:c>
      <x:c r="AA372" s="58" t="n">
        <x:f>IF(R372="No","",MAX(0,-Z372))</x:f>
        <x:v>966331.0971192396</x:v>
      </x:c>
      <x:c r="AB372" s="52" t="n">
        <x:f>IF(OR(R372="No",U372*S372=0),"",AA372/(U372*S372))</x:f>
        <x:v>0.05101804125932906</x:v>
      </x:c>
      <x:c r="AC372" s="54" t="n">
        <x:f>IF(OR(R372="No",S372-T372*Assumptions!$B$9&lt;=0),"",AA372/(Assumptions!$B$8*(S372-T372*Assumptions!$B$9)))</x:f>
        <x:v>494.80332270975316</x:v>
      </x:c>
      <x:c r="AD372" s="52" t="n">
        <x:f>IF(OR(R372="No",U372*S372=0),"",AA372/(U372*S372))</x:f>
        <x:v>0.05101804125932906</x:v>
      </x:c>
      <x:c r="AE372" s="50" t="str">
        <x:f>IF(R372="No","No finance data",IF(AB372&gt;=10%,"Severe",IF(AB372&gt;=5%,"High",IF(AB372&gt;=2%,"Moderate","Low"))))</x:f>
        <x:v>High</x:v>
      </x:c>
      <x:c r="AF372" s="60" t="n">
        <x:v>19.701189</x:v>
      </x:c>
      <x:c r="AG372" s="60" t="n">
        <x:v>-155.080847</x:v>
      </x:c>
      <x:c r="AH372" s="44" t="str">
        <x:v>Undergraduate tuition-contribution proxy only; not an audited total institutional budget.</x:v>
      </x:c>
    </x:row>
    <x:row r="373">
      <x:c r="A373" s="16" t="n">
        <x:v>141574</x:v>
      </x:c>
      <x:c r="B373" s="16" t="str">
        <x:v>University of Hawaii at Manoa</x:v>
      </x:c>
      <x:c r="C373" s="16" t="str">
        <x:v>HI</x:v>
      </x:c>
      <x:c r="D373" s="16" t="str">
        <x:v>Public</x:v>
      </x:c>
      <x:c r="E373" s="34" t="n">
        <x:v>13320</x:v>
      </x:c>
      <x:c r="F373" s="21" t="n">
        <x:v>0.6998</x:v>
      </x:c>
      <x:c r="G373" s="16" t="str">
        <x:v>Statewide</x:v>
      </x:c>
      <x:c r="H373" s="36" t="n">
        <x:f>IF(G373="National",Assumptions!$B$11,IF(G373="Statewide",Assumptions!$B$12,Assumptions!$B$13))</x:f>
        <x:v>0.6</x:v>
      </x:c>
      <x:c r="I373" s="21" t="n">
        <x:v>-0.09182281570823458</x:v>
      </x:c>
      <x:c r="J373" s="21" t="n">
        <x:v>-0.17797401105607003</x:v>
      </x:c>
      <x:c r="K373" s="21" t="n">
        <x:v>-0.3120827051475339</x:v>
      </x:c>
      <x:c r="L373" s="36" t="n">
        <x:f>IF(Assumptions!$B$4=2030,I373,IF(Assumptions!$B$4=2035,J373,K373))</x:f>
        <x:v>-0.17797401105607003</x:v>
      </x:c>
      <x:c r="M373" s="36" t="n">
        <x:f>Assumptions!$B$19</x:f>
        <x:v>-0.04739891965741583</x:v>
      </x:c>
      <x:c r="N373" s="52" t="n">
        <x:f>H373*L373+(1-H373)*M373+O373</x:f>
        <x:v>-0.12574397449660835</x:v>
      </x:c>
      <x:c r="O373" s="36" t="n">
        <x:f>Assumptions!$B$10</x:f>
        <x:v>0</x:v>
      </x:c>
      <x:c r="P373" s="54" t="n">
        <x:f>E373*(1+N373)</x:f>
        <x:v>11645.090259705177</x:v>
      </x:c>
      <x:c r="Q373" s="54" t="n">
        <x:f>P373-E373</x:f>
        <x:v>-1674.9097402948228</x:v>
      </x:c>
      <x:c r="R373" s="16" t="str">
        <x:v>Yes</x:v>
      </x:c>
      <x:c r="S373" s="56" t="n">
        <x:v>11441</x:v>
      </x:c>
      <x:c r="T373" s="56" t="n">
        <x:v>22581</x:v>
      </x:c>
      <x:c r="U373" s="40" t="n">
        <x:f>E373*Assumptions!$B$8</x:f>
        <x:v>11322</x:v>
      </x:c>
      <x:c r="V373" s="40" t="n">
        <x:f>P373*Assumptions!$B$8</x:f>
        <x:v>9898.326720749401</x:v>
      </x:c>
      <x:c r="W373" s="54" t="n">
        <x:f>V373-U373</x:f>
        <x:v>-1423.673279250599</x:v>
      </x:c>
      <x:c r="X373" s="58" t="n">
        <x:f>IF(R373="No","",W373*S373)</x:f>
        <x:v>-16288245.987906104</x:v>
      </x:c>
      <x:c r="Y373" s="58" t="n">
        <x:f>IF(R373="No","",W373*T373*Assumptions!$B$9)</x:f>
        <x:v>-9644389.895627333</x:v>
      </x:c>
      <x:c r="Z373" s="58" t="n">
        <x:f>IF(R373="No","",X373-Y373)</x:f>
        <x:v>-6643856.092278771</x:v>
      </x:c>
      <x:c r="AA373" s="58" t="n">
        <x:f>IF(R373="No","",MAX(0,-Z373))</x:f>
        <x:v>6643856.092278771</x:v>
      </x:c>
      <x:c r="AB373" s="52" t="n">
        <x:f>IF(OR(R373="No",U373*S373=0),"",AA373/(U373*S373))</x:f>
        <x:v>0.05129004508201398</x:v>
      </x:c>
      <x:c r="AC373" s="54" t="n">
        <x:f>IF(OR(R373="No",S373-T373*Assumptions!$B$9&lt;=0),"",AA373/(Assumptions!$B$8*(S373-T373*Assumptions!$B$9)))</x:f>
        <x:v>1674.9097402948228</x:v>
      </x:c>
      <x:c r="AD373" s="52" t="n">
        <x:f>IF(OR(R373="No",U373*S373=0),"",AA373/(U373*S373))</x:f>
        <x:v>0.05129004508201398</x:v>
      </x:c>
      <x:c r="AE373" s="50" t="str">
        <x:f>IF(R373="No","No finance data",IF(AB373&gt;=10%,"Severe",IF(AB373&gt;=5%,"High",IF(AB373&gt;=2%,"Moderate","Low"))))</x:f>
        <x:v>High</x:v>
      </x:c>
      <x:c r="AF373" s="60" t="n">
        <x:v>21.298598</x:v>
      </x:c>
      <x:c r="AG373" s="60" t="n">
        <x:v>-157.818979</x:v>
      </x:c>
      <x:c r="AH373" s="44" t="str">
        <x:v>Undergraduate tuition-contribution proxy only; not an audited total institutional budget.</x:v>
      </x:c>
    </x:row>
    <x:row r="374">
      <x:c r="A374" s="16" t="n">
        <x:v>141981</x:v>
      </x:c>
      <x:c r="B374" s="16" t="str">
        <x:v>University of Hawaii-West Oahu</x:v>
      </x:c>
      <x:c r="C374" s="16" t="str">
        <x:v>HI</x:v>
      </x:c>
      <x:c r="D374" s="16" t="str">
        <x:v>Public</x:v>
      </x:c>
      <x:c r="E374" s="34" t="n">
        <x:v>2517</x:v>
      </x:c>
      <x:c r="F374" s="21" t="n">
        <x:v>0.9462</x:v>
      </x:c>
      <x:c r="G374" s="16" t="str">
        <x:v>Regional</x:v>
      </x:c>
      <x:c r="H374" s="36" t="n">
        <x:f>IF(G374="National",Assumptions!$B$11,IF(G374="Statewide",Assumptions!$B$12,Assumptions!$B$13))</x:f>
        <x:v>0.85</x:v>
      </x:c>
      <x:c r="I374" s="21" t="n">
        <x:v>-0.09182281570823458</x:v>
      </x:c>
      <x:c r="J374" s="21" t="n">
        <x:v>-0.17797401105607003</x:v>
      </x:c>
      <x:c r="K374" s="21" t="n">
        <x:v>-0.3120827051475339</x:v>
      </x:c>
      <x:c r="L374" s="36" t="n">
        <x:f>IF(Assumptions!$B$4=2030,I374,IF(Assumptions!$B$4=2035,J374,K374))</x:f>
        <x:v>-0.17797401105607003</x:v>
      </x:c>
      <x:c r="M374" s="36" t="n">
        <x:f>Assumptions!$B$19</x:f>
        <x:v>-0.04739891965741583</x:v>
      </x:c>
      <x:c r="N374" s="52" t="n">
        <x:f>H374*L374+(1-H374)*M374+O374</x:f>
        <x:v>-0.15838774734627187</x:v>
      </x:c>
      <x:c r="O374" s="36" t="n">
        <x:f>Assumptions!$B$10</x:f>
        <x:v>0</x:v>
      </x:c>
      <x:c r="P374" s="54" t="n">
        <x:f>E374*(1+N374)</x:f>
        <x:v>2118.3380399294338</x:v>
      </x:c>
      <x:c r="Q374" s="54" t="n">
        <x:f>P374-E374</x:f>
        <x:v>-398.66196007056624</x:v>
      </x:c>
      <x:c r="R374" s="16" t="str">
        <x:v>Yes</x:v>
      </x:c>
      <x:c r="S374" s="56" t="n">
        <x:v>5404</x:v>
      </x:c>
      <x:c r="T374" s="56" t="n">
        <x:v>11799</x:v>
      </x:c>
      <x:c r="U374" s="40" t="n">
        <x:f>E374*Assumptions!$B$8</x:f>
        <x:v>2139.45</x:v>
      </x:c>
      <x:c r="V374" s="40" t="n">
        <x:f>P374*Assumptions!$B$8</x:f>
        <x:v>1800.5873339400187</x:v>
      </x:c>
      <x:c r="W374" s="54" t="n">
        <x:f>V374-U374</x:f>
        <x:v>-338.86266605998117</x:v>
      </x:c>
      <x:c r="X374" s="58" t="n">
        <x:f>IF(R374="No","",W374*S374)</x:f>
        <x:v>-1831213.8473881383</x:v>
      </x:c>
      <x:c r="Y374" s="58" t="n">
        <x:f>IF(R374="No","",W374*T374*Assumptions!$B$9)</x:f>
        <x:v>-1199472.1790525152</x:v>
      </x:c>
      <x:c r="Z374" s="58" t="n">
        <x:f>IF(R374="No","",X374-Y374)</x:f>
        <x:v>-631741.6683356231</x:v>
      </x:c>
      <x:c r="AA374" s="58" t="n">
        <x:f>IF(R374="No","",MAX(0,-Z374))</x:f>
        <x:v>631741.6683356231</x:v>
      </x:c>
      <x:c r="AB374" s="52" t="n">
        <x:f>IF(OR(R374="No",U374*S374=0),"",AA374/(U374*S374))</x:f>
        <x:v>0.05464142808616851</x:v>
      </x:c>
      <x:c r="AC374" s="54" t="n">
        <x:f>IF(OR(R374="No",S374-T374*Assumptions!$B$9&lt;=0),"",AA374/(Assumptions!$B$8*(S374-T374*Assumptions!$B$9)))</x:f>
        <x:v>398.6619600705662</x:v>
      </x:c>
      <x:c r="AD374" s="52" t="n">
        <x:f>IF(OR(R374="No",U374*S374=0),"",AA374/(U374*S374))</x:f>
        <x:v>0.05464142808616851</x:v>
      </x:c>
      <x:c r="AE374" s="50" t="str">
        <x:f>IF(R374="No","No finance data",IF(AB374&gt;=10%,"Severe",IF(AB374&gt;=5%,"High",IF(AB374&gt;=2%,"Moderate","Low"))))</x:f>
        <x:v>High</x:v>
      </x:c>
      <x:c r="AF374" s="60" t="n">
        <x:v>21.35531</x:v>
      </x:c>
      <x:c r="AG374" s="60" t="n">
        <x:v>-158.056403</x:v>
      </x:c>
      <x:c r="AH374" s="44" t="str">
        <x:v>Undergraduate tuition-contribution proxy only; not an audited total institutional budget.</x:v>
      </x:c>
    </x:row>
    <x:row r="375">
      <x:c r="A375" s="16" t="n">
        <x:v>152822</x:v>
      </x:c>
      <x:c r="B375" s="16" t="str">
        <x:v>AIB College of Business</x:v>
      </x:c>
      <x:c r="C375" s="16" t="str">
        <x:v>IA</x:v>
      </x:c>
      <x:c r="D375" s="16" t="str">
        <x:v>Private nonprofit</x:v>
      </x:c>
      <x:c r="E375" s="34" t="n">
        <x:v>347</x:v>
      </x:c>
      <x:c r="F375" s="21"/>
      <x:c r="G375" s="16" t="str">
        <x:v>Regional</x:v>
      </x:c>
      <x:c r="H375" s="36" t="n">
        <x:f>IF(G375="National",Assumptions!$B$11,IF(G375="Statewide",Assumptions!$B$12,Assumptions!$B$13))</x:f>
        <x:v>0.85</x:v>
      </x:c>
      <x:c r="I375" s="21" t="n">
        <x:v>-0.04263905948412006</x:v>
      </x:c>
      <x:c r="J375" s="21" t="n">
        <x:v>-0.028175369112375614</x:v>
      </x:c>
      <x:c r="K375" s="21" t="n">
        <x:v>-0.0900909934073647</x:v>
      </x:c>
      <x:c r="L375" s="36" t="n">
        <x:f>IF(Assumptions!$B$4=2030,I375,IF(Assumptions!$B$4=2035,J375,K375))</x:f>
        <x:v>-0.028175369112375614</x:v>
      </x:c>
      <x:c r="M375" s="36" t="n">
        <x:f>Assumptions!$B$19</x:f>
        <x:v>-0.04739891965741583</x:v>
      </x:c>
      <x:c r="N375" s="52" t="n">
        <x:f>H375*L375+(1-H375)*M375+O375</x:f>
        <x:v>-0.031058901694131648</x:v>
      </x:c>
      <x:c r="O375" s="36" t="n">
        <x:f>Assumptions!$B$10</x:f>
        <x:v>0</x:v>
      </x:c>
      <x:c r="P375" s="54" t="n">
        <x:f>E375*(1+N375)</x:f>
        <x:v>336.2225611121363</x:v>
      </x:c>
      <x:c r="Q375" s="54" t="n">
        <x:f>P375-E375</x:f>
        <x:v>-10.777438887863696</x:v>
      </x:c>
      <x:c r="R375" s="16" t="str">
        <x:v>No</x:v>
      </x:c>
      <x:c r="S375" s="56"/>
      <x:c r="T375" s="56"/>
      <x:c r="U375" s="40" t="n">
        <x:f>E375*Assumptions!$B$8</x:f>
        <x:v>294.95</x:v>
      </x:c>
      <x:c r="V375" s="40" t="n">
        <x:f>P375*Assumptions!$B$8</x:f>
        <x:v>285.78917694531583</x:v>
      </x:c>
      <x:c r="W375" s="54" t="n">
        <x:f>V375-U375</x:f>
        <x:v>-9.160823054684158</x:v>
      </x:c>
      <x:c r="X375" s="58" t="str">
        <x:f>IF(R375="No","",W375*S375)</x:f>
      </x:c>
      <x:c r="Y375" s="58" t="str">
        <x:f>IF(R375="No","",W375*T375*Assumptions!$B$9)</x:f>
      </x:c>
      <x:c r="Z375" s="58" t="str">
        <x:f>IF(R375="No","",X375-Y375)</x:f>
      </x:c>
      <x:c r="AA375" s="58" t="str">
        <x:f>IF(R375="No","",MAX(0,-Z375))</x:f>
      </x:c>
      <x:c r="AB375" s="52" t="str">
        <x:f>IF(OR(R375="No",U375*S375=0),"",AA375/(U375*S375))</x:f>
      </x:c>
      <x:c r="AC375" s="54" t="str">
        <x:f>IF(OR(R375="No",S375-T375*Assumptions!$B$9&lt;=0),"",AA375/(Assumptions!$B$8*(S375-T375*Assumptions!$B$9)))</x:f>
      </x:c>
      <x:c r="AD375" s="52" t="str">
        <x:f>IF(OR(R375="No",U375*S375=0),"",AA375/(U375*S375))</x:f>
      </x:c>
      <x:c r="AE375" s="50" t="str">
        <x:f>IF(R375="No","No finance data",IF(AB375&gt;=10%,"Severe",IF(AB375&gt;=5%,"High",IF(AB375&gt;=2%,"Moderate","Low"))))</x:f>
        <x:v>No finance data</x:v>
      </x:c>
      <x:c r="AF375" s="60"/>
      <x:c r="AG375" s="60"/>
      <x:c r="AH375" s="44" t="str">
        <x:v>Undergraduate tuition-contribution proxy only; not an audited total institutional budget.</x:v>
      </x:c>
    </x:row>
    <x:row r="376">
      <x:c r="A376" s="16" t="n">
        <x:v>152798</x:v>
      </x:c>
      <x:c r="B376" s="16" t="str">
        <x:v>Allen College</x:v>
      </x:c>
      <x:c r="C376" s="16" t="str">
        <x:v>IA</x:v>
      </x:c>
      <x:c r="D376" s="16" t="str">
        <x:v>Private nonprofit</x:v>
      </x:c>
      <x:c r="E376" s="34" t="n">
        <x:v>370</x:v>
      </x:c>
      <x:c r="F376" s="21"/>
      <x:c r="G376" s="16" t="str">
        <x:v>Regional</x:v>
      </x:c>
      <x:c r="H376" s="36" t="n">
        <x:f>IF(G376="National",Assumptions!$B$11,IF(G376="Statewide",Assumptions!$B$12,Assumptions!$B$13))</x:f>
        <x:v>0.85</x:v>
      </x:c>
      <x:c r="I376" s="21" t="n">
        <x:v>-0.04263905948412006</x:v>
      </x:c>
      <x:c r="J376" s="21" t="n">
        <x:v>-0.028175369112375614</x:v>
      </x:c>
      <x:c r="K376" s="21" t="n">
        <x:v>-0.0900909934073647</x:v>
      </x:c>
      <x:c r="L376" s="36" t="n">
        <x:f>IF(Assumptions!$B$4=2030,I376,IF(Assumptions!$B$4=2035,J376,K376))</x:f>
        <x:v>-0.028175369112375614</x:v>
      </x:c>
      <x:c r="M376" s="36" t="n">
        <x:f>Assumptions!$B$19</x:f>
        <x:v>-0.04739891965741583</x:v>
      </x:c>
      <x:c r="N376" s="52" t="n">
        <x:f>H376*L376+(1-H376)*M376+O376</x:f>
        <x:v>-0.031058901694131648</x:v>
      </x:c>
      <x:c r="O376" s="36" t="n">
        <x:f>Assumptions!$B$10</x:f>
        <x:v>0</x:v>
      </x:c>
      <x:c r="P376" s="54" t="n">
        <x:f>E376*(1+N376)</x:f>
        <x:v>358.5082063731713</x:v>
      </x:c>
      <x:c r="Q376" s="54" t="n">
        <x:f>P376-E376</x:f>
        <x:v>-11.491793626828724</x:v>
      </x:c>
      <x:c r="R376" s="16" t="str">
        <x:v>No</x:v>
      </x:c>
      <x:c r="S376" s="56"/>
      <x:c r="T376" s="56"/>
      <x:c r="U376" s="40" t="n">
        <x:f>E376*Assumptions!$B$8</x:f>
        <x:v>314.5</x:v>
      </x:c>
      <x:c r="V376" s="40" t="n">
        <x:f>P376*Assumptions!$B$8</x:f>
        <x:v>304.7319754171956</x:v>
      </x:c>
      <x:c r="W376" s="54" t="n">
        <x:f>V376-U376</x:f>
        <x:v>-9.7680245828044</x:v>
      </x:c>
      <x:c r="X376" s="58" t="str">
        <x:f>IF(R376="No","",W376*S376)</x:f>
      </x:c>
      <x:c r="Y376" s="58" t="str">
        <x:f>IF(R376="No","",W376*T376*Assumptions!$B$9)</x:f>
      </x:c>
      <x:c r="Z376" s="58" t="str">
        <x:f>IF(R376="No","",X376-Y376)</x:f>
      </x:c>
      <x:c r="AA376" s="58" t="str">
        <x:f>IF(R376="No","",MAX(0,-Z376))</x:f>
      </x:c>
      <x:c r="AB376" s="52" t="str">
        <x:f>IF(OR(R376="No",U376*S376=0),"",AA376/(U376*S376))</x:f>
      </x:c>
      <x:c r="AC376" s="54" t="str">
        <x:f>IF(OR(R376="No",S376-T376*Assumptions!$B$9&lt;=0),"",AA376/(Assumptions!$B$8*(S376-T376*Assumptions!$B$9)))</x:f>
      </x:c>
      <x:c r="AD376" s="52" t="str">
        <x:f>IF(OR(R376="No",U376*S376=0),"",AA376/(U376*S376))</x:f>
      </x:c>
      <x:c r="AE376" s="50" t="str">
        <x:f>IF(R376="No","No finance data",IF(AB376&gt;=10%,"Severe",IF(AB376&gt;=5%,"High",IF(AB376&gt;=2%,"Moderate","Low"))))</x:f>
        <x:v>No finance data</x:v>
      </x:c>
      <x:c r="AF376" s="60"/>
      <x:c r="AG376" s="60"/>
      <x:c r="AH376" s="44" t="str">
        <x:v>Undergraduate tuition-contribution proxy only; not an audited total institutional budget.</x:v>
      </x:c>
    </x:row>
    <x:row r="377">
      <x:c r="A377" s="16" t="n">
        <x:v>152992</x:v>
      </x:c>
      <x:c r="B377" s="16" t="str">
        <x:v>Briar Cliff University</x:v>
      </x:c>
      <x:c r="C377" s="16" t="str">
        <x:v>IA</x:v>
      </x:c>
      <x:c r="D377" s="16" t="str">
        <x:v>Private nonprofit</x:v>
      </x:c>
      <x:c r="E377" s="34" t="n">
        <x:v>941</x:v>
      </x:c>
      <x:c r="F377" s="21"/>
      <x:c r="G377" s="16" t="str">
        <x:v>Regional</x:v>
      </x:c>
      <x:c r="H377" s="36" t="n">
        <x:f>IF(G377="National",Assumptions!$B$11,IF(G377="Statewide",Assumptions!$B$12,Assumptions!$B$13))</x:f>
        <x:v>0.85</x:v>
      </x:c>
      <x:c r="I377" s="21" t="n">
        <x:v>-0.04263905948412006</x:v>
      </x:c>
      <x:c r="J377" s="21" t="n">
        <x:v>-0.028175369112375614</x:v>
      </x:c>
      <x:c r="K377" s="21" t="n">
        <x:v>-0.0900909934073647</x:v>
      </x:c>
      <x:c r="L377" s="36" t="n">
        <x:f>IF(Assumptions!$B$4=2030,I377,IF(Assumptions!$B$4=2035,J377,K377))</x:f>
        <x:v>-0.028175369112375614</x:v>
      </x:c>
      <x:c r="M377" s="36" t="n">
        <x:f>Assumptions!$B$19</x:f>
        <x:v>-0.04739891965741583</x:v>
      </x:c>
      <x:c r="N377" s="52" t="n">
        <x:f>H377*L377+(1-H377)*M377+O377</x:f>
        <x:v>-0.031058901694131648</x:v>
      </x:c>
      <x:c r="O377" s="36" t="n">
        <x:f>Assumptions!$B$10</x:f>
        <x:v>0</x:v>
      </x:c>
      <x:c r="P377" s="54" t="n">
        <x:f>E377*(1+N377)</x:f>
        <x:v>911.7735735058221</x:v>
      </x:c>
      <x:c r="Q377" s="54" t="n">
        <x:f>P377-E377</x:f>
        <x:v>-29.226426494177872</x:v>
      </x:c>
      <x:c r="R377" s="16" t="str">
        <x:v>Yes</x:v>
      </x:c>
      <x:c r="S377" s="56" t="n">
        <x:v>13328</x:v>
      </x:c>
      <x:c r="T377" s="56" t="n">
        <x:v>8937</x:v>
      </x:c>
      <x:c r="U377" s="40" t="n">
        <x:f>E377*Assumptions!$B$8</x:f>
        <x:v>799.85</x:v>
      </x:c>
      <x:c r="V377" s="40" t="n">
        <x:f>P377*Assumptions!$B$8</x:f>
        <x:v>775.0075374799488</x:v>
      </x:c>
      <x:c r="W377" s="54" t="n">
        <x:f>V377-U377</x:f>
        <x:v>-24.842462520051185</x:v>
      </x:c>
      <x:c r="X377" s="58" t="n">
        <x:f>IF(R377="No","",W377*S377)</x:f>
        <x:v>-331100.3404672422</x:v>
      </x:c>
      <x:c r="Y377" s="58" t="n">
        <x:f>IF(R377="No","",W377*T377*Assumptions!$B$9)</x:f>
        <x:v>-66605.12626250922</x:v>
      </x:c>
      <x:c r="Z377" s="58" t="n">
        <x:f>IF(R377="No","",X377-Y377)</x:f>
        <x:v>-264495.21420473297</x:v>
      </x:c>
      <x:c r="AA377" s="58" t="n">
        <x:f>IF(R377="No","",MAX(0,-Z377))</x:f>
        <x:v>264495.21420473297</x:v>
      </x:c>
      <x:c r="AB377" s="52" t="n">
        <x:f>IF(OR(R377="No",U377*S377=0),"",AA377/(U377*S377))</x:f>
        <x:v>0.02481100093391732</x:v>
      </x:c>
      <x:c r="AC377" s="54" t="n">
        <x:f>IF(OR(R377="No",S377-T377*Assumptions!$B$9&lt;=0),"",AA377/(Assumptions!$B$8*(S377-T377*Assumptions!$B$9)))</x:f>
        <x:v>29.226426494177865</x:v>
      </x:c>
      <x:c r="AD377" s="52" t="n">
        <x:f>IF(OR(R377="No",U377*S377=0),"",AA377/(U377*S377))</x:f>
        <x:v>0.02481100093391732</x:v>
      </x:c>
      <x:c r="AE377" s="50" t="str">
        <x:f>IF(R377="No","No finance data",IF(AB377&gt;=10%,"Severe",IF(AB377&gt;=5%,"High",IF(AB377&gt;=2%,"Moderate","Low"))))</x:f>
        <x:v>Moderate</x:v>
      </x:c>
      <x:c r="AF377" s="60" t="n">
        <x:v>42.526443</x:v>
      </x:c>
      <x:c r="AG377" s="60" t="n">
        <x:v>-96.428444</x:v>
      </x:c>
      <x:c r="AH377" s="44" t="str">
        <x:v>Undergraduate tuition-contribution proxy only; not an audited total institutional budget.</x:v>
      </x:c>
    </x:row>
    <x:row r="378">
      <x:c r="A378" s="16" t="n">
        <x:v>153001</x:v>
      </x:c>
      <x:c r="B378" s="16" t="str">
        <x:v>Buena Vista University</x:v>
      </x:c>
      <x:c r="C378" s="16" t="str">
        <x:v>IA</x:v>
      </x:c>
      <x:c r="D378" s="16" t="str">
        <x:v>Private nonprofit</x:v>
      </x:c>
      <x:c r="E378" s="34" t="n">
        <x:v>1873</x:v>
      </x:c>
      <x:c r="F378" s="21" t="n">
        <x:v>0.6598</x:v>
      </x:c>
      <x:c r="G378" s="16" t="str">
        <x:v>Regional</x:v>
      </x:c>
      <x:c r="H378" s="36" t="n">
        <x:f>IF(G378="National",Assumptions!$B$11,IF(G378="Statewide",Assumptions!$B$12,Assumptions!$B$13))</x:f>
        <x:v>0.85</x:v>
      </x:c>
      <x:c r="I378" s="21" t="n">
        <x:v>-0.04263905948412006</x:v>
      </x:c>
      <x:c r="J378" s="21" t="n">
        <x:v>-0.028175369112375614</x:v>
      </x:c>
      <x:c r="K378" s="21" t="n">
        <x:v>-0.0900909934073647</x:v>
      </x:c>
      <x:c r="L378" s="36" t="n">
        <x:f>IF(Assumptions!$B$4=2030,I378,IF(Assumptions!$B$4=2035,J378,K378))</x:f>
        <x:v>-0.028175369112375614</x:v>
      </x:c>
      <x:c r="M378" s="36" t="n">
        <x:f>Assumptions!$B$19</x:f>
        <x:v>-0.04739891965741583</x:v>
      </x:c>
      <x:c r="N378" s="52" t="n">
        <x:f>H378*L378+(1-H378)*M378+O378</x:f>
        <x:v>-0.031058901694131648</x:v>
      </x:c>
      <x:c r="O378" s="36" t="n">
        <x:f>Assumptions!$B$10</x:f>
        <x:v>0</x:v>
      </x:c>
      <x:c r="P378" s="54" t="n">
        <x:f>E378*(1+N378)</x:f>
        <x:v>1814.8266771268916</x:v>
      </x:c>
      <x:c r="Q378" s="54" t="n">
        <x:f>P378-E378</x:f>
        <x:v>-58.17332287310842</x:v>
      </x:c>
      <x:c r="R378" s="16" t="str">
        <x:v>Yes</x:v>
      </x:c>
      <x:c r="S378" s="56" t="n">
        <x:v>11973</x:v>
      </x:c>
      <x:c r="T378" s="56" t="n">
        <x:v>6490</x:v>
      </x:c>
      <x:c r="U378" s="40" t="n">
        <x:f>E378*Assumptions!$B$8</x:f>
        <x:v>1592.05</x:v>
      </x:c>
      <x:c r="V378" s="40" t="n">
        <x:f>P378*Assumptions!$B$8</x:f>
        <x:v>1542.6026755578578</x:v>
      </x:c>
      <x:c r="W378" s="54" t="n">
        <x:f>V378-U378</x:f>
        <x:v>-49.44732444214219</x:v>
      </x:c>
      <x:c r="X378" s="58" t="n">
        <x:f>IF(R378="No","",W378*S378)</x:f>
        <x:v>-592032.8155457685</x:v>
      </x:c>
      <x:c r="Y378" s="58" t="n">
        <x:f>IF(R378="No","",W378*T378*Assumptions!$B$9)</x:f>
        <x:v>-96273.94068885084</x:v>
      </x:c>
      <x:c r="Z378" s="58" t="n">
        <x:f>IF(R378="No","",X378-Y378)</x:f>
        <x:v>-495758.87485691765</x:v>
      </x:c>
      <x:c r="AA378" s="58" t="n">
        <x:f>IF(R378="No","",MAX(0,-Z378))</x:f>
        <x:v>495758.87485691765</x:v>
      </x:c>
      <x:c r="AB378" s="52" t="n">
        <x:f>IF(OR(R378="No",U378*S378=0),"",AA378/(U378*S378))</x:f>
        <x:v>0.026008230884938054</x:v>
      </x:c>
      <x:c r="AC378" s="54" t="n">
        <x:f>IF(OR(R378="No",S378-T378*Assumptions!$B$9&lt;=0),"",AA378/(Assumptions!$B$8*(S378-T378*Assumptions!$B$9)))</x:f>
        <x:v>58.17332287310846</x:v>
      </x:c>
      <x:c r="AD378" s="52" t="n">
        <x:f>IF(OR(R378="No",U378*S378=0),"",AA378/(U378*S378))</x:f>
        <x:v>0.026008230884938054</x:v>
      </x:c>
      <x:c r="AE378" s="50" t="str">
        <x:f>IF(R378="No","No finance data",IF(AB378&gt;=10%,"Severe",IF(AB378&gt;=5%,"High",IF(AB378&gt;=2%,"Moderate","Low"))))</x:f>
        <x:v>Moderate</x:v>
      </x:c>
      <x:c r="AF378" s="60" t="n">
        <x:v>42.642255</x:v>
      </x:c>
      <x:c r="AG378" s="60" t="n">
        <x:v>-95.208529</x:v>
      </x:c>
      <x:c r="AH378" s="44" t="str">
        <x:v>Undergraduate tuition-contribution proxy only; not an audited total institutional budget.</x:v>
      </x:c>
    </x:row>
    <x:row r="379">
      <x:c r="A379" s="16" t="n">
        <x:v>153108</x:v>
      </x:c>
      <x:c r="B379" s="16" t="str">
        <x:v>Central College</x:v>
      </x:c>
      <x:c r="C379" s="16" t="str">
        <x:v>IA</x:v>
      </x:c>
      <x:c r="D379" s="16" t="str">
        <x:v>Private nonprofit</x:v>
      </x:c>
      <x:c r="E379" s="34" t="n">
        <x:v>1225</x:v>
      </x:c>
      <x:c r="F379" s="21" t="n">
        <x:v>0.7452</x:v>
      </x:c>
      <x:c r="G379" s="16" t="str">
        <x:v>Regional</x:v>
      </x:c>
      <x:c r="H379" s="36" t="n">
        <x:f>IF(G379="National",Assumptions!$B$11,IF(G379="Statewide",Assumptions!$B$12,Assumptions!$B$13))</x:f>
        <x:v>0.85</x:v>
      </x:c>
      <x:c r="I379" s="21" t="n">
        <x:v>-0.04263905948412006</x:v>
      </x:c>
      <x:c r="J379" s="21" t="n">
        <x:v>-0.028175369112375614</x:v>
      </x:c>
      <x:c r="K379" s="21" t="n">
        <x:v>-0.0900909934073647</x:v>
      </x:c>
      <x:c r="L379" s="36" t="n">
        <x:f>IF(Assumptions!$B$4=2030,I379,IF(Assumptions!$B$4=2035,J379,K379))</x:f>
        <x:v>-0.028175369112375614</x:v>
      </x:c>
      <x:c r="M379" s="36" t="n">
        <x:f>Assumptions!$B$19</x:f>
        <x:v>-0.04739891965741583</x:v>
      </x:c>
      <x:c r="N379" s="52" t="n">
        <x:f>H379*L379+(1-H379)*M379+O379</x:f>
        <x:v>-0.031058901694131648</x:v>
      </x:c>
      <x:c r="O379" s="36" t="n">
        <x:f>Assumptions!$B$10</x:f>
        <x:v>0</x:v>
      </x:c>
      <x:c r="P379" s="54" t="n">
        <x:f>E379*(1+N379)</x:f>
        <x:v>1186.9528454246888</x:v>
      </x:c>
      <x:c r="Q379" s="54" t="n">
        <x:f>P379-E379</x:f>
        <x:v>-38.0471545753112</x:v>
      </x:c>
      <x:c r="R379" s="16" t="str">
        <x:v>Yes</x:v>
      </x:c>
      <x:c r="S379" s="56" t="n">
        <x:v>12373</x:v>
      </x:c>
      <x:c r="T379" s="56" t="n">
        <x:v>12884</x:v>
      </x:c>
      <x:c r="U379" s="40" t="n">
        <x:f>E379*Assumptions!$B$8</x:f>
        <x:v>1041.25</x:v>
      </x:c>
      <x:c r="V379" s="40" t="n">
        <x:f>P379*Assumptions!$B$8</x:f>
        <x:v>1008.9099186109854</x:v>
      </x:c>
      <x:c r="W379" s="54" t="n">
        <x:f>V379-U379</x:f>
        <x:v>-32.340081389014586</x:v>
      </x:c>
      <x:c r="X379" s="58" t="n">
        <x:f>IF(R379="No","",W379*S379)</x:f>
        <x:v>-400143.8270262775</x:v>
      </x:c>
      <x:c r="Y379" s="58" t="n">
        <x:f>IF(R379="No","",W379*T379*Assumptions!$B$9)</x:f>
        <x:v>-125000.88258481916</x:v>
      </x:c>
      <x:c r="Z379" s="58" t="n">
        <x:f>IF(R379="No","",X379-Y379)</x:f>
        <x:v>-275142.9444414583</x:v>
      </x:c>
      <x:c r="AA379" s="58" t="n">
        <x:f>IF(R379="No","",MAX(0,-Z379))</x:f>
        <x:v>275142.9444414583</x:v>
      </x:c>
      <x:c r="AB379" s="52" t="n">
        <x:f>IF(OR(R379="No",U379*S379=0),"",AA379/(U379*S379))</x:f>
        <x:v>0.021356415083919285</x:v>
      </x:c>
      <x:c r="AC379" s="54" t="n">
        <x:f>IF(OR(R379="No",S379-T379*Assumptions!$B$9&lt;=0),"",AA379/(Assumptions!$B$8*(S379-T379*Assumptions!$B$9)))</x:f>
        <x:v>38.04715457531129</x:v>
      </x:c>
      <x:c r="AD379" s="52" t="n">
        <x:f>IF(OR(R379="No",U379*S379=0),"",AA379/(U379*S379))</x:f>
        <x:v>0.021356415083919285</x:v>
      </x:c>
      <x:c r="AE379" s="50" t="str">
        <x:f>IF(R379="No","No finance data",IF(AB379&gt;=10%,"Severe",IF(AB379&gt;=5%,"High",IF(AB379&gt;=2%,"Moderate","Low"))))</x:f>
        <x:v>Moderate</x:v>
      </x:c>
      <x:c r="AF379" s="60" t="n">
        <x:v>41.401539</x:v>
      </x:c>
      <x:c r="AG379" s="60" t="n">
        <x:v>-92.922199</x:v>
      </x:c>
      <x:c r="AH379" s="44" t="str">
        <x:v>Undergraduate tuition-contribution proxy only; not an audited total institutional budget.</x:v>
      </x:c>
    </x:row>
    <x:row r="380">
      <x:c r="A380" s="16" t="n">
        <x:v>153126</x:v>
      </x:c>
      <x:c r="B380" s="16" t="str">
        <x:v>Clarke University</x:v>
      </x:c>
      <x:c r="C380" s="16" t="str">
        <x:v>IA</x:v>
      </x:c>
      <x:c r="D380" s="16" t="str">
        <x:v>Private nonprofit</x:v>
      </x:c>
      <x:c r="E380" s="34" t="n">
        <x:v>864</x:v>
      </x:c>
      <x:c r="F380" s="21" t="n">
        <x:v>0.8878</x:v>
      </x:c>
      <x:c r="G380" s="16" t="str">
        <x:v>Regional</x:v>
      </x:c>
      <x:c r="H380" s="36" t="n">
        <x:f>IF(G380="National",Assumptions!$B$11,IF(G380="Statewide",Assumptions!$B$12,Assumptions!$B$13))</x:f>
        <x:v>0.85</x:v>
      </x:c>
      <x:c r="I380" s="21" t="n">
        <x:v>-0.04263905948412006</x:v>
      </x:c>
      <x:c r="J380" s="21" t="n">
        <x:v>-0.028175369112375614</x:v>
      </x:c>
      <x:c r="K380" s="21" t="n">
        <x:v>-0.0900909934073647</x:v>
      </x:c>
      <x:c r="L380" s="36" t="n">
        <x:f>IF(Assumptions!$B$4=2030,I380,IF(Assumptions!$B$4=2035,J380,K380))</x:f>
        <x:v>-0.028175369112375614</x:v>
      </x:c>
      <x:c r="M380" s="36" t="n">
        <x:f>Assumptions!$B$19</x:f>
        <x:v>-0.04739891965741583</x:v>
      </x:c>
      <x:c r="N380" s="52" t="n">
        <x:f>H380*L380+(1-H380)*M380+O380</x:f>
        <x:v>-0.031058901694131648</x:v>
      </x:c>
      <x:c r="O380" s="36" t="n">
        <x:f>Assumptions!$B$10</x:f>
        <x:v>0</x:v>
      </x:c>
      <x:c r="P380" s="54" t="n">
        <x:f>E380*(1+N380)</x:f>
        <x:v>837.1651089362703</x:v>
      </x:c>
      <x:c r="Q380" s="54" t="n">
        <x:f>P380-E380</x:f>
        <x:v>-26.834891063729742</x:v>
      </x:c>
      <x:c r="R380" s="16" t="str">
        <x:v>Yes</x:v>
      </x:c>
      <x:c r="S380" s="56" t="n">
        <x:v>18761</x:v>
      </x:c>
      <x:c r="T380" s="56" t="n">
        <x:v>11063</x:v>
      </x:c>
      <x:c r="U380" s="40" t="n">
        <x:f>E380*Assumptions!$B$8</x:f>
        <x:v>734.4</x:v>
      </x:c>
      <x:c r="V380" s="40" t="n">
        <x:f>P380*Assumptions!$B$8</x:f>
        <x:v>711.5903425958297</x:v>
      </x:c>
      <x:c r="W380" s="54" t="n">
        <x:f>V380-U380</x:f>
        <x:v>-22.809657404170252</x:v>
      </x:c>
      <x:c r="X380" s="58" t="n">
        <x:f>IF(R380="No","",W380*S380)</x:f>
        <x:v>-427931.9825596381</x:v>
      </x:c>
      <x:c r="Y380" s="58" t="n">
        <x:f>IF(R380="No","",W380*T380*Assumptions!$B$9)</x:f>
        <x:v>-75702.97195870064</x:v>
      </x:c>
      <x:c r="Z380" s="58" t="n">
        <x:f>IF(R380="No","",X380-Y380)</x:f>
        <x:v>-352229.0106009375</x:v>
      </x:c>
      <x:c r="AA380" s="58" t="n">
        <x:f>IF(R380="No","",MAX(0,-Z380))</x:f>
        <x:v>352229.0106009375</x:v>
      </x:c>
      <x:c r="AB380" s="52" t="n">
        <x:f>IF(OR(R380="No",U380*S380=0),"",AA380/(U380*S380))</x:f>
        <x:v>0.02556445103411064</x:v>
      </x:c>
      <x:c r="AC380" s="54" t="n">
        <x:f>IF(OR(R380="No",S380-T380*Assumptions!$B$9&lt;=0),"",AA380/(Assumptions!$B$8*(S380-T380*Assumptions!$B$9)))</x:f>
        <x:v>26.83489106372971</x:v>
      </x:c>
      <x:c r="AD380" s="52" t="n">
        <x:f>IF(OR(R380="No",U380*S380=0),"",AA380/(U380*S380))</x:f>
        <x:v>0.02556445103411064</x:v>
      </x:c>
      <x:c r="AE380" s="50" t="str">
        <x:f>IF(R380="No","No finance data",IF(AB380&gt;=10%,"Severe",IF(AB380&gt;=5%,"High",IF(AB380&gt;=2%,"Moderate","Low"))))</x:f>
        <x:v>Moderate</x:v>
      </x:c>
      <x:c r="AF380" s="60" t="n">
        <x:v>42.509475</x:v>
      </x:c>
      <x:c r="AG380" s="60" t="n">
        <x:v>-90.690487</x:v>
      </x:c>
      <x:c r="AH380" s="44" t="str">
        <x:v>Undergraduate tuition-contribution proxy only; not an audited total institutional budget.</x:v>
      </x:c>
    </x:row>
    <x:row r="381">
      <x:c r="A381" s="16" t="n">
        <x:v>153144</x:v>
      </x:c>
      <x:c r="B381" s="16" t="str">
        <x:v>Coe College</x:v>
      </x:c>
      <x:c r="C381" s="16" t="str">
        <x:v>IA</x:v>
      </x:c>
      <x:c r="D381" s="16" t="str">
        <x:v>Private nonprofit</x:v>
      </x:c>
      <x:c r="E381" s="34" t="n">
        <x:v>1337</x:v>
      </x:c>
      <x:c r="F381" s="21" t="n">
        <x:v>0.7266</x:v>
      </x:c>
      <x:c r="G381" s="16" t="str">
        <x:v>Regional</x:v>
      </x:c>
      <x:c r="H381" s="36" t="n">
        <x:f>IF(G381="National",Assumptions!$B$11,IF(G381="Statewide",Assumptions!$B$12,Assumptions!$B$13))</x:f>
        <x:v>0.85</x:v>
      </x:c>
      <x:c r="I381" s="21" t="n">
        <x:v>-0.04263905948412006</x:v>
      </x:c>
      <x:c r="J381" s="21" t="n">
        <x:v>-0.028175369112375614</x:v>
      </x:c>
      <x:c r="K381" s="21" t="n">
        <x:v>-0.0900909934073647</x:v>
      </x:c>
      <x:c r="L381" s="36" t="n">
        <x:f>IF(Assumptions!$B$4=2030,I381,IF(Assumptions!$B$4=2035,J381,K381))</x:f>
        <x:v>-0.028175369112375614</x:v>
      </x:c>
      <x:c r="M381" s="36" t="n">
        <x:f>Assumptions!$B$19</x:f>
        <x:v>-0.04739891965741583</x:v>
      </x:c>
      <x:c r="N381" s="52" t="n">
        <x:f>H381*L381+(1-H381)*M381+O381</x:f>
        <x:v>-0.031058901694131648</x:v>
      </x:c>
      <x:c r="O381" s="36" t="n">
        <x:f>Assumptions!$B$10</x:f>
        <x:v>0</x:v>
      </x:c>
      <x:c r="P381" s="54" t="n">
        <x:f>E381*(1+N381)</x:f>
        <x:v>1295.474248434946</x:v>
      </x:c>
      <x:c r="Q381" s="54" t="n">
        <x:f>P381-E381</x:f>
        <x:v>-41.52575156505395</x:v>
      </x:c>
      <x:c r="R381" s="16" t="str">
        <x:v>Yes</x:v>
      </x:c>
      <x:c r="S381" s="56" t="n">
        <x:v>12435</x:v>
      </x:c>
      <x:c r="T381" s="56" t="n">
        <x:v>9295</x:v>
      </x:c>
      <x:c r="U381" s="40" t="n">
        <x:f>E381*Assumptions!$B$8</x:f>
        <x:v>1136.45</x:v>
      </x:c>
      <x:c r="V381" s="40" t="n">
        <x:f>P381*Assumptions!$B$8</x:f>
        <x:v>1101.153111169704</x:v>
      </x:c>
      <x:c r="W381" s="54" t="n">
        <x:f>V381-U381</x:f>
        <x:v>-35.296888830295984</x:v>
      </x:c>
      <x:c r="X381" s="58" t="n">
        <x:f>IF(R381="No","",W381*S381)</x:f>
        <x:v>-438916.81260473054</x:v>
      </x:c>
      <x:c r="Y381" s="58" t="n">
        <x:f>IF(R381="No","",W381*T381*Assumptions!$B$9)</x:f>
        <x:v>-98425.37450328034</x:v>
      </x:c>
      <x:c r="Z381" s="58" t="n">
        <x:f>IF(R381="No","",X381-Y381)</x:f>
        <x:v>-340491.4381014502</x:v>
      </x:c>
      <x:c r="AA381" s="58" t="n">
        <x:f>IF(R381="No","",MAX(0,-Z381))</x:f>
        <x:v>340491.4381014502</x:v>
      </x:c>
      <x:c r="AB381" s="52" t="n">
        <x:f>IF(OR(R381="No",U381*S381=0),"",AA381/(U381*S381))</x:f>
        <x:v>0.02409406475210628</x:v>
      </x:c>
      <x:c r="AC381" s="54" t="n">
        <x:f>IF(OR(R381="No",S381-T381*Assumptions!$B$9&lt;=0),"",AA381/(Assumptions!$B$8*(S381-T381*Assumptions!$B$9)))</x:f>
        <x:v>41.5257515650541</x:v>
      </x:c>
      <x:c r="AD381" s="52" t="n">
        <x:f>IF(OR(R381="No",U381*S381=0),"",AA381/(U381*S381))</x:f>
        <x:v>0.02409406475210628</x:v>
      </x:c>
      <x:c r="AE381" s="50" t="str">
        <x:f>IF(R381="No","No finance data",IF(AB381&gt;=10%,"Severe",IF(AB381&gt;=5%,"High",IF(AB381&gt;=2%,"Moderate","Low"))))</x:f>
        <x:v>Moderate</x:v>
      </x:c>
      <x:c r="AF381" s="60" t="n">
        <x:v>41.988263</x:v>
      </x:c>
      <x:c r="AG381" s="60" t="n">
        <x:v>-91.658192</x:v>
      </x:c>
      <x:c r="AH381" s="44" t="str">
        <x:v>Undergraduate tuition-contribution proxy only; not an audited total institutional budget.</x:v>
      </x:c>
    </x:row>
    <x:row r="382">
      <x:c r="A382" s="16" t="n">
        <x:v>153162</x:v>
      </x:c>
      <x:c r="B382" s="16" t="str">
        <x:v>Cornell College</x:v>
      </x:c>
      <x:c r="C382" s="16" t="str">
        <x:v>IA</x:v>
      </x:c>
      <x:c r="D382" s="16" t="str">
        <x:v>Private nonprofit</x:v>
      </x:c>
      <x:c r="E382" s="34" t="n">
        <x:v>1035</x:v>
      </x:c>
      <x:c r="F382" s="21" t="n">
        <x:v>0.811</x:v>
      </x:c>
      <x:c r="G382" s="16" t="str">
        <x:v>Regional</x:v>
      </x:c>
      <x:c r="H382" s="36" t="n">
        <x:f>IF(G382="National",Assumptions!$B$11,IF(G382="Statewide",Assumptions!$B$12,Assumptions!$B$13))</x:f>
        <x:v>0.85</x:v>
      </x:c>
      <x:c r="I382" s="21" t="n">
        <x:v>-0.04263905948412006</x:v>
      </x:c>
      <x:c r="J382" s="21" t="n">
        <x:v>-0.028175369112375614</x:v>
      </x:c>
      <x:c r="K382" s="21" t="n">
        <x:v>-0.0900909934073647</x:v>
      </x:c>
      <x:c r="L382" s="36" t="n">
        <x:f>IF(Assumptions!$B$4=2030,I382,IF(Assumptions!$B$4=2035,J382,K382))</x:f>
        <x:v>-0.028175369112375614</x:v>
      </x:c>
      <x:c r="M382" s="36" t="n">
        <x:f>Assumptions!$B$19</x:f>
        <x:v>-0.04739891965741583</x:v>
      </x:c>
      <x:c r="N382" s="52" t="n">
        <x:f>H382*L382+(1-H382)*M382+O382</x:f>
        <x:v>-0.031058901694131648</x:v>
      </x:c>
      <x:c r="O382" s="36" t="n">
        <x:f>Assumptions!$B$10</x:f>
        <x:v>0</x:v>
      </x:c>
      <x:c r="P382" s="54" t="n">
        <x:f>E382*(1+N382)</x:f>
        <x:v>1002.8540367465738</x:v>
      </x:c>
      <x:c r="Q382" s="54" t="n">
        <x:f>P382-E382</x:f>
        <x:v>-32.1459632534262</x:v>
      </x:c>
      <x:c r="R382" s="16" t="str">
        <x:v>Yes</x:v>
      </x:c>
      <x:c r="S382" s="56" t="n">
        <x:v>16039</x:v>
      </x:c>
      <x:c r="T382" s="56" t="n">
        <x:v>12307</x:v>
      </x:c>
      <x:c r="U382" s="40" t="n">
        <x:f>E382*Assumptions!$B$8</x:f>
        <x:v>879.75</x:v>
      </x:c>
      <x:c r="V382" s="40" t="n">
        <x:f>P382*Assumptions!$B$8</x:f>
        <x:v>852.4259312345877</x:v>
      </x:c>
      <x:c r="W382" s="54" t="n">
        <x:f>V382-U382</x:f>
        <x:v>-27.324068765412335</x:v>
      </x:c>
      <x:c r="X382" s="58" t="n">
        <x:f>IF(R382="No","",W382*S382)</x:f>
        <x:v>-438250.73892844847</x:v>
      </x:c>
      <x:c r="Y382" s="58" t="n">
        <x:f>IF(R382="No","",W382*T382*Assumptions!$B$9)</x:f>
        <x:v>-100883.19428877889</x:v>
      </x:c>
      <x:c r="Z382" s="58" t="n">
        <x:f>IF(R382="No","",X382-Y382)</x:f>
        <x:v>-337367.5446396696</x:v>
      </x:c>
      <x:c r="AA382" s="58" t="n">
        <x:f>IF(R382="No","",MAX(0,-Z382))</x:f>
        <x:v>337367.5446396696</x:v>
      </x:c>
      <x:c r="AB382" s="52" t="n">
        <x:f>IF(OR(R382="No",U382*S382=0),"",AA382/(U382*S382))</x:f>
        <x:v>0.02390929318082638</x:v>
      </x:c>
      <x:c r="AC382" s="54" t="n">
        <x:f>IF(OR(R382="No",S382-T382*Assumptions!$B$9&lt;=0),"",AA382/(Assumptions!$B$8*(S382-T382*Assumptions!$B$9)))</x:f>
        <x:v>32.14596325342628</x:v>
      </x:c>
      <x:c r="AD382" s="52" t="n">
        <x:f>IF(OR(R382="No",U382*S382=0),"",AA382/(U382*S382))</x:f>
        <x:v>0.02390929318082638</x:v>
      </x:c>
      <x:c r="AE382" s="50" t="str">
        <x:f>IF(R382="No","No finance data",IF(AB382&gt;=10%,"Severe",IF(AB382&gt;=5%,"High",IF(AB382&gt;=2%,"Moderate","Low"))))</x:f>
        <x:v>Moderate</x:v>
      </x:c>
      <x:c r="AF382" s="60" t="n">
        <x:v>41.924554</x:v>
      </x:c>
      <x:c r="AG382" s="60" t="n">
        <x:v>-91.423741</x:v>
      </x:c>
      <x:c r="AH382" s="44" t="str">
        <x:v>Undergraduate tuition-contribution proxy only; not an audited total institutional budget.</x:v>
      </x:c>
    </x:row>
    <x:row r="383">
      <x:c r="A383" s="16" t="n">
        <x:v>153241</x:v>
      </x:c>
      <x:c r="B383" s="16" t="str">
        <x:v>Divine Word College</x:v>
      </x:c>
      <x:c r="C383" s="16" t="str">
        <x:v>IA</x:v>
      </x:c>
      <x:c r="D383" s="16" t="str">
        <x:v>Private nonprofit</x:v>
      </x:c>
      <x:c r="E383" s="34" t="n">
        <x:v>79</x:v>
      </x:c>
      <x:c r="F383" s="21"/>
      <x:c r="G383" s="16" t="str">
        <x:v>Regional</x:v>
      </x:c>
      <x:c r="H383" s="36" t="n">
        <x:f>IF(G383="National",Assumptions!$B$11,IF(G383="Statewide",Assumptions!$B$12,Assumptions!$B$13))</x:f>
        <x:v>0.85</x:v>
      </x:c>
      <x:c r="I383" s="21" t="n">
        <x:v>-0.04263905948412006</x:v>
      </x:c>
      <x:c r="J383" s="21" t="n">
        <x:v>-0.028175369112375614</x:v>
      </x:c>
      <x:c r="K383" s="21" t="n">
        <x:v>-0.0900909934073647</x:v>
      </x:c>
      <x:c r="L383" s="36" t="n">
        <x:f>IF(Assumptions!$B$4=2030,I383,IF(Assumptions!$B$4=2035,J383,K383))</x:f>
        <x:v>-0.028175369112375614</x:v>
      </x:c>
      <x:c r="M383" s="36" t="n">
        <x:f>Assumptions!$B$19</x:f>
        <x:v>-0.04739891965741583</x:v>
      </x:c>
      <x:c r="N383" s="52" t="n">
        <x:f>H383*L383+(1-H383)*M383+O383</x:f>
        <x:v>-0.031058901694131648</x:v>
      </x:c>
      <x:c r="O383" s="36" t="n">
        <x:f>Assumptions!$B$10</x:f>
        <x:v>0</x:v>
      </x:c>
      <x:c r="P383" s="54" t="n">
        <x:f>E383*(1+N383)</x:f>
        <x:v>76.54634676616361</x:v>
      </x:c>
      <x:c r="Q383" s="54" t="n">
        <x:f>P383-E383</x:f>
        <x:v>-2.4536532338363912</x:v>
      </x:c>
      <x:c r="R383" s="16" t="str">
        <x:v>No</x:v>
      </x:c>
      <x:c r="S383" s="56"/>
      <x:c r="T383" s="56"/>
      <x:c r="U383" s="40" t="n">
        <x:f>E383*Assumptions!$B$8</x:f>
        <x:v>67.14999999999999</x:v>
      </x:c>
      <x:c r="V383" s="40" t="n">
        <x:f>P383*Assumptions!$B$8</x:f>
        <x:v>65.06439475123906</x:v>
      </x:c>
      <x:c r="W383" s="54" t="n">
        <x:f>V383-U383</x:f>
        <x:v>-2.0856052487609276</x:v>
      </x:c>
      <x:c r="X383" s="58" t="str">
        <x:f>IF(R383="No","",W383*S383)</x:f>
      </x:c>
      <x:c r="Y383" s="58" t="str">
        <x:f>IF(R383="No","",W383*T383*Assumptions!$B$9)</x:f>
      </x:c>
      <x:c r="Z383" s="58" t="str">
        <x:f>IF(R383="No","",X383-Y383)</x:f>
      </x:c>
      <x:c r="AA383" s="58" t="str">
        <x:f>IF(R383="No","",MAX(0,-Z383))</x:f>
      </x:c>
      <x:c r="AB383" s="52" t="str">
        <x:f>IF(OR(R383="No",U383*S383=0),"",AA383/(U383*S383))</x:f>
      </x:c>
      <x:c r="AC383" s="54" t="str">
        <x:f>IF(OR(R383="No",S383-T383*Assumptions!$B$9&lt;=0),"",AA383/(Assumptions!$B$8*(S383-T383*Assumptions!$B$9)))</x:f>
      </x:c>
      <x:c r="AD383" s="52" t="str">
        <x:f>IF(OR(R383="No",U383*S383=0),"",AA383/(U383*S383))</x:f>
      </x:c>
      <x:c r="AE383" s="50" t="str">
        <x:f>IF(R383="No","No finance data",IF(AB383&gt;=10%,"Severe",IF(AB383&gt;=5%,"High",IF(AB383&gt;=2%,"Moderate","Low"))))</x:f>
        <x:v>No finance data</x:v>
      </x:c>
      <x:c r="AF383" s="60"/>
      <x:c r="AG383" s="60"/>
      <x:c r="AH383" s="44" t="str">
        <x:v>Undergraduate tuition-contribution proxy only; not an audited total institutional budget.</x:v>
      </x:c>
    </x:row>
    <x:row r="384">
      <x:c r="A384" s="16" t="n">
        <x:v>153250</x:v>
      </x:c>
      <x:c r="B384" s="16" t="str">
        <x:v>Dordt College</x:v>
      </x:c>
      <x:c r="C384" s="16" t="str">
        <x:v>IA</x:v>
      </x:c>
      <x:c r="D384" s="16" t="str">
        <x:v>Private nonprofit</x:v>
      </x:c>
      <x:c r="E384" s="34" t="n">
        <x:v>1357</x:v>
      </x:c>
      <x:c r="F384" s="21" t="n">
        <x:v>0.7323</x:v>
      </x:c>
      <x:c r="G384" s="16" t="str">
        <x:v>Regional</x:v>
      </x:c>
      <x:c r="H384" s="36" t="n">
        <x:f>IF(G384="National",Assumptions!$B$11,IF(G384="Statewide",Assumptions!$B$12,Assumptions!$B$13))</x:f>
        <x:v>0.85</x:v>
      </x:c>
      <x:c r="I384" s="21" t="n">
        <x:v>-0.04263905948412006</x:v>
      </x:c>
      <x:c r="J384" s="21" t="n">
        <x:v>-0.028175369112375614</x:v>
      </x:c>
      <x:c r="K384" s="21" t="n">
        <x:v>-0.0900909934073647</x:v>
      </x:c>
      <x:c r="L384" s="36" t="n">
        <x:f>IF(Assumptions!$B$4=2030,I384,IF(Assumptions!$B$4=2035,J384,K384))</x:f>
        <x:v>-0.028175369112375614</x:v>
      </x:c>
      <x:c r="M384" s="36" t="n">
        <x:f>Assumptions!$B$19</x:f>
        <x:v>-0.04739891965741583</x:v>
      </x:c>
      <x:c r="N384" s="52" t="n">
        <x:f>H384*L384+(1-H384)*M384+O384</x:f>
        <x:v>-0.031058901694131648</x:v>
      </x:c>
      <x:c r="O384" s="36" t="n">
        <x:f>Assumptions!$B$10</x:f>
        <x:v>0</x:v>
      </x:c>
      <x:c r="P384" s="54" t="n">
        <x:f>E384*(1+N384)</x:f>
        <x:v>1314.8530704010634</x:v>
      </x:c>
      <x:c r="Q384" s="54" t="n">
        <x:f>P384-E384</x:f>
        <x:v>-42.146929598936595</x:v>
      </x:c>
      <x:c r="R384" s="16" t="str">
        <x:v>Yes</x:v>
      </x:c>
      <x:c r="S384" s="56" t="n">
        <x:v>13781</x:v>
      </x:c>
      <x:c r="T384" s="56" t="n">
        <x:v>10206</x:v>
      </x:c>
      <x:c r="U384" s="40" t="n">
        <x:f>E384*Assumptions!$B$8</x:f>
        <x:v>1153.45</x:v>
      </x:c>
      <x:c r="V384" s="40" t="n">
        <x:f>P384*Assumptions!$B$8</x:f>
        <x:v>1117.6251098409039</x:v>
      </x:c>
      <x:c r="W384" s="54" t="n">
        <x:f>V384-U384</x:f>
        <x:v>-35.824890159096185</x:v>
      </x:c>
      <x:c r="X384" s="58" t="n">
        <x:f>IF(R384="No","",W384*S384)</x:f>
        <x:v>-493702.8112825045</x:v>
      </x:c>
      <x:c r="Y384" s="58" t="n">
        <x:f>IF(R384="No","",W384*T384*Assumptions!$B$9)</x:f>
        <x:v>-109688.6486891207</x:v>
      </x:c>
      <x:c r="Z384" s="58" t="n">
        <x:f>IF(R384="No","",X384-Y384)</x:f>
        <x:v>-384014.1625933838</x:v>
      </x:c>
      <x:c r="AA384" s="58" t="n">
        <x:f>IF(R384="No","",MAX(0,-Z384))</x:f>
        <x:v>384014.1625933838</x:v>
      </x:c>
      <x:c r="AB384" s="52" t="n">
        <x:f>IF(OR(R384="No",U384*S384=0),"",AA384/(U384*S384))</x:f>
        <x:v>0.024158375955281638</x:v>
      </x:c>
      <x:c r="AC384" s="54" t="n">
        <x:f>IF(OR(R384="No",S384-T384*Assumptions!$B$9&lt;=0),"",AA384/(Assumptions!$B$8*(S384-T384*Assumptions!$B$9)))</x:f>
        <x:v>42.14692959893669</x:v>
      </x:c>
      <x:c r="AD384" s="52" t="n">
        <x:f>IF(OR(R384="No",U384*S384=0),"",AA384/(U384*S384))</x:f>
        <x:v>0.024158375955281638</x:v>
      </x:c>
      <x:c r="AE384" s="50" t="str">
        <x:f>IF(R384="No","No finance data",IF(AB384&gt;=10%,"Severe",IF(AB384&gt;=5%,"High",IF(AB384&gt;=2%,"Moderate","Low"))))</x:f>
        <x:v>Moderate</x:v>
      </x:c>
      <x:c r="AF384" s="60" t="n">
        <x:v>43.082527</x:v>
      </x:c>
      <x:c r="AG384" s="60" t="n">
        <x:v>-96.166562</x:v>
      </x:c>
      <x:c r="AH384" s="44" t="str">
        <x:v>Undergraduate tuition-contribution proxy only; not an audited total institutional budget.</x:v>
      </x:c>
    </x:row>
    <x:row r="385">
      <x:c r="A385" s="16" t="n">
        <x:v>153269</x:v>
      </x:c>
      <x:c r="B385" s="16" t="str">
        <x:v>Drake University</x:v>
      </x:c>
      <x:c r="C385" s="16" t="str">
        <x:v>IA</x:v>
      </x:c>
      <x:c r="D385" s="16" t="str">
        <x:v>Private nonprofit</x:v>
      </x:c>
      <x:c r="E385" s="34" t="n">
        <x:v>3269</x:v>
      </x:c>
      <x:c r="F385" s="21" t="n">
        <x:v>0.6907</x:v>
      </x:c>
      <x:c r="G385" s="16" t="str">
        <x:v>Regional</x:v>
      </x:c>
      <x:c r="H385" s="36" t="n">
        <x:f>IF(G385="National",Assumptions!$B$11,IF(G385="Statewide",Assumptions!$B$12,Assumptions!$B$13))</x:f>
        <x:v>0.85</x:v>
      </x:c>
      <x:c r="I385" s="21" t="n">
        <x:v>-0.04263905948412006</x:v>
      </x:c>
      <x:c r="J385" s="21" t="n">
        <x:v>-0.028175369112375614</x:v>
      </x:c>
      <x:c r="K385" s="21" t="n">
        <x:v>-0.0900909934073647</x:v>
      </x:c>
      <x:c r="L385" s="36" t="n">
        <x:f>IF(Assumptions!$B$4=2030,I385,IF(Assumptions!$B$4=2035,J385,K385))</x:f>
        <x:v>-0.028175369112375614</x:v>
      </x:c>
      <x:c r="M385" s="36" t="n">
        <x:f>Assumptions!$B$19</x:f>
        <x:v>-0.04739891965741583</x:v>
      </x:c>
      <x:c r="N385" s="52" t="n">
        <x:f>H385*L385+(1-H385)*M385+O385</x:f>
        <x:v>-0.031058901694131648</x:v>
      </x:c>
      <x:c r="O385" s="36" t="n">
        <x:f>Assumptions!$B$10</x:f>
        <x:v>0</x:v>
      </x:c>
      <x:c r="P385" s="54" t="n">
        <x:f>E385*(1+N385)</x:f>
        <x:v>3167.4684503618837</x:v>
      </x:c>
      <x:c r="Q385" s="54" t="n">
        <x:f>P385-E385</x:f>
        <x:v>-101.5315496381163</x:v>
      </x:c>
      <x:c r="R385" s="16" t="str">
        <x:v>Yes</x:v>
      </x:c>
      <x:c r="S385" s="56" t="n">
        <x:v>19959</x:v>
      </x:c>
      <x:c r="T385" s="56" t="n">
        <x:v>11766</x:v>
      </x:c>
      <x:c r="U385" s="40" t="n">
        <x:f>E385*Assumptions!$B$8</x:f>
        <x:v>2778.65</x:v>
      </x:c>
      <x:c r="V385" s="40" t="n">
        <x:f>P385*Assumptions!$B$8</x:f>
        <x:v>2692.348182807601</x:v>
      </x:c>
      <x:c r="W385" s="54" t="n">
        <x:f>V385-U385</x:f>
        <x:v>-86.30181719239908</x:v>
      </x:c>
      <x:c r="X385" s="58" t="n">
        <x:f>IF(R385="No","",W385*S385)</x:f>
        <x:v>-1722497.9693430932</x:v>
      </x:c>
      <x:c r="Y385" s="58" t="n">
        <x:f>IF(R385="No","",W385*T385*Assumptions!$B$9)</x:f>
        <x:v>-304628.1543257303</x:v>
      </x:c>
      <x:c r="Z385" s="58" t="n">
        <x:f>IF(R385="No","",X385-Y385)</x:f>
        <x:v>-1417869.815017363</x:v>
      </x:c>
      <x:c r="AA385" s="58" t="n">
        <x:f>IF(R385="No","",MAX(0,-Z385))</x:f>
        <x:v>1417869.815017363</x:v>
      </x:c>
      <x:c r="AB385" s="52" t="n">
        <x:f>IF(OR(R385="No",U385*S385=0),"",AA385/(U385*S385))</x:f>
        <x:v>0.025566055800051543</x:v>
      </x:c>
      <x:c r="AC385" s="54" t="n">
        <x:f>IF(OR(R385="No",S385-T385*Assumptions!$B$9&lt;=0),"",AA385/(Assumptions!$B$8*(S385-T385*Assumptions!$B$9)))</x:f>
        <x:v>101.53154963811657</x:v>
      </x:c>
      <x:c r="AD385" s="52" t="n">
        <x:f>IF(OR(R385="No",U385*S385=0),"",AA385/(U385*S385))</x:f>
        <x:v>0.025566055800051543</x:v>
      </x:c>
      <x:c r="AE385" s="50" t="str">
        <x:f>IF(R385="No","No finance data",IF(AB385&gt;=10%,"Severe",IF(AB385&gt;=5%,"High",IF(AB385&gt;=2%,"Moderate","Low"))))</x:f>
        <x:v>Moderate</x:v>
      </x:c>
      <x:c r="AF385" s="60" t="n">
        <x:v>41.60129</x:v>
      </x:c>
      <x:c r="AG385" s="60" t="n">
        <x:v>-93.652163</x:v>
      </x:c>
      <x:c r="AH385" s="44" t="str">
        <x:v>Undergraduate tuition-contribution proxy only; not an audited total institutional budget.</x:v>
      </x:c>
    </x:row>
    <x:row r="386">
      <x:c r="A386" s="16" t="n">
        <x:v>153320</x:v>
      </x:c>
      <x:c r="B386" s="16" t="str">
        <x:v>Faith Baptist Bible College and Theological Seminary</x:v>
      </x:c>
      <x:c r="C386" s="16" t="str">
        <x:v>IA</x:v>
      </x:c>
      <x:c r="D386" s="16" t="str">
        <x:v>Private nonprofit</x:v>
      </x:c>
      <x:c r="E386" s="34" t="n">
        <x:v>214</x:v>
      </x:c>
      <x:c r="F386" s="21"/>
      <x:c r="G386" s="16" t="str">
        <x:v>Regional</x:v>
      </x:c>
      <x:c r="H386" s="36" t="n">
        <x:f>IF(G386="National",Assumptions!$B$11,IF(G386="Statewide",Assumptions!$B$12,Assumptions!$B$13))</x:f>
        <x:v>0.85</x:v>
      </x:c>
      <x:c r="I386" s="21" t="n">
        <x:v>-0.04263905948412006</x:v>
      </x:c>
      <x:c r="J386" s="21" t="n">
        <x:v>-0.028175369112375614</x:v>
      </x:c>
      <x:c r="K386" s="21" t="n">
        <x:v>-0.0900909934073647</x:v>
      </x:c>
      <x:c r="L386" s="36" t="n">
        <x:f>IF(Assumptions!$B$4=2030,I386,IF(Assumptions!$B$4=2035,J386,K386))</x:f>
        <x:v>-0.028175369112375614</x:v>
      </x:c>
      <x:c r="M386" s="36" t="n">
        <x:f>Assumptions!$B$19</x:f>
        <x:v>-0.04739891965741583</x:v>
      </x:c>
      <x:c r="N386" s="52" t="n">
        <x:f>H386*L386+(1-H386)*M386+O386</x:f>
        <x:v>-0.031058901694131648</x:v>
      </x:c>
      <x:c r="O386" s="36" t="n">
        <x:f>Assumptions!$B$10</x:f>
        <x:v>0</x:v>
      </x:c>
      <x:c r="P386" s="54" t="n">
        <x:f>E386*(1+N386)</x:f>
        <x:v>207.35339503745584</x:v>
      </x:c>
      <x:c r="Q386" s="54" t="n">
        <x:f>P386-E386</x:f>
        <x:v>-6.64660496254416</x:v>
      </x:c>
      <x:c r="R386" s="16" t="str">
        <x:v>No</x:v>
      </x:c>
      <x:c r="S386" s="56"/>
      <x:c r="T386" s="56"/>
      <x:c r="U386" s="40" t="n">
        <x:f>E386*Assumptions!$B$8</x:f>
        <x:v>181.9</x:v>
      </x:c>
      <x:c r="V386" s="40" t="n">
        <x:f>P386*Assumptions!$B$8</x:f>
        <x:v>176.25038578183745</x:v>
      </x:c>
      <x:c r="W386" s="54" t="n">
        <x:f>V386-U386</x:f>
        <x:v>-5.649614218162554</x:v>
      </x:c>
      <x:c r="X386" s="58" t="str">
        <x:f>IF(R386="No","",W386*S386)</x:f>
      </x:c>
      <x:c r="Y386" s="58" t="str">
        <x:f>IF(R386="No","",W386*T386*Assumptions!$B$9)</x:f>
      </x:c>
      <x:c r="Z386" s="58" t="str">
        <x:f>IF(R386="No","",X386-Y386)</x:f>
      </x:c>
      <x:c r="AA386" s="58" t="str">
        <x:f>IF(R386="No","",MAX(0,-Z386))</x:f>
      </x:c>
      <x:c r="AB386" s="52" t="str">
        <x:f>IF(OR(R386="No",U386*S386=0),"",AA386/(U386*S386))</x:f>
      </x:c>
      <x:c r="AC386" s="54" t="str">
        <x:f>IF(OR(R386="No",S386-T386*Assumptions!$B$9&lt;=0),"",AA386/(Assumptions!$B$8*(S386-T386*Assumptions!$B$9)))</x:f>
      </x:c>
      <x:c r="AD386" s="52" t="str">
        <x:f>IF(OR(R386="No",U386*S386=0),"",AA386/(U386*S386))</x:f>
      </x:c>
      <x:c r="AE386" s="50" t="str">
        <x:f>IF(R386="No","No finance data",IF(AB386&gt;=10%,"Severe",IF(AB386&gt;=5%,"High",IF(AB386&gt;=2%,"Moderate","Low"))))</x:f>
        <x:v>No finance data</x:v>
      </x:c>
      <x:c r="AF386" s="60"/>
      <x:c r="AG386" s="60"/>
      <x:c r="AH386" s="44" t="str">
        <x:v>Undergraduate tuition-contribution proxy only; not an audited total institutional budget.</x:v>
      </x:c>
    </x:row>
    <x:row r="387">
      <x:c r="A387" s="16" t="n">
        <x:v>153366</x:v>
      </x:c>
      <x:c r="B387" s="16" t="str">
        <x:v>Graceland University-Lamoni</x:v>
      </x:c>
      <x:c r="C387" s="16" t="str">
        <x:v>IA</x:v>
      </x:c>
      <x:c r="D387" s="16" t="str">
        <x:v>Private nonprofit</x:v>
      </x:c>
      <x:c r="E387" s="34" t="n">
        <x:v>1373</x:v>
      </x:c>
      <x:c r="F387" s="21" t="n">
        <x:v>0.6662</x:v>
      </x:c>
      <x:c r="G387" s="16" t="str">
        <x:v>Regional</x:v>
      </x:c>
      <x:c r="H387" s="36" t="n">
        <x:f>IF(G387="National",Assumptions!$B$11,IF(G387="Statewide",Assumptions!$B$12,Assumptions!$B$13))</x:f>
        <x:v>0.85</x:v>
      </x:c>
      <x:c r="I387" s="21" t="n">
        <x:v>-0.04263905948412006</x:v>
      </x:c>
      <x:c r="J387" s="21" t="n">
        <x:v>-0.028175369112375614</x:v>
      </x:c>
      <x:c r="K387" s="21" t="n">
        <x:v>-0.0900909934073647</x:v>
      </x:c>
      <x:c r="L387" s="36" t="n">
        <x:f>IF(Assumptions!$B$4=2030,I387,IF(Assumptions!$B$4=2035,J387,K387))</x:f>
        <x:v>-0.028175369112375614</x:v>
      </x:c>
      <x:c r="M387" s="36" t="n">
        <x:f>Assumptions!$B$19</x:f>
        <x:v>-0.04739891965741583</x:v>
      </x:c>
      <x:c r="N387" s="52" t="n">
        <x:f>H387*L387+(1-H387)*M387+O387</x:f>
        <x:v>-0.031058901694131648</x:v>
      </x:c>
      <x:c r="O387" s="36" t="n">
        <x:f>Assumptions!$B$10</x:f>
        <x:v>0</x:v>
      </x:c>
      <x:c r="P387" s="54" t="n">
        <x:f>E387*(1+N387)</x:f>
        <x:v>1330.3561279739572</x:v>
      </x:c>
      <x:c r="Q387" s="54" t="n">
        <x:f>P387-E387</x:f>
        <x:v>-42.6438720260428</x:v>
      </x:c>
      <x:c r="R387" s="16" t="str">
        <x:v>Yes</x:v>
      </x:c>
      <x:c r="S387" s="56" t="n">
        <x:v>13532</x:v>
      </x:c>
      <x:c r="T387" s="56" t="n">
        <x:v>8252</x:v>
      </x:c>
      <x:c r="U387" s="40" t="n">
        <x:f>E387*Assumptions!$B$8</x:f>
        <x:v>1167.05</x:v>
      </x:c>
      <x:c r="V387" s="40" t="n">
        <x:f>P387*Assumptions!$B$8</x:f>
        <x:v>1130.8027087778637</x:v>
      </x:c>
      <x:c r="W387" s="54" t="n">
        <x:f>V387-U387</x:f>
        <x:v>-36.247291222136255</x:v>
      </x:c>
      <x:c r="X387" s="58" t="n">
        <x:f>IF(R387="No","",W387*S387)</x:f>
        <x:v>-490498.34481794783</x:v>
      </x:c>
      <x:c r="Y387" s="58" t="n">
        <x:f>IF(R387="No","",W387*T387*Assumptions!$B$9)</x:f>
        <x:v>-89733.7941495205</x:v>
      </x:c>
      <x:c r="Z387" s="58" t="n">
        <x:f>IF(R387="No","",X387-Y387)</x:f>
        <x:v>-400764.5506684273</x:v>
      </x:c>
      <x:c r="AA387" s="58" t="n">
        <x:f>IF(R387="No","",MAX(0,-Z387))</x:f>
        <x:v>400764.5506684273</x:v>
      </x:c>
      <x:c r="AB387" s="52" t="n">
        <x:f>IF(OR(R387="No",U387*S387=0),"",AA387/(U387*S387))</x:f>
        <x:v>0.025376857869568163</x:v>
      </x:c>
      <x:c r="AC387" s="54" t="n">
        <x:f>IF(OR(R387="No",S387-T387*Assumptions!$B$9&lt;=0),"",AA387/(Assumptions!$B$8*(S387-T387*Assumptions!$B$9)))</x:f>
        <x:v>42.643872026042665</x:v>
      </x:c>
      <x:c r="AD387" s="52" t="n">
        <x:f>IF(OR(R387="No",U387*S387=0),"",AA387/(U387*S387))</x:f>
        <x:v>0.025376857869568163</x:v>
      </x:c>
      <x:c r="AE387" s="50" t="str">
        <x:f>IF(R387="No","No finance data",IF(AB387&gt;=10%,"Severe",IF(AB387&gt;=5%,"High",IF(AB387&gt;=2%,"Moderate","Low"))))</x:f>
        <x:v>Moderate</x:v>
      </x:c>
      <x:c r="AF387" s="60" t="n">
        <x:v>40.615966</x:v>
      </x:c>
      <x:c r="AG387" s="60" t="n">
        <x:v>-93.924893</x:v>
      </x:c>
      <x:c r="AH387" s="44" t="str">
        <x:v>Undergraduate tuition-contribution proxy only; not an audited total institutional budget.</x:v>
      </x:c>
    </x:row>
    <x:row r="388">
      <x:c r="A388" s="16" t="n">
        <x:v>153375</x:v>
      </x:c>
      <x:c r="B388" s="16" t="str">
        <x:v>Grand View University</x:v>
      </x:c>
      <x:c r="C388" s="16" t="str">
        <x:v>IA</x:v>
      </x:c>
      <x:c r="D388" s="16" t="str">
        <x:v>Private nonprofit</x:v>
      </x:c>
      <x:c r="E388" s="34" t="n">
        <x:v>1889</x:v>
      </x:c>
      <x:c r="F388" s="21" t="n">
        <x:v>0.9955</x:v>
      </x:c>
      <x:c r="G388" s="16" t="str">
        <x:v>Regional</x:v>
      </x:c>
      <x:c r="H388" s="36" t="n">
        <x:f>IF(G388="National",Assumptions!$B$11,IF(G388="Statewide",Assumptions!$B$12,Assumptions!$B$13))</x:f>
        <x:v>0.85</x:v>
      </x:c>
      <x:c r="I388" s="21" t="n">
        <x:v>-0.04263905948412006</x:v>
      </x:c>
      <x:c r="J388" s="21" t="n">
        <x:v>-0.028175369112375614</x:v>
      </x:c>
      <x:c r="K388" s="21" t="n">
        <x:v>-0.0900909934073647</x:v>
      </x:c>
      <x:c r="L388" s="36" t="n">
        <x:f>IF(Assumptions!$B$4=2030,I388,IF(Assumptions!$B$4=2035,J388,K388))</x:f>
        <x:v>-0.028175369112375614</x:v>
      </x:c>
      <x:c r="M388" s="36" t="n">
        <x:f>Assumptions!$B$19</x:f>
        <x:v>-0.04739891965741583</x:v>
      </x:c>
      <x:c r="N388" s="52" t="n">
        <x:f>H388*L388+(1-H388)*M388+O388</x:f>
        <x:v>-0.031058901694131648</x:v>
      </x:c>
      <x:c r="O388" s="36" t="n">
        <x:f>Assumptions!$B$10</x:f>
        <x:v>0</x:v>
      </x:c>
      <x:c r="P388" s="54" t="n">
        <x:f>E388*(1+N388)</x:f>
        <x:v>1830.3297346997854</x:v>
      </x:c>
      <x:c r="Q388" s="54" t="n">
        <x:f>P388-E388</x:f>
        <x:v>-58.67026530021462</x:v>
      </x:c>
      <x:c r="R388" s="16" t="str">
        <x:v>Yes</x:v>
      </x:c>
      <x:c r="S388" s="56" t="n">
        <x:v>12519</x:v>
      </x:c>
      <x:c r="T388" s="56" t="n">
        <x:v>6947</x:v>
      </x:c>
      <x:c r="U388" s="40" t="n">
        <x:f>E388*Assumptions!$B$8</x:f>
        <x:v>1605.6499999999999</x:v>
      </x:c>
      <x:c r="V388" s="40" t="n">
        <x:f>P388*Assumptions!$B$8</x:f>
        <x:v>1555.7802744948176</x:v>
      </x:c>
      <x:c r="W388" s="54" t="n">
        <x:f>V388-U388</x:f>
        <x:v>-49.86972550518226</x:v>
      </x:c>
      <x:c r="X388" s="58" t="n">
        <x:f>IF(R388="No","",W388*S388)</x:f>
        <x:v>-624319.0935993767</x:v>
      </x:c>
      <x:c r="Y388" s="58" t="n">
        <x:f>IF(R388="No","",W388*T388*Assumptions!$B$9)</x:f>
        <x:v>-103933.49492535034</x:v>
      </x:c>
      <x:c r="Z388" s="58" t="n">
        <x:f>IF(R388="No","",X388-Y388)</x:f>
        <x:v>-520385.5986740264</x:v>
      </x:c>
      <x:c r="AA388" s="58" t="n">
        <x:f>IF(R388="No","",MAX(0,-Z388))</x:f>
        <x:v>520385.5986740264</x:v>
      </x:c>
      <x:c r="AB388" s="52" t="n">
        <x:f>IF(OR(R388="No",U388*S388=0),"",AA388/(U388*S388))</x:f>
        <x:v>0.02588837233709505</x:v>
      </x:c>
      <x:c r="AC388" s="54" t="n">
        <x:f>IF(OR(R388="No",S388-T388*Assumptions!$B$9&lt;=0),"",AA388/(Assumptions!$B$8*(S388-T388*Assumptions!$B$9)))</x:f>
        <x:v>58.67026530021443</x:v>
      </x:c>
      <x:c r="AD388" s="52" t="n">
        <x:f>IF(OR(R388="No",U388*S388=0),"",AA388/(U388*S388))</x:f>
        <x:v>0.02588837233709505</x:v>
      </x:c>
      <x:c r="AE388" s="50" t="str">
        <x:f>IF(R388="No","No finance data",IF(AB388&gt;=10%,"Severe",IF(AB388&gt;=5%,"High",IF(AB388&gt;=2%,"Moderate","Low"))))</x:f>
        <x:v>Moderate</x:v>
      </x:c>
      <x:c r="AF388" s="60" t="n">
        <x:v>41.620039</x:v>
      </x:c>
      <x:c r="AG388" s="60" t="n">
        <x:v>-93.600954</x:v>
      </x:c>
      <x:c r="AH388" s="44" t="str">
        <x:v>Undergraduate tuition-contribution proxy only; not an audited total institutional budget.</x:v>
      </x:c>
    </x:row>
    <x:row r="389">
      <x:c r="A389" s="16" t="n">
        <x:v>153384</x:v>
      </x:c>
      <x:c r="B389" s="16" t="str">
        <x:v>Grinnell College</x:v>
      </x:c>
      <x:c r="C389" s="16" t="str">
        <x:v>IA</x:v>
      </x:c>
      <x:c r="D389" s="16" t="str">
        <x:v>Private nonprofit</x:v>
      </x:c>
      <x:c r="E389" s="34" t="n">
        <x:v>1663</x:v>
      </x:c>
      <x:c r="F389" s="21" t="n">
        <x:v>0.1054</x:v>
      </x:c>
      <x:c r="G389" s="16" t="str">
        <x:v>National</x:v>
      </x:c>
      <x:c r="H389" s="36" t="n">
        <x:f>IF(G389="National",Assumptions!$B$11,IF(G389="Statewide",Assumptions!$B$12,Assumptions!$B$13))</x:f>
        <x:v>0.25</x:v>
      </x:c>
      <x:c r="I389" s="21" t="n">
        <x:v>-0.04263905948412006</x:v>
      </x:c>
      <x:c r="J389" s="21" t="n">
        <x:v>-0.028175369112375614</x:v>
      </x:c>
      <x:c r="K389" s="21" t="n">
        <x:v>-0.0900909934073647</x:v>
      </x:c>
      <x:c r="L389" s="36" t="n">
        <x:f>IF(Assumptions!$B$4=2030,I389,IF(Assumptions!$B$4=2035,J389,K389))</x:f>
        <x:v>-0.028175369112375614</x:v>
      </x:c>
      <x:c r="M389" s="36" t="n">
        <x:f>Assumptions!$B$19</x:f>
        <x:v>-0.04739891965741583</x:v>
      </x:c>
      <x:c r="N389" s="52" t="n">
        <x:f>H389*L389+(1-H389)*M389+O389</x:f>
        <x:v>-0.042593032021155774</x:v>
      </x:c>
      <x:c r="O389" s="36" t="n">
        <x:f>Assumptions!$B$10</x:f>
        <x:v>0</x:v>
      </x:c>
      <x:c r="P389" s="54" t="n">
        <x:f>E389*(1+N389)</x:f>
        <x:v>1592.1677877488178</x:v>
      </x:c>
      <x:c r="Q389" s="54" t="n">
        <x:f>P389-E389</x:f>
        <x:v>-70.83221225118223</x:v>
      </x:c>
      <x:c r="R389" s="16" t="str">
        <x:v>Yes</x:v>
      </x:c>
      <x:c r="S389" s="56" t="n">
        <x:v>21865</x:v>
      </x:c>
      <x:c r="T389" s="56" t="n">
        <x:v>31368</x:v>
      </x:c>
      <x:c r="U389" s="40" t="n">
        <x:f>E389*Assumptions!$B$8</x:f>
        <x:v>1413.55</x:v>
      </x:c>
      <x:c r="V389" s="40" t="n">
        <x:f>P389*Assumptions!$B$8</x:f>
        <x:v>1353.3426195864952</x:v>
      </x:c>
      <x:c r="W389" s="54" t="n">
        <x:f>V389-U389</x:f>
        <x:v>-60.20738041350478</x:v>
      </x:c>
      <x:c r="X389" s="58" t="n">
        <x:f>IF(R389="No","",W389*S389)</x:f>
        <x:v>-1316434.372741282</x:v>
      </x:c>
      <x:c r="Y389" s="58" t="n">
        <x:f>IF(R389="No","",W389*T389*Assumptions!$B$9)</x:f>
        <x:v>-566575.5326432453</x:v>
      </x:c>
      <x:c r="Z389" s="58" t="n">
        <x:f>IF(R389="No","",X389-Y389)</x:f>
        <x:v>-749858.8400980367</x:v>
      </x:c>
      <x:c r="AA389" s="58" t="n">
        <x:f>IF(R389="No","",MAX(0,-Z389))</x:f>
        <x:v>749858.8400980367</x:v>
      </x:c>
      <x:c r="AB389" s="52" t="n">
        <x:f>IF(OR(R389="No",U389*S389=0),"",AA389/(U389*S389))</x:f>
        <x:v>0.024261567647413083</x:v>
      </x:c>
      <x:c r="AC389" s="54" t="n">
        <x:f>IF(OR(R389="No",S389-T389*Assumptions!$B$9&lt;=0),"",AA389/(Assumptions!$B$8*(S389-T389*Assumptions!$B$9)))</x:f>
        <x:v>70.8322122511821</x:v>
      </x:c>
      <x:c r="AD389" s="52" t="n">
        <x:f>IF(OR(R389="No",U389*S389=0),"",AA389/(U389*S389))</x:f>
        <x:v>0.024261567647413083</x:v>
      </x:c>
      <x:c r="AE389" s="50" t="str">
        <x:f>IF(R389="No","No finance data",IF(AB389&gt;=10%,"Severe",IF(AB389&gt;=5%,"High",IF(AB389&gt;=2%,"Moderate","Low"))))</x:f>
        <x:v>Moderate</x:v>
      </x:c>
      <x:c r="AF389" s="60" t="n">
        <x:v>41.747952</x:v>
      </x:c>
      <x:c r="AG389" s="60" t="n">
        <x:v>-92.722094</x:v>
      </x:c>
      <x:c r="AH389" s="44" t="str">
        <x:v>Undergraduate tuition-contribution proxy only; not an audited total institutional budget.</x:v>
      </x:c>
    </x:row>
    <x:row r="390">
      <x:c r="A390" s="16" t="n">
        <x:v>153603</x:v>
      </x:c>
      <x:c r="B390" s="16" t="str">
        <x:v>Iowa State University</x:v>
      </x:c>
      <x:c r="C390" s="16" t="str">
        <x:v>IA</x:v>
      </x:c>
      <x:c r="D390" s="16" t="str">
        <x:v>Public</x:v>
      </x:c>
      <x:c r="E390" s="34" t="n">
        <x:v>29520</x:v>
      </x:c>
      <x:c r="F390" s="21" t="n">
        <x:v>0.9112</x:v>
      </x:c>
      <x:c r="G390" s="16" t="str">
        <x:v>National</x:v>
      </x:c>
      <x:c r="H390" s="36" t="n">
        <x:f>IF(G390="National",Assumptions!$B$11,IF(G390="Statewide",Assumptions!$B$12,Assumptions!$B$13))</x:f>
        <x:v>0.25</x:v>
      </x:c>
      <x:c r="I390" s="21" t="n">
        <x:v>-0.04263905948412006</x:v>
      </x:c>
      <x:c r="J390" s="21" t="n">
        <x:v>-0.028175369112375614</x:v>
      </x:c>
      <x:c r="K390" s="21" t="n">
        <x:v>-0.0900909934073647</x:v>
      </x:c>
      <x:c r="L390" s="36" t="n">
        <x:f>IF(Assumptions!$B$4=2030,I390,IF(Assumptions!$B$4=2035,J390,K390))</x:f>
        <x:v>-0.028175369112375614</x:v>
      </x:c>
      <x:c r="M390" s="36" t="n">
        <x:f>Assumptions!$B$19</x:f>
        <x:v>-0.04739891965741583</x:v>
      </x:c>
      <x:c r="N390" s="52" t="n">
        <x:f>H390*L390+(1-H390)*M390+O390</x:f>
        <x:v>-0.042593032021155774</x:v>
      </x:c>
      <x:c r="O390" s="36" t="n">
        <x:f>Assumptions!$B$10</x:f>
        <x:v>0</x:v>
      </x:c>
      <x:c r="P390" s="54" t="n">
        <x:f>E390*(1+N390)</x:f>
        <x:v>28262.65369473548</x:v>
      </x:c>
      <x:c r="Q390" s="54" t="n">
        <x:f>P390-E390</x:f>
        <x:v>-1257.3463052645202</x:v>
      </x:c>
      <x:c r="R390" s="16" t="str">
        <x:v>Yes</x:v>
      </x:c>
      <x:c r="S390" s="56" t="n">
        <x:v>11820</x:v>
      </x:c>
      <x:c r="T390" s="56" t="n">
        <x:v>9454</x:v>
      </x:c>
      <x:c r="U390" s="40" t="n">
        <x:f>E390*Assumptions!$B$8</x:f>
        <x:v>25092</x:v>
      </x:c>
      <x:c r="V390" s="40" t="n">
        <x:f>P390*Assumptions!$B$8</x:f>
        <x:v>24023.255640525156</x:v>
      </x:c>
      <x:c r="W390" s="54" t="n">
        <x:f>V390-U390</x:f>
        <x:v>-1068.7443594748438</x:v>
      </x:c>
      <x:c r="X390" s="58" t="n">
        <x:f>IF(R390="No","",W390*S390)</x:f>
        <x:v>-12632558.328992654</x:v>
      </x:c>
      <x:c r="Y390" s="58" t="n">
        <x:f>IF(R390="No","",W390*T390*Assumptions!$B$9)</x:f>
        <x:v>-3031172.7523425515</x:v>
      </x:c>
      <x:c r="Z390" s="58" t="n">
        <x:f>IF(R390="No","",X390-Y390)</x:f>
        <x:v>-9601385.576650102</x:v>
      </x:c>
      <x:c r="AA390" s="58" t="n">
        <x:f>IF(R390="No","",MAX(0,-Z390))</x:f>
        <x:v>9601385.576650102</x:v>
      </x:c>
      <x:c r="AB390" s="52" t="n">
        <x:f>IF(OR(R390="No",U390*S390=0),"",AA390/(U390*S390))</x:f>
        <x:v>0.032372866418922196</x:v>
      </x:c>
      <x:c r="AC390" s="54" t="n">
        <x:f>IF(OR(R390="No",S390-T390*Assumptions!$B$9&lt;=0),"",AA390/(Assumptions!$B$8*(S390-T390*Assumptions!$B$9)))</x:f>
        <x:v>1257.3463052645222</x:v>
      </x:c>
      <x:c r="AD390" s="52" t="n">
        <x:f>IF(OR(R390="No",U390*S390=0),"",AA390/(U390*S390))</x:f>
        <x:v>0.032372866418922196</x:v>
      </x:c>
      <x:c r="AE390" s="50" t="str">
        <x:f>IF(R390="No","No finance data",IF(AB390&gt;=10%,"Severe",IF(AB390&gt;=5%,"High",IF(AB390&gt;=2%,"Moderate","Low"))))</x:f>
        <x:v>Moderate</x:v>
      </x:c>
      <x:c r="AF390" s="60" t="n">
        <x:v>42.026212</x:v>
      </x:c>
      <x:c r="AG390" s="60" t="n">
        <x:v>-93.648504</x:v>
      </x:c>
      <x:c r="AH390" s="44" t="str">
        <x:v>Undergraduate tuition-contribution proxy only; not an audited total institutional budget.</x:v>
      </x:c>
    </x:row>
    <x:row r="391">
      <x:c r="A391" s="16" t="n">
        <x:v>153621</x:v>
      </x:c>
      <x:c r="B391" s="16" t="str">
        <x:v>Iowa Wesleyan University</x:v>
      </x:c>
      <x:c r="C391" s="16" t="str">
        <x:v>IA</x:v>
      </x:c>
      <x:c r="D391" s="16" t="str">
        <x:v>Private nonprofit</x:v>
      </x:c>
      <x:c r="E391" s="34" t="n">
        <x:v>455</x:v>
      </x:c>
      <x:c r="F391" s="21" t="n">
        <x:v>0.819</x:v>
      </x:c>
      <x:c r="G391" s="16" t="str">
        <x:v>Regional</x:v>
      </x:c>
      <x:c r="H391" s="36" t="n">
        <x:f>IF(G391="National",Assumptions!$B$11,IF(G391="Statewide",Assumptions!$B$12,Assumptions!$B$13))</x:f>
        <x:v>0.85</x:v>
      </x:c>
      <x:c r="I391" s="21" t="n">
        <x:v>-0.04263905948412006</x:v>
      </x:c>
      <x:c r="J391" s="21" t="n">
        <x:v>-0.028175369112375614</x:v>
      </x:c>
      <x:c r="K391" s="21" t="n">
        <x:v>-0.0900909934073647</x:v>
      </x:c>
      <x:c r="L391" s="36" t="n">
        <x:f>IF(Assumptions!$B$4=2030,I391,IF(Assumptions!$B$4=2035,J391,K391))</x:f>
        <x:v>-0.028175369112375614</x:v>
      </x:c>
      <x:c r="M391" s="36" t="n">
        <x:f>Assumptions!$B$19</x:f>
        <x:v>-0.04739891965741583</x:v>
      </x:c>
      <x:c r="N391" s="52" t="n">
        <x:f>H391*L391+(1-H391)*M391+O391</x:f>
        <x:v>-0.031058901694131648</x:v>
      </x:c>
      <x:c r="O391" s="36" t="n">
        <x:f>Assumptions!$B$10</x:f>
        <x:v>0</x:v>
      </x:c>
      <x:c r="P391" s="54" t="n">
        <x:f>E391*(1+N391)</x:f>
        <x:v>440.8681997291701</x:v>
      </x:c>
      <x:c r="Q391" s="54" t="n">
        <x:f>P391-E391</x:f>
        <x:v>-14.131800270829899</x:v>
      </x:c>
      <x:c r="R391" s="16" t="str">
        <x:v>Yes</x:v>
      </x:c>
      <x:c r="S391" s="56" t="n">
        <x:v>10261</x:v>
      </x:c>
      <x:c r="T391" s="56" t="n">
        <x:v>6229</x:v>
      </x:c>
      <x:c r="U391" s="40" t="n">
        <x:f>E391*Assumptions!$B$8</x:f>
        <x:v>386.75</x:v>
      </x:c>
      <x:c r="V391" s="40" t="n">
        <x:f>P391*Assumptions!$B$8</x:f>
        <x:v>374.7379697697946</x:v>
      </x:c>
      <x:c r="W391" s="54" t="n">
        <x:f>V391-U391</x:f>
        <x:v>-12.012030230205426</x:v>
      </x:c>
      <x:c r="X391" s="58" t="n">
        <x:f>IF(R391="No","",W391*S391)</x:f>
        <x:v>-123255.44219213787</x:v>
      </x:c>
      <x:c r="Y391" s="58" t="n">
        <x:f>IF(R391="No","",W391*T391*Assumptions!$B$9)</x:f>
        <x:v>-22446.88089118488</x:v>
      </x:c>
      <x:c r="Z391" s="58" t="n">
        <x:f>IF(R391="No","",X391-Y391)</x:f>
        <x:v>-100808.56130095299</x:v>
      </x:c>
      <x:c r="AA391" s="58" t="n">
        <x:f>IF(R391="No","",MAX(0,-Z391))</x:f>
        <x:v>100808.56130095299</x:v>
      </x:c>
      <x:c r="AB391" s="52" t="n">
        <x:f>IF(OR(R391="No",U391*S391=0),"",AA391/(U391*S391))</x:f>
        <x:v>0.025402555373517325</x:v>
      </x:c>
      <x:c r="AC391" s="54" t="n">
        <x:f>IF(OR(R391="No",S391-T391*Assumptions!$B$9&lt;=0),"",AA391/(Assumptions!$B$8*(S391-T391*Assumptions!$B$9)))</x:f>
        <x:v>14.131800270829913</x:v>
      </x:c>
      <x:c r="AD391" s="52" t="n">
        <x:f>IF(OR(R391="No",U391*S391=0),"",AA391/(U391*S391))</x:f>
        <x:v>0.025402555373517325</x:v>
      </x:c>
      <x:c r="AE391" s="50" t="str">
        <x:f>IF(R391="No","No finance data",IF(AB391&gt;=10%,"Severe",IF(AB391&gt;=5%,"High",IF(AB391&gt;=2%,"Moderate","Low"))))</x:f>
        <x:v>Moderate</x:v>
      </x:c>
      <x:c r="AF391" s="60" t="n">
        <x:v>40.973791</x:v>
      </x:c>
      <x:c r="AG391" s="60" t="n">
        <x:v>-91.552459</x:v>
      </x:c>
      <x:c r="AH391" s="44" t="str">
        <x:v>Undergraduate tuition-contribution proxy only; not an audited total institutional budget.</x:v>
      </x:c>
    </x:row>
    <x:row r="392">
      <x:c r="A392" s="16" t="n">
        <x:v>153825</x:v>
      </x:c>
      <x:c r="B392" s="16" t="str">
        <x:v>Loras College</x:v>
      </x:c>
      <x:c r="C392" s="16" t="str">
        <x:v>IA</x:v>
      </x:c>
      <x:c r="D392" s="16" t="str">
        <x:v>Private nonprofit</x:v>
      </x:c>
      <x:c r="E392" s="34" t="n">
        <x:v>1444</x:v>
      </x:c>
      <x:c r="F392" s="21" t="n">
        <x:v>0.7196</x:v>
      </x:c>
      <x:c r="G392" s="16" t="str">
        <x:v>Regional</x:v>
      </x:c>
      <x:c r="H392" s="36" t="n">
        <x:f>IF(G392="National",Assumptions!$B$11,IF(G392="Statewide",Assumptions!$B$12,Assumptions!$B$13))</x:f>
        <x:v>0.85</x:v>
      </x:c>
      <x:c r="I392" s="21" t="n">
        <x:v>-0.04263905948412006</x:v>
      </x:c>
      <x:c r="J392" s="21" t="n">
        <x:v>-0.028175369112375614</x:v>
      </x:c>
      <x:c r="K392" s="21" t="n">
        <x:v>-0.0900909934073647</x:v>
      </x:c>
      <x:c r="L392" s="36" t="n">
        <x:f>IF(Assumptions!$B$4=2030,I392,IF(Assumptions!$B$4=2035,J392,K392))</x:f>
        <x:v>-0.028175369112375614</x:v>
      </x:c>
      <x:c r="M392" s="36" t="n">
        <x:f>Assumptions!$B$19</x:f>
        <x:v>-0.04739891965741583</x:v>
      </x:c>
      <x:c r="N392" s="52" t="n">
        <x:f>H392*L392+(1-H392)*M392+O392</x:f>
        <x:v>-0.031058901694131648</x:v>
      </x:c>
      <x:c r="O392" s="36" t="n">
        <x:f>Assumptions!$B$10</x:f>
        <x:v>0</x:v>
      </x:c>
      <x:c r="P392" s="54" t="n">
        <x:f>E392*(1+N392)</x:f>
        <x:v>1399.150945953674</x:v>
      </x:c>
      <x:c r="Q392" s="54" t="n">
        <x:f>P392-E392</x:f>
        <x:v>-44.849054046326046</x:v>
      </x:c>
      <x:c r="R392" s="16" t="str">
        <x:v>Yes</x:v>
      </x:c>
      <x:c r="S392" s="56" t="n">
        <x:v>13384</x:v>
      </x:c>
      <x:c r="T392" s="56" t="n">
        <x:v>8136</x:v>
      </x:c>
      <x:c r="U392" s="40" t="n">
        <x:f>E392*Assumptions!$B$8</x:f>
        <x:v>1227.3999999999999</x:v>
      </x:c>
      <x:c r="V392" s="40" t="n">
        <x:f>P392*Assumptions!$B$8</x:f>
        <x:v>1189.2783040606228</x:v>
      </x:c>
      <x:c r="W392" s="54" t="n">
        <x:f>V392-U392</x:f>
        <x:v>-38.121695939377105</x:v>
      </x:c>
      <x:c r="X392" s="58" t="n">
        <x:f>IF(R392="No","",W392*S392)</x:f>
        <x:v>-510220.77845262317</x:v>
      </x:c>
      <x:c r="Y392" s="58" t="n">
        <x:f>IF(R392="No","",W392*T392*Assumptions!$B$9)</x:f>
        <x:v>-93047.43544883165</x:v>
      </x:c>
      <x:c r="Z392" s="58" t="n">
        <x:f>IF(R392="No","",X392-Y392)</x:f>
        <x:v>-417173.3430037915</x:v>
      </x:c>
      <x:c r="AA392" s="58" t="n">
        <x:f>IF(R392="No","",MAX(0,-Z392))</x:f>
        <x:v>417173.3430037915</x:v>
      </x:c>
      <x:c r="AB392" s="52" t="n">
        <x:f>IF(OR(R392="No",U392*S392=0),"",AA392/(U392*S392))</x:f>
        <x:v>0.02539478280179474</x:v>
      </x:c>
      <x:c r="AC392" s="54" t="n">
        <x:f>IF(OR(R392="No",S392-T392*Assumptions!$B$9&lt;=0),"",AA392/(Assumptions!$B$8*(S392-T392*Assumptions!$B$9)))</x:f>
        <x:v>44.849054046325996</x:v>
      </x:c>
      <x:c r="AD392" s="52" t="n">
        <x:f>IF(OR(R392="No",U392*S392=0),"",AA392/(U392*S392))</x:f>
        <x:v>0.02539478280179474</x:v>
      </x:c>
      <x:c r="AE392" s="50" t="str">
        <x:f>IF(R392="No","No finance data",IF(AB392&gt;=10%,"Severe",IF(AB392&gt;=5%,"High",IF(AB392&gt;=2%,"Moderate","Low"))))</x:f>
        <x:v>Moderate</x:v>
      </x:c>
      <x:c r="AF392" s="60" t="n">
        <x:v>42.503908</x:v>
      </x:c>
      <x:c r="AG392" s="60" t="n">
        <x:v>-90.679023</x:v>
      </x:c>
      <x:c r="AH392" s="44" t="str">
        <x:v>Undergraduate tuition-contribution proxy only; not an audited total institutional budget.</x:v>
      </x:c>
    </x:row>
    <x:row r="393">
      <x:c r="A393" s="16" t="n">
        <x:v>153834</x:v>
      </x:c>
      <x:c r="B393" s="16" t="str">
        <x:v>Luther College</x:v>
      </x:c>
      <x:c r="C393" s="16" t="str">
        <x:v>IA</x:v>
      </x:c>
      <x:c r="D393" s="16" t="str">
        <x:v>Private nonprofit</x:v>
      </x:c>
      <x:c r="E393" s="34" t="n">
        <x:v>2286</x:v>
      </x:c>
      <x:c r="F393" s="21" t="n">
        <x:v>0.7607</x:v>
      </x:c>
      <x:c r="G393" s="16" t="str">
        <x:v>Regional</x:v>
      </x:c>
      <x:c r="H393" s="36" t="n">
        <x:f>IF(G393="National",Assumptions!$B$11,IF(G393="Statewide",Assumptions!$B$12,Assumptions!$B$13))</x:f>
        <x:v>0.85</x:v>
      </x:c>
      <x:c r="I393" s="21" t="n">
        <x:v>-0.04263905948412006</x:v>
      </x:c>
      <x:c r="J393" s="21" t="n">
        <x:v>-0.028175369112375614</x:v>
      </x:c>
      <x:c r="K393" s="21" t="n">
        <x:v>-0.0900909934073647</x:v>
      </x:c>
      <x:c r="L393" s="36" t="n">
        <x:f>IF(Assumptions!$B$4=2030,I393,IF(Assumptions!$B$4=2035,J393,K393))</x:f>
        <x:v>-0.028175369112375614</x:v>
      </x:c>
      <x:c r="M393" s="36" t="n">
        <x:f>Assumptions!$B$19</x:f>
        <x:v>-0.04739891965741583</x:v>
      </x:c>
      <x:c r="N393" s="52" t="n">
        <x:f>H393*L393+(1-H393)*M393+O393</x:f>
        <x:v>-0.031058901694131648</x:v>
      </x:c>
      <x:c r="O393" s="36" t="n">
        <x:f>Assumptions!$B$10</x:f>
        <x:v>0</x:v>
      </x:c>
      <x:c r="P393" s="54" t="n">
        <x:f>E393*(1+N393)</x:f>
        <x:v>2214.999350727215</x:v>
      </x:c>
      <x:c r="Q393" s="54" t="n">
        <x:f>P393-E393</x:f>
        <x:v>-71.00064927278481</x:v>
      </x:c>
      <x:c r="R393" s="16" t="str">
        <x:v>Yes</x:v>
      </x:c>
      <x:c r="S393" s="56" t="n">
        <x:v>13165</x:v>
      </x:c>
      <x:c r="T393" s="56" t="n">
        <x:v>11698</x:v>
      </x:c>
      <x:c r="U393" s="40" t="n">
        <x:f>E393*Assumptions!$B$8</x:f>
        <x:v>1943.1</x:v>
      </x:c>
      <x:c r="V393" s="40" t="n">
        <x:f>P393*Assumptions!$B$8</x:f>
        <x:v>1882.749448118133</x:v>
      </x:c>
      <x:c r="W393" s="54" t="n">
        <x:f>V393-U393</x:f>
        <x:v>-60.35055188186698</x:v>
      </x:c>
      <x:c r="X393" s="58" t="n">
        <x:f>IF(R393="No","",W393*S393)</x:f>
        <x:v>-794515.0155247787</x:v>
      </x:c>
      <x:c r="Y393" s="58" t="n">
        <x:f>IF(R393="No","",W393*T393*Assumptions!$B$9)</x:f>
        <x:v>-211794.22677422393</x:v>
      </x:c>
      <x:c r="Z393" s="58" t="n">
        <x:f>IF(R393="No","",X393-Y393)</x:f>
        <x:v>-582720.7887505548</x:v>
      </x:c>
      <x:c r="AA393" s="58" t="n">
        <x:f>IF(R393="No","",MAX(0,-Z393))</x:f>
        <x:v>582720.7887505548</x:v>
      </x:c>
      <x:c r="AB393" s="52" t="n">
        <x:f>IF(OR(R393="No",U393*S393=0),"",AA393/(U393*S393))</x:f>
        <x:v>0.02277951623227166</x:v>
      </x:c>
      <x:c r="AC393" s="54" t="n">
        <x:f>IF(OR(R393="No",S393-T393*Assumptions!$B$9&lt;=0),"",AA393/(Assumptions!$B$8*(S393-T393*Assumptions!$B$9)))</x:f>
        <x:v>71.00064927278467</x:v>
      </x:c>
      <x:c r="AD393" s="52" t="n">
        <x:f>IF(OR(R393="No",U393*S393=0),"",AA393/(U393*S393))</x:f>
        <x:v>0.02277951623227166</x:v>
      </x:c>
      <x:c r="AE393" s="50" t="str">
        <x:f>IF(R393="No","No finance data",IF(AB393&gt;=10%,"Severe",IF(AB393&gt;=5%,"High",IF(AB393&gt;=2%,"Moderate","Low"))))</x:f>
        <x:v>Moderate</x:v>
      </x:c>
      <x:c r="AF393" s="60" t="n">
        <x:v>43.312304</x:v>
      </x:c>
      <x:c r="AG393" s="60" t="n">
        <x:v>-91.802809</x:v>
      </x:c>
      <x:c r="AH393" s="44" t="str">
        <x:v>Undergraduate tuition-contribution proxy only; not an audited total institutional budget.</x:v>
      </x:c>
    </x:row>
    <x:row r="394">
      <x:c r="A394" s="16" t="n">
        <x:v>153861</x:v>
      </x:c>
      <x:c r="B394" s="16" t="str">
        <x:v>Maharishi University of Management</x:v>
      </x:c>
      <x:c r="C394" s="16" t="str">
        <x:v>IA</x:v>
      </x:c>
      <x:c r="D394" s="16" t="str">
        <x:v>Private nonprofit</x:v>
      </x:c>
      <x:c r="E394" s="34" t="n">
        <x:v>344</x:v>
      </x:c>
      <x:c r="F394" s="21" t="n">
        <x:v>0.9483</x:v>
      </x:c>
      <x:c r="G394" s="16" t="str">
        <x:v>Regional</x:v>
      </x:c>
      <x:c r="H394" s="36" t="n">
        <x:f>IF(G394="National",Assumptions!$B$11,IF(G394="Statewide",Assumptions!$B$12,Assumptions!$B$13))</x:f>
        <x:v>0.85</x:v>
      </x:c>
      <x:c r="I394" s="21" t="n">
        <x:v>-0.04263905948412006</x:v>
      </x:c>
      <x:c r="J394" s="21" t="n">
        <x:v>-0.028175369112375614</x:v>
      </x:c>
      <x:c r="K394" s="21" t="n">
        <x:v>-0.0900909934073647</x:v>
      </x:c>
      <x:c r="L394" s="36" t="n">
        <x:f>IF(Assumptions!$B$4=2030,I394,IF(Assumptions!$B$4=2035,J394,K394))</x:f>
        <x:v>-0.028175369112375614</x:v>
      </x:c>
      <x:c r="M394" s="36" t="n">
        <x:f>Assumptions!$B$19</x:f>
        <x:v>-0.04739891965741583</x:v>
      </x:c>
      <x:c r="N394" s="52" t="n">
        <x:f>H394*L394+(1-H394)*M394+O394</x:f>
        <x:v>-0.031058901694131648</x:v>
      </x:c>
      <x:c r="O394" s="36" t="n">
        <x:f>Assumptions!$B$10</x:f>
        <x:v>0</x:v>
      </x:c>
      <x:c r="P394" s="54" t="n">
        <x:f>E394*(1+N394)</x:f>
        <x:v>333.31573781721875</x:v>
      </x:c>
      <x:c r="Q394" s="54" t="n">
        <x:f>P394-E394</x:f>
        <x:v>-10.684262182781254</x:v>
      </x:c>
      <x:c r="R394" s="16" t="str">
        <x:v>Yes</x:v>
      </x:c>
      <x:c r="S394" s="56" t="n">
        <x:v>11784</x:v>
      </x:c>
      <x:c r="T394" s="56" t="n">
        <x:v>6823</x:v>
      </x:c>
      <x:c r="U394" s="40" t="n">
        <x:f>E394*Assumptions!$B$8</x:f>
        <x:v>292.4</x:v>
      </x:c>
      <x:c r="V394" s="40" t="n">
        <x:f>P394*Assumptions!$B$8</x:f>
        <x:v>283.3183771446359</x:v>
      </x:c>
      <x:c r="W394" s="54" t="n">
        <x:f>V394-U394</x:f>
        <x:v>-9.08162285536406</x:v>
      </x:c>
      <x:c r="X394" s="58" t="n">
        <x:f>IF(R394="No","",W394*S394)</x:f>
        <x:v>-107017.84372761009</x:v>
      </x:c>
      <x:c r="Y394" s="58" t="n">
        <x:f>IF(R394="No","",W394*T394*Assumptions!$B$9)</x:f>
        <x:v>-18589.173822644694</x:v>
      </x:c>
      <x:c r="Z394" s="58" t="n">
        <x:f>IF(R394="No","",X394-Y394)</x:f>
        <x:v>-88428.6699049654</x:v>
      </x:c>
      <x:c r="AA394" s="58" t="n">
        <x:f>IF(R394="No","",MAX(0,-Z394))</x:f>
        <x:v>88428.6699049654</x:v>
      </x:c>
      <x:c r="AB394" s="52" t="n">
        <x:f>IF(OR(R394="No",U394*S394=0),"",AA394/(U394*S394))</x:f>
        <x:v>0.025663919864725746</x:v>
      </x:c>
      <x:c r="AC394" s="54" t="n">
        <x:f>IF(OR(R394="No",S394-T394*Assumptions!$B$9&lt;=0),"",AA394/(Assumptions!$B$8*(S394-T394*Assumptions!$B$9)))</x:f>
        <x:v>10.684262182781248</x:v>
      </x:c>
      <x:c r="AD394" s="52" t="n">
        <x:f>IF(OR(R394="No",U394*S394=0),"",AA394/(U394*S394))</x:f>
        <x:v>0.025663919864725746</x:v>
      </x:c>
      <x:c r="AE394" s="50" t="str">
        <x:f>IF(R394="No","No finance data",IF(AB394&gt;=10%,"Severe",IF(AB394&gt;=5%,"High",IF(AB394&gt;=2%,"Moderate","Low"))))</x:f>
        <x:v>Moderate</x:v>
      </x:c>
      <x:c r="AF394" s="60" t="n">
        <x:v>41.017781</x:v>
      </x:c>
      <x:c r="AG394" s="60" t="n">
        <x:v>-91.967306</x:v>
      </x:c>
      <x:c r="AH394" s="44" t="str">
        <x:v>Undergraduate tuition-contribution proxy only; not an audited total institutional budget.</x:v>
      </x:c>
    </x:row>
    <x:row r="395">
      <x:c r="A395" s="16" t="n">
        <x:v>154004</x:v>
      </x:c>
      <x:c r="B395" s="16" t="str">
        <x:v>Morningside College</x:v>
      </x:c>
      <x:c r="C395" s="16" t="str">
        <x:v>IA</x:v>
      </x:c>
      <x:c r="D395" s="16" t="str">
        <x:v>Private nonprofit</x:v>
      </x:c>
      <x:c r="E395" s="34" t="n">
        <x:v>1298</x:v>
      </x:c>
      <x:c r="F395" s="21" t="n">
        <x:v>0.738</x:v>
      </x:c>
      <x:c r="G395" s="16" t="str">
        <x:v>Regional</x:v>
      </x:c>
      <x:c r="H395" s="36" t="n">
        <x:f>IF(G395="National",Assumptions!$B$11,IF(G395="Statewide",Assumptions!$B$12,Assumptions!$B$13))</x:f>
        <x:v>0.85</x:v>
      </x:c>
      <x:c r="I395" s="21" t="n">
        <x:v>-0.04263905948412006</x:v>
      </x:c>
      <x:c r="J395" s="21" t="n">
        <x:v>-0.028175369112375614</x:v>
      </x:c>
      <x:c r="K395" s="21" t="n">
        <x:v>-0.0900909934073647</x:v>
      </x:c>
      <x:c r="L395" s="36" t="n">
        <x:f>IF(Assumptions!$B$4=2030,I395,IF(Assumptions!$B$4=2035,J395,K395))</x:f>
        <x:v>-0.028175369112375614</x:v>
      </x:c>
      <x:c r="M395" s="36" t="n">
        <x:f>Assumptions!$B$19</x:f>
        <x:v>-0.04739891965741583</x:v>
      </x:c>
      <x:c r="N395" s="52" t="n">
        <x:f>H395*L395+(1-H395)*M395+O395</x:f>
        <x:v>-0.031058901694131648</x:v>
      </x:c>
      <x:c r="O395" s="36" t="n">
        <x:f>Assumptions!$B$10</x:f>
        <x:v>0</x:v>
      </x:c>
      <x:c r="P395" s="54" t="n">
        <x:f>E395*(1+N395)</x:f>
        <x:v>1257.685545601017</x:v>
      </x:c>
      <x:c r="Q395" s="54" t="n">
        <x:f>P395-E395</x:f>
        <x:v>-40.31445439898289</x:v>
      </x:c>
      <x:c r="R395" s="16" t="str">
        <x:v>Yes</x:v>
      </x:c>
      <x:c r="S395" s="56" t="n">
        <x:v>11634</x:v>
      </x:c>
      <x:c r="T395" s="56" t="n">
        <x:v>6700</x:v>
      </x:c>
      <x:c r="U395" s="40" t="n">
        <x:f>E395*Assumptions!$B$8</x:f>
        <x:v>1103.3</x:v>
      </x:c>
      <x:c r="V395" s="40" t="n">
        <x:f>P395*Assumptions!$B$8</x:f>
        <x:v>1069.0327137608645</x:v>
      </x:c>
      <x:c r="W395" s="54" t="n">
        <x:f>V395-U395</x:f>
        <x:v>-34.2672862391355</x:v>
      </x:c>
      <x:c r="X395" s="58" t="n">
        <x:f>IF(R395="No","",W395*S395)</x:f>
        <x:v>-398665.60810610245</x:v>
      </x:c>
      <x:c r="Y395" s="58" t="n">
        <x:f>IF(R395="No","",W395*T395*Assumptions!$B$9)</x:f>
        <x:v>-68877.24534066235</x:v>
      </x:c>
      <x:c r="Z395" s="58" t="n">
        <x:f>IF(R395="No","",X395-Y395)</x:f>
        <x:v>-329788.3627654401</x:v>
      </x:c>
      <x:c r="AA395" s="58" t="n">
        <x:f>IF(R395="No","",MAX(0,-Z395))</x:f>
        <x:v>329788.3627654401</x:v>
      </x:c>
      <x:c r="AB395" s="52" t="n">
        <x:f>IF(OR(R395="No",U395*S395=0),"",AA395/(U395*S395))</x:f>
        <x:v>0.025692871746976403</x:v>
      </x:c>
      <x:c r="AC395" s="54" t="n">
        <x:f>IF(OR(R395="No",S395-T395*Assumptions!$B$9&lt;=0),"",AA395/(Assumptions!$B$8*(S395-T395*Assumptions!$B$9)))</x:f>
        <x:v>40.314454398982946</x:v>
      </x:c>
      <x:c r="AD395" s="52" t="n">
        <x:f>IF(OR(R395="No",U395*S395=0),"",AA395/(U395*S395))</x:f>
        <x:v>0.025692871746976403</x:v>
      </x:c>
      <x:c r="AE395" s="50" t="str">
        <x:f>IF(R395="No","No finance data",IF(AB395&gt;=10%,"Severe",IF(AB395&gt;=5%,"High",IF(AB395&gt;=2%,"Moderate","Low"))))</x:f>
        <x:v>Moderate</x:v>
      </x:c>
      <x:c r="AF395" s="60" t="n">
        <x:v>42.473891</x:v>
      </x:c>
      <x:c r="AG395" s="60" t="n">
        <x:v>-96.359464</x:v>
      </x:c>
      <x:c r="AH395" s="44" t="str">
        <x:v>Undergraduate tuition-contribution proxy only; not an audited total institutional budget.</x:v>
      </x:c>
    </x:row>
    <x:row r="396">
      <x:c r="A396" s="16" t="n">
        <x:v>154013</x:v>
      </x:c>
      <x:c r="B396" s="16" t="str">
        <x:v>Mount Mercy University</x:v>
      </x:c>
      <x:c r="C396" s="16" t="str">
        <x:v>IA</x:v>
      </x:c>
      <x:c r="D396" s="16" t="str">
        <x:v>Private nonprofit</x:v>
      </x:c>
      <x:c r="E396" s="34" t="n">
        <x:v>1535</x:v>
      </x:c>
      <x:c r="F396" s="21" t="n">
        <x:v>0.8099</x:v>
      </x:c>
      <x:c r="G396" s="16" t="str">
        <x:v>Regional</x:v>
      </x:c>
      <x:c r="H396" s="36" t="n">
        <x:f>IF(G396="National",Assumptions!$B$11,IF(G396="Statewide",Assumptions!$B$12,Assumptions!$B$13))</x:f>
        <x:v>0.85</x:v>
      </x:c>
      <x:c r="I396" s="21" t="n">
        <x:v>-0.04263905948412006</x:v>
      </x:c>
      <x:c r="J396" s="21" t="n">
        <x:v>-0.028175369112375614</x:v>
      </x:c>
      <x:c r="K396" s="21" t="n">
        <x:v>-0.0900909934073647</x:v>
      </x:c>
      <x:c r="L396" s="36" t="n">
        <x:f>IF(Assumptions!$B$4=2030,I396,IF(Assumptions!$B$4=2035,J396,K396))</x:f>
        <x:v>-0.028175369112375614</x:v>
      </x:c>
      <x:c r="M396" s="36" t="n">
        <x:f>Assumptions!$B$19</x:f>
        <x:v>-0.04739891965741583</x:v>
      </x:c>
      <x:c r="N396" s="52" t="n">
        <x:f>H396*L396+(1-H396)*M396+O396</x:f>
        <x:v>-0.031058901694131648</x:v>
      </x:c>
      <x:c r="O396" s="36" t="n">
        <x:f>Assumptions!$B$10</x:f>
        <x:v>0</x:v>
      </x:c>
      <x:c r="P396" s="54" t="n">
        <x:f>E396*(1+N396)</x:f>
        <x:v>1487.324585899508</x:v>
      </x:c>
      <x:c r="Q396" s="54" t="n">
        <x:f>P396-E396</x:f>
        <x:v>-47.675414100491935</x:v>
      </x:c>
      <x:c r="R396" s="16" t="str">
        <x:v>Yes</x:v>
      </x:c>
      <x:c r="S396" s="56" t="n">
        <x:v>13965</x:v>
      </x:c>
      <x:c r="T396" s="56" t="n">
        <x:v>6971</x:v>
      </x:c>
      <x:c r="U396" s="40" t="n">
        <x:f>E396*Assumptions!$B$8</x:f>
        <x:v>1304.75</x:v>
      </x:c>
      <x:c r="V396" s="40" t="n">
        <x:f>P396*Assumptions!$B$8</x:f>
        <x:v>1264.2258980145818</x:v>
      </x:c>
      <x:c r="W396" s="54" t="n">
        <x:f>V396-U396</x:f>
        <x:v>-40.524101985418156</x:v>
      </x:c>
      <x:c r="X396" s="58" t="n">
        <x:f>IF(R396="No","",W396*S396)</x:f>
        <x:v>-565919.0842263645</x:v>
      </x:c>
      <x:c r="Y396" s="58" t="n">
        <x:f>IF(R396="No","",W396*T396*Assumptions!$B$9)</x:f>
        <x:v>-84748.05448210498</x:v>
      </x:c>
      <x:c r="Z396" s="58" t="n">
        <x:f>IF(R396="No","",X396-Y396)</x:f>
        <x:v>-481171.02974425955</x:v>
      </x:c>
      <x:c r="AA396" s="58" t="n">
        <x:f>IF(R396="No","",MAX(0,-Z396))</x:f>
        <x:v>481171.02974425955</x:v>
      </x:c>
      <x:c r="AB396" s="52" t="n">
        <x:f>IF(OR(R396="No",U396*S396=0),"",AA396/(U396*S396))</x:f>
        <x:v>0.026407739423244536</x:v>
      </x:c>
      <x:c r="AC396" s="54" t="n">
        <x:f>IF(OR(R396="No",S396-T396*Assumptions!$B$9&lt;=0),"",AA396/(Assumptions!$B$8*(S396-T396*Assumptions!$B$9)))</x:f>
        <x:v>47.67541410049194</x:v>
      </x:c>
      <x:c r="AD396" s="52" t="n">
        <x:f>IF(OR(R396="No",U396*S396=0),"",AA396/(U396*S396))</x:f>
        <x:v>0.026407739423244536</x:v>
      </x:c>
      <x:c r="AE396" s="50" t="str">
        <x:f>IF(R396="No","No finance data",IF(AB396&gt;=10%,"Severe",IF(AB396&gt;=5%,"High",IF(AB396&gt;=2%,"Moderate","Low"))))</x:f>
        <x:v>Moderate</x:v>
      </x:c>
      <x:c r="AF396" s="60" t="n">
        <x:v>42.001931</x:v>
      </x:c>
      <x:c r="AG396" s="60" t="n">
        <x:v>-91.650991</x:v>
      </x:c>
      <x:c r="AH396" s="44" t="str">
        <x:v>Undergraduate tuition-contribution proxy only; not an audited total institutional budget.</x:v>
      </x:c>
    </x:row>
    <x:row r="397">
      <x:c r="A397" s="16" t="n">
        <x:v>154101</x:v>
      </x:c>
      <x:c r="B397" s="16" t="str">
        <x:v>Northwestern College</x:v>
      </x:c>
      <x:c r="C397" s="16" t="str">
        <x:v>IA</x:v>
      </x:c>
      <x:c r="D397" s="16" t="str">
        <x:v>Private nonprofit</x:v>
      </x:c>
      <x:c r="E397" s="34" t="n">
        <x:v>1084</x:v>
      </x:c>
      <x:c r="F397" s="21" t="n">
        <x:v>0.8302</x:v>
      </x:c>
      <x:c r="G397" s="16" t="str">
        <x:v>Regional</x:v>
      </x:c>
      <x:c r="H397" s="36" t="n">
        <x:f>IF(G397="National",Assumptions!$B$11,IF(G397="Statewide",Assumptions!$B$12,Assumptions!$B$13))</x:f>
        <x:v>0.85</x:v>
      </x:c>
      <x:c r="I397" s="21" t="n">
        <x:v>-0.04263905948412006</x:v>
      </x:c>
      <x:c r="J397" s="21" t="n">
        <x:v>-0.028175369112375614</x:v>
      </x:c>
      <x:c r="K397" s="21" t="n">
        <x:v>-0.0900909934073647</x:v>
      </x:c>
      <x:c r="L397" s="36" t="n">
        <x:f>IF(Assumptions!$B$4=2030,I397,IF(Assumptions!$B$4=2035,J397,K397))</x:f>
        <x:v>-0.028175369112375614</x:v>
      </x:c>
      <x:c r="M397" s="36" t="n">
        <x:f>Assumptions!$B$19</x:f>
        <x:v>-0.04739891965741583</x:v>
      </x:c>
      <x:c r="N397" s="52" t="n">
        <x:f>H397*L397+(1-H397)*M397+O397</x:f>
        <x:v>-0.031058901694131648</x:v>
      </x:c>
      <x:c r="O397" s="36" t="n">
        <x:f>Assumptions!$B$10</x:f>
        <x:v>0</x:v>
      </x:c>
      <x:c r="P397" s="54" t="n">
        <x:f>E397*(1+N397)</x:f>
        <x:v>1050.3321505635613</x:v>
      </x:c>
      <x:c r="Q397" s="54" t="n">
        <x:f>P397-E397</x:f>
        <x:v>-33.6678494364387</x:v>
      </x:c>
      <x:c r="R397" s="16" t="str">
        <x:v>Yes</x:v>
      </x:c>
      <x:c r="S397" s="56" t="n">
        <x:v>12099</x:v>
      </x:c>
      <x:c r="T397" s="56" t="n">
        <x:v>8376</x:v>
      </x:c>
      <x:c r="U397" s="40" t="n">
        <x:f>E397*Assumptions!$B$8</x:f>
        <x:v>921.4</x:v>
      </x:c>
      <x:c r="V397" s="40" t="n">
        <x:f>P397*Assumptions!$B$8</x:f>
        <x:v>892.7823279790271</x:v>
      </x:c>
      <x:c r="W397" s="54" t="n">
        <x:f>V397-U397</x:f>
        <x:v>-28.61767202097292</x:v>
      </x:c>
      <x:c r="X397" s="58" t="n">
        <x:f>IF(R397="No","",W397*S397)</x:f>
        <x:v>-346245.21378175134</x:v>
      </x:c>
      <x:c r="Y397" s="58" t="n">
        <x:f>IF(R397="No","",W397*T397*Assumptions!$B$9)</x:f>
        <x:v>-71910.48625430075</x:v>
      </x:c>
      <x:c r="Z397" s="58" t="n">
        <x:f>IF(R397="No","",X397-Y397)</x:f>
        <x:v>-274334.7275274506</x:v>
      </x:c>
      <x:c r="AA397" s="58" t="n">
        <x:f>IF(R397="No","",MAX(0,-Z397))</x:f>
        <x:v>274334.7275274506</x:v>
      </x:c>
      <x:c r="AB397" s="52" t="n">
        <x:f>IF(OR(R397="No",U397*S397=0),"",AA397/(U397*S397))</x:f>
        <x:v>0.02460838444667204</x:v>
      </x:c>
      <x:c r="AC397" s="54" t="n">
        <x:f>IF(OR(R397="No",S397-T397*Assumptions!$B$9&lt;=0),"",AA397/(Assumptions!$B$8*(S397-T397*Assumptions!$B$9)))</x:f>
        <x:v>33.66784943643873</x:v>
      </x:c>
      <x:c r="AD397" s="52" t="n">
        <x:f>IF(OR(R397="No",U397*S397=0),"",AA397/(U397*S397))</x:f>
        <x:v>0.02460838444667204</x:v>
      </x:c>
      <x:c r="AE397" s="50" t="str">
        <x:f>IF(R397="No","No finance data",IF(AB397&gt;=10%,"Severe",IF(AB397&gt;=5%,"High",IF(AB397&gt;=2%,"Moderate","Low"))))</x:f>
        <x:v>Moderate</x:v>
      </x:c>
      <x:c r="AF397" s="60" t="n">
        <x:v>42.999007</x:v>
      </x:c>
      <x:c r="AG397" s="60" t="n">
        <x:v>-96.058772</x:v>
      </x:c>
      <x:c r="AH397" s="44" t="str">
        <x:v>Undergraduate tuition-contribution proxy only; not an audited total institutional budget.</x:v>
      </x:c>
    </x:row>
    <x:row r="398">
      <x:c r="A398" s="16" t="n">
        <x:v>154174</x:v>
      </x:c>
      <x:c r="B398" s="16" t="str">
        <x:v>Palmer College of Chiropractic</x:v>
      </x:c>
      <x:c r="C398" s="16" t="str">
        <x:v>IA</x:v>
      </x:c>
      <x:c r="D398" s="16" t="str">
        <x:v>Private nonprofit</x:v>
      </x:c>
      <x:c r="E398" s="34" t="n">
        <x:v>32</x:v>
      </x:c>
      <x:c r="F398" s="21"/>
      <x:c r="G398" s="16" t="str">
        <x:v>Regional</x:v>
      </x:c>
      <x:c r="H398" s="36" t="n">
        <x:f>IF(G398="National",Assumptions!$B$11,IF(G398="Statewide",Assumptions!$B$12,Assumptions!$B$13))</x:f>
        <x:v>0.85</x:v>
      </x:c>
      <x:c r="I398" s="21" t="n">
        <x:v>-0.04263905948412006</x:v>
      </x:c>
      <x:c r="J398" s="21" t="n">
        <x:v>-0.028175369112375614</x:v>
      </x:c>
      <x:c r="K398" s="21" t="n">
        <x:v>-0.0900909934073647</x:v>
      </x:c>
      <x:c r="L398" s="36" t="n">
        <x:f>IF(Assumptions!$B$4=2030,I398,IF(Assumptions!$B$4=2035,J398,K398))</x:f>
        <x:v>-0.028175369112375614</x:v>
      </x:c>
      <x:c r="M398" s="36" t="n">
        <x:f>Assumptions!$B$19</x:f>
        <x:v>-0.04739891965741583</x:v>
      </x:c>
      <x:c r="N398" s="52" t="n">
        <x:f>H398*L398+(1-H398)*M398+O398</x:f>
        <x:v>-0.031058901694131648</x:v>
      </x:c>
      <x:c r="O398" s="36" t="n">
        <x:f>Assumptions!$B$10</x:f>
        <x:v>0</x:v>
      </x:c>
      <x:c r="P398" s="54" t="n">
        <x:f>E398*(1+N398)</x:f>
        <x:v>31.00611514578779</x:v>
      </x:c>
      <x:c r="Q398" s="54" t="n">
        <x:f>P398-E398</x:f>
        <x:v>-0.9938848542122116</x:v>
      </x:c>
      <x:c r="R398" s="16" t="str">
        <x:v>No</x:v>
      </x:c>
      <x:c r="S398" s="56"/>
      <x:c r="T398" s="56"/>
      <x:c r="U398" s="40" t="n">
        <x:f>E398*Assumptions!$B$8</x:f>
        <x:v>27.2</x:v>
      </x:c>
      <x:c r="V398" s="40" t="n">
        <x:f>P398*Assumptions!$B$8</x:f>
        <x:v>26.355197873919618</x:v>
      </x:c>
      <x:c r="W398" s="54" t="n">
        <x:f>V398-U398</x:f>
        <x:v>-0.8448021260803813</x:v>
      </x:c>
      <x:c r="X398" s="58" t="str">
        <x:f>IF(R398="No","",W398*S398)</x:f>
      </x:c>
      <x:c r="Y398" s="58" t="str">
        <x:f>IF(R398="No","",W398*T398*Assumptions!$B$9)</x:f>
      </x:c>
      <x:c r="Z398" s="58" t="str">
        <x:f>IF(R398="No","",X398-Y398)</x:f>
      </x:c>
      <x:c r="AA398" s="58" t="str">
        <x:f>IF(R398="No","",MAX(0,-Z398))</x:f>
      </x:c>
      <x:c r="AB398" s="52" t="str">
        <x:f>IF(OR(R398="No",U398*S398=0),"",AA398/(U398*S398))</x:f>
      </x:c>
      <x:c r="AC398" s="54" t="str">
        <x:f>IF(OR(R398="No",S398-T398*Assumptions!$B$9&lt;=0),"",AA398/(Assumptions!$B$8*(S398-T398*Assumptions!$B$9)))</x:f>
      </x:c>
      <x:c r="AD398" s="52" t="str">
        <x:f>IF(OR(R398="No",U398*S398=0),"",AA398/(U398*S398))</x:f>
      </x:c>
      <x:c r="AE398" s="50" t="str">
        <x:f>IF(R398="No","No finance data",IF(AB398&gt;=10%,"Severe",IF(AB398&gt;=5%,"High",IF(AB398&gt;=2%,"Moderate","Low"))))</x:f>
        <x:v>No finance data</x:v>
      </x:c>
      <x:c r="AF398" s="60"/>
      <x:c r="AG398" s="60"/>
      <x:c r="AH398" s="44" t="str">
        <x:v>Undergraduate tuition-contribution proxy only; not an audited total institutional budget.</x:v>
      </x:c>
    </x:row>
    <x:row r="399">
      <x:c r="A399" s="16" t="n">
        <x:v>154235</x:v>
      </x:c>
      <x:c r="B399" s="16" t="str">
        <x:v>Saint Ambrose University</x:v>
      </x:c>
      <x:c r="C399" s="16" t="str">
        <x:v>IA</x:v>
      </x:c>
      <x:c r="D399" s="16" t="str">
        <x:v>Private nonprofit</x:v>
      </x:c>
      <x:c r="E399" s="34" t="n">
        <x:v>2461</x:v>
      </x:c>
      <x:c r="F399" s="21" t="n">
        <x:v>0.7241</x:v>
      </x:c>
      <x:c r="G399" s="16" t="str">
        <x:v>Regional</x:v>
      </x:c>
      <x:c r="H399" s="36" t="n">
        <x:f>IF(G399="National",Assumptions!$B$11,IF(G399="Statewide",Assumptions!$B$12,Assumptions!$B$13))</x:f>
        <x:v>0.85</x:v>
      </x:c>
      <x:c r="I399" s="21" t="n">
        <x:v>-0.04263905948412006</x:v>
      </x:c>
      <x:c r="J399" s="21" t="n">
        <x:v>-0.028175369112375614</x:v>
      </x:c>
      <x:c r="K399" s="21" t="n">
        <x:v>-0.0900909934073647</x:v>
      </x:c>
      <x:c r="L399" s="36" t="n">
        <x:f>IF(Assumptions!$B$4=2030,I399,IF(Assumptions!$B$4=2035,J399,K399))</x:f>
        <x:v>-0.028175369112375614</x:v>
      </x:c>
      <x:c r="M399" s="36" t="n">
        <x:f>Assumptions!$B$19</x:f>
        <x:v>-0.04739891965741583</x:v>
      </x:c>
      <x:c r="N399" s="52" t="n">
        <x:f>H399*L399+(1-H399)*M399+O399</x:f>
        <x:v>-0.031058901694131648</x:v>
      </x:c>
      <x:c r="O399" s="36" t="n">
        <x:f>Assumptions!$B$10</x:f>
        <x:v>0</x:v>
      </x:c>
      <x:c r="P399" s="54" t="n">
        <x:f>E399*(1+N399)</x:f>
        <x:v>2384.5640429307423</x:v>
      </x:c>
      <x:c r="Q399" s="54" t="n">
        <x:f>P399-E399</x:f>
        <x:v>-76.43595706925771</x:v>
      </x:c>
      <x:c r="R399" s="16" t="str">
        <x:v>Yes</x:v>
      </x:c>
      <x:c r="S399" s="56" t="n">
        <x:v>18086</x:v>
      </x:c>
      <x:c r="T399" s="56" t="n">
        <x:v>9724</x:v>
      </x:c>
      <x:c r="U399" s="40" t="n">
        <x:f>E399*Assumptions!$B$8</x:f>
        <x:v>2091.85</x:v>
      </x:c>
      <x:c r="V399" s="40" t="n">
        <x:f>P399*Assumptions!$B$8</x:f>
        <x:v>2026.879436491131</x:v>
      </x:c>
      <x:c r="W399" s="54" t="n">
        <x:f>V399-U399</x:f>
        <x:v>-64.97056350886896</x:v>
      </x:c>
      <x:c r="X399" s="58" t="n">
        <x:f>IF(R399="No","",W399*S399)</x:f>
        <x:v>-1175057.611621404</x:v>
      </x:c>
      <x:c r="Y399" s="58" t="n">
        <x:f>IF(R399="No","",W399*T399*Assumptions!$B$9)</x:f>
        <x:v>-189532.12786807254</x:v>
      </x:c>
      <x:c r="Z399" s="58" t="n">
        <x:f>IF(R399="No","",X399-Y399)</x:f>
        <x:v>-985525.4837533315</x:v>
      </x:c>
      <x:c r="AA399" s="58" t="n">
        <x:f>IF(R399="No","",MAX(0,-Z399))</x:f>
        <x:v>985525.4837533315</x:v>
      </x:c>
      <x:c r="AB399" s="52" t="n">
        <x:f>IF(OR(R399="No",U399*S399=0),"",AA399/(U399*S399))</x:f>
        <x:v>0.026049224152269256</x:v>
      </x:c>
      <x:c r="AC399" s="54" t="n">
        <x:f>IF(OR(R399="No",S399-T399*Assumptions!$B$9&lt;=0),"",AA399/(Assumptions!$B$8*(S399-T399*Assumptions!$B$9)))</x:f>
        <x:v>76.4359570692576</x:v>
      </x:c>
      <x:c r="AD399" s="52" t="n">
        <x:f>IF(OR(R399="No",U399*S399=0),"",AA399/(U399*S399))</x:f>
        <x:v>0.026049224152269256</x:v>
      </x:c>
      <x:c r="AE399" s="50" t="str">
        <x:f>IF(R399="No","No finance data",IF(AB399&gt;=10%,"Severe",IF(AB399&gt;=5%,"High",IF(AB399&gt;=2%,"Moderate","Low"))))</x:f>
        <x:v>Moderate</x:v>
      </x:c>
      <x:c r="AF399" s="60" t="n">
        <x:v>41.54065</x:v>
      </x:c>
      <x:c r="AG399" s="60" t="n">
        <x:v>-90.579854</x:v>
      </x:c>
      <x:c r="AH399" s="44" t="str">
        <x:v>Undergraduate tuition-contribution proxy only; not an audited total institutional budget.</x:v>
      </x:c>
    </x:row>
    <x:row r="400">
      <x:c r="A400" s="16" t="n">
        <x:v>154350</x:v>
      </x:c>
      <x:c r="B400" s="16" t="str">
        <x:v>Simpson College</x:v>
      </x:c>
      <x:c r="C400" s="16" t="str">
        <x:v>IA</x:v>
      </x:c>
      <x:c r="D400" s="16" t="str">
        <x:v>Private nonprofit</x:v>
      </x:c>
      <x:c r="E400" s="34" t="n">
        <x:v>1592</x:v>
      </x:c>
      <x:c r="F400" s="21" t="n">
        <x:v>0.9083</x:v>
      </x:c>
      <x:c r="G400" s="16" t="str">
        <x:v>Regional</x:v>
      </x:c>
      <x:c r="H400" s="36" t="n">
        <x:f>IF(G400="National",Assumptions!$B$11,IF(G400="Statewide",Assumptions!$B$12,Assumptions!$B$13))</x:f>
        <x:v>0.85</x:v>
      </x:c>
      <x:c r="I400" s="21" t="n">
        <x:v>-0.04263905948412006</x:v>
      </x:c>
      <x:c r="J400" s="21" t="n">
        <x:v>-0.028175369112375614</x:v>
      </x:c>
      <x:c r="K400" s="21" t="n">
        <x:v>-0.0900909934073647</x:v>
      </x:c>
      <x:c r="L400" s="36" t="n">
        <x:f>IF(Assumptions!$B$4=2030,I400,IF(Assumptions!$B$4=2035,J400,K400))</x:f>
        <x:v>-0.028175369112375614</x:v>
      </x:c>
      <x:c r="M400" s="36" t="n">
        <x:f>Assumptions!$B$19</x:f>
        <x:v>-0.04739891965741583</x:v>
      </x:c>
      <x:c r="N400" s="52" t="n">
        <x:f>H400*L400+(1-H400)*M400+O400</x:f>
        <x:v>-0.031058901694131648</x:v>
      </x:c>
      <x:c r="O400" s="36" t="n">
        <x:f>Assumptions!$B$10</x:f>
        <x:v>0</x:v>
      </x:c>
      <x:c r="P400" s="54" t="n">
        <x:f>E400*(1+N400)</x:f>
        <x:v>1542.5542285029426</x:v>
      </x:c>
      <x:c r="Q400" s="54" t="n">
        <x:f>P400-E400</x:f>
        <x:v>-49.44577149705742</x:v>
      </x:c>
      <x:c r="R400" s="16" t="str">
        <x:v>Yes</x:v>
      </x:c>
      <x:c r="S400" s="56" t="n">
        <x:v>13486</x:v>
      </x:c>
      <x:c r="T400" s="56" t="n">
        <x:v>9544</x:v>
      </x:c>
      <x:c r="U400" s="40" t="n">
        <x:f>E400*Assumptions!$B$8</x:f>
        <x:v>1353.2</x:v>
      </x:c>
      <x:c r="V400" s="40" t="n">
        <x:f>P400*Assumptions!$B$8</x:f>
        <x:v>1311.171094227501</x:v>
      </x:c>
      <x:c r="W400" s="54" t="n">
        <x:f>V400-U400</x:f>
        <x:v>-42.028905772499</x:v>
      </x:c>
      <x:c r="X400" s="58" t="n">
        <x:f>IF(R400="No","",W400*S400)</x:f>
        <x:v>-566801.8232479215</x:v>
      </x:c>
      <x:c r="Y400" s="58" t="n">
        <x:f>IF(R400="No","",W400*T400*Assumptions!$B$9)</x:f>
        <x:v>-120337.16300781914</x:v>
      </x:c>
      <x:c r="Z400" s="58" t="n">
        <x:f>IF(R400="No","",X400-Y400)</x:f>
        <x:v>-446464.6602401024</x:v>
      </x:c>
      <x:c r="AA400" s="58" t="n">
        <x:f>IF(R400="No","",MAX(0,-Z400))</x:f>
        <x:v>446464.6602401024</x:v>
      </x:c>
      <x:c r="AB400" s="52" t="n">
        <x:f>IF(OR(R400="No",U400*S400=0),"",AA400/(U400*S400))</x:f>
        <x:v>0.02446481543203486</x:v>
      </x:c>
      <x:c r="AC400" s="54" t="n">
        <x:f>IF(OR(R400="No",S400-T400*Assumptions!$B$9&lt;=0),"",AA400/(Assumptions!$B$8*(S400-T400*Assumptions!$B$9)))</x:f>
        <x:v>49.44577149705765</x:v>
      </x:c>
      <x:c r="AD400" s="52" t="n">
        <x:f>IF(OR(R400="No",U400*S400=0),"",AA400/(U400*S400))</x:f>
        <x:v>0.02446481543203486</x:v>
      </x:c>
      <x:c r="AE400" s="50" t="str">
        <x:f>IF(R400="No","No finance data",IF(AB400&gt;=10%,"Severe",IF(AB400&gt;=5%,"High",IF(AB400&gt;=2%,"Moderate","Low"))))</x:f>
        <x:v>Moderate</x:v>
      </x:c>
      <x:c r="AF400" s="60" t="n">
        <x:v>41.365503</x:v>
      </x:c>
      <x:c r="AG400" s="60" t="n">
        <x:v>-93.563471</x:v>
      </x:c>
      <x:c r="AH400" s="44" t="str">
        <x:v>Undergraduate tuition-contribution proxy only; not an audited total institutional budget.</x:v>
      </x:c>
    </x:row>
    <x:row r="401">
      <x:c r="A401" s="16" t="n">
        <x:v>153278</x:v>
      </x:c>
      <x:c r="B401" s="16" t="str">
        <x:v>University of Dubuque</x:v>
      </x:c>
      <x:c r="C401" s="16" t="str">
        <x:v>IA</x:v>
      </x:c>
      <x:c r="D401" s="16" t="str">
        <x:v>Private nonprofit</x:v>
      </x:c>
      <x:c r="E401" s="34" t="n">
        <x:v>1834</x:v>
      </x:c>
      <x:c r="F401" s="21" t="n">
        <x:v>0.7643</x:v>
      </x:c>
      <x:c r="G401" s="16" t="str">
        <x:v>Regional</x:v>
      </x:c>
      <x:c r="H401" s="36" t="n">
        <x:f>IF(G401="National",Assumptions!$B$11,IF(G401="Statewide",Assumptions!$B$12,Assumptions!$B$13))</x:f>
        <x:v>0.85</x:v>
      </x:c>
      <x:c r="I401" s="21" t="n">
        <x:v>-0.04263905948412006</x:v>
      </x:c>
      <x:c r="J401" s="21" t="n">
        <x:v>-0.028175369112375614</x:v>
      </x:c>
      <x:c r="K401" s="21" t="n">
        <x:v>-0.0900909934073647</x:v>
      </x:c>
      <x:c r="L401" s="36" t="n">
        <x:f>IF(Assumptions!$B$4=2030,I401,IF(Assumptions!$B$4=2035,J401,K401))</x:f>
        <x:v>-0.028175369112375614</x:v>
      </x:c>
      <x:c r="M401" s="36" t="n">
        <x:f>Assumptions!$B$19</x:f>
        <x:v>-0.04739891965741583</x:v>
      </x:c>
      <x:c r="N401" s="52" t="n">
        <x:f>H401*L401+(1-H401)*M401+O401</x:f>
        <x:v>-0.031058901694131648</x:v>
      </x:c>
      <x:c r="O401" s="36" t="n">
        <x:f>Assumptions!$B$10</x:f>
        <x:v>0</x:v>
      </x:c>
      <x:c r="P401" s="54" t="n">
        <x:f>E401*(1+N401)</x:f>
        <x:v>1777.0379742929626</x:v>
      </x:c>
      <x:c r="Q401" s="54" t="n">
        <x:f>P401-E401</x:f>
        <x:v>-56.962025707037355</x:v>
      </x:c>
      <x:c r="R401" s="16" t="str">
        <x:v>Yes</x:v>
      </x:c>
      <x:c r="S401" s="56" t="n">
        <x:v>22267</x:v>
      </x:c>
      <x:c r="T401" s="56" t="n">
        <x:v>10713</x:v>
      </x:c>
      <x:c r="U401" s="40" t="n">
        <x:f>E401*Assumptions!$B$8</x:f>
        <x:v>1558.8999999999999</x:v>
      </x:c>
      <x:c r="V401" s="40" t="n">
        <x:f>P401*Assumptions!$B$8</x:f>
        <x:v>1510.4822781490182</x:v>
      </x:c>
      <x:c r="W401" s="54" t="n">
        <x:f>V401-U401</x:f>
        <x:v>-48.41772185098171</x:v>
      </x:c>
      <x:c r="X401" s="58" t="n">
        <x:f>IF(R401="No","",W401*S401)</x:f>
        <x:v>-1078117.4124558098</x:v>
      </x:c>
      <x:c r="Y401" s="58" t="n">
        <x:f>IF(R401="No","",W401*T401*Assumptions!$B$9)</x:f>
        <x:v>-155609.7162568701</x:v>
      </x:c>
      <x:c r="Z401" s="58" t="n">
        <x:f>IF(R401="No","",X401-Y401)</x:f>
        <x:v>-922507.6961989397</x:v>
      </x:c>
      <x:c r="AA401" s="58" t="n">
        <x:f>IF(R401="No","",MAX(0,-Z401))</x:f>
        <x:v>922507.6961989397</x:v>
      </x:c>
      <x:c r="AB401" s="52" t="n">
        <x:f>IF(OR(R401="No",U401*S401=0),"",AA401/(U401*S401))</x:f>
        <x:v>0.026576025502692703</x:v>
      </x:c>
      <x:c r="AC401" s="54" t="n">
        <x:f>IF(OR(R401="No",S401-T401*Assumptions!$B$9&lt;=0),"",AA401/(Assumptions!$B$8*(S401-T401*Assumptions!$B$9)))</x:f>
        <x:v>56.96202570703731</x:v>
      </x:c>
      <x:c r="AD401" s="52" t="n">
        <x:f>IF(OR(R401="No",U401*S401=0),"",AA401/(U401*S401))</x:f>
        <x:v>0.026576025502692703</x:v>
      </x:c>
      <x:c r="AE401" s="50" t="str">
        <x:f>IF(R401="No","No finance data",IF(AB401&gt;=10%,"Severe",IF(AB401&gt;=5%,"High",IF(AB401&gt;=2%,"Moderate","Low"))))</x:f>
        <x:v>Moderate</x:v>
      </x:c>
      <x:c r="AF401" s="60" t="n">
        <x:v>42.49726</x:v>
      </x:c>
      <x:c r="AG401" s="60" t="n">
        <x:v>-90.693428</x:v>
      </x:c>
      <x:c r="AH401" s="44" t="str">
        <x:v>Undergraduate tuition-contribution proxy only; not an audited total institutional budget.</x:v>
      </x:c>
    </x:row>
    <x:row r="402">
      <x:c r="A402" s="16" t="n">
        <x:v>153658</x:v>
      </x:c>
      <x:c r="B402" s="16" t="str">
        <x:v>University of Iowa</x:v>
      </x:c>
      <x:c r="C402" s="16" t="str">
        <x:v>IA</x:v>
      </x:c>
      <x:c r="D402" s="16" t="str">
        <x:v>Public</x:v>
      </x:c>
      <x:c r="E402" s="34" t="n">
        <x:v>21970</x:v>
      </x:c>
      <x:c r="F402" s="21" t="n">
        <x:v>0.8621</x:v>
      </x:c>
      <x:c r="G402" s="16" t="str">
        <x:v>Statewide</x:v>
      </x:c>
      <x:c r="H402" s="36" t="n">
        <x:f>IF(G402="National",Assumptions!$B$11,IF(G402="Statewide",Assumptions!$B$12,Assumptions!$B$13))</x:f>
        <x:v>0.6</x:v>
      </x:c>
      <x:c r="I402" s="21" t="n">
        <x:v>-0.04263905948412006</x:v>
      </x:c>
      <x:c r="J402" s="21" t="n">
        <x:v>-0.028175369112375614</x:v>
      </x:c>
      <x:c r="K402" s="21" t="n">
        <x:v>-0.0900909934073647</x:v>
      </x:c>
      <x:c r="L402" s="36" t="n">
        <x:f>IF(Assumptions!$B$4=2030,I402,IF(Assumptions!$B$4=2035,J402,K402))</x:f>
        <x:v>-0.028175369112375614</x:v>
      </x:c>
      <x:c r="M402" s="36" t="n">
        <x:f>Assumptions!$B$19</x:f>
        <x:v>-0.04739891965741583</x:v>
      </x:c>
      <x:c r="N402" s="52" t="n">
        <x:f>H402*L402+(1-H402)*M402+O402</x:f>
        <x:v>-0.0358647893303917</x:v>
      </x:c>
      <x:c r="O402" s="36" t="n">
        <x:f>Assumptions!$B$10</x:f>
        <x:v>0</x:v>
      </x:c>
      <x:c r="P402" s="54" t="n">
        <x:f>E402*(1+N402)</x:f>
        <x:v>21182.050578411294</x:v>
      </x:c>
      <x:c r="Q402" s="54" t="n">
        <x:f>P402-E402</x:f>
        <x:v>-787.9494215887062</x:v>
      </x:c>
      <x:c r="R402" s="16" t="str">
        <x:v>Yes</x:v>
      </x:c>
      <x:c r="S402" s="56" t="n">
        <x:v>14898</x:v>
      </x:c>
      <x:c r="T402" s="56" t="n">
        <x:v>14373</x:v>
      </x:c>
      <x:c r="U402" s="40" t="n">
        <x:f>E402*Assumptions!$B$8</x:f>
        <x:v>18674.5</x:v>
      </x:c>
      <x:c r="V402" s="40" t="n">
        <x:f>P402*Assumptions!$B$8</x:f>
        <x:v>18004.7429916496</x:v>
      </x:c>
      <x:c r="W402" s="54" t="n">
        <x:f>V402-U402</x:f>
        <x:v>-669.7570083503997</x:v>
      </x:c>
      <x:c r="X402" s="58" t="n">
        <x:f>IF(R402="No","",W402*S402)</x:f>
        <x:v>-9978039.910404256</x:v>
      </x:c>
      <x:c r="Y402" s="58" t="n">
        <x:f>IF(R402="No","",W402*T402*Assumptions!$B$9)</x:f>
        <x:v>-2887925.244306088</x:v>
      </x:c>
      <x:c r="Z402" s="58" t="n">
        <x:f>IF(R402="No","",X402-Y402)</x:f>
        <x:v>-7090114.666098168</x:v>
      </x:c>
      <x:c r="AA402" s="58" t="n">
        <x:f>IF(R402="No","",MAX(0,-Z402))</x:f>
        <x:v>7090114.666098168</x:v>
      </x:c>
      <x:c r="AB402" s="52" t="n">
        <x:f>IF(OR(R402="No",U402*S402=0),"",AA402/(U402*S402))</x:f>
        <x:v>0.025484511097493598</x:v>
      </x:c>
      <x:c r="AC402" s="54" t="n">
        <x:f>IF(OR(R402="No",S402-T402*Assumptions!$B$9&lt;=0),"",AA402/(Assumptions!$B$8*(S402-T402*Assumptions!$B$9)))</x:f>
        <x:v>787.9494215887058</x:v>
      </x:c>
      <x:c r="AD402" s="52" t="n">
        <x:f>IF(OR(R402="No",U402*S402=0),"",AA402/(U402*S402))</x:f>
        <x:v>0.025484511097493598</x:v>
      </x:c>
      <x:c r="AE402" s="50" t="str">
        <x:f>IF(R402="No","No finance data",IF(AB402&gt;=10%,"Severe",IF(AB402&gt;=5%,"High",IF(AB402&gt;=2%,"Moderate","Low"))))</x:f>
        <x:v>Moderate</x:v>
      </x:c>
      <x:c r="AF402" s="60" t="n">
        <x:v>41.661935</x:v>
      </x:c>
      <x:c r="AG402" s="60" t="n">
        <x:v>-91.536425</x:v>
      </x:c>
      <x:c r="AH402" s="44" t="str">
        <x:v>Undergraduate tuition-contribution proxy only; not an audited total institutional budget.</x:v>
      </x:c>
    </x:row>
    <x:row r="403">
      <x:c r="A403" s="16" t="n">
        <x:v>154095</x:v>
      </x:c>
      <x:c r="B403" s="16" t="str">
        <x:v>University of Northern Iowa</x:v>
      </x:c>
      <x:c r="C403" s="16" t="str">
        <x:v>IA</x:v>
      </x:c>
      <x:c r="D403" s="16" t="str">
        <x:v>Public</x:v>
      </x:c>
      <x:c r="E403" s="34" t="n">
        <x:v>9934</x:v>
      </x:c>
      <x:c r="F403" s="21" t="n">
        <x:v>0.8579</x:v>
      </x:c>
      <x:c r="G403" s="16" t="str">
        <x:v>Statewide</x:v>
      </x:c>
      <x:c r="H403" s="36" t="n">
        <x:f>IF(G403="National",Assumptions!$B$11,IF(G403="Statewide",Assumptions!$B$12,Assumptions!$B$13))</x:f>
        <x:v>0.6</x:v>
      </x:c>
      <x:c r="I403" s="21" t="n">
        <x:v>-0.04263905948412006</x:v>
      </x:c>
      <x:c r="J403" s="21" t="n">
        <x:v>-0.028175369112375614</x:v>
      </x:c>
      <x:c r="K403" s="21" t="n">
        <x:v>-0.0900909934073647</x:v>
      </x:c>
      <x:c r="L403" s="36" t="n">
        <x:f>IF(Assumptions!$B$4=2030,I403,IF(Assumptions!$B$4=2035,J403,K403))</x:f>
        <x:v>-0.028175369112375614</x:v>
      </x:c>
      <x:c r="M403" s="36" t="n">
        <x:f>Assumptions!$B$19</x:f>
        <x:v>-0.04739891965741583</x:v>
      </x:c>
      <x:c r="N403" s="52" t="n">
        <x:f>H403*L403+(1-H403)*M403+O403</x:f>
        <x:v>-0.0358647893303917</x:v>
      </x:c>
      <x:c r="O403" s="36" t="n">
        <x:f>Assumptions!$B$10</x:f>
        <x:v>0</x:v>
      </x:c>
      <x:c r="P403" s="54" t="n">
        <x:f>E403*(1+N403)</x:f>
        <x:v>9577.719182791889</x:v>
      </x:c>
      <x:c r="Q403" s="54" t="n">
        <x:f>P403-E403</x:f>
        <x:v>-356.28081720811133</x:v>
      </x:c>
      <x:c r="R403" s="16" t="str">
        <x:v>Yes</x:v>
      </x:c>
      <x:c r="S403" s="56" t="n">
        <x:v>5993</x:v>
      </x:c>
      <x:c r="T403" s="56" t="n">
        <x:v>10254</x:v>
      </x:c>
      <x:c r="U403" s="40" t="n">
        <x:f>E403*Assumptions!$B$8</x:f>
        <x:v>8443.9</x:v>
      </x:c>
      <x:c r="V403" s="40" t="n">
        <x:f>P403*Assumptions!$B$8</x:f>
        <x:v>8141.061305373105</x:v>
      </x:c>
      <x:c r="W403" s="54" t="n">
        <x:f>V403-U403</x:f>
        <x:v>-302.8386946268947</x:v>
      </x:c>
      <x:c r="X403" s="58" t="n">
        <x:f>IF(R403="No","",W403*S403)</x:f>
        <x:v>-1814912.2968989802</x:v>
      </x:c>
      <x:c r="Y403" s="58" t="n">
        <x:f>IF(R403="No","",W403*T403*Assumptions!$B$9)</x:f>
        <x:v>-931592.3924112535</x:v>
      </x:c>
      <x:c r="Z403" s="58" t="n">
        <x:f>IF(R403="No","",X403-Y403)</x:f>
        <x:v>-883319.9044877266</x:v>
      </x:c>
      <x:c r="AA403" s="58" t="n">
        <x:f>IF(R403="No","",MAX(0,-Z403))</x:f>
        <x:v>883319.9044877266</x:v>
      </x:c>
      <x:c r="AB403" s="52" t="n">
        <x:f>IF(OR(R403="No",U403*S403=0),"",AA403/(U403*S403))</x:f>
        <x:v>0.017455434259784186</x:v>
      </x:c>
      <x:c r="AC403" s="54" t="n">
        <x:f>IF(OR(R403="No",S403-T403*Assumptions!$B$9&lt;=0),"",AA403/(Assumptions!$B$8*(S403-T403*Assumptions!$B$9)))</x:f>
        <x:v>356.28081720811144</x:v>
      </x:c>
      <x:c r="AD403" s="52" t="n">
        <x:f>IF(OR(R403="No",U403*S403=0),"",AA403/(U403*S403))</x:f>
        <x:v>0.017455434259784186</x:v>
      </x:c>
      <x:c r="AE403" s="50" t="str">
        <x:f>IF(R403="No","No finance data",IF(AB403&gt;=10%,"Severe",IF(AB403&gt;=5%,"High",IF(AB403&gt;=2%,"Moderate","Low"))))</x:f>
        <x:v>Low</x:v>
      </x:c>
      <x:c r="AF403" s="60" t="n">
        <x:v>42.514923</x:v>
      </x:c>
      <x:c r="AG403" s="60" t="n">
        <x:v>-92.459703</x:v>
      </x:c>
      <x:c r="AH403" s="44" t="str">
        <x:v>Undergraduate tuition-contribution proxy only; not an audited total institutional budget.</x:v>
      </x:c>
    </x:row>
    <x:row r="404">
      <x:c r="A404" s="16" t="n">
        <x:v>154493</x:v>
      </x:c>
      <x:c r="B404" s="16" t="str">
        <x:v>Upper Iowa University</x:v>
      </x:c>
      <x:c r="C404" s="16" t="str">
        <x:v>IA</x:v>
      </x:c>
      <x:c r="D404" s="16" t="str">
        <x:v>Private nonprofit</x:v>
      </x:c>
      <x:c r="E404" s="34" t="n">
        <x:v>4022</x:v>
      </x:c>
      <x:c r="F404" s="21" t="n">
        <x:v>0.6492</x:v>
      </x:c>
      <x:c r="G404" s="16" t="str">
        <x:v>Regional</x:v>
      </x:c>
      <x:c r="H404" s="36" t="n">
        <x:f>IF(G404="National",Assumptions!$B$11,IF(G404="Statewide",Assumptions!$B$12,Assumptions!$B$13))</x:f>
        <x:v>0.85</x:v>
      </x:c>
      <x:c r="I404" s="21" t="n">
        <x:v>-0.04263905948412006</x:v>
      </x:c>
      <x:c r="J404" s="21" t="n">
        <x:v>-0.028175369112375614</x:v>
      </x:c>
      <x:c r="K404" s="21" t="n">
        <x:v>-0.0900909934073647</x:v>
      </x:c>
      <x:c r="L404" s="36" t="n">
        <x:f>IF(Assumptions!$B$4=2030,I404,IF(Assumptions!$B$4=2035,J404,K404))</x:f>
        <x:v>-0.028175369112375614</x:v>
      </x:c>
      <x:c r="M404" s="36" t="n">
        <x:f>Assumptions!$B$19</x:f>
        <x:v>-0.04739891965741583</x:v>
      </x:c>
      <x:c r="N404" s="52" t="n">
        <x:f>H404*L404+(1-H404)*M404+O404</x:f>
        <x:v>-0.031058901694131648</x:v>
      </x:c>
      <x:c r="O404" s="36" t="n">
        <x:f>Assumptions!$B$10</x:f>
        <x:v>0</x:v>
      </x:c>
      <x:c r="P404" s="54" t="n">
        <x:f>E404*(1+N404)</x:f>
        <x:v>3897.0810973862026</x:v>
      </x:c>
      <x:c r="Q404" s="54" t="n">
        <x:f>P404-E404</x:f>
        <x:v>-124.9189026137974</x:v>
      </x:c>
      <x:c r="R404" s="16" t="str">
        <x:v>Yes</x:v>
      </x:c>
      <x:c r="S404" s="56" t="n">
        <x:v>9104</x:v>
      </x:c>
      <x:c r="T404" s="56" t="n">
        <x:v>3769</x:v>
      </x:c>
      <x:c r="U404" s="40" t="n">
        <x:f>E404*Assumptions!$B$8</x:f>
        <x:v>3418.7</x:v>
      </x:c>
      <x:c r="V404" s="40" t="n">
        <x:f>P404*Assumptions!$B$8</x:f>
        <x:v>3312.5189327782723</x:v>
      </x:c>
      <x:c r="W404" s="54" t="n">
        <x:f>V404-U404</x:f>
        <x:v>-106.18106722172752</x:v>
      </x:c>
      <x:c r="X404" s="58" t="n">
        <x:f>IF(R404="No","",W404*S404)</x:f>
        <x:v>-966672.4359866073</x:v>
      </x:c>
      <x:c r="Y404" s="58" t="n">
        <x:f>IF(R404="No","",W404*T404*Assumptions!$B$9)</x:f>
        <x:v>-120058.9327076073</x:v>
      </x:c>
      <x:c r="Z404" s="58" t="n">
        <x:f>IF(R404="No","",X404-Y404)</x:f>
        <x:v>-846613.503279</x:v>
      </x:c>
      <x:c r="AA404" s="58" t="n">
        <x:f>IF(R404="No","",MAX(0,-Z404))</x:f>
        <x:v>846613.503279</x:v>
      </x:c>
      <x:c r="AB404" s="52" t="n">
        <x:f>IF(OR(R404="No",U404*S404=0),"",AA404/(U404*S404))</x:f>
        <x:v>0.027201443418038124</x:v>
      </x:c>
      <x:c r="AC404" s="54" t="n">
        <x:f>IF(OR(R404="No",S404-T404*Assumptions!$B$9&lt;=0),"",AA404/(Assumptions!$B$8*(S404-T404*Assumptions!$B$9)))</x:f>
        <x:v>124.91890261379707</x:v>
      </x:c>
      <x:c r="AD404" s="52" t="n">
        <x:f>IF(OR(R404="No",U404*S404=0),"",AA404/(U404*S404))</x:f>
        <x:v>0.027201443418038124</x:v>
      </x:c>
      <x:c r="AE404" s="50" t="str">
        <x:f>IF(R404="No","No finance data",IF(AB404&gt;=10%,"Severe",IF(AB404&gt;=5%,"High",IF(AB404&gt;=2%,"Moderate","Low"))))</x:f>
        <x:v>Moderate</x:v>
      </x:c>
      <x:c r="AF404" s="60" t="n">
        <x:v>42.838283</x:v>
      </x:c>
      <x:c r="AG404" s="60" t="n">
        <x:v>-91.799543</x:v>
      </x:c>
      <x:c r="AH404" s="44" t="str">
        <x:v>Undergraduate tuition-contribution proxy only; not an audited total institutional budget.</x:v>
      </x:c>
    </x:row>
    <x:row r="405">
      <x:c r="A405" s="16" t="n">
        <x:v>154527</x:v>
      </x:c>
      <x:c r="B405" s="16" t="str">
        <x:v>Wartburg College</x:v>
      </x:c>
      <x:c r="C405" s="16" t="str">
        <x:v>IA</x:v>
      </x:c>
      <x:c r="D405" s="16" t="str">
        <x:v>Private nonprofit</x:v>
      </x:c>
      <x:c r="E405" s="34" t="n">
        <x:v>1497</x:v>
      </x:c>
      <x:c r="F405" s="21" t="n">
        <x:v>0.8275</x:v>
      </x:c>
      <x:c r="G405" s="16" t="str">
        <x:v>Regional</x:v>
      </x:c>
      <x:c r="H405" s="36" t="n">
        <x:f>IF(G405="National",Assumptions!$B$11,IF(G405="Statewide",Assumptions!$B$12,Assumptions!$B$13))</x:f>
        <x:v>0.85</x:v>
      </x:c>
      <x:c r="I405" s="21" t="n">
        <x:v>-0.04263905948412006</x:v>
      </x:c>
      <x:c r="J405" s="21" t="n">
        <x:v>-0.028175369112375614</x:v>
      </x:c>
      <x:c r="K405" s="21" t="n">
        <x:v>-0.0900909934073647</x:v>
      </x:c>
      <x:c r="L405" s="36" t="n">
        <x:f>IF(Assumptions!$B$4=2030,I405,IF(Assumptions!$B$4=2035,J405,K405))</x:f>
        <x:v>-0.028175369112375614</x:v>
      </x:c>
      <x:c r="M405" s="36" t="n">
        <x:f>Assumptions!$B$19</x:f>
        <x:v>-0.04739891965741583</x:v>
      </x:c>
      <x:c r="N405" s="52" t="n">
        <x:f>H405*L405+(1-H405)*M405+O405</x:f>
        <x:v>-0.031058901694131648</x:v>
      </x:c>
      <x:c r="O405" s="36" t="n">
        <x:f>Assumptions!$B$10</x:f>
        <x:v>0</x:v>
      </x:c>
      <x:c r="P405" s="54" t="n">
        <x:f>E405*(1+N405)</x:f>
        <x:v>1450.504824163885</x:v>
      </x:c>
      <x:c r="Q405" s="54" t="n">
        <x:f>P405-E405</x:f>
        <x:v>-46.495175836115095</x:v>
      </x:c>
      <x:c r="R405" s="16" t="str">
        <x:v>Yes</x:v>
      </x:c>
      <x:c r="S405" s="56" t="n">
        <x:v>16941</x:v>
      </x:c>
      <x:c r="T405" s="56" t="n">
        <x:v>8451</x:v>
      </x:c>
      <x:c r="U405" s="40" t="n">
        <x:f>E405*Assumptions!$B$8</x:f>
        <x:v>1272.45</x:v>
      </x:c>
      <x:c r="V405" s="40" t="n">
        <x:f>P405*Assumptions!$B$8</x:f>
        <x:v>1232.9291005393022</x:v>
      </x:c>
      <x:c r="W405" s="54" t="n">
        <x:f>V405-U405</x:f>
        <x:v>-39.52089946069782</x:v>
      </x:c>
      <x:c r="X405" s="58" t="n">
        <x:f>IF(R405="No","",W405*S405)</x:f>
        <x:v>-669523.5577636817</x:v>
      </x:c>
      <x:c r="Y405" s="58" t="n">
        <x:f>IF(R405="No","",W405*T405*Assumptions!$B$9)</x:f>
        <x:v>-100197.33640270717</x:v>
      </x:c>
      <x:c r="Z405" s="58" t="n">
        <x:f>IF(R405="No","",X405-Y405)</x:f>
        <x:v>-569326.2213609746</x:v>
      </x:c>
      <x:c r="AA405" s="58" t="n">
        <x:f>IF(R405="No","",MAX(0,-Z405))</x:f>
        <x:v>569326.2213609746</x:v>
      </x:c>
      <x:c r="AB405" s="52" t="n">
        <x:f>IF(OR(R405="No",U405*S405=0),"",AA405/(U405*S405))</x:f>
        <x:v>0.026410791578723353</x:v>
      </x:c>
      <x:c r="AC405" s="54" t="n">
        <x:f>IF(OR(R405="No",S405-T405*Assumptions!$B$9&lt;=0),"",AA405/(Assumptions!$B$8*(S405-T405*Assumptions!$B$9)))</x:f>
        <x:v>46.49517583611508</x:v>
      </x:c>
      <x:c r="AD405" s="52" t="n">
        <x:f>IF(OR(R405="No",U405*S405=0),"",AA405/(U405*S405))</x:f>
        <x:v>0.026410791578723353</x:v>
      </x:c>
      <x:c r="AE405" s="50" t="str">
        <x:f>IF(R405="No","No finance data",IF(AB405&gt;=10%,"Severe",IF(AB405&gt;=5%,"High",IF(AB405&gt;=2%,"Moderate","Low"))))</x:f>
        <x:v>Moderate</x:v>
      </x:c>
      <x:c r="AF405" s="60" t="n">
        <x:v>42.7277</x:v>
      </x:c>
      <x:c r="AG405" s="60" t="n">
        <x:v>-92.483387</x:v>
      </x:c>
      <x:c r="AH405" s="44" t="str">
        <x:v>Undergraduate tuition-contribution proxy only; not an audited total institutional budget.</x:v>
      </x:c>
    </x:row>
    <x:row r="406">
      <x:c r="A406" s="16" t="n">
        <x:v>154590</x:v>
      </x:c>
      <x:c r="B406" s="16" t="str">
        <x:v>William Penn University</x:v>
      </x:c>
      <x:c r="C406" s="16" t="str">
        <x:v>IA</x:v>
      </x:c>
      <x:c r="D406" s="16" t="str">
        <x:v>Private nonprofit</x:v>
      </x:c>
      <x:c r="E406" s="34" t="n">
        <x:v>1459</x:v>
      </x:c>
      <x:c r="F406" s="21" t="n">
        <x:v>0.5768</x:v>
      </x:c>
      <x:c r="G406" s="16" t="str">
        <x:v>Regional</x:v>
      </x:c>
      <x:c r="H406" s="36" t="n">
        <x:f>IF(G406="National",Assumptions!$B$11,IF(G406="Statewide",Assumptions!$B$12,Assumptions!$B$13))</x:f>
        <x:v>0.85</x:v>
      </x:c>
      <x:c r="I406" s="21" t="n">
        <x:v>-0.04263905948412006</x:v>
      </x:c>
      <x:c r="J406" s="21" t="n">
        <x:v>-0.028175369112375614</x:v>
      </x:c>
      <x:c r="K406" s="21" t="n">
        <x:v>-0.0900909934073647</x:v>
      </x:c>
      <x:c r="L406" s="36" t="n">
        <x:f>IF(Assumptions!$B$4=2030,I406,IF(Assumptions!$B$4=2035,J406,K406))</x:f>
        <x:v>-0.028175369112375614</x:v>
      </x:c>
      <x:c r="M406" s="36" t="n">
        <x:f>Assumptions!$B$19</x:f>
        <x:v>-0.04739891965741583</x:v>
      </x:c>
      <x:c r="N406" s="52" t="n">
        <x:f>H406*L406+(1-H406)*M406+O406</x:f>
        <x:v>-0.031058901694131648</x:v>
      </x:c>
      <x:c r="O406" s="36" t="n">
        <x:f>Assumptions!$B$10</x:f>
        <x:v>0</x:v>
      </x:c>
      <x:c r="P406" s="54" t="n">
        <x:f>E406*(1+N406)</x:f>
        <x:v>1413.685062428262</x:v>
      </x:c>
      <x:c r="Q406" s="54" t="n">
        <x:f>P406-E406</x:f>
        <x:v>-45.31493757173803</x:v>
      </x:c>
      <x:c r="R406" s="16" t="str">
        <x:v>Yes</x:v>
      </x:c>
      <x:c r="S406" s="56" t="n">
        <x:v>9800</x:v>
      </x:c>
      <x:c r="T406" s="56" t="n">
        <x:v>5484</x:v>
      </x:c>
      <x:c r="U406" s="40" t="n">
        <x:f>E406*Assumptions!$B$8</x:f>
        <x:v>1240.1499999999999</x:v>
      </x:c>
      <x:c r="V406" s="40" t="n">
        <x:f>P406*Assumptions!$B$8</x:f>
        <x:v>1201.6323030640226</x:v>
      </x:c>
      <x:c r="W406" s="54" t="n">
        <x:f>V406-U406</x:f>
        <x:v>-38.517696935977256</x:v>
      </x:c>
      <x:c r="X406" s="58" t="n">
        <x:f>IF(R406="No","",W406*S406)</x:f>
        <x:v>-377473.4299725771</x:v>
      </x:c>
      <x:c r="Y406" s="58" t="n">
        <x:f>IF(R406="No","",W406*T406*Assumptions!$B$9)</x:f>
        <x:v>-63369.31499906978</x:v>
      </x:c>
      <x:c r="Z406" s="58" t="n">
        <x:f>IF(R406="No","",X406-Y406)</x:f>
        <x:v>-314104.1149735073</x:v>
      </x:c>
      <x:c r="AA406" s="58" t="n">
        <x:f>IF(R406="No","",MAX(0,-Z406))</x:f>
        <x:v>314104.1149735073</x:v>
      </x:c>
      <x:c r="AB406" s="52" t="n">
        <x:f>IF(OR(R406="No",U406*S406=0),"",AA406/(U406*S406))</x:f>
        <x:v>0.02584480934033715</x:v>
      </x:c>
      <x:c r="AC406" s="54" t="n">
        <x:f>IF(OR(R406="No",S406-T406*Assumptions!$B$9&lt;=0),"",AA406/(Assumptions!$B$8*(S406-T406*Assumptions!$B$9)))</x:f>
        <x:v>45.31493757173794</x:v>
      </x:c>
      <x:c r="AD406" s="52" t="n">
        <x:f>IF(OR(R406="No",U406*S406=0),"",AA406/(U406*S406))</x:f>
        <x:v>0.02584480934033715</x:v>
      </x:c>
      <x:c r="AE406" s="50" t="str">
        <x:f>IF(R406="No","No finance data",IF(AB406&gt;=10%,"Severe",IF(AB406&gt;=5%,"High",IF(AB406&gt;=2%,"Moderate","Low"))))</x:f>
        <x:v>Moderate</x:v>
      </x:c>
      <x:c r="AF406" s="60" t="n">
        <x:v>41.310111</x:v>
      </x:c>
      <x:c r="AG406" s="60" t="n">
        <x:v>-92.647095</x:v>
      </x:c>
      <x:c r="AH406" s="44" t="str">
        <x:v>Undergraduate tuition-contribution proxy only; not an audited total institutional budget.</x:v>
      </x:c>
    </x:row>
    <x:row r="407">
      <x:c r="A407" s="16" t="n">
        <x:v>142090</x:v>
      </x:c>
      <x:c r="B407" s="16" t="str">
        <x:v>Boise Bible College</x:v>
      </x:c>
      <x:c r="C407" s="16" t="str">
        <x:v>ID</x:v>
      </x:c>
      <x:c r="D407" s="16" t="str">
        <x:v>Private nonprofit</x:v>
      </x:c>
      <x:c r="E407" s="34" t="n">
        <x:v>143</x:v>
      </x:c>
      <x:c r="F407" s="21"/>
      <x:c r="G407" s="16" t="str">
        <x:v>Regional</x:v>
      </x:c>
      <x:c r="H407" s="36" t="n">
        <x:f>IF(G407="National",Assumptions!$B$11,IF(G407="Statewide",Assumptions!$B$12,Assumptions!$B$13))</x:f>
        <x:v>0.85</x:v>
      </x:c>
      <x:c r="I407" s="21" t="n">
        <x:v>0.008271676781112403</x:v>
      </x:c>
      <x:c r="J407" s="21" t="n">
        <x:v>0.06031257793665312</x:v>
      </x:c>
      <x:c r="K407" s="21" t="n">
        <x:v>0.0768559314988777</x:v>
      </x:c>
      <x:c r="L407" s="36" t="n">
        <x:f>IF(Assumptions!$B$4=2030,I407,IF(Assumptions!$B$4=2035,J407,K407))</x:f>
        <x:v>0.06031257793665312</x:v>
      </x:c>
      <x:c r="M407" s="36" t="n">
        <x:f>Assumptions!$B$19</x:f>
        <x:v>-0.04739891965741583</x:v>
      </x:c>
      <x:c r="N407" s="52" t="n">
        <x:f>H407*L407+(1-H407)*M407+O407</x:f>
        <x:v>0.04415585329754278</x:v>
      </x:c>
      <x:c r="O407" s="36" t="n">
        <x:f>Assumptions!$B$10</x:f>
        <x:v>0</x:v>
      </x:c>
      <x:c r="P407" s="54" t="n">
        <x:f>E407*(1+N407)</x:f>
        <x:v>149.3142870215486</x:v>
      </x:c>
      <x:c r="Q407" s="54" t="n">
        <x:f>P407-E407</x:f>
        <x:v>6.314287021548608</x:v>
      </x:c>
      <x:c r="R407" s="16" t="str">
        <x:v>No</x:v>
      </x:c>
      <x:c r="S407" s="56"/>
      <x:c r="T407" s="56"/>
      <x:c r="U407" s="40" t="n">
        <x:f>E407*Assumptions!$B$8</x:f>
        <x:v>121.55</x:v>
      </x:c>
      <x:c r="V407" s="40" t="n">
        <x:f>P407*Assumptions!$B$8</x:f>
        <x:v>126.91714396831631</x:v>
      </x:c>
      <x:c r="W407" s="54" t="n">
        <x:f>V407-U407</x:f>
        <x:v>5.367143968316313</x:v>
      </x:c>
      <x:c r="X407" s="58" t="str">
        <x:f>IF(R407="No","",W407*S407)</x:f>
      </x:c>
      <x:c r="Y407" s="58" t="str">
        <x:f>IF(R407="No","",W407*T407*Assumptions!$B$9)</x:f>
      </x:c>
      <x:c r="Z407" s="58" t="str">
        <x:f>IF(R407="No","",X407-Y407)</x:f>
      </x:c>
      <x:c r="AA407" s="58" t="str">
        <x:f>IF(R407="No","",MAX(0,-Z407))</x:f>
      </x:c>
      <x:c r="AB407" s="52" t="str">
        <x:f>IF(OR(R407="No",U407*S407=0),"",AA407/(U407*S407))</x:f>
      </x:c>
      <x:c r="AC407" s="54" t="str">
        <x:f>IF(OR(R407="No",S407-T407*Assumptions!$B$9&lt;=0),"",AA407/(Assumptions!$B$8*(S407-T407*Assumptions!$B$9)))</x:f>
      </x:c>
      <x:c r="AD407" s="52" t="str">
        <x:f>IF(OR(R407="No",U407*S407=0),"",AA407/(U407*S407))</x:f>
      </x:c>
      <x:c r="AE407" s="50" t="str">
        <x:f>IF(R407="No","No finance data",IF(AB407&gt;=10%,"Severe",IF(AB407&gt;=5%,"High",IF(AB407&gt;=2%,"Moderate","Low"))))</x:f>
        <x:v>No finance data</x:v>
      </x:c>
      <x:c r="AF407" s="60"/>
      <x:c r="AG407" s="60"/>
      <x:c r="AH407" s="44" t="str">
        <x:v>Undergraduate tuition-contribution proxy only; not an audited total institutional budget.</x:v>
      </x:c>
    </x:row>
    <x:row r="408">
      <x:c r="A408" s="16" t="n">
        <x:v>142115</x:v>
      </x:c>
      <x:c r="B408" s="16" t="str">
        <x:v>Boise State University</x:v>
      </x:c>
      <x:c r="C408" s="16" t="str">
        <x:v>ID</x:v>
      </x:c>
      <x:c r="D408" s="16" t="str">
        <x:v>Public</x:v>
      </x:c>
      <x:c r="E408" s="34" t="n">
        <x:v>15959</x:v>
      </x:c>
      <x:c r="F408" s="21" t="n">
        <x:v>0.8313</x:v>
      </x:c>
      <x:c r="G408" s="16" t="str">
        <x:v>Statewide</x:v>
      </x:c>
      <x:c r="H408" s="36" t="n">
        <x:f>IF(G408="National",Assumptions!$B$11,IF(G408="Statewide",Assumptions!$B$12,Assumptions!$B$13))</x:f>
        <x:v>0.6</x:v>
      </x:c>
      <x:c r="I408" s="21" t="n">
        <x:v>0.008271676781112403</x:v>
      </x:c>
      <x:c r="J408" s="21" t="n">
        <x:v>0.06031257793665312</x:v>
      </x:c>
      <x:c r="K408" s="21" t="n">
        <x:v>0.0768559314988777</x:v>
      </x:c>
      <x:c r="L408" s="36" t="n">
        <x:f>IF(Assumptions!$B$4=2030,I408,IF(Assumptions!$B$4=2035,J408,K408))</x:f>
        <x:v>0.06031257793665312</x:v>
      </x:c>
      <x:c r="M408" s="36" t="n">
        <x:f>Assumptions!$B$19</x:f>
        <x:v>-0.04739891965741583</x:v>
      </x:c>
      <x:c r="N408" s="52" t="n">
        <x:f>H408*L408+(1-H408)*M408+O408</x:f>
        <x:v>0.01722797889902554</x:v>
      </x:c>
      <x:c r="O408" s="36" t="n">
        <x:f>Assumptions!$B$10</x:f>
        <x:v>0</x:v>
      </x:c>
      <x:c r="P408" s="54" t="n">
        <x:f>E408*(1+N408)</x:f>
        <x:v>16233.941315249547</x:v>
      </x:c>
      <x:c r="Q408" s="54" t="n">
        <x:f>P408-E408</x:f>
        <x:v>274.9413152495472</x:v>
      </x:c>
      <x:c r="R408" s="16" t="str">
        <x:v>Yes</x:v>
      </x:c>
      <x:c r="S408" s="56" t="n">
        <x:v>9383</x:v>
      </x:c>
      <x:c r="T408" s="56" t="n">
        <x:v>7859</x:v>
      </x:c>
      <x:c r="U408" s="40" t="n">
        <x:f>E408*Assumptions!$B$8</x:f>
        <x:v>13565.15</x:v>
      </x:c>
      <x:c r="V408" s="40" t="n">
        <x:f>P408*Assumptions!$B$8</x:f>
        <x:v>13798.850117962114</x:v>
      </x:c>
      <x:c r="W408" s="54" t="n">
        <x:f>V408-U408</x:f>
        <x:v>233.70011796211475</x:v>
      </x:c>
      <x:c r="X408" s="58" t="n">
        <x:f>IF(R408="No","",W408*S408)</x:f>
        <x:v>2192808.2068385226</x:v>
      </x:c>
      <x:c r="Y408" s="58" t="n">
        <x:f>IF(R408="No","",W408*T408*Assumptions!$B$9)</x:f>
        <x:v>550994.7681192779</x:v>
      </x:c>
      <x:c r="Z408" s="58" t="n">
        <x:f>IF(R408="No","",X408-Y408)</x:f>
        <x:v>1641813.4387192447</x:v>
      </x:c>
      <x:c r="AA408" s="58" t="n">
        <x:f>IF(R408="No","",MAX(0,-Z408))</x:f>
        <x:v>0</x:v>
      </x:c>
      <x:c r="AB408" s="52" t="n">
        <x:f>IF(OR(R408="No",U408*S408=0),"",AA408/(U408*S408))</x:f>
        <x:v>0</x:v>
      </x:c>
      <x:c r="AC408" s="54" t="n">
        <x:f>IF(OR(R408="No",S408-T408*Assumptions!$B$9&lt;=0),"",AA408/(Assumptions!$B$8*(S408-T408*Assumptions!$B$9)))</x:f>
        <x:v>0</x:v>
      </x:c>
      <x:c r="AD408" s="52" t="n">
        <x:f>IF(OR(R408="No",U408*S408=0),"",AA408/(U408*S408))</x:f>
        <x:v>0</x:v>
      </x:c>
      <x:c r="AE408" s="50" t="str">
        <x:f>IF(R408="No","No finance data",IF(AB408&gt;=10%,"Severe",IF(AB408&gt;=5%,"High",IF(AB408&gt;=2%,"Moderate","Low"))))</x:f>
        <x:v>Low</x:v>
      </x:c>
      <x:c r="AF408" s="60" t="n">
        <x:v>43.604284</x:v>
      </x:c>
      <x:c r="AG408" s="60" t="n">
        <x:v>-116.203301</x:v>
      </x:c>
      <x:c r="AH408" s="44" t="str">
        <x:v>Undergraduate tuition-contribution proxy only; not an audited total institutional budget.</x:v>
      </x:c>
    </x:row>
    <x:row r="409">
      <x:c r="A409" s="16" t="n">
        <x:v>142522</x:v>
      </x:c>
      <x:c r="B409" s="16" t="str">
        <x:v>Brigham Young University-Idaho</x:v>
      </x:c>
      <x:c r="C409" s="16" t="str">
        <x:v>ID</x:v>
      </x:c>
      <x:c r="D409" s="16" t="str">
        <x:v>Private nonprofit</x:v>
      </x:c>
      <x:c r="E409" s="34" t="n">
        <x:v>28457</x:v>
      </x:c>
      <x:c r="F409" s="21" t="n">
        <x:v>0.9657</x:v>
      </x:c>
      <x:c r="G409" s="16" t="str">
        <x:v>National</x:v>
      </x:c>
      <x:c r="H409" s="36" t="n">
        <x:f>IF(G409="National",Assumptions!$B$11,IF(G409="Statewide",Assumptions!$B$12,Assumptions!$B$13))</x:f>
        <x:v>0.25</x:v>
      </x:c>
      <x:c r="I409" s="21" t="n">
        <x:v>0.008271676781112403</x:v>
      </x:c>
      <x:c r="J409" s="21" t="n">
        <x:v>0.06031257793665312</x:v>
      </x:c>
      <x:c r="K409" s="21" t="n">
        <x:v>0.0768559314988777</x:v>
      </x:c>
      <x:c r="L409" s="36" t="n">
        <x:f>IF(Assumptions!$B$4=2030,I409,IF(Assumptions!$B$4=2035,J409,K409))</x:f>
        <x:v>0.06031257793665312</x:v>
      </x:c>
      <x:c r="M409" s="36" t="n">
        <x:f>Assumptions!$B$19</x:f>
        <x:v>-0.04739891965741583</x:v>
      </x:c>
      <x:c r="N409" s="52" t="n">
        <x:f>H409*L409+(1-H409)*M409+O409</x:f>
        <x:v>-0.02047104525889859</x:v>
      </x:c>
      <x:c r="O409" s="36" t="n">
        <x:f>Assumptions!$B$10</x:f>
        <x:v>0</x:v>
      </x:c>
      <x:c r="P409" s="54" t="n">
        <x:f>E409*(1+N409)</x:f>
        <x:v>27874.455465067524</x:v>
      </x:c>
      <x:c r="Q409" s="54" t="n">
        <x:f>P409-E409</x:f>
        <x:v>-582.5445349324764</x:v>
      </x:c>
      <x:c r="R409" s="16" t="str">
        <x:v>Yes</x:v>
      </x:c>
      <x:c r="S409" s="56" t="n">
        <x:v>2600</x:v>
      </x:c>
      <x:c r="T409" s="56" t="n">
        <x:v>4517</x:v>
      </x:c>
      <x:c r="U409" s="40" t="n">
        <x:f>E409*Assumptions!$B$8</x:f>
        <x:v>24188.45</x:v>
      </x:c>
      <x:c r="V409" s="40" t="n">
        <x:f>P409*Assumptions!$B$8</x:f>
        <x:v>23693.287145307393</x:v>
      </x:c>
      <x:c r="W409" s="54" t="n">
        <x:f>V409-U409</x:f>
        <x:v>-495.16285469260765</x:v>
      </x:c>
      <x:c r="X409" s="58" t="n">
        <x:f>IF(R409="No","",W409*S409)</x:f>
        <x:v>-1287423.42220078</x:v>
      </x:c>
      <x:c r="Y409" s="58" t="n">
        <x:f>IF(R409="No","",W409*T409*Assumptions!$B$9)</x:f>
        <x:v>-670995.1843939526</x:v>
      </x:c>
      <x:c r="Z409" s="58" t="n">
        <x:f>IF(R409="No","",X409-Y409)</x:f>
        <x:v>-616428.2378068273</x:v>
      </x:c>
      <x:c r="AA409" s="58" t="n">
        <x:f>IF(R409="No","",MAX(0,-Z409))</x:f>
        <x:v>616428.2378068273</x:v>
      </x:c>
      <x:c r="AB409" s="52" t="n">
        <x:f>IF(OR(R409="No",U409*S409=0),"",AA409/(U409*S409))</x:f>
        <x:v>0.0098016939395396</x:v>
      </x:c>
      <x:c r="AC409" s="54" t="n">
        <x:f>IF(OR(R409="No",S409-T409*Assumptions!$B$9&lt;=0),"",AA409/(Assumptions!$B$8*(S409-T409*Assumptions!$B$9)))</x:f>
        <x:v>582.5445349324797</x:v>
      </x:c>
      <x:c r="AD409" s="52" t="n">
        <x:f>IF(OR(R409="No",U409*S409=0),"",AA409/(U409*S409))</x:f>
        <x:v>0.0098016939395396</x:v>
      </x:c>
      <x:c r="AE409" s="50" t="str">
        <x:f>IF(R409="No","No finance data",IF(AB409&gt;=10%,"Severe",IF(AB409&gt;=5%,"High",IF(AB409&gt;=2%,"Moderate","Low"))))</x:f>
        <x:v>Low</x:v>
      </x:c>
      <x:c r="AF409" s="60" t="n">
        <x:v>43.818408</x:v>
      </x:c>
      <x:c r="AG409" s="60" t="n">
        <x:v>-111.782431</x:v>
      </x:c>
      <x:c r="AH409" s="44" t="str">
        <x:v>Undergraduate tuition-contribution proxy only; not an audited total institutional budget.</x:v>
      </x:c>
    </x:row>
    <x:row r="410">
      <x:c r="A410" s="16" t="n">
        <x:v>142276</x:v>
      </x:c>
      <x:c r="B410" s="16" t="str">
        <x:v>Idaho State University</x:v>
      </x:c>
      <x:c r="C410" s="16" t="str">
        <x:v>ID</x:v>
      </x:c>
      <x:c r="D410" s="16" t="str">
        <x:v>Public</x:v>
      </x:c>
      <x:c r="E410" s="34" t="n">
        <x:v>8969</x:v>
      </x:c>
      <x:c r="F410" s="21"/>
      <x:c r="G410" s="16" t="str">
        <x:v>Statewide</x:v>
      </x:c>
      <x:c r="H410" s="36" t="n">
        <x:f>IF(G410="National",Assumptions!$B$11,IF(G410="Statewide",Assumptions!$B$12,Assumptions!$B$13))</x:f>
        <x:v>0.6</x:v>
      </x:c>
      <x:c r="I410" s="21" t="n">
        <x:v>0.008271676781112403</x:v>
      </x:c>
      <x:c r="J410" s="21" t="n">
        <x:v>0.06031257793665312</x:v>
      </x:c>
      <x:c r="K410" s="21" t="n">
        <x:v>0.0768559314988777</x:v>
      </x:c>
      <x:c r="L410" s="36" t="n">
        <x:f>IF(Assumptions!$B$4=2030,I410,IF(Assumptions!$B$4=2035,J410,K410))</x:f>
        <x:v>0.06031257793665312</x:v>
      </x:c>
      <x:c r="M410" s="36" t="n">
        <x:f>Assumptions!$B$19</x:f>
        <x:v>-0.04739891965741583</x:v>
      </x:c>
      <x:c r="N410" s="52" t="n">
        <x:f>H410*L410+(1-H410)*M410+O410</x:f>
        <x:v>0.01722797889902554</x:v>
      </x:c>
      <x:c r="O410" s="36" t="n">
        <x:f>Assumptions!$B$10</x:f>
        <x:v>0</x:v>
      </x:c>
      <x:c r="P410" s="54" t="n">
        <x:f>E410*(1+N410)</x:f>
        <x:v>9123.51774274536</x:v>
      </x:c>
      <x:c r="Q410" s="54" t="n">
        <x:f>P410-E410</x:f>
        <x:v>154.51774274536</x:v>
      </x:c>
      <x:c r="R410" s="16" t="str">
        <x:v>Yes</x:v>
      </x:c>
      <x:c r="S410" s="56" t="n">
        <x:v>8519</x:v>
      </x:c>
      <x:c r="T410" s="56" t="n">
        <x:v>12445</x:v>
      </x:c>
      <x:c r="U410" s="40" t="n">
        <x:f>E410*Assumptions!$B$8</x:f>
        <x:v>7623.65</x:v>
      </x:c>
      <x:c r="V410" s="40" t="n">
        <x:f>P410*Assumptions!$B$8</x:f>
        <x:v>7754.990081333556</x:v>
      </x:c>
      <x:c r="W410" s="54" t="n">
        <x:f>V410-U410</x:f>
        <x:v>131.34008133355655</x:v>
      </x:c>
      <x:c r="X410" s="58" t="n">
        <x:f>IF(R410="No","",W410*S410)</x:f>
        <x:v>1118886.1528805683</x:v>
      </x:c>
      <x:c r="Y410" s="58" t="n">
        <x:f>IF(R410="No","",W410*T410*Assumptions!$B$9)</x:f>
        <x:v>490358.1936588334</x:v>
      </x:c>
      <x:c r="Z410" s="58" t="n">
        <x:f>IF(R410="No","",X410-Y410)</x:f>
        <x:v>628527.9592217349</x:v>
      </x:c>
      <x:c r="AA410" s="58" t="n">
        <x:f>IF(R410="No","",MAX(0,-Z410))</x:f>
        <x:v>0</x:v>
      </x:c>
      <x:c r="AB410" s="52" t="n">
        <x:f>IF(OR(R410="No",U410*S410=0),"",AA410/(U410*S410))</x:f>
        <x:v>0</x:v>
      </x:c>
      <x:c r="AC410" s="54" t="n">
        <x:f>IF(OR(R410="No",S410-T410*Assumptions!$B$9&lt;=0),"",AA410/(Assumptions!$B$8*(S410-T410*Assumptions!$B$9)))</x:f>
        <x:v>0</x:v>
      </x:c>
      <x:c r="AD410" s="52" t="n">
        <x:f>IF(OR(R410="No",U410*S410=0),"",AA410/(U410*S410))</x:f>
        <x:v>0</x:v>
      </x:c>
      <x:c r="AE410" s="50" t="str">
        <x:f>IF(R410="No","No finance data",IF(AB410&gt;=10%,"Severe",IF(AB410&gt;=5%,"High",IF(AB410&gt;=2%,"Moderate","Low"))))</x:f>
        <x:v>Low</x:v>
      </x:c>
      <x:c r="AF410" s="60" t="n">
        <x:v>42.863832</x:v>
      </x:c>
      <x:c r="AG410" s="60" t="n">
        <x:v>-112.432312</x:v>
      </x:c>
      <x:c r="AH410" s="44" t="str">
        <x:v>Undergraduate tuition-contribution proxy only; not an audited total institutional budget.</x:v>
      </x:c>
    </x:row>
    <x:row r="411">
      <x:c r="A411" s="16" t="n">
        <x:v>142328</x:v>
      </x:c>
      <x:c r="B411" s="16" t="str">
        <x:v>Lewis-Clark State College</x:v>
      </x:c>
      <x:c r="C411" s="16" t="str">
        <x:v>ID</x:v>
      </x:c>
      <x:c r="D411" s="16" t="str">
        <x:v>Public</x:v>
      </x:c>
      <x:c r="E411" s="34" t="n">
        <x:v>3013</x:v>
      </x:c>
      <x:c r="F411" s="21" t="n">
        <x:v>1</x:v>
      </x:c>
      <x:c r="G411" s="16" t="str">
        <x:v>Regional</x:v>
      </x:c>
      <x:c r="H411" s="36" t="n">
        <x:f>IF(G411="National",Assumptions!$B$11,IF(G411="Statewide",Assumptions!$B$12,Assumptions!$B$13))</x:f>
        <x:v>0.85</x:v>
      </x:c>
      <x:c r="I411" s="21" t="n">
        <x:v>0.008271676781112403</x:v>
      </x:c>
      <x:c r="J411" s="21" t="n">
        <x:v>0.06031257793665312</x:v>
      </x:c>
      <x:c r="K411" s="21" t="n">
        <x:v>0.0768559314988777</x:v>
      </x:c>
      <x:c r="L411" s="36" t="n">
        <x:f>IF(Assumptions!$B$4=2030,I411,IF(Assumptions!$B$4=2035,J411,K411))</x:f>
        <x:v>0.06031257793665312</x:v>
      </x:c>
      <x:c r="M411" s="36" t="n">
        <x:f>Assumptions!$B$19</x:f>
        <x:v>-0.04739891965741583</x:v>
      </x:c>
      <x:c r="N411" s="52" t="n">
        <x:f>H411*L411+(1-H411)*M411+O411</x:f>
        <x:v>0.04415585329754278</x:v>
      </x:c>
      <x:c r="O411" s="36" t="n">
        <x:f>Assumptions!$B$10</x:f>
        <x:v>0</x:v>
      </x:c>
      <x:c r="P411" s="54" t="n">
        <x:f>E411*(1+N411)</x:f>
        <x:v>3146.0415859854966</x:v>
      </x:c>
      <x:c r="Q411" s="54" t="n">
        <x:f>P411-E411</x:f>
        <x:v>133.04158598549657</x:v>
      </x:c>
      <x:c r="R411" s="16" t="str">
        <x:v>Yes</x:v>
      </x:c>
      <x:c r="S411" s="56" t="n">
        <x:v>5012</x:v>
      </x:c>
      <x:c r="T411" s="56" t="n">
        <x:v>8367</x:v>
      </x:c>
      <x:c r="U411" s="40" t="n">
        <x:f>E411*Assumptions!$B$8</x:f>
        <x:v>2561.0499999999997</x:v>
      </x:c>
      <x:c r="V411" s="40" t="n">
        <x:f>P411*Assumptions!$B$8</x:f>
        <x:v>2674.135348087672</x:v>
      </x:c>
      <x:c r="W411" s="54" t="n">
        <x:f>V411-U411</x:f>
        <x:v>113.08534808767217</x:v>
      </x:c>
      <x:c r="X411" s="58" t="n">
        <x:f>IF(R411="No","",W411*S411)</x:f>
        <x:v>566783.7646154129</x:v>
      </x:c>
      <x:c r="Y411" s="58" t="n">
        <x:f>IF(R411="No","",W411*T411*Assumptions!$B$9)</x:f>
        <x:v>283855.53223486594</x:v>
      </x:c>
      <x:c r="Z411" s="58" t="n">
        <x:f>IF(R411="No","",X411-Y411)</x:f>
        <x:v>282928.232380547</x:v>
      </x:c>
      <x:c r="AA411" s="58" t="n">
        <x:f>IF(R411="No","",MAX(0,-Z411))</x:f>
        <x:v>0</x:v>
      </x:c>
      <x:c r="AB411" s="52" t="n">
        <x:f>IF(OR(R411="No",U411*S411=0),"",AA411/(U411*S411))</x:f>
        <x:v>0</x:v>
      </x:c>
      <x:c r="AC411" s="54" t="n">
        <x:f>IF(OR(R411="No",S411-T411*Assumptions!$B$9&lt;=0),"",AA411/(Assumptions!$B$8*(S411-T411*Assumptions!$B$9)))</x:f>
        <x:v>0</x:v>
      </x:c>
      <x:c r="AD411" s="52" t="n">
        <x:f>IF(OR(R411="No",U411*S411=0),"",AA411/(U411*S411))</x:f>
        <x:v>0</x:v>
      </x:c>
      <x:c r="AE411" s="50" t="str">
        <x:f>IF(R411="No","No finance data",IF(AB411&gt;=10%,"Severe",IF(AB411&gt;=5%,"High",IF(AB411&gt;=2%,"Moderate","Low"))))</x:f>
        <x:v>Low</x:v>
      </x:c>
      <x:c r="AF411" s="60" t="n">
        <x:v>46.412199</x:v>
      </x:c>
      <x:c r="AG411" s="60" t="n">
        <x:v>-117.024875</x:v>
      </x:c>
      <x:c r="AH411" s="44" t="str">
        <x:v>Undergraduate tuition-contribution proxy only; not an audited total institutional budget.</x:v>
      </x:c>
    </x:row>
    <x:row r="412">
      <x:c r="A412" s="16" t="n">
        <x:v>142461</x:v>
      </x:c>
      <x:c r="B412" s="16" t="str">
        <x:v>Northwest Nazarene University</x:v>
      </x:c>
      <x:c r="C412" s="16" t="str">
        <x:v>ID</x:v>
      </x:c>
      <x:c r="D412" s="16" t="str">
        <x:v>Private nonprofit</x:v>
      </x:c>
      <x:c r="E412" s="34" t="n">
        <x:v>1286</x:v>
      </x:c>
      <x:c r="F412" s="21" t="n">
        <x:v>0.8815</x:v>
      </x:c>
      <x:c r="G412" s="16" t="str">
        <x:v>Regional</x:v>
      </x:c>
      <x:c r="H412" s="36" t="n">
        <x:f>IF(G412="National",Assumptions!$B$11,IF(G412="Statewide",Assumptions!$B$12,Assumptions!$B$13))</x:f>
        <x:v>0.85</x:v>
      </x:c>
      <x:c r="I412" s="21" t="n">
        <x:v>0.008271676781112403</x:v>
      </x:c>
      <x:c r="J412" s="21" t="n">
        <x:v>0.06031257793665312</x:v>
      </x:c>
      <x:c r="K412" s="21" t="n">
        <x:v>0.0768559314988777</x:v>
      </x:c>
      <x:c r="L412" s="36" t="n">
        <x:f>IF(Assumptions!$B$4=2030,I412,IF(Assumptions!$B$4=2035,J412,K412))</x:f>
        <x:v>0.06031257793665312</x:v>
      </x:c>
      <x:c r="M412" s="36" t="n">
        <x:f>Assumptions!$B$19</x:f>
        <x:v>-0.04739891965741583</x:v>
      </x:c>
      <x:c r="N412" s="52" t="n">
        <x:f>H412*L412+(1-H412)*M412+O412</x:f>
        <x:v>0.04415585329754278</x:v>
      </x:c>
      <x:c r="O412" s="36" t="n">
        <x:f>Assumptions!$B$10</x:f>
        <x:v>0</x:v>
      </x:c>
      <x:c r="P412" s="54" t="n">
        <x:f>E412*(1+N412)</x:f>
        <x:v>1342.78442734064</x:v>
      </x:c>
      <x:c r="Q412" s="54" t="n">
        <x:f>P412-E412</x:f>
        <x:v>56.78442734063992</x:v>
      </x:c>
      <x:c r="R412" s="16" t="str">
        <x:v>Yes</x:v>
      </x:c>
      <x:c r="S412" s="56" t="n">
        <x:v>10115</x:v>
      </x:c>
      <x:c r="T412" s="56" t="n">
        <x:v>5741</x:v>
      </x:c>
      <x:c r="U412" s="40" t="n">
        <x:f>E412*Assumptions!$B$8</x:f>
        <x:v>1093.1</x:v>
      </x:c>
      <x:c r="V412" s="40" t="n">
        <x:f>P412*Assumptions!$B$8</x:f>
        <x:v>1141.3667632395438</x:v>
      </x:c>
      <x:c r="W412" s="54" t="n">
        <x:f>V412-U412</x:f>
        <x:v>48.266763239543934</x:v>
      </x:c>
      <x:c r="X412" s="58" t="n">
        <x:f>IF(R412="No","",W412*S412)</x:f>
        <x:v>488218.3101679869</x:v>
      </x:c>
      <x:c r="Y412" s="58" t="n">
        <x:f>IF(R412="No","",W412*T412*Assumptions!$B$9)</x:f>
        <x:v>83129.84632746653</x:v>
      </x:c>
      <x:c r="Z412" s="58" t="n">
        <x:f>IF(R412="No","",X412-Y412)</x:f>
        <x:v>405088.46384052036</x:v>
      </x:c>
      <x:c r="AA412" s="58" t="n">
        <x:f>IF(R412="No","",MAX(0,-Z412))</x:f>
        <x:v>0</x:v>
      </x:c>
      <x:c r="AB412" s="52" t="n">
        <x:f>IF(OR(R412="No",U412*S412=0),"",AA412/(U412*S412))</x:f>
        <x:v>0</x:v>
      </x:c>
      <x:c r="AC412" s="54" t="n">
        <x:f>IF(OR(R412="No",S412-T412*Assumptions!$B$9&lt;=0),"",AA412/(Assumptions!$B$8*(S412-T412*Assumptions!$B$9)))</x:f>
        <x:v>0</x:v>
      </x:c>
      <x:c r="AD412" s="52" t="n">
        <x:f>IF(OR(R412="No",U412*S412=0),"",AA412/(U412*S412))</x:f>
        <x:v>0</x:v>
      </x:c>
      <x:c r="AE412" s="50" t="str">
        <x:f>IF(R412="No","No finance data",IF(AB412&gt;=10%,"Severe",IF(AB412&gt;=5%,"High",IF(AB412&gt;=2%,"Moderate","Low"))))</x:f>
        <x:v>Low</x:v>
      </x:c>
      <x:c r="AF412" s="60" t="n">
        <x:v>43.562411</x:v>
      </x:c>
      <x:c r="AG412" s="60" t="n">
        <x:v>-116.565783</x:v>
      </x:c>
      <x:c r="AH412" s="44" t="str">
        <x:v>Undergraduate tuition-contribution proxy only; not an audited total institutional budget.</x:v>
      </x:c>
    </x:row>
    <x:row r="413">
      <x:c r="A413" s="16" t="n">
        <x:v>142294</x:v>
      </x:c>
      <x:c r="B413" s="16" t="str">
        <x:v>The College of Idaho</x:v>
      </x:c>
      <x:c r="C413" s="16" t="str">
        <x:v>ID</x:v>
      </x:c>
      <x:c r="D413" s="16" t="str">
        <x:v>Private nonprofit</x:v>
      </x:c>
      <x:c r="E413" s="34" t="n">
        <x:v>1034</x:v>
      </x:c>
      <x:c r="F413" s="21" t="n">
        <x:v>0.5629</x:v>
      </x:c>
      <x:c r="G413" s="16" t="str">
        <x:v>Regional</x:v>
      </x:c>
      <x:c r="H413" s="36" t="n">
        <x:f>IF(G413="National",Assumptions!$B$11,IF(G413="Statewide",Assumptions!$B$12,Assumptions!$B$13))</x:f>
        <x:v>0.85</x:v>
      </x:c>
      <x:c r="I413" s="21" t="n">
        <x:v>0.008271676781112403</x:v>
      </x:c>
      <x:c r="J413" s="21" t="n">
        <x:v>0.06031257793665312</x:v>
      </x:c>
      <x:c r="K413" s="21" t="n">
        <x:v>0.0768559314988777</x:v>
      </x:c>
      <x:c r="L413" s="36" t="n">
        <x:f>IF(Assumptions!$B$4=2030,I413,IF(Assumptions!$B$4=2035,J413,K413))</x:f>
        <x:v>0.06031257793665312</x:v>
      </x:c>
      <x:c r="M413" s="36" t="n">
        <x:f>Assumptions!$B$19</x:f>
        <x:v>-0.04739891965741583</x:v>
      </x:c>
      <x:c r="N413" s="52" t="n">
        <x:f>H413*L413+(1-H413)*M413+O413</x:f>
        <x:v>0.04415585329754278</x:v>
      </x:c>
      <x:c r="O413" s="36" t="n">
        <x:f>Assumptions!$B$10</x:f>
        <x:v>0</x:v>
      </x:c>
      <x:c r="P413" s="54" t="n">
        <x:f>E413*(1+N413)</x:f>
        <x:v>1079.6571523096593</x:v>
      </x:c>
      <x:c r="Q413" s="54" t="n">
        <x:f>P413-E413</x:f>
        <x:v>45.657152309659295</x:v>
      </x:c>
      <x:c r="R413" s="16" t="str">
        <x:v>Yes</x:v>
      </x:c>
      <x:c r="S413" s="56" t="n">
        <x:v>8361</x:v>
      </x:c>
      <x:c r="T413" s="56" t="n">
        <x:v>7891</x:v>
      </x:c>
      <x:c r="U413" s="40" t="n">
        <x:f>E413*Assumptions!$B$8</x:f>
        <x:v>878.9</x:v>
      </x:c>
      <x:c r="V413" s="40" t="n">
        <x:f>P413*Assumptions!$B$8</x:f>
        <x:v>917.7085794632104</x:v>
      </x:c>
      <x:c r="W413" s="54" t="n">
        <x:f>V413-U413</x:f>
        <x:v>38.808579463210435</x:v>
      </x:c>
      <x:c r="X413" s="58" t="n">
        <x:f>IF(R413="No","",W413*S413)</x:f>
        <x:v>324478.53289190243</x:v>
      </x:c>
      <x:c r="Y413" s="58" t="n">
        <x:f>IF(R413="No","",W413*T413*Assumptions!$B$9)</x:f>
        <x:v>91871.55016325806</x:v>
      </x:c>
      <x:c r="Z413" s="58" t="n">
        <x:f>IF(R413="No","",X413-Y413)</x:f>
        <x:v>232606.9827286444</x:v>
      </x:c>
      <x:c r="AA413" s="58" t="n">
        <x:f>IF(R413="No","",MAX(0,-Z413))</x:f>
        <x:v>0</x:v>
      </x:c>
      <x:c r="AB413" s="52" t="n">
        <x:f>IF(OR(R413="No",U413*S413=0),"",AA413/(U413*S413))</x:f>
        <x:v>0</x:v>
      </x:c>
      <x:c r="AC413" s="54" t="n">
        <x:f>IF(OR(R413="No",S413-T413*Assumptions!$B$9&lt;=0),"",AA413/(Assumptions!$B$8*(S413-T413*Assumptions!$B$9)))</x:f>
        <x:v>0</x:v>
      </x:c>
      <x:c r="AD413" s="52" t="n">
        <x:f>IF(OR(R413="No",U413*S413=0),"",AA413/(U413*S413))</x:f>
        <x:v>0</x:v>
      </x:c>
      <x:c r="AE413" s="50" t="str">
        <x:f>IF(R413="No","No finance data",IF(AB413&gt;=10%,"Severe",IF(AB413&gt;=5%,"High",IF(AB413&gt;=2%,"Moderate","Low"))))</x:f>
        <x:v>Low</x:v>
      </x:c>
      <x:c r="AF413" s="60" t="n">
        <x:v>43.652284</x:v>
      </x:c>
      <x:c r="AG413" s="60" t="n">
        <x:v>-116.677992</x:v>
      </x:c>
      <x:c r="AH413" s="44" t="str">
        <x:v>Undergraduate tuition-contribution proxy only; not an audited total institutional budget.</x:v>
      </x:c>
    </x:row>
    <x:row r="414">
      <x:c r="A414" s="16" t="n">
        <x:v>142285</x:v>
      </x:c>
      <x:c r="B414" s="16" t="str">
        <x:v>University of Idaho</x:v>
      </x:c>
      <x:c r="C414" s="16" t="str">
        <x:v>ID</x:v>
      </x:c>
      <x:c r="D414" s="16" t="str">
        <x:v>Public</x:v>
      </x:c>
      <x:c r="E414" s="34" t="n">
        <x:v>7826</x:v>
      </x:c>
      <x:c r="F414" s="21" t="n">
        <x:v>0.8138</x:v>
      </x:c>
      <x:c r="G414" s="16" t="str">
        <x:v>Statewide</x:v>
      </x:c>
      <x:c r="H414" s="36" t="n">
        <x:f>IF(G414="National",Assumptions!$B$11,IF(G414="Statewide",Assumptions!$B$12,Assumptions!$B$13))</x:f>
        <x:v>0.6</x:v>
      </x:c>
      <x:c r="I414" s="21" t="n">
        <x:v>0.008271676781112403</x:v>
      </x:c>
      <x:c r="J414" s="21" t="n">
        <x:v>0.06031257793665312</x:v>
      </x:c>
      <x:c r="K414" s="21" t="n">
        <x:v>0.0768559314988777</x:v>
      </x:c>
      <x:c r="L414" s="36" t="n">
        <x:f>IF(Assumptions!$B$4=2030,I414,IF(Assumptions!$B$4=2035,J414,K414))</x:f>
        <x:v>0.06031257793665312</x:v>
      </x:c>
      <x:c r="M414" s="36" t="n">
        <x:f>Assumptions!$B$19</x:f>
        <x:v>-0.04739891965741583</x:v>
      </x:c>
      <x:c r="N414" s="52" t="n">
        <x:f>H414*L414+(1-H414)*M414+O414</x:f>
        <x:v>0.01722797889902554</x:v>
      </x:c>
      <x:c r="O414" s="36" t="n">
        <x:f>Assumptions!$B$10</x:f>
        <x:v>0</x:v>
      </x:c>
      <x:c r="P414" s="54" t="n">
        <x:f>E414*(1+N414)</x:f>
        <x:v>7960.826162863774</x:v>
      </x:c>
      <x:c r="Q414" s="54" t="n">
        <x:f>P414-E414</x:f>
        <x:v>134.8261628637738</x:v>
      </x:c>
      <x:c r="R414" s="16" t="str">
        <x:v>Yes</x:v>
      </x:c>
      <x:c r="S414" s="56" t="n">
        <x:v>10423</x:v>
      </x:c>
      <x:c r="T414" s="56" t="n">
        <x:v>11230</x:v>
      </x:c>
      <x:c r="U414" s="40" t="n">
        <x:f>E414*Assumptions!$B$8</x:f>
        <x:v>6652.099999999999</x:v>
      </x:c>
      <x:c r="V414" s="40" t="n">
        <x:f>P414*Assumptions!$B$8</x:f>
        <x:v>6766.702238434207</x:v>
      </x:c>
      <x:c r="W414" s="54" t="n">
        <x:f>V414-U414</x:f>
        <x:v>114.60223843420772</x:v>
      </x:c>
      <x:c r="X414" s="58" t="n">
        <x:f>IF(R414="No","",W414*S414)</x:f>
        <x:v>1194499.131199747</x:v>
      </x:c>
      <x:c r="Y414" s="58" t="n">
        <x:f>IF(R414="No","",W414*T414*Assumptions!$B$9)</x:f>
        <x:v>386094.94128484576</x:v>
      </x:c>
      <x:c r="Z414" s="58" t="n">
        <x:f>IF(R414="No","",X414-Y414)</x:f>
        <x:v>808404.1899149013</x:v>
      </x:c>
      <x:c r="AA414" s="58" t="n">
        <x:f>IF(R414="No","",MAX(0,-Z414))</x:f>
        <x:v>0</x:v>
      </x:c>
      <x:c r="AB414" s="52" t="n">
        <x:f>IF(OR(R414="No",U414*S414=0),"",AA414/(U414*S414))</x:f>
        <x:v>0</x:v>
      </x:c>
      <x:c r="AC414" s="54" t="n">
        <x:f>IF(OR(R414="No",S414-T414*Assumptions!$B$9&lt;=0),"",AA414/(Assumptions!$B$8*(S414-T414*Assumptions!$B$9)))</x:f>
        <x:v>0</x:v>
      </x:c>
      <x:c r="AD414" s="52" t="n">
        <x:f>IF(OR(R414="No",U414*S414=0),"",AA414/(U414*S414))</x:f>
        <x:v>0</x:v>
      </x:c>
      <x:c r="AE414" s="50" t="str">
        <x:f>IF(R414="No","No finance data",IF(AB414&gt;=10%,"Severe",IF(AB414&gt;=5%,"High",IF(AB414&gt;=2%,"Moderate","Low"))))</x:f>
        <x:v>Low</x:v>
      </x:c>
      <x:c r="AF414" s="60" t="n">
        <x:v>46.727406</x:v>
      </x:c>
      <x:c r="AG414" s="60" t="n">
        <x:v>-117.014167</x:v>
      </x:c>
      <x:c r="AH414" s="44" t="str">
        <x:v>Undergraduate tuition-contribution proxy only; not an audited total institutional budget.</x:v>
      </x:c>
    </x:row>
    <x:row r="415">
      <x:c r="A415" s="16" t="n">
        <x:v>142887</x:v>
      </x:c>
      <x:c r="B415" s="16" t="str">
        <x:v>American Academy of Art</x:v>
      </x:c>
      <x:c r="C415" s="16" t="str">
        <x:v>IL</x:v>
      </x:c>
      <x:c r="D415" s="16" t="str">
        <x:v>Private nonprofit</x:v>
      </x:c>
      <x:c r="E415" s="34" t="n">
        <x:v>317</x:v>
      </x:c>
      <x:c r="F415" s="21"/>
      <x:c r="G415" s="16" t="str">
        <x:v>Regional</x:v>
      </x:c>
      <x:c r="H415" s="36" t="n">
        <x:f>IF(G415="National",Assumptions!$B$11,IF(G415="Statewide",Assumptions!$B$12,Assumptions!$B$13))</x:f>
        <x:v>0.85</x:v>
      </x:c>
      <x:c r="I415" s="21" t="n">
        <x:v>-0.10579172815953353</x:v>
      </x:c>
      <x:c r="J415" s="21" t="n">
        <x:v>-0.14326338144775208</x:v>
      </x:c>
      <x:c r="K415" s="21" t="n">
        <x:v>-0.2868003311615852</x:v>
      </x:c>
      <x:c r="L415" s="36" t="n">
        <x:f>IF(Assumptions!$B$4=2030,I415,IF(Assumptions!$B$4=2035,J415,K415))</x:f>
        <x:v>-0.14326338144775208</x:v>
      </x:c>
      <x:c r="M415" s="36" t="n">
        <x:f>Assumptions!$B$19</x:f>
        <x:v>-0.04739891965741583</x:v>
      </x:c>
      <x:c r="N415" s="52" t="n">
        <x:f>H415*L415+(1-H415)*M415+O415</x:f>
        <x:v>-0.12888371217920164</x:v>
      </x:c>
      <x:c r="O415" s="36" t="n">
        <x:f>Assumptions!$B$10</x:f>
        <x:v>0</x:v>
      </x:c>
      <x:c r="P415" s="54" t="n">
        <x:f>E415*(1+N415)</x:f>
        <x:v>276.1438632391931</x:v>
      </x:c>
      <x:c r="Q415" s="54" t="n">
        <x:f>P415-E415</x:f>
        <x:v>-40.85613676080692</x:v>
      </x:c>
      <x:c r="R415" s="16" t="str">
        <x:v>No</x:v>
      </x:c>
      <x:c r="S415" s="56"/>
      <x:c r="T415" s="56"/>
      <x:c r="U415" s="40" t="n">
        <x:f>E415*Assumptions!$B$8</x:f>
        <x:v>269.45</x:v>
      </x:c>
      <x:c r="V415" s="40" t="n">
        <x:f>P415*Assumptions!$B$8</x:f>
        <x:v>234.72228375331412</x:v>
      </x:c>
      <x:c r="W415" s="54" t="n">
        <x:f>V415-U415</x:f>
        <x:v>-34.72771624668587</x:v>
      </x:c>
      <x:c r="X415" s="58" t="str">
        <x:f>IF(R415="No","",W415*S415)</x:f>
      </x:c>
      <x:c r="Y415" s="58" t="str">
        <x:f>IF(R415="No","",W415*T415*Assumptions!$B$9)</x:f>
      </x:c>
      <x:c r="Z415" s="58" t="str">
        <x:f>IF(R415="No","",X415-Y415)</x:f>
      </x:c>
      <x:c r="AA415" s="58" t="str">
        <x:f>IF(R415="No","",MAX(0,-Z415))</x:f>
      </x:c>
      <x:c r="AB415" s="52" t="str">
        <x:f>IF(OR(R415="No",U415*S415=0),"",AA415/(U415*S415))</x:f>
      </x:c>
      <x:c r="AC415" s="54" t="str">
        <x:f>IF(OR(R415="No",S415-T415*Assumptions!$B$9&lt;=0),"",AA415/(Assumptions!$B$8*(S415-T415*Assumptions!$B$9)))</x:f>
      </x:c>
      <x:c r="AD415" s="52" t="str">
        <x:f>IF(OR(R415="No",U415*S415=0),"",AA415/(U415*S415))</x:f>
      </x:c>
      <x:c r="AE415" s="50" t="str">
        <x:f>IF(R415="No","No finance data",IF(AB415&gt;=10%,"Severe",IF(AB415&gt;=5%,"High",IF(AB415&gt;=2%,"Moderate","Low"))))</x:f>
        <x:v>No finance data</x:v>
      </x:c>
      <x:c r="AF415" s="60"/>
      <x:c r="AG415" s="60"/>
      <x:c r="AH415" s="44" t="str">
        <x:v>Undergraduate tuition-contribution proxy only; not an audited total institutional budget.</x:v>
      </x:c>
    </x:row>
    <x:row r="416">
      <x:c r="A416" s="16" t="n">
        <x:v>143084</x:v>
      </x:c>
      <x:c r="B416" s="16" t="str">
        <x:v>Augustana College</x:v>
      </x:c>
      <x:c r="C416" s="16" t="str">
        <x:v>IL</x:v>
      </x:c>
      <x:c r="D416" s="16" t="str">
        <x:v>Private nonprofit</x:v>
      </x:c>
      <x:c r="E416" s="34" t="n">
        <x:v>2454</x:v>
      </x:c>
      <x:c r="F416" s="21" t="n">
        <x:v>0.6913</x:v>
      </x:c>
      <x:c r="G416" s="16" t="str">
        <x:v>Regional</x:v>
      </x:c>
      <x:c r="H416" s="36" t="n">
        <x:f>IF(G416="National",Assumptions!$B$11,IF(G416="Statewide",Assumptions!$B$12,Assumptions!$B$13))</x:f>
        <x:v>0.85</x:v>
      </x:c>
      <x:c r="I416" s="21" t="n">
        <x:v>-0.10579172815953353</x:v>
      </x:c>
      <x:c r="J416" s="21" t="n">
        <x:v>-0.14326338144775208</x:v>
      </x:c>
      <x:c r="K416" s="21" t="n">
        <x:v>-0.2868003311615852</x:v>
      </x:c>
      <x:c r="L416" s="36" t="n">
        <x:f>IF(Assumptions!$B$4=2030,I416,IF(Assumptions!$B$4=2035,J416,K416))</x:f>
        <x:v>-0.14326338144775208</x:v>
      </x:c>
      <x:c r="M416" s="36" t="n">
        <x:f>Assumptions!$B$19</x:f>
        <x:v>-0.04739891965741583</x:v>
      </x:c>
      <x:c r="N416" s="52" t="n">
        <x:f>H416*L416+(1-H416)*M416+O416</x:f>
        <x:v>-0.12888371217920164</x:v>
      </x:c>
      <x:c r="O416" s="36" t="n">
        <x:f>Assumptions!$B$10</x:f>
        <x:v>0</x:v>
      </x:c>
      <x:c r="P416" s="54" t="n">
        <x:f>E416*(1+N416)</x:f>
        <x:v>2137.719370312239</x:v>
      </x:c>
      <x:c r="Q416" s="54" t="n">
        <x:f>P416-E416</x:f>
        <x:v>-316.2806296877611</x:v>
      </x:c>
      <x:c r="R416" s="16" t="str">
        <x:v>Yes</x:v>
      </x:c>
      <x:c r="S416" s="56" t="n">
        <x:v>16690</x:v>
      </x:c>
      <x:c r="T416" s="56" t="n">
        <x:v>10473</x:v>
      </x:c>
      <x:c r="U416" s="40" t="n">
        <x:f>E416*Assumptions!$B$8</x:f>
        <x:v>2085.9</x:v>
      </x:c>
      <x:c r="V416" s="40" t="n">
        <x:f>P416*Assumptions!$B$8</x:f>
        <x:v>1817.061464765403</x:v>
      </x:c>
      <x:c r="W416" s="54" t="n">
        <x:f>V416-U416</x:f>
        <x:v>-268.8385352345972</x:v>
      </x:c>
      <x:c r="X416" s="58" t="n">
        <x:f>IF(R416="No","",W416*S416)</x:f>
        <x:v>-4486915.153065427</x:v>
      </x:c>
      <x:c r="Y416" s="58" t="n">
        <x:f>IF(R416="No","",W416*T416*Assumptions!$B$9)</x:f>
        <x:v>-844663.793853581</x:v>
      </x:c>
      <x:c r="Z416" s="58" t="n">
        <x:f>IF(R416="No","",X416-Y416)</x:f>
        <x:v>-3642251.3592118463</x:v>
      </x:c>
      <x:c r="AA416" s="58" t="n">
        <x:f>IF(R416="No","",MAX(0,-Z416))</x:f>
        <x:v>3642251.3592118463</x:v>
      </x:c>
      <x:c r="AB416" s="52" t="n">
        <x:f>IF(OR(R416="No",U416*S416=0),"",AA416/(U416*S416))</x:f>
        <x:v>0.10462129544487986</x:v>
      </x:c>
      <x:c r="AC416" s="54" t="n">
        <x:f>IF(OR(R416="No",S416-T416*Assumptions!$B$9&lt;=0),"",AA416/(Assumptions!$B$8*(S416-T416*Assumptions!$B$9)))</x:f>
        <x:v>316.2806296877614</x:v>
      </x:c>
      <x:c r="AD416" s="52" t="n">
        <x:f>IF(OR(R416="No",U416*S416=0),"",AA416/(U416*S416))</x:f>
        <x:v>0.10462129544487986</x:v>
      </x:c>
      <x:c r="AE416" s="50" t="str">
        <x:f>IF(R416="No","No finance data",IF(AB416&gt;=10%,"Severe",IF(AB416&gt;=5%,"High",IF(AB416&gt;=2%,"Moderate","Low"))))</x:f>
        <x:v>Severe</x:v>
      </x:c>
      <x:c r="AF416" s="60" t="n">
        <x:v>41.502365</x:v>
      </x:c>
      <x:c r="AG416" s="60" t="n">
        <x:v>-90.55057</x:v>
      </x:c>
      <x:c r="AH416" s="44" t="str">
        <x:v>Undergraduate tuition-contribution proxy only; not an audited total institutional budget.</x:v>
      </x:c>
    </x:row>
    <x:row r="417">
      <x:c r="A417" s="16" t="n">
        <x:v>143118</x:v>
      </x:c>
      <x:c r="B417" s="16" t="str">
        <x:v>Aurora University</x:v>
      </x:c>
      <x:c r="C417" s="16" t="str">
        <x:v>IL</x:v>
      </x:c>
      <x:c r="D417" s="16" t="str">
        <x:v>Private nonprofit</x:v>
      </x:c>
      <x:c r="E417" s="34" t="n">
        <x:v>3567</x:v>
      </x:c>
      <x:c r="F417" s="21" t="n">
        <x:v>0.8642</x:v>
      </x:c>
      <x:c r="G417" s="16" t="str">
        <x:v>Regional</x:v>
      </x:c>
      <x:c r="H417" s="36" t="n">
        <x:f>IF(G417="National",Assumptions!$B$11,IF(G417="Statewide",Assumptions!$B$12,Assumptions!$B$13))</x:f>
        <x:v>0.85</x:v>
      </x:c>
      <x:c r="I417" s="21" t="n">
        <x:v>-0.10579172815953353</x:v>
      </x:c>
      <x:c r="J417" s="21" t="n">
        <x:v>-0.14326338144775208</x:v>
      </x:c>
      <x:c r="K417" s="21" t="n">
        <x:v>-0.2868003311615852</x:v>
      </x:c>
      <x:c r="L417" s="36" t="n">
        <x:f>IF(Assumptions!$B$4=2030,I417,IF(Assumptions!$B$4=2035,J417,K417))</x:f>
        <x:v>-0.14326338144775208</x:v>
      </x:c>
      <x:c r="M417" s="36" t="n">
        <x:f>Assumptions!$B$19</x:f>
        <x:v>-0.04739891965741583</x:v>
      </x:c>
      <x:c r="N417" s="52" t="n">
        <x:f>H417*L417+(1-H417)*M417+O417</x:f>
        <x:v>-0.12888371217920164</x:v>
      </x:c>
      <x:c r="O417" s="36" t="n">
        <x:f>Assumptions!$B$10</x:f>
        <x:v>0</x:v>
      </x:c>
      <x:c r="P417" s="54" t="n">
        <x:f>E417*(1+N417)</x:f>
        <x:v>3107.2717986567877</x:v>
      </x:c>
      <x:c r="Q417" s="54" t="n">
        <x:f>P417-E417</x:f>
        <x:v>-459.7282013432123</x:v>
      </x:c>
      <x:c r="R417" s="16" t="str">
        <x:v>Yes</x:v>
      </x:c>
      <x:c r="S417" s="56" t="n">
        <x:v>13012</x:v>
      </x:c>
      <x:c r="T417" s="56" t="n">
        <x:v>5061</x:v>
      </x:c>
      <x:c r="U417" s="40" t="n">
        <x:f>E417*Assumptions!$B$8</x:f>
        <x:v>3031.95</x:v>
      </x:c>
      <x:c r="V417" s="40" t="n">
        <x:f>P417*Assumptions!$B$8</x:f>
        <x:v>2641.1810288582697</x:v>
      </x:c>
      <x:c r="W417" s="54" t="n">
        <x:f>V417-U417</x:f>
        <x:v>-390.76897114173016</x:v>
      </x:c>
      <x:c r="X417" s="58" t="n">
        <x:f>IF(R417="No","",W417*S417)</x:f>
        <x:v>-5084685.852496193</x:v>
      </x:c>
      <x:c r="Y417" s="58" t="n">
        <x:f>IF(R417="No","",W417*T417*Assumptions!$B$9)</x:f>
        <x:v>-593304.5288844889</x:v>
      </x:c>
      <x:c r="Z417" s="58" t="n">
        <x:f>IF(R417="No","",X417-Y417)</x:f>
        <x:v>-4491381.323611704</x:v>
      </x:c>
      <x:c r="AA417" s="58" t="n">
        <x:f>IF(R417="No","",MAX(0,-Z417))</x:f>
        <x:v>4491381.323611704</x:v>
      </x:c>
      <x:c r="AB417" s="52" t="n">
        <x:f>IF(OR(R417="No",U417*S417=0),"",AA417/(U417*S417))</x:f>
        <x:v>0.11384496792761212</x:v>
      </x:c>
      <x:c r="AC417" s="54" t="n">
        <x:f>IF(OR(R417="No",S417-T417*Assumptions!$B$9&lt;=0),"",AA417/(Assumptions!$B$8*(S417-T417*Assumptions!$B$9)))</x:f>
        <x:v>459.72820134321194</x:v>
      </x:c>
      <x:c r="AD417" s="52" t="n">
        <x:f>IF(OR(R417="No",U417*S417=0),"",AA417/(U417*S417))</x:f>
        <x:v>0.11384496792761212</x:v>
      </x:c>
      <x:c r="AE417" s="50" t="str">
        <x:f>IF(R417="No","No finance data",IF(AB417&gt;=10%,"Severe",IF(AB417&gt;=5%,"High",IF(AB417&gt;=2%,"Moderate","Low"))))</x:f>
        <x:v>Severe</x:v>
      </x:c>
      <x:c r="AF417" s="60" t="n">
        <x:v>41.753631</x:v>
      </x:c>
      <x:c r="AG417" s="60" t="n">
        <x:v>-88.349023</x:v>
      </x:c>
      <x:c r="AH417" s="44" t="str">
        <x:v>Undergraduate tuition-contribution proxy only; not an audited total institutional budget.</x:v>
      </x:c>
    </x:row>
    <x:row r="418">
      <x:c r="A418" s="16" t="n">
        <x:v>145619</x:v>
      </x:c>
      <x:c r="B418" s="16" t="str">
        <x:v>Benedictine University</x:v>
      </x:c>
      <x:c r="C418" s="16" t="str">
        <x:v>IL</x:v>
      </x:c>
      <x:c r="D418" s="16" t="str">
        <x:v>Private nonprofit</x:v>
      </x:c>
      <x:c r="E418" s="34" t="n">
        <x:v>3298</x:v>
      </x:c>
      <x:c r="F418" s="21" t="n">
        <x:v>0.8002</x:v>
      </x:c>
      <x:c r="G418" s="16" t="str">
        <x:v>Regional</x:v>
      </x:c>
      <x:c r="H418" s="36" t="n">
        <x:f>IF(G418="National",Assumptions!$B$11,IF(G418="Statewide",Assumptions!$B$12,Assumptions!$B$13))</x:f>
        <x:v>0.85</x:v>
      </x:c>
      <x:c r="I418" s="21" t="n">
        <x:v>-0.10579172815953353</x:v>
      </x:c>
      <x:c r="J418" s="21" t="n">
        <x:v>-0.14326338144775208</x:v>
      </x:c>
      <x:c r="K418" s="21" t="n">
        <x:v>-0.2868003311615852</x:v>
      </x:c>
      <x:c r="L418" s="36" t="n">
        <x:f>IF(Assumptions!$B$4=2030,I418,IF(Assumptions!$B$4=2035,J418,K418))</x:f>
        <x:v>-0.14326338144775208</x:v>
      </x:c>
      <x:c r="M418" s="36" t="n">
        <x:f>Assumptions!$B$19</x:f>
        <x:v>-0.04739891965741583</x:v>
      </x:c>
      <x:c r="N418" s="52" t="n">
        <x:f>H418*L418+(1-H418)*M418+O418</x:f>
        <x:v>-0.12888371217920164</x:v>
      </x:c>
      <x:c r="O418" s="36" t="n">
        <x:f>Assumptions!$B$10</x:f>
        <x:v>0</x:v>
      </x:c>
      <x:c r="P418" s="54" t="n">
        <x:f>E418*(1+N418)</x:f>
        <x:v>2872.9415172329927</x:v>
      </x:c>
      <x:c r="Q418" s="54" t="n">
        <x:f>P418-E418</x:f>
        <x:v>-425.05848276700726</x:v>
      </x:c>
      <x:c r="R418" s="16" t="str">
        <x:v>Yes</x:v>
      </x:c>
      <x:c r="S418" s="56" t="n">
        <x:v>14036</x:v>
      </x:c>
      <x:c r="T418" s="56" t="n">
        <x:v>7342</x:v>
      </x:c>
      <x:c r="U418" s="40" t="n">
        <x:f>E418*Assumptions!$B$8</x:f>
        <x:v>2803.2999999999997</x:v>
      </x:c>
      <x:c r="V418" s="40" t="n">
        <x:f>P418*Assumptions!$B$8</x:f>
        <x:v>2442.0002896480437</x:v>
      </x:c>
      <x:c r="W418" s="54" t="n">
        <x:f>V418-U418</x:f>
        <x:v>-361.29971035195604</x:v>
      </x:c>
      <x:c r="X418" s="58" t="n">
        <x:f>IF(R418="No","",W418*S418)</x:f>
        <x:v>-5071202.734500055</x:v>
      </x:c>
      <x:c r="Y418" s="58" t="n">
        <x:f>IF(R418="No","",W418*T418*Assumptions!$B$9)</x:f>
        <x:v>-795798.7420212183</x:v>
      </x:c>
      <x:c r="Z418" s="58" t="n">
        <x:f>IF(R418="No","",X418-Y418)</x:f>
        <x:v>-4275403.992478837</x:v>
      </x:c>
      <x:c r="AA418" s="58" t="n">
        <x:f>IF(R418="No","",MAX(0,-Z418))</x:f>
        <x:v>4275403.992478837</x:v>
      </x:c>
      <x:c r="AB418" s="52" t="n">
        <x:f>IF(OR(R418="No",U418*S418=0),"",AA418/(U418*S418))</x:f>
        <x:v>0.10865862921782313</x:v>
      </x:c>
      <x:c r="AC418" s="54" t="n">
        <x:f>IF(OR(R418="No",S418-T418*Assumptions!$B$9&lt;=0),"",AA418/(Assumptions!$B$8*(S418-T418*Assumptions!$B$9)))</x:f>
        <x:v>425.0584827670072</x:v>
      </x:c>
      <x:c r="AD418" s="52" t="n">
        <x:f>IF(OR(R418="No",U418*S418=0),"",AA418/(U418*S418))</x:f>
        <x:v>0.10865862921782313</x:v>
      </x:c>
      <x:c r="AE418" s="50" t="str">
        <x:f>IF(R418="No","No finance data",IF(AB418&gt;=10%,"Severe",IF(AB418&gt;=5%,"High",IF(AB418&gt;=2%,"Moderate","Low"))))</x:f>
        <x:v>Severe</x:v>
      </x:c>
      <x:c r="AF418" s="60" t="n">
        <x:v>41.777569</x:v>
      </x:c>
      <x:c r="AG418" s="60" t="n">
        <x:v>-88.097307</x:v>
      </x:c>
      <x:c r="AH418" s="44" t="str">
        <x:v>Undergraduate tuition-contribution proxy only; not an audited total institutional budget.</x:v>
      </x:c>
    </x:row>
    <x:row r="419">
      <x:c r="A419" s="16" t="n">
        <x:v>143288</x:v>
      </x:c>
      <x:c r="B419" s="16" t="str">
        <x:v>Blackburn College</x:v>
      </x:c>
      <x:c r="C419" s="16" t="str">
        <x:v>IL</x:v>
      </x:c>
      <x:c r="D419" s="16" t="str">
        <x:v>Private nonprofit</x:v>
      </x:c>
      <x:c r="E419" s="34" t="n">
        <x:v>579</x:v>
      </x:c>
      <x:c r="F419" s="21"/>
      <x:c r="G419" s="16" t="str">
        <x:v>Regional</x:v>
      </x:c>
      <x:c r="H419" s="36" t="n">
        <x:f>IF(G419="National",Assumptions!$B$11,IF(G419="Statewide",Assumptions!$B$12,Assumptions!$B$13))</x:f>
        <x:v>0.85</x:v>
      </x:c>
      <x:c r="I419" s="21" t="n">
        <x:v>-0.10579172815953353</x:v>
      </x:c>
      <x:c r="J419" s="21" t="n">
        <x:v>-0.14326338144775208</x:v>
      </x:c>
      <x:c r="K419" s="21" t="n">
        <x:v>-0.2868003311615852</x:v>
      </x:c>
      <x:c r="L419" s="36" t="n">
        <x:f>IF(Assumptions!$B$4=2030,I419,IF(Assumptions!$B$4=2035,J419,K419))</x:f>
        <x:v>-0.14326338144775208</x:v>
      </x:c>
      <x:c r="M419" s="36" t="n">
        <x:f>Assumptions!$B$19</x:f>
        <x:v>-0.04739891965741583</x:v>
      </x:c>
      <x:c r="N419" s="52" t="n">
        <x:f>H419*L419+(1-H419)*M419+O419</x:f>
        <x:v>-0.12888371217920164</x:v>
      </x:c>
      <x:c r="O419" s="36" t="n">
        <x:f>Assumptions!$B$10</x:f>
        <x:v>0</x:v>
      </x:c>
      <x:c r="P419" s="54" t="n">
        <x:f>E419*(1+N419)</x:f>
        <x:v>504.37633064824223</x:v>
      </x:c>
      <x:c r="Q419" s="54" t="n">
        <x:f>P419-E419</x:f>
        <x:v>-74.62366935175777</x:v>
      </x:c>
      <x:c r="R419" s="16" t="str">
        <x:v>No</x:v>
      </x:c>
      <x:c r="S419" s="56"/>
      <x:c r="T419" s="56"/>
      <x:c r="U419" s="40" t="n">
        <x:f>E419*Assumptions!$B$8</x:f>
        <x:v>492.15</x:v>
      </x:c>
      <x:c r="V419" s="40" t="n">
        <x:f>P419*Assumptions!$B$8</x:f>
        <x:v>428.71988105100587</x:v>
      </x:c>
      <x:c r="W419" s="54" t="n">
        <x:f>V419-U419</x:f>
        <x:v>-63.43011894899411</x:v>
      </x:c>
      <x:c r="X419" s="58" t="str">
        <x:f>IF(R419="No","",W419*S419)</x:f>
      </x:c>
      <x:c r="Y419" s="58" t="str">
        <x:f>IF(R419="No","",W419*T419*Assumptions!$B$9)</x:f>
      </x:c>
      <x:c r="Z419" s="58" t="str">
        <x:f>IF(R419="No","",X419-Y419)</x:f>
      </x:c>
      <x:c r="AA419" s="58" t="str">
        <x:f>IF(R419="No","",MAX(0,-Z419))</x:f>
      </x:c>
      <x:c r="AB419" s="52" t="str">
        <x:f>IF(OR(R419="No",U419*S419=0),"",AA419/(U419*S419))</x:f>
      </x:c>
      <x:c r="AC419" s="54" t="str">
        <x:f>IF(OR(R419="No",S419-T419*Assumptions!$B$9&lt;=0),"",AA419/(Assumptions!$B$8*(S419-T419*Assumptions!$B$9)))</x:f>
      </x:c>
      <x:c r="AD419" s="52" t="str">
        <x:f>IF(OR(R419="No",U419*S419=0),"",AA419/(U419*S419))</x:f>
      </x:c>
      <x:c r="AE419" s="50" t="str">
        <x:f>IF(R419="No","No finance data",IF(AB419&gt;=10%,"Severe",IF(AB419&gt;=5%,"High",IF(AB419&gt;=2%,"Moderate","Low"))))</x:f>
        <x:v>No finance data</x:v>
      </x:c>
      <x:c r="AF419" s="60"/>
      <x:c r="AG419" s="60"/>
      <x:c r="AH419" s="44" t="str">
        <x:v>Undergraduate tuition-contribution proxy only; not an audited total institutional budget.</x:v>
      </x:c>
    </x:row>
    <x:row r="420">
      <x:c r="A420" s="16" t="n">
        <x:v>143297</x:v>
      </x:c>
      <x:c r="B420" s="16" t="str">
        <x:v>Blessing Rieman College of Nursing and Health Sciences</x:v>
      </x:c>
      <x:c r="C420" s="16" t="str">
        <x:v>IL</x:v>
      </x:c>
      <x:c r="D420" s="16" t="str">
        <x:v>Private nonprofit</x:v>
      </x:c>
      <x:c r="E420" s="34" t="n">
        <x:v>244</x:v>
      </x:c>
      <x:c r="F420" s="21"/>
      <x:c r="G420" s="16" t="str">
        <x:v>Regional</x:v>
      </x:c>
      <x:c r="H420" s="36" t="n">
        <x:f>IF(G420="National",Assumptions!$B$11,IF(G420="Statewide",Assumptions!$B$12,Assumptions!$B$13))</x:f>
        <x:v>0.85</x:v>
      </x:c>
      <x:c r="I420" s="21" t="n">
        <x:v>-0.10579172815953353</x:v>
      </x:c>
      <x:c r="J420" s="21" t="n">
        <x:v>-0.14326338144775208</x:v>
      </x:c>
      <x:c r="K420" s="21" t="n">
        <x:v>-0.2868003311615852</x:v>
      </x:c>
      <x:c r="L420" s="36" t="n">
        <x:f>IF(Assumptions!$B$4=2030,I420,IF(Assumptions!$B$4=2035,J420,K420))</x:f>
        <x:v>-0.14326338144775208</x:v>
      </x:c>
      <x:c r="M420" s="36" t="n">
        <x:f>Assumptions!$B$19</x:f>
        <x:v>-0.04739891965741583</x:v>
      </x:c>
      <x:c r="N420" s="52" t="n">
        <x:f>H420*L420+(1-H420)*M420+O420</x:f>
        <x:v>-0.12888371217920164</x:v>
      </x:c>
      <x:c r="O420" s="36" t="n">
        <x:f>Assumptions!$B$10</x:f>
        <x:v>0</x:v>
      </x:c>
      <x:c r="P420" s="54" t="n">
        <x:f>E420*(1+N420)</x:f>
        <x:v>212.5523742282748</x:v>
      </x:c>
      <x:c r="Q420" s="54" t="n">
        <x:f>P420-E420</x:f>
        <x:v>-31.4476257717252</x:v>
      </x:c>
      <x:c r="R420" s="16" t="str">
        <x:v>No</x:v>
      </x:c>
      <x:c r="S420" s="56"/>
      <x:c r="T420" s="56"/>
      <x:c r="U420" s="40" t="n">
        <x:f>E420*Assumptions!$B$8</x:f>
        <x:v>207.4</x:v>
      </x:c>
      <x:c r="V420" s="40" t="n">
        <x:f>P420*Assumptions!$B$8</x:f>
        <x:v>180.66951809403358</x:v>
      </x:c>
      <x:c r="W420" s="54" t="n">
        <x:f>V420-U420</x:f>
        <x:v>-26.73048190596643</x:v>
      </x:c>
      <x:c r="X420" s="58" t="str">
        <x:f>IF(R420="No","",W420*S420)</x:f>
      </x:c>
      <x:c r="Y420" s="58" t="str">
        <x:f>IF(R420="No","",W420*T420*Assumptions!$B$9)</x:f>
      </x:c>
      <x:c r="Z420" s="58" t="str">
        <x:f>IF(R420="No","",X420-Y420)</x:f>
      </x:c>
      <x:c r="AA420" s="58" t="str">
        <x:f>IF(R420="No","",MAX(0,-Z420))</x:f>
      </x:c>
      <x:c r="AB420" s="52" t="str">
        <x:f>IF(OR(R420="No",U420*S420=0),"",AA420/(U420*S420))</x:f>
      </x:c>
      <x:c r="AC420" s="54" t="str">
        <x:f>IF(OR(R420="No",S420-T420*Assumptions!$B$9&lt;=0),"",AA420/(Assumptions!$B$8*(S420-T420*Assumptions!$B$9)))</x:f>
      </x:c>
      <x:c r="AD420" s="52" t="str">
        <x:f>IF(OR(R420="No",U420*S420=0),"",AA420/(U420*S420))</x:f>
      </x:c>
      <x:c r="AE420" s="50" t="str">
        <x:f>IF(R420="No","No finance data",IF(AB420&gt;=10%,"Severe",IF(AB420&gt;=5%,"High",IF(AB420&gt;=2%,"Moderate","Low"))))</x:f>
        <x:v>No finance data</x:v>
      </x:c>
      <x:c r="AF420" s="60"/>
      <x:c r="AG420" s="60"/>
      <x:c r="AH420" s="44" t="str">
        <x:v>Undergraduate tuition-contribution proxy only; not an audited total institutional budget.</x:v>
      </x:c>
    </x:row>
    <x:row r="421">
      <x:c r="A421" s="16" t="n">
        <x:v>143358</x:v>
      </x:c>
      <x:c r="B421" s="16" t="str">
        <x:v>Bradley University</x:v>
      </x:c>
      <x:c r="C421" s="16" t="str">
        <x:v>IL</x:v>
      </x:c>
      <x:c r="D421" s="16" t="str">
        <x:v>Private nonprofit</x:v>
      </x:c>
      <x:c r="E421" s="34" t="n">
        <x:v>4436</x:v>
      </x:c>
      <x:c r="F421" s="21" t="n">
        <x:v>0.7586</x:v>
      </x:c>
      <x:c r="G421" s="16" t="str">
        <x:v>Regional</x:v>
      </x:c>
      <x:c r="H421" s="36" t="n">
        <x:f>IF(G421="National",Assumptions!$B$11,IF(G421="Statewide",Assumptions!$B$12,Assumptions!$B$13))</x:f>
        <x:v>0.85</x:v>
      </x:c>
      <x:c r="I421" s="21" t="n">
        <x:v>-0.10579172815953353</x:v>
      </x:c>
      <x:c r="J421" s="21" t="n">
        <x:v>-0.14326338144775208</x:v>
      </x:c>
      <x:c r="K421" s="21" t="n">
        <x:v>-0.2868003311615852</x:v>
      </x:c>
      <x:c r="L421" s="36" t="n">
        <x:f>IF(Assumptions!$B$4=2030,I421,IF(Assumptions!$B$4=2035,J421,K421))</x:f>
        <x:v>-0.14326338144775208</x:v>
      </x:c>
      <x:c r="M421" s="36" t="n">
        <x:f>Assumptions!$B$19</x:f>
        <x:v>-0.04739891965741583</x:v>
      </x:c>
      <x:c r="N421" s="52" t="n">
        <x:f>H421*L421+(1-H421)*M421+O421</x:f>
        <x:v>-0.12888371217920164</x:v>
      </x:c>
      <x:c r="O421" s="36" t="n">
        <x:f>Assumptions!$B$10</x:f>
        <x:v>0</x:v>
      </x:c>
      <x:c r="P421" s="54" t="n">
        <x:f>E421*(1+N421)</x:f>
        <x:v>3864.2718527730613</x:v>
      </x:c>
      <x:c r="Q421" s="54" t="n">
        <x:f>P421-E421</x:f>
        <x:v>-571.7281472269387</x:v>
      </x:c>
      <x:c r="R421" s="16" t="str">
        <x:v>Yes</x:v>
      </x:c>
      <x:c r="S421" s="56" t="n">
        <x:v>17848</x:v>
      </x:c>
      <x:c r="T421" s="56" t="n">
        <x:v>13730</x:v>
      </x:c>
      <x:c r="U421" s="40" t="n">
        <x:f>E421*Assumptions!$B$8</x:f>
        <x:v>3770.6</x:v>
      </x:c>
      <x:c r="V421" s="40" t="n">
        <x:f>P421*Assumptions!$B$8</x:f>
        <x:v>3284.631074857102</x:v>
      </x:c>
      <x:c r="W421" s="54" t="n">
        <x:f>V421-U421</x:f>
        <x:v>-485.9689251428981</x:v>
      </x:c>
      <x:c r="X421" s="58" t="n">
        <x:f>IF(R421="No","",W421*S421)</x:f>
        <x:v>-8673573.375950446</x:v>
      </x:c>
      <x:c r="Y421" s="58" t="n">
        <x:f>IF(R421="No","",W421*T421*Assumptions!$B$9)</x:f>
        <x:v>-2001706.0026635975</x:v>
      </x:c>
      <x:c r="Z421" s="58" t="n">
        <x:f>IF(R421="No","",X421-Y421)</x:f>
        <x:v>-6671867.373286849</x:v>
      </x:c>
      <x:c r="AA421" s="58" t="n">
        <x:f>IF(R421="No","",MAX(0,-Z421))</x:f>
        <x:v>6671867.373286849</x:v>
      </x:c>
      <x:c r="AB421" s="52" t="n">
        <x:f>IF(OR(R421="No",U421*S421=0),"",AA421/(U421*S421))</x:f>
        <x:v>0.09913965063358701</x:v>
      </x:c>
      <x:c r="AC421" s="54" t="n">
        <x:f>IF(OR(R421="No",S421-T421*Assumptions!$B$9&lt;=0),"",AA421/(Assumptions!$B$8*(S421-T421*Assumptions!$B$9)))</x:f>
        <x:v>571.7281472269391</x:v>
      </x:c>
      <x:c r="AD421" s="52" t="n">
        <x:f>IF(OR(R421="No",U421*S421=0),"",AA421/(U421*S421))</x:f>
        <x:v>0.09913965063358701</x:v>
      </x:c>
      <x:c r="AE421" s="50" t="str">
        <x:f>IF(R421="No","No finance data",IF(AB421&gt;=10%,"Severe",IF(AB421&gt;=5%,"High",IF(AB421&gt;=2%,"Moderate","Low"))))</x:f>
        <x:v>High</x:v>
      </x:c>
      <x:c r="AF421" s="60" t="n">
        <x:v>40.696896</x:v>
      </x:c>
      <x:c r="AG421" s="60" t="n">
        <x:v>-89.616786</x:v>
      </x:c>
      <x:c r="AH421" s="44" t="str">
        <x:v>Undergraduate tuition-contribution proxy only; not an audited total institutional budget.</x:v>
      </x:c>
    </x:row>
    <x:row r="422">
      <x:c r="A422" s="16" t="n">
        <x:v>144005</x:v>
      </x:c>
      <x:c r="B422" s="16" t="str">
        <x:v>Chicago State University</x:v>
      </x:c>
      <x:c r="C422" s="16" t="str">
        <x:v>IL</x:v>
      </x:c>
      <x:c r="D422" s="16" t="str">
        <x:v>Public</x:v>
      </x:c>
      <x:c r="E422" s="34" t="n">
        <x:v>3437</x:v>
      </x:c>
      <x:c r="F422" s="21" t="n">
        <x:v>0.4747</x:v>
      </x:c>
      <x:c r="G422" s="16" t="str">
        <x:v>Regional</x:v>
      </x:c>
      <x:c r="H422" s="36" t="n">
        <x:f>IF(G422="National",Assumptions!$B$11,IF(G422="Statewide",Assumptions!$B$12,Assumptions!$B$13))</x:f>
        <x:v>0.85</x:v>
      </x:c>
      <x:c r="I422" s="21" t="n">
        <x:v>-0.10579172815953353</x:v>
      </x:c>
      <x:c r="J422" s="21" t="n">
        <x:v>-0.14326338144775208</x:v>
      </x:c>
      <x:c r="K422" s="21" t="n">
        <x:v>-0.2868003311615852</x:v>
      </x:c>
      <x:c r="L422" s="36" t="n">
        <x:f>IF(Assumptions!$B$4=2030,I422,IF(Assumptions!$B$4=2035,J422,K422))</x:f>
        <x:v>-0.14326338144775208</x:v>
      </x:c>
      <x:c r="M422" s="36" t="n">
        <x:f>Assumptions!$B$19</x:f>
        <x:v>-0.04739891965741583</x:v>
      </x:c>
      <x:c r="N422" s="52" t="n">
        <x:f>H422*L422+(1-H422)*M422+O422</x:f>
        <x:v>-0.12888371217920164</x:v>
      </x:c>
      <x:c r="O422" s="36" t="n">
        <x:f>Assumptions!$B$10</x:f>
        <x:v>0</x:v>
      </x:c>
      <x:c r="P422" s="54" t="n">
        <x:f>E422*(1+N422)</x:f>
        <x:v>2994.0266812400837</x:v>
      </x:c>
      <x:c r="Q422" s="54" t="n">
        <x:f>P422-E422</x:f>
        <x:v>-442.9733187599163</x:v>
      </x:c>
      <x:c r="R422" s="16" t="str">
        <x:v>Yes</x:v>
      </x:c>
      <x:c r="S422" s="56" t="n">
        <x:v>6719</x:v>
      </x:c>
      <x:c r="T422" s="56" t="n">
        <x:v>29476</x:v>
      </x:c>
      <x:c r="U422" s="40" t="n">
        <x:f>E422*Assumptions!$B$8</x:f>
        <x:v>2921.45</x:v>
      </x:c>
      <x:c r="V422" s="40" t="n">
        <x:f>P422*Assumptions!$B$8</x:f>
        <x:v>2544.922679054071</x:v>
      </x:c>
      <x:c r="W422" s="54" t="n">
        <x:f>V422-U422</x:f>
        <x:v>-376.52732094592875</x:v>
      </x:c>
      <x:c r="X422" s="58" t="n">
        <x:f>IF(R422="No","",W422*S422)</x:f>
        <x:v>-2529887.069435695</x:v>
      </x:c>
      <x:c r="Y422" s="58" t="n">
        <x:f>IF(R422="No","",W422*T422*Assumptions!$B$9)</x:f>
        <x:v>-3329555.793660659</x:v>
      </x:c>
      <x:c r="Z422" s="58" t="n">
        <x:f>IF(R422="No","",X422-Y422)</x:f>
        <x:v>799668.7242249637</x:v>
      </x:c>
      <x:c r="AA422" s="58" t="n">
        <x:f>IF(R422="No","",MAX(0,-Z422))</x:f>
        <x:v>0</x:v>
      </x:c>
      <x:c r="AB422" s="52" t="n">
        <x:f>IF(OR(R422="No",U422*S422=0),"",AA422/(U422*S422))</x:f>
        <x:v>0</x:v>
      </x:c>
      <x:c r="AC422" s="54" t="str">
        <x:f>IF(OR(R422="No",S422-T422*Assumptions!$B$9&lt;=0),"",AA422/(Assumptions!$B$8*(S422-T422*Assumptions!$B$9)))</x:f>
      </x:c>
      <x:c r="AD422" s="52" t="n">
        <x:f>IF(OR(R422="No",U422*S422=0),"",AA422/(U422*S422))</x:f>
        <x:v>0</x:v>
      </x:c>
      <x:c r="AE422" s="50" t="str">
        <x:f>IF(R422="No","No finance data",IF(AB422&gt;=10%,"Severe",IF(AB422&gt;=5%,"High",IF(AB422&gt;=2%,"Moderate","Low"))))</x:f>
        <x:v>Low</x:v>
      </x:c>
      <x:c r="AF422" s="60" t="n">
        <x:v>41.718446</x:v>
      </x:c>
      <x:c r="AG422" s="60" t="n">
        <x:v>-87.609384</x:v>
      </x:c>
      <x:c r="AH422" s="44" t="str">
        <x:v>Undergraduate tuition-contribution proxy only; not an audited total institutional budget.</x:v>
      </x:c>
    </x:row>
    <x:row r="423">
      <x:c r="A423" s="16" t="n">
        <x:v>260947</x:v>
      </x:c>
      <x:c r="B423" s="16" t="str">
        <x:v>Christian Life College</x:v>
      </x:c>
      <x:c r="C423" s="16" t="str">
        <x:v>IL</x:v>
      </x:c>
      <x:c r="D423" s="16" t="str">
        <x:v>Private nonprofit</x:v>
      </x:c>
      <x:c r="E423" s="34" t="n">
        <x:v>45</x:v>
      </x:c>
      <x:c r="F423" s="21"/>
      <x:c r="G423" s="16" t="str">
        <x:v>Regional</x:v>
      </x:c>
      <x:c r="H423" s="36" t="n">
        <x:f>IF(G423="National",Assumptions!$B$11,IF(G423="Statewide",Assumptions!$B$12,Assumptions!$B$13))</x:f>
        <x:v>0.85</x:v>
      </x:c>
      <x:c r="I423" s="21" t="n">
        <x:v>-0.10579172815953353</x:v>
      </x:c>
      <x:c r="J423" s="21" t="n">
        <x:v>-0.14326338144775208</x:v>
      </x:c>
      <x:c r="K423" s="21" t="n">
        <x:v>-0.2868003311615852</x:v>
      </x:c>
      <x:c r="L423" s="36" t="n">
        <x:f>IF(Assumptions!$B$4=2030,I423,IF(Assumptions!$B$4=2035,J423,K423))</x:f>
        <x:v>-0.14326338144775208</x:v>
      </x:c>
      <x:c r="M423" s="36" t="n">
        <x:f>Assumptions!$B$19</x:f>
        <x:v>-0.04739891965741583</x:v>
      </x:c>
      <x:c r="N423" s="52" t="n">
        <x:f>H423*L423+(1-H423)*M423+O423</x:f>
        <x:v>-0.12888371217920164</x:v>
      </x:c>
      <x:c r="O423" s="36" t="n">
        <x:f>Assumptions!$B$10</x:f>
        <x:v>0</x:v>
      </x:c>
      <x:c r="P423" s="54" t="n">
        <x:f>E423*(1+N423)</x:f>
        <x:v>39.200232951935924</x:v>
      </x:c>
      <x:c r="Q423" s="54" t="n">
        <x:f>P423-E423</x:f>
        <x:v>-5.799767048064076</x:v>
      </x:c>
      <x:c r="R423" s="16" t="str">
        <x:v>No</x:v>
      </x:c>
      <x:c r="S423" s="56"/>
      <x:c r="T423" s="56"/>
      <x:c r="U423" s="40" t="n">
        <x:f>E423*Assumptions!$B$8</x:f>
        <x:v>38.25</x:v>
      </x:c>
      <x:c r="V423" s="40" t="n">
        <x:f>P423*Assumptions!$B$8</x:f>
        <x:v>33.320198009145535</x:v>
      </x:c>
      <x:c r="W423" s="54" t="n">
        <x:f>V423-U423</x:f>
        <x:v>-4.929801990854465</x:v>
      </x:c>
      <x:c r="X423" s="58" t="str">
        <x:f>IF(R423="No","",W423*S423)</x:f>
      </x:c>
      <x:c r="Y423" s="58" t="str">
        <x:f>IF(R423="No","",W423*T423*Assumptions!$B$9)</x:f>
      </x:c>
      <x:c r="Z423" s="58" t="str">
        <x:f>IF(R423="No","",X423-Y423)</x:f>
      </x:c>
      <x:c r="AA423" s="58" t="str">
        <x:f>IF(R423="No","",MAX(0,-Z423))</x:f>
      </x:c>
      <x:c r="AB423" s="52" t="str">
        <x:f>IF(OR(R423="No",U423*S423=0),"",AA423/(U423*S423))</x:f>
      </x:c>
      <x:c r="AC423" s="54" t="str">
        <x:f>IF(OR(R423="No",S423-T423*Assumptions!$B$9&lt;=0),"",AA423/(Assumptions!$B$8*(S423-T423*Assumptions!$B$9)))</x:f>
      </x:c>
      <x:c r="AD423" s="52" t="str">
        <x:f>IF(OR(R423="No",U423*S423=0),"",AA423/(U423*S423))</x:f>
      </x:c>
      <x:c r="AE423" s="50" t="str">
        <x:f>IF(R423="No","No finance data",IF(AB423&gt;=10%,"Severe",IF(AB423&gt;=5%,"High",IF(AB423&gt;=2%,"Moderate","Low"))))</x:f>
        <x:v>No finance data</x:v>
      </x:c>
      <x:c r="AF423" s="60"/>
      <x:c r="AG423" s="60"/>
      <x:c r="AH423" s="44" t="str">
        <x:v>Undergraduate tuition-contribution proxy only; not an audited total institutional budget.</x:v>
      </x:c>
    </x:row>
    <x:row r="424">
      <x:c r="A424" s="16" t="n">
        <x:v>144281</x:v>
      </x:c>
      <x:c r="B424" s="16" t="str">
        <x:v>Columbia College Chicago</x:v>
      </x:c>
      <x:c r="C424" s="16" t="str">
        <x:v>IL</x:v>
      </x:c>
      <x:c r="D424" s="16" t="str">
        <x:v>Private nonprofit</x:v>
      </x:c>
      <x:c r="E424" s="34" t="n">
        <x:v>8492</x:v>
      </x:c>
      <x:c r="F424" s="21" t="n">
        <x:v>0.9564</x:v>
      </x:c>
      <x:c r="G424" s="16" t="str">
        <x:v>Statewide</x:v>
      </x:c>
      <x:c r="H424" s="36" t="n">
        <x:f>IF(G424="National",Assumptions!$B$11,IF(G424="Statewide",Assumptions!$B$12,Assumptions!$B$13))</x:f>
        <x:v>0.6</x:v>
      </x:c>
      <x:c r="I424" s="21" t="n">
        <x:v>-0.10579172815953353</x:v>
      </x:c>
      <x:c r="J424" s="21" t="n">
        <x:v>-0.14326338144775208</x:v>
      </x:c>
      <x:c r="K424" s="21" t="n">
        <x:v>-0.2868003311615852</x:v>
      </x:c>
      <x:c r="L424" s="36" t="n">
        <x:f>IF(Assumptions!$B$4=2030,I424,IF(Assumptions!$B$4=2035,J424,K424))</x:f>
        <x:v>-0.14326338144775208</x:v>
      </x:c>
      <x:c r="M424" s="36" t="n">
        <x:f>Assumptions!$B$19</x:f>
        <x:v>-0.04739891965741583</x:v>
      </x:c>
      <x:c r="N424" s="52" t="n">
        <x:f>H424*L424+(1-H424)*M424+O424</x:f>
        <x:v>-0.10491759673161757</x:v>
      </x:c>
      <x:c r="O424" s="36" t="n">
        <x:f>Assumptions!$B$10</x:f>
        <x:v>0</x:v>
      </x:c>
      <x:c r="P424" s="54" t="n">
        <x:f>E424*(1+N424)</x:f>
        <x:v>7601.039768555103</x:v>
      </x:c>
      <x:c r="Q424" s="54" t="n">
        <x:f>P424-E424</x:f>
        <x:v>-890.9602314448966</x:v>
      </x:c>
      <x:c r="R424" s="16" t="str">
        <x:v>Yes</x:v>
      </x:c>
      <x:c r="S424" s="56" t="n">
        <x:v>17798</x:v>
      </x:c>
      <x:c r="T424" s="56" t="n">
        <x:v>10198</x:v>
      </x:c>
      <x:c r="U424" s="40" t="n">
        <x:f>E424*Assumptions!$B$8</x:f>
        <x:v>7218.2</x:v>
      </x:c>
      <x:c r="V424" s="40" t="n">
        <x:f>P424*Assumptions!$B$8</x:f>
        <x:v>6460.883803271838</x:v>
      </x:c>
      <x:c r="W424" s="54" t="n">
        <x:f>V424-U424</x:f>
        <x:v>-757.3161967281621</x:v>
      </x:c>
      <x:c r="X424" s="58" t="n">
        <x:f>IF(R424="No","",W424*S424)</x:f>
        <x:v>-13478713.66936783</x:v>
      </x:c>
      <x:c r="Y424" s="58" t="n">
        <x:f>IF(R424="No","",W424*T424*Assumptions!$B$9)</x:f>
        <x:v>-2316933.172270139</x:v>
      </x:c>
      <x:c r="Z424" s="58" t="n">
        <x:f>IF(R424="No","",X424-Y424)</x:f>
        <x:v>-11161780.49709769</x:v>
      </x:c>
      <x:c r="AA424" s="58" t="n">
        <x:f>IF(R424="No","",MAX(0,-Z424))</x:f>
        <x:v>11161780.49709769</x:v>
      </x:c>
      <x:c r="AB424" s="52" t="n">
        <x:f>IF(OR(R424="No",U424*S424=0),"",AA424/(U424*S424))</x:f>
        <x:v>0.08688271104554551</x:v>
      </x:c>
      <x:c r="AC424" s="54" t="n">
        <x:f>IF(OR(R424="No",S424-T424*Assumptions!$B$9&lt;=0),"",AA424/(Assumptions!$B$8*(S424-T424*Assumptions!$B$9)))</x:f>
        <x:v>890.9602314448966</x:v>
      </x:c>
      <x:c r="AD424" s="52" t="n">
        <x:f>IF(OR(R424="No",U424*S424=0),"",AA424/(U424*S424))</x:f>
        <x:v>0.08688271104554551</x:v>
      </x:c>
      <x:c r="AE424" s="50" t="str">
        <x:f>IF(R424="No","No finance data",IF(AB424&gt;=10%,"Severe",IF(AB424&gt;=5%,"High",IF(AB424&gt;=2%,"Moderate","Low"))))</x:f>
        <x:v>High</x:v>
      </x:c>
      <x:c r="AF424" s="60" t="n">
        <x:v>41.874261</x:v>
      </x:c>
      <x:c r="AG424" s="60" t="n">
        <x:v>-87.624667</x:v>
      </x:c>
      <x:c r="AH424" s="44" t="str">
        <x:v>Undergraduate tuition-contribution proxy only; not an audited total institutional budget.</x:v>
      </x:c>
    </x:row>
    <x:row r="425">
      <x:c r="A425" s="16" t="n">
        <x:v>144351</x:v>
      </x:c>
      <x:c r="B425" s="16" t="str">
        <x:v>Concordia University-Chicago</x:v>
      </x:c>
      <x:c r="C425" s="16" t="str">
        <x:v>IL</x:v>
      </x:c>
      <x:c r="D425" s="16" t="str">
        <x:v>Private nonprofit</x:v>
      </x:c>
      <x:c r="E425" s="34" t="n">
        <x:v>1447</x:v>
      </x:c>
      <x:c r="F425" s="21" t="n">
        <x:v>0.8781</x:v>
      </x:c>
      <x:c r="G425" s="16" t="str">
        <x:v>Regional</x:v>
      </x:c>
      <x:c r="H425" s="36" t="n">
        <x:f>IF(G425="National",Assumptions!$B$11,IF(G425="Statewide",Assumptions!$B$12,Assumptions!$B$13))</x:f>
        <x:v>0.85</x:v>
      </x:c>
      <x:c r="I425" s="21" t="n">
        <x:v>-0.10579172815953353</x:v>
      </x:c>
      <x:c r="J425" s="21" t="n">
        <x:v>-0.14326338144775208</x:v>
      </x:c>
      <x:c r="K425" s="21" t="n">
        <x:v>-0.2868003311615852</x:v>
      </x:c>
      <x:c r="L425" s="36" t="n">
        <x:f>IF(Assumptions!$B$4=2030,I425,IF(Assumptions!$B$4=2035,J425,K425))</x:f>
        <x:v>-0.14326338144775208</x:v>
      </x:c>
      <x:c r="M425" s="36" t="n">
        <x:f>Assumptions!$B$19</x:f>
        <x:v>-0.04739891965741583</x:v>
      </x:c>
      <x:c r="N425" s="52" t="n">
        <x:f>H425*L425+(1-H425)*M425+O425</x:f>
        <x:v>-0.12888371217920164</x:v>
      </x:c>
      <x:c r="O425" s="36" t="n">
        <x:f>Assumptions!$B$10</x:f>
        <x:v>0</x:v>
      </x:c>
      <x:c r="P425" s="54" t="n">
        <x:f>E425*(1+N425)</x:f>
        <x:v>1260.5052684766952</x:v>
      </x:c>
      <x:c r="Q425" s="54" t="n">
        <x:f>P425-E425</x:f>
        <x:v>-186.49473152330484</x:v>
      </x:c>
      <x:c r="R425" s="16" t="str">
        <x:v>Yes</x:v>
      </x:c>
      <x:c r="S425" s="56" t="n">
        <x:v>15051</x:v>
      </x:c>
      <x:c r="T425" s="56" t="n">
        <x:v>6374</x:v>
      </x:c>
      <x:c r="U425" s="40" t="n">
        <x:f>E425*Assumptions!$B$8</x:f>
        <x:v>1229.95</x:v>
      </x:c>
      <x:c r="V425" s="40" t="n">
        <x:f>P425*Assumptions!$B$8</x:f>
        <x:v>1071.429478205191</x:v>
      </x:c>
      <x:c r="W425" s="54" t="n">
        <x:f>V425-U425</x:f>
        <x:v>-158.52052179480916</x:v>
      </x:c>
      <x:c r="X425" s="58" t="n">
        <x:f>IF(R425="No","",W425*S425)</x:f>
        <x:v>-2385892.3735336727</x:v>
      </x:c>
      <x:c r="Y425" s="58" t="n">
        <x:f>IF(R425="No","",W425*T425*Assumptions!$B$9)</x:f>
        <x:v>-303122.9417760341</x:v>
      </x:c>
      <x:c r="Z425" s="58" t="n">
        <x:f>IF(R425="No","",X425-Y425)</x:f>
        <x:v>-2082769.4317576387</x:v>
      </x:c>
      <x:c r="AA425" s="58" t="n">
        <x:f>IF(R425="No","",MAX(0,-Z425))</x:f>
        <x:v>2082769.4317576387</x:v>
      </x:c>
      <x:c r="AB425" s="52" t="n">
        <x:f>IF(OR(R425="No",U425*S425=0),"",AA425/(U425*S425))</x:f>
        <x:v>0.11250928958740919</x:v>
      </x:c>
      <x:c r="AC425" s="54" t="n">
        <x:f>IF(OR(R425="No",S425-T425*Assumptions!$B$9&lt;=0),"",AA425/(Assumptions!$B$8*(S425-T425*Assumptions!$B$9)))</x:f>
        <x:v>186.49473152330492</x:v>
      </x:c>
      <x:c r="AD425" s="52" t="n">
        <x:f>IF(OR(R425="No",U425*S425=0),"",AA425/(U425*S425))</x:f>
        <x:v>0.11250928958740919</x:v>
      </x:c>
      <x:c r="AE425" s="50" t="str">
        <x:f>IF(R425="No","No finance data",IF(AB425&gt;=10%,"Severe",IF(AB425&gt;=5%,"High",IF(AB425&gt;=2%,"Moderate","Low"))))</x:f>
        <x:v>Severe</x:v>
      </x:c>
      <x:c r="AF425" s="60" t="n">
        <x:v>41.898696</x:v>
      </x:c>
      <x:c r="AG425" s="60" t="n">
        <x:v>-87.809482</x:v>
      </x:c>
      <x:c r="AH425" s="44" t="str">
        <x:v>Undergraduate tuition-contribution proxy only; not an audited total institutional budget.</x:v>
      </x:c>
    </x:row>
    <x:row r="426">
      <x:c r="A426" s="16" t="n">
        <x:v>144740</x:v>
      </x:c>
      <x:c r="B426" s="16" t="str">
        <x:v>DePaul University</x:v>
      </x:c>
      <x:c r="C426" s="16" t="str">
        <x:v>IL</x:v>
      </x:c>
      <x:c r="D426" s="16" t="str">
        <x:v>Private nonprofit</x:v>
      </x:c>
      <x:c r="E426" s="34" t="n">
        <x:v>15683</x:v>
      </x:c>
      <x:c r="F426" s="21" t="n">
        <x:v>0.6944</x:v>
      </x:c>
      <x:c r="G426" s="16" t="str">
        <x:v>Statewide</x:v>
      </x:c>
      <x:c r="H426" s="36" t="n">
        <x:f>IF(G426="National",Assumptions!$B$11,IF(G426="Statewide",Assumptions!$B$12,Assumptions!$B$13))</x:f>
        <x:v>0.6</x:v>
      </x:c>
      <x:c r="I426" s="21" t="n">
        <x:v>-0.10579172815953353</x:v>
      </x:c>
      <x:c r="J426" s="21" t="n">
        <x:v>-0.14326338144775208</x:v>
      </x:c>
      <x:c r="K426" s="21" t="n">
        <x:v>-0.2868003311615852</x:v>
      </x:c>
      <x:c r="L426" s="36" t="n">
        <x:f>IF(Assumptions!$B$4=2030,I426,IF(Assumptions!$B$4=2035,J426,K426))</x:f>
        <x:v>-0.14326338144775208</x:v>
      </x:c>
      <x:c r="M426" s="36" t="n">
        <x:f>Assumptions!$B$19</x:f>
        <x:v>-0.04739891965741583</x:v>
      </x:c>
      <x:c r="N426" s="52" t="n">
        <x:f>H426*L426+(1-H426)*M426+O426</x:f>
        <x:v>-0.10491759673161757</x:v>
      </x:c>
      <x:c r="O426" s="36" t="n">
        <x:f>Assumptions!$B$10</x:f>
        <x:v>0</x:v>
      </x:c>
      <x:c r="P426" s="54" t="n">
        <x:f>E426*(1+N426)</x:f>
        <x:v>14037.577330458042</x:v>
      </x:c>
      <x:c r="Q426" s="54" t="n">
        <x:f>P426-E426</x:f>
        <x:v>-1645.4226695419584</x:v>
      </x:c>
      <x:c r="R426" s="16" t="str">
        <x:v>Yes</x:v>
      </x:c>
      <x:c r="S426" s="56" t="n">
        <x:v>22198</x:v>
      </x:c>
      <x:c r="T426" s="56" t="n">
        <x:v>12358</x:v>
      </x:c>
      <x:c r="U426" s="40" t="n">
        <x:f>E426*Assumptions!$B$8</x:f>
        <x:v>13330.55</x:v>
      </x:c>
      <x:c r="V426" s="40" t="n">
        <x:f>P426*Assumptions!$B$8</x:f>
        <x:v>11931.940730889335</x:v>
      </x:c>
      <x:c r="W426" s="54" t="n">
        <x:f>V426-U426</x:f>
        <x:v>-1398.6092691106642</x:v>
      </x:c>
      <x:c r="X426" s="58" t="n">
        <x:f>IF(R426="No","",W426*S426)</x:f>
        <x:v>-31046328.555718523</x:v>
      </x:c>
      <x:c r="Y426" s="58" t="n">
        <x:f>IF(R426="No","",W426*T426*Assumptions!$B$9)</x:f>
        <x:v>-5185204.004300876</x:v>
      </x:c>
      <x:c r="Z426" s="58" t="n">
        <x:f>IF(R426="No","",X426-Y426)</x:f>
        <x:v>-25861124.55141765</x:v>
      </x:c>
      <x:c r="AA426" s="58" t="n">
        <x:f>IF(R426="No","",MAX(0,-Z426))</x:f>
        <x:v>25861124.55141765</x:v>
      </x:c>
      <x:c r="AB426" s="52" t="n">
        <x:f>IF(OR(R426="No",U426*S426=0),"",AA426/(U426*S426))</x:f>
        <x:v>0.08739477944524947</x:v>
      </x:c>
      <x:c r="AC426" s="54" t="n">
        <x:f>IF(OR(R426="No",S426-T426*Assumptions!$B$9&lt;=0),"",AA426/(Assumptions!$B$8*(S426-T426*Assumptions!$B$9)))</x:f>
        <x:v>1645.4226695419582</x:v>
      </x:c>
      <x:c r="AD426" s="52" t="n">
        <x:f>IF(OR(R426="No",U426*S426=0),"",AA426/(U426*S426))</x:f>
        <x:v>0.08739477944524947</x:v>
      </x:c>
      <x:c r="AE426" s="50" t="str">
        <x:f>IF(R426="No","No finance data",IF(AB426&gt;=10%,"Severe",IF(AB426&gt;=5%,"High",IF(AB426&gt;=2%,"Moderate","Low"))))</x:f>
        <x:v>High</x:v>
      </x:c>
      <x:c r="AF426" s="60" t="n">
        <x:v>41.877618</x:v>
      </x:c>
      <x:c r="AG426" s="60" t="n">
        <x:v>-87.62724</x:v>
      </x:c>
      <x:c r="AH426" s="44" t="str">
        <x:v>Undergraduate tuition-contribution proxy only; not an audited total institutional budget.</x:v>
      </x:c>
    </x:row>
    <x:row r="427">
      <x:c r="A427" s="16" t="n">
        <x:v>148496</x:v>
      </x:c>
      <x:c r="B427" s="16" t="str">
        <x:v>Dominican University</x:v>
      </x:c>
      <x:c r="C427" s="16" t="str">
        <x:v>IL</x:v>
      </x:c>
      <x:c r="D427" s="16" t="str">
        <x:v>Private nonprofit</x:v>
      </x:c>
      <x:c r="E427" s="34" t="n">
        <x:v>2241</x:v>
      </x:c>
      <x:c r="F427" s="21" t="n">
        <x:v>0.8094</x:v>
      </x:c>
      <x:c r="G427" s="16" t="str">
        <x:v>Regional</x:v>
      </x:c>
      <x:c r="H427" s="36" t="n">
        <x:f>IF(G427="National",Assumptions!$B$11,IF(G427="Statewide",Assumptions!$B$12,Assumptions!$B$13))</x:f>
        <x:v>0.85</x:v>
      </x:c>
      <x:c r="I427" s="21" t="n">
        <x:v>-0.10579172815953353</x:v>
      </x:c>
      <x:c r="J427" s="21" t="n">
        <x:v>-0.14326338144775208</x:v>
      </x:c>
      <x:c r="K427" s="21" t="n">
        <x:v>-0.2868003311615852</x:v>
      </x:c>
      <x:c r="L427" s="36" t="n">
        <x:f>IF(Assumptions!$B$4=2030,I427,IF(Assumptions!$B$4=2035,J427,K427))</x:f>
        <x:v>-0.14326338144775208</x:v>
      </x:c>
      <x:c r="M427" s="36" t="n">
        <x:f>Assumptions!$B$19</x:f>
        <x:v>-0.04739891965741583</x:v>
      </x:c>
      <x:c r="N427" s="52" t="n">
        <x:f>H427*L427+(1-H427)*M427+O427</x:f>
        <x:v>-0.12888371217920164</x:v>
      </x:c>
      <x:c r="O427" s="36" t="n">
        <x:f>Assumptions!$B$10</x:f>
        <x:v>0</x:v>
      </x:c>
      <x:c r="P427" s="54" t="n">
        <x:f>E427*(1+N427)</x:f>
        <x:v>1952.171601006409</x:v>
      </x:c>
      <x:c r="Q427" s="54" t="n">
        <x:f>P427-E427</x:f>
        <x:v>-288.828398993591</x:v>
      </x:c>
      <x:c r="R427" s="16" t="str">
        <x:v>Yes</x:v>
      </x:c>
      <x:c r="S427" s="56" t="n">
        <x:v>19099</x:v>
      </x:c>
      <x:c r="T427" s="56" t="n">
        <x:v>13583</x:v>
      </x:c>
      <x:c r="U427" s="40" t="n">
        <x:f>E427*Assumptions!$B$8</x:f>
        <x:v>1904.85</x:v>
      </x:c>
      <x:c r="V427" s="40" t="n">
        <x:f>P427*Assumptions!$B$8</x:f>
        <x:v>1659.3458608554477</x:v>
      </x:c>
      <x:c r="W427" s="54" t="n">
        <x:f>V427-U427</x:f>
        <x:v>-245.50413914455225</x:v>
      </x:c>
      <x:c r="X427" s="58" t="n">
        <x:f>IF(R427="No","",W427*S427)</x:f>
        <x:v>-4688883.553521804</x:v>
      </x:c>
      <x:c r="Y427" s="58" t="n">
        <x:f>IF(R427="No","",W427*T427*Assumptions!$B$9)</x:f>
        <x:v>-1000404.8166001359</x:v>
      </x:c>
      <x:c r="Z427" s="58" t="n">
        <x:f>IF(R427="No","",X427-Y427)</x:f>
        <x:v>-3688478.7369216676</x:v>
      </x:c>
      <x:c r="AA427" s="58" t="n">
        <x:f>IF(R427="No","",MAX(0,-Z427))</x:f>
        <x:v>3688478.7369216676</x:v>
      </x:c>
      <x:c r="AB427" s="52" t="n">
        <x:f>IF(OR(R427="No",U427*S427=0),"",AA427/(U427*S427))</x:f>
        <x:v>0.10138550605537167</x:v>
      </x:c>
      <x:c r="AC427" s="54" t="n">
        <x:f>IF(OR(R427="No",S427-T427*Assumptions!$B$9&lt;=0),"",AA427/(Assumptions!$B$8*(S427-T427*Assumptions!$B$9)))</x:f>
        <x:v>288.8283989935909</x:v>
      </x:c>
      <x:c r="AD427" s="52" t="n">
        <x:f>IF(OR(R427="No",U427*S427=0),"",AA427/(U427*S427))</x:f>
        <x:v>0.10138550605537167</x:v>
      </x:c>
      <x:c r="AE427" s="50" t="str">
        <x:f>IF(R427="No","No finance data",IF(AB427&gt;=10%,"Severe",IF(AB427&gt;=5%,"High",IF(AB427&gt;=2%,"Moderate","Low"))))</x:f>
        <x:v>Severe</x:v>
      </x:c>
      <x:c r="AF427" s="60" t="n">
        <x:v>41.902678</x:v>
      </x:c>
      <x:c r="AG427" s="60" t="n">
        <x:v>-87.823003</x:v>
      </x:c>
      <x:c r="AH427" s="44" t="str">
        <x:v>Undergraduate tuition-contribution proxy only; not an audited total institutional budget.</x:v>
      </x:c>
    </x:row>
    <x:row r="428">
      <x:c r="A428" s="16" t="n">
        <x:v>144883</x:v>
      </x:c>
      <x:c r="B428" s="16" t="str">
        <x:v>East-West University</x:v>
      </x:c>
      <x:c r="C428" s="16" t="str">
        <x:v>IL</x:v>
      </x:c>
      <x:c r="D428" s="16" t="str">
        <x:v>Private nonprofit</x:v>
      </x:c>
      <x:c r="E428" s="34" t="n">
        <x:v>539</x:v>
      </x:c>
      <x:c r="F428" s="21"/>
      <x:c r="G428" s="16" t="str">
        <x:v>Regional</x:v>
      </x:c>
      <x:c r="H428" s="36" t="n">
        <x:f>IF(G428="National",Assumptions!$B$11,IF(G428="Statewide",Assumptions!$B$12,Assumptions!$B$13))</x:f>
        <x:v>0.85</x:v>
      </x:c>
      <x:c r="I428" s="21" t="n">
        <x:v>-0.10579172815953353</x:v>
      </x:c>
      <x:c r="J428" s="21" t="n">
        <x:v>-0.14326338144775208</x:v>
      </x:c>
      <x:c r="K428" s="21" t="n">
        <x:v>-0.2868003311615852</x:v>
      </x:c>
      <x:c r="L428" s="36" t="n">
        <x:f>IF(Assumptions!$B$4=2030,I428,IF(Assumptions!$B$4=2035,J428,K428))</x:f>
        <x:v>-0.14326338144775208</x:v>
      </x:c>
      <x:c r="M428" s="36" t="n">
        <x:f>Assumptions!$B$19</x:f>
        <x:v>-0.04739891965741583</x:v>
      </x:c>
      <x:c r="N428" s="52" t="n">
        <x:f>H428*L428+(1-H428)*M428+O428</x:f>
        <x:v>-0.12888371217920164</x:v>
      </x:c>
      <x:c r="O428" s="36" t="n">
        <x:f>Assumptions!$B$10</x:f>
        <x:v>0</x:v>
      </x:c>
      <x:c r="P428" s="54" t="n">
        <x:f>E428*(1+N428)</x:f>
        <x:v>469.5316791354103</x:v>
      </x:c>
      <x:c r="Q428" s="54" t="n">
        <x:f>P428-E428</x:f>
        <x:v>-69.46832086458971</x:v>
      </x:c>
      <x:c r="R428" s="16" t="str">
        <x:v>No</x:v>
      </x:c>
      <x:c r="S428" s="56"/>
      <x:c r="T428" s="56"/>
      <x:c r="U428" s="40" t="n">
        <x:f>E428*Assumptions!$B$8</x:f>
        <x:v>458.15</x:v>
      </x:c>
      <x:c r="V428" s="40" t="n">
        <x:f>P428*Assumptions!$B$8</x:f>
        <x:v>399.1019272650987</x:v>
      </x:c>
      <x:c r="W428" s="54" t="n">
        <x:f>V428-U428</x:f>
        <x:v>-59.04807273490127</x:v>
      </x:c>
      <x:c r="X428" s="58" t="str">
        <x:f>IF(R428="No","",W428*S428)</x:f>
      </x:c>
      <x:c r="Y428" s="58" t="str">
        <x:f>IF(R428="No","",W428*T428*Assumptions!$B$9)</x:f>
      </x:c>
      <x:c r="Z428" s="58" t="str">
        <x:f>IF(R428="No","",X428-Y428)</x:f>
      </x:c>
      <x:c r="AA428" s="58" t="str">
        <x:f>IF(R428="No","",MAX(0,-Z428))</x:f>
      </x:c>
      <x:c r="AB428" s="52" t="str">
        <x:f>IF(OR(R428="No",U428*S428=0),"",AA428/(U428*S428))</x:f>
      </x:c>
      <x:c r="AC428" s="54" t="str">
        <x:f>IF(OR(R428="No",S428-T428*Assumptions!$B$9&lt;=0),"",AA428/(Assumptions!$B$8*(S428-T428*Assumptions!$B$9)))</x:f>
      </x:c>
      <x:c r="AD428" s="52" t="str">
        <x:f>IF(OR(R428="No",U428*S428=0),"",AA428/(U428*S428))</x:f>
      </x:c>
      <x:c r="AE428" s="50" t="str">
        <x:f>IF(R428="No","No finance data",IF(AB428&gt;=10%,"Severe",IF(AB428&gt;=5%,"High",IF(AB428&gt;=2%,"Moderate","Low"))))</x:f>
        <x:v>No finance data</x:v>
      </x:c>
      <x:c r="AF428" s="60"/>
      <x:c r="AG428" s="60"/>
      <x:c r="AH428" s="44" t="str">
        <x:v>Undergraduate tuition-contribution proxy only; not an audited total institutional budget.</x:v>
      </x:c>
    </x:row>
    <x:row r="429">
      <x:c r="A429" s="16" t="n">
        <x:v>144892</x:v>
      </x:c>
      <x:c r="B429" s="16" t="str">
        <x:v>Eastern Illinois University</x:v>
      </x:c>
      <x:c r="C429" s="16" t="str">
        <x:v>IL</x:v>
      </x:c>
      <x:c r="D429" s="16" t="str">
        <x:v>Public</x:v>
      </x:c>
      <x:c r="E429" s="34" t="n">
        <x:v>7063</x:v>
      </x:c>
      <x:c r="F429" s="21" t="n">
        <x:v>0.7174</x:v>
      </x:c>
      <x:c r="G429" s="16" t="str">
        <x:v>Statewide</x:v>
      </x:c>
      <x:c r="H429" s="36" t="n">
        <x:f>IF(G429="National",Assumptions!$B$11,IF(G429="Statewide",Assumptions!$B$12,Assumptions!$B$13))</x:f>
        <x:v>0.6</x:v>
      </x:c>
      <x:c r="I429" s="21" t="n">
        <x:v>-0.10579172815953353</x:v>
      </x:c>
      <x:c r="J429" s="21" t="n">
        <x:v>-0.14326338144775208</x:v>
      </x:c>
      <x:c r="K429" s="21" t="n">
        <x:v>-0.2868003311615852</x:v>
      </x:c>
      <x:c r="L429" s="36" t="n">
        <x:f>IF(Assumptions!$B$4=2030,I429,IF(Assumptions!$B$4=2035,J429,K429))</x:f>
        <x:v>-0.14326338144775208</x:v>
      </x:c>
      <x:c r="M429" s="36" t="n">
        <x:f>Assumptions!$B$19</x:f>
        <x:v>-0.04739891965741583</x:v>
      </x:c>
      <x:c r="N429" s="52" t="n">
        <x:f>H429*L429+(1-H429)*M429+O429</x:f>
        <x:v>-0.10491759673161757</x:v>
      </x:c>
      <x:c r="O429" s="36" t="n">
        <x:f>Assumptions!$B$10</x:f>
        <x:v>0</x:v>
      </x:c>
      <x:c r="P429" s="54" t="n">
        <x:f>E429*(1+N429)</x:f>
        <x:v>6321.967014284585</x:v>
      </x:c>
      <x:c r="Q429" s="54" t="n">
        <x:f>P429-E429</x:f>
        <x:v>-741.0329857154147</x:v>
      </x:c>
      <x:c r="R429" s="16" t="str">
        <x:v>Yes</x:v>
      </x:c>
      <x:c r="S429" s="56" t="n">
        <x:v>4423</x:v>
      </x:c>
      <x:c r="T429" s="56" t="n">
        <x:v>8881</x:v>
      </x:c>
      <x:c r="U429" s="40" t="n">
        <x:f>E429*Assumptions!$B$8</x:f>
        <x:v>6003.55</x:v>
      </x:c>
      <x:c r="V429" s="40" t="n">
        <x:f>P429*Assumptions!$B$8</x:f>
        <x:v>5373.671962141897</x:v>
      </x:c>
      <x:c r="W429" s="54" t="n">
        <x:f>V429-U429</x:f>
        <x:v>-629.8780378581032</x:v>
      </x:c>
      <x:c r="X429" s="58" t="n">
        <x:f>IF(R429="No","",W429*S429)</x:f>
        <x:v>-2785950.5614463906</x:v>
      </x:c>
      <x:c r="Y429" s="58" t="n">
        <x:f>IF(R429="No","",W429*T429*Assumptions!$B$9)</x:f>
        <x:v>-1678184.0562653441</x:v>
      </x:c>
      <x:c r="Z429" s="58" t="n">
        <x:f>IF(R429="No","",X429-Y429)</x:f>
        <x:v>-1107766.5051810464</x:v>
      </x:c>
      <x:c r="AA429" s="58" t="n">
        <x:f>IF(R429="No","",MAX(0,-Z429))</x:f>
        <x:v>1107766.5051810464</x:v>
      </x:c>
      <x:c r="AB429" s="52" t="n">
        <x:f>IF(OR(R429="No",U429*S429=0),"",AA429/(U429*S429))</x:f>
        <x:v>0.04171796910963057</x:v>
      </x:c>
      <x:c r="AC429" s="54" t="n">
        <x:f>IF(OR(R429="No",S429-T429*Assumptions!$B$9&lt;=0),"",AA429/(Assumptions!$B$8*(S429-T429*Assumptions!$B$9)))</x:f>
        <x:v>741.0329857154156</x:v>
      </x:c>
      <x:c r="AD429" s="52" t="n">
        <x:f>IF(OR(R429="No",U429*S429=0),"",AA429/(U429*S429))</x:f>
        <x:v>0.04171796910963057</x:v>
      </x:c>
      <x:c r="AE429" s="50" t="str">
        <x:f>IF(R429="No","No finance data",IF(AB429&gt;=10%,"Severe",IF(AB429&gt;=5%,"High",IF(AB429&gt;=2%,"Moderate","Low"))))</x:f>
        <x:v>Moderate</x:v>
      </x:c>
      <x:c r="AF429" s="60" t="n">
        <x:v>39.479843</x:v>
      </x:c>
      <x:c r="AG429" s="60" t="n">
        <x:v>-88.175658</x:v>
      </x:c>
      <x:c r="AH429" s="44" t="str">
        <x:v>Undergraduate tuition-contribution proxy only; not an audited total institutional budget.</x:v>
      </x:c>
    </x:row>
    <x:row r="430">
      <x:c r="A430" s="16" t="n">
        <x:v>144962</x:v>
      </x:c>
      <x:c r="B430" s="16" t="str">
        <x:v>Elmhurst College</x:v>
      </x:c>
      <x:c r="C430" s="16" t="str">
        <x:v>IL</x:v>
      </x:c>
      <x:c r="D430" s="16" t="str">
        <x:v>Private nonprofit</x:v>
      </x:c>
      <x:c r="E430" s="34" t="n">
        <x:v>2752</x:v>
      </x:c>
      <x:c r="F430" s="21" t="n">
        <x:v>0.7129</x:v>
      </x:c>
      <x:c r="G430" s="16" t="str">
        <x:v>Regional</x:v>
      </x:c>
      <x:c r="H430" s="36" t="n">
        <x:f>IF(G430="National",Assumptions!$B$11,IF(G430="Statewide",Assumptions!$B$12,Assumptions!$B$13))</x:f>
        <x:v>0.85</x:v>
      </x:c>
      <x:c r="I430" s="21" t="n">
        <x:v>-0.10579172815953353</x:v>
      </x:c>
      <x:c r="J430" s="21" t="n">
        <x:v>-0.14326338144775208</x:v>
      </x:c>
      <x:c r="K430" s="21" t="n">
        <x:v>-0.2868003311615852</x:v>
      </x:c>
      <x:c r="L430" s="36" t="n">
        <x:f>IF(Assumptions!$B$4=2030,I430,IF(Assumptions!$B$4=2035,J430,K430))</x:f>
        <x:v>-0.14326338144775208</x:v>
      </x:c>
      <x:c r="M430" s="36" t="n">
        <x:f>Assumptions!$B$19</x:f>
        <x:v>-0.04739891965741583</x:v>
      </x:c>
      <x:c r="N430" s="52" t="n">
        <x:f>H430*L430+(1-H430)*M430+O430</x:f>
        <x:v>-0.12888371217920164</x:v>
      </x:c>
      <x:c r="O430" s="36" t="n">
        <x:f>Assumptions!$B$10</x:f>
        <x:v>0</x:v>
      </x:c>
      <x:c r="P430" s="54" t="n">
        <x:f>E430*(1+N430)</x:f>
        <x:v>2397.312024082837</x:v>
      </x:c>
      <x:c r="Q430" s="54" t="n">
        <x:f>P430-E430</x:f>
        <x:v>-354.68797591716293</x:v>
      </x:c>
      <x:c r="R430" s="16" t="str">
        <x:v>Yes</x:v>
      </x:c>
      <x:c r="S430" s="56" t="n">
        <x:v>16849</x:v>
      </x:c>
      <x:c r="T430" s="56" t="n">
        <x:v>7817</x:v>
      </x:c>
      <x:c r="U430" s="40" t="n">
        <x:f>E430*Assumptions!$B$8</x:f>
        <x:v>2339.2</x:v>
      </x:c>
      <x:c r="V430" s="40" t="n">
        <x:f>P430*Assumptions!$B$8</x:f>
        <x:v>2037.7152204704114</x:v>
      </x:c>
      <x:c r="W430" s="54" t="n">
        <x:f>V430-U430</x:f>
        <x:v>-301.4847795295884</x:v>
      </x:c>
      <x:c r="X430" s="58" t="n">
        <x:f>IF(R430="No","",W430*S430)</x:f>
        <x:v>-5079717.050294035</x:v>
      </x:c>
      <x:c r="Y430" s="58" t="n">
        <x:f>IF(R430="No","",W430*T430*Assumptions!$B$9)</x:f>
        <x:v>-707011.9564748377</x:v>
      </x:c>
      <x:c r="Z430" s="58" t="n">
        <x:f>IF(R430="No","",X430-Y430)</x:f>
        <x:v>-4372705.093819197</x:v>
      </x:c>
      <x:c r="AA430" s="58" t="n">
        <x:f>IF(R430="No","",MAX(0,-Z430))</x:f>
        <x:v>4372705.093819197</x:v>
      </x:c>
      <x:c r="AB430" s="52" t="n">
        <x:f>IF(OR(R430="No",U430*S430=0),"",AA430/(U430*S430))</x:f>
        <x:v>0.11094524737823742</x:v>
      </x:c>
      <x:c r="AC430" s="54" t="n">
        <x:f>IF(OR(R430="No",S430-T430*Assumptions!$B$9&lt;=0),"",AA430/(Assumptions!$B$8*(S430-T430*Assumptions!$B$9)))</x:f>
        <x:v>354.6879759171629</x:v>
      </x:c>
      <x:c r="AD430" s="52" t="n">
        <x:f>IF(OR(R430="No",U430*S430=0),"",AA430/(U430*S430))</x:f>
        <x:v>0.11094524737823742</x:v>
      </x:c>
      <x:c r="AE430" s="50" t="str">
        <x:f>IF(R430="No","No finance data",IF(AB430&gt;=10%,"Severe",IF(AB430&gt;=5%,"High",IF(AB430&gt;=2%,"Moderate","Low"))))</x:f>
        <x:v>Severe</x:v>
      </x:c>
      <x:c r="AF430" s="60" t="n">
        <x:v>41.897164</x:v>
      </x:c>
      <x:c r="AG430" s="60" t="n">
        <x:v>-87.945369</x:v>
      </x:c>
      <x:c r="AH430" s="44" t="str">
        <x:v>Undergraduate tuition-contribution proxy only; not an audited total institutional budget.</x:v>
      </x:c>
    </x:row>
    <x:row r="431">
      <x:c r="A431" s="16" t="n">
        <x:v>144971</x:v>
      </x:c>
      <x:c r="B431" s="16" t="str">
        <x:v>Eureka College</x:v>
      </x:c>
      <x:c r="C431" s="16" t="str">
        <x:v>IL</x:v>
      </x:c>
      <x:c r="D431" s="16" t="str">
        <x:v>Private nonprofit</x:v>
      </x:c>
      <x:c r="E431" s="34" t="n">
        <x:v>685</x:v>
      </x:c>
      <x:c r="F431" s="21"/>
      <x:c r="G431" s="16" t="str">
        <x:v>Regional</x:v>
      </x:c>
      <x:c r="H431" s="36" t="n">
        <x:f>IF(G431="National",Assumptions!$B$11,IF(G431="Statewide",Assumptions!$B$12,Assumptions!$B$13))</x:f>
        <x:v>0.85</x:v>
      </x:c>
      <x:c r="I431" s="21" t="n">
        <x:v>-0.10579172815953353</x:v>
      </x:c>
      <x:c r="J431" s="21" t="n">
        <x:v>-0.14326338144775208</x:v>
      </x:c>
      <x:c r="K431" s="21" t="n">
        <x:v>-0.2868003311615852</x:v>
      </x:c>
      <x:c r="L431" s="36" t="n">
        <x:f>IF(Assumptions!$B$4=2030,I431,IF(Assumptions!$B$4=2035,J431,K431))</x:f>
        <x:v>-0.14326338144775208</x:v>
      </x:c>
      <x:c r="M431" s="36" t="n">
        <x:f>Assumptions!$B$19</x:f>
        <x:v>-0.04739891965741583</x:v>
      </x:c>
      <x:c r="N431" s="52" t="n">
        <x:f>H431*L431+(1-H431)*M431+O431</x:f>
        <x:v>-0.12888371217920164</x:v>
      </x:c>
      <x:c r="O431" s="36" t="n">
        <x:f>Assumptions!$B$10</x:f>
        <x:v>0</x:v>
      </x:c>
      <x:c r="P431" s="54" t="n">
        <x:f>E431*(1+N431)</x:f>
        <x:v>596.7146571572468</x:v>
      </x:c>
      <x:c r="Q431" s="54" t="n">
        <x:f>P431-E431</x:f>
        <x:v>-88.28534284275315</x:v>
      </x:c>
      <x:c r="R431" s="16" t="str">
        <x:v>No</x:v>
      </x:c>
      <x:c r="S431" s="56"/>
      <x:c r="T431" s="56"/>
      <x:c r="U431" s="40" t="n">
        <x:f>E431*Assumptions!$B$8</x:f>
        <x:v>582.25</x:v>
      </x:c>
      <x:c r="V431" s="40" t="n">
        <x:f>P431*Assumptions!$B$8</x:f>
        <x:v>507.2074585836598</x:v>
      </x:c>
      <x:c r="W431" s="54" t="n">
        <x:f>V431-U431</x:f>
        <x:v>-75.04254141634021</x:v>
      </x:c>
      <x:c r="X431" s="58" t="str">
        <x:f>IF(R431="No","",W431*S431)</x:f>
      </x:c>
      <x:c r="Y431" s="58" t="str">
        <x:f>IF(R431="No","",W431*T431*Assumptions!$B$9)</x:f>
      </x:c>
      <x:c r="Z431" s="58" t="str">
        <x:f>IF(R431="No","",X431-Y431)</x:f>
      </x:c>
      <x:c r="AA431" s="58" t="str">
        <x:f>IF(R431="No","",MAX(0,-Z431))</x:f>
      </x:c>
      <x:c r="AB431" s="52" t="str">
        <x:f>IF(OR(R431="No",U431*S431=0),"",AA431/(U431*S431))</x:f>
      </x:c>
      <x:c r="AC431" s="54" t="str">
        <x:f>IF(OR(R431="No",S431-T431*Assumptions!$B$9&lt;=0),"",AA431/(Assumptions!$B$8*(S431-T431*Assumptions!$B$9)))</x:f>
      </x:c>
      <x:c r="AD431" s="52" t="str">
        <x:f>IF(OR(R431="No",U431*S431=0),"",AA431/(U431*S431))</x:f>
      </x:c>
      <x:c r="AE431" s="50" t="str">
        <x:f>IF(R431="No","No finance data",IF(AB431&gt;=10%,"Severe",IF(AB431&gt;=5%,"High",IF(AB431&gt;=2%,"Moderate","Low"))))</x:f>
        <x:v>No finance data</x:v>
      </x:c>
      <x:c r="AF431" s="60"/>
      <x:c r="AG431" s="60"/>
      <x:c r="AH431" s="44" t="str">
        <x:v>Undergraduate tuition-contribution proxy only; not an audited total institutional budget.</x:v>
      </x:c>
    </x:row>
    <x:row r="432">
      <x:c r="A432" s="16" t="n">
        <x:v>145336</x:v>
      </x:c>
      <x:c r="B432" s="16" t="str">
        <x:v>Governors State University</x:v>
      </x:c>
      <x:c r="C432" s="16" t="str">
        <x:v>IL</x:v>
      </x:c>
      <x:c r="D432" s="16" t="str">
        <x:v>Public</x:v>
      </x:c>
      <x:c r="E432" s="34" t="n">
        <x:v>3526</x:v>
      </x:c>
      <x:c r="F432" s="21" t="n">
        <x:v>0.5205</x:v>
      </x:c>
      <x:c r="G432" s="16" t="str">
        <x:v>Regional</x:v>
      </x:c>
      <x:c r="H432" s="36" t="n">
        <x:f>IF(G432="National",Assumptions!$B$11,IF(G432="Statewide",Assumptions!$B$12,Assumptions!$B$13))</x:f>
        <x:v>0.85</x:v>
      </x:c>
      <x:c r="I432" s="21" t="n">
        <x:v>-0.10579172815953353</x:v>
      </x:c>
      <x:c r="J432" s="21" t="n">
        <x:v>-0.14326338144775208</x:v>
      </x:c>
      <x:c r="K432" s="21" t="n">
        <x:v>-0.2868003311615852</x:v>
      </x:c>
      <x:c r="L432" s="36" t="n">
        <x:f>IF(Assumptions!$B$4=2030,I432,IF(Assumptions!$B$4=2035,J432,K432))</x:f>
        <x:v>-0.14326338144775208</x:v>
      </x:c>
      <x:c r="M432" s="36" t="n">
        <x:f>Assumptions!$B$19</x:f>
        <x:v>-0.04739891965741583</x:v>
      </x:c>
      <x:c r="N432" s="52" t="n">
        <x:f>H432*L432+(1-H432)*M432+O432</x:f>
        <x:v>-0.12888371217920164</x:v>
      </x:c>
      <x:c r="O432" s="36" t="n">
        <x:f>Assumptions!$B$10</x:f>
        <x:v>0</x:v>
      </x:c>
      <x:c r="P432" s="54" t="n">
        <x:f>E432*(1+N432)</x:f>
        <x:v>3071.556030856135</x:v>
      </x:c>
      <x:c r="Q432" s="54" t="n">
        <x:f>P432-E432</x:f>
        <x:v>-454.44396914386516</x:v>
      </x:c>
      <x:c r="R432" s="16" t="str">
        <x:v>Yes</x:v>
      </x:c>
      <x:c r="S432" s="56" t="n">
        <x:v>9255</x:v>
      </x:c>
      <x:c r="T432" s="56" t="n">
        <x:v>19040</x:v>
      </x:c>
      <x:c r="U432" s="40" t="n">
        <x:f>E432*Assumptions!$B$8</x:f>
        <x:v>2997.1</x:v>
      </x:c>
      <x:c r="V432" s="40" t="n">
        <x:f>P432*Assumptions!$B$8</x:f>
        <x:v>2610.8226262277144</x:v>
      </x:c>
      <x:c r="W432" s="54" t="n">
        <x:f>V432-U432</x:f>
        <x:v>-386.2773737722855</x:v>
      </x:c>
      <x:c r="X432" s="58" t="n">
        <x:f>IF(R432="No","",W432*S432)</x:f>
        <x:v>-3574997.094262502</x:v>
      </x:c>
      <x:c r="Y432" s="58" t="n">
        <x:f>IF(R432="No","",W432*T432*Assumptions!$B$9)</x:f>
        <x:v>-2206416.3589872946</x:v>
      </x:c>
      <x:c r="Z432" s="58" t="n">
        <x:f>IF(R432="No","",X432-Y432)</x:f>
        <x:v>-1368580.7352752076</x:v>
      </x:c>
      <x:c r="AA432" s="58" t="n">
        <x:f>IF(R432="No","",MAX(0,-Z432))</x:f>
        <x:v>1368580.7352752076</x:v>
      </x:c>
      <x:c r="AB432" s="52" t="n">
        <x:f>IF(OR(R432="No",U432*S432=0),"",AA432/(U432*S432))</x:f>
        <x:v>0.04933927522970413</x:v>
      </x:c>
      <x:c r="AC432" s="54" t="n">
        <x:f>IF(OR(R432="No",S432-T432*Assumptions!$B$9&lt;=0),"",AA432/(Assumptions!$B$8*(S432-T432*Assumptions!$B$9)))</x:f>
        <x:v>454.44396914386533</x:v>
      </x:c>
      <x:c r="AD432" s="52" t="n">
        <x:f>IF(OR(R432="No",U432*S432=0),"",AA432/(U432*S432))</x:f>
        <x:v>0.04933927522970413</x:v>
      </x:c>
      <x:c r="AE432" s="50" t="str">
        <x:f>IF(R432="No","No finance data",IF(AB432&gt;=10%,"Severe",IF(AB432&gt;=5%,"High",IF(AB432&gt;=2%,"Moderate","Low"))))</x:f>
        <x:v>Moderate</x:v>
      </x:c>
      <x:c r="AF432" s="60" t="n">
        <x:v>41.449103</x:v>
      </x:c>
      <x:c r="AG432" s="60" t="n">
        <x:v>-87.716441</x:v>
      </x:c>
      <x:c r="AH432" s="44" t="str">
        <x:v>Undergraduate tuition-contribution proxy only; not an audited total institutional budget.</x:v>
      </x:c>
    </x:row>
    <x:row r="433">
      <x:c r="A433" s="16" t="n">
        <x:v>145372</x:v>
      </x:c>
      <x:c r="B433" s="16" t="str">
        <x:v>Greenville College</x:v>
      </x:c>
      <x:c r="C433" s="16" t="str">
        <x:v>IL</x:v>
      </x:c>
      <x:c r="D433" s="16" t="str">
        <x:v>Private nonprofit</x:v>
      </x:c>
      <x:c r="E433" s="34" t="n">
        <x:v>1042</x:v>
      </x:c>
      <x:c r="F433" s="21" t="n">
        <x:v>0.7954</x:v>
      </x:c>
      <x:c r="G433" s="16" t="str">
        <x:v>Regional</x:v>
      </x:c>
      <x:c r="H433" s="36" t="n">
        <x:f>IF(G433="National",Assumptions!$B$11,IF(G433="Statewide",Assumptions!$B$12,Assumptions!$B$13))</x:f>
        <x:v>0.85</x:v>
      </x:c>
      <x:c r="I433" s="21" t="n">
        <x:v>-0.10579172815953353</x:v>
      </x:c>
      <x:c r="J433" s="21" t="n">
        <x:v>-0.14326338144775208</x:v>
      </x:c>
      <x:c r="K433" s="21" t="n">
        <x:v>-0.2868003311615852</x:v>
      </x:c>
      <x:c r="L433" s="36" t="n">
        <x:f>IF(Assumptions!$B$4=2030,I433,IF(Assumptions!$B$4=2035,J433,K433))</x:f>
        <x:v>-0.14326338144775208</x:v>
      </x:c>
      <x:c r="M433" s="36" t="n">
        <x:f>Assumptions!$B$19</x:f>
        <x:v>-0.04739891965741583</x:v>
      </x:c>
      <x:c r="N433" s="52" t="n">
        <x:f>H433*L433+(1-H433)*M433+O433</x:f>
        <x:v>-0.12888371217920164</x:v>
      </x:c>
      <x:c r="O433" s="36" t="n">
        <x:f>Assumptions!$B$10</x:f>
        <x:v>0</x:v>
      </x:c>
      <x:c r="P433" s="54" t="n">
        <x:f>E433*(1+N433)</x:f>
        <x:v>907.7031719092719</x:v>
      </x:c>
      <x:c r="Q433" s="54" t="n">
        <x:f>P433-E433</x:f>
        <x:v>-134.29682809072813</x:v>
      </x:c>
      <x:c r="R433" s="16" t="str">
        <x:v>Yes</x:v>
      </x:c>
      <x:c r="S433" s="56" t="n">
        <x:v>11775</x:v>
      </x:c>
      <x:c r="T433" s="56" t="n">
        <x:v>7442</x:v>
      </x:c>
      <x:c r="U433" s="40" t="n">
        <x:f>E433*Assumptions!$B$8</x:f>
        <x:v>885.6999999999999</x:v>
      </x:c>
      <x:c r="V433" s="40" t="n">
        <x:f>P433*Assumptions!$B$8</x:f>
        <x:v>771.5476961228811</x:v>
      </x:c>
      <x:c r="W433" s="54" t="n">
        <x:f>V433-U433</x:f>
        <x:v>-114.15230387711881</x:v>
      </x:c>
      <x:c r="X433" s="58" t="n">
        <x:f>IF(R433="No","",W433*S433)</x:f>
        <x:v>-1344143.378153074</x:v>
      </x:c>
      <x:c r="Y433" s="58" t="n">
        <x:f>IF(R433="No","",W433*T433*Assumptions!$B$9)</x:f>
        <x:v>-254856.43363605544</x:v>
      </x:c>
      <x:c r="Z433" s="58" t="n">
        <x:f>IF(R433="No","",X433-Y433)</x:f>
        <x:v>-1089286.9445170187</x:v>
      </x:c>
      <x:c r="AA433" s="58" t="n">
        <x:f>IF(R433="No","",MAX(0,-Z433))</x:f>
        <x:v>1089286.9445170187</x:v>
      </x:c>
      <x:c r="AB433" s="52" t="n">
        <x:f>IF(OR(R433="No",U433*S433=0),"",AA433/(U433*S433))</x:f>
        <x:v>0.10444670361773359</x:v>
      </x:c>
      <x:c r="AC433" s="54" t="n">
        <x:f>IF(OR(R433="No",S433-T433*Assumptions!$B$9&lt;=0),"",AA433/(Assumptions!$B$8*(S433-T433*Assumptions!$B$9)))</x:f>
        <x:v>134.29682809072804</x:v>
      </x:c>
      <x:c r="AD433" s="52" t="n">
        <x:f>IF(OR(R433="No",U433*S433=0),"",AA433/(U433*S433))</x:f>
        <x:v>0.10444670361773359</x:v>
      </x:c>
      <x:c r="AE433" s="50" t="str">
        <x:f>IF(R433="No","No finance data",IF(AB433&gt;=10%,"Severe",IF(AB433&gt;=5%,"High",IF(AB433&gt;=2%,"Moderate","Low"))))</x:f>
        <x:v>Severe</x:v>
      </x:c>
      <x:c r="AF433" s="60" t="n">
        <x:v>38.894162</x:v>
      </x:c>
      <x:c r="AG433" s="60" t="n">
        <x:v>-89.40824</x:v>
      </x:c>
      <x:c r="AH433" s="44" t="str">
        <x:v>Undergraduate tuition-contribution proxy only; not an audited total institutional budget.</x:v>
      </x:c>
    </x:row>
    <x:row r="434">
      <x:c r="A434" s="16" t="n">
        <x:v>145497</x:v>
      </x:c>
      <x:c r="B434" s="16" t="str">
        <x:v>Hebrew Theological College</x:v>
      </x:c>
      <x:c r="C434" s="16" t="str">
        <x:v>IL</x:v>
      </x:c>
      <x:c r="D434" s="16" t="str">
        <x:v>Private nonprofit</x:v>
      </x:c>
      <x:c r="E434" s="34" t="n">
        <x:v>476</x:v>
      </x:c>
      <x:c r="F434" s="21"/>
      <x:c r="G434" s="16" t="str">
        <x:v>Regional</x:v>
      </x:c>
      <x:c r="H434" s="36" t="n">
        <x:f>IF(G434="National",Assumptions!$B$11,IF(G434="Statewide",Assumptions!$B$12,Assumptions!$B$13))</x:f>
        <x:v>0.85</x:v>
      </x:c>
      <x:c r="I434" s="21" t="n">
        <x:v>-0.10579172815953353</x:v>
      </x:c>
      <x:c r="J434" s="21" t="n">
        <x:v>-0.14326338144775208</x:v>
      </x:c>
      <x:c r="K434" s="21" t="n">
        <x:v>-0.2868003311615852</x:v>
      </x:c>
      <x:c r="L434" s="36" t="n">
        <x:f>IF(Assumptions!$B$4=2030,I434,IF(Assumptions!$B$4=2035,J434,K434))</x:f>
        <x:v>-0.14326338144775208</x:v>
      </x:c>
      <x:c r="M434" s="36" t="n">
        <x:f>Assumptions!$B$19</x:f>
        <x:v>-0.04739891965741583</x:v>
      </x:c>
      <x:c r="N434" s="52" t="n">
        <x:f>H434*L434+(1-H434)*M434+O434</x:f>
        <x:v>-0.12888371217920164</x:v>
      </x:c>
      <x:c r="O434" s="36" t="n">
        <x:f>Assumptions!$B$10</x:f>
        <x:v>0</x:v>
      </x:c>
      <x:c r="P434" s="54" t="n">
        <x:f>E434*(1+N434)</x:f>
        <x:v>414.6513530027</x:v>
      </x:c>
      <x:c r="Q434" s="54" t="n">
        <x:f>P434-E434</x:f>
        <x:v>-61.34864699730002</x:v>
      </x:c>
      <x:c r="R434" s="16" t="str">
        <x:v>No</x:v>
      </x:c>
      <x:c r="S434" s="56"/>
      <x:c r="T434" s="56"/>
      <x:c r="U434" s="40" t="n">
        <x:f>E434*Assumptions!$B$8</x:f>
        <x:v>404.59999999999997</x:v>
      </x:c>
      <x:c r="V434" s="40" t="n">
        <x:f>P434*Assumptions!$B$8</x:f>
        <x:v>352.45365005229496</x:v>
      </x:c>
      <x:c r="W434" s="54" t="n">
        <x:f>V434-U434</x:f>
        <x:v>-52.146349947705005</x:v>
      </x:c>
      <x:c r="X434" s="58" t="str">
        <x:f>IF(R434="No","",W434*S434)</x:f>
      </x:c>
      <x:c r="Y434" s="58" t="str">
        <x:f>IF(R434="No","",W434*T434*Assumptions!$B$9)</x:f>
      </x:c>
      <x:c r="Z434" s="58" t="str">
        <x:f>IF(R434="No","",X434-Y434)</x:f>
      </x:c>
      <x:c r="AA434" s="58" t="str">
        <x:f>IF(R434="No","",MAX(0,-Z434))</x:f>
      </x:c>
      <x:c r="AB434" s="52" t="str">
        <x:f>IF(OR(R434="No",U434*S434=0),"",AA434/(U434*S434))</x:f>
      </x:c>
      <x:c r="AC434" s="54" t="str">
        <x:f>IF(OR(R434="No",S434-T434*Assumptions!$B$9&lt;=0),"",AA434/(Assumptions!$B$8*(S434-T434*Assumptions!$B$9)))</x:f>
      </x:c>
      <x:c r="AD434" s="52" t="str">
        <x:f>IF(OR(R434="No",U434*S434=0),"",AA434/(U434*S434))</x:f>
      </x:c>
      <x:c r="AE434" s="50" t="str">
        <x:f>IF(R434="No","No finance data",IF(AB434&gt;=10%,"Severe",IF(AB434&gt;=5%,"High",IF(AB434&gt;=2%,"Moderate","Low"))))</x:f>
        <x:v>No finance data</x:v>
      </x:c>
      <x:c r="AF434" s="60"/>
      <x:c r="AG434" s="60"/>
      <x:c r="AH434" s="44" t="str">
        <x:v>Undergraduate tuition-contribution proxy only; not an audited total institutional budget.</x:v>
      </x:c>
    </x:row>
    <x:row r="435">
      <x:c r="A435" s="16" t="n">
        <x:v>145691</x:v>
      </x:c>
      <x:c r="B435" s="16" t="str">
        <x:v>Illinois College</x:v>
      </x:c>
      <x:c r="C435" s="16" t="str">
        <x:v>IL</x:v>
      </x:c>
      <x:c r="D435" s="16" t="str">
        <x:v>Private nonprofit</x:v>
      </x:c>
      <x:c r="E435" s="34" t="n">
        <x:v>942</x:v>
      </x:c>
      <x:c r="F435" s="21" t="n">
        <x:v>0.7476</x:v>
      </x:c>
      <x:c r="G435" s="16" t="str">
        <x:v>Regional</x:v>
      </x:c>
      <x:c r="H435" s="36" t="n">
        <x:f>IF(G435="National",Assumptions!$B$11,IF(G435="Statewide",Assumptions!$B$12,Assumptions!$B$13))</x:f>
        <x:v>0.85</x:v>
      </x:c>
      <x:c r="I435" s="21" t="n">
        <x:v>-0.10579172815953353</x:v>
      </x:c>
      <x:c r="J435" s="21" t="n">
        <x:v>-0.14326338144775208</x:v>
      </x:c>
      <x:c r="K435" s="21" t="n">
        <x:v>-0.2868003311615852</x:v>
      </x:c>
      <x:c r="L435" s="36" t="n">
        <x:f>IF(Assumptions!$B$4=2030,I435,IF(Assumptions!$B$4=2035,J435,K435))</x:f>
        <x:v>-0.14326338144775208</x:v>
      </x:c>
      <x:c r="M435" s="36" t="n">
        <x:f>Assumptions!$B$19</x:f>
        <x:v>-0.04739891965741583</x:v>
      </x:c>
      <x:c r="N435" s="52" t="n">
        <x:f>H435*L435+(1-H435)*M435+O435</x:f>
        <x:v>-0.12888371217920164</x:v>
      </x:c>
      <x:c r="O435" s="36" t="n">
        <x:f>Assumptions!$B$10</x:f>
        <x:v>0</x:v>
      </x:c>
      <x:c r="P435" s="54" t="n">
        <x:f>E435*(1+N435)</x:f>
        <x:v>820.591543127192</x:v>
      </x:c>
      <x:c r="Q435" s="54" t="n">
        <x:f>P435-E435</x:f>
        <x:v>-121.40845687280796</x:v>
      </x:c>
      <x:c r="R435" s="16" t="str">
        <x:v>Yes</x:v>
      </x:c>
      <x:c r="S435" s="56" t="n">
        <x:v>11773</x:v>
      </x:c>
      <x:c r="T435" s="56" t="n">
        <x:v>7994</x:v>
      </x:c>
      <x:c r="U435" s="40" t="n">
        <x:f>E435*Assumptions!$B$8</x:f>
        <x:v>800.6999999999999</x:v>
      </x:c>
      <x:c r="V435" s="40" t="n">
        <x:f>P435*Assumptions!$B$8</x:f>
        <x:v>697.5028116581132</x:v>
      </x:c>
      <x:c r="W435" s="54" t="n">
        <x:f>V435-U435</x:f>
        <x:v>-103.19718834188677</x:v>
      </x:c>
      <x:c r="X435" s="58" t="n">
        <x:f>IF(R435="No","",W435*S435)</x:f>
        <x:v>-1214940.498349033</x:v>
      </x:c>
      <x:c r="Y435" s="58" t="n">
        <x:f>IF(R435="No","",W435*T435*Assumptions!$B$9)</x:f>
        <x:v>-247487.49708151285</x:v>
      </x:c>
      <x:c r="Z435" s="58" t="n">
        <x:f>IF(R435="No","",X435-Y435)</x:f>
        <x:v>-967453.0012675202</x:v>
      </x:c>
      <x:c r="AA435" s="58" t="n">
        <x:f>IF(R435="No","",MAX(0,-Z435))</x:f>
        <x:v>967453.0012675202</x:v>
      </x:c>
      <x:c r="AB435" s="52" t="n">
        <x:f>IF(OR(R435="No",U435*S435=0),"",AA435/(U435*S435))</x:f>
        <x:v>0.10262966320713326</x:v>
      </x:c>
      <x:c r="AC435" s="54" t="n">
        <x:f>IF(OR(R435="No",S435-T435*Assumptions!$B$9&lt;=0),"",AA435/(Assumptions!$B$8*(S435-T435*Assumptions!$B$9)))</x:f>
        <x:v>121.408456872808</x:v>
      </x:c>
      <x:c r="AD435" s="52" t="n">
        <x:f>IF(OR(R435="No",U435*S435=0),"",AA435/(U435*S435))</x:f>
        <x:v>0.10262966320713326</x:v>
      </x:c>
      <x:c r="AE435" s="50" t="str">
        <x:f>IF(R435="No","No finance data",IF(AB435&gt;=10%,"Severe",IF(AB435&gt;=5%,"High",IF(AB435&gt;=2%,"Moderate","Low"))))</x:f>
        <x:v>Severe</x:v>
      </x:c>
      <x:c r="AF435" s="60" t="n">
        <x:v>39.7313</x:v>
      </x:c>
      <x:c r="AG435" s="60" t="n">
        <x:v>-90.246171</x:v>
      </x:c>
      <x:c r="AH435" s="44" t="str">
        <x:v>Undergraduate tuition-contribution proxy only; not an audited total institutional budget.</x:v>
      </x:c>
    </x:row>
    <x:row r="436">
      <x:c r="A436" s="16" t="n">
        <x:v>145725</x:v>
      </x:c>
      <x:c r="B436" s="16" t="str">
        <x:v>Illinois Institute of Technology</x:v>
      </x:c>
      <x:c r="C436" s="16" t="str">
        <x:v>IL</x:v>
      </x:c>
      <x:c r="D436" s="16" t="str">
        <x:v>Private nonprofit</x:v>
      </x:c>
      <x:c r="E436" s="34" t="n">
        <x:v>2923</x:v>
      </x:c>
      <x:c r="F436" s="21" t="n">
        <x:v>0.6611</x:v>
      </x:c>
      <x:c r="G436" s="16" t="str">
        <x:v>Regional</x:v>
      </x:c>
      <x:c r="H436" s="36" t="n">
        <x:f>IF(G436="National",Assumptions!$B$11,IF(G436="Statewide",Assumptions!$B$12,Assumptions!$B$13))</x:f>
        <x:v>0.85</x:v>
      </x:c>
      <x:c r="I436" s="21" t="n">
        <x:v>-0.10579172815953353</x:v>
      </x:c>
      <x:c r="J436" s="21" t="n">
        <x:v>-0.14326338144775208</x:v>
      </x:c>
      <x:c r="K436" s="21" t="n">
        <x:v>-0.2868003311615852</x:v>
      </x:c>
      <x:c r="L436" s="36" t="n">
        <x:f>IF(Assumptions!$B$4=2030,I436,IF(Assumptions!$B$4=2035,J436,K436))</x:f>
        <x:v>-0.14326338144775208</x:v>
      </x:c>
      <x:c r="M436" s="36" t="n">
        <x:f>Assumptions!$B$19</x:f>
        <x:v>-0.04739891965741583</x:v>
      </x:c>
      <x:c r="N436" s="52" t="n">
        <x:f>H436*L436+(1-H436)*M436+O436</x:f>
        <x:v>-0.12888371217920164</x:v>
      </x:c>
      <x:c r="O436" s="36" t="n">
        <x:f>Assumptions!$B$10</x:f>
        <x:v>0</x:v>
      </x:c>
      <x:c r="P436" s="54" t="n">
        <x:f>E436*(1+N436)</x:f>
        <x:v>2546.2729093001935</x:v>
      </x:c>
      <x:c r="Q436" s="54" t="n">
        <x:f>P436-E436</x:f>
        <x:v>-376.72709069980647</x:v>
      </x:c>
      <x:c r="R436" s="16" t="str">
        <x:v>Yes</x:v>
      </x:c>
      <x:c r="S436" s="56" t="n">
        <x:v>18613</x:v>
      </x:c>
      <x:c r="T436" s="56" t="n">
        <x:v>12813</x:v>
      </x:c>
      <x:c r="U436" s="40" t="n">
        <x:f>E436*Assumptions!$B$8</x:f>
        <x:v>2484.5499999999997</x:v>
      </x:c>
      <x:c r="V436" s="40" t="n">
        <x:f>P436*Assumptions!$B$8</x:f>
        <x:v>2164.3319729051645</x:v>
      </x:c>
      <x:c r="W436" s="54" t="n">
        <x:f>V436-U436</x:f>
        <x:v>-320.2180270948352</x:v>
      </x:c>
      <x:c r="X436" s="58" t="n">
        <x:f>IF(R436="No","",W436*S436)</x:f>
        <x:v>-5960218.1383161675</x:v>
      </x:c>
      <x:c r="Y436" s="58" t="n">
        <x:f>IF(R436="No","",W436*T436*Assumptions!$B$9)</x:f>
        <x:v>-1230886.074349837</x:v>
      </x:c>
      <x:c r="Z436" s="58" t="n">
        <x:f>IF(R436="No","",X436-Y436)</x:f>
        <x:v>-4729332.06396633</x:v>
      </x:c>
      <x:c r="AA436" s="58" t="n">
        <x:f>IF(R436="No","",MAX(0,-Z436))</x:f>
        <x:v>4729332.06396633</x:v>
      </x:c>
      <x:c r="AB436" s="52" t="n">
        <x:f>IF(OR(R436="No",U436*S436=0),"",AA436/(U436*S436))</x:f>
        <x:v>0.1022670409684546</x:v>
      </x:c>
      <x:c r="AC436" s="54" t="n">
        <x:f>IF(OR(R436="No",S436-T436*Assumptions!$B$9&lt;=0),"",AA436/(Assumptions!$B$8*(S436-T436*Assumptions!$B$9)))</x:f>
        <x:v>376.72709069980607</x:v>
      </x:c>
      <x:c r="AD436" s="52" t="n">
        <x:f>IF(OR(R436="No",U436*S436=0),"",AA436/(U436*S436))</x:f>
        <x:v>0.1022670409684546</x:v>
      </x:c>
      <x:c r="AE436" s="50" t="str">
        <x:f>IF(R436="No","No finance data",IF(AB436&gt;=10%,"Severe",IF(AB436&gt;=5%,"High",IF(AB436&gt;=2%,"Moderate","Low"))))</x:f>
        <x:v>Severe</x:v>
      </x:c>
      <x:c r="AF436" s="60" t="n">
        <x:v>41.8313</x:v>
      </x:c>
      <x:c r="AG436" s="60" t="n">
        <x:v>-87.627321</x:v>
      </x:c>
      <x:c r="AH436" s="44" t="str">
        <x:v>Undergraduate tuition-contribution proxy only; not an audited total institutional budget.</x:v>
      </x:c>
    </x:row>
    <x:row r="437">
      <x:c r="A437" s="16" t="n">
        <x:v>145813</x:v>
      </x:c>
      <x:c r="B437" s="16" t="str">
        <x:v>Illinois State University</x:v>
      </x:c>
      <x:c r="C437" s="16" t="str">
        <x:v>IL</x:v>
      </x:c>
      <x:c r="D437" s="16" t="str">
        <x:v>Public</x:v>
      </x:c>
      <x:c r="E437" s="34" t="n">
        <x:v>18343</x:v>
      </x:c>
      <x:c r="F437" s="21" t="n">
        <x:v>0.9154</x:v>
      </x:c>
      <x:c r="G437" s="16" t="str">
        <x:v>Statewide</x:v>
      </x:c>
      <x:c r="H437" s="36" t="n">
        <x:f>IF(G437="National",Assumptions!$B$11,IF(G437="Statewide",Assumptions!$B$12,Assumptions!$B$13))</x:f>
        <x:v>0.6</x:v>
      </x:c>
      <x:c r="I437" s="21" t="n">
        <x:v>-0.10579172815953353</x:v>
      </x:c>
      <x:c r="J437" s="21" t="n">
        <x:v>-0.14326338144775208</x:v>
      </x:c>
      <x:c r="K437" s="21" t="n">
        <x:v>-0.2868003311615852</x:v>
      </x:c>
      <x:c r="L437" s="36" t="n">
        <x:f>IF(Assumptions!$B$4=2030,I437,IF(Assumptions!$B$4=2035,J437,K437))</x:f>
        <x:v>-0.14326338144775208</x:v>
      </x:c>
      <x:c r="M437" s="36" t="n">
        <x:f>Assumptions!$B$19</x:f>
        <x:v>-0.04739891965741583</x:v>
      </x:c>
      <x:c r="N437" s="52" t="n">
        <x:f>H437*L437+(1-H437)*M437+O437</x:f>
        <x:v>-0.10491759673161757</x:v>
      </x:c>
      <x:c r="O437" s="36" t="n">
        <x:f>Assumptions!$B$10</x:f>
        <x:v>0</x:v>
      </x:c>
      <x:c r="P437" s="54" t="n">
        <x:f>E437*(1+N437)</x:f>
        <x:v>16418.496523151938</x:v>
      </x:c>
      <x:c r="Q437" s="54" t="n">
        <x:f>P437-E437</x:f>
        <x:v>-1924.5034768480618</x:v>
      </x:c>
      <x:c r="R437" s="16" t="str">
        <x:v>Yes</x:v>
      </x:c>
      <x:c r="S437" s="56" t="n">
        <x:v>11497</x:v>
      </x:c>
      <x:c r="T437" s="56" t="n">
        <x:v>8273</x:v>
      </x:c>
      <x:c r="U437" s="40" t="n">
        <x:f>E437*Assumptions!$B$8</x:f>
        <x:v>15591.55</x:v>
      </x:c>
      <x:c r="V437" s="40" t="n">
        <x:f>P437*Assumptions!$B$8</x:f>
        <x:v>13955.722044679147</x:v>
      </x:c>
      <x:c r="W437" s="54" t="n">
        <x:f>V437-U437</x:f>
        <x:v>-1635.8279553208522</x:v>
      </x:c>
      <x:c r="X437" s="58" t="n">
        <x:f>IF(R437="No","",W437*S437)</x:f>
        <x:v>-18807114.002323836</x:v>
      </x:c>
      <x:c r="Y437" s="58" t="n">
        <x:f>IF(R437="No","",W437*T437*Assumptions!$B$9)</x:f>
        <x:v>-4059961.4023108226</x:v>
      </x:c>
      <x:c r="Z437" s="58" t="n">
        <x:f>IF(R437="No","",X437-Y437)</x:f>
        <x:v>-14747152.600013014</x:v>
      </x:c>
      <x:c r="AA437" s="58" t="n">
        <x:f>IF(R437="No","",MAX(0,-Z437))</x:f>
        <x:v>14747152.600013014</x:v>
      </x:c>
      <x:c r="AB437" s="52" t="n">
        <x:f>IF(OR(R437="No",U437*S437=0),"",AA437/(U437*S437))</x:f>
        <x:v>0.08226864628122169</x:v>
      </x:c>
      <x:c r="AC437" s="54" t="n">
        <x:f>IF(OR(R437="No",S437-T437*Assumptions!$B$9&lt;=0),"",AA437/(Assumptions!$B$8*(S437-T437*Assumptions!$B$9)))</x:f>
        <x:v>1924.5034768480614</x:v>
      </x:c>
      <x:c r="AD437" s="52" t="n">
        <x:f>IF(OR(R437="No",U437*S437=0),"",AA437/(U437*S437))</x:f>
        <x:v>0.08226864628122169</x:v>
      </x:c>
      <x:c r="AE437" s="50" t="str">
        <x:f>IF(R437="No","No finance data",IF(AB437&gt;=10%,"Severe",IF(AB437&gt;=5%,"High",IF(AB437&gt;=2%,"Moderate","Low"))))</x:f>
        <x:v>High</x:v>
      </x:c>
      <x:c r="AF437" s="60" t="n">
        <x:v>40.509403</x:v>
      </x:c>
      <x:c r="AG437" s="60" t="n">
        <x:v>-88.990058</x:v>
      </x:c>
      <x:c r="AH437" s="44" t="str">
        <x:v>Undergraduate tuition-contribution proxy only; not an audited total institutional budget.</x:v>
      </x:c>
    </x:row>
    <x:row r="438">
      <x:c r="A438" s="16" t="n">
        <x:v>145646</x:v>
      </x:c>
      <x:c r="B438" s="16" t="str">
        <x:v>Illinois Wesleyan University</x:v>
      </x:c>
      <x:c r="C438" s="16" t="str">
        <x:v>IL</x:v>
      </x:c>
      <x:c r="D438" s="16" t="str">
        <x:v>Private nonprofit</x:v>
      </x:c>
      <x:c r="E438" s="34" t="n">
        <x:v>1834</x:v>
      </x:c>
      <x:c r="F438" s="21" t="n">
        <x:v>0.4523</x:v>
      </x:c>
      <x:c r="G438" s="16" t="str">
        <x:v>Regional</x:v>
      </x:c>
      <x:c r="H438" s="36" t="n">
        <x:f>IF(G438="National",Assumptions!$B$11,IF(G438="Statewide",Assumptions!$B$12,Assumptions!$B$13))</x:f>
        <x:v>0.85</x:v>
      </x:c>
      <x:c r="I438" s="21" t="n">
        <x:v>-0.10579172815953353</x:v>
      </x:c>
      <x:c r="J438" s="21" t="n">
        <x:v>-0.14326338144775208</x:v>
      </x:c>
      <x:c r="K438" s="21" t="n">
        <x:v>-0.2868003311615852</x:v>
      </x:c>
      <x:c r="L438" s="36" t="n">
        <x:f>IF(Assumptions!$B$4=2030,I438,IF(Assumptions!$B$4=2035,J438,K438))</x:f>
        <x:v>-0.14326338144775208</x:v>
      </x:c>
      <x:c r="M438" s="36" t="n">
        <x:f>Assumptions!$B$19</x:f>
        <x:v>-0.04739891965741583</x:v>
      </x:c>
      <x:c r="N438" s="52" t="n">
        <x:f>H438*L438+(1-H438)*M438+O438</x:f>
        <x:v>-0.12888371217920164</x:v>
      </x:c>
      <x:c r="O438" s="36" t="n">
        <x:f>Assumptions!$B$10</x:f>
        <x:v>0</x:v>
      </x:c>
      <x:c r="P438" s="54" t="n">
        <x:f>E438*(1+N438)</x:f>
        <x:v>1597.627271863344</x:v>
      </x:c>
      <x:c r="Q438" s="54" t="n">
        <x:f>P438-E438</x:f>
        <x:v>-236.37272813665595</x:v>
      </x:c>
      <x:c r="R438" s="16" t="str">
        <x:v>Yes</x:v>
      </x:c>
      <x:c r="S438" s="56" t="n">
        <x:v>20430</x:v>
      </x:c>
      <x:c r="T438" s="56" t="n">
        <x:v>17954</x:v>
      </x:c>
      <x:c r="U438" s="40" t="n">
        <x:f>E438*Assumptions!$B$8</x:f>
        <x:v>1558.8999999999999</x:v>
      </x:c>
      <x:c r="V438" s="40" t="n">
        <x:f>P438*Assumptions!$B$8</x:f>
        <x:v>1357.9831810838425</x:v>
      </x:c>
      <x:c r="W438" s="54" t="n">
        <x:f>V438-U438</x:f>
        <x:v>-200.91681891615735</x:v>
      </x:c>
      <x:c r="X438" s="58" t="n">
        <x:f>IF(R438="No","",W438*S438)</x:f>
        <x:v>-4104730.610457095</x:v>
      </x:c>
      <x:c r="Y438" s="58" t="n">
        <x:f>IF(R438="No","",W438*T438*Assumptions!$B$9)</x:f>
        <x:v>-1082178.1700462066</x:v>
      </x:c>
      <x:c r="Z438" s="58" t="n">
        <x:f>IF(R438="No","",X438-Y438)</x:f>
        <x:v>-3022552.4404108883</x:v>
      </x:c>
      <x:c r="AA438" s="58" t="n">
        <x:f>IF(R438="No","",MAX(0,-Z438))</x:f>
        <x:v>3022552.4404108883</x:v>
      </x:c>
      <x:c r="AB438" s="52" t="n">
        <x:f>IF(OR(R438="No",U438*S438=0),"",AA438/(U438*S438))</x:f>
        <x:v>0.09490459076267613</x:v>
      </x:c>
      <x:c r="AC438" s="54" t="n">
        <x:f>IF(OR(R438="No",S438-T438*Assumptions!$B$9&lt;=0),"",AA438/(Assumptions!$B$8*(S438-T438*Assumptions!$B$9)))</x:f>
        <x:v>236.37272813665575</x:v>
      </x:c>
      <x:c r="AD438" s="52" t="n">
        <x:f>IF(OR(R438="No",U438*S438=0),"",AA438/(U438*S438))</x:f>
        <x:v>0.09490459076267613</x:v>
      </x:c>
      <x:c r="AE438" s="50" t="str">
        <x:f>IF(R438="No","No finance data",IF(AB438&gt;=10%,"Severe",IF(AB438&gt;=5%,"High",IF(AB438&gt;=2%,"Moderate","Low"))))</x:f>
        <x:v>High</x:v>
      </x:c>
      <x:c r="AF438" s="60" t="n">
        <x:v>40.489901</x:v>
      </x:c>
      <x:c r="AG438" s="60" t="n">
        <x:v>-88.992014</x:v>
      </x:c>
      <x:c r="AH438" s="44" t="str">
        <x:v>Undergraduate tuition-contribution proxy only; not an audited total institutional budget.</x:v>
      </x:c>
    </x:row>
    <x:row r="439">
      <x:c r="A439" s="16" t="n">
        <x:v>146339</x:v>
      </x:c>
      <x:c r="B439" s="16" t="str">
        <x:v>Judson University</x:v>
      </x:c>
      <x:c r="C439" s="16" t="str">
        <x:v>IL</x:v>
      </x:c>
      <x:c r="D439" s="16" t="str">
        <x:v>Private nonprofit</x:v>
      </x:c>
      <x:c r="E439" s="34" t="n">
        <x:v>1076</x:v>
      </x:c>
      <x:c r="F439" s="21" t="n">
        <x:v>0.624</x:v>
      </x:c>
      <x:c r="G439" s="16" t="str">
        <x:v>Regional</x:v>
      </x:c>
      <x:c r="H439" s="36" t="n">
        <x:f>IF(G439="National",Assumptions!$B$11,IF(G439="Statewide",Assumptions!$B$12,Assumptions!$B$13))</x:f>
        <x:v>0.85</x:v>
      </x:c>
      <x:c r="I439" s="21" t="n">
        <x:v>-0.10579172815953353</x:v>
      </x:c>
      <x:c r="J439" s="21" t="n">
        <x:v>-0.14326338144775208</x:v>
      </x:c>
      <x:c r="K439" s="21" t="n">
        <x:v>-0.2868003311615852</x:v>
      </x:c>
      <x:c r="L439" s="36" t="n">
        <x:f>IF(Assumptions!$B$4=2030,I439,IF(Assumptions!$B$4=2035,J439,K439))</x:f>
        <x:v>-0.14326338144775208</x:v>
      </x:c>
      <x:c r="M439" s="36" t="n">
        <x:f>Assumptions!$B$19</x:f>
        <x:v>-0.04739891965741583</x:v>
      </x:c>
      <x:c r="N439" s="52" t="n">
        <x:f>H439*L439+(1-H439)*M439+O439</x:f>
        <x:v>-0.12888371217920164</x:v>
      </x:c>
      <x:c r="O439" s="36" t="n">
        <x:f>Assumptions!$B$10</x:f>
        <x:v>0</x:v>
      </x:c>
      <x:c r="P439" s="54" t="n">
        <x:f>E439*(1+N439)</x:f>
        <x:v>937.321125695179</x:v>
      </x:c>
      <x:c r="Q439" s="54" t="n">
        <x:f>P439-E439</x:f>
        <x:v>-138.67887430482097</x:v>
      </x:c>
      <x:c r="R439" s="16" t="str">
        <x:v>Yes</x:v>
      </x:c>
      <x:c r="S439" s="56" t="n">
        <x:v>9980</x:v>
      </x:c>
      <x:c r="T439" s="56" t="n">
        <x:v>7569</x:v>
      </x:c>
      <x:c r="U439" s="40" t="n">
        <x:f>E439*Assumptions!$B$8</x:f>
        <x:v>914.6</x:v>
      </x:c>
      <x:c r="V439" s="40" t="n">
        <x:f>P439*Assumptions!$B$8</x:f>
        <x:v>796.7229568409022</x:v>
      </x:c>
      <x:c r="W439" s="54" t="n">
        <x:f>V439-U439</x:f>
        <x:v>-117.87704315909787</x:v>
      </x:c>
      <x:c r="X439" s="58" t="n">
        <x:f>IF(R439="No","",W439*S439)</x:f>
        <x:v>-1176412.8907277966</x:v>
      </x:c>
      <x:c r="Y439" s="58" t="n">
        <x:f>IF(R439="No","",W439*T439*Assumptions!$B$9)</x:f>
        <x:v>-267663.4019013635</x:v>
      </x:c>
      <x:c r="Z439" s="58" t="n">
        <x:f>IF(R439="No","",X439-Y439)</x:f>
        <x:v>-908749.4888264331</x:v>
      </x:c>
      <x:c r="AA439" s="58" t="n">
        <x:f>IF(R439="No","",MAX(0,-Z439))</x:f>
        <x:v>908749.4888264331</x:v>
      </x:c>
      <x:c r="AB439" s="52" t="n">
        <x:f>IF(OR(R439="No",U439*S439=0),"",AA439/(U439*S439))</x:f>
        <x:v>0.099559439108529</x:v>
      </x:c>
      <x:c r="AC439" s="54" t="n">
        <x:f>IF(OR(R439="No",S439-T439*Assumptions!$B$9&lt;=0),"",AA439/(Assumptions!$B$8*(S439-T439*Assumptions!$B$9)))</x:f>
        <x:v>138.67887430482102</x:v>
      </x:c>
      <x:c r="AD439" s="52" t="n">
        <x:f>IF(OR(R439="No",U439*S439=0),"",AA439/(U439*S439))</x:f>
        <x:v>0.099559439108529</x:v>
      </x:c>
      <x:c r="AE439" s="50" t="str">
        <x:f>IF(R439="No","No finance data",IF(AB439&gt;=10%,"Severe",IF(AB439&gt;=5%,"High",IF(AB439&gt;=2%,"Moderate","Low"))))</x:f>
        <x:v>High</x:v>
      </x:c>
      <x:c r="AF439" s="60" t="n">
        <x:v>42.061754</x:v>
      </x:c>
      <x:c r="AG439" s="60" t="n">
        <x:v>-88.291336</x:v>
      </x:c>
      <x:c r="AH439" s="44" t="str">
        <x:v>Undergraduate tuition-contribution proxy only; not an audited total institutional budget.</x:v>
      </x:c>
    </x:row>
    <x:row r="440">
      <x:c r="A440" s="16" t="n">
        <x:v>146427</x:v>
      </x:c>
      <x:c r="B440" s="16" t="str">
        <x:v>Knox College</x:v>
      </x:c>
      <x:c r="C440" s="16" t="str">
        <x:v>IL</x:v>
      </x:c>
      <x:c r="D440" s="16" t="str">
        <x:v>Private nonprofit</x:v>
      </x:c>
      <x:c r="E440" s="34" t="n">
        <x:v>1377</x:v>
      </x:c>
      <x:c r="F440" s="21" t="n">
        <x:v>0.7024</x:v>
      </x:c>
      <x:c r="G440" s="16" t="str">
        <x:v>Regional</x:v>
      </x:c>
      <x:c r="H440" s="36" t="n">
        <x:f>IF(G440="National",Assumptions!$B$11,IF(G440="Statewide",Assumptions!$B$12,Assumptions!$B$13))</x:f>
        <x:v>0.85</x:v>
      </x:c>
      <x:c r="I440" s="21" t="n">
        <x:v>-0.10579172815953353</x:v>
      </x:c>
      <x:c r="J440" s="21" t="n">
        <x:v>-0.14326338144775208</x:v>
      </x:c>
      <x:c r="K440" s="21" t="n">
        <x:v>-0.2868003311615852</x:v>
      </x:c>
      <x:c r="L440" s="36" t="n">
        <x:f>IF(Assumptions!$B$4=2030,I440,IF(Assumptions!$B$4=2035,J440,K440))</x:f>
        <x:v>-0.14326338144775208</x:v>
      </x:c>
      <x:c r="M440" s="36" t="n">
        <x:f>Assumptions!$B$19</x:f>
        <x:v>-0.04739891965741583</x:v>
      </x:c>
      <x:c r="N440" s="52" t="n">
        <x:f>H440*L440+(1-H440)*M440+O440</x:f>
        <x:v>-0.12888371217920164</x:v>
      </x:c>
      <x:c r="O440" s="36" t="n">
        <x:f>Assumptions!$B$10</x:f>
        <x:v>0</x:v>
      </x:c>
      <x:c r="P440" s="54" t="n">
        <x:f>E440*(1+N440)</x:f>
        <x:v>1199.5271283292393</x:v>
      </x:c>
      <x:c r="Q440" s="54" t="n">
        <x:f>P440-E440</x:f>
        <x:v>-177.4728716707607</x:v>
      </x:c>
      <x:c r="R440" s="16" t="str">
        <x:v>Yes</x:v>
      </x:c>
      <x:c r="S440" s="56" t="n">
        <x:v>15942</x:v>
      </x:c>
      <x:c r="T440" s="56" t="n">
        <x:v>16620</x:v>
      </x:c>
      <x:c r="U440" s="40" t="n">
        <x:f>E440*Assumptions!$B$8</x:f>
        <x:v>1170.45</x:v>
      </x:c>
      <x:c r="V440" s="40" t="n">
        <x:f>P440*Assumptions!$B$8</x:f>
        <x:v>1019.5980590798533</x:v>
      </x:c>
      <x:c r="W440" s="54" t="n">
        <x:f>V440-U440</x:f>
        <x:v>-150.85194092014672</x:v>
      </x:c>
      <x:c r="X440" s="58" t="n">
        <x:f>IF(R440="No","",W440*S440)</x:f>
        <x:v>-2404881.642148979</x:v>
      </x:c>
      <x:c r="Y440" s="58" t="n">
        <x:f>IF(R440="No","",W440*T440*Assumptions!$B$9)</x:f>
        <x:v>-752147.7774278515</x:v>
      </x:c>
      <x:c r="Z440" s="58" t="n">
        <x:f>IF(R440="No","",X440-Y440)</x:f>
        <x:v>-1652733.8647211276</x:v>
      </x:c>
      <x:c r="AA440" s="58" t="n">
        <x:f>IF(R440="No","",MAX(0,-Z440))</x:f>
        <x:v>1652733.8647211276</x:v>
      </x:c>
      <x:c r="AB440" s="52" t="n">
        <x:f>IF(OR(R440="No",U440*S440=0),"",AA440/(U440*S440))</x:f>
        <x:v>0.08857420340204081</x:v>
      </x:c>
      <x:c r="AC440" s="54" t="n">
        <x:f>IF(OR(R440="No",S440-T440*Assumptions!$B$9&lt;=0),"",AA440/(Assumptions!$B$8*(S440-T440*Assumptions!$B$9)))</x:f>
        <x:v>177.47287167076084</x:v>
      </x:c>
      <x:c r="AD440" s="52" t="n">
        <x:f>IF(OR(R440="No",U440*S440=0),"",AA440/(U440*S440))</x:f>
        <x:v>0.08857420340204081</x:v>
      </x:c>
      <x:c r="AE440" s="50" t="str">
        <x:f>IF(R440="No","No finance data",IF(AB440&gt;=10%,"Severe",IF(AB440&gt;=5%,"High",IF(AB440&gt;=2%,"Moderate","Low"))))</x:f>
        <x:v>High</x:v>
      </x:c>
      <x:c r="AF440" s="60" t="n">
        <x:v>40.943064</x:v>
      </x:c>
      <x:c r="AG440" s="60" t="n">
        <x:v>-90.373165</x:v>
      </x:c>
      <x:c r="AH440" s="44" t="str">
        <x:v>Undergraduate tuition-contribution proxy only; not an audited total institutional budget.</x:v>
      </x:c>
    </x:row>
    <x:row r="441">
      <x:c r="A441" s="16" t="n">
        <x:v>146481</x:v>
      </x:c>
      <x:c r="B441" s="16" t="str">
        <x:v>Lake Forest College</x:v>
      </x:c>
      <x:c r="C441" s="16" t="str">
        <x:v>IL</x:v>
      </x:c>
      <x:c r="D441" s="16" t="str">
        <x:v>Private nonprofit</x:v>
      </x:c>
      <x:c r="E441" s="34" t="n">
        <x:v>1559</x:v>
      </x:c>
      <x:c r="F441" s="21" t="n">
        <x:v>0.6443</x:v>
      </x:c>
      <x:c r="G441" s="16" t="str">
        <x:v>Regional</x:v>
      </x:c>
      <x:c r="H441" s="36" t="n">
        <x:f>IF(G441="National",Assumptions!$B$11,IF(G441="Statewide",Assumptions!$B$12,Assumptions!$B$13))</x:f>
        <x:v>0.85</x:v>
      </x:c>
      <x:c r="I441" s="21" t="n">
        <x:v>-0.10579172815953353</x:v>
      </x:c>
      <x:c r="J441" s="21" t="n">
        <x:v>-0.14326338144775208</x:v>
      </x:c>
      <x:c r="K441" s="21" t="n">
        <x:v>-0.2868003311615852</x:v>
      </x:c>
      <x:c r="L441" s="36" t="n">
        <x:f>IF(Assumptions!$B$4=2030,I441,IF(Assumptions!$B$4=2035,J441,K441))</x:f>
        <x:v>-0.14326338144775208</x:v>
      </x:c>
      <x:c r="M441" s="36" t="n">
        <x:f>Assumptions!$B$19</x:f>
        <x:v>-0.04739891965741583</x:v>
      </x:c>
      <x:c r="N441" s="52" t="n">
        <x:f>H441*L441+(1-H441)*M441+O441</x:f>
        <x:v>-0.12888371217920164</x:v>
      </x:c>
      <x:c r="O441" s="36" t="n">
        <x:f>Assumptions!$B$10</x:f>
        <x:v>0</x:v>
      </x:c>
      <x:c r="P441" s="54" t="n">
        <x:f>E441*(1+N441)</x:f>
        <x:v>1358.0702927126245</x:v>
      </x:c>
      <x:c r="Q441" s="54" t="n">
        <x:f>P441-E441</x:f>
        <x:v>-200.92970728737555</x:v>
      </x:c>
      <x:c r="R441" s="16" t="str">
        <x:v>Yes</x:v>
      </x:c>
      <x:c r="S441" s="56" t="n">
        <x:v>14513</x:v>
      </x:c>
      <x:c r="T441" s="56" t="n">
        <x:v>10760</x:v>
      </x:c>
      <x:c r="U441" s="40" t="n">
        <x:f>E441*Assumptions!$B$8</x:f>
        <x:v>1325.1499999999999</x:v>
      </x:c>
      <x:c r="V441" s="40" t="n">
        <x:f>P441*Assumptions!$B$8</x:f>
        <x:v>1154.3597488057308</x:v>
      </x:c>
      <x:c r="W441" s="54" t="n">
        <x:f>V441-U441</x:f>
        <x:v>-170.7902511942691</x:v>
      </x:c>
      <x:c r="X441" s="58" t="n">
        <x:f>IF(R441="No","",W441*S441)</x:f>
        <x:v>-2478678.9155824273</x:v>
      </x:c>
      <x:c r="Y441" s="58" t="n">
        <x:f>IF(R441="No","",W441*T441*Assumptions!$B$9)</x:f>
        <x:v>-551310.9308551006</x:v>
      </x:c>
      <x:c r="Z441" s="58" t="n">
        <x:f>IF(R441="No","",X441-Y441)</x:f>
        <x:v>-1927367.9847273268</x:v>
      </x:c>
      <x:c r="AA441" s="58" t="n">
        <x:f>IF(R441="No","",MAX(0,-Z441))</x:f>
        <x:v>1927367.9847273268</x:v>
      </x:c>
      <x:c r="AB441" s="52" t="n">
        <x:f>IF(OR(R441="No",U441*S441=0),"",AA441/(U441*S441))</x:f>
        <x:v>0.10021723227053614</x:v>
      </x:c>
      <x:c r="AC441" s="54" t="n">
        <x:f>IF(OR(R441="No",S441-T441*Assumptions!$B$9&lt;=0),"",AA441/(Assumptions!$B$8*(S441-T441*Assumptions!$B$9)))</x:f>
        <x:v>200.9297072873754</x:v>
      </x:c>
      <x:c r="AD441" s="52" t="n">
        <x:f>IF(OR(R441="No",U441*S441=0),"",AA441/(U441*S441))</x:f>
        <x:v>0.10021723227053614</x:v>
      </x:c>
      <x:c r="AE441" s="50" t="str">
        <x:f>IF(R441="No","No finance data",IF(AB441&gt;=10%,"Severe",IF(AB441&gt;=5%,"High",IF(AB441&gt;=2%,"Moderate","Low"))))</x:f>
        <x:v>Severe</x:v>
      </x:c>
      <x:c r="AF441" s="60" t="n">
        <x:v>42.249574</x:v>
      </x:c>
      <x:c r="AG441" s="60" t="n">
        <x:v>-87.827454</x:v>
      </x:c>
      <x:c r="AH441" s="44" t="str">
        <x:v>Undergraduate tuition-contribution proxy only; not an audited total institutional budget.</x:v>
      </x:c>
    </x:row>
    <x:row r="442">
      <x:c r="A442" s="16" t="n">
        <x:v>146533</x:v>
      </x:c>
      <x:c r="B442" s="16" t="str">
        <x:v>Lakeview College of Nursing</x:v>
      </x:c>
      <x:c r="C442" s="16" t="str">
        <x:v>IL</x:v>
      </x:c>
      <x:c r="D442" s="16" t="str">
        <x:v>Private nonprofit</x:v>
      </x:c>
      <x:c r="E442" s="34" t="n">
        <x:v>303</x:v>
      </x:c>
      <x:c r="F442" s="21"/>
      <x:c r="G442" s="16" t="str">
        <x:v>Regional</x:v>
      </x:c>
      <x:c r="H442" s="36" t="n">
        <x:f>IF(G442="National",Assumptions!$B$11,IF(G442="Statewide",Assumptions!$B$12,Assumptions!$B$13))</x:f>
        <x:v>0.85</x:v>
      </x:c>
      <x:c r="I442" s="21" t="n">
        <x:v>-0.10579172815953353</x:v>
      </x:c>
      <x:c r="J442" s="21" t="n">
        <x:v>-0.14326338144775208</x:v>
      </x:c>
      <x:c r="K442" s="21" t="n">
        <x:v>-0.2868003311615852</x:v>
      </x:c>
      <x:c r="L442" s="36" t="n">
        <x:f>IF(Assumptions!$B$4=2030,I442,IF(Assumptions!$B$4=2035,J442,K442))</x:f>
        <x:v>-0.14326338144775208</x:v>
      </x:c>
      <x:c r="M442" s="36" t="n">
        <x:f>Assumptions!$B$19</x:f>
        <x:v>-0.04739891965741583</x:v>
      </x:c>
      <x:c r="N442" s="52" t="n">
        <x:f>H442*L442+(1-H442)*M442+O442</x:f>
        <x:v>-0.12888371217920164</x:v>
      </x:c>
      <x:c r="O442" s="36" t="n">
        <x:f>Assumptions!$B$10</x:f>
        <x:v>0</x:v>
      </x:c>
      <x:c r="P442" s="54" t="n">
        <x:f>E442*(1+N442)</x:f>
        <x:v>263.94823520970186</x:v>
      </x:c>
      <x:c r="Q442" s="54" t="n">
        <x:f>P442-E442</x:f>
        <x:v>-39.05176479029814</x:v>
      </x:c>
      <x:c r="R442" s="16" t="str">
        <x:v>No</x:v>
      </x:c>
      <x:c r="S442" s="56"/>
      <x:c r="T442" s="56"/>
      <x:c r="U442" s="40" t="n">
        <x:f>E442*Assumptions!$B$8</x:f>
        <x:v>257.55</x:v>
      </x:c>
      <x:c r="V442" s="40" t="n">
        <x:f>P442*Assumptions!$B$8</x:f>
        <x:v>224.35599992824658</x:v>
      </x:c>
      <x:c r="W442" s="54" t="n">
        <x:f>V442-U442</x:f>
        <x:v>-33.194000071753436</x:v>
      </x:c>
      <x:c r="X442" s="58" t="str">
        <x:f>IF(R442="No","",W442*S442)</x:f>
      </x:c>
      <x:c r="Y442" s="58" t="str">
        <x:f>IF(R442="No","",W442*T442*Assumptions!$B$9)</x:f>
      </x:c>
      <x:c r="Z442" s="58" t="str">
        <x:f>IF(R442="No","",X442-Y442)</x:f>
      </x:c>
      <x:c r="AA442" s="58" t="str">
        <x:f>IF(R442="No","",MAX(0,-Z442))</x:f>
      </x:c>
      <x:c r="AB442" s="52" t="str">
        <x:f>IF(OR(R442="No",U442*S442=0),"",AA442/(U442*S442))</x:f>
      </x:c>
      <x:c r="AC442" s="54" t="str">
        <x:f>IF(OR(R442="No",S442-T442*Assumptions!$B$9&lt;=0),"",AA442/(Assumptions!$B$8*(S442-T442*Assumptions!$B$9)))</x:f>
      </x:c>
      <x:c r="AD442" s="52" t="str">
        <x:f>IF(OR(R442="No",U442*S442=0),"",AA442/(U442*S442))</x:f>
      </x:c>
      <x:c r="AE442" s="50" t="str">
        <x:f>IF(R442="No","No finance data",IF(AB442&gt;=10%,"Severe",IF(AB442&gt;=5%,"High",IF(AB442&gt;=2%,"Moderate","Low"))))</x:f>
        <x:v>No finance data</x:v>
      </x:c>
      <x:c r="AF442" s="60"/>
      <x:c r="AG442" s="60"/>
      <x:c r="AH442" s="44" t="str">
        <x:v>Undergraduate tuition-contribution proxy only; not an audited total institutional budget.</x:v>
      </x:c>
    </x:row>
    <x:row r="443">
      <x:c r="A443" s="16" t="n">
        <x:v>146612</x:v>
      </x:c>
      <x:c r="B443" s="16" t="str">
        <x:v>Lewis University</x:v>
      </x:c>
      <x:c r="C443" s="16" t="str">
        <x:v>IL</x:v>
      </x:c>
      <x:c r="D443" s="16" t="str">
        <x:v>Private nonprofit</x:v>
      </x:c>
      <x:c r="E443" s="34" t="n">
        <x:v>4529</x:v>
      </x:c>
      <x:c r="F443" s="21" t="n">
        <x:v>0.7126</x:v>
      </x:c>
      <x:c r="G443" s="16" t="str">
        <x:v>Regional</x:v>
      </x:c>
      <x:c r="H443" s="36" t="n">
        <x:f>IF(G443="National",Assumptions!$B$11,IF(G443="Statewide",Assumptions!$B$12,Assumptions!$B$13))</x:f>
        <x:v>0.85</x:v>
      </x:c>
      <x:c r="I443" s="21" t="n">
        <x:v>-0.10579172815953353</x:v>
      </x:c>
      <x:c r="J443" s="21" t="n">
        <x:v>-0.14326338144775208</x:v>
      </x:c>
      <x:c r="K443" s="21" t="n">
        <x:v>-0.2868003311615852</x:v>
      </x:c>
      <x:c r="L443" s="36" t="n">
        <x:f>IF(Assumptions!$B$4=2030,I443,IF(Assumptions!$B$4=2035,J443,K443))</x:f>
        <x:v>-0.14326338144775208</x:v>
      </x:c>
      <x:c r="M443" s="36" t="n">
        <x:f>Assumptions!$B$19</x:f>
        <x:v>-0.04739891965741583</x:v>
      </x:c>
      <x:c r="N443" s="52" t="n">
        <x:f>H443*L443+(1-H443)*M443+O443</x:f>
        <x:v>-0.12888371217920164</x:v>
      </x:c>
      <x:c r="O443" s="36" t="n">
        <x:f>Assumptions!$B$10</x:f>
        <x:v>0</x:v>
      </x:c>
      <x:c r="P443" s="54" t="n">
        <x:f>E443*(1+N443)</x:f>
        <x:v>3945.2856675403955</x:v>
      </x:c>
      <x:c r="Q443" s="54" t="n">
        <x:f>P443-E443</x:f>
        <x:v>-583.7143324596045</x:v>
      </x:c>
      <x:c r="R443" s="16" t="str">
        <x:v>Yes</x:v>
      </x:c>
      <x:c r="S443" s="56" t="n">
        <x:v>16948</x:v>
      </x:c>
      <x:c r="T443" s="56" t="n">
        <x:v>10272</x:v>
      </x:c>
      <x:c r="U443" s="40" t="n">
        <x:f>E443*Assumptions!$B$8</x:f>
        <x:v>3849.65</x:v>
      </x:c>
      <x:c r="V443" s="40" t="n">
        <x:f>P443*Assumptions!$B$8</x:f>
        <x:v>3353.492817409336</x:v>
      </x:c>
      <x:c r="W443" s="54" t="n">
        <x:f>V443-U443</x:f>
        <x:v>-496.157182590664</x:v>
      </x:c>
      <x:c r="X443" s="58" t="n">
        <x:f>IF(R443="No","",W443*S443)</x:f>
        <x:v>-8408871.930546572</x:v>
      </x:c>
      <x:c r="Y443" s="58" t="n">
        <x:f>IF(R443="No","",W443*T443*Assumptions!$B$9)</x:f>
        <x:v>-1528957.97387139</x:v>
      </x:c>
      <x:c r="Z443" s="58" t="n">
        <x:f>IF(R443="No","",X443-Y443)</x:f>
        <x:v>-6879913.956675182</x:v>
      </x:c>
      <x:c r="AA443" s="58" t="n">
        <x:f>IF(R443="No","",MAX(0,-Z443))</x:f>
        <x:v>6879913.956675182</x:v>
      </x:c>
      <x:c r="AB443" s="52" t="n">
        <x:f>IF(OR(R443="No",U443*S443=0),"",AA443/(U443*S443))</x:f>
        <x:v>0.10544920383299992</x:v>
      </x:c>
      <x:c r="AC443" s="54" t="n">
        <x:f>IF(OR(R443="No",S443-T443*Assumptions!$B$9&lt;=0),"",AA443/(Assumptions!$B$8*(S443-T443*Assumptions!$B$9)))</x:f>
        <x:v>583.7143324596046</x:v>
      </x:c>
      <x:c r="AD443" s="52" t="n">
        <x:f>IF(OR(R443="No",U443*S443=0),"",AA443/(U443*S443))</x:f>
        <x:v>0.10544920383299992</x:v>
      </x:c>
      <x:c r="AE443" s="50" t="str">
        <x:f>IF(R443="No","No finance data",IF(AB443&gt;=10%,"Severe",IF(AB443&gt;=5%,"High",IF(AB443&gt;=2%,"Moderate","Low"))))</x:f>
        <x:v>Severe</x:v>
      </x:c>
      <x:c r="AF443" s="60" t="n">
        <x:v>41.605432</x:v>
      </x:c>
      <x:c r="AG443" s="60" t="n">
        <x:v>-88.079032</x:v>
      </x:c>
      <x:c r="AH443" s="44" t="str">
        <x:v>Undergraduate tuition-contribution proxy only; not an audited total institutional budget.</x:v>
      </x:c>
    </x:row>
    <x:row r="444">
      <x:c r="A444" s="16" t="n">
        <x:v>146667</x:v>
      </x:c>
      <x:c r="B444" s="16" t="str">
        <x:v>Lincoln Christian University</x:v>
      </x:c>
      <x:c r="C444" s="16" t="str">
        <x:v>IL</x:v>
      </x:c>
      <x:c r="D444" s="16" t="str">
        <x:v>Private nonprofit</x:v>
      </x:c>
      <x:c r="E444" s="34" t="n">
        <x:v>506</x:v>
      </x:c>
      <x:c r="F444" s="21"/>
      <x:c r="G444" s="16" t="str">
        <x:v>Regional</x:v>
      </x:c>
      <x:c r="H444" s="36" t="n">
        <x:f>IF(G444="National",Assumptions!$B$11,IF(G444="Statewide",Assumptions!$B$12,Assumptions!$B$13))</x:f>
        <x:v>0.85</x:v>
      </x:c>
      <x:c r="I444" s="21" t="n">
        <x:v>-0.10579172815953353</x:v>
      </x:c>
      <x:c r="J444" s="21" t="n">
        <x:v>-0.14326338144775208</x:v>
      </x:c>
      <x:c r="K444" s="21" t="n">
        <x:v>-0.2868003311615852</x:v>
      </x:c>
      <x:c r="L444" s="36" t="n">
        <x:f>IF(Assumptions!$B$4=2030,I444,IF(Assumptions!$B$4=2035,J444,K444))</x:f>
        <x:v>-0.14326338144775208</x:v>
      </x:c>
      <x:c r="M444" s="36" t="n">
        <x:f>Assumptions!$B$19</x:f>
        <x:v>-0.04739891965741583</x:v>
      </x:c>
      <x:c r="N444" s="52" t="n">
        <x:f>H444*L444+(1-H444)*M444+O444</x:f>
        <x:v>-0.12888371217920164</x:v>
      </x:c>
      <x:c r="O444" s="36" t="n">
        <x:f>Assumptions!$B$10</x:f>
        <x:v>0</x:v>
      </x:c>
      <x:c r="P444" s="54" t="n">
        <x:f>E444*(1+N444)</x:f>
        <x:v>440.78484163732395</x:v>
      </x:c>
      <x:c r="Q444" s="54" t="n">
        <x:f>P444-E444</x:f>
        <x:v>-65.21515836267605</x:v>
      </x:c>
      <x:c r="R444" s="16" t="str">
        <x:v>No</x:v>
      </x:c>
      <x:c r="S444" s="56"/>
      <x:c r="T444" s="56"/>
      <x:c r="U444" s="40" t="n">
        <x:f>E444*Assumptions!$B$8</x:f>
        <x:v>430.09999999999997</x:v>
      </x:c>
      <x:c r="V444" s="40" t="n">
        <x:f>P444*Assumptions!$B$8</x:f>
        <x:v>374.66711539172536</x:v>
      </x:c>
      <x:c r="W444" s="54" t="n">
        <x:f>V444-U444</x:f>
        <x:v>-55.432884608274605</x:v>
      </x:c>
      <x:c r="X444" s="58" t="str">
        <x:f>IF(R444="No","",W444*S444)</x:f>
      </x:c>
      <x:c r="Y444" s="58" t="str">
        <x:f>IF(R444="No","",W444*T444*Assumptions!$B$9)</x:f>
      </x:c>
      <x:c r="Z444" s="58" t="str">
        <x:f>IF(R444="No","",X444-Y444)</x:f>
      </x:c>
      <x:c r="AA444" s="58" t="str">
        <x:f>IF(R444="No","",MAX(0,-Z444))</x:f>
      </x:c>
      <x:c r="AB444" s="52" t="str">
        <x:f>IF(OR(R444="No",U444*S444=0),"",AA444/(U444*S444))</x:f>
      </x:c>
      <x:c r="AC444" s="54" t="str">
        <x:f>IF(OR(R444="No",S444-T444*Assumptions!$B$9&lt;=0),"",AA444/(Assumptions!$B$8*(S444-T444*Assumptions!$B$9)))</x:f>
      </x:c>
      <x:c r="AD444" s="52" t="str">
        <x:f>IF(OR(R444="No",U444*S444=0),"",AA444/(U444*S444))</x:f>
      </x:c>
      <x:c r="AE444" s="50" t="str">
        <x:f>IF(R444="No","No finance data",IF(AB444&gt;=10%,"Severe",IF(AB444&gt;=5%,"High",IF(AB444&gt;=2%,"Moderate","Low"))))</x:f>
        <x:v>No finance data</x:v>
      </x:c>
      <x:c r="AF444" s="60"/>
      <x:c r="AG444" s="60"/>
      <x:c r="AH444" s="44" t="str">
        <x:v>Undergraduate tuition-contribution proxy only; not an audited total institutional budget.</x:v>
      </x:c>
    </x:row>
    <x:row r="445">
      <x:c r="A445" s="16" t="n">
        <x:v>146719</x:v>
      </x:c>
      <x:c r="B445" s="16" t="str">
        <x:v>Loyola University Chicago</x:v>
      </x:c>
      <x:c r="C445" s="16" t="str">
        <x:v>IL</x:v>
      </x:c>
      <x:c r="D445" s="16" t="str">
        <x:v>Private nonprofit</x:v>
      </x:c>
      <x:c r="E445" s="34" t="n">
        <x:v>10276</x:v>
      </x:c>
      <x:c r="F445" s="21" t="n">
        <x:v>0.7698</x:v>
      </x:c>
      <x:c r="G445" s="16" t="str">
        <x:v>Statewide</x:v>
      </x:c>
      <x:c r="H445" s="36" t="n">
        <x:f>IF(G445="National",Assumptions!$B$11,IF(G445="Statewide",Assumptions!$B$12,Assumptions!$B$13))</x:f>
        <x:v>0.6</x:v>
      </x:c>
      <x:c r="I445" s="21" t="n">
        <x:v>-0.10579172815953353</x:v>
      </x:c>
      <x:c r="J445" s="21" t="n">
        <x:v>-0.14326338144775208</x:v>
      </x:c>
      <x:c r="K445" s="21" t="n">
        <x:v>-0.2868003311615852</x:v>
      </x:c>
      <x:c r="L445" s="36" t="n">
        <x:f>IF(Assumptions!$B$4=2030,I445,IF(Assumptions!$B$4=2035,J445,K445))</x:f>
        <x:v>-0.14326338144775208</x:v>
      </x:c>
      <x:c r="M445" s="36" t="n">
        <x:f>Assumptions!$B$19</x:f>
        <x:v>-0.04739891965741583</x:v>
      </x:c>
      <x:c r="N445" s="52" t="n">
        <x:f>H445*L445+(1-H445)*M445+O445</x:f>
        <x:v>-0.10491759673161757</x:v>
      </x:c>
      <x:c r="O445" s="36" t="n">
        <x:f>Assumptions!$B$10</x:f>
        <x:v>0</x:v>
      </x:c>
      <x:c r="P445" s="54" t="n">
        <x:f>E445*(1+N445)</x:f>
        <x:v>9197.866775985898</x:v>
      </x:c>
      <x:c r="Q445" s="54" t="n">
        <x:f>P445-E445</x:f>
        <x:v>-1078.1332240141019</x:v>
      </x:c>
      <x:c r="R445" s="16" t="str">
        <x:v>Yes</x:v>
      </x:c>
      <x:c r="S445" s="56" t="n">
        <x:v>24987</x:v>
      </x:c>
      <x:c r="T445" s="56" t="n">
        <x:v>11963</x:v>
      </x:c>
      <x:c r="U445" s="40" t="n">
        <x:f>E445*Assumptions!$B$8</x:f>
        <x:v>8734.6</x:v>
      </x:c>
      <x:c r="V445" s="40" t="n">
        <x:f>P445*Assumptions!$B$8</x:f>
        <x:v>7818.186759588013</x:v>
      </x:c>
      <x:c r="W445" s="54" t="n">
        <x:f>V445-U445</x:f>
        <x:v>-916.4132404119873</x:v>
      </x:c>
      <x:c r="X445" s="58" t="n">
        <x:f>IF(R445="No","",W445*S445)</x:f>
        <x:v>-22898417.63817433</x:v>
      </x:c>
      <x:c r="Y445" s="58" t="n">
        <x:f>IF(R445="No","",W445*T445*Assumptions!$B$9)</x:f>
        <x:v>-3288915.4785145815</x:v>
      </x:c>
      <x:c r="Z445" s="58" t="n">
        <x:f>IF(R445="No","",X445-Y445)</x:f>
        <x:v>-19609502.159659747</x:v>
      </x:c>
      <x:c r="AA445" s="58" t="n">
        <x:f>IF(R445="No","",MAX(0,-Z445))</x:f>
        <x:v>19609502.159659747</x:v>
      </x:c>
      <x:c r="AB445" s="52" t="n">
        <x:f>IF(OR(R445="No",U445*S445=0),"",AA445/(U445*S445))</x:f>
        <x:v>0.08984821013418286</x:v>
      </x:c>
      <x:c r="AC445" s="54" t="n">
        <x:f>IF(OR(R445="No",S445-T445*Assumptions!$B$9&lt;=0),"",AA445/(Assumptions!$B$8*(S445-T445*Assumptions!$B$9)))</x:f>
        <x:v>1078.1332240141028</x:v>
      </x:c>
      <x:c r="AD445" s="52" t="n">
        <x:f>IF(OR(R445="No",U445*S445=0),"",AA445/(U445*S445))</x:f>
        <x:v>0.08984821013418286</x:v>
      </x:c>
      <x:c r="AE445" s="50" t="str">
        <x:f>IF(R445="No","No finance data",IF(AB445&gt;=10%,"Severe",IF(AB445&gt;=5%,"High",IF(AB445&gt;=2%,"Moderate","Low"))))</x:f>
        <x:v>High</x:v>
      </x:c>
      <x:c r="AF445" s="60" t="n">
        <x:v>42.000765</x:v>
      </x:c>
      <x:c r="AG445" s="60" t="n">
        <x:v>-87.656872</x:v>
      </x:c>
      <x:c r="AH445" s="44" t="str">
        <x:v>Undergraduate tuition-contribution proxy only; not an audited total institutional budget.</x:v>
      </x:c>
    </x:row>
    <x:row r="446">
      <x:c r="A446" s="16" t="n">
        <x:v>146825</x:v>
      </x:c>
      <x:c r="B446" s="16" t="str">
        <x:v>MacMurray College</x:v>
      </x:c>
      <x:c r="C446" s="16" t="str">
        <x:v>IL</x:v>
      </x:c>
      <x:c r="D446" s="16" t="str">
        <x:v>Private nonprofit</x:v>
      </x:c>
      <x:c r="E446" s="34" t="n">
        <x:v>569</x:v>
      </x:c>
      <x:c r="F446" s="21"/>
      <x:c r="G446" s="16" t="str">
        <x:v>Regional</x:v>
      </x:c>
      <x:c r="H446" s="36" t="n">
        <x:f>IF(G446="National",Assumptions!$B$11,IF(G446="Statewide",Assumptions!$B$12,Assumptions!$B$13))</x:f>
        <x:v>0.85</x:v>
      </x:c>
      <x:c r="I446" s="21" t="n">
        <x:v>-0.10579172815953353</x:v>
      </x:c>
      <x:c r="J446" s="21" t="n">
        <x:v>-0.14326338144775208</x:v>
      </x:c>
      <x:c r="K446" s="21" t="n">
        <x:v>-0.2868003311615852</x:v>
      </x:c>
      <x:c r="L446" s="36" t="n">
        <x:f>IF(Assumptions!$B$4=2030,I446,IF(Assumptions!$B$4=2035,J446,K446))</x:f>
        <x:v>-0.14326338144775208</x:v>
      </x:c>
      <x:c r="M446" s="36" t="n">
        <x:f>Assumptions!$B$19</x:f>
        <x:v>-0.04739891965741583</x:v>
      </x:c>
      <x:c r="N446" s="52" t="n">
        <x:f>H446*L446+(1-H446)*M446+O446</x:f>
        <x:v>-0.12888371217920164</x:v>
      </x:c>
      <x:c r="O446" s="36" t="n">
        <x:f>Assumptions!$B$10</x:f>
        <x:v>0</x:v>
      </x:c>
      <x:c r="P446" s="54" t="n">
        <x:f>E446*(1+N446)</x:f>
        <x:v>495.66516777003426</x:v>
      </x:c>
      <x:c r="Q446" s="54" t="n">
        <x:f>P446-E446</x:f>
        <x:v>-73.33483222996574</x:v>
      </x:c>
      <x:c r="R446" s="16" t="str">
        <x:v>No</x:v>
      </x:c>
      <x:c r="S446" s="56"/>
      <x:c r="T446" s="56"/>
      <x:c r="U446" s="40" t="n">
        <x:f>E446*Assumptions!$B$8</x:f>
        <x:v>483.65</x:v>
      </x:c>
      <x:c r="V446" s="40" t="n">
        <x:f>P446*Assumptions!$B$8</x:f>
        <x:v>421.3153926045291</x:v>
      </x:c>
      <x:c r="W446" s="54" t="n">
        <x:f>V446-U446</x:f>
        <x:v>-62.33460739547087</x:v>
      </x:c>
      <x:c r="X446" s="58" t="str">
        <x:f>IF(R446="No","",W446*S446)</x:f>
      </x:c>
      <x:c r="Y446" s="58" t="str">
        <x:f>IF(R446="No","",W446*T446*Assumptions!$B$9)</x:f>
      </x:c>
      <x:c r="Z446" s="58" t="str">
        <x:f>IF(R446="No","",X446-Y446)</x:f>
      </x:c>
      <x:c r="AA446" s="58" t="str">
        <x:f>IF(R446="No","",MAX(0,-Z446))</x:f>
      </x:c>
      <x:c r="AB446" s="52" t="str">
        <x:f>IF(OR(R446="No",U446*S446=0),"",AA446/(U446*S446))</x:f>
      </x:c>
      <x:c r="AC446" s="54" t="str">
        <x:f>IF(OR(R446="No",S446-T446*Assumptions!$B$9&lt;=0),"",AA446/(Assumptions!$B$8*(S446-T446*Assumptions!$B$9)))</x:f>
      </x:c>
      <x:c r="AD446" s="52" t="str">
        <x:f>IF(OR(R446="No",U446*S446=0),"",AA446/(U446*S446))</x:f>
      </x:c>
      <x:c r="AE446" s="50" t="str">
        <x:f>IF(R446="No","No finance data",IF(AB446&gt;=10%,"Severe",IF(AB446&gt;=5%,"High",IF(AB446&gt;=2%,"Moderate","Low"))))</x:f>
        <x:v>No finance data</x:v>
      </x:c>
      <x:c r="AF446" s="60"/>
      <x:c r="AG446" s="60"/>
      <x:c r="AH446" s="44" t="str">
        <x:v>Undergraduate tuition-contribution proxy only; not an audited total institutional budget.</x:v>
      </x:c>
    </x:row>
    <x:row r="447">
      <x:c r="A447" s="16" t="n">
        <x:v>147013</x:v>
      </x:c>
      <x:c r="B447" s="16" t="str">
        <x:v>McKendree University</x:v>
      </x:c>
      <x:c r="C447" s="16" t="str">
        <x:v>IL</x:v>
      </x:c>
      <x:c r="D447" s="16" t="str">
        <x:v>Private nonprofit</x:v>
      </x:c>
      <x:c r="E447" s="34" t="n">
        <x:v>2292</x:v>
      </x:c>
      <x:c r="F447" s="21" t="n">
        <x:v>0.7768</x:v>
      </x:c>
      <x:c r="G447" s="16" t="str">
        <x:v>Regional</x:v>
      </x:c>
      <x:c r="H447" s="36" t="n">
        <x:f>IF(G447="National",Assumptions!$B$11,IF(G447="Statewide",Assumptions!$B$12,Assumptions!$B$13))</x:f>
        <x:v>0.85</x:v>
      </x:c>
      <x:c r="I447" s="21" t="n">
        <x:v>-0.10579172815953353</x:v>
      </x:c>
      <x:c r="J447" s="21" t="n">
        <x:v>-0.14326338144775208</x:v>
      </x:c>
      <x:c r="K447" s="21" t="n">
        <x:v>-0.2868003311615852</x:v>
      </x:c>
      <x:c r="L447" s="36" t="n">
        <x:f>IF(Assumptions!$B$4=2030,I447,IF(Assumptions!$B$4=2035,J447,K447))</x:f>
        <x:v>-0.14326338144775208</x:v>
      </x:c>
      <x:c r="M447" s="36" t="n">
        <x:f>Assumptions!$B$19</x:f>
        <x:v>-0.04739891965741583</x:v>
      </x:c>
      <x:c r="N447" s="52" t="n">
        <x:f>H447*L447+(1-H447)*M447+O447</x:f>
        <x:v>-0.12888371217920164</x:v>
      </x:c>
      <x:c r="O447" s="36" t="n">
        <x:f>Assumptions!$B$10</x:f>
        <x:v>0</x:v>
      </x:c>
      <x:c r="P447" s="54" t="n">
        <x:f>E447*(1+N447)</x:f>
        <x:v>1996.5985316852698</x:v>
      </x:c>
      <x:c r="Q447" s="54" t="n">
        <x:f>P447-E447</x:f>
        <x:v>-295.4014683147302</x:v>
      </x:c>
      <x:c r="R447" s="16" t="str">
        <x:v>Yes</x:v>
      </x:c>
      <x:c r="S447" s="56" t="n">
        <x:v>12483</x:v>
      </x:c>
      <x:c r="T447" s="56" t="n">
        <x:v>5187</x:v>
      </x:c>
      <x:c r="U447" s="40" t="n">
        <x:f>E447*Assumptions!$B$8</x:f>
        <x:v>1948.2</x:v>
      </x:c>
      <x:c r="V447" s="40" t="n">
        <x:f>P447*Assumptions!$B$8</x:f>
        <x:v>1697.1087519324792</x:v>
      </x:c>
      <x:c r="W447" s="54" t="n">
        <x:f>V447-U447</x:f>
        <x:v>-251.09124806752084</x:v>
      </x:c>
      <x:c r="X447" s="58" t="n">
        <x:f>IF(R447="No","",W447*S447)</x:f>
        <x:v>-3134372.0496268626</x:v>
      </x:c>
      <x:c r="Y447" s="58" t="n">
        <x:f>IF(R447="No","",W447*T447*Assumptions!$B$9)</x:f>
        <x:v>-390723.09111786913</x:v>
      </x:c>
      <x:c r="Z447" s="58" t="n">
        <x:f>IF(R447="No","",X447-Y447)</x:f>
        <x:v>-2743648.9585089935</x:v>
      </x:c>
      <x:c r="AA447" s="58" t="n">
        <x:f>IF(R447="No","",MAX(0,-Z447))</x:f>
        <x:v>2743648.9585089935</x:v>
      </x:c>
      <x:c r="AB447" s="52" t="n">
        <x:f>IF(OR(R447="No",U447*S447=0),"",AA447/(U447*S447))</x:f>
        <x:v>0.11281738641439713</x:v>
      </x:c>
      <x:c r="AC447" s="54" t="n">
        <x:f>IF(OR(R447="No",S447-T447*Assumptions!$B$9&lt;=0),"",AA447/(Assumptions!$B$8*(S447-T447*Assumptions!$B$9)))</x:f>
        <x:v>295.40146831473044</x:v>
      </x:c>
      <x:c r="AD447" s="52" t="n">
        <x:f>IF(OR(R447="No",U447*S447=0),"",AA447/(U447*S447))</x:f>
        <x:v>0.11281738641439713</x:v>
      </x:c>
      <x:c r="AE447" s="50" t="str">
        <x:f>IF(R447="No","No finance data",IF(AB447&gt;=10%,"Severe",IF(AB447&gt;=5%,"High",IF(AB447&gt;=2%,"Moderate","Low"))))</x:f>
        <x:v>Severe</x:v>
      </x:c>
      <x:c r="AF447" s="60" t="n">
        <x:v>38.608154</x:v>
      </x:c>
      <x:c r="AG447" s="60" t="n">
        <x:v>-89.816822</x:v>
      </x:c>
      <x:c r="AH447" s="44" t="str">
        <x:v>Undergraduate tuition-contribution proxy only; not an audited total institutional budget.</x:v>
      </x:c>
    </x:row>
    <x:row r="448">
      <x:c r="A448" s="16" t="n">
        <x:v>147129</x:v>
      </x:c>
      <x:c r="B448" s="16" t="str">
        <x:v>Methodist College</x:v>
      </x:c>
      <x:c r="C448" s="16" t="str">
        <x:v>IL</x:v>
      </x:c>
      <x:c r="D448" s="16" t="str">
        <x:v>Private nonprofit</x:v>
      </x:c>
      <x:c r="E448" s="34" t="n">
        <x:v>603</x:v>
      </x:c>
      <x:c r="F448" s="21" t="n">
        <x:v>1</x:v>
      </x:c>
      <x:c r="G448" s="16" t="str">
        <x:v>Regional</x:v>
      </x:c>
      <x:c r="H448" s="36" t="n">
        <x:f>IF(G448="National",Assumptions!$B$11,IF(G448="Statewide",Assumptions!$B$12,Assumptions!$B$13))</x:f>
        <x:v>0.85</x:v>
      </x:c>
      <x:c r="I448" s="21" t="n">
        <x:v>-0.10579172815953353</x:v>
      </x:c>
      <x:c r="J448" s="21" t="n">
        <x:v>-0.14326338144775208</x:v>
      </x:c>
      <x:c r="K448" s="21" t="n">
        <x:v>-0.2868003311615852</x:v>
      </x:c>
      <x:c r="L448" s="36" t="n">
        <x:f>IF(Assumptions!$B$4=2030,I448,IF(Assumptions!$B$4=2035,J448,K448))</x:f>
        <x:v>-0.14326338144775208</x:v>
      </x:c>
      <x:c r="M448" s="36" t="n">
        <x:f>Assumptions!$B$19</x:f>
        <x:v>-0.04739891965741583</x:v>
      </x:c>
      <x:c r="N448" s="52" t="n">
        <x:f>H448*L448+(1-H448)*M448+O448</x:f>
        <x:v>-0.12888371217920164</x:v>
      </x:c>
      <x:c r="O448" s="36" t="n">
        <x:f>Assumptions!$B$10</x:f>
        <x:v>0</x:v>
      </x:c>
      <x:c r="P448" s="54" t="n">
        <x:f>E448*(1+N448)</x:f>
        <x:v>525.2831215559414</x:v>
      </x:c>
      <x:c r="Q448" s="54" t="n">
        <x:f>P448-E448</x:f>
        <x:v>-77.71687844405858</x:v>
      </x:c>
      <x:c r="R448" s="16" t="str">
        <x:v>Yes</x:v>
      </x:c>
      <x:c r="S448" s="56" t="n">
        <x:v>22703</x:v>
      </x:c>
      <x:c r="T448" s="56" t="n">
        <x:v>12569</x:v>
      </x:c>
      <x:c r="U448" s="40" t="n">
        <x:f>E448*Assumptions!$B$8</x:f>
        <x:v>512.55</x:v>
      </x:c>
      <x:c r="V448" s="40" t="n">
        <x:f>P448*Assumptions!$B$8</x:f>
        <x:v>446.4906533225502</x:v>
      </x:c>
      <x:c r="W448" s="54" t="n">
        <x:f>V448-U448</x:f>
        <x:v>-66.05934667744975</x:v>
      </x:c>
      <x:c r="X448" s="58" t="n">
        <x:f>IF(R448="No","",W448*S448)</x:f>
        <x:v>-1499745.3476181417</x:v>
      </x:c>
      <x:c r="Y448" s="58" t="n">
        <x:f>IF(R448="No","",W448*T448*Assumptions!$B$9)</x:f>
        <x:v>-249089.97851665976</x:v>
      </x:c>
      <x:c r="Z448" s="58" t="n">
        <x:f>IF(R448="No","",X448-Y448)</x:f>
        <x:v>-1250655.369101482</x:v>
      </x:c>
      <x:c r="AA448" s="58" t="n">
        <x:f>IF(R448="No","",MAX(0,-Z448))</x:f>
        <x:v>1250655.369101482</x:v>
      </x:c>
      <x:c r="AB448" s="52" t="n">
        <x:f>IF(OR(R448="No",U448*S448=0),"",AA448/(U448*S448))</x:f>
        <x:v>0.10747765071093238</x:v>
      </x:c>
      <x:c r="AC448" s="54" t="n">
        <x:f>IF(OR(R448="No",S448-T448*Assumptions!$B$9&lt;=0),"",AA448/(Assumptions!$B$8*(S448-T448*Assumptions!$B$9)))</x:f>
        <x:v>77.71687844405854</x:v>
      </x:c>
      <x:c r="AD448" s="52" t="n">
        <x:f>IF(OR(R448="No",U448*S448=0),"",AA448/(U448*S448))</x:f>
        <x:v>0.10747765071093238</x:v>
      </x:c>
      <x:c r="AE448" s="50" t="str">
        <x:f>IF(R448="No","No finance data",IF(AB448&gt;=10%,"Severe",IF(AB448&gt;=5%,"High",IF(AB448&gt;=2%,"Moderate","Low"))))</x:f>
        <x:v>Severe</x:v>
      </x:c>
      <x:c r="AF448" s="60" t="n">
        <x:v>40.7804</x:v>
      </x:c>
      <x:c r="AG448" s="60" t="n">
        <x:v>-89.682864</x:v>
      </x:c>
      <x:c r="AH448" s="44" t="str">
        <x:v>Undergraduate tuition-contribution proxy only; not an audited total institutional budget.</x:v>
      </x:c>
    </x:row>
    <x:row r="449">
      <x:c r="A449" s="16" t="n">
        <x:v>147244</x:v>
      </x:c>
      <x:c r="B449" s="16" t="str">
        <x:v>Millikin University</x:v>
      </x:c>
      <x:c r="C449" s="16" t="str">
        <x:v>IL</x:v>
      </x:c>
      <x:c r="D449" s="16" t="str">
        <x:v>Private nonprofit</x:v>
      </x:c>
      <x:c r="E449" s="34" t="n">
        <x:v>2012</x:v>
      </x:c>
      <x:c r="F449" s="21" t="n">
        <x:v>0.7481</x:v>
      </x:c>
      <x:c r="G449" s="16" t="str">
        <x:v>Regional</x:v>
      </x:c>
      <x:c r="H449" s="36" t="n">
        <x:f>IF(G449="National",Assumptions!$B$11,IF(G449="Statewide",Assumptions!$B$12,Assumptions!$B$13))</x:f>
        <x:v>0.85</x:v>
      </x:c>
      <x:c r="I449" s="21" t="n">
        <x:v>-0.10579172815953353</x:v>
      </x:c>
      <x:c r="J449" s="21" t="n">
        <x:v>-0.14326338144775208</x:v>
      </x:c>
      <x:c r="K449" s="21" t="n">
        <x:v>-0.2868003311615852</x:v>
      </x:c>
      <x:c r="L449" s="36" t="n">
        <x:f>IF(Assumptions!$B$4=2030,I449,IF(Assumptions!$B$4=2035,J449,K449))</x:f>
        <x:v>-0.14326338144775208</x:v>
      </x:c>
      <x:c r="M449" s="36" t="n">
        <x:f>Assumptions!$B$19</x:f>
        <x:v>-0.04739891965741583</x:v>
      </x:c>
      <x:c r="N449" s="52" t="n">
        <x:f>H449*L449+(1-H449)*M449+O449</x:f>
        <x:v>-0.12888371217920164</x:v>
      </x:c>
      <x:c r="O449" s="36" t="n">
        <x:f>Assumptions!$B$10</x:f>
        <x:v>0</x:v>
      </x:c>
      <x:c r="P449" s="54" t="n">
        <x:f>E449*(1+N449)</x:f>
        <x:v>1752.6859710954461</x:v>
      </x:c>
      <x:c r="Q449" s="54" t="n">
        <x:f>P449-E449</x:f>
        <x:v>-259.3140289045539</x:v>
      </x:c>
      <x:c r="R449" s="16" t="str">
        <x:v>Yes</x:v>
      </x:c>
      <x:c r="S449" s="56" t="n">
        <x:v>14190</x:v>
      </x:c>
      <x:c r="T449" s="56" t="n">
        <x:v>11602</x:v>
      </x:c>
      <x:c r="U449" s="40" t="n">
        <x:f>E449*Assumptions!$B$8</x:f>
        <x:v>1710.2</x:v>
      </x:c>
      <x:c r="V449" s="40" t="n">
        <x:f>P449*Assumptions!$B$8</x:f>
        <x:v>1489.7830754311292</x:v>
      </x:c>
      <x:c r="W449" s="54" t="n">
        <x:f>V449-U449</x:f>
        <x:v>-220.41692456887085</x:v>
      </x:c>
      <x:c r="X449" s="58" t="n">
        <x:f>IF(R449="No","",W449*S449)</x:f>
        <x:v>-3127716.159632277</x:v>
      </x:c>
      <x:c r="Y449" s="58" t="n">
        <x:f>IF(R449="No","",W449*T449*Assumptions!$B$9)</x:f>
        <x:v>-767183.147654412</x:v>
      </x:c>
      <x:c r="Z449" s="58" t="n">
        <x:f>IF(R449="No","",X449-Y449)</x:f>
        <x:v>-2360533.0119778654</x:v>
      </x:c>
      <x:c r="AA449" s="58" t="n">
        <x:f>IF(R449="No","",MAX(0,-Z449))</x:f>
        <x:v>2360533.0119778654</x:v>
      </x:c>
      <x:c r="AB449" s="52" t="n">
        <x:f>IF(OR(R449="No",U449*S449=0),"",AA449/(U449*S449))</x:f>
        <x:v>0.09727041770344914</x:v>
      </x:c>
      <x:c r="AC449" s="54" t="n">
        <x:f>IF(OR(R449="No",S449-T449*Assumptions!$B$9&lt;=0),"",AA449/(Assumptions!$B$8*(S449-T449*Assumptions!$B$9)))</x:f>
        <x:v>259.31402890455394</x:v>
      </x:c>
      <x:c r="AD449" s="52" t="n">
        <x:f>IF(OR(R449="No",U449*S449=0),"",AA449/(U449*S449))</x:f>
        <x:v>0.09727041770344914</x:v>
      </x:c>
      <x:c r="AE449" s="50" t="str">
        <x:f>IF(R449="No","No finance data",IF(AB449&gt;=10%,"Severe",IF(AB449&gt;=5%,"High",IF(AB449&gt;=2%,"Moderate","Low"))))</x:f>
        <x:v>High</x:v>
      </x:c>
      <x:c r="AF449" s="60" t="n">
        <x:v>39.842612</x:v>
      </x:c>
      <x:c r="AG449" s="60" t="n">
        <x:v>-88.976298</x:v>
      </x:c>
      <x:c r="AH449" s="44" t="str">
        <x:v>Undergraduate tuition-contribution proxy only; not an audited total institutional budget.</x:v>
      </x:c>
    </x:row>
    <x:row r="450">
      <x:c r="A450" s="16" t="n">
        <x:v>147341</x:v>
      </x:c>
      <x:c r="B450" s="16" t="str">
        <x:v>Monmouth College</x:v>
      </x:c>
      <x:c r="C450" s="16" t="str">
        <x:v>IL</x:v>
      </x:c>
      <x:c r="D450" s="16" t="str">
        <x:v>Private nonprofit</x:v>
      </x:c>
      <x:c r="E450" s="34" t="n">
        <x:v>1173</x:v>
      </x:c>
      <x:c r="F450" s="21" t="n">
        <x:v>0.6564</x:v>
      </x:c>
      <x:c r="G450" s="16" t="str">
        <x:v>Regional</x:v>
      </x:c>
      <x:c r="H450" s="36" t="n">
        <x:f>IF(G450="National",Assumptions!$B$11,IF(G450="Statewide",Assumptions!$B$12,Assumptions!$B$13))</x:f>
        <x:v>0.85</x:v>
      </x:c>
      <x:c r="I450" s="21" t="n">
        <x:v>-0.10579172815953353</x:v>
      </x:c>
      <x:c r="J450" s="21" t="n">
        <x:v>-0.14326338144775208</x:v>
      </x:c>
      <x:c r="K450" s="21" t="n">
        <x:v>-0.2868003311615852</x:v>
      </x:c>
      <x:c r="L450" s="36" t="n">
        <x:f>IF(Assumptions!$B$4=2030,I450,IF(Assumptions!$B$4=2035,J450,K450))</x:f>
        <x:v>-0.14326338144775208</x:v>
      </x:c>
      <x:c r="M450" s="36" t="n">
        <x:f>Assumptions!$B$19</x:f>
        <x:v>-0.04739891965741583</x:v>
      </x:c>
      <x:c r="N450" s="52" t="n">
        <x:f>H450*L450+(1-H450)*M450+O450</x:f>
        <x:v>-0.12888371217920164</x:v>
      </x:c>
      <x:c r="O450" s="36" t="n">
        <x:f>Assumptions!$B$10</x:f>
        <x:v>0</x:v>
      </x:c>
      <x:c r="P450" s="54" t="n">
        <x:f>E450*(1+N450)</x:f>
        <x:v>1021.8194056137964</x:v>
      </x:c>
      <x:c r="Q450" s="54" t="n">
        <x:f>P450-E450</x:f>
        <x:v>-151.18059438620355</x:v>
      </x:c>
      <x:c r="R450" s="16" t="str">
        <x:v>Yes</x:v>
      </x:c>
      <x:c r="S450" s="56" t="n">
        <x:v>13331</x:v>
      </x:c>
      <x:c r="T450" s="56" t="n">
        <x:v>15491</x:v>
      </x:c>
      <x:c r="U450" s="40" t="n">
        <x:f>E450*Assumptions!$B$8</x:f>
        <x:v>997.05</x:v>
      </x:c>
      <x:c r="V450" s="40" t="n">
        <x:f>P450*Assumptions!$B$8</x:f>
        <x:v>868.546494771727</x:v>
      </x:c>
      <x:c r="W450" s="54" t="n">
        <x:f>V450-U450</x:f>
        <x:v>-128.50350522827296</x:v>
      </x:c>
      <x:c r="X450" s="58" t="n">
        <x:f>IF(R450="No","",W450*S450)</x:f>
        <x:v>-1713080.2281981069</x:v>
      </x:c>
      <x:c r="Y450" s="58" t="n">
        <x:f>IF(R450="No","",W450*T450*Assumptions!$B$9)</x:f>
        <x:v>-597194.3398473529</x:v>
      </x:c>
      <x:c r="Z450" s="58" t="n">
        <x:f>IF(R450="No","",X450-Y450)</x:f>
        <x:v>-1115885.888350754</x:v>
      </x:c>
      <x:c r="AA450" s="58" t="n">
        <x:f>IF(R450="No","",MAX(0,-Z450))</x:f>
        <x:v>1115885.888350754</x:v>
      </x:c>
      <x:c r="AB450" s="52" t="n">
        <x:f>IF(OR(R450="No",U450*S450=0),"",AA450/(U450*S450))</x:f>
        <x:v>0.08395375376569898</x:v>
      </x:c>
      <x:c r="AC450" s="54" t="n">
        <x:f>IF(OR(R450="No",S450-T450*Assumptions!$B$9&lt;=0),"",AA450/(Assumptions!$B$8*(S450-T450*Assumptions!$B$9)))</x:f>
        <x:v>151.1805943862035</x:v>
      </x:c>
      <x:c r="AD450" s="52" t="n">
        <x:f>IF(OR(R450="No",U450*S450=0),"",AA450/(U450*S450))</x:f>
        <x:v>0.08395375376569898</x:v>
      </x:c>
      <x:c r="AE450" s="50" t="str">
        <x:f>IF(R450="No","No finance data",IF(AB450&gt;=10%,"Severe",IF(AB450&gt;=5%,"High",IF(AB450&gt;=2%,"Moderate","Low"))))</x:f>
        <x:v>High</x:v>
      </x:c>
      <x:c r="AF450" s="60" t="n">
        <x:v>40.914824</x:v>
      </x:c>
      <x:c r="AG450" s="60" t="n">
        <x:v>-90.63731</x:v>
      </x:c>
      <x:c r="AH450" s="44" t="str">
        <x:v>Undergraduate tuition-contribution proxy only; not an audited total institutional budget.</x:v>
      </x:c>
    </x:row>
    <x:row r="451">
      <x:c r="A451" s="16" t="n">
        <x:v>147369</x:v>
      </x:c>
      <x:c r="B451" s="16" t="str">
        <x:v>Moody Bible Institute</x:v>
      </x:c>
      <x:c r="C451" s="16" t="str">
        <x:v>IL</x:v>
      </x:c>
      <x:c r="D451" s="16" t="str">
        <x:v>Private nonprofit</x:v>
      </x:c>
      <x:c r="E451" s="34" t="n">
        <x:v>3084</x:v>
      </x:c>
      <x:c r="F451" s="21" t="n">
        <x:v>0.9765</x:v>
      </x:c>
      <x:c r="G451" s="16" t="str">
        <x:v>Regional</x:v>
      </x:c>
      <x:c r="H451" s="36" t="n">
        <x:f>IF(G451="National",Assumptions!$B$11,IF(G451="Statewide",Assumptions!$B$12,Assumptions!$B$13))</x:f>
        <x:v>0.85</x:v>
      </x:c>
      <x:c r="I451" s="21" t="n">
        <x:v>-0.10579172815953353</x:v>
      </x:c>
      <x:c r="J451" s="21" t="n">
        <x:v>-0.14326338144775208</x:v>
      </x:c>
      <x:c r="K451" s="21" t="n">
        <x:v>-0.2868003311615852</x:v>
      </x:c>
      <x:c r="L451" s="36" t="n">
        <x:f>IF(Assumptions!$B$4=2030,I451,IF(Assumptions!$B$4=2035,J451,K451))</x:f>
        <x:v>-0.14326338144775208</x:v>
      </x:c>
      <x:c r="M451" s="36" t="n">
        <x:f>Assumptions!$B$19</x:f>
        <x:v>-0.04739891965741583</x:v>
      </x:c>
      <x:c r="N451" s="52" t="n">
        <x:f>H451*L451+(1-H451)*M451+O451</x:f>
        <x:v>-0.12888371217920164</x:v>
      </x:c>
      <x:c r="O451" s="36" t="n">
        <x:f>Assumptions!$B$10</x:f>
        <x:v>0</x:v>
      </x:c>
      <x:c r="P451" s="54" t="n">
        <x:f>E451*(1+N451)</x:f>
        <x:v>2686.522631639342</x:v>
      </x:c>
      <x:c r="Q451" s="54" t="n">
        <x:f>P451-E451</x:f>
        <x:v>-397.47736836065815</x:v>
      </x:c>
      <x:c r="R451" s="16" t="str">
        <x:v>Yes</x:v>
      </x:c>
      <x:c r="S451" s="56" t="n">
        <x:v>8077</x:v>
      </x:c>
      <x:c r="T451" s="56" t="n">
        <x:v>7689</x:v>
      </x:c>
      <x:c r="U451" s="40" t="n">
        <x:f>E451*Assumptions!$B$8</x:f>
        <x:v>2621.4</x:v>
      </x:c>
      <x:c r="V451" s="40" t="n">
        <x:f>P451*Assumptions!$B$8</x:f>
        <x:v>2283.5442368934405</x:v>
      </x:c>
      <x:c r="W451" s="54" t="n">
        <x:f>V451-U451</x:f>
        <x:v>-337.8557631065596</x:v>
      </x:c>
      <x:c r="X451" s="58" t="n">
        <x:f>IF(R451="No","",W451*S451)</x:f>
        <x:v>-2728860.998611682</x:v>
      </x:c>
      <x:c r="Y451" s="58" t="n">
        <x:f>IF(R451="No","",W451*T451*Assumptions!$B$9)</x:f>
        <x:v>-779331.888757901</x:v>
      </x:c>
      <x:c r="Z451" s="58" t="n">
        <x:f>IF(R451="No","",X451-Y451)</x:f>
        <x:v>-1949529.109853781</x:v>
      </x:c>
      <x:c r="AA451" s="58" t="n">
        <x:f>IF(R451="No","",MAX(0,-Z451))</x:f>
        <x:v>1949529.109853781</x:v>
      </x:c>
      <x:c r="AB451" s="52" t="n">
        <x:f>IF(OR(R451="No",U451*S451=0),"",AA451/(U451*S451))</x:f>
        <x:v>0.09207597924819218</x:v>
      </x:c>
      <x:c r="AC451" s="54" t="n">
        <x:f>IF(OR(R451="No",S451-T451*Assumptions!$B$9&lt;=0),"",AA451/(Assumptions!$B$8*(S451-T451*Assumptions!$B$9)))</x:f>
        <x:v>397.4773683606584</x:v>
      </x:c>
      <x:c r="AD451" s="52" t="n">
        <x:f>IF(OR(R451="No",U451*S451=0),"",AA451/(U451*S451))</x:f>
        <x:v>0.09207597924819218</x:v>
      </x:c>
      <x:c r="AE451" s="50" t="str">
        <x:f>IF(R451="No","No finance data",IF(AB451&gt;=10%,"Severe",IF(AB451&gt;=5%,"High",IF(AB451&gt;=2%,"Moderate","Low"))))</x:f>
        <x:v>High</x:v>
      </x:c>
      <x:c r="AF451" s="60" t="n">
        <x:v>41.897822</x:v>
      </x:c>
      <x:c r="AG451" s="60" t="n">
        <x:v>-87.633459</x:v>
      </x:c>
      <x:c r="AH451" s="44" t="str">
        <x:v>Undergraduate tuition-contribution proxy only; not an audited total institutional budget.</x:v>
      </x:c>
    </x:row>
    <x:row r="452">
      <x:c r="A452" s="16" t="n">
        <x:v>483984</x:v>
      </x:c>
      <x:c r="B452" s="16" t="str">
        <x:v>Morthland College</x:v>
      </x:c>
      <x:c r="C452" s="16" t="str">
        <x:v>IL</x:v>
      </x:c>
      <x:c r="D452" s="16" t="str">
        <x:v>Private nonprofit</x:v>
      </x:c>
      <x:c r="E452" s="34" t="n">
        <x:v>100</x:v>
      </x:c>
      <x:c r="F452" s="21"/>
      <x:c r="G452" s="16" t="str">
        <x:v>Regional</x:v>
      </x:c>
      <x:c r="H452" s="36" t="n">
        <x:f>IF(G452="National",Assumptions!$B$11,IF(G452="Statewide",Assumptions!$B$12,Assumptions!$B$13))</x:f>
        <x:v>0.85</x:v>
      </x:c>
      <x:c r="I452" s="21" t="n">
        <x:v>-0.10579172815953353</x:v>
      </x:c>
      <x:c r="J452" s="21" t="n">
        <x:v>-0.14326338144775208</x:v>
      </x:c>
      <x:c r="K452" s="21" t="n">
        <x:v>-0.2868003311615852</x:v>
      </x:c>
      <x:c r="L452" s="36" t="n">
        <x:f>IF(Assumptions!$B$4=2030,I452,IF(Assumptions!$B$4=2035,J452,K452))</x:f>
        <x:v>-0.14326338144775208</x:v>
      </x:c>
      <x:c r="M452" s="36" t="n">
        <x:f>Assumptions!$B$19</x:f>
        <x:v>-0.04739891965741583</x:v>
      </x:c>
      <x:c r="N452" s="52" t="n">
        <x:f>H452*L452+(1-H452)*M452+O452</x:f>
        <x:v>-0.12888371217920164</x:v>
      </x:c>
      <x:c r="O452" s="36" t="n">
        <x:f>Assumptions!$B$10</x:f>
        <x:v>0</x:v>
      </x:c>
      <x:c r="P452" s="54" t="n">
        <x:f>E452*(1+N452)</x:f>
        <x:v>87.11162878207983</x:v>
      </x:c>
      <x:c r="Q452" s="54" t="n">
        <x:f>P452-E452</x:f>
        <x:v>-12.888371217920167</x:v>
      </x:c>
      <x:c r="R452" s="16" t="str">
        <x:v>No</x:v>
      </x:c>
      <x:c r="S452" s="56"/>
      <x:c r="T452" s="56"/>
      <x:c r="U452" s="40" t="n">
        <x:f>E452*Assumptions!$B$8</x:f>
        <x:v>85</x:v>
      </x:c>
      <x:c r="V452" s="40" t="n">
        <x:f>P452*Assumptions!$B$8</x:f>
        <x:v>74.04488446476786</x:v>
      </x:c>
      <x:c r="W452" s="54" t="n">
        <x:f>V452-U452</x:f>
        <x:v>-10.955115535232139</x:v>
      </x:c>
      <x:c r="X452" s="58" t="str">
        <x:f>IF(R452="No","",W452*S452)</x:f>
      </x:c>
      <x:c r="Y452" s="58" t="str">
        <x:f>IF(R452="No","",W452*T452*Assumptions!$B$9)</x:f>
      </x:c>
      <x:c r="Z452" s="58" t="str">
        <x:f>IF(R452="No","",X452-Y452)</x:f>
      </x:c>
      <x:c r="AA452" s="58" t="str">
        <x:f>IF(R452="No","",MAX(0,-Z452))</x:f>
      </x:c>
      <x:c r="AB452" s="52" t="str">
        <x:f>IF(OR(R452="No",U452*S452=0),"",AA452/(U452*S452))</x:f>
      </x:c>
      <x:c r="AC452" s="54" t="str">
        <x:f>IF(OR(R452="No",S452-T452*Assumptions!$B$9&lt;=0),"",AA452/(Assumptions!$B$8*(S452-T452*Assumptions!$B$9)))</x:f>
      </x:c>
      <x:c r="AD452" s="52" t="str">
        <x:f>IF(OR(R452="No",U452*S452=0),"",AA452/(U452*S452))</x:f>
      </x:c>
      <x:c r="AE452" s="50" t="str">
        <x:f>IF(R452="No","No finance data",IF(AB452&gt;=10%,"Severe",IF(AB452&gt;=5%,"High",IF(AB452&gt;=2%,"Moderate","Low"))))</x:f>
        <x:v>No finance data</x:v>
      </x:c>
      <x:c r="AF452" s="60"/>
      <x:c r="AG452" s="60"/>
      <x:c r="AH452" s="44" t="str">
        <x:v>Undergraduate tuition-contribution proxy only; not an audited total institutional budget.</x:v>
      </x:c>
    </x:row>
    <x:row r="453">
      <x:c r="A453" s="16" t="n">
        <x:v>147536</x:v>
      </x:c>
      <x:c r="B453" s="16" t="str">
        <x:v>National Louis University</x:v>
      </x:c>
      <x:c r="C453" s="16" t="str">
        <x:v>IL</x:v>
      </x:c>
      <x:c r="D453" s="16" t="str">
        <x:v>Private nonprofit</x:v>
      </x:c>
      <x:c r="E453" s="34" t="n">
        <x:v>1210</x:v>
      </x:c>
      <x:c r="F453" s="21" t="n">
        <x:v>0.9704</x:v>
      </x:c>
      <x:c r="G453" s="16" t="str">
        <x:v>Regional</x:v>
      </x:c>
      <x:c r="H453" s="36" t="n">
        <x:f>IF(G453="National",Assumptions!$B$11,IF(G453="Statewide",Assumptions!$B$12,Assumptions!$B$13))</x:f>
        <x:v>0.85</x:v>
      </x:c>
      <x:c r="I453" s="21" t="n">
        <x:v>-0.10579172815953353</x:v>
      </x:c>
      <x:c r="J453" s="21" t="n">
        <x:v>-0.14326338144775208</x:v>
      </x:c>
      <x:c r="K453" s="21" t="n">
        <x:v>-0.2868003311615852</x:v>
      </x:c>
      <x:c r="L453" s="36" t="n">
        <x:f>IF(Assumptions!$B$4=2030,I453,IF(Assumptions!$B$4=2035,J453,K453))</x:f>
        <x:v>-0.14326338144775208</x:v>
      </x:c>
      <x:c r="M453" s="36" t="n">
        <x:f>Assumptions!$B$19</x:f>
        <x:v>-0.04739891965741583</x:v>
      </x:c>
      <x:c r="N453" s="52" t="n">
        <x:f>H453*L453+(1-H453)*M453+O453</x:f>
        <x:v>-0.12888371217920164</x:v>
      </x:c>
      <x:c r="O453" s="36" t="n">
        <x:f>Assumptions!$B$10</x:f>
        <x:v>0</x:v>
      </x:c>
      <x:c r="P453" s="54" t="n">
        <x:f>E453*(1+N453)</x:f>
        <x:v>1054.050708263166</x:v>
      </x:c>
      <x:c r="Q453" s="54" t="n">
        <x:f>P453-E453</x:f>
        <x:v>-155.94929173683408</x:v>
      </x:c>
      <x:c r="R453" s="16" t="str">
        <x:v>Yes</x:v>
      </x:c>
      <x:c r="S453" s="56" t="n">
        <x:v>14837</x:v>
      </x:c>
      <x:c r="T453" s="56" t="n">
        <x:v>5753</x:v>
      </x:c>
      <x:c r="U453" s="40" t="n">
        <x:f>E453*Assumptions!$B$8</x:f>
        <x:v>1028.5</x:v>
      </x:c>
      <x:c r="V453" s="40" t="n">
        <x:f>P453*Assumptions!$B$8</x:f>
        <x:v>895.943102023691</x:v>
      </x:c>
      <x:c r="W453" s="54" t="n">
        <x:f>V453-U453</x:f>
        <x:v>-132.55689797630896</x:v>
      </x:c>
      <x:c r="X453" s="58" t="n">
        <x:f>IF(R453="No","",W453*S453)</x:f>
        <x:v>-1966746.695274496</x:v>
      </x:c>
      <x:c r="Y453" s="58" t="n">
        <x:f>IF(R453="No","",W453*T453*Assumptions!$B$9)</x:f>
        <x:v>-228779.95021731165</x:v>
      </x:c>
      <x:c r="Z453" s="58" t="n">
        <x:f>IF(R453="No","",X453-Y453)</x:f>
        <x:v>-1737966.7450571842</x:v>
      </x:c>
      <x:c r="AA453" s="58" t="n">
        <x:f>IF(R453="No","",MAX(0,-Z453))</x:f>
        <x:v>1737966.7450571842</x:v>
      </x:c>
      <x:c r="AB453" s="52" t="n">
        <x:f>IF(OR(R453="No",U453*S453=0),"",AA453/(U453*S453))</x:f>
        <x:v>0.11389143619011467</x:v>
      </x:c>
      <x:c r="AC453" s="54" t="n">
        <x:f>IF(OR(R453="No",S453-T453*Assumptions!$B$9&lt;=0),"",AA453/(Assumptions!$B$8*(S453-T453*Assumptions!$B$9)))</x:f>
        <x:v>155.94929173683406</x:v>
      </x:c>
      <x:c r="AD453" s="52" t="n">
        <x:f>IF(OR(R453="No",U453*S453=0),"",AA453/(U453*S453))</x:f>
        <x:v>0.11389143619011467</x:v>
      </x:c>
      <x:c r="AE453" s="50" t="str">
        <x:f>IF(R453="No","No finance data",IF(AB453&gt;=10%,"Severe",IF(AB453&gt;=5%,"High",IF(AB453&gt;=2%,"Moderate","Low"))))</x:f>
        <x:v>Severe</x:v>
      </x:c>
      <x:c r="AF453" s="60" t="n">
        <x:v>41.880093</x:v>
      </x:c>
      <x:c r="AG453" s="60" t="n">
        <x:v>-87.624699</x:v>
      </x:c>
      <x:c r="AH453" s="44" t="str">
        <x:v>Undergraduate tuition-contribution proxy only; not an audited total institutional budget.</x:v>
      </x:c>
    </x:row>
    <x:row r="454">
      <x:c r="A454" s="16" t="n">
        <x:v>147590</x:v>
      </x:c>
      <x:c r="B454" s="16" t="str">
        <x:v>National University of Health Sciences</x:v>
      </x:c>
      <x:c r="C454" s="16" t="str">
        <x:v>IL</x:v>
      </x:c>
      <x:c r="D454" s="16" t="str">
        <x:v>Private nonprofit</x:v>
      </x:c>
      <x:c r="E454" s="34" t="n">
        <x:v>76</x:v>
      </x:c>
      <x:c r="F454" s="21"/>
      <x:c r="G454" s="16" t="str">
        <x:v>Regional</x:v>
      </x:c>
      <x:c r="H454" s="36" t="n">
        <x:f>IF(G454="National",Assumptions!$B$11,IF(G454="Statewide",Assumptions!$B$12,Assumptions!$B$13))</x:f>
        <x:v>0.85</x:v>
      </x:c>
      <x:c r="I454" s="21" t="n">
        <x:v>-0.10579172815953353</x:v>
      </x:c>
      <x:c r="J454" s="21" t="n">
        <x:v>-0.14326338144775208</x:v>
      </x:c>
      <x:c r="K454" s="21" t="n">
        <x:v>-0.2868003311615852</x:v>
      </x:c>
      <x:c r="L454" s="36" t="n">
        <x:f>IF(Assumptions!$B$4=2030,I454,IF(Assumptions!$B$4=2035,J454,K454))</x:f>
        <x:v>-0.14326338144775208</x:v>
      </x:c>
      <x:c r="M454" s="36" t="n">
        <x:f>Assumptions!$B$19</x:f>
        <x:v>-0.04739891965741583</x:v>
      </x:c>
      <x:c r="N454" s="52" t="n">
        <x:f>H454*L454+(1-H454)*M454+O454</x:f>
        <x:v>-0.12888371217920164</x:v>
      </x:c>
      <x:c r="O454" s="36" t="n">
        <x:f>Assumptions!$B$10</x:f>
        <x:v>0</x:v>
      </x:c>
      <x:c r="P454" s="54" t="n">
        <x:f>E454*(1+N454)</x:f>
        <x:v>66.20483787438067</x:v>
      </x:c>
      <x:c r="Q454" s="54" t="n">
        <x:f>P454-E454</x:f>
        <x:v>-9.795162125619328</x:v>
      </x:c>
      <x:c r="R454" s="16" t="str">
        <x:v>No</x:v>
      </x:c>
      <x:c r="S454" s="56"/>
      <x:c r="T454" s="56"/>
      <x:c r="U454" s="40" t="n">
        <x:f>E454*Assumptions!$B$8</x:f>
        <x:v>64.6</x:v>
      </x:c>
      <x:c r="V454" s="40" t="n">
        <x:f>P454*Assumptions!$B$8</x:f>
        <x:v>56.27411219322357</x:v>
      </x:c>
      <x:c r="W454" s="54" t="n">
        <x:f>V454-U454</x:f>
        <x:v>-8.325887806776421</x:v>
      </x:c>
      <x:c r="X454" s="58" t="str">
        <x:f>IF(R454="No","",W454*S454)</x:f>
      </x:c>
      <x:c r="Y454" s="58" t="str">
        <x:f>IF(R454="No","",W454*T454*Assumptions!$B$9)</x:f>
      </x:c>
      <x:c r="Z454" s="58" t="str">
        <x:f>IF(R454="No","",X454-Y454)</x:f>
      </x:c>
      <x:c r="AA454" s="58" t="str">
        <x:f>IF(R454="No","",MAX(0,-Z454))</x:f>
      </x:c>
      <x:c r="AB454" s="52" t="str">
        <x:f>IF(OR(R454="No",U454*S454=0),"",AA454/(U454*S454))</x:f>
      </x:c>
      <x:c r="AC454" s="54" t="str">
        <x:f>IF(OR(R454="No",S454-T454*Assumptions!$B$9&lt;=0),"",AA454/(Assumptions!$B$8*(S454-T454*Assumptions!$B$9)))</x:f>
      </x:c>
      <x:c r="AD454" s="52" t="str">
        <x:f>IF(OR(R454="No",U454*S454=0),"",AA454/(U454*S454))</x:f>
      </x:c>
      <x:c r="AE454" s="50" t="str">
        <x:f>IF(R454="No","No finance data",IF(AB454&gt;=10%,"Severe",IF(AB454&gt;=5%,"High",IF(AB454&gt;=2%,"Moderate","Low"))))</x:f>
        <x:v>No finance data</x:v>
      </x:c>
      <x:c r="AF454" s="60"/>
      <x:c r="AG454" s="60"/>
      <x:c r="AH454" s="44" t="str">
        <x:v>Undergraduate tuition-contribution proxy only; not an audited total institutional budget.</x:v>
      </x:c>
    </x:row>
    <x:row r="455">
      <x:c r="A455" s="16" t="n">
        <x:v>147660</x:v>
      </x:c>
      <x:c r="B455" s="16" t="str">
        <x:v>North Central College</x:v>
      </x:c>
      <x:c r="C455" s="16" t="str">
        <x:v>IL</x:v>
      </x:c>
      <x:c r="D455" s="16" t="str">
        <x:v>Private nonprofit</x:v>
      </x:c>
      <x:c r="E455" s="34" t="n">
        <x:v>2633</x:v>
      </x:c>
      <x:c r="F455" s="21" t="n">
        <x:v>0.684</x:v>
      </x:c>
      <x:c r="G455" s="16" t="str">
        <x:v>Regional</x:v>
      </x:c>
      <x:c r="H455" s="36" t="n">
        <x:f>IF(G455="National",Assumptions!$B$11,IF(G455="Statewide",Assumptions!$B$12,Assumptions!$B$13))</x:f>
        <x:v>0.85</x:v>
      </x:c>
      <x:c r="I455" s="21" t="n">
        <x:v>-0.10579172815953353</x:v>
      </x:c>
      <x:c r="J455" s="21" t="n">
        <x:v>-0.14326338144775208</x:v>
      </x:c>
      <x:c r="K455" s="21" t="n">
        <x:v>-0.2868003311615852</x:v>
      </x:c>
      <x:c r="L455" s="36" t="n">
        <x:f>IF(Assumptions!$B$4=2030,I455,IF(Assumptions!$B$4=2035,J455,K455))</x:f>
        <x:v>-0.14326338144775208</x:v>
      </x:c>
      <x:c r="M455" s="36" t="n">
        <x:f>Assumptions!$B$19</x:f>
        <x:v>-0.04739891965741583</x:v>
      </x:c>
      <x:c r="N455" s="52" t="n">
        <x:f>H455*L455+(1-H455)*M455+O455</x:f>
        <x:v>-0.12888371217920164</x:v>
      </x:c>
      <x:c r="O455" s="36" t="n">
        <x:f>Assumptions!$B$10</x:f>
        <x:v>0</x:v>
      </x:c>
      <x:c r="P455" s="54" t="n">
        <x:f>E455*(1+N455)</x:f>
        <x:v>2293.649185832162</x:v>
      </x:c>
      <x:c r="Q455" s="54" t="n">
        <x:f>P455-E455</x:f>
        <x:v>-339.35081416783805</x:v>
      </x:c>
      <x:c r="R455" s="16" t="str">
        <x:v>Yes</x:v>
      </x:c>
      <x:c r="S455" s="56" t="n">
        <x:v>16961</x:v>
      </x:c>
      <x:c r="T455" s="56" t="n">
        <x:v>10017</x:v>
      </x:c>
      <x:c r="U455" s="40" t="n">
        <x:f>E455*Assumptions!$B$8</x:f>
        <x:v>2238.0499999999997</x:v>
      </x:c>
      <x:c r="V455" s="40" t="n">
        <x:f>P455*Assumptions!$B$8</x:f>
        <x:v>1949.6018079573375</x:v>
      </x:c>
      <x:c r="W455" s="54" t="n">
        <x:f>V455-U455</x:f>
        <x:v>-288.4481920426622</x:v>
      </x:c>
      <x:c r="X455" s="58" t="n">
        <x:f>IF(R455="No","",W455*S455)</x:f>
        <x:v>-4892369.785235593</x:v>
      </x:c>
      <x:c r="Y455" s="58" t="n">
        <x:f>IF(R455="No","",W455*T455*Assumptions!$B$9)</x:f>
        <x:v>-866815.6619074041</x:v>
      </x:c>
      <x:c r="Z455" s="58" t="n">
        <x:f>IF(R455="No","",X455-Y455)</x:f>
        <x:v>-4025554.123328189</x:v>
      </x:c>
      <x:c r="AA455" s="58" t="n">
        <x:f>IF(R455="No","",MAX(0,-Z455))</x:f>
        <x:v>4025554.123328189</x:v>
      </x:c>
      <x:c r="AB455" s="52" t="n">
        <x:f>IF(OR(R455="No",U455*S455=0),"",AA455/(U455*S455))</x:f>
        <x:v>0.10604847584468603</x:v>
      </x:c>
      <x:c r="AC455" s="54" t="n">
        <x:f>IF(OR(R455="No",S455-T455*Assumptions!$B$9&lt;=0),"",AA455/(Assumptions!$B$8*(S455-T455*Assumptions!$B$9)))</x:f>
        <x:v>339.3508141678379</x:v>
      </x:c>
      <x:c r="AD455" s="52" t="n">
        <x:f>IF(OR(R455="No",U455*S455=0),"",AA455/(U455*S455))</x:f>
        <x:v>0.10604847584468603</x:v>
      </x:c>
      <x:c r="AE455" s="50" t="str">
        <x:f>IF(R455="No","No finance data",IF(AB455&gt;=10%,"Severe",IF(AB455&gt;=5%,"High",IF(AB455&gt;=2%,"Moderate","Low"))))</x:f>
        <x:v>Severe</x:v>
      </x:c>
      <x:c r="AF455" s="60" t="n">
        <x:v>41.77576</x:v>
      </x:c>
      <x:c r="AG455" s="60" t="n">
        <x:v>-88.14279</x:v>
      </x:c>
      <x:c r="AH455" s="44" t="str">
        <x:v>Undergraduate tuition-contribution proxy only; not an audited total institutional budget.</x:v>
      </x:c>
    </x:row>
    <x:row r="456">
      <x:c r="A456" s="16" t="n">
        <x:v>147679</x:v>
      </x:c>
      <x:c r="B456" s="16" t="str">
        <x:v>North Park University</x:v>
      </x:c>
      <x:c r="C456" s="16" t="str">
        <x:v>IL</x:v>
      </x:c>
      <x:c r="D456" s="16" t="str">
        <x:v>Private nonprofit</x:v>
      </x:c>
      <x:c r="E456" s="34" t="n">
        <x:v>2139</x:v>
      </x:c>
      <x:c r="F456" s="21" t="n">
        <x:v>0.6714</x:v>
      </x:c>
      <x:c r="G456" s="16" t="str">
        <x:v>Regional</x:v>
      </x:c>
      <x:c r="H456" s="36" t="n">
        <x:f>IF(G456="National",Assumptions!$B$11,IF(G456="Statewide",Assumptions!$B$12,Assumptions!$B$13))</x:f>
        <x:v>0.85</x:v>
      </x:c>
      <x:c r="I456" s="21" t="n">
        <x:v>-0.10579172815953353</x:v>
      </x:c>
      <x:c r="J456" s="21" t="n">
        <x:v>-0.14326338144775208</x:v>
      </x:c>
      <x:c r="K456" s="21" t="n">
        <x:v>-0.2868003311615852</x:v>
      </x:c>
      <x:c r="L456" s="36" t="n">
        <x:f>IF(Assumptions!$B$4=2030,I456,IF(Assumptions!$B$4=2035,J456,K456))</x:f>
        <x:v>-0.14326338144775208</x:v>
      </x:c>
      <x:c r="M456" s="36" t="n">
        <x:f>Assumptions!$B$19</x:f>
        <x:v>-0.04739891965741583</x:v>
      </x:c>
      <x:c r="N456" s="52" t="n">
        <x:f>H456*L456+(1-H456)*M456+O456</x:f>
        <x:v>-0.12888371217920164</x:v>
      </x:c>
      <x:c r="O456" s="36" t="n">
        <x:f>Assumptions!$B$10</x:f>
        <x:v>0</x:v>
      </x:c>
      <x:c r="P456" s="54" t="n">
        <x:f>E456*(1+N456)</x:f>
        <x:v>1863.3177396486876</x:v>
      </x:c>
      <x:c r="Q456" s="54" t="n">
        <x:f>P456-E456</x:f>
        <x:v>-275.6822603513124</x:v>
      </x:c>
      <x:c r="R456" s="16" t="str">
        <x:v>Yes</x:v>
      </x:c>
      <x:c r="S456" s="56" t="n">
        <x:v>16510</x:v>
      </x:c>
      <x:c r="T456" s="56" t="n">
        <x:v>7989</x:v>
      </x:c>
      <x:c r="U456" s="40" t="n">
        <x:f>E456*Assumptions!$B$8</x:f>
        <x:v>1818.1499999999999</x:v>
      </x:c>
      <x:c r="V456" s="40" t="n">
        <x:f>P456*Assumptions!$B$8</x:f>
        <x:v>1583.8200787013845</x:v>
      </x:c>
      <x:c r="W456" s="54" t="n">
        <x:f>V456-U456</x:f>
        <x:v>-234.32992129861532</x:v>
      </x:c>
      <x:c r="X456" s="58" t="n">
        <x:f>IF(R456="No","",W456*S456)</x:f>
        <x:v>-3868787.000640139</x:v>
      </x:c>
      <x:c r="Y456" s="58" t="n">
        <x:f>IF(R456="No","",W456*T456*Assumptions!$B$9)</x:f>
        <x:v>-561618.5223763913</x:v>
      </x:c>
      <x:c r="Z456" s="58" t="n">
        <x:f>IF(R456="No","",X456-Y456)</x:f>
        <x:v>-3307168.478263748</x:v>
      </x:c>
      <x:c r="AA456" s="58" t="n">
        <x:f>IF(R456="No","",MAX(0,-Z456))</x:f>
        <x:v>3307168.478263748</x:v>
      </x:c>
      <x:c r="AB456" s="52" t="n">
        <x:f>IF(OR(R456="No",U456*S456=0),"",AA456/(U456*S456))</x:f>
        <x:v>0.11017410630519235</x:v>
      </x:c>
      <x:c r="AC456" s="54" t="n">
        <x:f>IF(OR(R456="No",S456-T456*Assumptions!$B$9&lt;=0),"",AA456/(Assumptions!$B$8*(S456-T456*Assumptions!$B$9)))</x:f>
        <x:v>275.6822603513122</x:v>
      </x:c>
      <x:c r="AD456" s="52" t="n">
        <x:f>IF(OR(R456="No",U456*S456=0),"",AA456/(U456*S456))</x:f>
        <x:v>0.11017410630519235</x:v>
      </x:c>
      <x:c r="AE456" s="50" t="str">
        <x:f>IF(R456="No","No finance data",IF(AB456&gt;=10%,"Severe",IF(AB456&gt;=5%,"High",IF(AB456&gt;=2%,"Moderate","Low"))))</x:f>
        <x:v>Severe</x:v>
      </x:c>
      <x:c r="AF456" s="60" t="n">
        <x:v>41.975268</x:v>
      </x:c>
      <x:c r="AG456" s="60" t="n">
        <x:v>-87.709948</x:v>
      </x:c>
      <x:c r="AH456" s="44" t="str">
        <x:v>Undergraduate tuition-contribution proxy only; not an audited total institutional budget.</x:v>
      </x:c>
    </x:row>
    <x:row r="457">
      <x:c r="A457" s="16" t="n">
        <x:v>147776</x:v>
      </x:c>
      <x:c r="B457" s="16" t="str">
        <x:v>Northeastern Illinois University</x:v>
      </x:c>
      <x:c r="C457" s="16" t="str">
        <x:v>IL</x:v>
      </x:c>
      <x:c r="D457" s="16" t="str">
        <x:v>Public</x:v>
      </x:c>
      <x:c r="E457" s="34" t="n">
        <x:v>7979</x:v>
      </x:c>
      <x:c r="F457" s="21" t="n">
        <x:v>0.6211</x:v>
      </x:c>
      <x:c r="G457" s="16" t="str">
        <x:v>Statewide</x:v>
      </x:c>
      <x:c r="H457" s="36" t="n">
        <x:f>IF(G457="National",Assumptions!$B$11,IF(G457="Statewide",Assumptions!$B$12,Assumptions!$B$13))</x:f>
        <x:v>0.6</x:v>
      </x:c>
      <x:c r="I457" s="21" t="n">
        <x:v>-0.10579172815953353</x:v>
      </x:c>
      <x:c r="J457" s="21" t="n">
        <x:v>-0.14326338144775208</x:v>
      </x:c>
      <x:c r="K457" s="21" t="n">
        <x:v>-0.2868003311615852</x:v>
      </x:c>
      <x:c r="L457" s="36" t="n">
        <x:f>IF(Assumptions!$B$4=2030,I457,IF(Assumptions!$B$4=2035,J457,K457))</x:f>
        <x:v>-0.14326338144775208</x:v>
      </x:c>
      <x:c r="M457" s="36" t="n">
        <x:f>Assumptions!$B$19</x:f>
        <x:v>-0.04739891965741583</x:v>
      </x:c>
      <x:c r="N457" s="52" t="n">
        <x:f>H457*L457+(1-H457)*M457+O457</x:f>
        <x:v>-0.10491759673161757</x:v>
      </x:c>
      <x:c r="O457" s="36" t="n">
        <x:f>Assumptions!$B$10</x:f>
        <x:v>0</x:v>
      </x:c>
      <x:c r="P457" s="54" t="n">
        <x:f>E457*(1+N457)</x:f>
        <x:v>7141.862495678423</x:v>
      </x:c>
      <x:c r="Q457" s="54" t="n">
        <x:f>P457-E457</x:f>
        <x:v>-837.1375043215767</x:v>
      </x:c>
      <x:c r="R457" s="16" t="str">
        <x:v>Yes</x:v>
      </x:c>
      <x:c r="S457" s="56" t="n">
        <x:v>8627</x:v>
      </x:c>
      <x:c r="T457" s="56" t="n">
        <x:v>19598</x:v>
      </x:c>
      <x:c r="U457" s="40" t="n">
        <x:f>E457*Assumptions!$B$8</x:f>
        <x:v>6782.15</x:v>
      </x:c>
      <x:c r="V457" s="40" t="n">
        <x:f>P457*Assumptions!$B$8</x:f>
        <x:v>6070.583121326659</x:v>
      </x:c>
      <x:c r="W457" s="54" t="n">
        <x:f>V457-U457</x:f>
        <x:v>-711.5668786733404</x:v>
      </x:c>
      <x:c r="X457" s="58" t="n">
        <x:f>IF(R457="No","",W457*S457)</x:f>
        <x:v>-6138687.462314907</x:v>
      </x:c>
      <x:c r="Y457" s="58" t="n">
        <x:f>IF(R457="No","",W457*T457*Assumptions!$B$9)</x:f>
        <x:v>-4183586.3064720375</x:v>
      </x:c>
      <x:c r="Z457" s="58" t="n">
        <x:f>IF(R457="No","",X457-Y457)</x:f>
        <x:v>-1955101.15584287</x:v>
      </x:c>
      <x:c r="AA457" s="58" t="n">
        <x:f>IF(R457="No","",MAX(0,-Z457))</x:f>
        <x:v>1955101.15584287</x:v>
      </x:c>
      <x:c r="AB457" s="52" t="n">
        <x:f>IF(OR(R457="No",U457*S457=0),"",AA457/(U457*S457))</x:f>
        <x:v>0.03341504448589226</x:v>
      </x:c>
      <x:c r="AC457" s="54" t="n">
        <x:f>IF(OR(R457="No",S457-T457*Assumptions!$B$9&lt;=0),"",AA457/(Assumptions!$B$8*(S457-T457*Assumptions!$B$9)))</x:f>
        <x:v>837.1375043215769</x:v>
      </x:c>
      <x:c r="AD457" s="52" t="n">
        <x:f>IF(OR(R457="No",U457*S457=0),"",AA457/(U457*S457))</x:f>
        <x:v>0.03341504448589226</x:v>
      </x:c>
      <x:c r="AE457" s="50" t="str">
        <x:f>IF(R457="No","No finance data",IF(AB457&gt;=10%,"Severe",IF(AB457&gt;=5%,"High",IF(AB457&gt;=2%,"Moderate","Low"))))</x:f>
        <x:v>Moderate</x:v>
      </x:c>
      <x:c r="AF457" s="60" t="n">
        <x:v>41.980399</x:v>
      </x:c>
      <x:c r="AG457" s="60" t="n">
        <x:v>-87.718983</x:v>
      </x:c>
      <x:c r="AH457" s="44" t="str">
        <x:v>Undergraduate tuition-contribution proxy only; not an audited total institutional budget.</x:v>
      </x:c>
    </x:row>
    <x:row r="458">
      <x:c r="A458" s="16" t="n">
        <x:v>147703</x:v>
      </x:c>
      <x:c r="B458" s="16" t="str">
        <x:v>Northern Illinois University</x:v>
      </x:c>
      <x:c r="C458" s="16" t="str">
        <x:v>IL</x:v>
      </x:c>
      <x:c r="D458" s="16" t="str">
        <x:v>Public</x:v>
      </x:c>
      <x:c r="E458" s="34" t="n">
        <x:v>14952</x:v>
      </x:c>
      <x:c r="F458" s="21" t="n">
        <x:v>0.7045</x:v>
      </x:c>
      <x:c r="G458" s="16" t="str">
        <x:v>Statewide</x:v>
      </x:c>
      <x:c r="H458" s="36" t="n">
        <x:f>IF(G458="National",Assumptions!$B$11,IF(G458="Statewide",Assumptions!$B$12,Assumptions!$B$13))</x:f>
        <x:v>0.6</x:v>
      </x:c>
      <x:c r="I458" s="21" t="n">
        <x:v>-0.10579172815953353</x:v>
      </x:c>
      <x:c r="J458" s="21" t="n">
        <x:v>-0.14326338144775208</x:v>
      </x:c>
      <x:c r="K458" s="21" t="n">
        <x:v>-0.2868003311615852</x:v>
      </x:c>
      <x:c r="L458" s="36" t="n">
        <x:f>IF(Assumptions!$B$4=2030,I458,IF(Assumptions!$B$4=2035,J458,K458))</x:f>
        <x:v>-0.14326338144775208</x:v>
      </x:c>
      <x:c r="M458" s="36" t="n">
        <x:f>Assumptions!$B$19</x:f>
        <x:v>-0.04739891965741583</x:v>
      </x:c>
      <x:c r="N458" s="52" t="n">
        <x:f>H458*L458+(1-H458)*M458+O458</x:f>
        <x:v>-0.10491759673161757</x:v>
      </x:c>
      <x:c r="O458" s="36" t="n">
        <x:f>Assumptions!$B$10</x:f>
        <x:v>0</x:v>
      </x:c>
      <x:c r="P458" s="54" t="n">
        <x:f>E458*(1+N458)</x:f>
        <x:v>13383.272093668853</x:v>
      </x:c>
      <x:c r="Q458" s="54" t="n">
        <x:f>P458-E458</x:f>
        <x:v>-1568.727906331147</x:v>
      </x:c>
      <x:c r="R458" s="16" t="str">
        <x:v>Yes</x:v>
      </x:c>
      <x:c r="S458" s="56" t="n">
        <x:v>7641</x:v>
      </x:c>
      <x:c r="T458" s="56" t="n">
        <x:v>16652</x:v>
      </x:c>
      <x:c r="U458" s="40" t="n">
        <x:f>E458*Assumptions!$B$8</x:f>
        <x:v>12709.199999999999</x:v>
      </x:c>
      <x:c r="V458" s="40" t="n">
        <x:f>P458*Assumptions!$B$8</x:f>
        <x:v>11375.781279618524</x:v>
      </x:c>
      <x:c r="W458" s="54" t="n">
        <x:f>V458-U458</x:f>
        <x:v>-1333.4187203814745</x:v>
      </x:c>
      <x:c r="X458" s="58" t="n">
        <x:f>IF(R458="No","",W458*S458)</x:f>
        <x:v>-10188652.442434847</x:v>
      </x:c>
      <x:c r="Y458" s="58" t="n">
        <x:f>IF(R458="No","",W458*T458*Assumptions!$B$9)</x:f>
        <x:v>-6661226.559537694</x:v>
      </x:c>
      <x:c r="Z458" s="58" t="n">
        <x:f>IF(R458="No","",X458-Y458)</x:f>
        <x:v>-3527425.8828971535</x:v>
      </x:c>
      <x:c r="AA458" s="58" t="n">
        <x:f>IF(R458="No","",MAX(0,-Z458))</x:f>
        <x:v>3527425.8828971535</x:v>
      </x:c>
      <x:c r="AB458" s="52" t="n">
        <x:f>IF(OR(R458="No",U458*S458=0),"",AA458/(U458*S458))</x:f>
        <x:v>0.03632365009734607</x:v>
      </x:c>
      <x:c r="AC458" s="54" t="n">
        <x:f>IF(OR(R458="No",S458-T458*Assumptions!$B$9&lt;=0),"",AA458/(Assumptions!$B$8*(S458-T458*Assumptions!$B$9)))</x:f>
        <x:v>1568.7279063311464</x:v>
      </x:c>
      <x:c r="AD458" s="52" t="n">
        <x:f>IF(OR(R458="No",U458*S458=0),"",AA458/(U458*S458))</x:f>
        <x:v>0.03632365009734607</x:v>
      </x:c>
      <x:c r="AE458" s="50" t="str">
        <x:f>IF(R458="No","No finance data",IF(AB458&gt;=10%,"Severe",IF(AB458&gt;=5%,"High",IF(AB458&gt;=2%,"Moderate","Low"))))</x:f>
        <x:v>Moderate</x:v>
      </x:c>
      <x:c r="AF458" s="60" t="n">
        <x:v>41.933869</x:v>
      </x:c>
      <x:c r="AG458" s="60" t="n">
        <x:v>-88.766428</x:v>
      </x:c>
      <x:c r="AH458" s="44" t="str">
        <x:v>Undergraduate tuition-contribution proxy only; not an audited total institutional budget.</x:v>
      </x:c>
    </x:row>
    <x:row r="459">
      <x:c r="A459" s="16" t="n">
        <x:v>147767</x:v>
      </x:c>
      <x:c r="B459" s="16" t="str">
        <x:v>Northwestern University</x:v>
      </x:c>
      <x:c r="C459" s="16" t="str">
        <x:v>IL</x:v>
      </x:c>
      <x:c r="D459" s="16" t="str">
        <x:v>Private nonprofit</x:v>
      </x:c>
      <x:c r="E459" s="34" t="n">
        <x:v>8576</x:v>
      </x:c>
      <x:c r="F459" s="21" t="n">
        <x:v>0.0697</x:v>
      </x:c>
      <x:c r="G459" s="16" t="str">
        <x:v>National</x:v>
      </x:c>
      <x:c r="H459" s="36" t="n">
        <x:f>IF(G459="National",Assumptions!$B$11,IF(G459="Statewide",Assumptions!$B$12,Assumptions!$B$13))</x:f>
        <x:v>0.25</x:v>
      </x:c>
      <x:c r="I459" s="21" t="n">
        <x:v>-0.10579172815953353</x:v>
      </x:c>
      <x:c r="J459" s="21" t="n">
        <x:v>-0.14326338144775208</x:v>
      </x:c>
      <x:c r="K459" s="21" t="n">
        <x:v>-0.2868003311615852</x:v>
      </x:c>
      <x:c r="L459" s="36" t="n">
        <x:f>IF(Assumptions!$B$4=2030,I459,IF(Assumptions!$B$4=2035,J459,K459))</x:f>
        <x:v>-0.14326338144775208</x:v>
      </x:c>
      <x:c r="M459" s="36" t="n">
        <x:f>Assumptions!$B$19</x:f>
        <x:v>-0.04739891965741583</x:v>
      </x:c>
      <x:c r="N459" s="52" t="n">
        <x:f>H459*L459+(1-H459)*M459+O459</x:f>
        <x:v>-0.07136503510499989</x:v>
      </x:c>
      <x:c r="O459" s="36" t="n">
        <x:f>Assumptions!$B$10</x:f>
        <x:v>0</x:v>
      </x:c>
      <x:c r="P459" s="54" t="n">
        <x:f>E459*(1+N459)</x:f>
        <x:v>7963.973458939521</x:v>
      </x:c>
      <x:c r="Q459" s="54" t="n">
        <x:f>P459-E459</x:f>
        <x:v>-612.0265410604788</x:v>
      </x:c>
      <x:c r="R459" s="16" t="str">
        <x:v>Yes</x:v>
      </x:c>
      <x:c r="S459" s="56" t="n">
        <x:v>31160</x:v>
      </x:c>
      <x:c r="T459" s="56" t="n">
        <x:v>37609</x:v>
      </x:c>
      <x:c r="U459" s="40" t="n">
        <x:f>E459*Assumptions!$B$8</x:f>
        <x:v>7289.599999999999</x:v>
      </x:c>
      <x:c r="V459" s="40" t="n">
        <x:f>P459*Assumptions!$B$8</x:f>
        <x:v>6769.377440098593</x:v>
      </x:c>
      <x:c r="W459" s="54" t="n">
        <x:f>V459-U459</x:f>
        <x:v>-520.2225599014064</x:v>
      </x:c>
      <x:c r="X459" s="58" t="n">
        <x:f>IF(R459="No","",W459*S459)</x:f>
        <x:v>-16210134.966527823</x:v>
      </x:c>
      <x:c r="Y459" s="58" t="n">
        <x:f>IF(R459="No","",W459*T459*Assumptions!$B$9)</x:f>
        <x:v>-5869515.076599598</x:v>
      </x:c>
      <x:c r="Z459" s="58" t="n">
        <x:f>IF(R459="No","",X459-Y459)</x:f>
        <x:v>-10340619.889928225</x:v>
      </x:c>
      <x:c r="AA459" s="58" t="n">
        <x:f>IF(R459="No","",MAX(0,-Z459))</x:f>
        <x:v>10340619.889928225</x:v>
      </x:c>
      <x:c r="AB459" s="52" t="n">
        <x:f>IF(OR(R459="No",U459*S459=0),"",AA459/(U459*S459))</x:f>
        <x:v>0.04552452542659218</x:v>
      </x:c>
      <x:c r="AC459" s="54" t="n">
        <x:f>IF(OR(R459="No",S459-T459*Assumptions!$B$9&lt;=0),"",AA459/(Assumptions!$B$8*(S459-T459*Assumptions!$B$9)))</x:f>
        <x:v>612.026541060478</x:v>
      </x:c>
      <x:c r="AD459" s="52" t="n">
        <x:f>IF(OR(R459="No",U459*S459=0),"",AA459/(U459*S459))</x:f>
        <x:v>0.04552452542659218</x:v>
      </x:c>
      <x:c r="AE459" s="50" t="str">
        <x:f>IF(R459="No","No finance data",IF(AB459&gt;=10%,"Severe",IF(AB459&gt;=5%,"High",IF(AB459&gt;=2%,"Moderate","Low"))))</x:f>
        <x:v>Moderate</x:v>
      </x:c>
      <x:c r="AF459" s="60" t="n">
        <x:v>42.050356</x:v>
      </x:c>
      <x:c r="AG459" s="60" t="n">
        <x:v>-87.679858</x:v>
      </x:c>
      <x:c r="AH459" s="44" t="str">
        <x:v>Undergraduate tuition-contribution proxy only; not an audited total institutional budget.</x:v>
      </x:c>
    </x:row>
    <x:row r="460">
      <x:c r="A460" s="16" t="n">
        <x:v>147828</x:v>
      </x:c>
      <x:c r="B460" s="16" t="str">
        <x:v>Olivet Nazarene University</x:v>
      </x:c>
      <x:c r="C460" s="16" t="str">
        <x:v>IL</x:v>
      </x:c>
      <x:c r="D460" s="16" t="str">
        <x:v>Private nonprofit</x:v>
      </x:c>
      <x:c r="E460" s="34" t="n">
        <x:v>3389</x:v>
      </x:c>
      <x:c r="F460" s="21" t="n">
        <x:v>0.6055</x:v>
      </x:c>
      <x:c r="G460" s="16" t="str">
        <x:v>Regional</x:v>
      </x:c>
      <x:c r="H460" s="36" t="n">
        <x:f>IF(G460="National",Assumptions!$B$11,IF(G460="Statewide",Assumptions!$B$12,Assumptions!$B$13))</x:f>
        <x:v>0.85</x:v>
      </x:c>
      <x:c r="I460" s="21" t="n">
        <x:v>-0.10579172815953353</x:v>
      </x:c>
      <x:c r="J460" s="21" t="n">
        <x:v>-0.14326338144775208</x:v>
      </x:c>
      <x:c r="K460" s="21" t="n">
        <x:v>-0.2868003311615852</x:v>
      </x:c>
      <x:c r="L460" s="36" t="n">
        <x:f>IF(Assumptions!$B$4=2030,I460,IF(Assumptions!$B$4=2035,J460,K460))</x:f>
        <x:v>-0.14326338144775208</x:v>
      </x:c>
      <x:c r="M460" s="36" t="n">
        <x:f>Assumptions!$B$19</x:f>
        <x:v>-0.04739891965741583</x:v>
      </x:c>
      <x:c r="N460" s="52" t="n">
        <x:f>H460*L460+(1-H460)*M460+O460</x:f>
        <x:v>-0.12888371217920164</x:v>
      </x:c>
      <x:c r="O460" s="36" t="n">
        <x:f>Assumptions!$B$10</x:f>
        <x:v>0</x:v>
      </x:c>
      <x:c r="P460" s="54" t="n">
        <x:f>E460*(1+N460)</x:f>
        <x:v>2952.2130994246854</x:v>
      </x:c>
      <x:c r="Q460" s="54" t="n">
        <x:f>P460-E460</x:f>
        <x:v>-436.7869005753146</x:v>
      </x:c>
      <x:c r="R460" s="16" t="str">
        <x:v>Yes</x:v>
      </x:c>
      <x:c r="S460" s="56" t="n">
        <x:v>12829</x:v>
      </x:c>
      <x:c r="T460" s="56" t="n">
        <x:v>7826</x:v>
      </x:c>
      <x:c r="U460" s="40" t="n">
        <x:f>E460*Assumptions!$B$8</x:f>
        <x:v>2880.65</x:v>
      </x:c>
      <x:c r="V460" s="40" t="n">
        <x:f>P460*Assumptions!$B$8</x:f>
        <x:v>2509.3811345109825</x:v>
      </x:c>
      <x:c r="W460" s="54" t="n">
        <x:f>V460-U460</x:f>
        <x:v>-371.26886548901757</x:v>
      </x:c>
      <x:c r="X460" s="58" t="n">
        <x:f>IF(R460="No","",W460*S460)</x:f>
        <x:v>-4763008.275358606</x:v>
      </x:c>
      <x:c r="Y460" s="58" t="n">
        <x:f>IF(R460="No","",W460*T460*Assumptions!$B$9)</x:f>
        <x:v>-871665.0423951154</x:v>
      </x:c>
      <x:c r="Z460" s="58" t="n">
        <x:f>IF(R460="No","",X460-Y460)</x:f>
        <x:v>-3891343.2329634908</x:v>
      </x:c>
      <x:c r="AA460" s="58" t="n">
        <x:f>IF(R460="No","",MAX(0,-Z460))</x:f>
        <x:v>3891343.2329634908</x:v>
      </x:c>
      <x:c r="AB460" s="52" t="n">
        <x:f>IF(OR(R460="No",U460*S460=0),"",AA460/(U460*S460))</x:f>
        <x:v>0.1052970585464689</x:v>
      </x:c>
      <x:c r="AC460" s="54" t="n">
        <x:f>IF(OR(R460="No",S460-T460*Assumptions!$B$9&lt;=0),"",AA460/(Assumptions!$B$8*(S460-T460*Assumptions!$B$9)))</x:f>
        <x:v>436.78690057531475</x:v>
      </x:c>
      <x:c r="AD460" s="52" t="n">
        <x:f>IF(OR(R460="No",U460*S460=0),"",AA460/(U460*S460))</x:f>
        <x:v>0.1052970585464689</x:v>
      </x:c>
      <x:c r="AE460" s="50" t="str">
        <x:f>IF(R460="No","No finance data",IF(AB460&gt;=10%,"Severe",IF(AB460&gt;=5%,"High",IF(AB460&gt;=2%,"Moderate","Low"))))</x:f>
        <x:v>Severe</x:v>
      </x:c>
      <x:c r="AF460" s="60" t="n">
        <x:v>41.155237</x:v>
      </x:c>
      <x:c r="AG460" s="60" t="n">
        <x:v>-87.875165</x:v>
      </x:c>
      <x:c r="AH460" s="44" t="str">
        <x:v>Undergraduate tuition-contribution proxy only; not an audited total institutional budget.</x:v>
      </x:c>
    </x:row>
    <x:row r="461">
      <x:c r="A461" s="16" t="n">
        <x:v>148131</x:v>
      </x:c>
      <x:c r="B461" s="16" t="str">
        <x:v>Quincy University</x:v>
      </x:c>
      <x:c r="C461" s="16" t="str">
        <x:v>IL</x:v>
      </x:c>
      <x:c r="D461" s="16" t="str">
        <x:v>Private nonprofit</x:v>
      </x:c>
      <x:c r="E461" s="34" t="n">
        <x:v>1065</x:v>
      </x:c>
      <x:c r="F461" s="21" t="n">
        <x:v>0.598</x:v>
      </x:c>
      <x:c r="G461" s="16" t="str">
        <x:v>Regional</x:v>
      </x:c>
      <x:c r="H461" s="36" t="n">
        <x:f>IF(G461="National",Assumptions!$B$11,IF(G461="Statewide",Assumptions!$B$12,Assumptions!$B$13))</x:f>
        <x:v>0.85</x:v>
      </x:c>
      <x:c r="I461" s="21" t="n">
        <x:v>-0.10579172815953353</x:v>
      </x:c>
      <x:c r="J461" s="21" t="n">
        <x:v>-0.14326338144775208</x:v>
      </x:c>
      <x:c r="K461" s="21" t="n">
        <x:v>-0.2868003311615852</x:v>
      </x:c>
      <x:c r="L461" s="36" t="n">
        <x:f>IF(Assumptions!$B$4=2030,I461,IF(Assumptions!$B$4=2035,J461,K461))</x:f>
        <x:v>-0.14326338144775208</x:v>
      </x:c>
      <x:c r="M461" s="36" t="n">
        <x:f>Assumptions!$B$19</x:f>
        <x:v>-0.04739891965741583</x:v>
      </x:c>
      <x:c r="N461" s="52" t="n">
        <x:f>H461*L461+(1-H461)*M461+O461</x:f>
        <x:v>-0.12888371217920164</x:v>
      </x:c>
      <x:c r="O461" s="36" t="n">
        <x:f>Assumptions!$B$10</x:f>
        <x:v>0</x:v>
      </x:c>
      <x:c r="P461" s="54" t="n">
        <x:f>E461*(1+N461)</x:f>
        <x:v>927.7388465291502</x:v>
      </x:c>
      <x:c r="Q461" s="54" t="n">
        <x:f>P461-E461</x:f>
        <x:v>-137.26115347084976</x:v>
      </x:c>
      <x:c r="R461" s="16" t="str">
        <x:v>Yes</x:v>
      </x:c>
      <x:c r="S461" s="56" t="n">
        <x:v>8330</x:v>
      </x:c>
      <x:c r="T461" s="56" t="n">
        <x:v>6207</x:v>
      </x:c>
      <x:c r="U461" s="40" t="n">
        <x:f>E461*Assumptions!$B$8</x:f>
        <x:v>905.25</x:v>
      </x:c>
      <x:c r="V461" s="40" t="n">
        <x:f>P461*Assumptions!$B$8</x:f>
        <x:v>788.5780195497777</x:v>
      </x:c>
      <x:c r="W461" s="54" t="n">
        <x:f>V461-U461</x:f>
        <x:v>-116.67198045022235</x:v>
      </x:c>
      <x:c r="X461" s="58" t="n">
        <x:f>IF(R461="No","",W461*S461)</x:f>
        <x:v>-971877.5971503522</x:v>
      </x:c>
      <x:c r="Y461" s="58" t="n">
        <x:f>IF(R461="No","",W461*T461*Assumptions!$B$9)</x:f>
        <x:v>-217254.89479635903</x:v>
      </x:c>
      <x:c r="Z461" s="58" t="n">
        <x:f>IF(R461="No","",X461-Y461)</x:f>
        <x:v>-754622.7023539932</x:v>
      </x:c>
      <x:c r="AA461" s="58" t="n">
        <x:f>IF(R461="No","",MAX(0,-Z461))</x:f>
        <x:v>754622.7023539932</x:v>
      </x:c>
      <x:c r="AB461" s="52" t="n">
        <x:f>IF(OR(R461="No",U461*S461=0),"",AA461/(U461*S461))</x:f>
        <x:v>0.10007286458629758</x:v>
      </x:c>
      <x:c r="AC461" s="54" t="n">
        <x:f>IF(OR(R461="No",S461-T461*Assumptions!$B$9&lt;=0),"",AA461/(Assumptions!$B$8*(S461-T461*Assumptions!$B$9)))</x:f>
        <x:v>137.26115347084985</x:v>
      </x:c>
      <x:c r="AD461" s="52" t="n">
        <x:f>IF(OR(R461="No",U461*S461=0),"",AA461/(U461*S461))</x:f>
        <x:v>0.10007286458629758</x:v>
      </x:c>
      <x:c r="AE461" s="50" t="str">
        <x:f>IF(R461="No","No finance data",IF(AB461&gt;=10%,"Severe",IF(AB461&gt;=5%,"High",IF(AB461&gt;=2%,"Moderate","Low"))))</x:f>
        <x:v>Severe</x:v>
      </x:c>
      <x:c r="AF461" s="60" t="n">
        <x:v>39.938898</x:v>
      </x:c>
      <x:c r="AG461" s="60" t="n">
        <x:v>-91.385975</x:v>
      </x:c>
      <x:c r="AH461" s="44" t="str">
        <x:v>Undergraduate tuition-contribution proxy only; not an audited total institutional budget.</x:v>
      </x:c>
    </x:row>
    <x:row r="462">
      <x:c r="A462" s="16" t="n">
        <x:v>149763</x:v>
      </x:c>
      <x:c r="B462" s="16" t="str">
        <x:v>Resurrection University</x:v>
      </x:c>
      <x:c r="C462" s="16" t="str">
        <x:v>IL</x:v>
      </x:c>
      <x:c r="D462" s="16" t="str">
        <x:v>Private nonprofit</x:v>
      </x:c>
      <x:c r="E462" s="34" t="n">
        <x:v>435</x:v>
      </x:c>
      <x:c r="F462" s="21"/>
      <x:c r="G462" s="16" t="str">
        <x:v>Regional</x:v>
      </x:c>
      <x:c r="H462" s="36" t="n">
        <x:f>IF(G462="National",Assumptions!$B$11,IF(G462="Statewide",Assumptions!$B$12,Assumptions!$B$13))</x:f>
        <x:v>0.85</x:v>
      </x:c>
      <x:c r="I462" s="21" t="n">
        <x:v>-0.10579172815953353</x:v>
      </x:c>
      <x:c r="J462" s="21" t="n">
        <x:v>-0.14326338144775208</x:v>
      </x:c>
      <x:c r="K462" s="21" t="n">
        <x:v>-0.2868003311615852</x:v>
      </x:c>
      <x:c r="L462" s="36" t="n">
        <x:f>IF(Assumptions!$B$4=2030,I462,IF(Assumptions!$B$4=2035,J462,K462))</x:f>
        <x:v>-0.14326338144775208</x:v>
      </x:c>
      <x:c r="M462" s="36" t="n">
        <x:f>Assumptions!$B$19</x:f>
        <x:v>-0.04739891965741583</x:v>
      </x:c>
      <x:c r="N462" s="52" t="n">
        <x:f>H462*L462+(1-H462)*M462+O462</x:f>
        <x:v>-0.12888371217920164</x:v>
      </x:c>
      <x:c r="O462" s="36" t="n">
        <x:f>Assumptions!$B$10</x:f>
        <x:v>0</x:v>
      </x:c>
      <x:c r="P462" s="54" t="n">
        <x:f>E462*(1+N462)</x:f>
        <x:v>378.93558520204726</x:v>
      </x:c>
      <x:c r="Q462" s="54" t="n">
        <x:f>P462-E462</x:f>
        <x:v>-56.064414797952736</x:v>
      </x:c>
      <x:c r="R462" s="16" t="str">
        <x:v>Yes</x:v>
      </x:c>
      <x:c r="S462" s="56" t="n">
        <x:v>27527</x:v>
      </x:c>
      <x:c r="T462" s="56" t="n">
        <x:v>14561</x:v>
      </x:c>
      <x:c r="U462" s="40" t="n">
        <x:f>E462*Assumptions!$B$8</x:f>
        <x:v>369.75</x:v>
      </x:c>
      <x:c r="V462" s="40" t="n">
        <x:f>P462*Assumptions!$B$8</x:f>
        <x:v>322.09524742174017</x:v>
      </x:c>
      <x:c r="W462" s="54" t="n">
        <x:f>V462-U462</x:f>
        <x:v>-47.65475257825983</x:v>
      </x:c>
      <x:c r="X462" s="58" t="n">
        <x:f>IF(R462="No","",W462*S462)</x:f>
        <x:v>-1311792.3742217585</x:v>
      </x:c>
      <x:c r="Y462" s="58" t="n">
        <x:f>IF(R462="No","",W462*T462*Assumptions!$B$9)</x:f>
        <x:v>-208170.25568761243</x:v>
      </x:c>
      <x:c r="Z462" s="58" t="n">
        <x:f>IF(R462="No","",X462-Y462)</x:f>
        <x:v>-1103622.118534146</x:v>
      </x:c>
      <x:c r="AA462" s="58" t="n">
        <x:f>IF(R462="No","",MAX(0,-Z462))</x:f>
        <x:v>1103622.118534146</x:v>
      </x:c>
      <x:c r="AB462" s="52" t="n">
        <x:f>IF(OR(R462="No",U462*S462=0),"",AA462/(U462*S462))</x:f>
        <x:v>0.10843096687777379</x:v>
      </x:c>
      <x:c r="AC462" s="54" t="n">
        <x:f>IF(OR(R462="No",S462-T462*Assumptions!$B$9&lt;=0),"",AA462/(Assumptions!$B$8*(S462-T462*Assumptions!$B$9)))</x:f>
        <x:v>56.06441479795275</x:v>
      </x:c>
      <x:c r="AD462" s="52" t="n">
        <x:f>IF(OR(R462="No",U462*S462=0),"",AA462/(U462*S462))</x:f>
        <x:v>0.10843096687777379</x:v>
      </x:c>
      <x:c r="AE462" s="50" t="str">
        <x:f>IF(R462="No","No finance data",IF(AB462&gt;=10%,"Severe",IF(AB462&gt;=5%,"High",IF(AB462&gt;=2%,"Moderate","Low"))))</x:f>
        <x:v>Severe</x:v>
      </x:c>
      <x:c r="AF462" s="60" t="n">
        <x:v>41.848066</x:v>
      </x:c>
      <x:c r="AG462" s="60" t="n">
        <x:v>-87.930551</x:v>
      </x:c>
      <x:c r="AH462" s="44" t="str">
        <x:v>Undergraduate tuition-contribution proxy only; not an audited total institutional budget.</x:v>
      </x:c>
    </x:row>
    <x:row r="463">
      <x:c r="A463" s="16" t="n">
        <x:v>148335</x:v>
      </x:c>
      <x:c r="B463" s="16" t="str">
        <x:v>Robert Morris University Illinois</x:v>
      </x:c>
      <x:c r="C463" s="16" t="str">
        <x:v>IL</x:v>
      </x:c>
      <x:c r="D463" s="16" t="str">
        <x:v>Private nonprofit</x:v>
      </x:c>
      <x:c r="E463" s="34" t="n">
        <x:v>2681</x:v>
      </x:c>
      <x:c r="F463" s="21"/>
      <x:c r="G463" s="16" t="str">
        <x:v>Regional</x:v>
      </x:c>
      <x:c r="H463" s="36" t="n">
        <x:f>IF(G463="National",Assumptions!$B$11,IF(G463="Statewide",Assumptions!$B$12,Assumptions!$B$13))</x:f>
        <x:v>0.85</x:v>
      </x:c>
      <x:c r="I463" s="21" t="n">
        <x:v>-0.10579172815953353</x:v>
      </x:c>
      <x:c r="J463" s="21" t="n">
        <x:v>-0.14326338144775208</x:v>
      </x:c>
      <x:c r="K463" s="21" t="n">
        <x:v>-0.2868003311615852</x:v>
      </x:c>
      <x:c r="L463" s="36" t="n">
        <x:f>IF(Assumptions!$B$4=2030,I463,IF(Assumptions!$B$4=2035,J463,K463))</x:f>
        <x:v>-0.14326338144775208</x:v>
      </x:c>
      <x:c r="M463" s="36" t="n">
        <x:f>Assumptions!$B$19</x:f>
        <x:v>-0.04739891965741583</x:v>
      </x:c>
      <x:c r="N463" s="52" t="n">
        <x:f>H463*L463+(1-H463)*M463+O463</x:f>
        <x:v>-0.12888371217920164</x:v>
      </x:c>
      <x:c r="O463" s="36" t="n">
        <x:f>Assumptions!$B$10</x:f>
        <x:v>0</x:v>
      </x:c>
      <x:c r="P463" s="54" t="n">
        <x:f>E463*(1+N463)</x:f>
        <x:v>2335.46276764756</x:v>
      </x:c>
      <x:c r="Q463" s="54" t="n">
        <x:f>P463-E463</x:f>
        <x:v>-345.5372323524398</x:v>
      </x:c>
      <x:c r="R463" s="16" t="str">
        <x:v>No</x:v>
      </x:c>
      <x:c r="S463" s="56"/>
      <x:c r="T463" s="56"/>
      <x:c r="U463" s="40" t="n">
        <x:f>E463*Assumptions!$B$8</x:f>
        <x:v>2278.85</x:v>
      </x:c>
      <x:c r="V463" s="40" t="n">
        <x:f>P463*Assumptions!$B$8</x:f>
        <x:v>1985.143352500426</x:v>
      </x:c>
      <x:c r="W463" s="54" t="n">
        <x:f>V463-U463</x:f>
        <x:v>-293.7066474995738</x:v>
      </x:c>
      <x:c r="X463" s="58" t="str">
        <x:f>IF(R463="No","",W463*S463)</x:f>
      </x:c>
      <x:c r="Y463" s="58" t="str">
        <x:f>IF(R463="No","",W463*T463*Assumptions!$B$9)</x:f>
      </x:c>
      <x:c r="Z463" s="58" t="str">
        <x:f>IF(R463="No","",X463-Y463)</x:f>
      </x:c>
      <x:c r="AA463" s="58" t="str">
        <x:f>IF(R463="No","",MAX(0,-Z463))</x:f>
      </x:c>
      <x:c r="AB463" s="52" t="str">
        <x:f>IF(OR(R463="No",U463*S463=0),"",AA463/(U463*S463))</x:f>
      </x:c>
      <x:c r="AC463" s="54" t="str">
        <x:f>IF(OR(R463="No",S463-T463*Assumptions!$B$9&lt;=0),"",AA463/(Assumptions!$B$8*(S463-T463*Assumptions!$B$9)))</x:f>
      </x:c>
      <x:c r="AD463" s="52" t="str">
        <x:f>IF(OR(R463="No",U463*S463=0),"",AA463/(U463*S463))</x:f>
      </x:c>
      <x:c r="AE463" s="50" t="str">
        <x:f>IF(R463="No","No finance data",IF(AB463&gt;=10%,"Severe",IF(AB463&gt;=5%,"High",IF(AB463&gt;=2%,"Moderate","Low"))))</x:f>
        <x:v>No finance data</x:v>
      </x:c>
      <x:c r="AF463" s="60"/>
      <x:c r="AG463" s="60"/>
      <x:c r="AH463" s="44" t="str">
        <x:v>Undergraduate tuition-contribution proxy only; not an audited total institutional budget.</x:v>
      </x:c>
    </x:row>
    <x:row r="464">
      <x:c r="A464" s="16" t="n">
        <x:v>148405</x:v>
      </x:c>
      <x:c r="B464" s="16" t="str">
        <x:v>Rockford University</x:v>
      </x:c>
      <x:c r="C464" s="16" t="str">
        <x:v>IL</x:v>
      </x:c>
      <x:c r="D464" s="16" t="str">
        <x:v>Private nonprofit</x:v>
      </x:c>
      <x:c r="E464" s="34" t="n">
        <x:v>1033</x:v>
      </x:c>
      <x:c r="F464" s="21" t="n">
        <x:v>0.6678</x:v>
      </x:c>
      <x:c r="G464" s="16" t="str">
        <x:v>Regional</x:v>
      </x:c>
      <x:c r="H464" s="36" t="n">
        <x:f>IF(G464="National",Assumptions!$B$11,IF(G464="Statewide",Assumptions!$B$12,Assumptions!$B$13))</x:f>
        <x:v>0.85</x:v>
      </x:c>
      <x:c r="I464" s="21" t="n">
        <x:v>-0.10579172815953353</x:v>
      </x:c>
      <x:c r="J464" s="21" t="n">
        <x:v>-0.14326338144775208</x:v>
      </x:c>
      <x:c r="K464" s="21" t="n">
        <x:v>-0.2868003311615852</x:v>
      </x:c>
      <x:c r="L464" s="36" t="n">
        <x:f>IF(Assumptions!$B$4=2030,I464,IF(Assumptions!$B$4=2035,J464,K464))</x:f>
        <x:v>-0.14326338144775208</x:v>
      </x:c>
      <x:c r="M464" s="36" t="n">
        <x:f>Assumptions!$B$19</x:f>
        <x:v>-0.04739891965741583</x:v>
      </x:c>
      <x:c r="N464" s="52" t="n">
        <x:f>H464*L464+(1-H464)*M464+O464</x:f>
        <x:v>-0.12888371217920164</x:v>
      </x:c>
      <x:c r="O464" s="36" t="n">
        <x:f>Assumptions!$B$10</x:f>
        <x:v>0</x:v>
      </x:c>
      <x:c r="P464" s="54" t="n">
        <x:f>E464*(1+N464)</x:f>
        <x:v>899.8631253188846</x:v>
      </x:c>
      <x:c r="Q464" s="54" t="n">
        <x:f>P464-E464</x:f>
        <x:v>-133.1368746811154</x:v>
      </x:c>
      <x:c r="R464" s="16" t="str">
        <x:v>Yes</x:v>
      </x:c>
      <x:c r="S464" s="56" t="n">
        <x:v>15353</x:v>
      </x:c>
      <x:c r="T464" s="56" t="n">
        <x:v>7191</x:v>
      </x:c>
      <x:c r="U464" s="40" t="n">
        <x:f>E464*Assumptions!$B$8</x:f>
        <x:v>878.05</x:v>
      </x:c>
      <x:c r="V464" s="40" t="n">
        <x:f>P464*Assumptions!$B$8</x:f>
        <x:v>764.8836565210519</x:v>
      </x:c>
      <x:c r="W464" s="54" t="n">
        <x:f>V464-U464</x:f>
        <x:v>-113.16634347894808</x:v>
      </x:c>
      <x:c r="X464" s="58" t="n">
        <x:f>IF(R464="No","",W464*S464)</x:f>
        <x:v>-1737442.87143229</x:v>
      </x:c>
      <x:c r="Y464" s="58" t="n">
        <x:f>IF(R464="No","",W464*T464*Assumptions!$B$9)</x:f>
        <x:v>-244133.75278713467</x:v>
      </x:c>
      <x:c r="Z464" s="58" t="n">
        <x:f>IF(R464="No","",X464-Y464)</x:f>
        <x:v>-1493309.1186451553</x:v>
      </x:c>
      <x:c r="AA464" s="58" t="n">
        <x:f>IF(R464="No","",MAX(0,-Z464))</x:f>
        <x:v>1493309.1186451553</x:v>
      </x:c>
      <x:c r="AB464" s="52" t="n">
        <x:f>IF(OR(R464="No",U464*S464=0),"",AA464/(U464*S464))</x:f>
        <x:v>0.11077384229812366</x:v>
      </x:c>
      <x:c r="AC464" s="54" t="n">
        <x:f>IF(OR(R464="No",S464-T464*Assumptions!$B$9&lt;=0),"",AA464/(Assumptions!$B$8*(S464-T464*Assumptions!$B$9)))</x:f>
        <x:v>133.1368746811154</x:v>
      </x:c>
      <x:c r="AD464" s="52" t="n">
        <x:f>IF(OR(R464="No",U464*S464=0),"",AA464/(U464*S464))</x:f>
        <x:v>0.11077384229812366</x:v>
      </x:c>
      <x:c r="AE464" s="50" t="str">
        <x:f>IF(R464="No","No finance data",IF(AB464&gt;=10%,"Severe",IF(AB464&gt;=5%,"High",IF(AB464&gt;=2%,"Moderate","Low"))))</x:f>
        <x:v>Severe</x:v>
      </x:c>
      <x:c r="AF464" s="60" t="n">
        <x:v>42.270639</x:v>
      </x:c>
      <x:c r="AG464" s="60" t="n">
        <x:v>-89.019536</x:v>
      </x:c>
      <x:c r="AH464" s="44" t="str">
        <x:v>Undergraduate tuition-contribution proxy only; not an audited total institutional budget.</x:v>
      </x:c>
    </x:row>
    <x:row r="465">
      <x:c r="A465" s="16" t="n">
        <x:v>148487</x:v>
      </x:c>
      <x:c r="B465" s="16" t="str">
        <x:v>Roosevelt University</x:v>
      </x:c>
      <x:c r="C465" s="16" t="str">
        <x:v>IL</x:v>
      </x:c>
      <x:c r="D465" s="16" t="str">
        <x:v>Private nonprofit</x:v>
      </x:c>
      <x:c r="E465" s="34" t="n">
        <x:v>3197</x:v>
      </x:c>
      <x:c r="F465" s="21" t="n">
        <x:v>0.9229</x:v>
      </x:c>
      <x:c r="G465" s="16" t="str">
        <x:v>Regional</x:v>
      </x:c>
      <x:c r="H465" s="36" t="n">
        <x:f>IF(G465="National",Assumptions!$B$11,IF(G465="Statewide",Assumptions!$B$12,Assumptions!$B$13))</x:f>
        <x:v>0.85</x:v>
      </x:c>
      <x:c r="I465" s="21" t="n">
        <x:v>-0.10579172815953353</x:v>
      </x:c>
      <x:c r="J465" s="21" t="n">
        <x:v>-0.14326338144775208</x:v>
      </x:c>
      <x:c r="K465" s="21" t="n">
        <x:v>-0.2868003311615852</x:v>
      </x:c>
      <x:c r="L465" s="36" t="n">
        <x:f>IF(Assumptions!$B$4=2030,I465,IF(Assumptions!$B$4=2035,J465,K465))</x:f>
        <x:v>-0.14326338144775208</x:v>
      </x:c>
      <x:c r="M465" s="36" t="n">
        <x:f>Assumptions!$B$19</x:f>
        <x:v>-0.04739891965741583</x:v>
      </x:c>
      <x:c r="N465" s="52" t="n">
        <x:f>H465*L465+(1-H465)*M465+O465</x:f>
        <x:v>-0.12888371217920164</x:v>
      </x:c>
      <x:c r="O465" s="36" t="n">
        <x:f>Assumptions!$B$10</x:f>
        <x:v>0</x:v>
      </x:c>
      <x:c r="P465" s="54" t="n">
        <x:f>E465*(1+N465)</x:f>
        <x:v>2784.9587721630924</x:v>
      </x:c>
      <x:c r="Q465" s="54" t="n">
        <x:f>P465-E465</x:f>
        <x:v>-412.04122783690764</x:v>
      </x:c>
      <x:c r="R465" s="16" t="str">
        <x:v>Yes</x:v>
      </x:c>
      <x:c r="S465" s="56" t="n">
        <x:v>20252</x:v>
      </x:c>
      <x:c r="T465" s="56" t="n">
        <x:v>11847</x:v>
      </x:c>
      <x:c r="U465" s="40" t="n">
        <x:f>E465*Assumptions!$B$8</x:f>
        <x:v>2717.45</x:v>
      </x:c>
      <x:c r="V465" s="40" t="n">
        <x:f>P465*Assumptions!$B$8</x:f>
        <x:v>2367.2149563386283</x:v>
      </x:c>
      <x:c r="W465" s="54" t="n">
        <x:f>V465-U465</x:f>
        <x:v>-350.2350436613715</x:v>
      </x:c>
      <x:c r="X465" s="58" t="n">
        <x:f>IF(R465="No","",W465*S465)</x:f>
        <x:v>-7092960.104230096</x:v>
      </x:c>
      <x:c r="Y465" s="58" t="n">
        <x:f>IF(R465="No","",W465*T465*Assumptions!$B$9)</x:f>
        <x:v>-1244770.3686768804</x:v>
      </x:c>
      <x:c r="Z465" s="58" t="n">
        <x:f>IF(R465="No","",X465-Y465)</x:f>
        <x:v>-5848189.735553215</x:v>
      </x:c>
      <x:c r="AA465" s="58" t="n">
        <x:f>IF(R465="No","",MAX(0,-Z465))</x:f>
        <x:v>5848189.735553215</x:v>
      </x:c>
      <x:c r="AB465" s="52" t="n">
        <x:f>IF(OR(R465="No",U465*S465=0),"",AA465/(U465*S465))</x:f>
        <x:v>0.10626542255565333</x:v>
      </x:c>
      <x:c r="AC465" s="54" t="n">
        <x:f>IF(OR(R465="No",S465-T465*Assumptions!$B$9&lt;=0),"",AA465/(Assumptions!$B$8*(S465-T465*Assumptions!$B$9)))</x:f>
        <x:v>412.04122783690764</x:v>
      </x:c>
      <x:c r="AD465" s="52" t="n">
        <x:f>IF(OR(R465="No",U465*S465=0),"",AA465/(U465*S465))</x:f>
        <x:v>0.10626542255565333</x:v>
      </x:c>
      <x:c r="AE465" s="50" t="str">
        <x:f>IF(R465="No","No finance data",IF(AB465&gt;=10%,"Severe",IF(AB465&gt;=5%,"High",IF(AB465&gt;=2%,"Moderate","Low"))))</x:f>
        <x:v>Severe</x:v>
      </x:c>
      <x:c r="AF465" s="60" t="n">
        <x:v>41.876055</x:v>
      </x:c>
      <x:c r="AG465" s="60" t="n">
        <x:v>-87.624952</x:v>
      </x:c>
      <x:c r="AH465" s="44" t="str">
        <x:v>Undergraduate tuition-contribution proxy only; not an audited total institutional budget.</x:v>
      </x:c>
    </x:row>
    <x:row r="466">
      <x:c r="A466" s="16" t="n">
        <x:v>148511</x:v>
      </x:c>
      <x:c r="B466" s="16" t="str">
        <x:v>Rush University</x:v>
      </x:c>
      <x:c r="C466" s="16" t="str">
        <x:v>IL</x:v>
      </x:c>
      <x:c r="D466" s="16" t="str">
        <x:v>Private nonprofit</x:v>
      </x:c>
      <x:c r="E466" s="34" t="n">
        <x:v>134</x:v>
      </x:c>
      <x:c r="F466" s="21"/>
      <x:c r="G466" s="16" t="str">
        <x:v>Regional</x:v>
      </x:c>
      <x:c r="H466" s="36" t="n">
        <x:f>IF(G466="National",Assumptions!$B$11,IF(G466="Statewide",Assumptions!$B$12,Assumptions!$B$13))</x:f>
        <x:v>0.85</x:v>
      </x:c>
      <x:c r="I466" s="21" t="n">
        <x:v>-0.10579172815953353</x:v>
      </x:c>
      <x:c r="J466" s="21" t="n">
        <x:v>-0.14326338144775208</x:v>
      </x:c>
      <x:c r="K466" s="21" t="n">
        <x:v>-0.2868003311615852</x:v>
      </x:c>
      <x:c r="L466" s="36" t="n">
        <x:f>IF(Assumptions!$B$4=2030,I466,IF(Assumptions!$B$4=2035,J466,K466))</x:f>
        <x:v>-0.14326338144775208</x:v>
      </x:c>
      <x:c r="M466" s="36" t="n">
        <x:f>Assumptions!$B$19</x:f>
        <x:v>-0.04739891965741583</x:v>
      </x:c>
      <x:c r="N466" s="52" t="n">
        <x:f>H466*L466+(1-H466)*M466+O466</x:f>
        <x:v>-0.12888371217920164</x:v>
      </x:c>
      <x:c r="O466" s="36" t="n">
        <x:f>Assumptions!$B$10</x:f>
        <x:v>0</x:v>
      </x:c>
      <x:c r="P466" s="54" t="n">
        <x:f>E466*(1+N466)</x:f>
        <x:v>116.72958256798697</x:v>
      </x:c>
      <x:c r="Q466" s="54" t="n">
        <x:f>P466-E466</x:f>
        <x:v>-17.270417432013033</x:v>
      </x:c>
      <x:c r="R466" s="16" t="str">
        <x:v>No</x:v>
      </x:c>
      <x:c r="S466" s="56"/>
      <x:c r="T466" s="56"/>
      <x:c r="U466" s="40" t="n">
        <x:f>E466*Assumptions!$B$8</x:f>
        <x:v>113.89999999999999</x:v>
      </x:c>
      <x:c r="V466" s="40" t="n">
        <x:f>P466*Assumptions!$B$8</x:f>
        <x:v>99.22014518278893</x:v>
      </x:c>
      <x:c r="W466" s="54" t="n">
        <x:f>V466-U466</x:f>
        <x:v>-14.679854817211066</x:v>
      </x:c>
      <x:c r="X466" s="58" t="str">
        <x:f>IF(R466="No","",W466*S466)</x:f>
      </x:c>
      <x:c r="Y466" s="58" t="str">
        <x:f>IF(R466="No","",W466*T466*Assumptions!$B$9)</x:f>
      </x:c>
      <x:c r="Z466" s="58" t="str">
        <x:f>IF(R466="No","",X466-Y466)</x:f>
      </x:c>
      <x:c r="AA466" s="58" t="str">
        <x:f>IF(R466="No","",MAX(0,-Z466))</x:f>
      </x:c>
      <x:c r="AB466" s="52" t="str">
        <x:f>IF(OR(R466="No",U466*S466=0),"",AA466/(U466*S466))</x:f>
      </x:c>
      <x:c r="AC466" s="54" t="str">
        <x:f>IF(OR(R466="No",S466-T466*Assumptions!$B$9&lt;=0),"",AA466/(Assumptions!$B$8*(S466-T466*Assumptions!$B$9)))</x:f>
      </x:c>
      <x:c r="AD466" s="52" t="str">
        <x:f>IF(OR(R466="No",U466*S466=0),"",AA466/(U466*S466))</x:f>
      </x:c>
      <x:c r="AE466" s="50" t="str">
        <x:f>IF(R466="No","No finance data",IF(AB466&gt;=10%,"Severe",IF(AB466&gt;=5%,"High",IF(AB466&gt;=2%,"Moderate","Low"))))</x:f>
        <x:v>No finance data</x:v>
      </x:c>
      <x:c r="AF466" s="60"/>
      <x:c r="AG466" s="60"/>
      <x:c r="AH466" s="44" t="str">
        <x:v>Undergraduate tuition-contribution proxy only; not an audited total institutional budget.</x:v>
      </x:c>
    </x:row>
    <x:row r="467">
      <x:c r="A467" s="16" t="n">
        <x:v>149028</x:v>
      </x:c>
      <x:c r="B467" s="16" t="str">
        <x:v>Saint Anthony College of Nursing</x:v>
      </x:c>
      <x:c r="C467" s="16" t="str">
        <x:v>IL</x:v>
      </x:c>
      <x:c r="D467" s="16" t="str">
        <x:v>Private nonprofit</x:v>
      </x:c>
      <x:c r="E467" s="34" t="n">
        <x:v>239</x:v>
      </x:c>
      <x:c r="F467" s="21"/>
      <x:c r="G467" s="16" t="str">
        <x:v>Regional</x:v>
      </x:c>
      <x:c r="H467" s="36" t="n">
        <x:f>IF(G467="National",Assumptions!$B$11,IF(G467="Statewide",Assumptions!$B$12,Assumptions!$B$13))</x:f>
        <x:v>0.85</x:v>
      </x:c>
      <x:c r="I467" s="21" t="n">
        <x:v>-0.10579172815953353</x:v>
      </x:c>
      <x:c r="J467" s="21" t="n">
        <x:v>-0.14326338144775208</x:v>
      </x:c>
      <x:c r="K467" s="21" t="n">
        <x:v>-0.2868003311615852</x:v>
      </x:c>
      <x:c r="L467" s="36" t="n">
        <x:f>IF(Assumptions!$B$4=2030,I467,IF(Assumptions!$B$4=2035,J467,K467))</x:f>
        <x:v>-0.14326338144775208</x:v>
      </x:c>
      <x:c r="M467" s="36" t="n">
        <x:f>Assumptions!$B$19</x:f>
        <x:v>-0.04739891965741583</x:v>
      </x:c>
      <x:c r="N467" s="52" t="n">
        <x:f>H467*L467+(1-H467)*M467+O467</x:f>
        <x:v>-0.12888371217920164</x:v>
      </x:c>
      <x:c r="O467" s="36" t="n">
        <x:f>Assumptions!$B$10</x:f>
        <x:v>0</x:v>
      </x:c>
      <x:c r="P467" s="54" t="n">
        <x:f>E467*(1+N467)</x:f>
        <x:v>208.1967927891708</x:v>
      </x:c>
      <x:c r="Q467" s="54" t="n">
        <x:f>P467-E467</x:f>
        <x:v>-30.803207210829214</x:v>
      </x:c>
      <x:c r="R467" s="16" t="str">
        <x:v>No</x:v>
      </x:c>
      <x:c r="S467" s="56"/>
      <x:c r="T467" s="56"/>
      <x:c r="U467" s="40" t="n">
        <x:f>E467*Assumptions!$B$8</x:f>
        <x:v>203.15</x:v>
      </x:c>
      <x:c r="V467" s="40" t="n">
        <x:f>P467*Assumptions!$B$8</x:f>
        <x:v>176.96727387079517</x:v>
      </x:c>
      <x:c r="W467" s="54" t="n">
        <x:f>V467-U467</x:f>
        <x:v>-26.182726129204838</x:v>
      </x:c>
      <x:c r="X467" s="58" t="str">
        <x:f>IF(R467="No","",W467*S467)</x:f>
      </x:c>
      <x:c r="Y467" s="58" t="str">
        <x:f>IF(R467="No","",W467*T467*Assumptions!$B$9)</x:f>
      </x:c>
      <x:c r="Z467" s="58" t="str">
        <x:f>IF(R467="No","",X467-Y467)</x:f>
      </x:c>
      <x:c r="AA467" s="58" t="str">
        <x:f>IF(R467="No","",MAX(0,-Z467))</x:f>
      </x:c>
      <x:c r="AB467" s="52" t="str">
        <x:f>IF(OR(R467="No",U467*S467=0),"",AA467/(U467*S467))</x:f>
      </x:c>
      <x:c r="AC467" s="54" t="str">
        <x:f>IF(OR(R467="No",S467-T467*Assumptions!$B$9&lt;=0),"",AA467/(Assumptions!$B$8*(S467-T467*Assumptions!$B$9)))</x:f>
      </x:c>
      <x:c r="AD467" s="52" t="str">
        <x:f>IF(OR(R467="No",U467*S467=0),"",AA467/(U467*S467))</x:f>
      </x:c>
      <x:c r="AE467" s="50" t="str">
        <x:f>IF(R467="No","No finance data",IF(AB467&gt;=10%,"Severe",IF(AB467&gt;=5%,"High",IF(AB467&gt;=2%,"Moderate","Low"))))</x:f>
        <x:v>No finance data</x:v>
      </x:c>
      <x:c r="AF467" s="60"/>
      <x:c r="AG467" s="60"/>
      <x:c r="AH467" s="44" t="str">
        <x:v>Undergraduate tuition-contribution proxy only; not an audited total institutional budget.</x:v>
      </x:c>
    </x:row>
    <x:row r="468">
      <x:c r="A468" s="16" t="n">
        <x:v>148575</x:v>
      </x:c>
      <x:c r="B468" s="16" t="str">
        <x:v>Saint Francis Medical Center College of Nursing</x:v>
      </x:c>
      <x:c r="C468" s="16" t="str">
        <x:v>IL</x:v>
      </x:c>
      <x:c r="D468" s="16" t="str">
        <x:v>Private nonprofit</x:v>
      </x:c>
      <x:c r="E468" s="34" t="n">
        <x:v>402</x:v>
      </x:c>
      <x:c r="F468" s="21"/>
      <x:c r="G468" s="16" t="str">
        <x:v>Regional</x:v>
      </x:c>
      <x:c r="H468" s="36" t="n">
        <x:f>IF(G468="National",Assumptions!$B$11,IF(G468="Statewide",Assumptions!$B$12,Assumptions!$B$13))</x:f>
        <x:v>0.85</x:v>
      </x:c>
      <x:c r="I468" s="21" t="n">
        <x:v>-0.10579172815953353</x:v>
      </x:c>
      <x:c r="J468" s="21" t="n">
        <x:v>-0.14326338144775208</x:v>
      </x:c>
      <x:c r="K468" s="21" t="n">
        <x:v>-0.2868003311615852</x:v>
      </x:c>
      <x:c r="L468" s="36" t="n">
        <x:f>IF(Assumptions!$B$4=2030,I468,IF(Assumptions!$B$4=2035,J468,K468))</x:f>
        <x:v>-0.14326338144775208</x:v>
      </x:c>
      <x:c r="M468" s="36" t="n">
        <x:f>Assumptions!$B$19</x:f>
        <x:v>-0.04739891965741583</x:v>
      </x:c>
      <x:c r="N468" s="52" t="n">
        <x:f>H468*L468+(1-H468)*M468+O468</x:f>
        <x:v>-0.12888371217920164</x:v>
      </x:c>
      <x:c r="O468" s="36" t="n">
        <x:f>Assumptions!$B$10</x:f>
        <x:v>0</x:v>
      </x:c>
      <x:c r="P468" s="54" t="n">
        <x:f>E468*(1+N468)</x:f>
        <x:v>350.1887477039609</x:v>
      </x:c>
      <x:c r="Q468" s="54" t="n">
        <x:f>P468-E468</x:f>
        <x:v>-51.81125229603907</x:v>
      </x:c>
      <x:c r="R468" s="16" t="str">
        <x:v>No</x:v>
      </x:c>
      <x:c r="S468" s="56"/>
      <x:c r="T468" s="56"/>
      <x:c r="U468" s="40" t="n">
        <x:f>E468*Assumptions!$B$8</x:f>
        <x:v>341.7</x:v>
      </x:c>
      <x:c r="V468" s="40" t="n">
        <x:f>P468*Assumptions!$B$8</x:f>
        <x:v>297.66043554836676</x:v>
      </x:c>
      <x:c r="W468" s="54" t="n">
        <x:f>V468-U468</x:f>
        <x:v>-44.039564451633225</x:v>
      </x:c>
      <x:c r="X468" s="58" t="str">
        <x:f>IF(R468="No","",W468*S468)</x:f>
      </x:c>
      <x:c r="Y468" s="58" t="str">
        <x:f>IF(R468="No","",W468*T468*Assumptions!$B$9)</x:f>
      </x:c>
      <x:c r="Z468" s="58" t="str">
        <x:f>IF(R468="No","",X468-Y468)</x:f>
      </x:c>
      <x:c r="AA468" s="58" t="str">
        <x:f>IF(R468="No","",MAX(0,-Z468))</x:f>
      </x:c>
      <x:c r="AB468" s="52" t="str">
        <x:f>IF(OR(R468="No",U468*S468=0),"",AA468/(U468*S468))</x:f>
      </x:c>
      <x:c r="AC468" s="54" t="str">
        <x:f>IF(OR(R468="No",S468-T468*Assumptions!$B$9&lt;=0),"",AA468/(Assumptions!$B$8*(S468-T468*Assumptions!$B$9)))</x:f>
      </x:c>
      <x:c r="AD468" s="52" t="str">
        <x:f>IF(OR(R468="No",U468*S468=0),"",AA468/(U468*S468))</x:f>
      </x:c>
      <x:c r="AE468" s="50" t="str">
        <x:f>IF(R468="No","No finance data",IF(AB468&gt;=10%,"Severe",IF(AB468&gt;=5%,"High",IF(AB468&gt;=2%,"Moderate","Low"))))</x:f>
        <x:v>No finance data</x:v>
      </x:c>
      <x:c r="AF468" s="60"/>
      <x:c r="AG468" s="60"/>
      <x:c r="AH468" s="44" t="str">
        <x:v>Undergraduate tuition-contribution proxy only; not an audited total institutional budget.</x:v>
      </x:c>
    </x:row>
    <x:row r="469">
      <x:c r="A469" s="16" t="n">
        <x:v>148627</x:v>
      </x:c>
      <x:c r="B469" s="16" t="str">
        <x:v>Saint Xavier University</x:v>
      </x:c>
      <x:c r="C469" s="16" t="str">
        <x:v>IL</x:v>
      </x:c>
      <x:c r="D469" s="16" t="str">
        <x:v>Private nonprofit</x:v>
      </x:c>
      <x:c r="E469" s="34" t="n">
        <x:v>2966</x:v>
      </x:c>
      <x:c r="F469" s="21" t="n">
        <x:v>0.8479</x:v>
      </x:c>
      <x:c r="G469" s="16" t="str">
        <x:v>Regional</x:v>
      </x:c>
      <x:c r="H469" s="36" t="n">
        <x:f>IF(G469="National",Assumptions!$B$11,IF(G469="Statewide",Assumptions!$B$12,Assumptions!$B$13))</x:f>
        <x:v>0.85</x:v>
      </x:c>
      <x:c r="I469" s="21" t="n">
        <x:v>-0.10579172815953353</x:v>
      </x:c>
      <x:c r="J469" s="21" t="n">
        <x:v>-0.14326338144775208</x:v>
      </x:c>
      <x:c r="K469" s="21" t="n">
        <x:v>-0.2868003311615852</x:v>
      </x:c>
      <x:c r="L469" s="36" t="n">
        <x:f>IF(Assumptions!$B$4=2030,I469,IF(Assumptions!$B$4=2035,J469,K469))</x:f>
        <x:v>-0.14326338144775208</x:v>
      </x:c>
      <x:c r="M469" s="36" t="n">
        <x:f>Assumptions!$B$19</x:f>
        <x:v>-0.04739891965741583</x:v>
      </x:c>
      <x:c r="N469" s="52" t="n">
        <x:f>H469*L469+(1-H469)*M469+O469</x:f>
        <x:v>-0.12888371217920164</x:v>
      </x:c>
      <x:c r="O469" s="36" t="n">
        <x:f>Assumptions!$B$10</x:f>
        <x:v>0</x:v>
      </x:c>
      <x:c r="P469" s="54" t="n">
        <x:f>E469*(1+N469)</x:f>
        <x:v>2583.730909676488</x:v>
      </x:c>
      <x:c r="Q469" s="54" t="n">
        <x:f>P469-E469</x:f>
        <x:v>-382.26909032351205</x:v>
      </x:c>
      <x:c r="R469" s="16" t="str">
        <x:v>Yes</x:v>
      </x:c>
      <x:c r="S469" s="56" t="n">
        <x:v>15398</x:v>
      </x:c>
      <x:c r="T469" s="56" t="n">
        <x:v>6629</x:v>
      </x:c>
      <x:c r="U469" s="40" t="n">
        <x:f>E469*Assumptions!$B$8</x:f>
        <x:v>2521.1</x:v>
      </x:c>
      <x:c r="V469" s="40" t="n">
        <x:f>P469*Assumptions!$B$8</x:f>
        <x:v>2196.171273225015</x:v>
      </x:c>
      <x:c r="W469" s="54" t="n">
        <x:f>V469-U469</x:f>
        <x:v>-324.9287267749851</x:v>
      </x:c>
      <x:c r="X469" s="58" t="n">
        <x:f>IF(R469="No","",W469*S469)</x:f>
        <x:v>-5003252.53488122</x:v>
      </x:c>
      <x:c r="Y469" s="58" t="n">
        <x:f>IF(R469="No","",W469*T469*Assumptions!$B$9)</x:f>
        <x:v>-646185.7589374128</x:v>
      </x:c>
      <x:c r="Z469" s="58" t="n">
        <x:f>IF(R469="No","",X469-Y469)</x:f>
        <x:v>-4357066.775943807</x:v>
      </x:c>
      <x:c r="AA469" s="58" t="n">
        <x:f>IF(R469="No","",MAX(0,-Z469))</x:f>
        <x:v>4357066.775943807</x:v>
      </x:c>
      <x:c r="AB469" s="52" t="n">
        <x:f>IF(OR(R469="No",U469*S469=0),"",AA469/(U469*S469))</x:f>
        <x:v>0.11223797647256577</x:v>
      </x:c>
      <x:c r="AC469" s="54" t="n">
        <x:f>IF(OR(R469="No",S469-T469*Assumptions!$B$9&lt;=0),"",AA469/(Assumptions!$B$8*(S469-T469*Assumptions!$B$9)))</x:f>
        <x:v>382.2690903235119</x:v>
      </x:c>
      <x:c r="AD469" s="52" t="n">
        <x:f>IF(OR(R469="No",U469*S469=0),"",AA469/(U469*S469))</x:f>
        <x:v>0.11223797647256577</x:v>
      </x:c>
      <x:c r="AE469" s="50" t="str">
        <x:f>IF(R469="No","No finance data",IF(AB469&gt;=10%,"Severe",IF(AB469&gt;=5%,"High",IF(AB469&gt;=2%,"Moderate","Low"))))</x:f>
        <x:v>Severe</x:v>
      </x:c>
      <x:c r="AF469" s="60" t="n">
        <x:v>41.707199</x:v>
      </x:c>
      <x:c r="AG469" s="60" t="n">
        <x:v>-87.714749</x:v>
      </x:c>
      <x:c r="AH469" s="44" t="str">
        <x:v>Undergraduate tuition-contribution proxy only; not an audited total institutional budget.</x:v>
      </x:c>
    </x:row>
    <x:row r="470">
      <x:c r="A470" s="16" t="n">
        <x:v>143048</x:v>
      </x:c>
      <x:c r="B470" s="16" t="str">
        <x:v>School of the Art Institute of Chicago</x:v>
      </x:c>
      <x:c r="C470" s="16" t="str">
        <x:v>IL</x:v>
      </x:c>
      <x:c r="D470" s="16" t="str">
        <x:v>Private nonprofit</x:v>
      </x:c>
      <x:c r="E470" s="34" t="n">
        <x:v>2843</x:v>
      </x:c>
      <x:c r="F470" s="21" t="n">
        <x:v>0.8098</x:v>
      </x:c>
      <x:c r="G470" s="16" t="str">
        <x:v>Regional</x:v>
      </x:c>
      <x:c r="H470" s="36" t="n">
        <x:f>IF(G470="National",Assumptions!$B$11,IF(G470="Statewide",Assumptions!$B$12,Assumptions!$B$13))</x:f>
        <x:v>0.85</x:v>
      </x:c>
      <x:c r="I470" s="21" t="n">
        <x:v>-0.10579172815953353</x:v>
      </x:c>
      <x:c r="J470" s="21" t="n">
        <x:v>-0.14326338144775208</x:v>
      </x:c>
      <x:c r="K470" s="21" t="n">
        <x:v>-0.2868003311615852</x:v>
      </x:c>
      <x:c r="L470" s="36" t="n">
        <x:f>IF(Assumptions!$B$4=2030,I470,IF(Assumptions!$B$4=2035,J470,K470))</x:f>
        <x:v>-0.14326338144775208</x:v>
      </x:c>
      <x:c r="M470" s="36" t="n">
        <x:f>Assumptions!$B$19</x:f>
        <x:v>-0.04739891965741583</x:v>
      </x:c>
      <x:c r="N470" s="52" t="n">
        <x:f>H470*L470+(1-H470)*M470+O470</x:f>
        <x:v>-0.12888371217920164</x:v>
      </x:c>
      <x:c r="O470" s="36" t="n">
        <x:f>Assumptions!$B$10</x:f>
        <x:v>0</x:v>
      </x:c>
      <x:c r="P470" s="54" t="n">
        <x:f>E470*(1+N470)</x:f>
        <x:v>2476.5836062745298</x:v>
      </x:c>
      <x:c r="Q470" s="54" t="n">
        <x:f>P470-E470</x:f>
        <x:v>-366.41639372547024</x:v>
      </x:c>
      <x:c r="R470" s="16" t="str">
        <x:v>Yes</x:v>
      </x:c>
      <x:c r="S470" s="56" t="n">
        <x:v>35900</x:v>
      </x:c>
      <x:c r="T470" s="56" t="n">
        <x:v>18625</x:v>
      </x:c>
      <x:c r="U470" s="40" t="n">
        <x:f>E470*Assumptions!$B$8</x:f>
        <x:v>2416.5499999999997</x:v>
      </x:c>
      <x:c r="V470" s="40" t="n">
        <x:f>P470*Assumptions!$B$8</x:f>
        <x:v>2105.0960653333505</x:v>
      </x:c>
      <x:c r="W470" s="54" t="n">
        <x:f>V470-U470</x:f>
        <x:v>-311.4539346666493</x:v>
      </x:c>
      <x:c r="X470" s="58" t="n">
        <x:f>IF(R470="No","",W470*S470)</x:f>
        <x:v>-11181196.25453271</x:v>
      </x:c>
      <x:c r="Y470" s="58" t="n">
        <x:f>IF(R470="No","",W470*T470*Assumptions!$B$9)</x:f>
        <x:v>-1740248.8599499026</x:v>
      </x:c>
      <x:c r="Z470" s="58" t="n">
        <x:f>IF(R470="No","",X470-Y470)</x:f>
        <x:v>-9440947.394582808</x:v>
      </x:c>
      <x:c r="AA470" s="58" t="n">
        <x:f>IF(R470="No","",MAX(0,-Z470))</x:f>
        <x:v>9440947.394582808</x:v>
      </x:c>
      <x:c r="AB470" s="52" t="n">
        <x:f>IF(OR(R470="No",U470*S470=0),"",AA470/(U470*S470))</x:f>
        <x:v>0.10882416505381742</x:v>
      </x:c>
      <x:c r="AC470" s="54" t="n">
        <x:f>IF(OR(R470="No",S470-T470*Assumptions!$B$9&lt;=0),"",AA470/(Assumptions!$B$8*(S470-T470*Assumptions!$B$9)))</x:f>
        <x:v>366.4163937254698</x:v>
      </x:c>
      <x:c r="AD470" s="52" t="n">
        <x:f>IF(OR(R470="No",U470*S470=0),"",AA470/(U470*S470))</x:f>
        <x:v>0.10882416505381742</x:v>
      </x:c>
      <x:c r="AE470" s="50" t="str">
        <x:f>IF(R470="No","No finance data",IF(AB470&gt;=10%,"Severe",IF(AB470&gt;=5%,"High",IF(AB470&gt;=2%,"Moderate","Low"))))</x:f>
        <x:v>Severe</x:v>
      </x:c>
      <x:c r="AF470" s="60" t="n">
        <x:v>41.88105</x:v>
      </x:c>
      <x:c r="AG470" s="60" t="n">
        <x:v>-87.625758</x:v>
      </x:c>
      <x:c r="AH470" s="44" t="str">
        <x:v>Undergraduate tuition-contribution proxy only; not an audited total institutional budget.</x:v>
      </x:c>
    </x:row>
    <x:row r="471">
      <x:c r="A471" s="16" t="n">
        <x:v>148849</x:v>
      </x:c>
      <x:c r="B471" s="16" t="str">
        <x:v>Shimer College</x:v>
      </x:c>
      <x:c r="C471" s="16" t="str">
        <x:v>IL</x:v>
      </x:c>
      <x:c r="D471" s="16" t="str">
        <x:v>Private nonprofit</x:v>
      </x:c>
      <x:c r="E471" s="34" t="n">
        <x:v>76</x:v>
      </x:c>
      <x:c r="F471" s="21"/>
      <x:c r="G471" s="16" t="str">
        <x:v>Regional</x:v>
      </x:c>
      <x:c r="H471" s="36" t="n">
        <x:f>IF(G471="National",Assumptions!$B$11,IF(G471="Statewide",Assumptions!$B$12,Assumptions!$B$13))</x:f>
        <x:v>0.85</x:v>
      </x:c>
      <x:c r="I471" s="21" t="n">
        <x:v>-0.10579172815953353</x:v>
      </x:c>
      <x:c r="J471" s="21" t="n">
        <x:v>-0.14326338144775208</x:v>
      </x:c>
      <x:c r="K471" s="21" t="n">
        <x:v>-0.2868003311615852</x:v>
      </x:c>
      <x:c r="L471" s="36" t="n">
        <x:f>IF(Assumptions!$B$4=2030,I471,IF(Assumptions!$B$4=2035,J471,K471))</x:f>
        <x:v>-0.14326338144775208</x:v>
      </x:c>
      <x:c r="M471" s="36" t="n">
        <x:f>Assumptions!$B$19</x:f>
        <x:v>-0.04739891965741583</x:v>
      </x:c>
      <x:c r="N471" s="52" t="n">
        <x:f>H471*L471+(1-H471)*M471+O471</x:f>
        <x:v>-0.12888371217920164</x:v>
      </x:c>
      <x:c r="O471" s="36" t="n">
        <x:f>Assumptions!$B$10</x:f>
        <x:v>0</x:v>
      </x:c>
      <x:c r="P471" s="54" t="n">
        <x:f>E471*(1+N471)</x:f>
        <x:v>66.20483787438067</x:v>
      </x:c>
      <x:c r="Q471" s="54" t="n">
        <x:f>P471-E471</x:f>
        <x:v>-9.795162125619328</x:v>
      </x:c>
      <x:c r="R471" s="16" t="str">
        <x:v>No</x:v>
      </x:c>
      <x:c r="S471" s="56"/>
      <x:c r="T471" s="56"/>
      <x:c r="U471" s="40" t="n">
        <x:f>E471*Assumptions!$B$8</x:f>
        <x:v>64.6</x:v>
      </x:c>
      <x:c r="V471" s="40" t="n">
        <x:f>P471*Assumptions!$B$8</x:f>
        <x:v>56.27411219322357</x:v>
      </x:c>
      <x:c r="W471" s="54" t="n">
        <x:f>V471-U471</x:f>
        <x:v>-8.325887806776421</x:v>
      </x:c>
      <x:c r="X471" s="58" t="str">
        <x:f>IF(R471="No","",W471*S471)</x:f>
      </x:c>
      <x:c r="Y471" s="58" t="str">
        <x:f>IF(R471="No","",W471*T471*Assumptions!$B$9)</x:f>
      </x:c>
      <x:c r="Z471" s="58" t="str">
        <x:f>IF(R471="No","",X471-Y471)</x:f>
      </x:c>
      <x:c r="AA471" s="58" t="str">
        <x:f>IF(R471="No","",MAX(0,-Z471))</x:f>
      </x:c>
      <x:c r="AB471" s="52" t="str">
        <x:f>IF(OR(R471="No",U471*S471=0),"",AA471/(U471*S471))</x:f>
      </x:c>
      <x:c r="AC471" s="54" t="str">
        <x:f>IF(OR(R471="No",S471-T471*Assumptions!$B$9&lt;=0),"",AA471/(Assumptions!$B$8*(S471-T471*Assumptions!$B$9)))</x:f>
      </x:c>
      <x:c r="AD471" s="52" t="str">
        <x:f>IF(OR(R471="No",U471*S471=0),"",AA471/(U471*S471))</x:f>
      </x:c>
      <x:c r="AE471" s="50" t="str">
        <x:f>IF(R471="No","No finance data",IF(AB471&gt;=10%,"Severe",IF(AB471&gt;=5%,"High",IF(AB471&gt;=2%,"Moderate","Low"))))</x:f>
        <x:v>No finance data</x:v>
      </x:c>
      <x:c r="AF471" s="60"/>
      <x:c r="AG471" s="60"/>
      <x:c r="AH471" s="44" t="str">
        <x:v>Undergraduate tuition-contribution proxy only; not an audited total institutional budget.</x:v>
      </x:c>
    </x:row>
    <x:row r="472">
      <x:c r="A472" s="16" t="n">
        <x:v>149222</x:v>
      </x:c>
      <x:c r="B472" s="16" t="str">
        <x:v>Southern Illinois University-Carbondale</x:v>
      </x:c>
      <x:c r="C472" s="16" t="str">
        <x:v>IL</x:v>
      </x:c>
      <x:c r="D472" s="16" t="str">
        <x:v>Public</x:v>
      </x:c>
      <x:c r="E472" s="34" t="n">
        <x:v>12858</x:v>
      </x:c>
      <x:c r="F472" s="21" t="n">
        <x:v>0.9515</x:v>
      </x:c>
      <x:c r="G472" s="16" t="str">
        <x:v>Statewide</x:v>
      </x:c>
      <x:c r="H472" s="36" t="n">
        <x:f>IF(G472="National",Assumptions!$B$11,IF(G472="Statewide",Assumptions!$B$12,Assumptions!$B$13))</x:f>
        <x:v>0.6</x:v>
      </x:c>
      <x:c r="I472" s="21" t="n">
        <x:v>-0.10579172815953353</x:v>
      </x:c>
      <x:c r="J472" s="21" t="n">
        <x:v>-0.14326338144775208</x:v>
      </x:c>
      <x:c r="K472" s="21" t="n">
        <x:v>-0.2868003311615852</x:v>
      </x:c>
      <x:c r="L472" s="36" t="n">
        <x:f>IF(Assumptions!$B$4=2030,I472,IF(Assumptions!$B$4=2035,J472,K472))</x:f>
        <x:v>-0.14326338144775208</x:v>
      </x:c>
      <x:c r="M472" s="36" t="n">
        <x:f>Assumptions!$B$19</x:f>
        <x:v>-0.04739891965741583</x:v>
      </x:c>
      <x:c r="N472" s="52" t="n">
        <x:f>H472*L472+(1-H472)*M472+O472</x:f>
        <x:v>-0.10491759673161757</x:v>
      </x:c>
      <x:c r="O472" s="36" t="n">
        <x:f>Assumptions!$B$10</x:f>
        <x:v>0</x:v>
      </x:c>
      <x:c r="P472" s="54" t="n">
        <x:f>E472*(1+N472)</x:f>
        <x:v>11508.96954122486</x:v>
      </x:c>
      <x:c r="Q472" s="54" t="n">
        <x:f>P472-E472</x:f>
        <x:v>-1349.0304587751398</x:v>
      </x:c>
      <x:c r="R472" s="16" t="str">
        <x:v>Yes</x:v>
      </x:c>
      <x:c r="S472" s="56" t="n">
        <x:v>10003</x:v>
      </x:c>
      <x:c r="T472" s="56" t="n">
        <x:v>22052</x:v>
      </x:c>
      <x:c r="U472" s="40" t="n">
        <x:f>E472*Assumptions!$B$8</x:f>
        <x:v>10929.3</x:v>
      </x:c>
      <x:c r="V472" s="40" t="n">
        <x:f>P472*Assumptions!$B$8</x:f>
        <x:v>9782.624110041132</x:v>
      </x:c>
      <x:c r="W472" s="54" t="n">
        <x:f>V472-U472</x:f>
        <x:v>-1146.6758899588676</x:v>
      </x:c>
      <x:c r="X472" s="58" t="n">
        <x:f>IF(R472="No","",W472*S472)</x:f>
        <x:v>-11470198.927258553</x:v>
      </x:c>
      <x:c r="Y472" s="58" t="n">
        <x:f>IF(R472="No","",W472*T472*Assumptions!$B$9)</x:f>
        <x:v>-7585949.017611884</x:v>
      </x:c>
      <x:c r="Z472" s="58" t="n">
        <x:f>IF(R472="No","",X472-Y472)</x:f>
        <x:v>-3884249.9096466694</x:v>
      </x:c>
      <x:c r="AA472" s="58" t="n">
        <x:f>IF(R472="No","",MAX(0,-Z472))</x:f>
        <x:v>3884249.9096466694</x:v>
      </x:c>
      <x:c r="AB472" s="52" t="n">
        <x:f>IF(OR(R472="No",U472*S472=0),"",AA472/(U472*S472))</x:f>
        <x:v>0.0355291279784746</x:v>
      </x:c>
      <x:c r="AC472" s="54" t="n">
        <x:f>IF(OR(R472="No",S472-T472*Assumptions!$B$9&lt;=0),"",AA472/(Assumptions!$B$8*(S472-T472*Assumptions!$B$9)))</x:f>
        <x:v>1349.0304587751386</x:v>
      </x:c>
      <x:c r="AD472" s="52" t="n">
        <x:f>IF(OR(R472="No",U472*S472=0),"",AA472/(U472*S472))</x:f>
        <x:v>0.0355291279784746</x:v>
      </x:c>
      <x:c r="AE472" s="50" t="str">
        <x:f>IF(R472="No","No finance data",IF(AB472&gt;=10%,"Severe",IF(AB472&gt;=5%,"High",IF(AB472&gt;=2%,"Moderate","Low"))))</x:f>
        <x:v>Moderate</x:v>
      </x:c>
      <x:c r="AF472" s="60" t="n">
        <x:v>37.714193</x:v>
      </x:c>
      <x:c r="AG472" s="60" t="n">
        <x:v>-89.217273</x:v>
      </x:c>
      <x:c r="AH472" s="44" t="str">
        <x:v>Undergraduate tuition-contribution proxy only; not an audited total institutional budget.</x:v>
      </x:c>
    </x:row>
    <x:row r="473">
      <x:c r="A473" s="16" t="n">
        <x:v>149231</x:v>
      </x:c>
      <x:c r="B473" s="16" t="str">
        <x:v>Southern Illinois University-Edwardsville</x:v>
      </x:c>
      <x:c r="C473" s="16" t="str">
        <x:v>IL</x:v>
      </x:c>
      <x:c r="D473" s="16" t="str">
        <x:v>Public</x:v>
      </x:c>
      <x:c r="E473" s="34" t="n">
        <x:v>11717</x:v>
      </x:c>
      <x:c r="F473" s="21" t="n">
        <x:v>0.9807</x:v>
      </x:c>
      <x:c r="G473" s="16" t="str">
        <x:v>Statewide</x:v>
      </x:c>
      <x:c r="H473" s="36" t="n">
        <x:f>IF(G473="National",Assumptions!$B$11,IF(G473="Statewide",Assumptions!$B$12,Assumptions!$B$13))</x:f>
        <x:v>0.6</x:v>
      </x:c>
      <x:c r="I473" s="21" t="n">
        <x:v>-0.10579172815953353</x:v>
      </x:c>
      <x:c r="J473" s="21" t="n">
        <x:v>-0.14326338144775208</x:v>
      </x:c>
      <x:c r="K473" s="21" t="n">
        <x:v>-0.2868003311615852</x:v>
      </x:c>
      <x:c r="L473" s="36" t="n">
        <x:f>IF(Assumptions!$B$4=2030,I473,IF(Assumptions!$B$4=2035,J473,K473))</x:f>
        <x:v>-0.14326338144775208</x:v>
      </x:c>
      <x:c r="M473" s="36" t="n">
        <x:f>Assumptions!$B$19</x:f>
        <x:v>-0.04739891965741583</x:v>
      </x:c>
      <x:c r="N473" s="52" t="n">
        <x:f>H473*L473+(1-H473)*M473+O473</x:f>
        <x:v>-0.10491759673161757</x:v>
      </x:c>
      <x:c r="O473" s="36" t="n">
        <x:f>Assumptions!$B$10</x:f>
        <x:v>0</x:v>
      </x:c>
      <x:c r="P473" s="54" t="n">
        <x:f>E473*(1+N473)</x:f>
        <x:v>10487.680519095637</x:v>
      </x:c>
      <x:c r="Q473" s="54" t="n">
        <x:f>P473-E473</x:f>
        <x:v>-1229.3194809043634</x:v>
      </x:c>
      <x:c r="R473" s="16" t="str">
        <x:v>Yes</x:v>
      </x:c>
      <x:c r="S473" s="56" t="n">
        <x:v>10172</x:v>
      </x:c>
      <x:c r="T473" s="56" t="n">
        <x:v>17873</x:v>
      </x:c>
      <x:c r="U473" s="40" t="n">
        <x:f>E473*Assumptions!$B$8</x:f>
        <x:v>9959.449999999999</x:v>
      </x:c>
      <x:c r="V473" s="40" t="n">
        <x:f>P473*Assumptions!$B$8</x:f>
        <x:v>8914.52844123129</x:v>
      </x:c>
      <x:c r="W473" s="54" t="n">
        <x:f>V473-U473</x:f>
        <x:v>-1044.9215587687086</x:v>
      </x:c>
      <x:c r="X473" s="58" t="n">
        <x:f>IF(R473="No","",W473*S473)</x:f>
        <x:v>-10628942.095795304</x:v>
      </x:c>
      <x:c r="Y473" s="58" t="n">
        <x:f>IF(R473="No","",W473*T473*Assumptions!$B$9)</x:f>
        <x:v>-5602764.905961938</x:v>
      </x:c>
      <x:c r="Z473" s="58" t="n">
        <x:f>IF(R473="No","",X473-Y473)</x:f>
        <x:v>-5026177.189833365</x:v>
      </x:c>
      <x:c r="AA473" s="58" t="n">
        <x:f>IF(R473="No","",MAX(0,-Z473))</x:f>
        <x:v>5026177.189833365</x:v>
      </x:c>
      <x:c r="AB473" s="52" t="n">
        <x:f>IF(OR(R473="No",U473*S473=0),"",AA473/(U473*S473))</x:f>
        <x:v>0.04961306842693214</x:v>
      </x:c>
      <x:c r="AC473" s="54" t="n">
        <x:f>IF(OR(R473="No",S473-T473*Assumptions!$B$9&lt;=0),"",AA473/(Assumptions!$B$8*(S473-T473*Assumptions!$B$9)))</x:f>
        <x:v>1229.319480904363</x:v>
      </x:c>
      <x:c r="AD473" s="52" t="n">
        <x:f>IF(OR(R473="No",U473*S473=0),"",AA473/(U473*S473))</x:f>
        <x:v>0.04961306842693214</x:v>
      </x:c>
      <x:c r="AE473" s="50" t="str">
        <x:f>IF(R473="No","No finance data",IF(AB473&gt;=10%,"Severe",IF(AB473&gt;=5%,"High",IF(AB473&gt;=2%,"Moderate","Low"))))</x:f>
        <x:v>Moderate</x:v>
      </x:c>
      <x:c r="AF473" s="60" t="n">
        <x:v>38.793949</x:v>
      </x:c>
      <x:c r="AG473" s="60" t="n">
        <x:v>-89.997779</x:v>
      </x:c>
      <x:c r="AH473" s="44" t="str">
        <x:v>Undergraduate tuition-contribution proxy only; not an audited total institutional budget.</x:v>
      </x:c>
    </x:row>
    <x:row r="474">
      <x:c r="A474" s="16" t="n">
        <x:v>148593</x:v>
      </x:c>
      <x:c r="B474" s="16" t="str">
        <x:v>St. John's College-Department of Nursing</x:v>
      </x:c>
      <x:c r="C474" s="16" t="str">
        <x:v>IL</x:v>
      </x:c>
      <x:c r="D474" s="16" t="str">
        <x:v>Private nonprofit</x:v>
      </x:c>
      <x:c r="E474" s="34" t="n">
        <x:v>121</x:v>
      </x:c>
      <x:c r="F474" s="21"/>
      <x:c r="G474" s="16" t="str">
        <x:v>Regional</x:v>
      </x:c>
      <x:c r="H474" s="36" t="n">
        <x:f>IF(G474="National",Assumptions!$B$11,IF(G474="Statewide",Assumptions!$B$12,Assumptions!$B$13))</x:f>
        <x:v>0.85</x:v>
      </x:c>
      <x:c r="I474" s="21" t="n">
        <x:v>-0.10579172815953353</x:v>
      </x:c>
      <x:c r="J474" s="21" t="n">
        <x:v>-0.14326338144775208</x:v>
      </x:c>
      <x:c r="K474" s="21" t="n">
        <x:v>-0.2868003311615852</x:v>
      </x:c>
      <x:c r="L474" s="36" t="n">
        <x:f>IF(Assumptions!$B$4=2030,I474,IF(Assumptions!$B$4=2035,J474,K474))</x:f>
        <x:v>-0.14326338144775208</x:v>
      </x:c>
      <x:c r="M474" s="36" t="n">
        <x:f>Assumptions!$B$19</x:f>
        <x:v>-0.04739891965741583</x:v>
      </x:c>
      <x:c r="N474" s="52" t="n">
        <x:f>H474*L474+(1-H474)*M474+O474</x:f>
        <x:v>-0.12888371217920164</x:v>
      </x:c>
      <x:c r="O474" s="36" t="n">
        <x:f>Assumptions!$B$10</x:f>
        <x:v>0</x:v>
      </x:c>
      <x:c r="P474" s="54" t="n">
        <x:f>E474*(1+N474)</x:f>
        <x:v>105.40507082631659</x:v>
      </x:c>
      <x:c r="Q474" s="54" t="n">
        <x:f>P474-E474</x:f>
        <x:v>-15.594929173683411</x:v>
      </x:c>
      <x:c r="R474" s="16" t="str">
        <x:v>No</x:v>
      </x:c>
      <x:c r="S474" s="56"/>
      <x:c r="T474" s="56"/>
      <x:c r="U474" s="40" t="n">
        <x:f>E474*Assumptions!$B$8</x:f>
        <x:v>102.85</x:v>
      </x:c>
      <x:c r="V474" s="40" t="n">
        <x:f>P474*Assumptions!$B$8</x:f>
        <x:v>89.5943102023691</x:v>
      </x:c>
      <x:c r="W474" s="54" t="n">
        <x:f>V474-U474</x:f>
        <x:v>-13.255689797630893</x:v>
      </x:c>
      <x:c r="X474" s="58" t="str">
        <x:f>IF(R474="No","",W474*S474)</x:f>
      </x:c>
      <x:c r="Y474" s="58" t="str">
        <x:f>IF(R474="No","",W474*T474*Assumptions!$B$9)</x:f>
      </x:c>
      <x:c r="Z474" s="58" t="str">
        <x:f>IF(R474="No","",X474-Y474)</x:f>
      </x:c>
      <x:c r="AA474" s="58" t="str">
        <x:f>IF(R474="No","",MAX(0,-Z474))</x:f>
      </x:c>
      <x:c r="AB474" s="52" t="str">
        <x:f>IF(OR(R474="No",U474*S474=0),"",AA474/(U474*S474))</x:f>
      </x:c>
      <x:c r="AC474" s="54" t="str">
        <x:f>IF(OR(R474="No",S474-T474*Assumptions!$B$9&lt;=0),"",AA474/(Assumptions!$B$8*(S474-T474*Assumptions!$B$9)))</x:f>
      </x:c>
      <x:c r="AD474" s="52" t="str">
        <x:f>IF(OR(R474="No",U474*S474=0),"",AA474/(U474*S474))</x:f>
      </x:c>
      <x:c r="AE474" s="50" t="str">
        <x:f>IF(R474="No","No finance data",IF(AB474&gt;=10%,"Severe",IF(AB474&gt;=5%,"High",IF(AB474&gt;=2%,"Moderate","Low"))))</x:f>
        <x:v>No finance data</x:v>
      </x:c>
      <x:c r="AF474" s="60"/>
      <x:c r="AG474" s="60"/>
      <x:c r="AH474" s="44" t="str">
        <x:v>Undergraduate tuition-contribution proxy only; not an audited total institutional budget.</x:v>
      </x:c>
    </x:row>
    <x:row r="475">
      <x:c r="A475" s="16" t="n">
        <x:v>149329</x:v>
      </x:c>
      <x:c r="B475" s="16" t="str">
        <x:v>Telshe Yeshiva-Chicago</x:v>
      </x:c>
      <x:c r="C475" s="16" t="str">
        <x:v>IL</x:v>
      </x:c>
      <x:c r="D475" s="16" t="str">
        <x:v>Private nonprofit</x:v>
      </x:c>
      <x:c r="E475" s="34" t="n">
        <x:v>70</x:v>
      </x:c>
      <x:c r="F475" s="21"/>
      <x:c r="G475" s="16" t="str">
        <x:v>Regional</x:v>
      </x:c>
      <x:c r="H475" s="36" t="n">
        <x:f>IF(G475="National",Assumptions!$B$11,IF(G475="Statewide",Assumptions!$B$12,Assumptions!$B$13))</x:f>
        <x:v>0.85</x:v>
      </x:c>
      <x:c r="I475" s="21" t="n">
        <x:v>-0.10579172815953353</x:v>
      </x:c>
      <x:c r="J475" s="21" t="n">
        <x:v>-0.14326338144775208</x:v>
      </x:c>
      <x:c r="K475" s="21" t="n">
        <x:v>-0.2868003311615852</x:v>
      </x:c>
      <x:c r="L475" s="36" t="n">
        <x:f>IF(Assumptions!$B$4=2030,I475,IF(Assumptions!$B$4=2035,J475,K475))</x:f>
        <x:v>-0.14326338144775208</x:v>
      </x:c>
      <x:c r="M475" s="36" t="n">
        <x:f>Assumptions!$B$19</x:f>
        <x:v>-0.04739891965741583</x:v>
      </x:c>
      <x:c r="N475" s="52" t="n">
        <x:f>H475*L475+(1-H475)*M475+O475</x:f>
        <x:v>-0.12888371217920164</x:v>
      </x:c>
      <x:c r="O475" s="36" t="n">
        <x:f>Assumptions!$B$10</x:f>
        <x:v>0</x:v>
      </x:c>
      <x:c r="P475" s="54" t="n">
        <x:f>E475*(1+N475)</x:f>
        <x:v>60.97814014745588</x:v>
      </x:c>
      <x:c r="Q475" s="54" t="n">
        <x:f>P475-E475</x:f>
        <x:v>-9.021859852544118</x:v>
      </x:c>
      <x:c r="R475" s="16" t="str">
        <x:v>No</x:v>
      </x:c>
      <x:c r="S475" s="56"/>
      <x:c r="T475" s="56"/>
      <x:c r="U475" s="40" t="n">
        <x:f>E475*Assumptions!$B$8</x:f>
        <x:v>59.5</x:v>
      </x:c>
      <x:c r="V475" s="40" t="n">
        <x:f>P475*Assumptions!$B$8</x:f>
        <x:v>51.8314191253375</x:v>
      </x:c>
      <x:c r="W475" s="54" t="n">
        <x:f>V475-U475</x:f>
        <x:v>-7.668580874662503</x:v>
      </x:c>
      <x:c r="X475" s="58" t="str">
        <x:f>IF(R475="No","",W475*S475)</x:f>
      </x:c>
      <x:c r="Y475" s="58" t="str">
        <x:f>IF(R475="No","",W475*T475*Assumptions!$B$9)</x:f>
      </x:c>
      <x:c r="Z475" s="58" t="str">
        <x:f>IF(R475="No","",X475-Y475)</x:f>
      </x:c>
      <x:c r="AA475" s="58" t="str">
        <x:f>IF(R475="No","",MAX(0,-Z475))</x:f>
      </x:c>
      <x:c r="AB475" s="52" t="str">
        <x:f>IF(OR(R475="No",U475*S475=0),"",AA475/(U475*S475))</x:f>
      </x:c>
      <x:c r="AC475" s="54" t="str">
        <x:f>IF(OR(R475="No",S475-T475*Assumptions!$B$9&lt;=0),"",AA475/(Assumptions!$B$8*(S475-T475*Assumptions!$B$9)))</x:f>
      </x:c>
      <x:c r="AD475" s="52" t="str">
        <x:f>IF(OR(R475="No",U475*S475=0),"",AA475/(U475*S475))</x:f>
      </x:c>
      <x:c r="AE475" s="50" t="str">
        <x:f>IF(R475="No","No finance data",IF(AB475&gt;=10%,"Severe",IF(AB475&gt;=5%,"High",IF(AB475&gt;=2%,"Moderate","Low"))))</x:f>
        <x:v>No finance data</x:v>
      </x:c>
      <x:c r="AF475" s="60"/>
      <x:c r="AG475" s="60"/>
      <x:c r="AH475" s="44" t="str">
        <x:v>Undergraduate tuition-contribution proxy only; not an audited total institutional budget.</x:v>
      </x:c>
    </x:row>
    <x:row r="476">
      <x:c r="A476" s="16" t="n">
        <x:v>149505</x:v>
      </x:c>
      <x:c r="B476" s="16" t="str">
        <x:v>Trinity Christian College</x:v>
      </x:c>
      <x:c r="C476" s="16" t="str">
        <x:v>IL</x:v>
      </x:c>
      <x:c r="D476" s="16" t="str">
        <x:v>Private nonprofit</x:v>
      </x:c>
      <x:c r="E476" s="34" t="n">
        <x:v>1152</x:v>
      </x:c>
      <x:c r="F476" s="21" t="n">
        <x:v>0.7624</x:v>
      </x:c>
      <x:c r="G476" s="16" t="str">
        <x:v>Regional</x:v>
      </x:c>
      <x:c r="H476" s="36" t="n">
        <x:f>IF(G476="National",Assumptions!$B$11,IF(G476="Statewide",Assumptions!$B$12,Assumptions!$B$13))</x:f>
        <x:v>0.85</x:v>
      </x:c>
      <x:c r="I476" s="21" t="n">
        <x:v>-0.10579172815953353</x:v>
      </x:c>
      <x:c r="J476" s="21" t="n">
        <x:v>-0.14326338144775208</x:v>
      </x:c>
      <x:c r="K476" s="21" t="n">
        <x:v>-0.2868003311615852</x:v>
      </x:c>
      <x:c r="L476" s="36" t="n">
        <x:f>IF(Assumptions!$B$4=2030,I476,IF(Assumptions!$B$4=2035,J476,K476))</x:f>
        <x:v>-0.14326338144775208</x:v>
      </x:c>
      <x:c r="M476" s="36" t="n">
        <x:f>Assumptions!$B$19</x:f>
        <x:v>-0.04739891965741583</x:v>
      </x:c>
      <x:c r="N476" s="52" t="n">
        <x:f>H476*L476+(1-H476)*M476+O476</x:f>
        <x:v>-0.12888371217920164</x:v>
      </x:c>
      <x:c r="O476" s="36" t="n">
        <x:f>Assumptions!$B$10</x:f>
        <x:v>0</x:v>
      </x:c>
      <x:c r="P476" s="54" t="n">
        <x:f>E476*(1+N476)</x:f>
        <x:v>1003.5259635695596</x:v>
      </x:c>
      <x:c r="Q476" s="54" t="n">
        <x:f>P476-E476</x:f>
        <x:v>-148.47403643044038</x:v>
      </x:c>
      <x:c r="R476" s="16" t="str">
        <x:v>Yes</x:v>
      </x:c>
      <x:c r="S476" s="56" t="n">
        <x:v>12316</x:v>
      </x:c>
      <x:c r="T476" s="56" t="n">
        <x:v>9216</x:v>
      </x:c>
      <x:c r="U476" s="40" t="n">
        <x:f>E476*Assumptions!$B$8</x:f>
        <x:v>979.1999999999999</x:v>
      </x:c>
      <x:c r="V476" s="40" t="n">
        <x:f>P476*Assumptions!$B$8</x:f>
        <x:v>852.9970690341256</x:v>
      </x:c>
      <x:c r="W476" s="54" t="n">
        <x:f>V476-U476</x:f>
        <x:v>-126.20293096587432</x:v>
      </x:c>
      <x:c r="X476" s="58" t="n">
        <x:f>IF(R476="No","",W476*S476)</x:f>
        <x:v>-1554315.2977757081</x:v>
      </x:c>
      <x:c r="Y476" s="58" t="n">
        <x:f>IF(R476="No","",W476*T476*Assumptions!$B$9)</x:f>
        <x:v>-348925.86353444925</x:v>
      </x:c>
      <x:c r="Z476" s="58" t="n">
        <x:f>IF(R476="No","",X476-Y476)</x:f>
        <x:v>-1205389.434241259</x:v>
      </x:c>
      <x:c r="AA476" s="58" t="n">
        <x:f>IF(R476="No","",MAX(0,-Z476))</x:f>
        <x:v>1205389.434241259</x:v>
      </x:c>
      <x:c r="AB476" s="52" t="n">
        <x:f>IF(OR(R476="No",U476*S476=0),"",AA476/(U476*S476))</x:f>
        <x:v>0.09995080478775509</x:v>
      </x:c>
      <x:c r="AC476" s="54" t="n">
        <x:f>IF(OR(R476="No",S476-T476*Assumptions!$B$9&lt;=0),"",AA476/(Assumptions!$B$8*(S476-T476*Assumptions!$B$9)))</x:f>
        <x:v>148.4740364304404</x:v>
      </x:c>
      <x:c r="AD476" s="52" t="n">
        <x:f>IF(OR(R476="No",U476*S476=0),"",AA476/(U476*S476))</x:f>
        <x:v>0.09995080478775509</x:v>
      </x:c>
      <x:c r="AE476" s="50" t="str">
        <x:f>IF(R476="No","No finance data",IF(AB476&gt;=10%,"Severe",IF(AB476&gt;=5%,"High",IF(AB476&gt;=2%,"Moderate","Low"))))</x:f>
        <x:v>High</x:v>
      </x:c>
      <x:c r="AF476" s="60" t="n">
        <x:v>41.667687</x:v>
      </x:c>
      <x:c r="AG476" s="60" t="n">
        <x:v>-87.783973</x:v>
      </x:c>
      <x:c r="AH476" s="44" t="str">
        <x:v>Undergraduate tuition-contribution proxy only; not an audited total institutional budget.</x:v>
      </x:c>
    </x:row>
    <x:row r="477">
      <x:c r="A477" s="16" t="n">
        <x:v>146755</x:v>
      </x:c>
      <x:c r="B477" s="16" t="str">
        <x:v>Trinity College of Nursing &amp; Health Sciences</x:v>
      </x:c>
      <x:c r="C477" s="16" t="str">
        <x:v>IL</x:v>
      </x:c>
      <x:c r="D477" s="16" t="str">
        <x:v>Private nonprofit</x:v>
      </x:c>
      <x:c r="E477" s="34" t="n">
        <x:v>217</x:v>
      </x:c>
      <x:c r="F477" s="21"/>
      <x:c r="G477" s="16" t="str">
        <x:v>Regional</x:v>
      </x:c>
      <x:c r="H477" s="36" t="n">
        <x:f>IF(G477="National",Assumptions!$B$11,IF(G477="Statewide",Assumptions!$B$12,Assumptions!$B$13))</x:f>
        <x:v>0.85</x:v>
      </x:c>
      <x:c r="I477" s="21" t="n">
        <x:v>-0.10579172815953353</x:v>
      </x:c>
      <x:c r="J477" s="21" t="n">
        <x:v>-0.14326338144775208</x:v>
      </x:c>
      <x:c r="K477" s="21" t="n">
        <x:v>-0.2868003311615852</x:v>
      </x:c>
      <x:c r="L477" s="36" t="n">
        <x:f>IF(Assumptions!$B$4=2030,I477,IF(Assumptions!$B$4=2035,J477,K477))</x:f>
        <x:v>-0.14326338144775208</x:v>
      </x:c>
      <x:c r="M477" s="36" t="n">
        <x:f>Assumptions!$B$19</x:f>
        <x:v>-0.04739891965741583</x:v>
      </x:c>
      <x:c r="N477" s="52" t="n">
        <x:f>H477*L477+(1-H477)*M477+O477</x:f>
        <x:v>-0.12888371217920164</x:v>
      </x:c>
      <x:c r="O477" s="36" t="n">
        <x:f>Assumptions!$B$10</x:f>
        <x:v>0</x:v>
      </x:c>
      <x:c r="P477" s="54" t="n">
        <x:f>E477*(1+N477)</x:f>
        <x:v>189.03223445711322</x:v>
      </x:c>
      <x:c r="Q477" s="54" t="n">
        <x:f>P477-E477</x:f>
        <x:v>-27.96776554288678</x:v>
      </x:c>
      <x:c r="R477" s="16" t="str">
        <x:v>No</x:v>
      </x:c>
      <x:c r="S477" s="56"/>
      <x:c r="T477" s="56"/>
      <x:c r="U477" s="40" t="n">
        <x:f>E477*Assumptions!$B$8</x:f>
        <x:v>184.45</x:v>
      </x:c>
      <x:c r="V477" s="40" t="n">
        <x:f>P477*Assumptions!$B$8</x:f>
        <x:v>160.67739928854624</x:v>
      </x:c>
      <x:c r="W477" s="54" t="n">
        <x:f>V477-U477</x:f>
        <x:v>-23.772600711453748</x:v>
      </x:c>
      <x:c r="X477" s="58" t="str">
        <x:f>IF(R477="No","",W477*S477)</x:f>
      </x:c>
      <x:c r="Y477" s="58" t="str">
        <x:f>IF(R477="No","",W477*T477*Assumptions!$B$9)</x:f>
      </x:c>
      <x:c r="Z477" s="58" t="str">
        <x:f>IF(R477="No","",X477-Y477)</x:f>
      </x:c>
      <x:c r="AA477" s="58" t="str">
        <x:f>IF(R477="No","",MAX(0,-Z477))</x:f>
      </x:c>
      <x:c r="AB477" s="52" t="str">
        <x:f>IF(OR(R477="No",U477*S477=0),"",AA477/(U477*S477))</x:f>
      </x:c>
      <x:c r="AC477" s="54" t="str">
        <x:f>IF(OR(R477="No",S477-T477*Assumptions!$B$9&lt;=0),"",AA477/(Assumptions!$B$8*(S477-T477*Assumptions!$B$9)))</x:f>
      </x:c>
      <x:c r="AD477" s="52" t="str">
        <x:f>IF(OR(R477="No",U477*S477=0),"",AA477/(U477*S477))</x:f>
      </x:c>
      <x:c r="AE477" s="50" t="str">
        <x:f>IF(R477="No","No finance data",IF(AB477&gt;=10%,"Severe",IF(AB477&gt;=5%,"High",IF(AB477&gt;=2%,"Moderate","Low"))))</x:f>
        <x:v>No finance data</x:v>
      </x:c>
      <x:c r="AF477" s="60"/>
      <x:c r="AG477" s="60"/>
      <x:c r="AH477" s="44" t="str">
        <x:v>Undergraduate tuition-contribution proxy only; not an audited total institutional budget.</x:v>
      </x:c>
    </x:row>
    <x:row r="478">
      <x:c r="A478" s="16" t="n">
        <x:v>149514</x:v>
      </x:c>
      <x:c r="B478" s="16" t="str">
        <x:v>Trinity International University-Illinois</x:v>
      </x:c>
      <x:c r="C478" s="16" t="str">
        <x:v>IL</x:v>
      </x:c>
      <x:c r="D478" s="16" t="str">
        <x:v>Private nonprofit</x:v>
      </x:c>
      <x:c r="E478" s="34" t="n">
        <x:v>838</x:v>
      </x:c>
      <x:c r="F478" s="21"/>
      <x:c r="G478" s="16" t="str">
        <x:v>Regional</x:v>
      </x:c>
      <x:c r="H478" s="36" t="n">
        <x:f>IF(G478="National",Assumptions!$B$11,IF(G478="Statewide",Assumptions!$B$12,Assumptions!$B$13))</x:f>
        <x:v>0.85</x:v>
      </x:c>
      <x:c r="I478" s="21" t="n">
        <x:v>-0.10579172815953353</x:v>
      </x:c>
      <x:c r="J478" s="21" t="n">
        <x:v>-0.14326338144775208</x:v>
      </x:c>
      <x:c r="K478" s="21" t="n">
        <x:v>-0.2868003311615852</x:v>
      </x:c>
      <x:c r="L478" s="36" t="n">
        <x:f>IF(Assumptions!$B$4=2030,I478,IF(Assumptions!$B$4=2035,J478,K478))</x:f>
        <x:v>-0.14326338144775208</x:v>
      </x:c>
      <x:c r="M478" s="36" t="n">
        <x:f>Assumptions!$B$19</x:f>
        <x:v>-0.04739891965741583</x:v>
      </x:c>
      <x:c r="N478" s="52" t="n">
        <x:f>H478*L478+(1-H478)*M478+O478</x:f>
        <x:v>-0.12888371217920164</x:v>
      </x:c>
      <x:c r="O478" s="36" t="n">
        <x:f>Assumptions!$B$10</x:f>
        <x:v>0</x:v>
      </x:c>
      <x:c r="P478" s="54" t="n">
        <x:f>E478*(1+N478)</x:f>
        <x:v>729.995449193829</x:v>
      </x:c>
      <x:c r="Q478" s="54" t="n">
        <x:f>P478-E478</x:f>
        <x:v>-108.00455080617098</x:v>
      </x:c>
      <x:c r="R478" s="16" t="str">
        <x:v>No</x:v>
      </x:c>
      <x:c r="S478" s="56"/>
      <x:c r="T478" s="56"/>
      <x:c r="U478" s="40" t="n">
        <x:f>E478*Assumptions!$B$8</x:f>
        <x:v>712.3</x:v>
      </x:c>
      <x:c r="V478" s="40" t="n">
        <x:f>P478*Assumptions!$B$8</x:f>
        <x:v>620.4961318147547</x:v>
      </x:c>
      <x:c r="W478" s="54" t="n">
        <x:f>V478-U478</x:f>
        <x:v>-91.80386818524528</x:v>
      </x:c>
      <x:c r="X478" s="58" t="str">
        <x:f>IF(R478="No","",W478*S478)</x:f>
      </x:c>
      <x:c r="Y478" s="58" t="str">
        <x:f>IF(R478="No","",W478*T478*Assumptions!$B$9)</x:f>
      </x:c>
      <x:c r="Z478" s="58" t="str">
        <x:f>IF(R478="No","",X478-Y478)</x:f>
      </x:c>
      <x:c r="AA478" s="58" t="str">
        <x:f>IF(R478="No","",MAX(0,-Z478))</x:f>
      </x:c>
      <x:c r="AB478" s="52" t="str">
        <x:f>IF(OR(R478="No",U478*S478=0),"",AA478/(U478*S478))</x:f>
      </x:c>
      <x:c r="AC478" s="54" t="str">
        <x:f>IF(OR(R478="No",S478-T478*Assumptions!$B$9&lt;=0),"",AA478/(Assumptions!$B$8*(S478-T478*Assumptions!$B$9)))</x:f>
      </x:c>
      <x:c r="AD478" s="52" t="str">
        <x:f>IF(OR(R478="No",U478*S478=0),"",AA478/(U478*S478))</x:f>
      </x:c>
      <x:c r="AE478" s="50" t="str">
        <x:f>IF(R478="No","No finance data",IF(AB478&gt;=10%,"Severe",IF(AB478&gt;=5%,"High",IF(AB478&gt;=2%,"Moderate","Low"))))</x:f>
        <x:v>No finance data</x:v>
      </x:c>
      <x:c r="AF478" s="60"/>
      <x:c r="AG478" s="60"/>
      <x:c r="AH478" s="44" t="str">
        <x:v>Undergraduate tuition-contribution proxy only; not an audited total institutional budget.</x:v>
      </x:c>
    </x:row>
    <x:row r="479">
      <x:c r="A479" s="16" t="n">
        <x:v>144050</x:v>
      </x:c>
      <x:c r="B479" s="16" t="str">
        <x:v>University of Chicago</x:v>
      </x:c>
      <x:c r="C479" s="16" t="str">
        <x:v>IL</x:v>
      </x:c>
      <x:c r="D479" s="16" t="str">
        <x:v>Private nonprofit</x:v>
      </x:c>
      <x:c r="E479" s="34" t="n">
        <x:v>5869</x:v>
      </x:c>
      <x:c r="F479" s="21" t="n">
        <x:v>0.0648</x:v>
      </x:c>
      <x:c r="G479" s="16" t="str">
        <x:v>National</x:v>
      </x:c>
      <x:c r="H479" s="36" t="n">
        <x:f>IF(G479="National",Assumptions!$B$11,IF(G479="Statewide",Assumptions!$B$12,Assumptions!$B$13))</x:f>
        <x:v>0.25</x:v>
      </x:c>
      <x:c r="I479" s="21" t="n">
        <x:v>-0.10579172815953353</x:v>
      </x:c>
      <x:c r="J479" s="21" t="n">
        <x:v>-0.14326338144775208</x:v>
      </x:c>
      <x:c r="K479" s="21" t="n">
        <x:v>-0.2868003311615852</x:v>
      </x:c>
      <x:c r="L479" s="36" t="n">
        <x:f>IF(Assumptions!$B$4=2030,I479,IF(Assumptions!$B$4=2035,J479,K479))</x:f>
        <x:v>-0.14326338144775208</x:v>
      </x:c>
      <x:c r="M479" s="36" t="n">
        <x:f>Assumptions!$B$19</x:f>
        <x:v>-0.04739891965741583</x:v>
      </x:c>
      <x:c r="N479" s="52" t="n">
        <x:f>H479*L479+(1-H479)*M479+O479</x:f>
        <x:v>-0.07136503510499989</x:v>
      </x:c>
      <x:c r="O479" s="36" t="n">
        <x:f>Assumptions!$B$10</x:f>
        <x:v>0</x:v>
      </x:c>
      <x:c r="P479" s="54" t="n">
        <x:f>E479*(1+N479)</x:f>
        <x:v>5450.158608968755</x:v>
      </x:c>
      <x:c r="Q479" s="54" t="n">
        <x:f>P479-E479</x:f>
        <x:v>-418.8413910312447</x:v>
      </x:c>
      <x:c r="R479" s="16" t="str">
        <x:v>Yes</x:v>
      </x:c>
      <x:c r="S479" s="56" t="n">
        <x:v>31559</x:v>
      </x:c>
      <x:c r="T479" s="56" t="n">
        <x:v>78564</x:v>
      </x:c>
      <x:c r="U479" s="40" t="n">
        <x:f>E479*Assumptions!$B$8</x:f>
        <x:v>4988.65</x:v>
      </x:c>
      <x:c r="V479" s="40" t="n">
        <x:f>P479*Assumptions!$B$8</x:f>
        <x:v>4632.634817623441</x:v>
      </x:c>
      <x:c r="W479" s="54" t="n">
        <x:f>V479-U479</x:f>
        <x:v>-356.0151823765582</x:v>
      </x:c>
      <x:c r="X479" s="58" t="n">
        <x:f>IF(R479="No","",W479*S479)</x:f>
        <x:v>-11235483.1406218</x:v>
      </x:c>
      <x:c r="Y479" s="58" t="n">
        <x:f>IF(R479="No","",W479*T479*Assumptions!$B$9)</x:f>
        <x:v>-8390993.036469575</x:v>
      </x:c>
      <x:c r="Z479" s="58" t="n">
        <x:f>IF(R479="No","",X479-Y479)</x:f>
        <x:v>-2844490.104152225</x:v>
      </x:c>
      <x:c r="AA479" s="58" t="n">
        <x:f>IF(R479="No","",MAX(0,-Z479))</x:f>
        <x:v>2844490.104152225</x:v>
      </x:c>
      <x:c r="AB479" s="52" t="n">
        <x:f>IF(OR(R479="No",U479*S479=0),"",AA479/(U479*S479))</x:f>
        <x:v>0.01806750396026265</x:v>
      </x:c>
      <x:c r="AC479" s="54" t="n">
        <x:f>IF(OR(R479="No",S479-T479*Assumptions!$B$9&lt;=0),"",AA479/(Assumptions!$B$8*(S479-T479*Assumptions!$B$9)))</x:f>
        <x:v>418.84139103124505</x:v>
      </x:c>
      <x:c r="AD479" s="52" t="n">
        <x:f>IF(OR(R479="No",U479*S479=0),"",AA479/(U479*S479))</x:f>
        <x:v>0.01806750396026265</x:v>
      </x:c>
      <x:c r="AE479" s="50" t="str">
        <x:f>IF(R479="No","No finance data",IF(AB479&gt;=10%,"Severe",IF(AB479&gt;=5%,"High",IF(AB479&gt;=2%,"Moderate","Low"))))</x:f>
        <x:v>Low</x:v>
      </x:c>
      <x:c r="AF479" s="60" t="n">
        <x:v>41.787994</x:v>
      </x:c>
      <x:c r="AG479" s="60" t="n">
        <x:v>-87.599539</x:v>
      </x:c>
      <x:c r="AH479" s="44" t="str">
        <x:v>Undergraduate tuition-contribution proxy only; not an audited total institutional budget.</x:v>
      </x:c>
    </x:row>
    <x:row r="480">
      <x:c r="A480" s="16" t="n">
        <x:v>145600</x:v>
      </x:c>
      <x:c r="B480" s="16" t="str">
        <x:v>University of Illinois at Chicago</x:v>
      </x:c>
      <x:c r="C480" s="16" t="str">
        <x:v>IL</x:v>
      </x:c>
      <x:c r="D480" s="16" t="str">
        <x:v>Public</x:v>
      </x:c>
      <x:c r="E480" s="34" t="n">
        <x:v>17368</x:v>
      </x:c>
      <x:c r="F480" s="21" t="n">
        <x:v>0.788</x:v>
      </x:c>
      <x:c r="G480" s="16" t="str">
        <x:v>Statewide</x:v>
      </x:c>
      <x:c r="H480" s="36" t="n">
        <x:f>IF(G480="National",Assumptions!$B$11,IF(G480="Statewide",Assumptions!$B$12,Assumptions!$B$13))</x:f>
        <x:v>0.6</x:v>
      </x:c>
      <x:c r="I480" s="21" t="n">
        <x:v>-0.10579172815953353</x:v>
      </x:c>
      <x:c r="J480" s="21" t="n">
        <x:v>-0.14326338144775208</x:v>
      </x:c>
      <x:c r="K480" s="21" t="n">
        <x:v>-0.2868003311615852</x:v>
      </x:c>
      <x:c r="L480" s="36" t="n">
        <x:f>IF(Assumptions!$B$4=2030,I480,IF(Assumptions!$B$4=2035,J480,K480))</x:f>
        <x:v>-0.14326338144775208</x:v>
      </x:c>
      <x:c r="M480" s="36" t="n">
        <x:f>Assumptions!$B$19</x:f>
        <x:v>-0.04739891965741583</x:v>
      </x:c>
      <x:c r="N480" s="52" t="n">
        <x:f>H480*L480+(1-H480)*M480+O480</x:f>
        <x:v>-0.10491759673161757</x:v>
      </x:c>
      <x:c r="O480" s="36" t="n">
        <x:f>Assumptions!$B$10</x:f>
        <x:v>0</x:v>
      </x:c>
      <x:c r="P480" s="54" t="n">
        <x:f>E480*(1+N480)</x:f>
        <x:v>15545.791179965265</x:v>
      </x:c>
      <x:c r="Q480" s="54" t="n">
        <x:f>P480-E480</x:f>
        <x:v>-1822.2088200347353</x:v>
      </x:c>
      <x:c r="R480" s="16" t="str">
        <x:v>Yes</x:v>
      </x:c>
      <x:c r="S480" s="56" t="n">
        <x:v>11753</x:v>
      </x:c>
      <x:c r="T480" s="56" t="n">
        <x:v>30679</x:v>
      </x:c>
      <x:c r="U480" s="40" t="n">
        <x:f>E480*Assumptions!$B$8</x:f>
        <x:v>14762.8</x:v>
      </x:c>
      <x:c r="V480" s="40" t="n">
        <x:f>P480*Assumptions!$B$8</x:f>
        <x:v>13213.922502970474</x:v>
      </x:c>
      <x:c r="W480" s="54" t="n">
        <x:f>V480-U480</x:f>
        <x:v>-1548.8774970295253</x:v>
      </x:c>
      <x:c r="X480" s="58" t="n">
        <x:f>IF(R480="No","",W480*S480)</x:f>
        <x:v>-18203957.22258801</x:v>
      </x:c>
      <x:c r="Y480" s="58" t="n">
        <x:f>IF(R480="No","",W480*T480*Assumptions!$B$9)</x:f>
        <x:v>-14255403.819410643</x:v>
      </x:c>
      <x:c r="Z480" s="58" t="n">
        <x:f>IF(R480="No","",X480-Y480)</x:f>
        <x:v>-3948553.4031773675</x:v>
      </x:c>
      <x:c r="AA480" s="58" t="n">
        <x:f>IF(R480="No","",MAX(0,-Z480))</x:f>
        <x:v>3948553.4031773675</x:v>
      </x:c>
      <x:c r="AB480" s="52" t="n">
        <x:f>IF(OR(R480="No",U480*S480=0),"",AA480/(U480*S480))</x:f>
        <x:v>0.02275728999812072</x:v>
      </x:c>
      <x:c r="AC480" s="54" t="n">
        <x:f>IF(OR(R480="No",S480-T480*Assumptions!$B$9&lt;=0),"",AA480/(Assumptions!$B$8*(S480-T480*Assumptions!$B$9)))</x:f>
        <x:v>1822.2088200347346</x:v>
      </x:c>
      <x:c r="AD480" s="52" t="n">
        <x:f>IF(OR(R480="No",U480*S480=0),"",AA480/(U480*S480))</x:f>
        <x:v>0.02275728999812072</x:v>
      </x:c>
      <x:c r="AE480" s="50" t="str">
        <x:f>IF(R480="No","No finance data",IF(AB480&gt;=10%,"Severe",IF(AB480&gt;=5%,"High",IF(AB480&gt;=2%,"Moderate","Low"))))</x:f>
        <x:v>Moderate</x:v>
      </x:c>
      <x:c r="AF480" s="60" t="n">
        <x:v>41.871837</x:v>
      </x:c>
      <x:c r="AG480" s="60" t="n">
        <x:v>-87.650503</x:v>
      </x:c>
      <x:c r="AH480" s="44" t="str">
        <x:v>Undergraduate tuition-contribution proxy only; not an audited total institutional budget.</x:v>
      </x:c>
    </x:row>
    <x:row r="481">
      <x:c r="A481" s="16" t="n">
        <x:v>148654</x:v>
      </x:c>
      <x:c r="B481" s="16" t="str">
        <x:v>University of Illinois at Springfield</x:v>
      </x:c>
      <x:c r="C481" s="16" t="str">
        <x:v>IL</x:v>
      </x:c>
      <x:c r="D481" s="16" t="str">
        <x:v>Public</x:v>
      </x:c>
      <x:c r="E481" s="34" t="n">
        <x:v>2857</x:v>
      </x:c>
      <x:c r="F481" s="21" t="n">
        <x:v>0.7949</x:v>
      </x:c>
      <x:c r="G481" s="16" t="str">
        <x:v>Regional</x:v>
      </x:c>
      <x:c r="H481" s="36" t="n">
        <x:f>IF(G481="National",Assumptions!$B$11,IF(G481="Statewide",Assumptions!$B$12,Assumptions!$B$13))</x:f>
        <x:v>0.85</x:v>
      </x:c>
      <x:c r="I481" s="21" t="n">
        <x:v>-0.10579172815953353</x:v>
      </x:c>
      <x:c r="J481" s="21" t="n">
        <x:v>-0.14326338144775208</x:v>
      </x:c>
      <x:c r="K481" s="21" t="n">
        <x:v>-0.2868003311615852</x:v>
      </x:c>
      <x:c r="L481" s="36" t="n">
        <x:f>IF(Assumptions!$B$4=2030,I481,IF(Assumptions!$B$4=2035,J481,K481))</x:f>
        <x:v>-0.14326338144775208</x:v>
      </x:c>
      <x:c r="M481" s="36" t="n">
        <x:f>Assumptions!$B$19</x:f>
        <x:v>-0.04739891965741583</x:v>
      </x:c>
      <x:c r="N481" s="52" t="n">
        <x:f>H481*L481+(1-H481)*M481+O481</x:f>
        <x:v>-0.12888371217920164</x:v>
      </x:c>
      <x:c r="O481" s="36" t="n">
        <x:f>Assumptions!$B$10</x:f>
        <x:v>0</x:v>
      </x:c>
      <x:c r="P481" s="54" t="n">
        <x:f>E481*(1+N481)</x:f>
        <x:v>2488.779234304021</x:v>
      </x:c>
      <x:c r="Q481" s="54" t="n">
        <x:f>P481-E481</x:f>
        <x:v>-368.220765695979</x:v>
      </x:c>
      <x:c r="R481" s="16" t="str">
        <x:v>Yes</x:v>
      </x:c>
      <x:c r="S481" s="56" t="n">
        <x:v>6446</x:v>
      </x:c>
      <x:c r="T481" s="56" t="n">
        <x:v>12231</x:v>
      </x:c>
      <x:c r="U481" s="40" t="n">
        <x:f>E481*Assumptions!$B$8</x:f>
        <x:v>2428.45</x:v>
      </x:c>
      <x:c r="V481" s="40" t="n">
        <x:f>P481*Assumptions!$B$8</x:f>
        <x:v>2115.462349158418</x:v>
      </x:c>
      <x:c r="W481" s="54" t="n">
        <x:f>V481-U481</x:f>
        <x:v>-312.98765084158185</x:v>
      </x:c>
      <x:c r="X481" s="58" t="n">
        <x:f>IF(R481="No","",W481*S481)</x:f>
        <x:v>-2017518.3973248366</x:v>
      </x:c>
      <x:c r="Y481" s="58" t="n">
        <x:f>IF(R481="No","",W481*T481*Assumptions!$B$9)</x:f>
        <x:v>-1148445.5872330163</x:v>
      </x:c>
      <x:c r="Z481" s="58" t="n">
        <x:f>IF(R481="No","",X481-Y481)</x:f>
        <x:v>-869072.8100918203</x:v>
      </x:c>
      <x:c r="AA481" s="58" t="n">
        <x:f>IF(R481="No","",MAX(0,-Z481))</x:f>
        <x:v>869072.8100918203</x:v>
      </x:c>
      <x:c r="AB481" s="52" t="n">
        <x:f>IF(OR(R481="No",U481*S481=0),"",AA481/(U481*S481))</x:f>
        <x:v>0.05551836853986795</x:v>
      </x:c>
      <x:c r="AC481" s="54" t="n">
        <x:f>IF(OR(R481="No",S481-T481*Assumptions!$B$9&lt;=0),"",AA481/(Assumptions!$B$8*(S481-T481*Assumptions!$B$9)))</x:f>
        <x:v>368.2207656959786</x:v>
      </x:c>
      <x:c r="AD481" s="52" t="n">
        <x:f>IF(OR(R481="No",U481*S481=0),"",AA481/(U481*S481))</x:f>
        <x:v>0.05551836853986795</x:v>
      </x:c>
      <x:c r="AE481" s="50" t="str">
        <x:f>IF(R481="No","No finance data",IF(AB481&gt;=10%,"Severe",IF(AB481&gt;=5%,"High",IF(AB481&gt;=2%,"Moderate","Low"))))</x:f>
        <x:v>High</x:v>
      </x:c>
      <x:c r="AF481" s="60" t="n">
        <x:v>39.729524</x:v>
      </x:c>
      <x:c r="AG481" s="60" t="n">
        <x:v>-89.616796</x:v>
      </x:c>
      <x:c r="AH481" s="44" t="str">
        <x:v>Undergraduate tuition-contribution proxy only; not an audited total institutional budget.</x:v>
      </x:c>
    </x:row>
    <x:row r="482">
      <x:c r="A482" s="16" t="n">
        <x:v>145637</x:v>
      </x:c>
      <x:c r="B482" s="16" t="str">
        <x:v>University of Illinois at Urbana-Champaign</x:v>
      </x:c>
      <x:c r="C482" s="16" t="str">
        <x:v>IL</x:v>
      </x:c>
      <x:c r="D482" s="16" t="str">
        <x:v>Public</x:v>
      </x:c>
      <x:c r="E482" s="34" t="n">
        <x:v>32170</x:v>
      </x:c>
      <x:c r="F482" s="21" t="n">
        <x:v>0.5966</x:v>
      </x:c>
      <x:c r="G482" s="16" t="str">
        <x:v>National</x:v>
      </x:c>
      <x:c r="H482" s="36" t="n">
        <x:f>IF(G482="National",Assumptions!$B$11,IF(G482="Statewide",Assumptions!$B$12,Assumptions!$B$13))</x:f>
        <x:v>0.25</x:v>
      </x:c>
      <x:c r="I482" s="21" t="n">
        <x:v>-0.10579172815953353</x:v>
      </x:c>
      <x:c r="J482" s="21" t="n">
        <x:v>-0.14326338144775208</x:v>
      </x:c>
      <x:c r="K482" s="21" t="n">
        <x:v>-0.2868003311615852</x:v>
      </x:c>
      <x:c r="L482" s="36" t="n">
        <x:f>IF(Assumptions!$B$4=2030,I482,IF(Assumptions!$B$4=2035,J482,K482))</x:f>
        <x:v>-0.14326338144775208</x:v>
      </x:c>
      <x:c r="M482" s="36" t="n">
        <x:f>Assumptions!$B$19</x:f>
        <x:v>-0.04739891965741583</x:v>
      </x:c>
      <x:c r="N482" s="52" t="n">
        <x:f>H482*L482+(1-H482)*M482+O482</x:f>
        <x:v>-0.07136503510499989</x:v>
      </x:c>
      <x:c r="O482" s="36" t="n">
        <x:f>Assumptions!$B$10</x:f>
        <x:v>0</x:v>
      </x:c>
      <x:c r="P482" s="54" t="n">
        <x:f>E482*(1+N482)</x:f>
        <x:v>29874.186820672152</x:v>
      </x:c>
      <x:c r="Q482" s="54" t="n">
        <x:f>P482-E482</x:f>
        <x:v>-2295.813179327848</x:v>
      </x:c>
      <x:c r="R482" s="16" t="str">
        <x:v>Yes</x:v>
      </x:c>
      <x:c r="S482" s="56" t="n">
        <x:v>14361</x:v>
      </x:c>
      <x:c r="T482" s="56" t="n">
        <x:v>17161</x:v>
      </x:c>
      <x:c r="U482" s="40" t="n">
        <x:f>E482*Assumptions!$B$8</x:f>
        <x:v>27344.5</x:v>
      </x:c>
      <x:c r="V482" s="40" t="n">
        <x:f>P482*Assumptions!$B$8</x:f>
        <x:v>25393.058797571328</x:v>
      </x:c>
      <x:c r="W482" s="54" t="n">
        <x:f>V482-U482</x:f>
        <x:v>-1951.441202428672</x:v>
      </x:c>
      <x:c r="X482" s="58" t="n">
        <x:f>IF(R482="No","",W482*S482)</x:f>
        <x:v>-28024647.10807816</x:v>
      </x:c>
      <x:c r="Y482" s="58" t="n">
        <x:f>IF(R482="No","",W482*T482*Assumptions!$B$9)</x:f>
        <x:v>-10046604.742463533</x:v>
      </x:c>
      <x:c r="Z482" s="58" t="n">
        <x:f>IF(R482="No","",X482-Y482)</x:f>
        <x:v>-17978042.365614627</x:v>
      </x:c>
      <x:c r="AA482" s="58" t="n">
        <x:f>IF(R482="No","",MAX(0,-Z482))</x:f>
        <x:v>17978042.365614627</x:v>
      </x:c>
      <x:c r="AB482" s="52" t="n">
        <x:f>IF(OR(R482="No",U482*S482=0),"",AA482/(U482*S482))</x:f>
        <x:v>0.04578125888948077</x:v>
      </x:c>
      <x:c r="AC482" s="54" t="n">
        <x:f>IF(OR(R482="No",S482-T482*Assumptions!$B$9&lt;=0),"",AA482/(Assumptions!$B$8*(S482-T482*Assumptions!$B$9)))</x:f>
        <x:v>2295.8131793278494</x:v>
      </x:c>
      <x:c r="AD482" s="52" t="n">
        <x:f>IF(OR(R482="No",U482*S482=0),"",AA482/(U482*S482))</x:f>
        <x:v>0.04578125888948077</x:v>
      </x:c>
      <x:c r="AE482" s="50" t="str">
        <x:f>IF(R482="No","No finance data",IF(AB482&gt;=10%,"Severe",IF(AB482&gt;=5%,"High",IF(AB482&gt;=2%,"Moderate","Low"))))</x:f>
        <x:v>Moderate</x:v>
      </x:c>
      <x:c r="AF482" s="60" t="n">
        <x:v>40.104718</x:v>
      </x:c>
      <x:c r="AG482" s="60" t="n">
        <x:v>-88.229114</x:v>
      </x:c>
      <x:c r="AH482" s="44" t="str">
        <x:v>Undergraduate tuition-contribution proxy only; not an audited total institutional budget.</x:v>
      </x:c>
    </x:row>
    <x:row r="483">
      <x:c r="A483" s="16" t="n">
        <x:v>148584</x:v>
      </x:c>
      <x:c r="B483" s="16" t="str">
        <x:v>University of St Francis</x:v>
      </x:c>
      <x:c r="C483" s="16" t="str">
        <x:v>IL</x:v>
      </x:c>
      <x:c r="D483" s="16" t="str">
        <x:v>Private nonprofit</x:v>
      </x:c>
      <x:c r="E483" s="34" t="n">
        <x:v>1642</x:v>
      </x:c>
      <x:c r="F483" s="21" t="n">
        <x:v>0.6823</x:v>
      </x:c>
      <x:c r="G483" s="16" t="str">
        <x:v>Regional</x:v>
      </x:c>
      <x:c r="H483" s="36" t="n">
        <x:f>IF(G483="National",Assumptions!$B$11,IF(G483="Statewide",Assumptions!$B$12,Assumptions!$B$13))</x:f>
        <x:v>0.85</x:v>
      </x:c>
      <x:c r="I483" s="21" t="n">
        <x:v>-0.10579172815953353</x:v>
      </x:c>
      <x:c r="J483" s="21" t="n">
        <x:v>-0.14326338144775208</x:v>
      </x:c>
      <x:c r="K483" s="21" t="n">
        <x:v>-0.2868003311615852</x:v>
      </x:c>
      <x:c r="L483" s="36" t="n">
        <x:f>IF(Assumptions!$B$4=2030,I483,IF(Assumptions!$B$4=2035,J483,K483))</x:f>
        <x:v>-0.14326338144775208</x:v>
      </x:c>
      <x:c r="M483" s="36" t="n">
        <x:f>Assumptions!$B$19</x:f>
        <x:v>-0.04739891965741583</x:v>
      </x:c>
      <x:c r="N483" s="52" t="n">
        <x:f>H483*L483+(1-H483)*M483+O483</x:f>
        <x:v>-0.12888371217920164</x:v>
      </x:c>
      <x:c r="O483" s="36" t="n">
        <x:f>Assumptions!$B$10</x:f>
        <x:v>0</x:v>
      </x:c>
      <x:c r="P483" s="54" t="n">
        <x:f>E483*(1+N483)</x:f>
        <x:v>1430.3729446017508</x:v>
      </x:c>
      <x:c r="Q483" s="54" t="n">
        <x:f>P483-E483</x:f>
        <x:v>-211.62705539824924</x:v>
      </x:c>
      <x:c r="R483" s="16" t="str">
        <x:v>Yes</x:v>
      </x:c>
      <x:c r="S483" s="56" t="n">
        <x:v>13137</x:v>
      </x:c>
      <x:c r="T483" s="56" t="n">
        <x:v>6213</x:v>
      </x:c>
      <x:c r="U483" s="40" t="n">
        <x:f>E483*Assumptions!$B$8</x:f>
        <x:v>1395.7</x:v>
      </x:c>
      <x:c r="V483" s="40" t="n">
        <x:f>P483*Assumptions!$B$8</x:f>
        <x:v>1215.817002911488</x:v>
      </x:c>
      <x:c r="W483" s="54" t="n">
        <x:f>V483-U483</x:f>
        <x:v>-179.88299708851196</x:v>
      </x:c>
      <x:c r="X483" s="58" t="n">
        <x:f>IF(R483="No","",W483*S483)</x:f>
        <x:v>-2363122.932751782</x:v>
      </x:c>
      <x:c r="Y483" s="58" t="n">
        <x:f>IF(R483="No","",W483*T483*Assumptions!$B$9)</x:f>
        <x:v>-335283.9182732774</x:v>
      </x:c>
      <x:c r="Z483" s="58" t="n">
        <x:f>IF(R483="No","",X483-Y483)</x:f>
        <x:v>-2027839.0144785044</x:v>
      </x:c>
      <x:c r="AA483" s="58" t="n">
        <x:f>IF(R483="No","",MAX(0,-Z483))</x:f>
        <x:v>2027839.0144785044</x:v>
      </x:c>
      <x:c r="AB483" s="52" t="n">
        <x:f>IF(OR(R483="No",U483*S483=0),"",AA483/(U483*S483))</x:f>
        <x:v>0.11059747094217552</x:v>
      </x:c>
      <x:c r="AC483" s="54" t="n">
        <x:f>IF(OR(R483="No",S483-T483*Assumptions!$B$9&lt;=0),"",AA483/(Assumptions!$B$8*(S483-T483*Assumptions!$B$9)))</x:f>
        <x:v>211.62705539824938</x:v>
      </x:c>
      <x:c r="AD483" s="52" t="n">
        <x:f>IF(OR(R483="No",U483*S483=0),"",AA483/(U483*S483))</x:f>
        <x:v>0.11059747094217552</x:v>
      </x:c>
      <x:c r="AE483" s="50" t="str">
        <x:f>IF(R483="No","No finance data",IF(AB483&gt;=10%,"Severe",IF(AB483&gt;=5%,"High",IF(AB483&gt;=2%,"Moderate","Low"))))</x:f>
        <x:v>Severe</x:v>
      </x:c>
      <x:c r="AF483" s="60" t="n">
        <x:v>41.532225</x:v>
      </x:c>
      <x:c r="AG483" s="60" t="n">
        <x:v>-88.096057</x:v>
      </x:c>
      <x:c r="AH483" s="44" t="str">
        <x:v>Undergraduate tuition-contribution proxy only; not an audited total institutional budget.</x:v>
      </x:c>
    </x:row>
    <x:row r="484">
      <x:c r="A484" s="16" t="n">
        <x:v>149639</x:v>
      </x:c>
      <x:c r="B484" s="16" t="str">
        <x:v>VanderCook College of Music</x:v>
      </x:c>
      <x:c r="C484" s="16" t="str">
        <x:v>IL</x:v>
      </x:c>
      <x:c r="D484" s="16" t="str">
        <x:v>Private nonprofit</x:v>
      </x:c>
      <x:c r="E484" s="34" t="n">
        <x:v>104</x:v>
      </x:c>
      <x:c r="F484" s="21"/>
      <x:c r="G484" s="16" t="str">
        <x:v>Regional</x:v>
      </x:c>
      <x:c r="H484" s="36" t="n">
        <x:f>IF(G484="National",Assumptions!$B$11,IF(G484="Statewide",Assumptions!$B$12,Assumptions!$B$13))</x:f>
        <x:v>0.85</x:v>
      </x:c>
      <x:c r="I484" s="21" t="n">
        <x:v>-0.10579172815953353</x:v>
      </x:c>
      <x:c r="J484" s="21" t="n">
        <x:v>-0.14326338144775208</x:v>
      </x:c>
      <x:c r="K484" s="21" t="n">
        <x:v>-0.2868003311615852</x:v>
      </x:c>
      <x:c r="L484" s="36" t="n">
        <x:f>IF(Assumptions!$B$4=2030,I484,IF(Assumptions!$B$4=2035,J484,K484))</x:f>
        <x:v>-0.14326338144775208</x:v>
      </x:c>
      <x:c r="M484" s="36" t="n">
        <x:f>Assumptions!$B$19</x:f>
        <x:v>-0.04739891965741583</x:v>
      </x:c>
      <x:c r="N484" s="52" t="n">
        <x:f>H484*L484+(1-H484)*M484+O484</x:f>
        <x:v>-0.12888371217920164</x:v>
      </x:c>
      <x:c r="O484" s="36" t="n">
        <x:f>Assumptions!$B$10</x:f>
        <x:v>0</x:v>
      </x:c>
      <x:c r="P484" s="54" t="n">
        <x:f>E484*(1+N484)</x:f>
        <x:v>90.59609393336302</x:v>
      </x:c>
      <x:c r="Q484" s="54" t="n">
        <x:f>P484-E484</x:f>
        <x:v>-13.403906066636978</x:v>
      </x:c>
      <x:c r="R484" s="16" t="str">
        <x:v>No</x:v>
      </x:c>
      <x:c r="S484" s="56"/>
      <x:c r="T484" s="56"/>
      <x:c r="U484" s="40" t="n">
        <x:f>E484*Assumptions!$B$8</x:f>
        <x:v>88.39999999999999</x:v>
      </x:c>
      <x:c r="V484" s="40" t="n">
        <x:f>P484*Assumptions!$B$8</x:f>
        <x:v>77.00667984335857</x:v>
      </x:c>
      <x:c r="W484" s="54" t="n">
        <x:f>V484-U484</x:f>
        <x:v>-11.393320156641423</x:v>
      </x:c>
      <x:c r="X484" s="58" t="str">
        <x:f>IF(R484="No","",W484*S484)</x:f>
      </x:c>
      <x:c r="Y484" s="58" t="str">
        <x:f>IF(R484="No","",W484*T484*Assumptions!$B$9)</x:f>
      </x:c>
      <x:c r="Z484" s="58" t="str">
        <x:f>IF(R484="No","",X484-Y484)</x:f>
      </x:c>
      <x:c r="AA484" s="58" t="str">
        <x:f>IF(R484="No","",MAX(0,-Z484))</x:f>
      </x:c>
      <x:c r="AB484" s="52" t="str">
        <x:f>IF(OR(R484="No",U484*S484=0),"",AA484/(U484*S484))</x:f>
      </x:c>
      <x:c r="AC484" s="54" t="str">
        <x:f>IF(OR(R484="No",S484-T484*Assumptions!$B$9&lt;=0),"",AA484/(Assumptions!$B$8*(S484-T484*Assumptions!$B$9)))</x:f>
      </x:c>
      <x:c r="AD484" s="52" t="str">
        <x:f>IF(OR(R484="No",U484*S484=0),"",AA484/(U484*S484))</x:f>
      </x:c>
      <x:c r="AE484" s="50" t="str">
        <x:f>IF(R484="No","No finance data",IF(AB484&gt;=10%,"Severe",IF(AB484&gt;=5%,"High",IF(AB484&gt;=2%,"Moderate","Low"))))</x:f>
        <x:v>No finance data</x:v>
      </x:c>
      <x:c r="AF484" s="60"/>
      <x:c r="AG484" s="60"/>
      <x:c r="AH484" s="44" t="str">
        <x:v>Undergraduate tuition-contribution proxy only; not an audited total institutional budget.</x:v>
      </x:c>
    </x:row>
    <x:row r="485">
      <x:c r="A485" s="16" t="n">
        <x:v>149772</x:v>
      </x:c>
      <x:c r="B485" s="16" t="str">
        <x:v>Western Illinois University</x:v>
      </x:c>
      <x:c r="C485" s="16" t="str">
        <x:v>IL</x:v>
      </x:c>
      <x:c r="D485" s="16" t="str">
        <x:v>Public</x:v>
      </x:c>
      <x:c r="E485" s="34" t="n">
        <x:v>9141</x:v>
      </x:c>
      <x:c r="F485" s="21" t="n">
        <x:v>0.7248</x:v>
      </x:c>
      <x:c r="G485" s="16" t="str">
        <x:v>Statewide</x:v>
      </x:c>
      <x:c r="H485" s="36" t="n">
        <x:f>IF(G485="National",Assumptions!$B$11,IF(G485="Statewide",Assumptions!$B$12,Assumptions!$B$13))</x:f>
        <x:v>0.6</x:v>
      </x:c>
      <x:c r="I485" s="21" t="n">
        <x:v>-0.10579172815953353</x:v>
      </x:c>
      <x:c r="J485" s="21" t="n">
        <x:v>-0.14326338144775208</x:v>
      </x:c>
      <x:c r="K485" s="21" t="n">
        <x:v>-0.2868003311615852</x:v>
      </x:c>
      <x:c r="L485" s="36" t="n">
        <x:f>IF(Assumptions!$B$4=2030,I485,IF(Assumptions!$B$4=2035,J485,K485))</x:f>
        <x:v>-0.14326338144775208</x:v>
      </x:c>
      <x:c r="M485" s="36" t="n">
        <x:f>Assumptions!$B$19</x:f>
        <x:v>-0.04739891965741583</x:v>
      </x:c>
      <x:c r="N485" s="52" t="n">
        <x:f>H485*L485+(1-H485)*M485+O485</x:f>
        <x:v>-0.10491759673161757</x:v>
      </x:c>
      <x:c r="O485" s="36" t="n">
        <x:f>Assumptions!$B$10</x:f>
        <x:v>0</x:v>
      </x:c>
      <x:c r="P485" s="54" t="n">
        <x:f>E485*(1+N485)</x:f>
        <x:v>8181.948248276283</x:v>
      </x:c>
      <x:c r="Q485" s="54" t="n">
        <x:f>P485-E485</x:f>
        <x:v>-959.0517517237167</x:v>
      </x:c>
      <x:c r="R485" s="16" t="str">
        <x:v>Yes</x:v>
      </x:c>
      <x:c r="S485" s="56" t="n">
        <x:v>6291</x:v>
      </x:c>
      <x:c r="T485" s="56" t="n">
        <x:v>15926</x:v>
      </x:c>
      <x:c r="U485" s="40" t="n">
        <x:f>E485*Assumptions!$B$8</x:f>
        <x:v>7769.849999999999</x:v>
      </x:c>
      <x:c r="V485" s="40" t="n">
        <x:f>P485*Assumptions!$B$8</x:f>
        <x:v>6954.656011034841</x:v>
      </x:c>
      <x:c r="W485" s="54" t="n">
        <x:f>V485-U485</x:f>
        <x:v>-815.1939889651585</x:v>
      </x:c>
      <x:c r="X485" s="58" t="n">
        <x:f>IF(R485="No","",W485*S485)</x:f>
        <x:v>-5128385.384579812</x:v>
      </x:c>
      <x:c r="Y485" s="58" t="n">
        <x:f>IF(R485="No","",W485*T485*Assumptions!$B$9)</x:f>
        <x:v>-3894833.8404777343</x:v>
      </x:c>
      <x:c r="Z485" s="58" t="n">
        <x:f>IF(R485="No","",X485-Y485)</x:f>
        <x:v>-1233551.5441020778</x:v>
      </x:c>
      <x:c r="AA485" s="58" t="n">
        <x:f>IF(R485="No","",MAX(0,-Z485))</x:f>
        <x:v>1233551.5441020778</x:v>
      </x:c>
      <x:c r="AB485" s="52" t="n">
        <x:f>IF(OR(R485="No",U485*S485=0),"",AA485/(U485*S485))</x:f>
        <x:v>0.02523625931875436</x:v>
      </x:c>
      <x:c r="AC485" s="54" t="n">
        <x:f>IF(OR(R485="No",S485-T485*Assumptions!$B$9&lt;=0),"",AA485/(Assumptions!$B$8*(S485-T485*Assumptions!$B$9)))</x:f>
        <x:v>959.051751723716</x:v>
      </x:c>
      <x:c r="AD485" s="52" t="n">
        <x:f>IF(OR(R485="No",U485*S485=0),"",AA485/(U485*S485))</x:f>
        <x:v>0.02523625931875436</x:v>
      </x:c>
      <x:c r="AE485" s="50" t="str">
        <x:f>IF(R485="No","No finance data",IF(AB485&gt;=10%,"Severe",IF(AB485&gt;=5%,"High",IF(AB485&gt;=2%,"Moderate","Low"))))</x:f>
        <x:v>Moderate</x:v>
      </x:c>
      <x:c r="AF485" s="60" t="n">
        <x:v>40.468086</x:v>
      </x:c>
      <x:c r="AG485" s="60" t="n">
        <x:v>-90.686899</x:v>
      </x:c>
      <x:c r="AH485" s="44" t="str">
        <x:v>Undergraduate tuition-contribution proxy only; not an audited total institutional budget.</x:v>
      </x:c>
    </x:row>
    <x:row r="486">
      <x:c r="A486" s="16" t="n">
        <x:v>149781</x:v>
      </x:c>
      <x:c r="B486" s="16" t="str">
        <x:v>Wheaton College</x:v>
      </x:c>
      <x:c r="C486" s="16" t="str">
        <x:v>IL</x:v>
      </x:c>
      <x:c r="D486" s="16" t="str">
        <x:v>Private nonprofit</x:v>
      </x:c>
      <x:c r="E486" s="34" t="n">
        <x:v>2447</x:v>
      </x:c>
      <x:c r="F486" s="21" t="n">
        <x:v>0.8625</x:v>
      </x:c>
      <x:c r="G486" s="16" t="str">
        <x:v>Regional</x:v>
      </x:c>
      <x:c r="H486" s="36" t="n">
        <x:f>IF(G486="National",Assumptions!$B$11,IF(G486="Statewide",Assumptions!$B$12,Assumptions!$B$13))</x:f>
        <x:v>0.85</x:v>
      </x:c>
      <x:c r="I486" s="21" t="n">
        <x:v>-0.10579172815953353</x:v>
      </x:c>
      <x:c r="J486" s="21" t="n">
        <x:v>-0.14326338144775208</x:v>
      </x:c>
      <x:c r="K486" s="21" t="n">
        <x:v>-0.2868003311615852</x:v>
      </x:c>
      <x:c r="L486" s="36" t="n">
        <x:f>IF(Assumptions!$B$4=2030,I486,IF(Assumptions!$B$4=2035,J486,K486))</x:f>
        <x:v>-0.14326338144775208</x:v>
      </x:c>
      <x:c r="M486" s="36" t="n">
        <x:f>Assumptions!$B$19</x:f>
        <x:v>-0.04739891965741583</x:v>
      </x:c>
      <x:c r="N486" s="52" t="n">
        <x:f>H486*L486+(1-H486)*M486+O486</x:f>
        <x:v>-0.12888371217920164</x:v>
      </x:c>
      <x:c r="O486" s="36" t="n">
        <x:f>Assumptions!$B$10</x:f>
        <x:v>0</x:v>
      </x:c>
      <x:c r="P486" s="54" t="n">
        <x:f>E486*(1+N486)</x:f>
        <x:v>2131.6215562974935</x:v>
      </x:c>
      <x:c r="Q486" s="54" t="n">
        <x:f>P486-E486</x:f>
        <x:v>-315.3784437025065</x:v>
      </x:c>
      <x:c r="R486" s="16" t="str">
        <x:v>Yes</x:v>
      </x:c>
      <x:c r="S486" s="56" t="n">
        <x:v>20478</x:v>
      </x:c>
      <x:c r="T486" s="56" t="n">
        <x:v>16446</x:v>
      </x:c>
      <x:c r="U486" s="40" t="n">
        <x:f>E486*Assumptions!$B$8</x:f>
        <x:v>2079.95</x:v>
      </x:c>
      <x:c r="V486" s="40" t="n">
        <x:f>P486*Assumptions!$B$8</x:f>
        <x:v>1811.8783228528694</x:v>
      </x:c>
      <x:c r="W486" s="54" t="n">
        <x:f>V486-U486</x:f>
        <x:v>-268.07167714713046</x:v>
      </x:c>
      <x:c r="X486" s="58" t="n">
        <x:f>IF(R486="No","",W486*S486)</x:f>
        <x:v>-5489571.804618938</x:v>
      </x:c>
      <x:c r="Y486" s="58" t="n">
        <x:f>IF(R486="No","",W486*T486*Assumptions!$B$9)</x:f>
        <x:v>-1322612.040708512</x:v>
      </x:c>
      <x:c r="Z486" s="58" t="n">
        <x:f>IF(R486="No","",X486-Y486)</x:f>
        <x:v>-4166959.763910426</x:v>
      </x:c>
      <x:c r="AA486" s="58" t="n">
        <x:f>IF(R486="No","",MAX(0,-Z486))</x:f>
        <x:v>4166959.763910426</x:v>
      </x:c>
      <x:c r="AB486" s="52" t="n">
        <x:f>IF(OR(R486="No",U486*S486=0),"",AA486/(U486*S486))</x:f>
        <x:v>0.09783153622697269</x:v>
      </x:c>
      <x:c r="AC486" s="54" t="n">
        <x:f>IF(OR(R486="No",S486-T486*Assumptions!$B$9&lt;=0),"",AA486/(Assumptions!$B$8*(S486-T486*Assumptions!$B$9)))</x:f>
        <x:v>315.37844370250644</x:v>
      </x:c>
      <x:c r="AD486" s="52" t="n">
        <x:f>IF(OR(R486="No",U486*S486=0),"",AA486/(U486*S486))</x:f>
        <x:v>0.09783153622697269</x:v>
      </x:c>
      <x:c r="AE486" s="50" t="str">
        <x:f>IF(R486="No","No finance data",IF(AB486&gt;=10%,"Severe",IF(AB486&gt;=5%,"High",IF(AB486&gt;=2%,"Moderate","Low"))))</x:f>
        <x:v>High</x:v>
      </x:c>
      <x:c r="AF486" s="60" t="n">
        <x:v>41.870176</x:v>
      </x:c>
      <x:c r="AG486" s="60" t="n">
        <x:v>-88.099643</x:v>
      </x:c>
      <x:c r="AH486" s="44" t="str">
        <x:v>Undergraduate tuition-contribution proxy only; not an audited total institutional budget.</x:v>
      </x:c>
    </x:row>
    <x:row r="487">
      <x:c r="A487" s="16" t="n">
        <x:v>150066</x:v>
      </x:c>
      <x:c r="B487" s="16" t="str">
        <x:v>Anderson University</x:v>
      </x:c>
      <x:c r="C487" s="16" t="str">
        <x:v>IN</x:v>
      </x:c>
      <x:c r="D487" s="16" t="str">
        <x:v>Private nonprofit</x:v>
      </x:c>
      <x:c r="E487" s="34" t="n">
        <x:v>1760</x:v>
      </x:c>
      <x:c r="F487" s="21" t="n">
        <x:v>0.6245</x:v>
      </x:c>
      <x:c r="G487" s="16" t="str">
        <x:v>Regional</x:v>
      </x:c>
      <x:c r="H487" s="36" t="n">
        <x:f>IF(G487="National",Assumptions!$B$11,IF(G487="Statewide",Assumptions!$B$12,Assumptions!$B$13))</x:f>
        <x:v>0.85</x:v>
      </x:c>
      <x:c r="I487" s="21" t="n">
        <x:v>-0.05733630220335029</x:v>
      </x:c>
      <x:c r="J487" s="21" t="n">
        <x:v>-0.06046915050617507</x:v>
      </x:c>
      <x:c r="K487" s="21" t="n">
        <x:v>-0.10035471092354298</x:v>
      </x:c>
      <x:c r="L487" s="36" t="n">
        <x:f>IF(Assumptions!$B$4=2030,I487,IF(Assumptions!$B$4=2035,J487,K487))</x:f>
        <x:v>-0.06046915050617507</x:v>
      </x:c>
      <x:c r="M487" s="36" t="n">
        <x:f>Assumptions!$B$19</x:f>
        <x:v>-0.04739891965741583</x:v>
      </x:c>
      <x:c r="N487" s="52" t="n">
        <x:f>H487*L487+(1-H487)*M487+O487</x:f>
        <x:v>-0.058508615878861185</x:v>
      </x:c>
      <x:c r="O487" s="36" t="n">
        <x:f>Assumptions!$B$10</x:f>
        <x:v>0</x:v>
      </x:c>
      <x:c r="P487" s="54" t="n">
        <x:f>E487*(1+N487)</x:f>
        <x:v>1657.0248360532044</x:v>
      </x:c>
      <x:c r="Q487" s="54" t="n">
        <x:f>P487-E487</x:f>
        <x:v>-102.97516394679565</x:v>
      </x:c>
      <x:c r="R487" s="16" t="str">
        <x:v>Yes</x:v>
      </x:c>
      <x:c r="S487" s="56" t="n">
        <x:v>15008</x:v>
      </x:c>
      <x:c r="T487" s="56" t="n">
        <x:v>10101</x:v>
      </x:c>
      <x:c r="U487" s="40" t="n">
        <x:f>E487*Assumptions!$B$8</x:f>
        <x:v>1496</x:v>
      </x:c>
      <x:c r="V487" s="40" t="n">
        <x:f>P487*Assumptions!$B$8</x:f>
        <x:v>1408.4711106452237</x:v>
      </x:c>
      <x:c r="W487" s="54" t="n">
        <x:f>V487-U487</x:f>
        <x:v>-87.52888935477631</x:v>
      </x:c>
      <x:c r="X487" s="58" t="n">
        <x:f>IF(R487="No","",W487*S487)</x:f>
        <x:v>-1313633.571436483</x:v>
      </x:c>
      <x:c r="Y487" s="58" t="n">
        <x:f>IF(R487="No","",W487*T487*Assumptions!$B$9)</x:f>
        <x:v>-265238.79341177864</x:v>
      </x:c>
      <x:c r="Z487" s="58" t="n">
        <x:f>IF(R487="No","",X487-Y487)</x:f>
        <x:v>-1048394.7780247043</x:v>
      </x:c>
      <x:c r="AA487" s="58" t="n">
        <x:f>IF(R487="No","",MAX(0,-Z487))</x:f>
        <x:v>1048394.7780247043</x:v>
      </x:c>
      <x:c r="AB487" s="52" t="n">
        <x:f>IF(OR(R487="No",U487*S487=0),"",AA487/(U487*S487))</x:f>
        <x:v>0.04669500589100716</x:v>
      </x:c>
      <x:c r="AC487" s="54" t="n">
        <x:f>IF(OR(R487="No",S487-T487*Assumptions!$B$9&lt;=0),"",AA487/(Assumptions!$B$8*(S487-T487*Assumptions!$B$9)))</x:f>
        <x:v>102.97516394679567</x:v>
      </x:c>
      <x:c r="AD487" s="52" t="n">
        <x:f>IF(OR(R487="No",U487*S487=0),"",AA487/(U487*S487))</x:f>
        <x:v>0.04669500589100716</x:v>
      </x:c>
      <x:c r="AE487" s="50" t="str">
        <x:f>IF(R487="No","No finance data",IF(AB487&gt;=10%,"Severe",IF(AB487&gt;=5%,"High",IF(AB487&gt;=2%,"Moderate","Low"))))</x:f>
        <x:v>Moderate</x:v>
      </x:c>
      <x:c r="AF487" s="60" t="n">
        <x:v>40.112768</x:v>
      </x:c>
      <x:c r="AG487" s="60" t="n">
        <x:v>-85.664315</x:v>
      </x:c>
      <x:c r="AH487" s="44" t="str">
        <x:v>Undergraduate tuition-contribution proxy only; not an audited total institutional budget.</x:v>
      </x:c>
    </x:row>
    <x:row r="488">
      <x:c r="A488" s="16" t="n">
        <x:v>150136</x:v>
      </x:c>
      <x:c r="B488" s="16" t="str">
        <x:v>Ball State University</x:v>
      </x:c>
      <x:c r="C488" s="16" t="str">
        <x:v>IN</x:v>
      </x:c>
      <x:c r="D488" s="16" t="str">
        <x:v>Public</x:v>
      </x:c>
      <x:c r="E488" s="34" t="n">
        <x:v>15689</x:v>
      </x:c>
      <x:c r="F488" s="21" t="n">
        <x:v>0.6817</x:v>
      </x:c>
      <x:c r="G488" s="16" t="str">
        <x:v>Statewide</x:v>
      </x:c>
      <x:c r="H488" s="36" t="n">
        <x:f>IF(G488="National",Assumptions!$B$11,IF(G488="Statewide",Assumptions!$B$12,Assumptions!$B$13))</x:f>
        <x:v>0.6</x:v>
      </x:c>
      <x:c r="I488" s="21" t="n">
        <x:v>-0.05733630220335029</x:v>
      </x:c>
      <x:c r="J488" s="21" t="n">
        <x:v>-0.06046915050617507</x:v>
      </x:c>
      <x:c r="K488" s="21" t="n">
        <x:v>-0.10035471092354298</x:v>
      </x:c>
      <x:c r="L488" s="36" t="n">
        <x:f>IF(Assumptions!$B$4=2030,I488,IF(Assumptions!$B$4=2035,J488,K488))</x:f>
        <x:v>-0.06046915050617507</x:v>
      </x:c>
      <x:c r="M488" s="36" t="n">
        <x:f>Assumptions!$B$19</x:f>
        <x:v>-0.04739891965741583</x:v>
      </x:c>
      <x:c r="N488" s="52" t="n">
        <x:f>H488*L488+(1-H488)*M488+O488</x:f>
        <x:v>-0.055241058166671374</x:v>
      </x:c>
      <x:c r="O488" s="36" t="n">
        <x:f>Assumptions!$B$10</x:f>
        <x:v>0</x:v>
      </x:c>
      <x:c r="P488" s="54" t="n">
        <x:f>E488*(1+N488)</x:f>
        <x:v>14822.323038423094</x:v>
      </x:c>
      <x:c r="Q488" s="54" t="n">
        <x:f>P488-E488</x:f>
        <x:v>-866.6769615769063</x:v>
      </x:c>
      <x:c r="R488" s="16" t="str">
        <x:v>Yes</x:v>
      </x:c>
      <x:c r="S488" s="56" t="n">
        <x:v>8436</x:v>
      </x:c>
      <x:c r="T488" s="56" t="n">
        <x:v>10275</x:v>
      </x:c>
      <x:c r="U488" s="40" t="n">
        <x:f>E488*Assumptions!$B$8</x:f>
        <x:v>13335.65</x:v>
      </x:c>
      <x:c r="V488" s="40" t="n">
        <x:f>P488*Assumptions!$B$8</x:f>
        <x:v>12598.97458265963</x:v>
      </x:c>
      <x:c r="W488" s="54" t="n">
        <x:f>V488-U488</x:f>
        <x:v>-736.6754173403697</x:v>
      </x:c>
      <x:c r="X488" s="58" t="n">
        <x:f>IF(R488="No","",W488*S488)</x:f>
        <x:v>-6214593.820683358</x:v>
      </x:c>
      <x:c r="Y488" s="58" t="n">
        <x:f>IF(R488="No","",W488*T488*Assumptions!$B$9)</x:f>
        <x:v>-2270801.9739516894</x:v>
      </x:c>
      <x:c r="Z488" s="58" t="n">
        <x:f>IF(R488="No","",X488-Y488)</x:f>
        <x:v>-3943791.846731669</x:v>
      </x:c>
      <x:c r="AA488" s="58" t="n">
        <x:f>IF(R488="No","",MAX(0,-Z488))</x:f>
        <x:v>3943791.846731669</x:v>
      </x:c>
      <x:c r="AB488" s="52" t="n">
        <x:f>IF(OR(R488="No",U488*S488=0),"",AA488/(U488*S488))</x:f>
        <x:v>0.035056069807405714</x:v>
      </x:c>
      <x:c r="AC488" s="54" t="n">
        <x:f>IF(OR(R488="No",S488-T488*Assumptions!$B$9&lt;=0),"",AA488/(Assumptions!$B$8*(S488-T488*Assumptions!$B$9)))</x:f>
        <x:v>866.6769615769056</x:v>
      </x:c>
      <x:c r="AD488" s="52" t="n">
        <x:f>IF(OR(R488="No",U488*S488=0),"",AA488/(U488*S488))</x:f>
        <x:v>0.035056069807405714</x:v>
      </x:c>
      <x:c r="AE488" s="50" t="str">
        <x:f>IF(R488="No","No finance data",IF(AB488&gt;=10%,"Severe",IF(AB488&gt;=5%,"High",IF(AB488&gt;=2%,"Moderate","Low"))))</x:f>
        <x:v>Moderate</x:v>
      </x:c>
      <x:c r="AF488" s="60" t="n">
        <x:v>40.203431</x:v>
      </x:c>
      <x:c r="AG488" s="60" t="n">
        <x:v>-85.409043</x:v>
      </x:c>
      <x:c r="AH488" s="44" t="str">
        <x:v>Undergraduate tuition-contribution proxy only; not an audited total institutional budget.</x:v>
      </x:c>
    </x:row>
    <x:row r="489">
      <x:c r="A489" s="16" t="n">
        <x:v>150145</x:v>
      </x:c>
      <x:c r="B489" s="16" t="str">
        <x:v>Bethel College-Indiana</x:v>
      </x:c>
      <x:c r="C489" s="16" t="str">
        <x:v>IN</x:v>
      </x:c>
      <x:c r="D489" s="16" t="str">
        <x:v>Private nonprofit</x:v>
      </x:c>
      <x:c r="E489" s="34" t="n">
        <x:v>1436</x:v>
      </x:c>
      <x:c r="F489" s="21" t="n">
        <x:v>0.9792</x:v>
      </x:c>
      <x:c r="G489" s="16" t="str">
        <x:v>Regional</x:v>
      </x:c>
      <x:c r="H489" s="36" t="n">
        <x:f>IF(G489="National",Assumptions!$B$11,IF(G489="Statewide",Assumptions!$B$12,Assumptions!$B$13))</x:f>
        <x:v>0.85</x:v>
      </x:c>
      <x:c r="I489" s="21" t="n">
        <x:v>-0.05733630220335029</x:v>
      </x:c>
      <x:c r="J489" s="21" t="n">
        <x:v>-0.06046915050617507</x:v>
      </x:c>
      <x:c r="K489" s="21" t="n">
        <x:v>-0.10035471092354298</x:v>
      </x:c>
      <x:c r="L489" s="36" t="n">
        <x:f>IF(Assumptions!$B$4=2030,I489,IF(Assumptions!$B$4=2035,J489,K489))</x:f>
        <x:v>-0.06046915050617507</x:v>
      </x:c>
      <x:c r="M489" s="36" t="n">
        <x:f>Assumptions!$B$19</x:f>
        <x:v>-0.04739891965741583</x:v>
      </x:c>
      <x:c r="N489" s="52" t="n">
        <x:f>H489*L489+(1-H489)*M489+O489</x:f>
        <x:v>-0.058508615878861185</x:v>
      </x:c>
      <x:c r="O489" s="36" t="n">
        <x:f>Assumptions!$B$10</x:f>
        <x:v>0</x:v>
      </x:c>
      <x:c r="P489" s="54" t="n">
        <x:f>E489*(1+N489)</x:f>
        <x:v>1351.9816275979554</x:v>
      </x:c>
      <x:c r="Q489" s="54" t="n">
        <x:f>P489-E489</x:f>
        <x:v>-84.01837240204463</x:v>
      </x:c>
      <x:c r="R489" s="16" t="str">
        <x:v>Yes</x:v>
      </x:c>
      <x:c r="S489" s="56" t="n">
        <x:v>13092</x:v>
      </x:c>
      <x:c r="T489" s="56" t="n">
        <x:v>8791</x:v>
      </x:c>
      <x:c r="U489" s="40" t="n">
        <x:f>E489*Assumptions!$B$8</x:f>
        <x:v>1220.6</x:v>
      </x:c>
      <x:c r="V489" s="40" t="n">
        <x:f>P489*Assumptions!$B$8</x:f>
        <x:v>1149.1843834582621</x:v>
      </x:c>
      <x:c r="W489" s="54" t="n">
        <x:f>V489-U489</x:f>
        <x:v>-71.41561654173779</x:v>
      </x:c>
      <x:c r="X489" s="58" t="n">
        <x:f>IF(R489="No","",W489*S489)</x:f>
        <x:v>-934973.2517644311</x:v>
      </x:c>
      <x:c r="Y489" s="58" t="n">
        <x:f>IF(R489="No","",W489*T489*Assumptions!$B$9)</x:f>
        <x:v>-188344.4055055251</x:v>
      </x:c>
      <x:c r="Z489" s="58" t="n">
        <x:f>IF(R489="No","",X489-Y489)</x:f>
        <x:v>-746628.8462589061</x:v>
      </x:c>
      <x:c r="AA489" s="58" t="n">
        <x:f>IF(R489="No","",MAX(0,-Z489))</x:f>
        <x:v>746628.8462589061</x:v>
      </x:c>
      <x:c r="AB489" s="52" t="n">
        <x:f>IF(OR(R489="No",U489*S489=0),"",AA489/(U489*S489))</x:f>
        <x:v>0.04672242792764502</x:v>
      </x:c>
      <x:c r="AC489" s="54" t="n">
        <x:f>IF(OR(R489="No",S489-T489*Assumptions!$B$9&lt;=0),"",AA489/(Assumptions!$B$8*(S489-T489*Assumptions!$B$9)))</x:f>
        <x:v>84.01837240204445</x:v>
      </x:c>
      <x:c r="AD489" s="52" t="n">
        <x:f>IF(OR(R489="No",U489*S489=0),"",AA489/(U489*S489))</x:f>
        <x:v>0.04672242792764502</x:v>
      </x:c>
      <x:c r="AE489" s="50" t="str">
        <x:f>IF(R489="No","No finance data",IF(AB489&gt;=10%,"Severe",IF(AB489&gt;=5%,"High",IF(AB489&gt;=2%,"Moderate","Low"))))</x:f>
        <x:v>Moderate</x:v>
      </x:c>
      <x:c r="AF489" s="60" t="n">
        <x:v>41.678399</x:v>
      </x:c>
      <x:c r="AG489" s="60" t="n">
        <x:v>-86.194686</x:v>
      </x:c>
      <x:c r="AH489" s="44" t="str">
        <x:v>Undergraduate tuition-contribution proxy only; not an audited total institutional budget.</x:v>
      </x:c>
    </x:row>
    <x:row r="490">
      <x:c r="A490" s="16" t="n">
        <x:v>150163</x:v>
      </x:c>
      <x:c r="B490" s="16" t="str">
        <x:v>Butler University</x:v>
      </x:c>
      <x:c r="C490" s="16" t="str">
        <x:v>IN</x:v>
      </x:c>
      <x:c r="D490" s="16" t="str">
        <x:v>Private nonprofit</x:v>
      </x:c>
      <x:c r="E490" s="34" t="n">
        <x:v>4001</x:v>
      </x:c>
      <x:c r="F490" s="21" t="n">
        <x:v>0.8055</x:v>
      </x:c>
      <x:c r="G490" s="16" t="str">
        <x:v>Regional</x:v>
      </x:c>
      <x:c r="H490" s="36" t="n">
        <x:f>IF(G490="National",Assumptions!$B$11,IF(G490="Statewide",Assumptions!$B$12,Assumptions!$B$13))</x:f>
        <x:v>0.85</x:v>
      </x:c>
      <x:c r="I490" s="21" t="n">
        <x:v>-0.05733630220335029</x:v>
      </x:c>
      <x:c r="J490" s="21" t="n">
        <x:v>-0.06046915050617507</x:v>
      </x:c>
      <x:c r="K490" s="21" t="n">
        <x:v>-0.10035471092354298</x:v>
      </x:c>
      <x:c r="L490" s="36" t="n">
        <x:f>IF(Assumptions!$B$4=2030,I490,IF(Assumptions!$B$4=2035,J490,K490))</x:f>
        <x:v>-0.06046915050617507</x:v>
      </x:c>
      <x:c r="M490" s="36" t="n">
        <x:f>Assumptions!$B$19</x:f>
        <x:v>-0.04739891965741583</x:v>
      </x:c>
      <x:c r="N490" s="52" t="n">
        <x:f>H490*L490+(1-H490)*M490+O490</x:f>
        <x:v>-0.058508615878861185</x:v>
      </x:c>
      <x:c r="O490" s="36" t="n">
        <x:f>Assumptions!$B$10</x:f>
        <x:v>0</x:v>
      </x:c>
      <x:c r="P490" s="54" t="n">
        <x:f>E490*(1+N490)</x:f>
        <x:v>3766.907027868677</x:v>
      </x:c>
      <x:c r="Q490" s="54" t="n">
        <x:f>P490-E490</x:f>
        <x:v>-234.09297213132322</x:v>
      </x:c>
      <x:c r="R490" s="16" t="str">
        <x:v>Yes</x:v>
      </x:c>
      <x:c r="S490" s="56" t="n">
        <x:v>23346</x:v>
      </x:c>
      <x:c r="T490" s="56" t="n">
        <x:v>13227</x:v>
      </x:c>
      <x:c r="U490" s="40" t="n">
        <x:f>E490*Assumptions!$B$8</x:f>
        <x:v>3400.85</x:v>
      </x:c>
      <x:c r="V490" s="40" t="n">
        <x:f>P490*Assumptions!$B$8</x:f>
        <x:v>3201.870973688375</x:v>
      </x:c>
      <x:c r="W490" s="54" t="n">
        <x:f>V490-U490</x:f>
        <x:v>-198.9790263116247</x:v>
      </x:c>
      <x:c r="X490" s="58" t="n">
        <x:f>IF(R490="No","",W490*S490)</x:f>
        <x:v>-4645364.34827119</x:v>
      </x:c>
      <x:c r="Y490" s="58" t="n">
        <x:f>IF(R490="No","",W490*T490*Assumptions!$B$9)</x:f>
        <x:v>-789568.6743071579</x:v>
      </x:c>
      <x:c r="Z490" s="58" t="n">
        <x:f>IF(R490="No","",X490-Y490)</x:f>
        <x:v>-3855795.6739640324</x:v>
      </x:c>
      <x:c r="AA490" s="58" t="n">
        <x:f>IF(R490="No","",MAX(0,-Z490))</x:f>
        <x:v>3855795.6739640324</x:v>
      </x:c>
      <x:c r="AB490" s="52" t="n">
        <x:f>IF(OR(R490="No",U490*S490=0),"",AA490/(U490*S490))</x:f>
        <x:v>0.04856395560862598</x:v>
      </x:c>
      <x:c r="AC490" s="54" t="n">
        <x:f>IF(OR(R490="No",S490-T490*Assumptions!$B$9&lt;=0),"",AA490/(Assumptions!$B$8*(S490-T490*Assumptions!$B$9)))</x:f>
        <x:v>234.0929721313232</x:v>
      </x:c>
      <x:c r="AD490" s="52" t="n">
        <x:f>IF(OR(R490="No",U490*S490=0),"",AA490/(U490*S490))</x:f>
        <x:v>0.04856395560862598</x:v>
      </x:c>
      <x:c r="AE490" s="50" t="str">
        <x:f>IF(R490="No","No finance data",IF(AB490&gt;=10%,"Severe",IF(AB490&gt;=5%,"High",IF(AB490&gt;=2%,"Moderate","Low"))))</x:f>
        <x:v>Moderate</x:v>
      </x:c>
      <x:c r="AF490" s="60" t="n">
        <x:v>39.8374</x:v>
      </x:c>
      <x:c r="AG490" s="60" t="n">
        <x:v>-86.172167</x:v>
      </x:c>
      <x:c r="AH490" s="44" t="str">
        <x:v>Undergraduate tuition-contribution proxy only; not an audited total institutional budget.</x:v>
      </x:c>
    </x:row>
    <x:row r="491">
      <x:c r="A491" s="16" t="n">
        <x:v>150172</x:v>
      </x:c>
      <x:c r="B491" s="16" t="str">
        <x:v>Calumet College of Saint Joseph</x:v>
      </x:c>
      <x:c r="C491" s="16" t="str">
        <x:v>IN</x:v>
      </x:c>
      <x:c r="D491" s="16" t="str">
        <x:v>Private nonprofit</x:v>
      </x:c>
      <x:c r="E491" s="34" t="n">
        <x:v>837</x:v>
      </x:c>
      <x:c r="F491" s="21"/>
      <x:c r="G491" s="16" t="str">
        <x:v>Regional</x:v>
      </x:c>
      <x:c r="H491" s="36" t="n">
        <x:f>IF(G491="National",Assumptions!$B$11,IF(G491="Statewide",Assumptions!$B$12,Assumptions!$B$13))</x:f>
        <x:v>0.85</x:v>
      </x:c>
      <x:c r="I491" s="21" t="n">
        <x:v>-0.05733630220335029</x:v>
      </x:c>
      <x:c r="J491" s="21" t="n">
        <x:v>-0.06046915050617507</x:v>
      </x:c>
      <x:c r="K491" s="21" t="n">
        <x:v>-0.10035471092354298</x:v>
      </x:c>
      <x:c r="L491" s="36" t="n">
        <x:f>IF(Assumptions!$B$4=2030,I491,IF(Assumptions!$B$4=2035,J491,K491))</x:f>
        <x:v>-0.06046915050617507</x:v>
      </x:c>
      <x:c r="M491" s="36" t="n">
        <x:f>Assumptions!$B$19</x:f>
        <x:v>-0.04739891965741583</x:v>
      </x:c>
      <x:c r="N491" s="52" t="n">
        <x:f>H491*L491+(1-H491)*M491+O491</x:f>
        <x:v>-0.058508615878861185</x:v>
      </x:c>
      <x:c r="O491" s="36" t="n">
        <x:f>Assumptions!$B$10</x:f>
        <x:v>0</x:v>
      </x:c>
      <x:c r="P491" s="54" t="n">
        <x:f>E491*(1+N491)</x:f>
        <x:v>788.0282885093932</x:v>
      </x:c>
      <x:c r="Q491" s="54" t="n">
        <x:f>P491-E491</x:f>
        <x:v>-48.97171149060682</x:v>
      </x:c>
      <x:c r="R491" s="16" t="str">
        <x:v>Yes</x:v>
      </x:c>
      <x:c r="S491" s="56" t="n">
        <x:v>16276</x:v>
      </x:c>
      <x:c r="T491" s="56" t="n">
        <x:v>8108</x:v>
      </x:c>
      <x:c r="U491" s="40" t="n">
        <x:f>E491*Assumptions!$B$8</x:f>
        <x:v>711.4499999999999</x:v>
      </x:c>
      <x:c r="V491" s="40" t="n">
        <x:f>P491*Assumptions!$B$8</x:f>
        <x:v>669.8240452329842</x:v>
      </x:c>
      <x:c r="W491" s="54" t="n">
        <x:f>V491-U491</x:f>
        <x:v>-41.62595476701574</x:v>
      </x:c>
      <x:c r="X491" s="58" t="n">
        <x:f>IF(R491="No","",W491*S491)</x:f>
        <x:v>-677504.0397879482</x:v>
      </x:c>
      <x:c r="Y491" s="58" t="n">
        <x:f>IF(R491="No","",W491*T491*Assumptions!$B$9)</x:f>
        <x:v>-101250.97237528909</x:v>
      </x:c>
      <x:c r="Z491" s="58" t="n">
        <x:f>IF(R491="No","",X491-Y491)</x:f>
        <x:v>-576253.0674126592</x:v>
      </x:c>
      <x:c r="AA491" s="58" t="n">
        <x:f>IF(R491="No","",MAX(0,-Z491))</x:f>
        <x:v>576253.0674126592</x:v>
      </x:c>
      <x:c r="AB491" s="52" t="n">
        <x:f>IF(OR(R491="No",U491*S491=0),"",AA491/(U491*S491))</x:f>
        <x:v>0.04976467650409203</x:v>
      </x:c>
      <x:c r="AC491" s="54" t="n">
        <x:f>IF(OR(R491="No",S491-T491*Assumptions!$B$9&lt;=0),"",AA491/(Assumptions!$B$8*(S491-T491*Assumptions!$B$9)))</x:f>
        <x:v>48.971711490606765</x:v>
      </x:c>
      <x:c r="AD491" s="52" t="n">
        <x:f>IF(OR(R491="No",U491*S491=0),"",AA491/(U491*S491))</x:f>
        <x:v>0.04976467650409203</x:v>
      </x:c>
      <x:c r="AE491" s="50" t="str">
        <x:f>IF(R491="No","No finance data",IF(AB491&gt;=10%,"Severe",IF(AB491&gt;=5%,"High",IF(AB491&gt;=2%,"Moderate","Low"))))</x:f>
        <x:v>Moderate</x:v>
      </x:c>
      <x:c r="AF491" s="60" t="n">
        <x:v>41.671008</x:v>
      </x:c>
      <x:c r="AG491" s="60" t="n">
        <x:v>-87.494123</x:v>
      </x:c>
      <x:c r="AH491" s="44" t="str">
        <x:v>Undergraduate tuition-contribution proxy only; not an audited total institutional budget.</x:v>
      </x:c>
    </x:row>
    <x:row r="492">
      <x:c r="A492" s="16" t="n">
        <x:v>150400</x:v>
      </x:c>
      <x:c r="B492" s="16" t="str">
        <x:v>DePauw University</x:v>
      </x:c>
      <x:c r="C492" s="16" t="str">
        <x:v>IN</x:v>
      </x:c>
      <x:c r="D492" s="16" t="str">
        <x:v>Private nonprofit</x:v>
      </x:c>
      <x:c r="E492" s="34" t="n">
        <x:v>2229</x:v>
      </x:c>
      <x:c r="F492" s="21" t="n">
        <x:v>0.6467</x:v>
      </x:c>
      <x:c r="G492" s="16" t="str">
        <x:v>Regional</x:v>
      </x:c>
      <x:c r="H492" s="36" t="n">
        <x:f>IF(G492="National",Assumptions!$B$11,IF(G492="Statewide",Assumptions!$B$12,Assumptions!$B$13))</x:f>
        <x:v>0.85</x:v>
      </x:c>
      <x:c r="I492" s="21" t="n">
        <x:v>-0.05733630220335029</x:v>
      </x:c>
      <x:c r="J492" s="21" t="n">
        <x:v>-0.06046915050617507</x:v>
      </x:c>
      <x:c r="K492" s="21" t="n">
        <x:v>-0.10035471092354298</x:v>
      </x:c>
      <x:c r="L492" s="36" t="n">
        <x:f>IF(Assumptions!$B$4=2030,I492,IF(Assumptions!$B$4=2035,J492,K492))</x:f>
        <x:v>-0.06046915050617507</x:v>
      </x:c>
      <x:c r="M492" s="36" t="n">
        <x:f>Assumptions!$B$19</x:f>
        <x:v>-0.04739891965741583</x:v>
      </x:c>
      <x:c r="N492" s="52" t="n">
        <x:f>H492*L492+(1-H492)*M492+O492</x:f>
        <x:v>-0.058508615878861185</x:v>
      </x:c>
      <x:c r="O492" s="36" t="n">
        <x:f>Assumptions!$B$10</x:f>
        <x:v>0</x:v>
      </x:c>
      <x:c r="P492" s="54" t="n">
        <x:f>E492*(1+N492)</x:f>
        <x:v>2098.5842952060184</x:v>
      </x:c>
      <x:c r="Q492" s="54" t="n">
        <x:f>P492-E492</x:f>
        <x:v>-130.4157047939816</x:v>
      </x:c>
      <x:c r="R492" s="16" t="str">
        <x:v>Yes</x:v>
      </x:c>
      <x:c r="S492" s="56" t="n">
        <x:v>17017</x:v>
      </x:c>
      <x:c r="T492" s="56" t="n">
        <x:v>21130</x:v>
      </x:c>
      <x:c r="U492" s="40" t="n">
        <x:f>E492*Assumptions!$B$8</x:f>
        <x:v>1894.6499999999999</x:v>
      </x:c>
      <x:c r="V492" s="40" t="n">
        <x:f>P492*Assumptions!$B$8</x:f>
        <x:v>1783.7966509251155</x:v>
      </x:c>
      <x:c r="W492" s="54" t="n">
        <x:f>V492-U492</x:f>
        <x:v>-110.85334907488436</x:v>
      </x:c>
      <x:c r="X492" s="58" t="n">
        <x:f>IF(R492="No","",W492*S492)</x:f>
        <x:v>-1886391.4412073072</x:v>
      </x:c>
      <x:c r="Y492" s="58" t="n">
        <x:f>IF(R492="No","",W492*T492*Assumptions!$B$9)</x:f>
        <x:v>-702699.379785692</x:v>
      </x:c>
      <x:c r="Z492" s="58" t="n">
        <x:f>IF(R492="No","",X492-Y492)</x:f>
        <x:v>-1183692.061421615</x:v>
      </x:c>
      <x:c r="AA492" s="58" t="n">
        <x:f>IF(R492="No","",MAX(0,-Z492))</x:f>
        <x:v>1183692.061421615</x:v>
      </x:c>
      <x:c r="AB492" s="52" t="n">
        <x:f>IF(OR(R492="No",U492*S492=0),"",AA492/(U492*S492))</x:f>
        <x:v>0.03671358055794087</x:v>
      </x:c>
      <x:c r="AC492" s="54" t="n">
        <x:f>IF(OR(R492="No",S492-T492*Assumptions!$B$9&lt;=0),"",AA492/(Assumptions!$B$8*(S492-T492*Assumptions!$B$9)))</x:f>
        <x:v>130.4157047939816</x:v>
      </x:c>
      <x:c r="AD492" s="52" t="n">
        <x:f>IF(OR(R492="No",U492*S492=0),"",AA492/(U492*S492))</x:f>
        <x:v>0.03671358055794087</x:v>
      </x:c>
      <x:c r="AE492" s="50" t="str">
        <x:f>IF(R492="No","No finance data",IF(AB492&gt;=10%,"Severe",IF(AB492&gt;=5%,"High",IF(AB492&gt;=2%,"Moderate","Low"))))</x:f>
        <x:v>Moderate</x:v>
      </x:c>
      <x:c r="AF492" s="60" t="n">
        <x:v>39.640904</x:v>
      </x:c>
      <x:c r="AG492" s="60" t="n">
        <x:v>-86.860363</x:v>
      </x:c>
      <x:c r="AH492" s="44" t="str">
        <x:v>Undergraduate tuition-contribution proxy only; not an audited total institutional budget.</x:v>
      </x:c>
    </x:row>
    <x:row r="493">
      <x:c r="A493" s="16" t="n">
        <x:v>150455</x:v>
      </x:c>
      <x:c r="B493" s="16" t="str">
        <x:v>Earlham College</x:v>
      </x:c>
      <x:c r="C493" s="16" t="str">
        <x:v>IN</x:v>
      </x:c>
      <x:c r="D493" s="16" t="str">
        <x:v>Private nonprofit</x:v>
      </x:c>
      <x:c r="E493" s="34" t="n">
        <x:v>935</x:v>
      </x:c>
      <x:c r="F493" s="21" t="n">
        <x:v>0.6908</x:v>
      </x:c>
      <x:c r="G493" s="16" t="str">
        <x:v>Regional</x:v>
      </x:c>
      <x:c r="H493" s="36" t="n">
        <x:f>IF(G493="National",Assumptions!$B$11,IF(G493="Statewide",Assumptions!$B$12,Assumptions!$B$13))</x:f>
        <x:v>0.85</x:v>
      </x:c>
      <x:c r="I493" s="21" t="n">
        <x:v>-0.05733630220335029</x:v>
      </x:c>
      <x:c r="J493" s="21" t="n">
        <x:v>-0.06046915050617507</x:v>
      </x:c>
      <x:c r="K493" s="21" t="n">
        <x:v>-0.10035471092354298</x:v>
      </x:c>
      <x:c r="L493" s="36" t="n">
        <x:f>IF(Assumptions!$B$4=2030,I493,IF(Assumptions!$B$4=2035,J493,K493))</x:f>
        <x:v>-0.06046915050617507</x:v>
      </x:c>
      <x:c r="M493" s="36" t="n">
        <x:f>Assumptions!$B$19</x:f>
        <x:v>-0.04739891965741583</x:v>
      </x:c>
      <x:c r="N493" s="52" t="n">
        <x:f>H493*L493+(1-H493)*M493+O493</x:f>
        <x:v>-0.058508615878861185</x:v>
      </x:c>
      <x:c r="O493" s="36" t="n">
        <x:f>Assumptions!$B$10</x:f>
        <x:v>0</x:v>
      </x:c>
      <x:c r="P493" s="54" t="n">
        <x:f>E493*(1+N493)</x:f>
        <x:v>880.2944441532649</x:v>
      </x:c>
      <x:c r="Q493" s="54" t="n">
        <x:f>P493-E493</x:f>
        <x:v>-54.70555584673514</x:v>
      </x:c>
      <x:c r="R493" s="16" t="str">
        <x:v>Yes</x:v>
      </x:c>
      <x:c r="S493" s="56" t="n">
        <x:v>10415</x:v>
      </x:c>
      <x:c r="T493" s="56" t="n">
        <x:v>25724</x:v>
      </x:c>
      <x:c r="U493" s="40" t="n">
        <x:f>E493*Assumptions!$B$8</x:f>
        <x:v>794.75</x:v>
      </x:c>
      <x:c r="V493" s="40" t="n">
        <x:f>P493*Assumptions!$B$8</x:f>
        <x:v>748.2502775302751</x:v>
      </x:c>
      <x:c r="W493" s="54" t="n">
        <x:f>V493-U493</x:f>
        <x:v>-46.49972246972493</x:v>
      </x:c>
      <x:c r="X493" s="58" t="n">
        <x:f>IF(R493="No","",W493*S493)</x:f>
        <x:v>-484294.6095221851</x:v>
      </x:c>
      <x:c r="Y493" s="58" t="n">
        <x:f>IF(R493="No","",W493*T493*Assumptions!$B$9)</x:f>
        <x:v>-358847.6582433612</x:v>
      </x:c>
      <x:c r="Z493" s="58" t="n">
        <x:f>IF(R493="No","",X493-Y493)</x:f>
        <x:v>-125446.9512788239</x:v>
      </x:c>
      <x:c r="AA493" s="58" t="n">
        <x:f>IF(R493="No","",MAX(0,-Z493))</x:f>
        <x:v>125446.9512788239</x:v>
      </x:c>
      <x:c r="AB493" s="52" t="n">
        <x:f>IF(OR(R493="No",U493*S493=0),"",AA493/(U493*S493))</x:f>
        <x:v>0.01515550109630261</x:v>
      </x:c>
      <x:c r="AC493" s="54" t="n">
        <x:f>IF(OR(R493="No",S493-T493*Assumptions!$B$9&lt;=0),"",AA493/(Assumptions!$B$8*(S493-T493*Assumptions!$B$9)))</x:f>
        <x:v>54.7055558467352</x:v>
      </x:c>
      <x:c r="AD493" s="52" t="n">
        <x:f>IF(OR(R493="No",U493*S493=0),"",AA493/(U493*S493))</x:f>
        <x:v>0.01515550109630261</x:v>
      </x:c>
      <x:c r="AE493" s="50" t="str">
        <x:f>IF(R493="No","No finance data",IF(AB493&gt;=10%,"Severe",IF(AB493&gt;=5%,"High",IF(AB493&gt;=2%,"Moderate","Low"))))</x:f>
        <x:v>Low</x:v>
      </x:c>
      <x:c r="AF493" s="60" t="n">
        <x:v>39.823431</x:v>
      </x:c>
      <x:c r="AG493" s="60" t="n">
        <x:v>-84.915037</x:v>
      </x:c>
      <x:c r="AH493" s="44" t="str">
        <x:v>Undergraduate tuition-contribution proxy only; not an audited total institutional budget.</x:v>
      </x:c>
    </x:row>
    <x:row r="494">
      <x:c r="A494" s="16" t="n">
        <x:v>150604</x:v>
      </x:c>
      <x:c r="B494" s="16" t="str">
        <x:v>Franklin College</x:v>
      </x:c>
      <x:c r="C494" s="16" t="str">
        <x:v>IN</x:v>
      </x:c>
      <x:c r="D494" s="16" t="str">
        <x:v>Private nonprofit</x:v>
      </x:c>
      <x:c r="E494" s="34" t="n">
        <x:v>1031</x:v>
      </x:c>
      <x:c r="F494" s="21" t="n">
        <x:v>0.9465</x:v>
      </x:c>
      <x:c r="G494" s="16" t="str">
        <x:v>Regional</x:v>
      </x:c>
      <x:c r="H494" s="36" t="n">
        <x:f>IF(G494="National",Assumptions!$B$11,IF(G494="Statewide",Assumptions!$B$12,Assumptions!$B$13))</x:f>
        <x:v>0.85</x:v>
      </x:c>
      <x:c r="I494" s="21" t="n">
        <x:v>-0.05733630220335029</x:v>
      </x:c>
      <x:c r="J494" s="21" t="n">
        <x:v>-0.06046915050617507</x:v>
      </x:c>
      <x:c r="K494" s="21" t="n">
        <x:v>-0.10035471092354298</x:v>
      </x:c>
      <x:c r="L494" s="36" t="n">
        <x:f>IF(Assumptions!$B$4=2030,I494,IF(Assumptions!$B$4=2035,J494,K494))</x:f>
        <x:v>-0.06046915050617507</x:v>
      </x:c>
      <x:c r="M494" s="36" t="n">
        <x:f>Assumptions!$B$19</x:f>
        <x:v>-0.04739891965741583</x:v>
      </x:c>
      <x:c r="N494" s="52" t="n">
        <x:f>H494*L494+(1-H494)*M494+O494</x:f>
        <x:v>-0.058508615878861185</x:v>
      </x:c>
      <x:c r="O494" s="36" t="n">
        <x:f>Assumptions!$B$10</x:f>
        <x:v>0</x:v>
      </x:c>
      <x:c r="P494" s="54" t="n">
        <x:f>E494*(1+N494)</x:f>
        <x:v>970.6776170288941</x:v>
      </x:c>
      <x:c r="Q494" s="54" t="n">
        <x:f>P494-E494</x:f>
        <x:v>-60.32238297110587</x:v>
      </x:c>
      <x:c r="R494" s="16" t="str">
        <x:v>Yes</x:v>
      </x:c>
      <x:c r="S494" s="56" t="n">
        <x:v>13208</x:v>
      </x:c>
      <x:c r="T494" s="56" t="n">
        <x:v>9304</x:v>
      </x:c>
      <x:c r="U494" s="40" t="n">
        <x:f>E494*Assumptions!$B$8</x:f>
        <x:v>876.35</x:v>
      </x:c>
      <x:c r="V494" s="40" t="n">
        <x:f>P494*Assumptions!$B$8</x:f>
        <x:v>825.07597447456</x:v>
      </x:c>
      <x:c r="W494" s="54" t="n">
        <x:f>V494-U494</x:f>
        <x:v>-51.27402552544004</x:v>
      </x:c>
      <x:c r="X494" s="58" t="n">
        <x:f>IF(R494="No","",W494*S494)</x:f>
        <x:v>-677227.329140012</x:v>
      </x:c>
      <x:c r="Y494" s="58" t="n">
        <x:f>IF(R494="No","",W494*T494*Assumptions!$B$9)</x:f>
        <x:v>-143116.06004660824</x:v>
      </x:c>
      <x:c r="Z494" s="58" t="n">
        <x:f>IF(R494="No","",X494-Y494)</x:f>
        <x:v>-534111.2690934038</x:v>
      </x:c>
      <x:c r="AA494" s="58" t="n">
        <x:f>IF(R494="No","",MAX(0,-Z494))</x:f>
        <x:v>534111.2690934038</x:v>
      </x:c>
      <x:c r="AB494" s="52" t="n">
        <x:f>IF(OR(R494="No",U494*S494=0),"",AA494/(U494*S494))</x:f>
        <x:v>0.04614419669040897</x:v>
      </x:c>
      <x:c r="AC494" s="54" t="n">
        <x:f>IF(OR(R494="No",S494-T494*Assumptions!$B$9&lt;=0),"",AA494/(Assumptions!$B$8*(S494-T494*Assumptions!$B$9)))</x:f>
        <x:v>60.32238297110594</x:v>
      </x:c>
      <x:c r="AD494" s="52" t="n">
        <x:f>IF(OR(R494="No",U494*S494=0),"",AA494/(U494*S494))</x:f>
        <x:v>0.04614419669040897</x:v>
      </x:c>
      <x:c r="AE494" s="50" t="str">
        <x:f>IF(R494="No","No finance data",IF(AB494&gt;=10%,"Severe",IF(AB494&gt;=5%,"High",IF(AB494&gt;=2%,"Moderate","Low"))))</x:f>
        <x:v>Moderate</x:v>
      </x:c>
      <x:c r="AF494" s="60" t="n">
        <x:v>39.478298</x:v>
      </x:c>
      <x:c r="AG494" s="60" t="n">
        <x:v>-86.047182</x:v>
      </x:c>
      <x:c r="AH494" s="44" t="str">
        <x:v>Undergraduate tuition-contribution proxy only; not an audited total institutional budget.</x:v>
      </x:c>
    </x:row>
    <x:row r="495">
      <x:c r="A495" s="16" t="n">
        <x:v>150668</x:v>
      </x:c>
      <x:c r="B495" s="16" t="str">
        <x:v>Goshen College</x:v>
      </x:c>
      <x:c r="C495" s="16" t="str">
        <x:v>IN</x:v>
      </x:c>
      <x:c r="D495" s="16" t="str">
        <x:v>Private nonprofit</x:v>
      </x:c>
      <x:c r="E495" s="34" t="n">
        <x:v>756</x:v>
      </x:c>
      <x:c r="F495" s="21" t="n">
        <x:v>0.9285</x:v>
      </x:c>
      <x:c r="G495" s="16" t="str">
        <x:v>Regional</x:v>
      </x:c>
      <x:c r="H495" s="36" t="n">
        <x:f>IF(G495="National",Assumptions!$B$11,IF(G495="Statewide",Assumptions!$B$12,Assumptions!$B$13))</x:f>
        <x:v>0.85</x:v>
      </x:c>
      <x:c r="I495" s="21" t="n">
        <x:v>-0.05733630220335029</x:v>
      </x:c>
      <x:c r="J495" s="21" t="n">
        <x:v>-0.06046915050617507</x:v>
      </x:c>
      <x:c r="K495" s="21" t="n">
        <x:v>-0.10035471092354298</x:v>
      </x:c>
      <x:c r="L495" s="36" t="n">
        <x:f>IF(Assumptions!$B$4=2030,I495,IF(Assumptions!$B$4=2035,J495,K495))</x:f>
        <x:v>-0.06046915050617507</x:v>
      </x:c>
      <x:c r="M495" s="36" t="n">
        <x:f>Assumptions!$B$19</x:f>
        <x:v>-0.04739891965741583</x:v>
      </x:c>
      <x:c r="N495" s="52" t="n">
        <x:f>H495*L495+(1-H495)*M495+O495</x:f>
        <x:v>-0.058508615878861185</x:v>
      </x:c>
      <x:c r="O495" s="36" t="n">
        <x:f>Assumptions!$B$10</x:f>
        <x:v>0</x:v>
      </x:c>
      <x:c r="P495" s="54" t="n">
        <x:f>E495*(1+N495)</x:f>
        <x:v>711.7674863955809</x:v>
      </x:c>
      <x:c r="Q495" s="54" t="n">
        <x:f>P495-E495</x:f>
        <x:v>-44.23251360441907</x:v>
      </x:c>
      <x:c r="R495" s="16" t="str">
        <x:v>Yes</x:v>
      </x:c>
      <x:c r="S495" s="56" t="n">
        <x:v>13874</x:v>
      </x:c>
      <x:c r="T495" s="56" t="n">
        <x:v>9353</x:v>
      </x:c>
      <x:c r="U495" s="40" t="n">
        <x:f>E495*Assumptions!$B$8</x:f>
        <x:v>642.6</x:v>
      </x:c>
      <x:c r="V495" s="40" t="n">
        <x:f>P495*Assumptions!$B$8</x:f>
        <x:v>605.0023634362437</x:v>
      </x:c>
      <x:c r="W495" s="54" t="n">
        <x:f>V495-U495</x:f>
        <x:v>-37.59763656375628</x:v>
      </x:c>
      <x:c r="X495" s="58" t="n">
        <x:f>IF(R495="No","",W495*S495)</x:f>
        <x:v>-521629.60968555463</x:v>
      </x:c>
      <x:c r="Y495" s="58" t="n">
        <x:f>IF(R495="No","",W495*T495*Assumptions!$B$9)</x:f>
        <x:v>-105495.20843424374</x:v>
      </x:c>
      <x:c r="Z495" s="58" t="n">
        <x:f>IF(R495="No","",X495-Y495)</x:f>
        <x:v>-416134.4012513109</x:v>
      </x:c>
      <x:c r="AA495" s="58" t="n">
        <x:f>IF(R495="No","",MAX(0,-Z495))</x:f>
        <x:v>416134.4012513109</x:v>
      </x:c>
      <x:c r="AB495" s="52" t="n">
        <x:f>IF(OR(R495="No",U495*S495=0),"",AA495/(U495*S495))</x:f>
        <x:v>0.04667573961430192</x:v>
      </x:c>
      <x:c r="AC495" s="54" t="n">
        <x:f>IF(OR(R495="No",S495-T495*Assumptions!$B$9&lt;=0),"",AA495/(Assumptions!$B$8*(S495-T495*Assumptions!$B$9)))</x:f>
        <x:v>44.232513604419154</x:v>
      </x:c>
      <x:c r="AD495" s="52" t="n">
        <x:f>IF(OR(R495="No",U495*S495=0),"",AA495/(U495*S495))</x:f>
        <x:v>0.04667573961430192</x:v>
      </x:c>
      <x:c r="AE495" s="50" t="str">
        <x:f>IF(R495="No","No finance data",IF(AB495&gt;=10%,"Severe",IF(AB495&gt;=5%,"High",IF(AB495&gt;=2%,"Moderate","Low"))))</x:f>
        <x:v>Moderate</x:v>
      </x:c>
      <x:c r="AF495" s="60" t="n">
        <x:v>41.563582</x:v>
      </x:c>
      <x:c r="AG495" s="60" t="n">
        <x:v>-85.827795</x:v>
      </x:c>
      <x:c r="AH495" s="44" t="str">
        <x:v>Undergraduate tuition-contribution proxy only; not an audited total institutional budget.</x:v>
      </x:c>
    </x:row>
    <x:row r="496">
      <x:c r="A496" s="16" t="n">
        <x:v>150677</x:v>
      </x:c>
      <x:c r="B496" s="16" t="str">
        <x:v>Grace College and Theological Seminary</x:v>
      </x:c>
      <x:c r="C496" s="16" t="str">
        <x:v>IN</x:v>
      </x:c>
      <x:c r="D496" s="16" t="str">
        <x:v>Private nonprofit</x:v>
      </x:c>
      <x:c r="E496" s="34" t="n">
        <x:v>1588</x:v>
      </x:c>
      <x:c r="F496" s="21" t="n">
        <x:v>0.8316</x:v>
      </x:c>
      <x:c r="G496" s="16" t="str">
        <x:v>Regional</x:v>
      </x:c>
      <x:c r="H496" s="36" t="n">
        <x:f>IF(G496="National",Assumptions!$B$11,IF(G496="Statewide",Assumptions!$B$12,Assumptions!$B$13))</x:f>
        <x:v>0.85</x:v>
      </x:c>
      <x:c r="I496" s="21" t="n">
        <x:v>-0.05733630220335029</x:v>
      </x:c>
      <x:c r="J496" s="21" t="n">
        <x:v>-0.06046915050617507</x:v>
      </x:c>
      <x:c r="K496" s="21" t="n">
        <x:v>-0.10035471092354298</x:v>
      </x:c>
      <x:c r="L496" s="36" t="n">
        <x:f>IF(Assumptions!$B$4=2030,I496,IF(Assumptions!$B$4=2035,J496,K496))</x:f>
        <x:v>-0.06046915050617507</x:v>
      </x:c>
      <x:c r="M496" s="36" t="n">
        <x:f>Assumptions!$B$19</x:f>
        <x:v>-0.04739891965741583</x:v>
      </x:c>
      <x:c r="N496" s="52" t="n">
        <x:f>H496*L496+(1-H496)*M496+O496</x:f>
        <x:v>-0.058508615878861185</x:v>
      </x:c>
      <x:c r="O496" s="36" t="n">
        <x:f>Assumptions!$B$10</x:f>
        <x:v>0</x:v>
      </x:c>
      <x:c r="P496" s="54" t="n">
        <x:f>E496*(1+N496)</x:f>
        <x:v>1495.0883179843686</x:v>
      </x:c>
      <x:c r="Q496" s="54" t="n">
        <x:f>P496-E496</x:f>
        <x:v>-92.91168201563141</x:v>
      </x:c>
      <x:c r="R496" s="16" t="str">
        <x:v>Yes</x:v>
      </x:c>
      <x:c r="S496" s="56" t="n">
        <x:v>7942</x:v>
      </x:c>
      <x:c r="T496" s="56" t="n">
        <x:v>6411</x:v>
      </x:c>
      <x:c r="U496" s="40" t="n">
        <x:f>E496*Assumptions!$B$8</x:f>
        <x:v>1349.8</x:v>
      </x:c>
      <x:c r="V496" s="40" t="n">
        <x:f>P496*Assumptions!$B$8</x:f>
        <x:v>1270.8250702867133</x:v>
      </x:c>
      <x:c r="W496" s="54" t="n">
        <x:f>V496-U496</x:f>
        <x:v>-78.97492971328666</x:v>
      </x:c>
      <x:c r="X496" s="58" t="n">
        <x:f>IF(R496="No","",W496*S496)</x:f>
        <x:v>-627218.8917829227</x:v>
      </x:c>
      <x:c r="Y496" s="58" t="n">
        <x:f>IF(R496="No","",W496*T496*Assumptions!$B$9)</x:f>
        <x:v>-151892.48231756422</x:v>
      </x:c>
      <x:c r="Z496" s="58" t="n">
        <x:f>IF(R496="No","",X496-Y496)</x:f>
        <x:v>-475326.4094653585</x:v>
      </x:c>
      <x:c r="AA496" s="58" t="n">
        <x:f>IF(R496="No","",MAX(0,-Z496))</x:f>
        <x:v>475326.4094653585</x:v>
      </x:c>
      <x:c r="AB496" s="52" t="n">
        <x:f>IF(OR(R496="No",U496*S496=0),"",AA496/(U496*S496))</x:f>
        <x:v>0.04433968854068259</x:v>
      </x:c>
      <x:c r="AC496" s="54" t="n">
        <x:f>IF(OR(R496="No",S496-T496*Assumptions!$B$9&lt;=0),"",AA496/(Assumptions!$B$8*(S496-T496*Assumptions!$B$9)))</x:f>
        <x:v>92.91168201563138</x:v>
      </x:c>
      <x:c r="AD496" s="52" t="n">
        <x:f>IF(OR(R496="No",U496*S496=0),"",AA496/(U496*S496))</x:f>
        <x:v>0.04433968854068259</x:v>
      </x:c>
      <x:c r="AE496" s="50" t="str">
        <x:f>IF(R496="No","No finance data",IF(AB496&gt;=10%,"Severe",IF(AB496&gt;=5%,"High",IF(AB496&gt;=2%,"Moderate","Low"))))</x:f>
        <x:v>Moderate</x:v>
      </x:c>
      <x:c r="AF496" s="60" t="n">
        <x:v>41.22595</x:v>
      </x:c>
      <x:c r="AG496" s="60" t="n">
        <x:v>-85.814228</x:v>
      </x:c>
      <x:c r="AH496" s="44" t="str">
        <x:v>Undergraduate tuition-contribution proxy only; not an audited total institutional budget.</x:v>
      </x:c>
    </x:row>
    <x:row r="497">
      <x:c r="A497" s="16" t="n">
        <x:v>150756</x:v>
      </x:c>
      <x:c r="B497" s="16" t="str">
        <x:v>Hanover College</x:v>
      </x:c>
      <x:c r="C497" s="16" t="str">
        <x:v>IN</x:v>
      </x:c>
      <x:c r="D497" s="16" t="str">
        <x:v>Private nonprofit</x:v>
      </x:c>
      <x:c r="E497" s="34" t="n">
        <x:v>1127</x:v>
      </x:c>
      <x:c r="F497" s="21" t="n">
        <x:v>0.7279</x:v>
      </x:c>
      <x:c r="G497" s="16" t="str">
        <x:v>Regional</x:v>
      </x:c>
      <x:c r="H497" s="36" t="n">
        <x:f>IF(G497="National",Assumptions!$B$11,IF(G497="Statewide",Assumptions!$B$12,Assumptions!$B$13))</x:f>
        <x:v>0.85</x:v>
      </x:c>
      <x:c r="I497" s="21" t="n">
        <x:v>-0.05733630220335029</x:v>
      </x:c>
      <x:c r="J497" s="21" t="n">
        <x:v>-0.06046915050617507</x:v>
      </x:c>
      <x:c r="K497" s="21" t="n">
        <x:v>-0.10035471092354298</x:v>
      </x:c>
      <x:c r="L497" s="36" t="n">
        <x:f>IF(Assumptions!$B$4=2030,I497,IF(Assumptions!$B$4=2035,J497,K497))</x:f>
        <x:v>-0.06046915050617507</x:v>
      </x:c>
      <x:c r="M497" s="36" t="n">
        <x:f>Assumptions!$B$19</x:f>
        <x:v>-0.04739891965741583</x:v>
      </x:c>
      <x:c r="N497" s="52" t="n">
        <x:f>H497*L497+(1-H497)*M497+O497</x:f>
        <x:v>-0.058508615878861185</x:v>
      </x:c>
      <x:c r="O497" s="36" t="n">
        <x:f>Assumptions!$B$10</x:f>
        <x:v>0</x:v>
      </x:c>
      <x:c r="P497" s="54" t="n">
        <x:f>E497*(1+N497)</x:f>
        <x:v>1061.0607899045235</x:v>
      </x:c>
      <x:c r="Q497" s="54" t="n">
        <x:f>P497-E497</x:f>
        <x:v>-65.93921009547648</x:v>
      </x:c>
      <x:c r="R497" s="16" t="str">
        <x:v>Yes</x:v>
      </x:c>
      <x:c r="S497" s="56" t="n">
        <x:v>17707</x:v>
      </x:c>
      <x:c r="T497" s="56" t="n">
        <x:v>15579</x:v>
      </x:c>
      <x:c r="U497" s="40" t="n">
        <x:f>E497*Assumptions!$B$8</x:f>
        <x:v>957.9499999999999</x:v>
      </x:c>
      <x:c r="V497" s="40" t="n">
        <x:f>P497*Assumptions!$B$8</x:f>
        <x:v>901.901671418845</x:v>
      </x:c>
      <x:c r="W497" s="54" t="n">
        <x:f>V497-U497</x:f>
        <x:v>-56.04832858115492</x:v>
      </x:c>
      <x:c r="X497" s="58" t="n">
        <x:f>IF(R497="No","",W497*S497)</x:f>
        <x:v>-992447.7541865101</x:v>
      </x:c>
      <x:c r="Y497" s="58" t="n">
        <x:f>IF(R497="No","",W497*T497*Assumptions!$B$9)</x:f>
        <x:v>-261953.07328974374</x:v>
      </x:c>
      <x:c r="Z497" s="58" t="n">
        <x:f>IF(R497="No","",X497-Y497)</x:f>
        <x:v>-730494.6808967664</x:v>
      </x:c>
      <x:c r="AA497" s="58" t="n">
        <x:f>IF(R497="No","",MAX(0,-Z497))</x:f>
        <x:v>730494.6808967664</x:v>
      </x:c>
      <x:c r="AB497" s="52" t="n">
        <x:f>IF(OR(R497="No",U497*S497=0),"",AA497/(U497*S497))</x:f>
        <x:v>0.04306547372982207</x:v>
      </x:c>
      <x:c r="AC497" s="54" t="n">
        <x:f>IF(OR(R497="No",S497-T497*Assumptions!$B$9&lt;=0),"",AA497/(Assumptions!$B$8*(S497-T497*Assumptions!$B$9)))</x:f>
        <x:v>65.93921009547638</x:v>
      </x:c>
      <x:c r="AD497" s="52" t="n">
        <x:f>IF(OR(R497="No",U497*S497=0),"",AA497/(U497*S497))</x:f>
        <x:v>0.04306547372982207</x:v>
      </x:c>
      <x:c r="AE497" s="50" t="str">
        <x:f>IF(R497="No","No finance data",IF(AB497&gt;=10%,"Severe",IF(AB497&gt;=5%,"High",IF(AB497&gt;=2%,"Moderate","Low"))))</x:f>
        <x:v>Moderate</x:v>
      </x:c>
      <x:c r="AF497" s="60" t="n">
        <x:v>38.715642</x:v>
      </x:c>
      <x:c r="AG497" s="60" t="n">
        <x:v>-85.460051</x:v>
      </x:c>
      <x:c r="AH497" s="44" t="str">
        <x:v>Undergraduate tuition-contribution proxy only; not an audited total institutional budget.</x:v>
      </x:c>
    </x:row>
    <x:row r="498">
      <x:c r="A498" s="16" t="n">
        <x:v>150774</x:v>
      </x:c>
      <x:c r="B498" s="16" t="str">
        <x:v>Holy Cross College</x:v>
      </x:c>
      <x:c r="C498" s="16" t="str">
        <x:v>IN</x:v>
      </x:c>
      <x:c r="D498" s="16" t="str">
        <x:v>Private nonprofit</x:v>
      </x:c>
      <x:c r="E498" s="34" t="n">
        <x:v>544</x:v>
      </x:c>
      <x:c r="F498" s="21"/>
      <x:c r="G498" s="16" t="str">
        <x:v>Regional</x:v>
      </x:c>
      <x:c r="H498" s="36" t="n">
        <x:f>IF(G498="National",Assumptions!$B$11,IF(G498="Statewide",Assumptions!$B$12,Assumptions!$B$13))</x:f>
        <x:v>0.85</x:v>
      </x:c>
      <x:c r="I498" s="21" t="n">
        <x:v>-0.05733630220335029</x:v>
      </x:c>
      <x:c r="J498" s="21" t="n">
        <x:v>-0.06046915050617507</x:v>
      </x:c>
      <x:c r="K498" s="21" t="n">
        <x:v>-0.10035471092354298</x:v>
      </x:c>
      <x:c r="L498" s="36" t="n">
        <x:f>IF(Assumptions!$B$4=2030,I498,IF(Assumptions!$B$4=2035,J498,K498))</x:f>
        <x:v>-0.06046915050617507</x:v>
      </x:c>
      <x:c r="M498" s="36" t="n">
        <x:f>Assumptions!$B$19</x:f>
        <x:v>-0.04739891965741583</x:v>
      </x:c>
      <x:c r="N498" s="52" t="n">
        <x:f>H498*L498+(1-H498)*M498+O498</x:f>
        <x:v>-0.058508615878861185</x:v>
      </x:c>
      <x:c r="O498" s="36" t="n">
        <x:f>Assumptions!$B$10</x:f>
        <x:v>0</x:v>
      </x:c>
      <x:c r="P498" s="54" t="n">
        <x:f>E498*(1+N498)</x:f>
        <x:v>512.1713129618995</x:v>
      </x:c>
      <x:c r="Q498" s="54" t="n">
        <x:f>P498-E498</x:f>
        <x:v>-31.828687038100497</x:v>
      </x:c>
      <x:c r="R498" s="16" t="str">
        <x:v>No</x:v>
      </x:c>
      <x:c r="S498" s="56"/>
      <x:c r="T498" s="56"/>
      <x:c r="U498" s="40" t="n">
        <x:f>E498*Assumptions!$B$8</x:f>
        <x:v>462.4</x:v>
      </x:c>
      <x:c r="V498" s="40" t="n">
        <x:f>P498*Assumptions!$B$8</x:f>
        <x:v>435.3456160176146</x:v>
      </x:c>
      <x:c r="W498" s="54" t="n">
        <x:f>V498-U498</x:f>
        <x:v>-27.05438398238539</x:v>
      </x:c>
      <x:c r="X498" s="58" t="str">
        <x:f>IF(R498="No","",W498*S498)</x:f>
      </x:c>
      <x:c r="Y498" s="58" t="str">
        <x:f>IF(R498="No","",W498*T498*Assumptions!$B$9)</x:f>
      </x:c>
      <x:c r="Z498" s="58" t="str">
        <x:f>IF(R498="No","",X498-Y498)</x:f>
      </x:c>
      <x:c r="AA498" s="58" t="str">
        <x:f>IF(R498="No","",MAX(0,-Z498))</x:f>
      </x:c>
      <x:c r="AB498" s="52" t="str">
        <x:f>IF(OR(R498="No",U498*S498=0),"",AA498/(U498*S498))</x:f>
      </x:c>
      <x:c r="AC498" s="54" t="str">
        <x:f>IF(OR(R498="No",S498-T498*Assumptions!$B$9&lt;=0),"",AA498/(Assumptions!$B$8*(S498-T498*Assumptions!$B$9)))</x:f>
      </x:c>
      <x:c r="AD498" s="52" t="str">
        <x:f>IF(OR(R498="No",U498*S498=0),"",AA498/(U498*S498))</x:f>
      </x:c>
      <x:c r="AE498" s="50" t="str">
        <x:f>IF(R498="No","No finance data",IF(AB498&gt;=10%,"Severe",IF(AB498&gt;=5%,"High",IF(AB498&gt;=2%,"Moderate","Low"))))</x:f>
        <x:v>No finance data</x:v>
      </x:c>
      <x:c r="AF498" s="60"/>
      <x:c r="AG498" s="60"/>
      <x:c r="AH498" s="44" t="str">
        <x:v>Undergraduate tuition-contribution proxy only; not an audited total institutional budget.</x:v>
      </x:c>
    </x:row>
    <x:row r="499">
      <x:c r="A499" s="16" t="n">
        <x:v>150941</x:v>
      </x:c>
      <x:c r="B499" s="16" t="str">
        <x:v>Huntington University</x:v>
      </x:c>
      <x:c r="C499" s="16" t="str">
        <x:v>IN</x:v>
      </x:c>
      <x:c r="D499" s="16" t="str">
        <x:v>Private nonprofit</x:v>
      </x:c>
      <x:c r="E499" s="34" t="n">
        <x:v>926</x:v>
      </x:c>
      <x:c r="F499" s="21" t="n">
        <x:v>0.7877</x:v>
      </x:c>
      <x:c r="G499" s="16" t="str">
        <x:v>Regional</x:v>
      </x:c>
      <x:c r="H499" s="36" t="n">
        <x:f>IF(G499="National",Assumptions!$B$11,IF(G499="Statewide",Assumptions!$B$12,Assumptions!$B$13))</x:f>
        <x:v>0.85</x:v>
      </x:c>
      <x:c r="I499" s="21" t="n">
        <x:v>-0.05733630220335029</x:v>
      </x:c>
      <x:c r="J499" s="21" t="n">
        <x:v>-0.06046915050617507</x:v>
      </x:c>
      <x:c r="K499" s="21" t="n">
        <x:v>-0.10035471092354298</x:v>
      </x:c>
      <x:c r="L499" s="36" t="n">
        <x:f>IF(Assumptions!$B$4=2030,I499,IF(Assumptions!$B$4=2035,J499,K499))</x:f>
        <x:v>-0.06046915050617507</x:v>
      </x:c>
      <x:c r="M499" s="36" t="n">
        <x:f>Assumptions!$B$19</x:f>
        <x:v>-0.04739891965741583</x:v>
      </x:c>
      <x:c r="N499" s="52" t="n">
        <x:f>H499*L499+(1-H499)*M499+O499</x:f>
        <x:v>-0.058508615878861185</x:v>
      </x:c>
      <x:c r="O499" s="36" t="n">
        <x:f>Assumptions!$B$10</x:f>
        <x:v>0</x:v>
      </x:c>
      <x:c r="P499" s="54" t="n">
        <x:f>E499*(1+N499)</x:f>
        <x:v>871.8210216961746</x:v>
      </x:c>
      <x:c r="Q499" s="54" t="n">
        <x:f>P499-E499</x:f>
        <x:v>-54.178978303825374</x:v>
      </x:c>
      <x:c r="R499" s="16" t="str">
        <x:v>Yes</x:v>
      </x:c>
      <x:c r="S499" s="56" t="n">
        <x:v>14253</x:v>
      </x:c>
      <x:c r="T499" s="56" t="n">
        <x:v>10857</x:v>
      </x:c>
      <x:c r="U499" s="40" t="n">
        <x:f>E499*Assumptions!$B$8</x:f>
        <x:v>787.1</x:v>
      </x:c>
      <x:c r="V499" s="40" t="n">
        <x:f>P499*Assumptions!$B$8</x:f>
        <x:v>741.0478684417484</x:v>
      </x:c>
      <x:c r="W499" s="54" t="n">
        <x:f>V499-U499</x:f>
        <x:v>-46.05213155825163</x:v>
      </x:c>
      <x:c r="X499" s="58" t="n">
        <x:f>IF(R499="No","",W499*S499)</x:f>
        <x:v>-656381.0310997604</x:v>
      </x:c>
      <x:c r="Y499" s="58" t="n">
        <x:f>IF(R499="No","",W499*T499*Assumptions!$B$9)</x:f>
        <x:v>-149996.3976983814</x:v>
      </x:c>
      <x:c r="Z499" s="58" t="n">
        <x:f>IF(R499="No","",X499-Y499)</x:f>
        <x:v>-506384.63340137905</x:v>
      </x:c>
      <x:c r="AA499" s="58" t="n">
        <x:f>IF(R499="No","",MAX(0,-Z499))</x:f>
        <x:v>506384.63340137905</x:v>
      </x:c>
      <x:c r="AB499" s="52" t="n">
        <x:f>IF(OR(R499="No",U499*S499=0),"",AA499/(U499*S499))</x:f>
        <x:v>0.04513820875200796</x:v>
      </x:c>
      <x:c r="AC499" s="54" t="n">
        <x:f>IF(OR(R499="No",S499-T499*Assumptions!$B$9&lt;=0),"",AA499/(Assumptions!$B$8*(S499-T499*Assumptions!$B$9)))</x:f>
        <x:v>54.178978303825446</x:v>
      </x:c>
      <x:c r="AD499" s="52" t="n">
        <x:f>IF(OR(R499="No",U499*S499=0),"",AA499/(U499*S499))</x:f>
        <x:v>0.04513820875200796</x:v>
      </x:c>
      <x:c r="AE499" s="50" t="str">
        <x:f>IF(R499="No","No finance data",IF(AB499&gt;=10%,"Severe",IF(AB499&gt;=5%,"High",IF(AB499&gt;=2%,"Moderate","Low"))))</x:f>
        <x:v>Moderate</x:v>
      </x:c>
      <x:c r="AF499" s="60" t="n">
        <x:v>40.898152</x:v>
      </x:c>
      <x:c r="AG499" s="60" t="n">
        <x:v>-85.497317</x:v>
      </x:c>
      <x:c r="AH499" s="44" t="str">
        <x:v>Undergraduate tuition-contribution proxy only; not an audited total institutional budget.</x:v>
      </x:c>
    </x:row>
    <x:row r="500">
      <x:c r="A500" s="16" t="n">
        <x:v>151290</x:v>
      </x:c>
      <x:c r="B500" s="16" t="str">
        <x:v>Indiana Institute of Technology</x:v>
      </x:c>
      <x:c r="C500" s="16" t="str">
        <x:v>IN</x:v>
      </x:c>
      <x:c r="D500" s="16" t="str">
        <x:v>Private nonprofit</x:v>
      </x:c>
      <x:c r="E500" s="34" t="n">
        <x:v>6783</x:v>
      </x:c>
      <x:c r="F500" s="21" t="n">
        <x:v>0.6501</x:v>
      </x:c>
      <x:c r="G500" s="16" t="str">
        <x:v>Regional</x:v>
      </x:c>
      <x:c r="H500" s="36" t="n">
        <x:f>IF(G500="National",Assumptions!$B$11,IF(G500="Statewide",Assumptions!$B$12,Assumptions!$B$13))</x:f>
        <x:v>0.85</x:v>
      </x:c>
      <x:c r="I500" s="21" t="n">
        <x:v>-0.05733630220335029</x:v>
      </x:c>
      <x:c r="J500" s="21" t="n">
        <x:v>-0.06046915050617507</x:v>
      </x:c>
      <x:c r="K500" s="21" t="n">
        <x:v>-0.10035471092354298</x:v>
      </x:c>
      <x:c r="L500" s="36" t="n">
        <x:f>IF(Assumptions!$B$4=2030,I500,IF(Assumptions!$B$4=2035,J500,K500))</x:f>
        <x:v>-0.06046915050617507</x:v>
      </x:c>
      <x:c r="M500" s="36" t="n">
        <x:f>Assumptions!$B$19</x:f>
        <x:v>-0.04739891965741583</x:v>
      </x:c>
      <x:c r="N500" s="52" t="n">
        <x:f>H500*L500+(1-H500)*M500+O500</x:f>
        <x:v>-0.058508615878861185</x:v>
      </x:c>
      <x:c r="O500" s="36" t="n">
        <x:f>Assumptions!$B$10</x:f>
        <x:v>0</x:v>
      </x:c>
      <x:c r="P500" s="54" t="n">
        <x:f>E500*(1+N500)</x:f>
        <x:v>6386.136058493685</x:v>
      </x:c>
      <x:c r="Q500" s="54" t="n">
        <x:f>P500-E500</x:f>
        <x:v>-396.8639415063153</x:v>
      </x:c>
      <x:c r="R500" s="16" t="str">
        <x:v>Yes</x:v>
      </x:c>
      <x:c r="S500" s="56" t="n">
        <x:v>4969</x:v>
      </x:c>
      <x:c r="T500" s="56" t="n">
        <x:v>2973</x:v>
      </x:c>
      <x:c r="U500" s="40" t="n">
        <x:f>E500*Assumptions!$B$8</x:f>
        <x:v>5765.55</x:v>
      </x:c>
      <x:c r="V500" s="40" t="n">
        <x:f>P500*Assumptions!$B$8</x:f>
        <x:v>5428.215649719632</x:v>
      </x:c>
      <x:c r="W500" s="54" t="n">
        <x:f>V500-U500</x:f>
        <x:v>-337.3343502803682</x:v>
      </x:c>
      <x:c r="X500" s="58" t="n">
        <x:f>IF(R500="No","",W500*S500)</x:f>
        <x:v>-1676214.3865431496</x:v>
      </x:c>
      <x:c r="Y500" s="58" t="n">
        <x:f>IF(R500="No","",W500*T500*Assumptions!$B$9)</x:f>
        <x:v>-300868.5070150604</x:v>
      </x:c>
      <x:c r="Z500" s="58" t="n">
        <x:f>IF(R500="No","",X500-Y500)</x:f>
        <x:v>-1375345.8795280892</x:v>
      </x:c>
      <x:c r="AA500" s="58" t="n">
        <x:f>IF(R500="No","",MAX(0,-Z500))</x:f>
        <x:v>1375345.8795280892</x:v>
      </x:c>
      <x:c r="AB500" s="52" t="n">
        <x:f>IF(OR(R500="No",U500*S500=0),"",AA500/(U500*S500))</x:f>
        <x:v>0.048006737331395655</x:v>
      </x:c>
      <x:c r="AC500" s="54" t="n">
        <x:f>IF(OR(R500="No",S500-T500*Assumptions!$B$9&lt;=0),"",AA500/(Assumptions!$B$8*(S500-T500*Assumptions!$B$9)))</x:f>
        <x:v>396.86394150631554</x:v>
      </x:c>
      <x:c r="AD500" s="52" t="n">
        <x:f>IF(OR(R500="No",U500*S500=0),"",AA500/(U500*S500))</x:f>
        <x:v>0.048006737331395655</x:v>
      </x:c>
      <x:c r="AE500" s="50" t="str">
        <x:f>IF(R500="No","No finance data",IF(AB500&gt;=10%,"Severe",IF(AB500&gt;=5%,"High",IF(AB500&gt;=2%,"Moderate","Low"))))</x:f>
        <x:v>Moderate</x:v>
      </x:c>
      <x:c r="AF500" s="60" t="n">
        <x:v>41.078365</x:v>
      </x:c>
      <x:c r="AG500" s="60" t="n">
        <x:v>-85.116479</x:v>
      </x:c>
      <x:c r="AH500" s="44" t="str">
        <x:v>Undergraduate tuition-contribution proxy only; not an audited total institutional budget.</x:v>
      </x:c>
    </x:row>
    <x:row r="501">
      <x:c r="A501" s="16" t="n">
        <x:v>151324</x:v>
      </x:c>
      <x:c r="B501" s="16" t="str">
        <x:v>Indiana State University</x:v>
      </x:c>
      <x:c r="C501" s="16" t="str">
        <x:v>IN</x:v>
      </x:c>
      <x:c r="D501" s="16" t="str">
        <x:v>Public</x:v>
      </x:c>
      <x:c r="E501" s="34" t="n">
        <x:v>10737</x:v>
      </x:c>
      <x:c r="F501" s="21" t="n">
        <x:v>0.9368</x:v>
      </x:c>
      <x:c r="G501" s="16" t="str">
        <x:v>Statewide</x:v>
      </x:c>
      <x:c r="H501" s="36" t="n">
        <x:f>IF(G501="National",Assumptions!$B$11,IF(G501="Statewide",Assumptions!$B$12,Assumptions!$B$13))</x:f>
        <x:v>0.6</x:v>
      </x:c>
      <x:c r="I501" s="21" t="n">
        <x:v>-0.05733630220335029</x:v>
      </x:c>
      <x:c r="J501" s="21" t="n">
        <x:v>-0.06046915050617507</x:v>
      </x:c>
      <x:c r="K501" s="21" t="n">
        <x:v>-0.10035471092354298</x:v>
      </x:c>
      <x:c r="L501" s="36" t="n">
        <x:f>IF(Assumptions!$B$4=2030,I501,IF(Assumptions!$B$4=2035,J501,K501))</x:f>
        <x:v>-0.06046915050617507</x:v>
      </x:c>
      <x:c r="M501" s="36" t="n">
        <x:f>Assumptions!$B$19</x:f>
        <x:v>-0.04739891965741583</x:v>
      </x:c>
      <x:c r="N501" s="52" t="n">
        <x:f>H501*L501+(1-H501)*M501+O501</x:f>
        <x:v>-0.055241058166671374</x:v>
      </x:c>
      <x:c r="O501" s="36" t="n">
        <x:f>Assumptions!$B$10</x:f>
        <x:v>0</x:v>
      </x:c>
      <x:c r="P501" s="54" t="n">
        <x:f>E501*(1+N501)</x:f>
        <x:v>10143.87675846445</x:v>
      </x:c>
      <x:c r="Q501" s="54" t="n">
        <x:f>P501-E501</x:f>
        <x:v>-593.1232415355498</x:v>
      </x:c>
      <x:c r="R501" s="16" t="str">
        <x:v>Yes</x:v>
      </x:c>
      <x:c r="S501" s="56" t="n">
        <x:v>6527</x:v>
      </x:c>
      <x:c r="T501" s="56" t="n">
        <x:v>9989</x:v>
      </x:c>
      <x:c r="U501" s="40" t="n">
        <x:f>E501*Assumptions!$B$8</x:f>
        <x:v>9126.449999999999</x:v>
      </x:c>
      <x:c r="V501" s="40" t="n">
        <x:f>P501*Assumptions!$B$8</x:f>
        <x:v>8622.295244694782</x:v>
      </x:c>
      <x:c r="W501" s="54" t="n">
        <x:f>V501-U501</x:f>
        <x:v>-504.1547553052169</x:v>
      </x:c>
      <x:c r="X501" s="58" t="n">
        <x:f>IF(R501="No","",W501*S501)</x:f>
        <x:v>-3290618.0878771506</x:v>
      </x:c>
      <x:c r="Y501" s="58" t="n">
        <x:f>IF(R501="No","",W501*T501*Assumptions!$B$9)</x:f>
        <x:v>-1510800.5552231434</x:v>
      </x:c>
      <x:c r="Z501" s="58" t="n">
        <x:f>IF(R501="No","",X501-Y501)</x:f>
        <x:v>-1779817.5326540072</x:v>
      </x:c>
      <x:c r="AA501" s="58" t="n">
        <x:f>IF(R501="No","",MAX(0,-Z501))</x:f>
        <x:v>1779817.5326540072</x:v>
      </x:c>
      <x:c r="AB501" s="52" t="n">
        <x:f>IF(OR(R501="No",U501*S501=0),"",AA501/(U501*S501))</x:f>
        <x:v>0.029878582449180263</x:v>
      </x:c>
      <x:c r="AC501" s="54" t="n">
        <x:f>IF(OR(R501="No",S501-T501*Assumptions!$B$9&lt;=0),"",AA501/(Assumptions!$B$8*(S501-T501*Assumptions!$B$9)))</x:f>
        <x:v>593.1232415355493</x:v>
      </x:c>
      <x:c r="AD501" s="52" t="n">
        <x:f>IF(OR(R501="No",U501*S501=0),"",AA501/(U501*S501))</x:f>
        <x:v>0.029878582449180263</x:v>
      </x:c>
      <x:c r="AE501" s="50" t="str">
        <x:f>IF(R501="No","No finance data",IF(AB501&gt;=10%,"Severe",IF(AB501&gt;=5%,"High",IF(AB501&gt;=2%,"Moderate","Low"))))</x:f>
        <x:v>Moderate</x:v>
      </x:c>
      <x:c r="AF501" s="60" t="n">
        <x:v>39.469073</x:v>
      </x:c>
      <x:c r="AG501" s="60" t="n">
        <x:v>-87.407846</x:v>
      </x:c>
      <x:c r="AH501" s="44" t="str">
        <x:v>Undergraduate tuition-contribution proxy only; not an audited total institutional budget.</x:v>
      </x:c>
    </x:row>
    <x:row r="502">
      <x:c r="A502" s="16" t="n">
        <x:v>151351</x:v>
      </x:c>
      <x:c r="B502" s="16" t="str">
        <x:v>Indiana University-Bloomington</x:v>
      </x:c>
      <x:c r="C502" s="16" t="str">
        <x:v>IN</x:v>
      </x:c>
      <x:c r="D502" s="16" t="str">
        <x:v>Public</x:v>
      </x:c>
      <x:c r="E502" s="34" t="n">
        <x:v>32694</x:v>
      </x:c>
      <x:c r="F502" s="21" t="n">
        <x:v>0.8504</x:v>
      </x:c>
      <x:c r="G502" s="16" t="str">
        <x:v>National</x:v>
      </x:c>
      <x:c r="H502" s="36" t="n">
        <x:f>IF(G502="National",Assumptions!$B$11,IF(G502="Statewide",Assumptions!$B$12,Assumptions!$B$13))</x:f>
        <x:v>0.25</x:v>
      </x:c>
      <x:c r="I502" s="21" t="n">
        <x:v>-0.05733630220335029</x:v>
      </x:c>
      <x:c r="J502" s="21" t="n">
        <x:v>-0.06046915050617507</x:v>
      </x:c>
      <x:c r="K502" s="21" t="n">
        <x:v>-0.10035471092354298</x:v>
      </x:c>
      <x:c r="L502" s="36" t="n">
        <x:f>IF(Assumptions!$B$4=2030,I502,IF(Assumptions!$B$4=2035,J502,K502))</x:f>
        <x:v>-0.06046915050617507</x:v>
      </x:c>
      <x:c r="M502" s="36" t="n">
        <x:f>Assumptions!$B$19</x:f>
        <x:v>-0.04739891965741583</x:v>
      </x:c>
      <x:c r="N502" s="52" t="n">
        <x:f>H502*L502+(1-H502)*M502+O502</x:f>
        <x:v>-0.05066647736960564</x:v>
      </x:c>
      <x:c r="O502" s="36" t="n">
        <x:f>Assumptions!$B$10</x:f>
        <x:v>0</x:v>
      </x:c>
      <x:c r="P502" s="54" t="n">
        <x:f>E502*(1+N502)</x:f>
        <x:v>31037.510188878114</x:v>
      </x:c>
      <x:c r="Q502" s="54" t="n">
        <x:f>P502-E502</x:f>
        <x:v>-1656.4898111218863</x:v>
      </x:c>
      <x:c r="R502" s="16" t="str">
        <x:v>Yes</x:v>
      </x:c>
      <x:c r="S502" s="56" t="n">
        <x:v>19186</x:v>
      </x:c>
      <x:c r="T502" s="56" t="n">
        <x:v>15417</x:v>
      </x:c>
      <x:c r="U502" s="40" t="n">
        <x:f>E502*Assumptions!$B$8</x:f>
        <x:v>27789.899999999998</x:v>
      </x:c>
      <x:c r="V502" s="40" t="n">
        <x:f>P502*Assumptions!$B$8</x:f>
        <x:v>26381.883660546395</x:v>
      </x:c>
      <x:c r="W502" s="54" t="n">
        <x:f>V502-U502</x:f>
        <x:v>-1408.016339453603</x:v>
      </x:c>
      <x:c r="X502" s="58" t="n">
        <x:f>IF(R502="No","",W502*S502)</x:f>
        <x:v>-27014201.488756828</x:v>
      </x:c>
      <x:c r="Y502" s="58" t="n">
        <x:f>IF(R502="No","",W502*T502*Assumptions!$B$9)</x:f>
        <x:v>-6512216.371606859</x:v>
      </x:c>
      <x:c r="Z502" s="58" t="n">
        <x:f>IF(R502="No","",X502-Y502)</x:f>
        <x:v>-20501985.117149968</x:v>
      </x:c>
      <x:c r="AA502" s="58" t="n">
        <x:f>IF(R502="No","",MAX(0,-Z502))</x:f>
        <x:v>20501985.117149968</x:v>
      </x:c>
      <x:c r="AB502" s="52" t="n">
        <x:f>IF(OR(R502="No",U502*S502=0),"",AA502/(U502*S502))</x:f>
        <x:v>0.03845249193844941</x:v>
      </x:c>
      <x:c r="AC502" s="54" t="n">
        <x:f>IF(OR(R502="No",S502-T502*Assumptions!$B$9&lt;=0),"",AA502/(Assumptions!$B$8*(S502-T502*Assumptions!$B$9)))</x:f>
        <x:v>1656.4898111218856</x:v>
      </x:c>
      <x:c r="AD502" s="52" t="n">
        <x:f>IF(OR(R502="No",U502*S502=0),"",AA502/(U502*S502))</x:f>
        <x:v>0.03845249193844941</x:v>
      </x:c>
      <x:c r="AE502" s="50" t="str">
        <x:f>IF(R502="No","No finance data",IF(AB502&gt;=10%,"Severe",IF(AB502&gt;=5%,"High",IF(AB502&gt;=2%,"Moderate","Low"))))</x:f>
        <x:v>Moderate</x:v>
      </x:c>
      <x:c r="AF502" s="60" t="n">
        <x:v>39.16609</x:v>
      </x:c>
      <x:c r="AG502" s="60" t="n">
        <x:v>-86.526559</x:v>
      </x:c>
      <x:c r="AH502" s="44" t="str">
        <x:v>Undergraduate tuition-contribution proxy only; not an audited total institutional budget.</x:v>
      </x:c>
    </x:row>
    <x:row r="503">
      <x:c r="A503" s="16" t="n">
        <x:v>151388</x:v>
      </x:c>
      <x:c r="B503" s="16" t="str">
        <x:v>Indiana University-East</x:v>
      </x:c>
      <x:c r="C503" s="16" t="str">
        <x:v>IN</x:v>
      </x:c>
      <x:c r="D503" s="16" t="str">
        <x:v>Public</x:v>
      </x:c>
      <x:c r="E503" s="34" t="n">
        <x:v>3173</x:v>
      </x:c>
      <x:c r="F503" s="21" t="n">
        <x:v>0.8051</x:v>
      </x:c>
      <x:c r="G503" s="16" t="str">
        <x:v>Regional</x:v>
      </x:c>
      <x:c r="H503" s="36" t="n">
        <x:f>IF(G503="National",Assumptions!$B$11,IF(G503="Statewide",Assumptions!$B$12,Assumptions!$B$13))</x:f>
        <x:v>0.85</x:v>
      </x:c>
      <x:c r="I503" s="21" t="n">
        <x:v>-0.05733630220335029</x:v>
      </x:c>
      <x:c r="J503" s="21" t="n">
        <x:v>-0.06046915050617507</x:v>
      </x:c>
      <x:c r="K503" s="21" t="n">
        <x:v>-0.10035471092354298</x:v>
      </x:c>
      <x:c r="L503" s="36" t="n">
        <x:f>IF(Assumptions!$B$4=2030,I503,IF(Assumptions!$B$4=2035,J503,K503))</x:f>
        <x:v>-0.06046915050617507</x:v>
      </x:c>
      <x:c r="M503" s="36" t="n">
        <x:f>Assumptions!$B$19</x:f>
        <x:v>-0.04739891965741583</x:v>
      </x:c>
      <x:c r="N503" s="52" t="n">
        <x:f>H503*L503+(1-H503)*M503+O503</x:f>
        <x:v>-0.058508615878861185</x:v>
      </x:c>
      <x:c r="O503" s="36" t="n">
        <x:f>Assumptions!$B$10</x:f>
        <x:v>0</x:v>
      </x:c>
      <x:c r="P503" s="54" t="n">
        <x:f>E503*(1+N503)</x:f>
        <x:v>2987.3521618163736</x:v>
      </x:c>
      <x:c r="Q503" s="54" t="n">
        <x:f>P503-E503</x:f>
        <x:v>-185.6478381836264</x:v>
      </x:c>
      <x:c r="R503" s="16" t="str">
        <x:v>Yes</x:v>
      </x:c>
      <x:c r="S503" s="56" t="n">
        <x:v>7335</x:v>
      </x:c>
      <x:c r="T503" s="56" t="n">
        <x:v>7266</x:v>
      </x:c>
      <x:c r="U503" s="40" t="n">
        <x:f>E503*Assumptions!$B$8</x:f>
        <x:v>2697.0499999999997</x:v>
      </x:c>
      <x:c r="V503" s="40" t="n">
        <x:f>P503*Assumptions!$B$8</x:f>
        <x:v>2539.2493375439176</x:v>
      </x:c>
      <x:c r="W503" s="54" t="n">
        <x:f>V503-U503</x:f>
        <x:v>-157.80066245608214</x:v>
      </x:c>
      <x:c r="X503" s="58" t="n">
        <x:f>IF(R503="No","",W503*S503)</x:f>
        <x:v>-1157467.8591153624</x:v>
      </x:c>
      <x:c r="Y503" s="58" t="n">
        <x:f>IF(R503="No","",W503*T503*Assumptions!$B$9)</x:f>
        <x:v>-343973.8840217678</x:v>
      </x:c>
      <x:c r="Z503" s="58" t="n">
        <x:f>IF(R503="No","",X503-Y503)</x:f>
        <x:v>-813493.9750935945</x:v>
      </x:c>
      <x:c r="AA503" s="58" t="n">
        <x:f>IF(R503="No","",MAX(0,-Z503))</x:f>
        <x:v>813493.9750935945</x:v>
      </x:c>
      <x:c r="AB503" s="52" t="n">
        <x:f>IF(OR(R503="No",U503*S503=0),"",AA503/(U503*S503))</x:f>
        <x:v>0.04112114745449276</x:v>
      </x:c>
      <x:c r="AC503" s="54" t="n">
        <x:f>IF(OR(R503="No",S503-T503*Assumptions!$B$9&lt;=0),"",AA503/(Assumptions!$B$8*(S503-T503*Assumptions!$B$9)))</x:f>
        <x:v>185.64783818362602</x:v>
      </x:c>
      <x:c r="AD503" s="52" t="n">
        <x:f>IF(OR(R503="No",U503*S503=0),"",AA503/(U503*S503))</x:f>
        <x:v>0.04112114745449276</x:v>
      </x:c>
      <x:c r="AE503" s="50" t="str">
        <x:f>IF(R503="No","No finance data",IF(AB503&gt;=10%,"Severe",IF(AB503&gt;=5%,"High",IF(AB503&gt;=2%,"Moderate","Low"))))</x:f>
        <x:v>Moderate</x:v>
      </x:c>
      <x:c r="AF503" s="60" t="n">
        <x:v>39.868707</x:v>
      </x:c>
      <x:c r="AG503" s="60" t="n">
        <x:v>-84.881923</x:v>
      </x:c>
      <x:c r="AH503" s="44" t="str">
        <x:v>Undergraduate tuition-contribution proxy only; not an audited total institutional budget.</x:v>
      </x:c>
    </x:row>
    <x:row r="504">
      <x:c r="A504" s="16" t="n">
        <x:v>151333</x:v>
      </x:c>
      <x:c r="B504" s="16" t="str">
        <x:v>Indiana University-Kokomo</x:v>
      </x:c>
      <x:c r="C504" s="16" t="str">
        <x:v>IN</x:v>
      </x:c>
      <x:c r="D504" s="16" t="str">
        <x:v>Public</x:v>
      </x:c>
      <x:c r="E504" s="34" t="n">
        <x:v>2778</x:v>
      </x:c>
      <x:c r="F504" s="21" t="n">
        <x:v>0.9035</x:v>
      </x:c>
      <x:c r="G504" s="16" t="str">
        <x:v>Regional</x:v>
      </x:c>
      <x:c r="H504" s="36" t="n">
        <x:f>IF(G504="National",Assumptions!$B$11,IF(G504="Statewide",Assumptions!$B$12,Assumptions!$B$13))</x:f>
        <x:v>0.85</x:v>
      </x:c>
      <x:c r="I504" s="21" t="n">
        <x:v>-0.05733630220335029</x:v>
      </x:c>
      <x:c r="J504" s="21" t="n">
        <x:v>-0.06046915050617507</x:v>
      </x:c>
      <x:c r="K504" s="21" t="n">
        <x:v>-0.10035471092354298</x:v>
      </x:c>
      <x:c r="L504" s="36" t="n">
        <x:f>IF(Assumptions!$B$4=2030,I504,IF(Assumptions!$B$4=2035,J504,K504))</x:f>
        <x:v>-0.06046915050617507</x:v>
      </x:c>
      <x:c r="M504" s="36" t="n">
        <x:f>Assumptions!$B$19</x:f>
        <x:v>-0.04739891965741583</x:v>
      </x:c>
      <x:c r="N504" s="52" t="n">
        <x:f>H504*L504+(1-H504)*M504+O504</x:f>
        <x:v>-0.058508615878861185</x:v>
      </x:c>
      <x:c r="O504" s="36" t="n">
        <x:f>Assumptions!$B$10</x:f>
        <x:v>0</x:v>
      </x:c>
      <x:c r="P504" s="54" t="n">
        <x:f>E504*(1+N504)</x:f>
        <x:v>2615.4630650885238</x:v>
      </x:c>
      <x:c r="Q504" s="54" t="n">
        <x:f>P504-E504</x:f>
        <x:v>-162.53693491147624</x:v>
      </x:c>
      <x:c r="R504" s="16" t="str">
        <x:v>Yes</x:v>
      </x:c>
      <x:c r="S504" s="56" t="n">
        <x:v>6924</x:v>
      </x:c>
      <x:c r="T504" s="56" t="n">
        <x:v>6981</x:v>
      </x:c>
      <x:c r="U504" s="40" t="n">
        <x:f>E504*Assumptions!$B$8</x:f>
        <x:v>2361.2999999999997</x:v>
      </x:c>
      <x:c r="V504" s="40" t="n">
        <x:f>P504*Assumptions!$B$8</x:f>
        <x:v>2223.143605325245</x:v>
      </x:c>
      <x:c r="W504" s="54" t="n">
        <x:f>V504-U504</x:f>
        <x:v>-138.15639467475467</x:v>
      </x:c>
      <x:c r="X504" s="58" t="n">
        <x:f>IF(R504="No","",W504*S504)</x:f>
        <x:v>-956594.8767280013</x:v>
      </x:c>
      <x:c r="Y504" s="58" t="n">
        <x:f>IF(R504="No","",W504*T504*Assumptions!$B$9)</x:f>
        <x:v>-289340.9373673387</x:v>
      </x:c>
      <x:c r="Z504" s="58" t="n">
        <x:f>IF(R504="No","",X504-Y504)</x:f>
        <x:v>-667253.9393606626</x:v>
      </x:c>
      <x:c r="AA504" s="58" t="n">
        <x:f>IF(R504="No","",MAX(0,-Z504))</x:f>
        <x:v>667253.9393606626</x:v>
      </x:c>
      <x:c r="AB504" s="52" t="n">
        <x:f>IF(OR(R504="No",U504*S504=0),"",AA504/(U504*S504))</x:f>
        <x:v>0.04081153410025064</x:v>
      </x:c>
      <x:c r="AC504" s="54" t="n">
        <x:f>IF(OR(R504="No",S504-T504*Assumptions!$B$9&lt;=0),"",AA504/(Assumptions!$B$8*(S504-T504*Assumptions!$B$9)))</x:f>
        <x:v>162.53693491147604</x:v>
      </x:c>
      <x:c r="AD504" s="52" t="n">
        <x:f>IF(OR(R504="No",U504*S504=0),"",AA504/(U504*S504))</x:f>
        <x:v>0.04081153410025064</x:v>
      </x:c>
      <x:c r="AE504" s="50" t="str">
        <x:f>IF(R504="No","No finance data",IF(AB504&gt;=10%,"Severe",IF(AB504&gt;=5%,"High",IF(AB504&gt;=2%,"Moderate","Low"))))</x:f>
        <x:v>Moderate</x:v>
      </x:c>
      <x:c r="AF504" s="60" t="n">
        <x:v>40.460062</x:v>
      </x:c>
      <x:c r="AG504" s="60" t="n">
        <x:v>-86.132048</x:v>
      </x:c>
      <x:c r="AH504" s="44" t="str">
        <x:v>Undergraduate tuition-contribution proxy only; not an audited total institutional budget.</x:v>
      </x:c>
    </x:row>
    <x:row r="505">
      <x:c r="A505" s="16" t="n">
        <x:v>151360</x:v>
      </x:c>
      <x:c r="B505" s="16" t="str">
        <x:v>Indiana University-Northwest</x:v>
      </x:c>
      <x:c r="C505" s="16" t="str">
        <x:v>IN</x:v>
      </x:c>
      <x:c r="D505" s="16" t="str">
        <x:v>Public</x:v>
      </x:c>
      <x:c r="E505" s="34" t="n">
        <x:v>4117</x:v>
      </x:c>
      <x:c r="F505" s="21" t="n">
        <x:v>0.8548</x:v>
      </x:c>
      <x:c r="G505" s="16" t="str">
        <x:v>Regional</x:v>
      </x:c>
      <x:c r="H505" s="36" t="n">
        <x:f>IF(G505="National",Assumptions!$B$11,IF(G505="Statewide",Assumptions!$B$12,Assumptions!$B$13))</x:f>
        <x:v>0.85</x:v>
      </x:c>
      <x:c r="I505" s="21" t="n">
        <x:v>-0.05733630220335029</x:v>
      </x:c>
      <x:c r="J505" s="21" t="n">
        <x:v>-0.06046915050617507</x:v>
      </x:c>
      <x:c r="K505" s="21" t="n">
        <x:v>-0.10035471092354298</x:v>
      </x:c>
      <x:c r="L505" s="36" t="n">
        <x:f>IF(Assumptions!$B$4=2030,I505,IF(Assumptions!$B$4=2035,J505,K505))</x:f>
        <x:v>-0.06046915050617507</x:v>
      </x:c>
      <x:c r="M505" s="36" t="n">
        <x:f>Assumptions!$B$19</x:f>
        <x:v>-0.04739891965741583</x:v>
      </x:c>
      <x:c r="N505" s="52" t="n">
        <x:f>H505*L505+(1-H505)*M505+O505</x:f>
        <x:v>-0.058508615878861185</x:v>
      </x:c>
      <x:c r="O505" s="36" t="n">
        <x:f>Assumptions!$B$10</x:f>
        <x:v>0</x:v>
      </x:c>
      <x:c r="P505" s="54" t="n">
        <x:f>E505*(1+N505)</x:f>
        <x:v>3876.120028426729</x:v>
      </x:c>
      <x:c r="Q505" s="54" t="n">
        <x:f>P505-E505</x:f>
        <x:v>-240.87997157327118</x:v>
      </x:c>
      <x:c r="R505" s="16" t="str">
        <x:v>Yes</x:v>
      </x:c>
      <x:c r="S505" s="56" t="n">
        <x:v>6780</x:v>
      </x:c>
      <x:c r="T505" s="56" t="n">
        <x:v>8627</x:v>
      </x:c>
      <x:c r="U505" s="40" t="n">
        <x:f>E505*Assumptions!$B$8</x:f>
        <x:v>3499.45</x:v>
      </x:c>
      <x:c r="V505" s="40" t="n">
        <x:f>P505*Assumptions!$B$8</x:f>
        <x:v>3294.702024162719</x:v>
      </x:c>
      <x:c r="W505" s="54" t="n">
        <x:f>V505-U505</x:f>
        <x:v>-204.7479758372806</x:v>
      </x:c>
      <x:c r="X505" s="58" t="n">
        <x:f>IF(R505="No","",W505*S505)</x:f>
        <x:v>-1388191.2761767623</x:v>
      </x:c>
      <x:c r="Y505" s="58" t="n">
        <x:f>IF(R505="No","",W505*T505*Assumptions!$B$9)</x:f>
        <x:v>-529908.2362644658</x:v>
      </x:c>
      <x:c r="Z505" s="58" t="n">
        <x:f>IF(R505="No","",X505-Y505)</x:f>
        <x:v>-858283.0399122965</x:v>
      </x:c>
      <x:c r="AA505" s="58" t="n">
        <x:f>IF(R505="No","",MAX(0,-Z505))</x:f>
        <x:v>858283.0399122965</x:v>
      </x:c>
      <x:c r="AB505" s="52" t="n">
        <x:f>IF(OR(R505="No",U505*S505=0),"",AA505/(U505*S505))</x:f>
        <x:v>0.036174375649350735</x:v>
      </x:c>
      <x:c r="AC505" s="54" t="n">
        <x:f>IF(OR(R505="No",S505-T505*Assumptions!$B$9&lt;=0),"",AA505/(Assumptions!$B$8*(S505-T505*Assumptions!$B$9)))</x:f>
        <x:v>240.8799715732713</x:v>
      </x:c>
      <x:c r="AD505" s="52" t="n">
        <x:f>IF(OR(R505="No",U505*S505=0),"",AA505/(U505*S505))</x:f>
        <x:v>0.036174375649350735</x:v>
      </x:c>
      <x:c r="AE505" s="50" t="str">
        <x:f>IF(R505="No","No finance data",IF(AB505&gt;=10%,"Severe",IF(AB505&gt;=5%,"High",IF(AB505&gt;=2%,"Moderate","Low"))))</x:f>
        <x:v>Moderate</x:v>
      </x:c>
      <x:c r="AF505" s="60" t="n">
        <x:v>41.557324</x:v>
      </x:c>
      <x:c r="AG505" s="60" t="n">
        <x:v>-87.337249</x:v>
      </x:c>
      <x:c r="AH505" s="44" t="str">
        <x:v>Undergraduate tuition-contribution proxy only; not an audited total institutional budget.</x:v>
      </x:c>
    </x:row>
    <x:row r="506">
      <x:c r="A506" s="16" t="n">
        <x:v>151102</x:v>
      </x:c>
      <x:c r="B506" s="16" t="str">
        <x:v>Indiana University-Purdue University-Fort Wayne</x:v>
      </x:c>
      <x:c r="C506" s="16" t="str">
        <x:v>IN</x:v>
      </x:c>
      <x:c r="D506" s="16" t="str">
        <x:v>Public</x:v>
      </x:c>
      <x:c r="E506" s="34" t="n">
        <x:v>8746</x:v>
      </x:c>
      <x:c r="F506" s="21" t="n">
        <x:v>0.832</x:v>
      </x:c>
      <x:c r="G506" s="16" t="str">
        <x:v>Statewide</x:v>
      </x:c>
      <x:c r="H506" s="36" t="n">
        <x:f>IF(G506="National",Assumptions!$B$11,IF(G506="Statewide",Assumptions!$B$12,Assumptions!$B$13))</x:f>
        <x:v>0.6</x:v>
      </x:c>
      <x:c r="I506" s="21" t="n">
        <x:v>-0.05733630220335029</x:v>
      </x:c>
      <x:c r="J506" s="21" t="n">
        <x:v>-0.06046915050617507</x:v>
      </x:c>
      <x:c r="K506" s="21" t="n">
        <x:v>-0.10035471092354298</x:v>
      </x:c>
      <x:c r="L506" s="36" t="n">
        <x:f>IF(Assumptions!$B$4=2030,I506,IF(Assumptions!$B$4=2035,J506,K506))</x:f>
        <x:v>-0.06046915050617507</x:v>
      </x:c>
      <x:c r="M506" s="36" t="n">
        <x:f>Assumptions!$B$19</x:f>
        <x:v>-0.04739891965741583</x:v>
      </x:c>
      <x:c r="N506" s="52" t="n">
        <x:f>H506*L506+(1-H506)*M506+O506</x:f>
        <x:v>-0.055241058166671374</x:v>
      </x:c>
      <x:c r="O506" s="36" t="n">
        <x:f>Assumptions!$B$10</x:f>
        <x:v>0</x:v>
      </x:c>
      <x:c r="P506" s="54" t="n">
        <x:f>E506*(1+N506)</x:f>
        <x:v>8262.861705274292</x:v>
      </x:c>
      <x:c r="Q506" s="54" t="n">
        <x:f>P506-E506</x:f>
        <x:v>-483.13829472570796</x:v>
      </x:c>
      <x:c r="R506" s="16" t="str">
        <x:v>Yes</x:v>
      </x:c>
      <x:c r="S506" s="56" t="n">
        <x:v>8010</x:v>
      </x:c>
      <x:c r="T506" s="56" t="n">
        <x:v>9268</x:v>
      </x:c>
      <x:c r="U506" s="40" t="n">
        <x:f>E506*Assumptions!$B$8</x:f>
        <x:v>7434.099999999999</x:v>
      </x:c>
      <x:c r="V506" s="40" t="n">
        <x:f>P506*Assumptions!$B$8</x:f>
        <x:v>7023.432449483148</x:v>
      </x:c>
      <x:c r="W506" s="54" t="n">
        <x:f>V506-U506</x:f>
        <x:v>-410.6675505168514</x:v>
      </x:c>
      <x:c r="X506" s="58" t="n">
        <x:f>IF(R506="No","",W506*S506)</x:f>
        <x:v>-3289447.0796399796</x:v>
      </x:c>
      <x:c r="Y506" s="58" t="n">
        <x:f>IF(R506="No","",W506*T506*Assumptions!$B$9)</x:f>
        <x:v>-1141820.0574570536</x:v>
      </x:c>
      <x:c r="Z506" s="58" t="n">
        <x:f>IF(R506="No","",X506-Y506)</x:f>
        <x:v>-2147627.022182926</x:v>
      </x:c>
      <x:c r="AA506" s="58" t="n">
        <x:f>IF(R506="No","",MAX(0,-Z506))</x:f>
        <x:v>2147627.022182926</x:v>
      </x:c>
      <x:c r="AB506" s="52" t="n">
        <x:f>IF(OR(R506="No",U506*S506=0),"",AA506/(U506*S506))</x:f>
        <x:v>0.03606599722701929</x:v>
      </x:c>
      <x:c r="AC506" s="54" t="n">
        <x:f>IF(OR(R506="No",S506-T506*Assumptions!$B$9&lt;=0),"",AA506/(Assumptions!$B$8*(S506-T506*Assumptions!$B$9)))</x:f>
        <x:v>483.13829472570757</x:v>
      </x:c>
      <x:c r="AD506" s="52" t="n">
        <x:f>IF(OR(R506="No",U506*S506=0),"",AA506/(U506*S506))</x:f>
        <x:v>0.03606599722701929</x:v>
      </x:c>
      <x:c r="AE506" s="50" t="str">
        <x:f>IF(R506="No","No finance data",IF(AB506&gt;=10%,"Severe",IF(AB506&gt;=5%,"High",IF(AB506&gt;=2%,"Moderate","Low"))))</x:f>
        <x:v>Moderate</x:v>
      </x:c>
      <x:c r="AF506" s="60" t="n">
        <x:v>41.117278</x:v>
      </x:c>
      <x:c r="AG506" s="60" t="n">
        <x:v>-85.108962</x:v>
      </x:c>
      <x:c r="AH506" s="44" t="str">
        <x:v>Undergraduate tuition-contribution proxy only; not an audited total institutional budget.</x:v>
      </x:c>
    </x:row>
    <x:row r="507">
      <x:c r="A507" s="16" t="n">
        <x:v>151111</x:v>
      </x:c>
      <x:c r="B507" s="16" t="str">
        <x:v>Indiana University-Purdue University-Indianapolis</x:v>
      </x:c>
      <x:c r="C507" s="16" t="str">
        <x:v>IN</x:v>
      </x:c>
      <x:c r="D507" s="16" t="str">
        <x:v>Public</x:v>
      </x:c>
      <x:c r="E507" s="34" t="n">
        <x:v>21217</x:v>
      </x:c>
      <x:c r="F507" s="21" t="n">
        <x:v>0.8361</x:v>
      </x:c>
      <x:c r="G507" s="16" t="str">
        <x:v>Statewide</x:v>
      </x:c>
      <x:c r="H507" s="36" t="n">
        <x:f>IF(G507="National",Assumptions!$B$11,IF(G507="Statewide",Assumptions!$B$12,Assumptions!$B$13))</x:f>
        <x:v>0.6</x:v>
      </x:c>
      <x:c r="I507" s="21" t="n">
        <x:v>-0.05733630220335029</x:v>
      </x:c>
      <x:c r="J507" s="21" t="n">
        <x:v>-0.06046915050617507</x:v>
      </x:c>
      <x:c r="K507" s="21" t="n">
        <x:v>-0.10035471092354298</x:v>
      </x:c>
      <x:c r="L507" s="36" t="n">
        <x:f>IF(Assumptions!$B$4=2030,I507,IF(Assumptions!$B$4=2035,J507,K507))</x:f>
        <x:v>-0.06046915050617507</x:v>
      </x:c>
      <x:c r="M507" s="36" t="n">
        <x:f>Assumptions!$B$19</x:f>
        <x:v>-0.04739891965741583</x:v>
      </x:c>
      <x:c r="N507" s="52" t="n">
        <x:f>H507*L507+(1-H507)*M507+O507</x:f>
        <x:v>-0.055241058166671374</x:v>
      </x:c>
      <x:c r="O507" s="36" t="n">
        <x:f>Assumptions!$B$10</x:f>
        <x:v>0</x:v>
      </x:c>
      <x:c r="P507" s="54" t="n">
        <x:f>E507*(1+N507)</x:f>
        <x:v>20044.950468877734</x:v>
      </x:c>
      <x:c r="Q507" s="54" t="n">
        <x:f>P507-E507</x:f>
        <x:v>-1172.0495311222658</x:v>
      </x:c>
      <x:c r="R507" s="16" t="str">
        <x:v>Yes</x:v>
      </x:c>
      <x:c r="S507" s="56" t="n">
        <x:v>11966</x:v>
      </x:c>
      <x:c r="T507" s="56" t="n">
        <x:v>18305</x:v>
      </x:c>
      <x:c r="U507" s="40" t="n">
        <x:f>E507*Assumptions!$B$8</x:f>
        <x:v>18034.45</x:v>
      </x:c>
      <x:c r="V507" s="40" t="n">
        <x:f>P507*Assumptions!$B$8</x:f>
        <x:v>17038.207898546072</x:v>
      </x:c>
      <x:c r="W507" s="54" t="n">
        <x:f>V507-U507</x:f>
        <x:v>-996.2421014539286</x:v>
      </x:c>
      <x:c r="X507" s="58" t="n">
        <x:f>IF(R507="No","",W507*S507)</x:f>
        <x:v>-11921032.98599771</x:v>
      </x:c>
      <x:c r="Y507" s="58" t="n">
        <x:f>IF(R507="No","",W507*T507*Assumptions!$B$9)</x:f>
        <x:v>-5470863.500134249</x:v>
      </x:c>
      <x:c r="Z507" s="58" t="n">
        <x:f>IF(R507="No","",X507-Y507)</x:f>
        <x:v>-6450169.485863461</x:v>
      </x:c>
      <x:c r="AA507" s="58" t="n">
        <x:f>IF(R507="No","",MAX(0,-Z507))</x:f>
        <x:v>6450169.485863461</x:v>
      </x:c>
      <x:c r="AB507" s="52" t="n">
        <x:f>IF(OR(R507="No",U507*S507=0),"",AA507/(U507*S507))</x:f>
        <x:v>0.029889539620601247</x:v>
      </x:c>
      <x:c r="AC507" s="54" t="n">
        <x:f>IF(OR(R507="No",S507-T507*Assumptions!$B$9&lt;=0),"",AA507/(Assumptions!$B$8*(S507-T507*Assumptions!$B$9)))</x:f>
        <x:v>1172.0495311222692</x:v>
      </x:c>
      <x:c r="AD507" s="52" t="n">
        <x:f>IF(OR(R507="No",U507*S507=0),"",AA507/(U507*S507))</x:f>
        <x:v>0.029889539620601247</x:v>
      </x:c>
      <x:c r="AE507" s="50" t="str">
        <x:f>IF(R507="No","No finance data",IF(AB507&gt;=10%,"Severe",IF(AB507&gt;=5%,"High",IF(AB507&gt;=2%,"Moderate","Low"))))</x:f>
        <x:v>Moderate</x:v>
      </x:c>
      <x:c r="AF507" s="60" t="n">
        <x:v>39.772948</x:v>
      </x:c>
      <x:c r="AG507" s="60" t="n">
        <x:v>-86.172217</x:v>
      </x:c>
      <x:c r="AH507" s="44" t="str">
        <x:v>Undergraduate tuition-contribution proxy only; not an audited total institutional budget.</x:v>
      </x:c>
    </x:row>
    <x:row r="508">
      <x:c r="A508" s="16" t="n">
        <x:v>151342</x:v>
      </x:c>
      <x:c r="B508" s="16" t="str">
        <x:v>Indiana University-South Bend</x:v>
      </x:c>
      <x:c r="C508" s="16" t="str">
        <x:v>IN</x:v>
      </x:c>
      <x:c r="D508" s="16" t="str">
        <x:v>Public</x:v>
      </x:c>
      <x:c r="E508" s="34" t="n">
        <x:v>5165</x:v>
      </x:c>
      <x:c r="F508" s="21" t="n">
        <x:v>0.8894</x:v>
      </x:c>
      <x:c r="G508" s="16" t="str">
        <x:v>Statewide</x:v>
      </x:c>
      <x:c r="H508" s="36" t="n">
        <x:f>IF(G508="National",Assumptions!$B$11,IF(G508="Statewide",Assumptions!$B$12,Assumptions!$B$13))</x:f>
        <x:v>0.6</x:v>
      </x:c>
      <x:c r="I508" s="21" t="n">
        <x:v>-0.05733630220335029</x:v>
      </x:c>
      <x:c r="J508" s="21" t="n">
        <x:v>-0.06046915050617507</x:v>
      </x:c>
      <x:c r="K508" s="21" t="n">
        <x:v>-0.10035471092354298</x:v>
      </x:c>
      <x:c r="L508" s="36" t="n">
        <x:f>IF(Assumptions!$B$4=2030,I508,IF(Assumptions!$B$4=2035,J508,K508))</x:f>
        <x:v>-0.06046915050617507</x:v>
      </x:c>
      <x:c r="M508" s="36" t="n">
        <x:f>Assumptions!$B$19</x:f>
        <x:v>-0.04739891965741583</x:v>
      </x:c>
      <x:c r="N508" s="52" t="n">
        <x:f>H508*L508+(1-H508)*M508+O508</x:f>
        <x:v>-0.055241058166671374</x:v>
      </x:c>
      <x:c r="O508" s="36" t="n">
        <x:f>Assumptions!$B$10</x:f>
        <x:v>0</x:v>
      </x:c>
      <x:c r="P508" s="54" t="n">
        <x:f>E508*(1+N508)</x:f>
        <x:v>4879.6799345691425</x:v>
      </x:c>
      <x:c r="Q508" s="54" t="n">
        <x:f>P508-E508</x:f>
        <x:v>-285.32006543085754</x:v>
      </x:c>
      <x:c r="R508" s="16" t="str">
        <x:v>Yes</x:v>
      </x:c>
      <x:c r="S508" s="56" t="n">
        <x:v>6585</x:v>
      </x:c>
      <x:c r="T508" s="56" t="n">
        <x:v>9022</x:v>
      </x:c>
      <x:c r="U508" s="40" t="n">
        <x:f>E508*Assumptions!$B$8</x:f>
        <x:v>4390.25</x:v>
      </x:c>
      <x:c r="V508" s="40" t="n">
        <x:f>P508*Assumptions!$B$8</x:f>
        <x:v>4147.727944383771</x:v>
      </x:c>
      <x:c r="W508" s="54" t="n">
        <x:f>V508-U508</x:f>
        <x:v>-242.5220556162294</x:v>
      </x:c>
      <x:c r="X508" s="58" t="n">
        <x:f>IF(R508="No","",W508*S508)</x:f>
        <x:v>-1597007.7362328707</x:v>
      </x:c>
      <x:c r="Y508" s="58" t="n">
        <x:f>IF(R508="No","",W508*T508*Assumptions!$B$9)</x:f>
        <x:v>-656410.1957308864</x:v>
      </x:c>
      <x:c r="Z508" s="58" t="n">
        <x:f>IF(R508="No","",X508-Y508)</x:f>
        <x:v>-940597.5405019843</x:v>
      </x:c>
      <x:c r="AA508" s="58" t="n">
        <x:f>IF(R508="No","",MAX(0,-Z508))</x:f>
        <x:v>940597.5405019843</x:v>
      </x:c>
      <x:c r="AB508" s="52" t="n">
        <x:f>IF(OR(R508="No",U508*S508=0),"",AA508/(U508*S508))</x:f>
        <x:v>0.032535599087869196</x:v>
      </x:c>
      <x:c r="AC508" s="54" t="n">
        <x:f>IF(OR(R508="No",S508-T508*Assumptions!$B$9&lt;=0),"",AA508/(Assumptions!$B$8*(S508-T508*Assumptions!$B$9)))</x:f>
        <x:v>285.32006543085816</x:v>
      </x:c>
      <x:c r="AD508" s="52" t="n">
        <x:f>IF(OR(R508="No",U508*S508=0),"",AA508/(U508*S508))</x:f>
        <x:v>0.032535599087869196</x:v>
      </x:c>
      <x:c r="AE508" s="50" t="str">
        <x:f>IF(R508="No","No finance data",IF(AB508&gt;=10%,"Severe",IF(AB508&gt;=5%,"High",IF(AB508&gt;=2%,"Moderate","Low"))))</x:f>
        <x:v>Moderate</x:v>
      </x:c>
      <x:c r="AF508" s="60" t="n">
        <x:v>41.665324</x:v>
      </x:c>
      <x:c r="AG508" s="60" t="n">
        <x:v>-86.221991</x:v>
      </x:c>
      <x:c r="AH508" s="44" t="str">
        <x:v>Undergraduate tuition-contribution proxy only; not an audited total institutional budget.</x:v>
      </x:c>
    </x:row>
    <x:row r="509">
      <x:c r="A509" s="16" t="n">
        <x:v>151379</x:v>
      </x:c>
      <x:c r="B509" s="16" t="str">
        <x:v>Indiana University-Southeast</x:v>
      </x:c>
      <x:c r="C509" s="16" t="str">
        <x:v>IN</x:v>
      </x:c>
      <x:c r="D509" s="16" t="str">
        <x:v>Public</x:v>
      </x:c>
      <x:c r="E509" s="34" t="n">
        <x:v>5228</x:v>
      </x:c>
      <x:c r="F509" s="21" t="n">
        <x:v>0.9005</x:v>
      </x:c>
      <x:c r="G509" s="16" t="str">
        <x:v>Statewide</x:v>
      </x:c>
      <x:c r="H509" s="36" t="n">
        <x:f>IF(G509="National",Assumptions!$B$11,IF(G509="Statewide",Assumptions!$B$12,Assumptions!$B$13))</x:f>
        <x:v>0.6</x:v>
      </x:c>
      <x:c r="I509" s="21" t="n">
        <x:v>-0.05733630220335029</x:v>
      </x:c>
      <x:c r="J509" s="21" t="n">
        <x:v>-0.06046915050617507</x:v>
      </x:c>
      <x:c r="K509" s="21" t="n">
        <x:v>-0.10035471092354298</x:v>
      </x:c>
      <x:c r="L509" s="36" t="n">
        <x:f>IF(Assumptions!$B$4=2030,I509,IF(Assumptions!$B$4=2035,J509,K509))</x:f>
        <x:v>-0.06046915050617507</x:v>
      </x:c>
      <x:c r="M509" s="36" t="n">
        <x:f>Assumptions!$B$19</x:f>
        <x:v>-0.04739891965741583</x:v>
      </x:c>
      <x:c r="N509" s="52" t="n">
        <x:f>H509*L509+(1-H509)*M509+O509</x:f>
        <x:v>-0.055241058166671374</x:v>
      </x:c>
      <x:c r="O509" s="36" t="n">
        <x:f>Assumptions!$B$10</x:f>
        <x:v>0</x:v>
      </x:c>
      <x:c r="P509" s="54" t="n">
        <x:f>E509*(1+N509)</x:f>
        <x:v>4939.199747904642</x:v>
      </x:c>
      <x:c r="Q509" s="54" t="n">
        <x:f>P509-E509</x:f>
        <x:v>-288.8002520953578</x:v>
      </x:c>
      <x:c r="R509" s="16" t="str">
        <x:v>Yes</x:v>
      </x:c>
      <x:c r="S509" s="56" t="n">
        <x:v>6592</x:v>
      </x:c>
      <x:c r="T509" s="56" t="n">
        <x:v>8378</x:v>
      </x:c>
      <x:c r="U509" s="40" t="n">
        <x:f>E509*Assumptions!$B$8</x:f>
        <x:v>4443.8</x:v>
      </x:c>
      <x:c r="V509" s="40" t="n">
        <x:f>P509*Assumptions!$B$8</x:f>
        <x:v>4198.319785718946</x:v>
      </x:c>
      <x:c r="W509" s="54" t="n">
        <x:f>V509-U509</x:f>
        <x:v>-245.48021428105403</x:v>
      </x:c>
      <x:c r="X509" s="58" t="n">
        <x:f>IF(R509="No","",W509*S509)</x:f>
        <x:v>-1618205.5725407081</x:v>
      </x:c>
      <x:c r="Y509" s="58" t="n">
        <x:f>IF(R509="No","",W509*T509*Assumptions!$B$9)</x:f>
        <x:v>-616989.9705740012</x:v>
      </x:c>
      <x:c r="Z509" s="58" t="n">
        <x:f>IF(R509="No","",X509-Y509)</x:f>
        <x:v>-1001215.6019667069</x:v>
      </x:c>
      <x:c r="AA509" s="58" t="n">
        <x:f>IF(R509="No","",MAX(0,-Z509))</x:f>
        <x:v>1001215.6019667069</x:v>
      </x:c>
      <x:c r="AB509" s="52" t="n">
        <x:f>IF(OR(R509="No",U509*S509=0),"",AA509/(U509*S509))</x:f>
        <x:v>0.03417872873764952</x:v>
      </x:c>
      <x:c r="AC509" s="54" t="n">
        <x:f>IF(OR(R509="No",S509-T509*Assumptions!$B$9&lt;=0),"",AA509/(Assumptions!$B$8*(S509-T509*Assumptions!$B$9)))</x:f>
        <x:v>288.8002520953577</x:v>
      </x:c>
      <x:c r="AD509" s="52" t="n">
        <x:f>IF(OR(R509="No",U509*S509=0),"",AA509/(U509*S509))</x:f>
        <x:v>0.03417872873764952</x:v>
      </x:c>
      <x:c r="AE509" s="50" t="str">
        <x:f>IF(R509="No","No finance data",IF(AB509&gt;=10%,"Severe",IF(AB509&gt;=5%,"High",IF(AB509&gt;=2%,"Moderate","Low"))))</x:f>
        <x:v>Moderate</x:v>
      </x:c>
      <x:c r="AF509" s="60" t="n">
        <x:v>38.345191</x:v>
      </x:c>
      <x:c r="AG509" s="60" t="n">
        <x:v>-85.819985</x:v>
      </x:c>
      <x:c r="AH509" s="44" t="str">
        <x:v>Undergraduate tuition-contribution proxy only; not an audited total institutional budget.</x:v>
      </x:c>
    </x:row>
    <x:row r="510">
      <x:c r="A510" s="16" t="n">
        <x:v>151801</x:v>
      </x:c>
      <x:c r="B510" s="16" t="str">
        <x:v>Indiana Wesleyan University-Marion</x:v>
      </x:c>
      <x:c r="C510" s="16" t="str">
        <x:v>IN</x:v>
      </x:c>
      <x:c r="D510" s="16" t="str">
        <x:v>Private nonprofit</x:v>
      </x:c>
      <x:c r="E510" s="34" t="n">
        <x:v>10000</x:v>
      </x:c>
      <x:c r="F510" s="21" t="n">
        <x:v>0.9191</x:v>
      </x:c>
      <x:c r="G510" s="16" t="str">
        <x:v>Statewide</x:v>
      </x:c>
      <x:c r="H510" s="36" t="n">
        <x:f>IF(G510="National",Assumptions!$B$11,IF(G510="Statewide",Assumptions!$B$12,Assumptions!$B$13))</x:f>
        <x:v>0.6</x:v>
      </x:c>
      <x:c r="I510" s="21" t="n">
        <x:v>-0.05733630220335029</x:v>
      </x:c>
      <x:c r="J510" s="21" t="n">
        <x:v>-0.06046915050617507</x:v>
      </x:c>
      <x:c r="K510" s="21" t="n">
        <x:v>-0.10035471092354298</x:v>
      </x:c>
      <x:c r="L510" s="36" t="n">
        <x:f>IF(Assumptions!$B$4=2030,I510,IF(Assumptions!$B$4=2035,J510,K510))</x:f>
        <x:v>-0.06046915050617507</x:v>
      </x:c>
      <x:c r="M510" s="36" t="n">
        <x:f>Assumptions!$B$19</x:f>
        <x:v>-0.04739891965741583</x:v>
      </x:c>
      <x:c r="N510" s="52" t="n">
        <x:f>H510*L510+(1-H510)*M510+O510</x:f>
        <x:v>-0.055241058166671374</x:v>
      </x:c>
      <x:c r="O510" s="36" t="n">
        <x:f>Assumptions!$B$10</x:f>
        <x:v>0</x:v>
      </x:c>
      <x:c r="P510" s="54" t="n">
        <x:f>E510*(1+N510)</x:f>
        <x:v>9447.589418333286</x:v>
      </x:c>
      <x:c r="Q510" s="54" t="n">
        <x:f>P510-E510</x:f>
        <x:v>-552.4105816667143</x:v>
      </x:c>
      <x:c r="R510" s="16" t="str">
        <x:v>Yes</x:v>
      </x:c>
      <x:c r="S510" s="56" t="n">
        <x:v>14502</x:v>
      </x:c>
      <x:c r="T510" s="56" t="n">
        <x:v>10817</x:v>
      </x:c>
      <x:c r="U510" s="40" t="n">
        <x:f>E510*Assumptions!$B$8</x:f>
        <x:v>8500</x:v>
      </x:c>
      <x:c r="V510" s="40" t="n">
        <x:f>P510*Assumptions!$B$8</x:f>
        <x:v>8030.4510055832925</x:v>
      </x:c>
      <x:c r="W510" s="54" t="n">
        <x:f>V510-U510</x:f>
        <x:v>-469.5489944167075</x:v>
      </x:c>
      <x:c r="X510" s="58" t="n">
        <x:f>IF(R510="No","",W510*S510)</x:f>
        <x:v>-6809399.517031092</x:v>
      </x:c>
      <x:c r="Y510" s="58" t="n">
        <x:f>IF(R510="No","",W510*T510*Assumptions!$B$9)</x:f>
        <x:v>-1523733.4417816573</x:v>
      </x:c>
      <x:c r="Z510" s="58" t="n">
        <x:f>IF(R510="No","",X510-Y510)</x:f>
        <x:v>-5285666.075249435</x:v>
      </x:c>
      <x:c r="AA510" s="58" t="n">
        <x:f>IF(R510="No","",MAX(0,-Z510))</x:f>
        <x:v>5285666.075249435</x:v>
      </x:c>
      <x:c r="AB510" s="52" t="n">
        <x:f>IF(OR(R510="No",U510*S510=0),"",AA510/(U510*S510))</x:f>
        <x:v>0.04287981434811779</x:v>
      </x:c>
      <x:c r="AC510" s="54" t="n">
        <x:f>IF(OR(R510="No",S510-T510*Assumptions!$B$9&lt;=0),"",AA510/(Assumptions!$B$8*(S510-T510*Assumptions!$B$9)))</x:f>
        <x:v>552.4105816667148</x:v>
      </x:c>
      <x:c r="AD510" s="52" t="n">
        <x:f>IF(OR(R510="No",U510*S510=0),"",AA510/(U510*S510))</x:f>
        <x:v>0.04287981434811779</x:v>
      </x:c>
      <x:c r="AE510" s="50" t="str">
        <x:f>IF(R510="No","No finance data",IF(AB510&gt;=10%,"Severe",IF(AB510&gt;=5%,"High",IF(AB510&gt;=2%,"Moderate","Low"))))</x:f>
        <x:v>Moderate</x:v>
      </x:c>
      <x:c r="AF510" s="60" t="n">
        <x:v>40.517937</x:v>
      </x:c>
      <x:c r="AG510" s="60" t="n">
        <x:v>-85.667503</x:v>
      </x:c>
      <x:c r="AH510" s="44" t="str">
        <x:v>Undergraduate tuition-contribution proxy only; not an audited total institutional budget.</x:v>
      </x:c>
    </x:row>
    <x:row r="511">
      <x:c r="A511" s="16" t="n">
        <x:v>151777</x:v>
      </x:c>
      <x:c r="B511" s="16" t="str">
        <x:v>Manchester University</x:v>
      </x:c>
      <x:c r="C511" s="16" t="str">
        <x:v>IN</x:v>
      </x:c>
      <x:c r="D511" s="16" t="str">
        <x:v>Private nonprofit</x:v>
      </x:c>
      <x:c r="E511" s="34" t="n">
        <x:v>1240</x:v>
      </x:c>
      <x:c r="F511" s="21" t="n">
        <x:v>0.7608</x:v>
      </x:c>
      <x:c r="G511" s="16" t="str">
        <x:v>Regional</x:v>
      </x:c>
      <x:c r="H511" s="36" t="n">
        <x:f>IF(G511="National",Assumptions!$B$11,IF(G511="Statewide",Assumptions!$B$12,Assumptions!$B$13))</x:f>
        <x:v>0.85</x:v>
      </x:c>
      <x:c r="I511" s="21" t="n">
        <x:v>-0.05733630220335029</x:v>
      </x:c>
      <x:c r="J511" s="21" t="n">
        <x:v>-0.06046915050617507</x:v>
      </x:c>
      <x:c r="K511" s="21" t="n">
        <x:v>-0.10035471092354298</x:v>
      </x:c>
      <x:c r="L511" s="36" t="n">
        <x:f>IF(Assumptions!$B$4=2030,I511,IF(Assumptions!$B$4=2035,J511,K511))</x:f>
        <x:v>-0.06046915050617507</x:v>
      </x:c>
      <x:c r="M511" s="36" t="n">
        <x:f>Assumptions!$B$19</x:f>
        <x:v>-0.04739891965741583</x:v>
      </x:c>
      <x:c r="N511" s="52" t="n">
        <x:f>H511*L511+(1-H511)*M511+O511</x:f>
        <x:v>-0.058508615878861185</x:v>
      </x:c>
      <x:c r="O511" s="36" t="n">
        <x:f>Assumptions!$B$10</x:f>
        <x:v>0</x:v>
      </x:c>
      <x:c r="P511" s="54" t="n">
        <x:f>E511*(1+N511)</x:f>
        <x:v>1167.4493163102122</x:v>
      </x:c>
      <x:c r="Q511" s="54" t="n">
        <x:f>P511-E511</x:f>
        <x:v>-72.55068368978777</x:v>
      </x:c>
      <x:c r="R511" s="16" t="str">
        <x:v>Yes</x:v>
      </x:c>
      <x:c r="S511" s="56" t="n">
        <x:v>18169</x:v>
      </x:c>
      <x:c r="T511" s="56" t="n">
        <x:v>11114</x:v>
      </x:c>
      <x:c r="U511" s="40" t="n">
        <x:f>E511*Assumptions!$B$8</x:f>
        <x:v>1054</x:v>
      </x:c>
      <x:c r="V511" s="40" t="n">
        <x:f>P511*Assumptions!$B$8</x:f>
        <x:v>992.3319188636804</x:v>
      </x:c>
      <x:c r="W511" s="54" t="n">
        <x:f>V511-U511</x:f>
        <x:v>-61.66808113631964</x:v>
      </x:c>
      <x:c r="X511" s="58" t="n">
        <x:f>IF(R511="No","",W511*S511)</x:f>
        <x:v>-1120447.3661657916</x:v>
      </x:c>
      <x:c r="Y511" s="58" t="n">
        <x:f>IF(R511="No","",W511*T511*Assumptions!$B$9)</x:f>
        <x:v>-205613.71612471694</x:v>
      </x:c>
      <x:c r="Z511" s="58" t="n">
        <x:f>IF(R511="No","",X511-Y511)</x:f>
        <x:v>-914833.6500410747</x:v>
      </x:c>
      <x:c r="AA511" s="58" t="n">
        <x:f>IF(R511="No","",MAX(0,-Z511))</x:f>
        <x:v>914833.6500410747</x:v>
      </x:c>
      <x:c r="AB511" s="52" t="n">
        <x:f>IF(OR(R511="No",U511*S511=0),"",AA511/(U511*S511))</x:f>
        <x:v>0.04777167784906871</x:v>
      </x:c>
      <x:c r="AC511" s="54" t="n">
        <x:f>IF(OR(R511="No",S511-T511*Assumptions!$B$9&lt;=0),"",AA511/(Assumptions!$B$8*(S511-T511*Assumptions!$B$9)))</x:f>
        <x:v>72.55068368978782</x:v>
      </x:c>
      <x:c r="AD511" s="52" t="n">
        <x:f>IF(OR(R511="No",U511*S511=0),"",AA511/(U511*S511))</x:f>
        <x:v>0.04777167784906871</x:v>
      </x:c>
      <x:c r="AE511" s="50" t="str">
        <x:f>IF(R511="No","No finance data",IF(AB511&gt;=10%,"Severe",IF(AB511&gt;=5%,"High",IF(AB511&gt;=2%,"Moderate","Low"))))</x:f>
        <x:v>Moderate</x:v>
      </x:c>
      <x:c r="AF511" s="60" t="n">
        <x:v>41.010549</x:v>
      </x:c>
      <x:c r="AG511" s="60" t="n">
        <x:v>-85.762643</x:v>
      </x:c>
      <x:c r="AH511" s="44" t="str">
        <x:v>Undergraduate tuition-contribution proxy only; not an audited total institutional budget.</x:v>
      </x:c>
    </x:row>
    <x:row r="512">
      <x:c r="A512" s="16" t="n">
        <x:v>151786</x:v>
      </x:c>
      <x:c r="B512" s="16" t="str">
        <x:v>Marian University</x:v>
      </x:c>
      <x:c r="C512" s="16" t="str">
        <x:v>IN</x:v>
      </x:c>
      <x:c r="D512" s="16" t="str">
        <x:v>Private nonprofit</x:v>
      </x:c>
      <x:c r="E512" s="34" t="n">
        <x:v>1969</x:v>
      </x:c>
      <x:c r="F512" s="21" t="n">
        <x:v>0.7309</x:v>
      </x:c>
      <x:c r="G512" s="16" t="str">
        <x:v>Regional</x:v>
      </x:c>
      <x:c r="H512" s="36" t="n">
        <x:f>IF(G512="National",Assumptions!$B$11,IF(G512="Statewide",Assumptions!$B$12,Assumptions!$B$13))</x:f>
        <x:v>0.85</x:v>
      </x:c>
      <x:c r="I512" s="21" t="n">
        <x:v>-0.05733630220335029</x:v>
      </x:c>
      <x:c r="J512" s="21" t="n">
        <x:v>-0.06046915050617507</x:v>
      </x:c>
      <x:c r="K512" s="21" t="n">
        <x:v>-0.10035471092354298</x:v>
      </x:c>
      <x:c r="L512" s="36" t="n">
        <x:f>IF(Assumptions!$B$4=2030,I512,IF(Assumptions!$B$4=2035,J512,K512))</x:f>
        <x:v>-0.06046915050617507</x:v>
      </x:c>
      <x:c r="M512" s="36" t="n">
        <x:f>Assumptions!$B$19</x:f>
        <x:v>-0.04739891965741583</x:v>
      </x:c>
      <x:c r="N512" s="52" t="n">
        <x:f>H512*L512+(1-H512)*M512+O512</x:f>
        <x:v>-0.058508615878861185</x:v>
      </x:c>
      <x:c r="O512" s="36" t="n">
        <x:f>Assumptions!$B$10</x:f>
        <x:v>0</x:v>
      </x:c>
      <x:c r="P512" s="54" t="n">
        <x:f>E512*(1+N512)</x:f>
        <x:v>1853.7965353345223</x:v>
      </x:c>
      <x:c r="Q512" s="54" t="n">
        <x:f>P512-E512</x:f>
        <x:v>-115.20346466547767</x:v>
      </x:c>
      <x:c r="R512" s="16" t="str">
        <x:v>Yes</x:v>
      </x:c>
      <x:c r="S512" s="56" t="n">
        <x:v>19804</x:v>
      </x:c>
      <x:c r="T512" s="56" t="n">
        <x:v>10419</x:v>
      </x:c>
      <x:c r="U512" s="40" t="n">
        <x:f>E512*Assumptions!$B$8</x:f>
        <x:v>1673.6499999999999</x:v>
      </x:c>
      <x:c r="V512" s="40" t="n">
        <x:f>P512*Assumptions!$B$8</x:f>
        <x:v>1575.727055034344</x:v>
      </x:c>
      <x:c r="W512" s="54" t="n">
        <x:f>V512-U512</x:f>
        <x:v>-97.92294496565592</x:v>
      </x:c>
      <x:c r="X512" s="58" t="n">
        <x:f>IF(R512="No","",W512*S512)</x:f>
        <x:v>-1939266.0020998497</x:v>
      </x:c>
      <x:c r="Y512" s="58" t="n">
        <x:f>IF(R512="No","",W512*T512*Assumptions!$B$9)</x:f>
        <x:v>-306077.7490791507</x:v>
      </x:c>
      <x:c r="Z512" s="58" t="n">
        <x:f>IF(R512="No","",X512-Y512)</x:f>
        <x:v>-1633188.2530206991</x:v>
      </x:c>
      <x:c r="AA512" s="58" t="n">
        <x:f>IF(R512="No","",MAX(0,-Z512))</x:f>
        <x:v>1633188.2530206991</x:v>
      </x:c>
      <x:c r="AB512" s="52" t="n">
        <x:f>IF(OR(R512="No",U512*S512=0),"",AA512/(U512*S512))</x:f>
        <x:v>0.04927409857667186</x:v>
      </x:c>
      <x:c r="AC512" s="54" t="n">
        <x:f>IF(OR(R512="No",S512-T512*Assumptions!$B$9&lt;=0),"",AA512/(Assumptions!$B$8*(S512-T512*Assumptions!$B$9)))</x:f>
        <x:v>115.20346466547757</x:v>
      </x:c>
      <x:c r="AD512" s="52" t="n">
        <x:f>IF(OR(R512="No",U512*S512=0),"",AA512/(U512*S512))</x:f>
        <x:v>0.04927409857667186</x:v>
      </x:c>
      <x:c r="AE512" s="50" t="str">
        <x:f>IF(R512="No","No finance data",IF(AB512&gt;=10%,"Severe",IF(AB512&gt;=5%,"High",IF(AB512&gt;=2%,"Moderate","Low"))))</x:f>
        <x:v>Moderate</x:v>
      </x:c>
      <x:c r="AF512" s="60" t="n">
        <x:v>39.813233</x:v>
      </x:c>
      <x:c r="AG512" s="60" t="n">
        <x:v>-86.202643</x:v>
      </x:c>
      <x:c r="AH512" s="44" t="str">
        <x:v>Undergraduate tuition-contribution proxy only; not an audited total institutional budget.</x:v>
      </x:c>
    </x:row>
    <x:row r="513">
      <x:c r="A513" s="16" t="n">
        <x:v>151810</x:v>
      </x:c>
      <x:c r="B513" s="16" t="str">
        <x:v>Martin University</x:v>
      </x:c>
      <x:c r="C513" s="16" t="str">
        <x:v>IN</x:v>
      </x:c>
      <x:c r="D513" s="16" t="str">
        <x:v>Private nonprofit</x:v>
      </x:c>
      <x:c r="E513" s="34" t="n">
        <x:v>286</x:v>
      </x:c>
      <x:c r="F513" s="21"/>
      <x:c r="G513" s="16" t="str">
        <x:v>Regional</x:v>
      </x:c>
      <x:c r="H513" s="36" t="n">
        <x:f>IF(G513="National",Assumptions!$B$11,IF(G513="Statewide",Assumptions!$B$12,Assumptions!$B$13))</x:f>
        <x:v>0.85</x:v>
      </x:c>
      <x:c r="I513" s="21" t="n">
        <x:v>-0.05733630220335029</x:v>
      </x:c>
      <x:c r="J513" s="21" t="n">
        <x:v>-0.06046915050617507</x:v>
      </x:c>
      <x:c r="K513" s="21" t="n">
        <x:v>-0.10035471092354298</x:v>
      </x:c>
      <x:c r="L513" s="36" t="n">
        <x:f>IF(Assumptions!$B$4=2030,I513,IF(Assumptions!$B$4=2035,J513,K513))</x:f>
        <x:v>-0.06046915050617507</x:v>
      </x:c>
      <x:c r="M513" s="36" t="n">
        <x:f>Assumptions!$B$19</x:f>
        <x:v>-0.04739891965741583</x:v>
      </x:c>
      <x:c r="N513" s="52" t="n">
        <x:f>H513*L513+(1-H513)*M513+O513</x:f>
        <x:v>-0.058508615878861185</x:v>
      </x:c>
      <x:c r="O513" s="36" t="n">
        <x:f>Assumptions!$B$10</x:f>
        <x:v>0</x:v>
      </x:c>
      <x:c r="P513" s="54" t="n">
        <x:f>E513*(1+N513)</x:f>
        <x:v>269.26653585864574</x:v>
      </x:c>
      <x:c r="Q513" s="54" t="n">
        <x:f>P513-E513</x:f>
        <x:v>-16.73346414135426</x:v>
      </x:c>
      <x:c r="R513" s="16" t="str">
        <x:v>No</x:v>
      </x:c>
      <x:c r="S513" s="56"/>
      <x:c r="T513" s="56"/>
      <x:c r="U513" s="40" t="n">
        <x:f>E513*Assumptions!$B$8</x:f>
        <x:v>243.1</x:v>
      </x:c>
      <x:c r="V513" s="40" t="n">
        <x:f>P513*Assumptions!$B$8</x:f>
        <x:v>228.87655547984886</x:v>
      </x:c>
      <x:c r="W513" s="54" t="n">
        <x:f>V513-U513</x:f>
        <x:v>-14.223444520151133</x:v>
      </x:c>
      <x:c r="X513" s="58" t="str">
        <x:f>IF(R513="No","",W513*S513)</x:f>
      </x:c>
      <x:c r="Y513" s="58" t="str">
        <x:f>IF(R513="No","",W513*T513*Assumptions!$B$9)</x:f>
      </x:c>
      <x:c r="Z513" s="58" t="str">
        <x:f>IF(R513="No","",X513-Y513)</x:f>
      </x:c>
      <x:c r="AA513" s="58" t="str">
        <x:f>IF(R513="No","",MAX(0,-Z513))</x:f>
      </x:c>
      <x:c r="AB513" s="52" t="str">
        <x:f>IF(OR(R513="No",U513*S513=0),"",AA513/(U513*S513))</x:f>
      </x:c>
      <x:c r="AC513" s="54" t="str">
        <x:f>IF(OR(R513="No",S513-T513*Assumptions!$B$9&lt;=0),"",AA513/(Assumptions!$B$8*(S513-T513*Assumptions!$B$9)))</x:f>
      </x:c>
      <x:c r="AD513" s="52" t="str">
        <x:f>IF(OR(R513="No",U513*S513=0),"",AA513/(U513*S513))</x:f>
      </x:c>
      <x:c r="AE513" s="50" t="str">
        <x:f>IF(R513="No","No finance data",IF(AB513&gt;=10%,"Severe",IF(AB513&gt;=5%,"High",IF(AB513&gt;=2%,"Moderate","Low"))))</x:f>
        <x:v>No finance data</x:v>
      </x:c>
      <x:c r="AF513" s="60"/>
      <x:c r="AG513" s="60"/>
      <x:c r="AH513" s="44" t="str">
        <x:v>Undergraduate tuition-contribution proxy only; not an audited total institutional budget.</x:v>
      </x:c>
    </x:row>
    <x:row r="514">
      <x:c r="A514" s="16" t="n">
        <x:v>152099</x:v>
      </x:c>
      <x:c r="B514" s="16" t="str">
        <x:v>Oakland City University</x:v>
      </x:c>
      <x:c r="C514" s="16" t="str">
        <x:v>IN</x:v>
      </x:c>
      <x:c r="D514" s="16" t="str">
        <x:v>Private nonprofit</x:v>
      </x:c>
      <x:c r="E514" s="34" t="n">
        <x:v>548</x:v>
      </x:c>
      <x:c r="F514" s="21" t="n">
        <x:v>0.7262</x:v>
      </x:c>
      <x:c r="G514" s="16" t="str">
        <x:v>Regional</x:v>
      </x:c>
      <x:c r="H514" s="36" t="n">
        <x:f>IF(G514="National",Assumptions!$B$11,IF(G514="Statewide",Assumptions!$B$12,Assumptions!$B$13))</x:f>
        <x:v>0.85</x:v>
      </x:c>
      <x:c r="I514" s="21" t="n">
        <x:v>-0.05733630220335029</x:v>
      </x:c>
      <x:c r="J514" s="21" t="n">
        <x:v>-0.06046915050617507</x:v>
      </x:c>
      <x:c r="K514" s="21" t="n">
        <x:v>-0.10035471092354298</x:v>
      </x:c>
      <x:c r="L514" s="36" t="n">
        <x:f>IF(Assumptions!$B$4=2030,I514,IF(Assumptions!$B$4=2035,J514,K514))</x:f>
        <x:v>-0.06046915050617507</x:v>
      </x:c>
      <x:c r="M514" s="36" t="n">
        <x:f>Assumptions!$B$19</x:f>
        <x:v>-0.04739891965741583</x:v>
      </x:c>
      <x:c r="N514" s="52" t="n">
        <x:f>H514*L514+(1-H514)*M514+O514</x:f>
        <x:v>-0.058508615878861185</x:v>
      </x:c>
      <x:c r="O514" s="36" t="n">
        <x:f>Assumptions!$B$10</x:f>
        <x:v>0</x:v>
      </x:c>
      <x:c r="P514" s="54" t="n">
        <x:f>E514*(1+N514)</x:f>
        <x:v>515.9372784983841</x:v>
      </x:c>
      <x:c r="Q514" s="54" t="n">
        <x:f>P514-E514</x:f>
        <x:v>-32.0627215016159</x:v>
      </x:c>
      <x:c r="R514" s="16" t="str">
        <x:v>Yes</x:v>
      </x:c>
      <x:c r="S514" s="56" t="n">
        <x:v>15815</x:v>
      </x:c>
      <x:c r="T514" s="56" t="n">
        <x:v>5667</x:v>
      </x:c>
      <x:c r="U514" s="40" t="n">
        <x:f>E514*Assumptions!$B$8</x:f>
        <x:v>465.8</x:v>
      </x:c>
      <x:c r="V514" s="40" t="n">
        <x:f>P514*Assumptions!$B$8</x:f>
        <x:v>438.54668672362646</x:v>
      </x:c>
      <x:c r="W514" s="54" t="n">
        <x:f>V514-U514</x:f>
        <x:v>-27.253313276373547</x:v>
      </x:c>
      <x:c r="X514" s="58" t="n">
        <x:f>IF(R514="No","",W514*S514)</x:f>
        <x:v>-431011.14946584764</x:v>
      </x:c>
      <x:c r="Y514" s="58" t="n">
        <x:f>IF(R514="No","",W514*T514*Assumptions!$B$9)</x:f>
        <x:v>-46333.357901162664</x:v>
      </x:c>
      <x:c r="Z514" s="58" t="n">
        <x:f>IF(R514="No","",X514-Y514)</x:f>
        <x:v>-384677.791564685</x:v>
      </x:c>
      <x:c r="AA514" s="58" t="n">
        <x:f>IF(R514="No","",MAX(0,-Z514))</x:f>
        <x:v>384677.791564685</x:v>
      </x:c>
      <x:c r="AB514" s="52" t="n">
        <x:f>IF(OR(R514="No",U514*S514=0),"",AA514/(U514*S514))</x:f>
        <x:v>0.052218985916442494</x:v>
      </x:c>
      <x:c r="AC514" s="54" t="n">
        <x:f>IF(OR(R514="No",S514-T514*Assumptions!$B$9&lt;=0),"",AA514/(Assumptions!$B$8*(S514-T514*Assumptions!$B$9)))</x:f>
        <x:v>32.06272150161594</x:v>
      </x:c>
      <x:c r="AD514" s="52" t="n">
        <x:f>IF(OR(R514="No",U514*S514=0),"",AA514/(U514*S514))</x:f>
        <x:v>0.052218985916442494</x:v>
      </x:c>
      <x:c r="AE514" s="50" t="str">
        <x:f>IF(R514="No","No finance data",IF(AB514&gt;=10%,"Severe",IF(AB514&gt;=5%,"High",IF(AB514&gt;=2%,"Moderate","Low"))))</x:f>
        <x:v>High</x:v>
      </x:c>
      <x:c r="AF514" s="60" t="n">
        <x:v>38.340891</x:v>
      </x:c>
      <x:c r="AG514" s="60" t="n">
        <x:v>-87.35144</x:v>
      </x:c>
      <x:c r="AH514" s="44" t="str">
        <x:v>Undergraduate tuition-contribution proxy only; not an audited total institutional budget.</x:v>
      </x:c>
    </x:row>
    <x:row r="515">
      <x:c r="A515" s="16" t="n">
        <x:v>442897</x:v>
      </x:c>
      <x:c r="B515" s="16" t="str">
        <x:v>Ottawa University-Jeffersonville</x:v>
      </x:c>
      <x:c r="C515" s="16" t="str">
        <x:v>IN</x:v>
      </x:c>
      <x:c r="D515" s="16" t="str">
        <x:v>Private nonprofit</x:v>
      </x:c>
      <x:c r="E515" s="34" t="n">
        <x:v>62</x:v>
      </x:c>
      <x:c r="F515" s="21"/>
      <x:c r="G515" s="16" t="str">
        <x:v>Regional</x:v>
      </x:c>
      <x:c r="H515" s="36" t="n">
        <x:f>IF(G515="National",Assumptions!$B$11,IF(G515="Statewide",Assumptions!$B$12,Assumptions!$B$13))</x:f>
        <x:v>0.85</x:v>
      </x:c>
      <x:c r="I515" s="21" t="n">
        <x:v>-0.05733630220335029</x:v>
      </x:c>
      <x:c r="J515" s="21" t="n">
        <x:v>-0.06046915050617507</x:v>
      </x:c>
      <x:c r="K515" s="21" t="n">
        <x:v>-0.10035471092354298</x:v>
      </x:c>
      <x:c r="L515" s="36" t="n">
        <x:f>IF(Assumptions!$B$4=2030,I515,IF(Assumptions!$B$4=2035,J515,K515))</x:f>
        <x:v>-0.06046915050617507</x:v>
      </x:c>
      <x:c r="M515" s="36" t="n">
        <x:f>Assumptions!$B$19</x:f>
        <x:v>-0.04739891965741583</x:v>
      </x:c>
      <x:c r="N515" s="52" t="n">
        <x:f>H515*L515+(1-H515)*M515+O515</x:f>
        <x:v>-0.058508615878861185</x:v>
      </x:c>
      <x:c r="O515" s="36" t="n">
        <x:f>Assumptions!$B$10</x:f>
        <x:v>0</x:v>
      </x:c>
      <x:c r="P515" s="54" t="n">
        <x:f>E515*(1+N515)</x:f>
        <x:v>58.37246581551061</x:v>
      </x:c>
      <x:c r="Q515" s="54" t="n">
        <x:f>P515-E515</x:f>
        <x:v>-3.6275341844893916</x:v>
      </x:c>
      <x:c r="R515" s="16" t="str">
        <x:v>No</x:v>
      </x:c>
      <x:c r="S515" s="56"/>
      <x:c r="T515" s="56"/>
      <x:c r="U515" s="40" t="n">
        <x:f>E515*Assumptions!$B$8</x:f>
        <x:v>52.699999999999996</x:v>
      </x:c>
      <x:c r="V515" s="40" t="n">
        <x:f>P515*Assumptions!$B$8</x:f>
        <x:v>49.61659594318402</x:v>
      </x:c>
      <x:c r="W515" s="54" t="n">
        <x:f>V515-U515</x:f>
        <x:v>-3.0834040568159793</x:v>
      </x:c>
      <x:c r="X515" s="58" t="str">
        <x:f>IF(R515="No","",W515*S515)</x:f>
      </x:c>
      <x:c r="Y515" s="58" t="str">
        <x:f>IF(R515="No","",W515*T515*Assumptions!$B$9)</x:f>
      </x:c>
      <x:c r="Z515" s="58" t="str">
        <x:f>IF(R515="No","",X515-Y515)</x:f>
      </x:c>
      <x:c r="AA515" s="58" t="str">
        <x:f>IF(R515="No","",MAX(0,-Z515))</x:f>
      </x:c>
      <x:c r="AB515" s="52" t="str">
        <x:f>IF(OR(R515="No",U515*S515=0),"",AA515/(U515*S515))</x:f>
      </x:c>
      <x:c r="AC515" s="54" t="str">
        <x:f>IF(OR(R515="No",S515-T515*Assumptions!$B$9&lt;=0),"",AA515/(Assumptions!$B$8*(S515-T515*Assumptions!$B$9)))</x:f>
      </x:c>
      <x:c r="AD515" s="52" t="str">
        <x:f>IF(OR(R515="No",U515*S515=0),"",AA515/(U515*S515))</x:f>
      </x:c>
      <x:c r="AE515" s="50" t="str">
        <x:f>IF(R515="No","No finance data",IF(AB515&gt;=10%,"Severe",IF(AB515&gt;=5%,"High",IF(AB515&gt;=2%,"Moderate","Low"))))</x:f>
        <x:v>No finance data</x:v>
      </x:c>
      <x:c r="AF515" s="60"/>
      <x:c r="AG515" s="60"/>
      <x:c r="AH515" s="44" t="str">
        <x:v>Undergraduate tuition-contribution proxy only; not an audited total institutional budget.</x:v>
      </x:c>
    </x:row>
    <x:row r="516">
      <x:c r="A516" s="16" t="n">
        <x:v>152248</x:v>
      </x:c>
      <x:c r="B516" s="16" t="str">
        <x:v>Purdue University-Calumet Campus</x:v>
      </x:c>
      <x:c r="C516" s="16" t="str">
        <x:v>IN</x:v>
      </x:c>
      <x:c r="D516" s="16" t="str">
        <x:v>Public</x:v>
      </x:c>
      <x:c r="E516" s="34" t="n">
        <x:v>7242</x:v>
      </x:c>
      <x:c r="F516" s="21"/>
      <x:c r="G516" s="16" t="str">
        <x:v>Statewide</x:v>
      </x:c>
      <x:c r="H516" s="36" t="n">
        <x:f>IF(G516="National",Assumptions!$B$11,IF(G516="Statewide",Assumptions!$B$12,Assumptions!$B$13))</x:f>
        <x:v>0.6</x:v>
      </x:c>
      <x:c r="I516" s="21" t="n">
        <x:v>-0.05733630220335029</x:v>
      </x:c>
      <x:c r="J516" s="21" t="n">
        <x:v>-0.06046915050617507</x:v>
      </x:c>
      <x:c r="K516" s="21" t="n">
        <x:v>-0.10035471092354298</x:v>
      </x:c>
      <x:c r="L516" s="36" t="n">
        <x:f>IF(Assumptions!$B$4=2030,I516,IF(Assumptions!$B$4=2035,J516,K516))</x:f>
        <x:v>-0.06046915050617507</x:v>
      </x:c>
      <x:c r="M516" s="36" t="n">
        <x:f>Assumptions!$B$19</x:f>
        <x:v>-0.04739891965741583</x:v>
      </x:c>
      <x:c r="N516" s="52" t="n">
        <x:f>H516*L516+(1-H516)*M516+O516</x:f>
        <x:v>-0.055241058166671374</x:v>
      </x:c>
      <x:c r="O516" s="36" t="n">
        <x:f>Assumptions!$B$10</x:f>
        <x:v>0</x:v>
      </x:c>
      <x:c r="P516" s="54" t="n">
        <x:f>E516*(1+N516)</x:f>
        <x:v>6841.944256756966</x:v>
      </x:c>
      <x:c r="Q516" s="54" t="n">
        <x:f>P516-E516</x:f>
        <x:v>-400.05574324303416</x:v>
      </x:c>
      <x:c r="R516" s="16" t="str">
        <x:v>No</x:v>
      </x:c>
      <x:c r="S516" s="56"/>
      <x:c r="T516" s="56"/>
      <x:c r="U516" s="40" t="n">
        <x:f>E516*Assumptions!$B$8</x:f>
        <x:v>6155.7</x:v>
      </x:c>
      <x:c r="V516" s="40" t="n">
        <x:f>P516*Assumptions!$B$8</x:f>
        <x:v>5815.652618243421</x:v>
      </x:c>
      <x:c r="W516" s="54" t="n">
        <x:f>V516-U516</x:f>
        <x:v>-340.04738175657894</x:v>
      </x:c>
      <x:c r="X516" s="58" t="str">
        <x:f>IF(R516="No","",W516*S516)</x:f>
      </x:c>
      <x:c r="Y516" s="58" t="str">
        <x:f>IF(R516="No","",W516*T516*Assumptions!$B$9)</x:f>
      </x:c>
      <x:c r="Z516" s="58" t="str">
        <x:f>IF(R516="No","",X516-Y516)</x:f>
      </x:c>
      <x:c r="AA516" s="58" t="str">
        <x:f>IF(R516="No","",MAX(0,-Z516))</x:f>
      </x:c>
      <x:c r="AB516" s="52" t="str">
        <x:f>IF(OR(R516="No",U516*S516=0),"",AA516/(U516*S516))</x:f>
      </x:c>
      <x:c r="AC516" s="54" t="str">
        <x:f>IF(OR(R516="No",S516-T516*Assumptions!$B$9&lt;=0),"",AA516/(Assumptions!$B$8*(S516-T516*Assumptions!$B$9)))</x:f>
      </x:c>
      <x:c r="AD516" s="52" t="str">
        <x:f>IF(OR(R516="No",U516*S516=0),"",AA516/(U516*S516))</x:f>
      </x:c>
      <x:c r="AE516" s="50" t="str">
        <x:f>IF(R516="No","No finance data",IF(AB516&gt;=10%,"Severe",IF(AB516&gt;=5%,"High",IF(AB516&gt;=2%,"Moderate","Low"))))</x:f>
        <x:v>No finance data</x:v>
      </x:c>
      <x:c r="AF516" s="60"/>
      <x:c r="AG516" s="60"/>
      <x:c r="AH516" s="44" t="str">
        <x:v>Undergraduate tuition-contribution proxy only; not an audited total institutional budget.</x:v>
      </x:c>
    </x:row>
    <x:row r="517">
      <x:c r="A517" s="16" t="n">
        <x:v>243780</x:v>
      </x:c>
      <x:c r="B517" s="16" t="str">
        <x:v>Purdue University-Main Campus</x:v>
      </x:c>
      <x:c r="C517" s="16" t="str">
        <x:v>IN</x:v>
      </x:c>
      <x:c r="D517" s="16" t="str">
        <x:v>Public</x:v>
      </x:c>
      <x:c r="E517" s="34" t="n">
        <x:v>30233</x:v>
      </x:c>
      <x:c r="F517" s="21" t="n">
        <x:v>0.6881</x:v>
      </x:c>
      <x:c r="G517" s="16" t="str">
        <x:v>National</x:v>
      </x:c>
      <x:c r="H517" s="36" t="n">
        <x:f>IF(G517="National",Assumptions!$B$11,IF(G517="Statewide",Assumptions!$B$12,Assumptions!$B$13))</x:f>
        <x:v>0.25</x:v>
      </x:c>
      <x:c r="I517" s="21" t="n">
        <x:v>-0.05733630220335029</x:v>
      </x:c>
      <x:c r="J517" s="21" t="n">
        <x:v>-0.06046915050617507</x:v>
      </x:c>
      <x:c r="K517" s="21" t="n">
        <x:v>-0.10035471092354298</x:v>
      </x:c>
      <x:c r="L517" s="36" t="n">
        <x:f>IF(Assumptions!$B$4=2030,I517,IF(Assumptions!$B$4=2035,J517,K517))</x:f>
        <x:v>-0.06046915050617507</x:v>
      </x:c>
      <x:c r="M517" s="36" t="n">
        <x:f>Assumptions!$B$19</x:f>
        <x:v>-0.04739891965741583</x:v>
      </x:c>
      <x:c r="N517" s="52" t="n">
        <x:f>H517*L517+(1-H517)*M517+O517</x:f>
        <x:v>-0.05066647736960564</x:v>
      </x:c>
      <x:c r="O517" s="36" t="n">
        <x:f>Assumptions!$B$10</x:f>
        <x:v>0</x:v>
      </x:c>
      <x:c r="P517" s="54" t="n">
        <x:f>E517*(1+N517)</x:f>
        <x:v>28701.200389684713</x:v>
      </x:c>
      <x:c r="Q517" s="54" t="n">
        <x:f>P517-E517</x:f>
        <x:v>-1531.7996103152873</x:v>
      </x:c>
      <x:c r="R517" s="16" t="str">
        <x:v>Yes</x:v>
      </x:c>
      <x:c r="S517" s="56" t="n">
        <x:v>17037</x:v>
      </x:c>
      <x:c r="T517" s="56" t="n">
        <x:v>17569</x:v>
      </x:c>
      <x:c r="U517" s="40" t="n">
        <x:f>E517*Assumptions!$B$8</x:f>
        <x:v>25698.05</x:v>
      </x:c>
      <x:c r="V517" s="40" t="n">
        <x:f>P517*Assumptions!$B$8</x:f>
        <x:v>24396.020331232005</x:v>
      </x:c>
      <x:c r="W517" s="54" t="n">
        <x:f>V517-U517</x:f>
        <x:v>-1302.0296687679947</x:v>
      </x:c>
      <x:c r="X517" s="58" t="n">
        <x:f>IF(R517="No","",W517*S517)</x:f>
        <x:v>-22182679.466800325</x:v>
      </x:c>
      <x:c r="Y517" s="58" t="n">
        <x:f>IF(R517="No","",W517*T517*Assumptions!$B$9)</x:f>
        <x:v>-6862607.77517547</x:v>
      </x:c>
      <x:c r="Z517" s="58" t="n">
        <x:f>IF(R517="No","",X517-Y517)</x:f>
        <x:v>-15320071.691624854</x:v>
      </x:c>
      <x:c r="AA517" s="58" t="n">
        <x:f>IF(R517="No","",MAX(0,-Z517))</x:f>
        <x:v>15320071.691624854</x:v>
      </x:c>
      <x:c r="AB517" s="52" t="n">
        <x:f>IF(OR(R517="No",U517*S517=0),"",AA517/(U517*S517))</x:f>
        <x:v>0.03499189837846986</x:v>
      </x:c>
      <x:c r="AC517" s="54" t="n">
        <x:f>IF(OR(R517="No",S517-T517*Assumptions!$B$9&lt;=0),"",AA517/(Assumptions!$B$8*(S517-T517*Assumptions!$B$9)))</x:f>
        <x:v>1531.7996103152877</x:v>
      </x:c>
      <x:c r="AD517" s="52" t="n">
        <x:f>IF(OR(R517="No",U517*S517=0),"",AA517/(U517*S517))</x:f>
        <x:v>0.03499189837846986</x:v>
      </x:c>
      <x:c r="AE517" s="50" t="str">
        <x:f>IF(R517="No","No finance data",IF(AB517&gt;=10%,"Severe",IF(AB517&gt;=5%,"High",IF(AB517&gt;=2%,"Moderate","Low"))))</x:f>
        <x:v>Moderate</x:v>
      </x:c>
      <x:c r="AF517" s="60" t="n">
        <x:v>40.428206</x:v>
      </x:c>
      <x:c r="AG517" s="60" t="n">
        <x:v>-86.914435</x:v>
      </x:c>
      <x:c r="AH517" s="44" t="str">
        <x:v>Undergraduate tuition-contribution proxy only; not an audited total institutional budget.</x:v>
      </x:c>
    </x:row>
    <x:row r="518">
      <x:c r="A518" s="16" t="n">
        <x:v>152266</x:v>
      </x:c>
      <x:c r="B518" s="16" t="str">
        <x:v>Purdue University-North Central Campus</x:v>
      </x:c>
      <x:c r="C518" s="16" t="str">
        <x:v>IN</x:v>
      </x:c>
      <x:c r="D518" s="16" t="str">
        <x:v>Public</x:v>
      </x:c>
      <x:c r="E518" s="34" t="n">
        <x:v>3065</x:v>
      </x:c>
      <x:c r="F518" s="21"/>
      <x:c r="G518" s="16" t="str">
        <x:v>Regional</x:v>
      </x:c>
      <x:c r="H518" s="36" t="n">
        <x:f>IF(G518="National",Assumptions!$B$11,IF(G518="Statewide",Assumptions!$B$12,Assumptions!$B$13))</x:f>
        <x:v>0.85</x:v>
      </x:c>
      <x:c r="I518" s="21" t="n">
        <x:v>-0.05733630220335029</x:v>
      </x:c>
      <x:c r="J518" s="21" t="n">
        <x:v>-0.06046915050617507</x:v>
      </x:c>
      <x:c r="K518" s="21" t="n">
        <x:v>-0.10035471092354298</x:v>
      </x:c>
      <x:c r="L518" s="36" t="n">
        <x:f>IF(Assumptions!$B$4=2030,I518,IF(Assumptions!$B$4=2035,J518,K518))</x:f>
        <x:v>-0.06046915050617507</x:v>
      </x:c>
      <x:c r="M518" s="36" t="n">
        <x:f>Assumptions!$B$19</x:f>
        <x:v>-0.04739891965741583</x:v>
      </x:c>
      <x:c r="N518" s="52" t="n">
        <x:f>H518*L518+(1-H518)*M518+O518</x:f>
        <x:v>-0.058508615878861185</x:v>
      </x:c>
      <x:c r="O518" s="36" t="n">
        <x:f>Assumptions!$B$10</x:f>
        <x:v>0</x:v>
      </x:c>
      <x:c r="P518" s="54" t="n">
        <x:f>E518*(1+N518)</x:f>
        <x:v>2885.6710923312908</x:v>
      </x:c>
      <x:c r="Q518" s="54" t="n">
        <x:f>P518-E518</x:f>
        <x:v>-179.32890766870923</x:v>
      </x:c>
      <x:c r="R518" s="16" t="str">
        <x:v>No</x:v>
      </x:c>
      <x:c r="S518" s="56"/>
      <x:c r="T518" s="56"/>
      <x:c r="U518" s="40" t="n">
        <x:f>E518*Assumptions!$B$8</x:f>
        <x:v>2605.25</x:v>
      </x:c>
      <x:c r="V518" s="40" t="n">
        <x:f>P518*Assumptions!$B$8</x:f>
        <x:v>2452.820428481597</x:v>
      </x:c>
      <x:c r="W518" s="54" t="n">
        <x:f>V518-U518</x:f>
        <x:v>-152.429571518403</x:v>
      </x:c>
      <x:c r="X518" s="58" t="str">
        <x:f>IF(R518="No","",W518*S518)</x:f>
      </x:c>
      <x:c r="Y518" s="58" t="str">
        <x:f>IF(R518="No","",W518*T518*Assumptions!$B$9)</x:f>
      </x:c>
      <x:c r="Z518" s="58" t="str">
        <x:f>IF(R518="No","",X518-Y518)</x:f>
      </x:c>
      <x:c r="AA518" s="58" t="str">
        <x:f>IF(R518="No","",MAX(0,-Z518))</x:f>
      </x:c>
      <x:c r="AB518" s="52" t="str">
        <x:f>IF(OR(R518="No",U518*S518=0),"",AA518/(U518*S518))</x:f>
      </x:c>
      <x:c r="AC518" s="54" t="str">
        <x:f>IF(OR(R518="No",S518-T518*Assumptions!$B$9&lt;=0),"",AA518/(Assumptions!$B$8*(S518-T518*Assumptions!$B$9)))</x:f>
      </x:c>
      <x:c r="AD518" s="52" t="str">
        <x:f>IF(OR(R518="No",U518*S518=0),"",AA518/(U518*S518))</x:f>
      </x:c>
      <x:c r="AE518" s="50" t="str">
        <x:f>IF(R518="No","No finance data",IF(AB518&gt;=10%,"Severe",IF(AB518&gt;=5%,"High",IF(AB518&gt;=2%,"Moderate","Low"))))</x:f>
        <x:v>No finance data</x:v>
      </x:c>
      <x:c r="AF518" s="60"/>
      <x:c r="AG518" s="60"/>
      <x:c r="AH518" s="44" t="str">
        <x:v>Undergraduate tuition-contribution proxy only; not an audited total institutional budget.</x:v>
      </x:c>
    </x:row>
    <x:row r="519">
      <x:c r="A519" s="16" t="n">
        <x:v>152318</x:v>
      </x:c>
      <x:c r="B519" s="16" t="str">
        <x:v>Rose-Hulman Institute of Technology</x:v>
      </x:c>
      <x:c r="C519" s="16" t="str">
        <x:v>IN</x:v>
      </x:c>
      <x:c r="D519" s="16" t="str">
        <x:v>Private nonprofit</x:v>
      </x:c>
      <x:c r="E519" s="34" t="n">
        <x:v>2231</x:v>
      </x:c>
      <x:c r="F519" s="21" t="n">
        <x:v>0.774</x:v>
      </x:c>
      <x:c r="G519" s="16" t="str">
        <x:v>Regional</x:v>
      </x:c>
      <x:c r="H519" s="36" t="n">
        <x:f>IF(G519="National",Assumptions!$B$11,IF(G519="Statewide",Assumptions!$B$12,Assumptions!$B$13))</x:f>
        <x:v>0.85</x:v>
      </x:c>
      <x:c r="I519" s="21" t="n">
        <x:v>-0.05733630220335029</x:v>
      </x:c>
      <x:c r="J519" s="21" t="n">
        <x:v>-0.06046915050617507</x:v>
      </x:c>
      <x:c r="K519" s="21" t="n">
        <x:v>-0.10035471092354298</x:v>
      </x:c>
      <x:c r="L519" s="36" t="n">
        <x:f>IF(Assumptions!$B$4=2030,I519,IF(Assumptions!$B$4=2035,J519,K519))</x:f>
        <x:v>-0.06046915050617507</x:v>
      </x:c>
      <x:c r="M519" s="36" t="n">
        <x:f>Assumptions!$B$19</x:f>
        <x:v>-0.04739891965741583</x:v>
      </x:c>
      <x:c r="N519" s="52" t="n">
        <x:f>H519*L519+(1-H519)*M519+O519</x:f>
        <x:v>-0.058508615878861185</x:v>
      </x:c>
      <x:c r="O519" s="36" t="n">
        <x:f>Assumptions!$B$10</x:f>
        <x:v>0</x:v>
      </x:c>
      <x:c r="P519" s="54" t="n">
        <x:f>E519*(1+N519)</x:f>
        <x:v>2100.467277974261</x:v>
      </x:c>
      <x:c r="Q519" s="54" t="n">
        <x:f>P519-E519</x:f>
        <x:v>-130.53272202573908</x:v>
      </x:c>
      <x:c r="R519" s="16" t="str">
        <x:v>Yes</x:v>
      </x:c>
      <x:c r="S519" s="56" t="n">
        <x:v>26959</x:v>
      </x:c>
      <x:c r="T519" s="56" t="n">
        <x:v>20325</x:v>
      </x:c>
      <x:c r="U519" s="40" t="n">
        <x:f>E519*Assumptions!$B$8</x:f>
        <x:v>1896.35</x:v>
      </x:c>
      <x:c r="V519" s="40" t="n">
        <x:f>P519*Assumptions!$B$8</x:f>
        <x:v>1785.3971862781218</x:v>
      </x:c>
      <x:c r="W519" s="54" t="n">
        <x:f>V519-U519</x:f>
        <x:v>-110.9528137218781</x:v>
      </x:c>
      <x:c r="X519" s="58" t="n">
        <x:f>IF(R519="No","",W519*S519)</x:f>
        <x:v>-2991176.9051281116</x:v>
      </x:c>
      <x:c r="Y519" s="58" t="n">
        <x:f>IF(R519="No","",W519*T519*Assumptions!$B$9)</x:f>
        <x:v>-676534.7816691517</x:v>
      </x:c>
      <x:c r="Z519" s="58" t="n">
        <x:f>IF(R519="No","",X519-Y519)</x:f>
        <x:v>-2314642.12345896</x:v>
      </x:c>
      <x:c r="AA519" s="58" t="n">
        <x:f>IF(R519="No","",MAX(0,-Z519))</x:f>
        <x:v>2314642.12345896</x:v>
      </x:c>
      <x:c r="AB519" s="52" t="n">
        <x:f>IF(OR(R519="No",U519*S519=0),"",AA519/(U519*S519))</x:f>
        <x:v>0.04527532512915387</x:v>
      </x:c>
      <x:c r="AC519" s="54" t="n">
        <x:f>IF(OR(R519="No",S519-T519*Assumptions!$B$9&lt;=0),"",AA519/(Assumptions!$B$8*(S519-T519*Assumptions!$B$9)))</x:f>
        <x:v>130.53272202573896</x:v>
      </x:c>
      <x:c r="AD519" s="52" t="n">
        <x:f>IF(OR(R519="No",U519*S519=0),"",AA519/(U519*S519))</x:f>
        <x:v>0.04527532512915387</x:v>
      </x:c>
      <x:c r="AE519" s="50" t="str">
        <x:f>IF(R519="No","No finance data",IF(AB519&gt;=10%,"Severe",IF(AB519&gt;=5%,"High",IF(AB519&gt;=2%,"Moderate","Low"))))</x:f>
        <x:v>Moderate</x:v>
      </x:c>
      <x:c r="AF519" s="60" t="n">
        <x:v>39.483602</x:v>
      </x:c>
      <x:c r="AG519" s="60" t="n">
        <x:v>-87.326749</x:v>
      </x:c>
      <x:c r="AH519" s="44" t="str">
        <x:v>Undergraduate tuition-contribution proxy only; not an audited total institutional budget.</x:v>
      </x:c>
    </x:row>
    <x:row r="520">
      <x:c r="A520" s="16" t="n">
        <x:v>152363</x:v>
      </x:c>
      <x:c r="B520" s="16" t="str">
        <x:v>Saint Josephs College</x:v>
      </x:c>
      <x:c r="C520" s="16" t="str">
        <x:v>IN</x:v>
      </x:c>
      <x:c r="D520" s="16" t="str">
        <x:v>Private nonprofit</x:v>
      </x:c>
      <x:c r="E520" s="34" t="n">
        <x:v>1048</x:v>
      </x:c>
      <x:c r="F520" s="21"/>
      <x:c r="G520" s="16" t="str">
        <x:v>Regional</x:v>
      </x:c>
      <x:c r="H520" s="36" t="n">
        <x:f>IF(G520="National",Assumptions!$B$11,IF(G520="Statewide",Assumptions!$B$12,Assumptions!$B$13))</x:f>
        <x:v>0.85</x:v>
      </x:c>
      <x:c r="I520" s="21" t="n">
        <x:v>-0.05733630220335029</x:v>
      </x:c>
      <x:c r="J520" s="21" t="n">
        <x:v>-0.06046915050617507</x:v>
      </x:c>
      <x:c r="K520" s="21" t="n">
        <x:v>-0.10035471092354298</x:v>
      </x:c>
      <x:c r="L520" s="36" t="n">
        <x:f>IF(Assumptions!$B$4=2030,I520,IF(Assumptions!$B$4=2035,J520,K520))</x:f>
        <x:v>-0.06046915050617507</x:v>
      </x:c>
      <x:c r="M520" s="36" t="n">
        <x:f>Assumptions!$B$19</x:f>
        <x:v>-0.04739891965741583</x:v>
      </x:c>
      <x:c r="N520" s="52" t="n">
        <x:f>H520*L520+(1-H520)*M520+O520</x:f>
        <x:v>-0.058508615878861185</x:v>
      </x:c>
      <x:c r="O520" s="36" t="n">
        <x:f>Assumptions!$B$10</x:f>
        <x:v>0</x:v>
      </x:c>
      <x:c r="P520" s="54" t="n">
        <x:f>E520*(1+N520)</x:f>
        <x:v>986.6829705589536</x:v>
      </x:c>
      <x:c r="Q520" s="54" t="n">
        <x:f>P520-E520</x:f>
        <x:v>-61.31702944104643</x:v>
      </x:c>
      <x:c r="R520" s="16" t="str">
        <x:v>No</x:v>
      </x:c>
      <x:c r="S520" s="56"/>
      <x:c r="T520" s="56"/>
      <x:c r="U520" s="40" t="n">
        <x:f>E520*Assumptions!$B$8</x:f>
        <x:v>890.8</x:v>
      </x:c>
      <x:c r="V520" s="40" t="n">
        <x:f>P520*Assumptions!$B$8</x:f>
        <x:v>838.6805249751105</x:v>
      </x:c>
      <x:c r="W520" s="54" t="n">
        <x:f>V520-U520</x:f>
        <x:v>-52.119475024889425</x:v>
      </x:c>
      <x:c r="X520" s="58" t="str">
        <x:f>IF(R520="No","",W520*S520)</x:f>
      </x:c>
      <x:c r="Y520" s="58" t="str">
        <x:f>IF(R520="No","",W520*T520*Assumptions!$B$9)</x:f>
      </x:c>
      <x:c r="Z520" s="58" t="str">
        <x:f>IF(R520="No","",X520-Y520)</x:f>
      </x:c>
      <x:c r="AA520" s="58" t="str">
        <x:f>IF(R520="No","",MAX(0,-Z520))</x:f>
      </x:c>
      <x:c r="AB520" s="52" t="str">
        <x:f>IF(OR(R520="No",U520*S520=0),"",AA520/(U520*S520))</x:f>
      </x:c>
      <x:c r="AC520" s="54" t="str">
        <x:f>IF(OR(R520="No",S520-T520*Assumptions!$B$9&lt;=0),"",AA520/(Assumptions!$B$8*(S520-T520*Assumptions!$B$9)))</x:f>
      </x:c>
      <x:c r="AD520" s="52" t="str">
        <x:f>IF(OR(R520="No",U520*S520=0),"",AA520/(U520*S520))</x:f>
      </x:c>
      <x:c r="AE520" s="50" t="str">
        <x:f>IF(R520="No","No finance data",IF(AB520&gt;=10%,"Severe",IF(AB520&gt;=5%,"High",IF(AB520&gt;=2%,"Moderate","Low"))))</x:f>
        <x:v>No finance data</x:v>
      </x:c>
      <x:c r="AF520" s="60"/>
      <x:c r="AG520" s="60"/>
      <x:c r="AH520" s="44" t="str">
        <x:v>Undergraduate tuition-contribution proxy only; not an audited total institutional budget.</x:v>
      </x:c>
    </x:row>
    <x:row r="521">
      <x:c r="A521" s="16" t="n">
        <x:v>152390</x:v>
      </x:c>
      <x:c r="B521" s="16" t="str">
        <x:v>Saint Mary's College</x:v>
      </x:c>
      <x:c r="C521" s="16" t="str">
        <x:v>IN</x:v>
      </x:c>
      <x:c r="D521" s="16" t="str">
        <x:v>Private nonprofit</x:v>
      </x:c>
      <x:c r="E521" s="34" t="n">
        <x:v>1559</x:v>
      </x:c>
      <x:c r="F521" s="21" t="n">
        <x:v>0.8307</x:v>
      </x:c>
      <x:c r="G521" s="16" t="str">
        <x:v>Regional</x:v>
      </x:c>
      <x:c r="H521" s="36" t="n">
        <x:f>IF(G521="National",Assumptions!$B$11,IF(G521="Statewide",Assumptions!$B$12,Assumptions!$B$13))</x:f>
        <x:v>0.85</x:v>
      </x:c>
      <x:c r="I521" s="21" t="n">
        <x:v>-0.05733630220335029</x:v>
      </x:c>
      <x:c r="J521" s="21" t="n">
        <x:v>-0.06046915050617507</x:v>
      </x:c>
      <x:c r="K521" s="21" t="n">
        <x:v>-0.10035471092354298</x:v>
      </x:c>
      <x:c r="L521" s="36" t="n">
        <x:f>IF(Assumptions!$B$4=2030,I521,IF(Assumptions!$B$4=2035,J521,K521))</x:f>
        <x:v>-0.06046915050617507</x:v>
      </x:c>
      <x:c r="M521" s="36" t="n">
        <x:f>Assumptions!$B$19</x:f>
        <x:v>-0.04739891965741583</x:v>
      </x:c>
      <x:c r="N521" s="52" t="n">
        <x:f>H521*L521+(1-H521)*M521+O521</x:f>
        <x:v>-0.058508615878861185</x:v>
      </x:c>
      <x:c r="O521" s="36" t="n">
        <x:f>Assumptions!$B$10</x:f>
        <x:v>0</x:v>
      </x:c>
      <x:c r="P521" s="54" t="n">
        <x:f>E521*(1+N521)</x:f>
        <x:v>1467.7850678448556</x:v>
      </x:c>
      <x:c r="Q521" s="54" t="n">
        <x:f>P521-E521</x:f>
        <x:v>-91.21493215514442</x:v>
      </x:c>
      <x:c r="R521" s="16" t="str">
        <x:v>Yes</x:v>
      </x:c>
      <x:c r="S521" s="56" t="n">
        <x:v>16572</x:v>
      </x:c>
      <x:c r="T521" s="56" t="n">
        <x:v>11669</x:v>
      </x:c>
      <x:c r="U521" s="40" t="n">
        <x:f>E521*Assumptions!$B$8</x:f>
        <x:v>1325.1499999999999</x:v>
      </x:c>
      <x:c r="V521" s="40" t="n">
        <x:f>P521*Assumptions!$B$8</x:f>
        <x:v>1247.6173076681273</x:v>
      </x:c>
      <x:c r="W521" s="54" t="n">
        <x:f>V521-U521</x:f>
        <x:v>-77.53269233187257</x:v>
      </x:c>
      <x:c r="X521" s="58" t="n">
        <x:f>IF(R521="No","",W521*S521)</x:f>
        <x:v>-1284871.7773237922</x:v>
      </x:c>
      <x:c r="Y521" s="58" t="n">
        <x:f>IF(R521="No","",W521*T521*Assumptions!$B$9)</x:f>
        <x:v>-271418.69604618626</x:v>
      </x:c>
      <x:c r="Z521" s="58" t="n">
        <x:f>IF(R521="No","",X521-Y521)</x:f>
        <x:v>-1013453.081277606</x:v>
      </x:c>
      <x:c r="AA521" s="58" t="n">
        <x:f>IF(R521="No","",MAX(0,-Z521))</x:f>
        <x:v>1013453.081277606</x:v>
      </x:c>
      <x:c r="AB521" s="52" t="n">
        <x:f>IF(OR(R521="No",U521*S521=0),"",AA521/(U521*S521))</x:f>
        <x:v>0.046149147401481724</x:v>
      </x:c>
      <x:c r="AC521" s="54" t="n">
        <x:f>IF(OR(R521="No",S521-T521*Assumptions!$B$9&lt;=0),"",AA521/(Assumptions!$B$8*(S521-T521*Assumptions!$B$9)))</x:f>
        <x:v>91.21493215514421</x:v>
      </x:c>
      <x:c r="AD521" s="52" t="n">
        <x:f>IF(OR(R521="No",U521*S521=0),"",AA521/(U521*S521))</x:f>
        <x:v>0.046149147401481724</x:v>
      </x:c>
      <x:c r="AE521" s="50" t="str">
        <x:f>IF(R521="No","No finance data",IF(AB521&gt;=10%,"Severe",IF(AB521&gt;=5%,"High",IF(AB521&gt;=2%,"Moderate","Low"))))</x:f>
        <x:v>Moderate</x:v>
      </x:c>
      <x:c r="AF521" s="60" t="n">
        <x:v>41.707274</x:v>
      </x:c>
      <x:c r="AG521" s="60" t="n">
        <x:v>-86.256947</x:v>
      </x:c>
      <x:c r="AH521" s="44" t="str">
        <x:v>Undergraduate tuition-contribution proxy only; not an audited total institutional budget.</x:v>
      </x:c>
    </x:row>
    <x:row r="522">
      <x:c r="A522" s="16" t="n">
        <x:v>152381</x:v>
      </x:c>
      <x:c r="B522" s="16" t="str">
        <x:v>Saint Mary-of-the-Woods College</x:v>
      </x:c>
      <x:c r="C522" s="16" t="str">
        <x:v>IN</x:v>
      </x:c>
      <x:c r="D522" s="16" t="str">
        <x:v>Private nonprofit</x:v>
      </x:c>
      <x:c r="E522" s="34" t="n">
        <x:v>579</x:v>
      </x:c>
      <x:c r="F522" s="21" t="n">
        <x:v>0.7032</x:v>
      </x:c>
      <x:c r="G522" s="16" t="str">
        <x:v>Regional</x:v>
      </x:c>
      <x:c r="H522" s="36" t="n">
        <x:f>IF(G522="National",Assumptions!$B$11,IF(G522="Statewide",Assumptions!$B$12,Assumptions!$B$13))</x:f>
        <x:v>0.85</x:v>
      </x:c>
      <x:c r="I522" s="21" t="n">
        <x:v>-0.05733630220335029</x:v>
      </x:c>
      <x:c r="J522" s="21" t="n">
        <x:v>-0.06046915050617507</x:v>
      </x:c>
      <x:c r="K522" s="21" t="n">
        <x:v>-0.10035471092354298</x:v>
      </x:c>
      <x:c r="L522" s="36" t="n">
        <x:f>IF(Assumptions!$B$4=2030,I522,IF(Assumptions!$B$4=2035,J522,K522))</x:f>
        <x:v>-0.06046915050617507</x:v>
      </x:c>
      <x:c r="M522" s="36" t="n">
        <x:f>Assumptions!$B$19</x:f>
        <x:v>-0.04739891965741583</x:v>
      </x:c>
      <x:c r="N522" s="52" t="n">
        <x:f>H522*L522+(1-H522)*M522+O522</x:f>
        <x:v>-0.058508615878861185</x:v>
      </x:c>
      <x:c r="O522" s="36" t="n">
        <x:f>Assumptions!$B$10</x:f>
        <x:v>0</x:v>
      </x:c>
      <x:c r="P522" s="54" t="n">
        <x:f>E522*(1+N522)</x:f>
        <x:v>545.1235114061394</x:v>
      </x:c>
      <x:c r="Q522" s="54" t="n">
        <x:f>P522-E522</x:f>
        <x:v>-33.876488593860586</x:v>
      </x:c>
      <x:c r="R522" s="16" t="str">
        <x:v>Yes</x:v>
      </x:c>
      <x:c r="S522" s="56" t="n">
        <x:v>13127</x:v>
      </x:c>
      <x:c r="T522" s="56" t="n">
        <x:v>9225</x:v>
      </x:c>
      <x:c r="U522" s="40" t="n">
        <x:f>E522*Assumptions!$B$8</x:f>
        <x:v>492.15</x:v>
      </x:c>
      <x:c r="V522" s="40" t="n">
        <x:f>P522*Assumptions!$B$8</x:f>
        <x:v>463.3549846952185</x:v>
      </x:c>
      <x:c r="W522" s="54" t="n">
        <x:f>V522-U522</x:f>
        <x:v>-28.795015304781487</x:v>
      </x:c>
      <x:c r="X522" s="58" t="n">
        <x:f>IF(R522="No","",W522*S522)</x:f>
        <x:v>-377992.1659058666</x:v>
      </x:c>
      <x:c r="Y522" s="58" t="n">
        <x:f>IF(R522="No","",W522*T522*Assumptions!$B$9)</x:f>
        <x:v>-79690.20485598277</x:v>
      </x:c>
      <x:c r="Z522" s="58" t="n">
        <x:f>IF(R522="No","",X522-Y522)</x:f>
        <x:v>-298301.96104988386</x:v>
      </x:c>
      <x:c r="AA522" s="58" t="n">
        <x:f>IF(R522="No","",MAX(0,-Z522))</x:f>
        <x:v>298301.96104988386</x:v>
      </x:c>
      <x:c r="AB522" s="52" t="n">
        <x:f>IF(OR(R522="No",U522*S522=0),"",AA522/(U522*S522))</x:f>
        <x:v>0.046173535933348185</x:v>
      </x:c>
      <x:c r="AC522" s="54" t="n">
        <x:f>IF(OR(R522="No",S522-T522*Assumptions!$B$9&lt;=0),"",AA522/(Assumptions!$B$8*(S522-T522*Assumptions!$B$9)))</x:f>
        <x:v>33.876488593860586</x:v>
      </x:c>
      <x:c r="AD522" s="52" t="n">
        <x:f>IF(OR(R522="No",U522*S522=0),"",AA522/(U522*S522))</x:f>
        <x:v>0.046173535933348185</x:v>
      </x:c>
      <x:c r="AE522" s="50" t="str">
        <x:f>IF(R522="No","No finance data",IF(AB522&gt;=10%,"Severe",IF(AB522&gt;=5%,"High",IF(AB522&gt;=2%,"Moderate","Low"))))</x:f>
        <x:v>Moderate</x:v>
      </x:c>
      <x:c r="AF522" s="60" t="n">
        <x:v>39.508546</x:v>
      </x:c>
      <x:c r="AG522" s="60" t="n">
        <x:v>-87.463791</x:v>
      </x:c>
      <x:c r="AH522" s="44" t="str">
        <x:v>Undergraduate tuition-contribution proxy only; not an audited total institutional budget.</x:v>
      </x:c>
    </x:row>
    <x:row r="523">
      <x:c r="A523" s="16" t="n">
        <x:v>152530</x:v>
      </x:c>
      <x:c r="B523" s="16" t="str">
        <x:v>Taylor University</x:v>
      </x:c>
      <x:c r="C523" s="16" t="str">
        <x:v>IN</x:v>
      </x:c>
      <x:c r="D523" s="16" t="str">
        <x:v>Private nonprofit</x:v>
      </x:c>
      <x:c r="E523" s="34" t="n">
        <x:v>1887</x:v>
      </x:c>
      <x:c r="F523" s="21" t="n">
        <x:v>0.7285</x:v>
      </x:c>
      <x:c r="G523" s="16" t="str">
        <x:v>Regional</x:v>
      </x:c>
      <x:c r="H523" s="36" t="n">
        <x:f>IF(G523="National",Assumptions!$B$11,IF(G523="Statewide",Assumptions!$B$12,Assumptions!$B$13))</x:f>
        <x:v>0.85</x:v>
      </x:c>
      <x:c r="I523" s="21" t="n">
        <x:v>-0.05733630220335029</x:v>
      </x:c>
      <x:c r="J523" s="21" t="n">
        <x:v>-0.06046915050617507</x:v>
      </x:c>
      <x:c r="K523" s="21" t="n">
        <x:v>-0.10035471092354298</x:v>
      </x:c>
      <x:c r="L523" s="36" t="n">
        <x:f>IF(Assumptions!$B$4=2030,I523,IF(Assumptions!$B$4=2035,J523,K523))</x:f>
        <x:v>-0.06046915050617507</x:v>
      </x:c>
      <x:c r="M523" s="36" t="n">
        <x:f>Assumptions!$B$19</x:f>
        <x:v>-0.04739891965741583</x:v>
      </x:c>
      <x:c r="N523" s="52" t="n">
        <x:f>H523*L523+(1-H523)*M523+O523</x:f>
        <x:v>-0.058508615878861185</x:v>
      </x:c>
      <x:c r="O523" s="36" t="n">
        <x:f>Assumptions!$B$10</x:f>
        <x:v>0</x:v>
      </x:c>
      <x:c r="P523" s="54" t="n">
        <x:f>E523*(1+N523)</x:f>
        <x:v>1776.594241836589</x:v>
      </x:c>
      <x:c r="Q523" s="54" t="n">
        <x:f>P523-E523</x:f>
        <x:v>-110.40575816341106</x:v>
      </x:c>
      <x:c r="R523" s="16" t="str">
        <x:v>Yes</x:v>
      </x:c>
      <x:c r="S523" s="56" t="n">
        <x:v>15709</x:v>
      </x:c>
      <x:c r="T523" s="56" t="n">
        <x:v>10181</x:v>
      </x:c>
      <x:c r="U523" s="40" t="n">
        <x:f>E523*Assumptions!$B$8</x:f>
        <x:v>1603.95</x:v>
      </x:c>
      <x:c r="V523" s="40" t="n">
        <x:f>P523*Assumptions!$B$8</x:f>
        <x:v>1510.1051055611006</x:v>
      </x:c>
      <x:c r="W523" s="54" t="n">
        <x:f>V523-U523</x:f>
        <x:v>-93.84489443889947</x:v>
      </x:c>
      <x:c r="X523" s="58" t="n">
        <x:f>IF(R523="No","",W523*S523)</x:f>
        <x:v>-1474209.4467406718</x:v>
      </x:c>
      <x:c r="Y523" s="58" t="n">
        <x:f>IF(R523="No","",W523*T523*Assumptions!$B$9)</x:f>
        <x:v>-286630.46108473063</x:v>
      </x:c>
      <x:c r="Z523" s="58" t="n">
        <x:f>IF(R523="No","",X523-Y523)</x:f>
        <x:v>-1187578.985655941</x:v>
      </x:c>
      <x:c r="AA523" s="58" t="n">
        <x:f>IF(R523="No","",MAX(0,-Z523))</x:f>
        <x:v>1187578.985655941</x:v>
      </x:c>
      <x:c r="AB523" s="52" t="n">
        <x:f>IF(OR(R523="No",U523*S523=0),"",AA523/(U523*S523))</x:f>
        <x:v>0.047132788933873904</x:v>
      </x:c>
      <x:c r="AC523" s="54" t="n">
        <x:f>IF(OR(R523="No",S523-T523*Assumptions!$B$9&lt;=0),"",AA523/(Assumptions!$B$8*(S523-T523*Assumptions!$B$9)))</x:f>
        <x:v>110.40575816341112</x:v>
      </x:c>
      <x:c r="AD523" s="52" t="n">
        <x:f>IF(OR(R523="No",U523*S523=0),"",AA523/(U523*S523))</x:f>
        <x:v>0.047132788933873904</x:v>
      </x:c>
      <x:c r="AE523" s="50" t="str">
        <x:f>IF(R523="No","No finance data",IF(AB523&gt;=10%,"Severe",IF(AB523&gt;=5%,"High",IF(AB523&gt;=2%,"Moderate","Low"))))</x:f>
        <x:v>Moderate</x:v>
      </x:c>
      <x:c r="AF523" s="60" t="n">
        <x:v>40.456246</x:v>
      </x:c>
      <x:c r="AG523" s="60" t="n">
        <x:v>-85.497034</x:v>
      </x:c>
      <x:c r="AH523" s="44" t="str">
        <x:v>Undergraduate tuition-contribution proxy only; not an audited total institutional budget.</x:v>
      </x:c>
    </x:row>
    <x:row r="524">
      <x:c r="A524" s="16" t="n">
        <x:v>152567</x:v>
      </x:c>
      <x:c r="B524" s="16" t="str">
        <x:v>Trine University</x:v>
      </x:c>
      <x:c r="C524" s="16" t="str">
        <x:v>IN</x:v>
      </x:c>
      <x:c r="D524" s="16" t="str">
        <x:v>Private nonprofit</x:v>
      </x:c>
      <x:c r="E524" s="34" t="n">
        <x:v>1713</x:v>
      </x:c>
      <x:c r="F524" s="21" t="n">
        <x:v>0.7852</x:v>
      </x:c>
      <x:c r="G524" s="16" t="str">
        <x:v>Regional</x:v>
      </x:c>
      <x:c r="H524" s="36" t="n">
        <x:f>IF(G524="National",Assumptions!$B$11,IF(G524="Statewide",Assumptions!$B$12,Assumptions!$B$13))</x:f>
        <x:v>0.85</x:v>
      </x:c>
      <x:c r="I524" s="21" t="n">
        <x:v>-0.05733630220335029</x:v>
      </x:c>
      <x:c r="J524" s="21" t="n">
        <x:v>-0.06046915050617507</x:v>
      </x:c>
      <x:c r="K524" s="21" t="n">
        <x:v>-0.10035471092354298</x:v>
      </x:c>
      <x:c r="L524" s="36" t="n">
        <x:f>IF(Assumptions!$B$4=2030,I524,IF(Assumptions!$B$4=2035,J524,K524))</x:f>
        <x:v>-0.06046915050617507</x:v>
      </x:c>
      <x:c r="M524" s="36" t="n">
        <x:f>Assumptions!$B$19</x:f>
        <x:v>-0.04739891965741583</x:v>
      </x:c>
      <x:c r="N524" s="52" t="n">
        <x:f>H524*L524+(1-H524)*M524+O524</x:f>
        <x:v>-0.058508615878861185</x:v>
      </x:c>
      <x:c r="O524" s="36" t="n">
        <x:f>Assumptions!$B$10</x:f>
        <x:v>0</x:v>
      </x:c>
      <x:c r="P524" s="54" t="n">
        <x:f>E524*(1+N524)</x:f>
        <x:v>1612.7747409995109</x:v>
      </x:c>
      <x:c r="Q524" s="54" t="n">
        <x:f>P524-E524</x:f>
        <x:v>-100.22525900048913</x:v>
      </x:c>
      <x:c r="R524" s="16" t="str">
        <x:v>Yes</x:v>
      </x:c>
      <x:c r="S524" s="56" t="n">
        <x:v>15602</x:v>
      </x:c>
      <x:c r="T524" s="56" t="n">
        <x:v>8108</x:v>
      </x:c>
      <x:c r="U524" s="40" t="n">
        <x:f>E524*Assumptions!$B$8</x:f>
        <x:v>1456.05</x:v>
      </x:c>
      <x:c r="V524" s="40" t="n">
        <x:f>P524*Assumptions!$B$8</x:f>
        <x:v>1370.858529849584</x:v>
      </x:c>
      <x:c r="W524" s="54" t="n">
        <x:f>V524-U524</x:f>
        <x:v>-85.19147015041585</x:v>
      </x:c>
      <x:c r="X524" s="58" t="n">
        <x:f>IF(R524="No","",W524*S524)</x:f>
        <x:v>-1329157.3172867883</x:v>
      </x:c>
      <x:c r="Y524" s="58" t="n">
        <x:f>IF(R524="No","",W524*T524*Assumptions!$B$9)</x:f>
        <x:v>-207219.7319938715</x:v>
      </x:c>
      <x:c r="Z524" s="58" t="n">
        <x:f>IF(R524="No","",X524-Y524)</x:f>
        <x:v>-1121937.5852929167</x:v>
      </x:c>
      <x:c r="AA524" s="58" t="n">
        <x:f>IF(R524="No","",MAX(0,-Z524))</x:f>
        <x:v>1121937.5852929167</x:v>
      </x:c>
      <x:c r="AB524" s="52" t="n">
        <x:f>IF(OR(R524="No",U524*S524=0),"",AA524/(U524*S524))</x:f>
        <x:v>0.049386941909899416</x:v>
      </x:c>
      <x:c r="AC524" s="54" t="n">
        <x:f>IF(OR(R524="No",S524-T524*Assumptions!$B$9&lt;=0),"",AA524/(Assumptions!$B$8*(S524-T524*Assumptions!$B$9)))</x:f>
        <x:v>100.22525900048925</x:v>
      </x:c>
      <x:c r="AD524" s="52" t="n">
        <x:f>IF(OR(R524="No",U524*S524=0),"",AA524/(U524*S524))</x:f>
        <x:v>0.049386941909899416</x:v>
      </x:c>
      <x:c r="AE524" s="50" t="str">
        <x:f>IF(R524="No","No finance data",IF(AB524&gt;=10%,"Severe",IF(AB524&gt;=5%,"High",IF(AB524&gt;=2%,"Moderate","Low"))))</x:f>
        <x:v>Moderate</x:v>
      </x:c>
      <x:c r="AF524" s="60" t="n">
        <x:v>41.632502</x:v>
      </x:c>
      <x:c r="AG524" s="60" t="n">
        <x:v>-85.008009</x:v>
      </x:c>
      <x:c r="AH524" s="44" t="str">
        <x:v>Undergraduate tuition-contribution proxy only; not an audited total institutional budget.</x:v>
      </x:c>
    </x:row>
    <x:row r="525">
      <x:c r="A525" s="16" t="n">
        <x:v>414878</x:v>
      </x:c>
      <x:c r="B525" s="16" t="str">
        <x:v>Trine University-Regional/Non-Traditional Campuses</x:v>
      </x:c>
      <x:c r="C525" s="16" t="str">
        <x:v>IN</x:v>
      </x:c>
      <x:c r="D525" s="16" t="str">
        <x:v>Private nonprofit</x:v>
      </x:c>
      <x:c r="E525" s="34" t="n">
        <x:v>416</x:v>
      </x:c>
      <x:c r="F525" s="21"/>
      <x:c r="G525" s="16" t="str">
        <x:v>Regional</x:v>
      </x:c>
      <x:c r="H525" s="36" t="n">
        <x:f>IF(G525="National",Assumptions!$B$11,IF(G525="Statewide",Assumptions!$B$12,Assumptions!$B$13))</x:f>
        <x:v>0.85</x:v>
      </x:c>
      <x:c r="I525" s="21" t="n">
        <x:v>-0.05733630220335029</x:v>
      </x:c>
      <x:c r="J525" s="21" t="n">
        <x:v>-0.06046915050617507</x:v>
      </x:c>
      <x:c r="K525" s="21" t="n">
        <x:v>-0.10035471092354298</x:v>
      </x:c>
      <x:c r="L525" s="36" t="n">
        <x:f>IF(Assumptions!$B$4=2030,I525,IF(Assumptions!$B$4=2035,J525,K525))</x:f>
        <x:v>-0.06046915050617507</x:v>
      </x:c>
      <x:c r="M525" s="36" t="n">
        <x:f>Assumptions!$B$19</x:f>
        <x:v>-0.04739891965741583</x:v>
      </x:c>
      <x:c r="N525" s="52" t="n">
        <x:f>H525*L525+(1-H525)*M525+O525</x:f>
        <x:v>-0.058508615878861185</x:v>
      </x:c>
      <x:c r="O525" s="36" t="n">
        <x:f>Assumptions!$B$10</x:f>
        <x:v>0</x:v>
      </x:c>
      <x:c r="P525" s="54" t="n">
        <x:f>E525*(1+N525)</x:f>
        <x:v>391.66041579439377</x:v>
      </x:c>
      <x:c r="Q525" s="54" t="n">
        <x:f>P525-E525</x:f>
        <x:v>-24.33958420560623</x:v>
      </x:c>
      <x:c r="R525" s="16" t="str">
        <x:v>No</x:v>
      </x:c>
      <x:c r="S525" s="56"/>
      <x:c r="T525" s="56"/>
      <x:c r="U525" s="40" t="n">
        <x:f>E525*Assumptions!$B$8</x:f>
        <x:v>353.59999999999997</x:v>
      </x:c>
      <x:c r="V525" s="40" t="n">
        <x:f>P525*Assumptions!$B$8</x:f>
        <x:v>332.9113534252347</x:v>
      </x:c>
      <x:c r="W525" s="54" t="n">
        <x:f>V525-U525</x:f>
        <x:v>-20.688646574765244</x:v>
      </x:c>
      <x:c r="X525" s="58" t="str">
        <x:f>IF(R525="No","",W525*S525)</x:f>
      </x:c>
      <x:c r="Y525" s="58" t="str">
        <x:f>IF(R525="No","",W525*T525*Assumptions!$B$9)</x:f>
      </x:c>
      <x:c r="Z525" s="58" t="str">
        <x:f>IF(R525="No","",X525-Y525)</x:f>
      </x:c>
      <x:c r="AA525" s="58" t="str">
        <x:f>IF(R525="No","",MAX(0,-Z525))</x:f>
      </x:c>
      <x:c r="AB525" s="52" t="str">
        <x:f>IF(OR(R525="No",U525*S525=0),"",AA525/(U525*S525))</x:f>
      </x:c>
      <x:c r="AC525" s="54" t="str">
        <x:f>IF(OR(R525="No",S525-T525*Assumptions!$B$9&lt;=0),"",AA525/(Assumptions!$B$8*(S525-T525*Assumptions!$B$9)))</x:f>
      </x:c>
      <x:c r="AD525" s="52" t="str">
        <x:f>IF(OR(R525="No",U525*S525=0),"",AA525/(U525*S525))</x:f>
      </x:c>
      <x:c r="AE525" s="50" t="str">
        <x:f>IF(R525="No","No finance data",IF(AB525&gt;=10%,"Severe",IF(AB525&gt;=5%,"High",IF(AB525&gt;=2%,"Moderate","Low"))))</x:f>
        <x:v>No finance data</x:v>
      </x:c>
      <x:c r="AF525" s="60"/>
      <x:c r="AG525" s="60"/>
      <x:c r="AH525" s="44" t="str">
        <x:v>Undergraduate tuition-contribution proxy only; not an audited total institutional budget.</x:v>
      </x:c>
    </x:row>
    <x:row r="526">
      <x:c r="A526" s="16" t="n">
        <x:v>150534</x:v>
      </x:c>
      <x:c r="B526" s="16" t="str">
        <x:v>University of Evansville</x:v>
      </x:c>
      <x:c r="C526" s="16" t="str">
        <x:v>IN</x:v>
      </x:c>
      <x:c r="D526" s="16" t="str">
        <x:v>Private nonprofit</x:v>
      </x:c>
      <x:c r="E526" s="34" t="n">
        <x:v>2125</x:v>
      </x:c>
      <x:c r="F526" s="21" t="n">
        <x:v>0.7495</x:v>
      </x:c>
      <x:c r="G526" s="16" t="str">
        <x:v>Regional</x:v>
      </x:c>
      <x:c r="H526" s="36" t="n">
        <x:f>IF(G526="National",Assumptions!$B$11,IF(G526="Statewide",Assumptions!$B$12,Assumptions!$B$13))</x:f>
        <x:v>0.85</x:v>
      </x:c>
      <x:c r="I526" s="21" t="n">
        <x:v>-0.05733630220335029</x:v>
      </x:c>
      <x:c r="J526" s="21" t="n">
        <x:v>-0.06046915050617507</x:v>
      </x:c>
      <x:c r="K526" s="21" t="n">
        <x:v>-0.10035471092354298</x:v>
      </x:c>
      <x:c r="L526" s="36" t="n">
        <x:f>IF(Assumptions!$B$4=2030,I526,IF(Assumptions!$B$4=2035,J526,K526))</x:f>
        <x:v>-0.06046915050617507</x:v>
      </x:c>
      <x:c r="M526" s="36" t="n">
        <x:f>Assumptions!$B$19</x:f>
        <x:v>-0.04739891965741583</x:v>
      </x:c>
      <x:c r="N526" s="52" t="n">
        <x:f>H526*L526+(1-H526)*M526+O526</x:f>
        <x:v>-0.058508615878861185</x:v>
      </x:c>
      <x:c r="O526" s="36" t="n">
        <x:f>Assumptions!$B$10</x:f>
        <x:v>0</x:v>
      </x:c>
      <x:c r="P526" s="54" t="n">
        <x:f>E526*(1+N526)</x:f>
        <x:v>2000.6691912574202</x:v>
      </x:c>
      <x:c r="Q526" s="54" t="n">
        <x:f>P526-E526</x:f>
        <x:v>-124.33080874257985</x:v>
      </x:c>
      <x:c r="R526" s="16" t="str">
        <x:v>Yes</x:v>
      </x:c>
      <x:c r="S526" s="56" t="n">
        <x:v>14885</x:v>
      </x:c>
      <x:c r="T526" s="56" t="n">
        <x:v>12395</x:v>
      </x:c>
      <x:c r="U526" s="40" t="n">
        <x:f>E526*Assumptions!$B$8</x:f>
        <x:v>1806.25</x:v>
      </x:c>
      <x:c r="V526" s="40" t="n">
        <x:f>P526*Assumptions!$B$8</x:f>
        <x:v>1700.568812568807</x:v>
      </x:c>
      <x:c r="W526" s="54" t="n">
        <x:f>V526-U526</x:f>
        <x:v>-105.68118743119294</x:v>
      </x:c>
      <x:c r="X526" s="58" t="n">
        <x:f>IF(R526="No","",W526*S526)</x:f>
        <x:v>-1573064.474913307</x:v>
      </x:c>
      <x:c r="Y526" s="58" t="n">
        <x:f>IF(R526="No","",W526*T526*Assumptions!$B$9)</x:f>
        <x:v>-392975.49546289095</x:v>
      </x:c>
      <x:c r="Z526" s="58" t="n">
        <x:f>IF(R526="No","",X526-Y526)</x:f>
        <x:v>-1180088.979450416</x:v>
      </x:c>
      <x:c r="AA526" s="58" t="n">
        <x:f>IF(R526="No","",MAX(0,-Z526))</x:f>
        <x:v>1180088.979450416</x:v>
      </x:c>
      <x:c r="AB526" s="52" t="n">
        <x:f>IF(OR(R526="No",U526*S526=0),"",AA526/(U526*S526))</x:f>
        <x:v>0.04389227136118932</x:v>
      </x:c>
      <x:c r="AC526" s="54" t="n">
        <x:f>IF(OR(R526="No",S526-T526*Assumptions!$B$9&lt;=0),"",AA526/(Assumptions!$B$8*(S526-T526*Assumptions!$B$9)))</x:f>
        <x:v>124.33080874257995</x:v>
      </x:c>
      <x:c r="AD526" s="52" t="n">
        <x:f>IF(OR(R526="No",U526*S526=0),"",AA526/(U526*S526))</x:f>
        <x:v>0.04389227136118932</x:v>
      </x:c>
      <x:c r="AE526" s="50" t="str">
        <x:f>IF(R526="No","No finance data",IF(AB526&gt;=10%,"Severe",IF(AB526&gt;=5%,"High",IF(AB526&gt;=2%,"Moderate","Low"))))</x:f>
        <x:v>Moderate</x:v>
      </x:c>
      <x:c r="AF526" s="60" t="n">
        <x:v>37.971549</x:v>
      </x:c>
      <x:c r="AG526" s="60" t="n">
        <x:v>-87.531644</x:v>
      </x:c>
      <x:c r="AH526" s="44" t="str">
        <x:v>Undergraduate tuition-contribution proxy only; not an audited total institutional budget.</x:v>
      </x:c>
    </x:row>
    <x:row r="527">
      <x:c r="A527" s="16" t="n">
        <x:v>151263</x:v>
      </x:c>
      <x:c r="B527" s="16" t="str">
        <x:v>University of Indianapolis</x:v>
      </x:c>
      <x:c r="C527" s="16" t="str">
        <x:v>IN</x:v>
      </x:c>
      <x:c r="D527" s="16" t="str">
        <x:v>Private nonprofit</x:v>
      </x:c>
      <x:c r="E527" s="34" t="n">
        <x:v>4139</x:v>
      </x:c>
      <x:c r="F527" s="21" t="n">
        <x:v>0.7785</x:v>
      </x:c>
      <x:c r="G527" s="16" t="str">
        <x:v>Regional</x:v>
      </x:c>
      <x:c r="H527" s="36" t="n">
        <x:f>IF(G527="National",Assumptions!$B$11,IF(G527="Statewide",Assumptions!$B$12,Assumptions!$B$13))</x:f>
        <x:v>0.85</x:v>
      </x:c>
      <x:c r="I527" s="21" t="n">
        <x:v>-0.05733630220335029</x:v>
      </x:c>
      <x:c r="J527" s="21" t="n">
        <x:v>-0.06046915050617507</x:v>
      </x:c>
      <x:c r="K527" s="21" t="n">
        <x:v>-0.10035471092354298</x:v>
      </x:c>
      <x:c r="L527" s="36" t="n">
        <x:f>IF(Assumptions!$B$4=2030,I527,IF(Assumptions!$B$4=2035,J527,K527))</x:f>
        <x:v>-0.06046915050617507</x:v>
      </x:c>
      <x:c r="M527" s="36" t="n">
        <x:f>Assumptions!$B$19</x:f>
        <x:v>-0.04739891965741583</x:v>
      </x:c>
      <x:c r="N527" s="52" t="n">
        <x:f>H527*L527+(1-H527)*M527+O527</x:f>
        <x:v>-0.058508615878861185</x:v>
      </x:c>
      <x:c r="O527" s="36" t="n">
        <x:f>Assumptions!$B$10</x:f>
        <x:v>0</x:v>
      </x:c>
      <x:c r="P527" s="54" t="n">
        <x:f>E527*(1+N527)</x:f>
        <x:v>3896.832838877394</x:v>
      </x:c>
      <x:c r="Q527" s="54" t="n">
        <x:f>P527-E527</x:f>
        <x:v>-242.1671611226061</x:v>
      </x:c>
      <x:c r="R527" s="16" t="str">
        <x:v>Yes</x:v>
      </x:c>
      <x:c r="S527" s="56" t="n">
        <x:v>15533</x:v>
      </x:c>
      <x:c r="T527" s="56" t="n">
        <x:v>9549</x:v>
      </x:c>
      <x:c r="U527" s="40" t="n">
        <x:f>E527*Assumptions!$B$8</x:f>
        <x:v>3518.15</x:v>
      </x:c>
      <x:c r="V527" s="40" t="n">
        <x:f>P527*Assumptions!$B$8</x:f>
        <x:v>3312.3079130457845</x:v>
      </x:c>
      <x:c r="W527" s="54" t="n">
        <x:f>V527-U527</x:f>
        <x:v>-205.84208695421557</x:v>
      </x:c>
      <x:c r="X527" s="58" t="n">
        <x:f>IF(R527="No","",W527*S527)</x:f>
        <x:v>-3197345.1366598303</x:v>
      </x:c>
      <x:c r="Y527" s="58" t="n">
        <x:f>IF(R527="No","",W527*T527*Assumptions!$B$9)</x:f>
        <x:v>-589675.8264977414</x:v>
      </x:c>
      <x:c r="Z527" s="58" t="n">
        <x:f>IF(R527="No","",X527-Y527)</x:f>
        <x:v>-2607669.310162089</x:v>
      </x:c>
      <x:c r="AA527" s="58" t="n">
        <x:f>IF(R527="No","",MAX(0,-Z527))</x:f>
        <x:v>2607669.310162089</x:v>
      </x:c>
      <x:c r="AB527" s="52" t="n">
        <x:f>IF(OR(R527="No",U527*S527=0),"",AA527/(U527*S527))</x:f>
        <x:v>0.047718064671227536</x:v>
      </x:c>
      <x:c r="AC527" s="54" t="n">
        <x:f>IF(OR(R527="No",S527-T527*Assumptions!$B$9&lt;=0),"",AA527/(Assumptions!$B$8*(S527-T527*Assumptions!$B$9)))</x:f>
        <x:v>242.16716112260656</x:v>
      </x:c>
      <x:c r="AD527" s="52" t="n">
        <x:f>IF(OR(R527="No",U527*S527=0),"",AA527/(U527*S527))</x:f>
        <x:v>0.047718064671227536</x:v>
      </x:c>
      <x:c r="AE527" s="50" t="str">
        <x:f>IF(R527="No","No finance data",IF(AB527&gt;=10%,"Severe",IF(AB527&gt;=5%,"High",IF(AB527&gt;=2%,"Moderate","Low"))))</x:f>
        <x:v>Moderate</x:v>
      </x:c>
      <x:c r="AF527" s="60" t="n">
        <x:v>39.709571</x:v>
      </x:c>
      <x:c r="AG527" s="60" t="n">
        <x:v>-86.133969</x:v>
      </x:c>
      <x:c r="AH527" s="44" t="str">
        <x:v>Undergraduate tuition-contribution proxy only; not an audited total institutional budget.</x:v>
      </x:c>
    </x:row>
    <x:row r="528">
      <x:c r="A528" s="16" t="n">
        <x:v>152080</x:v>
      </x:c>
      <x:c r="B528" s="16" t="str">
        <x:v>University of Notre Dame</x:v>
      </x:c>
      <x:c r="C528" s="16" t="str">
        <x:v>IN</x:v>
      </x:c>
      <x:c r="D528" s="16" t="str">
        <x:v>Private nonprofit</x:v>
      </x:c>
      <x:c r="E528" s="34" t="n">
        <x:v>8425</x:v>
      </x:c>
      <x:c r="F528" s="21" t="n">
        <x:v>0.1507</x:v>
      </x:c>
      <x:c r="G528" s="16" t="str">
        <x:v>National</x:v>
      </x:c>
      <x:c r="H528" s="36" t="n">
        <x:f>IF(G528="National",Assumptions!$B$11,IF(G528="Statewide",Assumptions!$B$12,Assumptions!$B$13))</x:f>
        <x:v>0.25</x:v>
      </x:c>
      <x:c r="I528" s="21" t="n">
        <x:v>-0.05733630220335029</x:v>
      </x:c>
      <x:c r="J528" s="21" t="n">
        <x:v>-0.06046915050617507</x:v>
      </x:c>
      <x:c r="K528" s="21" t="n">
        <x:v>-0.10035471092354298</x:v>
      </x:c>
      <x:c r="L528" s="36" t="n">
        <x:f>IF(Assumptions!$B$4=2030,I528,IF(Assumptions!$B$4=2035,J528,K528))</x:f>
        <x:v>-0.06046915050617507</x:v>
      </x:c>
      <x:c r="M528" s="36" t="n">
        <x:f>Assumptions!$B$19</x:f>
        <x:v>-0.04739891965741583</x:v>
      </x:c>
      <x:c r="N528" s="52" t="n">
        <x:f>H528*L528+(1-H528)*M528+O528</x:f>
        <x:v>-0.05066647736960564</x:v>
      </x:c>
      <x:c r="O528" s="36" t="n">
        <x:f>Assumptions!$B$10</x:f>
        <x:v>0</x:v>
      </x:c>
      <x:c r="P528" s="54" t="n">
        <x:f>E528*(1+N528)</x:f>
        <x:v>7998.134928161073</x:v>
      </x:c>
      <x:c r="Q528" s="54" t="n">
        <x:f>P528-E528</x:f>
        <x:v>-426.8650718389272</x:v>
      </x:c>
      <x:c r="R528" s="16" t="str">
        <x:v>Yes</x:v>
      </x:c>
      <x:c r="S528" s="56" t="n">
        <x:v>26396</x:v>
      </x:c>
      <x:c r="T528" s="56" t="n">
        <x:v>29167</x:v>
      </x:c>
      <x:c r="U528" s="40" t="n">
        <x:f>E528*Assumptions!$B$8</x:f>
        <x:v>7161.25</x:v>
      </x:c>
      <x:c r="V528" s="40" t="n">
        <x:f>P528*Assumptions!$B$8</x:f>
        <x:v>6798.414688936912</x:v>
      </x:c>
      <x:c r="W528" s="54" t="n">
        <x:f>V528-U528</x:f>
        <x:v>-362.83531106308783</x:v>
      </x:c>
      <x:c r="X528" s="58" t="n">
        <x:f>IF(R528="No","",W528*S528)</x:f>
        <x:v>-9577400.870821266</x:v>
      </x:c>
      <x:c r="Y528" s="58" t="n">
        <x:f>IF(R528="No","",W528*T528*Assumptions!$B$9)</x:f>
        <x:v>-3174845.255333125</x:v>
      </x:c>
      <x:c r="Z528" s="58" t="n">
        <x:f>IF(R528="No","",X528-Y528)</x:f>
        <x:v>-6402555.61548814</x:v>
      </x:c>
      <x:c r="AA528" s="58" t="n">
        <x:f>IF(R528="No","",MAX(0,-Z528))</x:f>
        <x:v>6402555.61548814</x:v>
      </x:c>
      <x:c r="AB528" s="52" t="n">
        <x:f>IF(OR(R528="No",U528*S528=0),"",AA528/(U528*S528))</x:f>
        <x:v>0.03387087411033197</x:v>
      </x:c>
      <x:c r="AC528" s="54" t="n">
        <x:f>IF(OR(R528="No",S528-T528*Assumptions!$B$9&lt;=0),"",AA528/(Assumptions!$B$8*(S528-T528*Assumptions!$B$9)))</x:f>
        <x:v>426.8650718389267</x:v>
      </x:c>
      <x:c r="AD528" s="52" t="n">
        <x:f>IF(OR(R528="No",U528*S528=0),"",AA528/(U528*S528))</x:f>
        <x:v>0.03387087411033197</x:v>
      </x:c>
      <x:c r="AE528" s="50" t="str">
        <x:f>IF(R528="No","No finance data",IF(AB528&gt;=10%,"Severe",IF(AB528&gt;=5%,"High",IF(AB528&gt;=2%,"Moderate","Low"))))</x:f>
        <x:v>Moderate</x:v>
      </x:c>
      <x:c r="AF528" s="60" t="n">
        <x:v>41.703058</x:v>
      </x:c>
      <x:c r="AG528" s="60" t="n">
        <x:v>-86.238959</x:v>
      </x:c>
      <x:c r="AH528" s="44" t="str">
        <x:v>Undergraduate tuition-contribution proxy only; not an audited total institutional budget.</x:v>
      </x:c>
    </x:row>
    <x:row r="529">
      <x:c r="A529" s="16" t="n">
        <x:v>152336</x:v>
      </x:c>
      <x:c r="B529" s="16" t="str">
        <x:v>University of Saint Francis-Fort Wayne</x:v>
      </x:c>
      <x:c r="C529" s="16" t="str">
        <x:v>IN</x:v>
      </x:c>
      <x:c r="D529" s="16" t="str">
        <x:v>Private nonprofit</x:v>
      </x:c>
      <x:c r="E529" s="34" t="n">
        <x:v>1745</x:v>
      </x:c>
      <x:c r="F529" s="21" t="n">
        <x:v>0.994</x:v>
      </x:c>
      <x:c r="G529" s="16" t="str">
        <x:v>Regional</x:v>
      </x:c>
      <x:c r="H529" s="36" t="n">
        <x:f>IF(G529="National",Assumptions!$B$11,IF(G529="Statewide",Assumptions!$B$12,Assumptions!$B$13))</x:f>
        <x:v>0.85</x:v>
      </x:c>
      <x:c r="I529" s="21" t="n">
        <x:v>-0.05733630220335029</x:v>
      </x:c>
      <x:c r="J529" s="21" t="n">
        <x:v>-0.06046915050617507</x:v>
      </x:c>
      <x:c r="K529" s="21" t="n">
        <x:v>-0.10035471092354298</x:v>
      </x:c>
      <x:c r="L529" s="36" t="n">
        <x:f>IF(Assumptions!$B$4=2030,I529,IF(Assumptions!$B$4=2035,J529,K529))</x:f>
        <x:v>-0.06046915050617507</x:v>
      </x:c>
      <x:c r="M529" s="36" t="n">
        <x:f>Assumptions!$B$19</x:f>
        <x:v>-0.04739891965741583</x:v>
      </x:c>
      <x:c r="N529" s="52" t="n">
        <x:f>H529*L529+(1-H529)*M529+O529</x:f>
        <x:v>-0.058508615878861185</x:v>
      </x:c>
      <x:c r="O529" s="36" t="n">
        <x:f>Assumptions!$B$10</x:f>
        <x:v>0</x:v>
      </x:c>
      <x:c r="P529" s="54" t="n">
        <x:f>E529*(1+N529)</x:f>
        <x:v>1642.9024652913872</x:v>
      </x:c>
      <x:c r="Q529" s="54" t="n">
        <x:f>P529-E529</x:f>
        <x:v>-102.09753470861278</x:v>
      </x:c>
      <x:c r="R529" s="16" t="str">
        <x:v>Yes</x:v>
      </x:c>
      <x:c r="S529" s="56" t="n">
        <x:v>17324</x:v>
      </x:c>
      <x:c r="T529" s="56" t="n">
        <x:v>9459</x:v>
      </x:c>
      <x:c r="U529" s="40" t="n">
        <x:f>E529*Assumptions!$B$8</x:f>
        <x:v>1483.25</x:v>
      </x:c>
      <x:c r="V529" s="40" t="n">
        <x:f>P529*Assumptions!$B$8</x:f>
        <x:v>1396.467095497679</x:v>
      </x:c>
      <x:c r="W529" s="54" t="n">
        <x:f>V529-U529</x:f>
        <x:v>-86.78290450232089</x:v>
      </x:c>
      <x:c r="X529" s="58" t="n">
        <x:f>IF(R529="No","",W529*S529)</x:f>
        <x:v>-1503427.0375982071</x:v>
      </x:c>
      <x:c r="Y529" s="58" t="n">
        <x:f>IF(R529="No","",W529*T529*Assumptions!$B$9)</x:f>
        <x:v>-246263.848106236</x:v>
      </x:c>
      <x:c r="Z529" s="58" t="n">
        <x:f>IF(R529="No","",X529-Y529)</x:f>
        <x:v>-1257163.1894919712</x:v>
      </x:c>
      <x:c r="AA529" s="58" t="n">
        <x:f>IF(R529="No","",MAX(0,-Z529))</x:f>
        <x:v>1257163.1894919712</x:v>
      </x:c>
      <x:c r="AB529" s="52" t="n">
        <x:f>IF(OR(R529="No",U529*S529=0),"",AA529/(U529*S529))</x:f>
        <x:v>0.04892480733121376</x:v>
      </x:c>
      <x:c r="AC529" s="54" t="n">
        <x:f>IF(OR(R529="No",S529-T529*Assumptions!$B$9&lt;=0),"",AA529/(Assumptions!$B$8*(S529-T529*Assumptions!$B$9)))</x:f>
        <x:v>102.09753470861283</x:v>
      </x:c>
      <x:c r="AD529" s="52" t="n">
        <x:f>IF(OR(R529="No",U529*S529=0),"",AA529/(U529*S529))</x:f>
        <x:v>0.04892480733121376</x:v>
      </x:c>
      <x:c r="AE529" s="50" t="str">
        <x:f>IF(R529="No","No finance data",IF(AB529&gt;=10%,"Severe",IF(AB529&gt;=5%,"High",IF(AB529&gt;=2%,"Moderate","Low"))))</x:f>
        <x:v>Moderate</x:v>
      </x:c>
      <x:c r="AF529" s="60" t="n">
        <x:v>41.087205</x:v>
      </x:c>
      <x:c r="AG529" s="60" t="n">
        <x:v>-85.177246</x:v>
      </x:c>
      <x:c r="AH529" s="44" t="str">
        <x:v>Undergraduate tuition-contribution proxy only; not an audited total institutional budget.</x:v>
      </x:c>
    </x:row>
    <x:row r="530">
      <x:c r="A530" s="16" t="n">
        <x:v>151306</x:v>
      </x:c>
      <x:c r="B530" s="16" t="str">
        <x:v>University of Southern Indiana</x:v>
      </x:c>
      <x:c r="C530" s="16" t="str">
        <x:v>IN</x:v>
      </x:c>
      <x:c r="D530" s="16" t="str">
        <x:v>Public</x:v>
      </x:c>
      <x:c r="E530" s="34" t="n">
        <x:v>7950</x:v>
      </x:c>
      <x:c r="F530" s="21" t="n">
        <x:v>0.9641</x:v>
      </x:c>
      <x:c r="G530" s="16" t="str">
        <x:v>Statewide</x:v>
      </x:c>
      <x:c r="H530" s="36" t="n">
        <x:f>IF(G530="National",Assumptions!$B$11,IF(G530="Statewide",Assumptions!$B$12,Assumptions!$B$13))</x:f>
        <x:v>0.6</x:v>
      </x:c>
      <x:c r="I530" s="21" t="n">
        <x:v>-0.05733630220335029</x:v>
      </x:c>
      <x:c r="J530" s="21" t="n">
        <x:v>-0.06046915050617507</x:v>
      </x:c>
      <x:c r="K530" s="21" t="n">
        <x:v>-0.10035471092354298</x:v>
      </x:c>
      <x:c r="L530" s="36" t="n">
        <x:f>IF(Assumptions!$B$4=2030,I530,IF(Assumptions!$B$4=2035,J530,K530))</x:f>
        <x:v>-0.06046915050617507</x:v>
      </x:c>
      <x:c r="M530" s="36" t="n">
        <x:f>Assumptions!$B$19</x:f>
        <x:v>-0.04739891965741583</x:v>
      </x:c>
      <x:c r="N530" s="52" t="n">
        <x:f>H530*L530+(1-H530)*M530+O530</x:f>
        <x:v>-0.055241058166671374</x:v>
      </x:c>
      <x:c r="O530" s="36" t="n">
        <x:f>Assumptions!$B$10</x:f>
        <x:v>0</x:v>
      </x:c>
      <x:c r="P530" s="54" t="n">
        <x:f>E530*(1+N530)</x:f>
        <x:v>7510.833587574963</x:v>
      </x:c>
      <x:c r="Q530" s="54" t="n">
        <x:f>P530-E530</x:f>
        <x:v>-439.1664124250374</x:v>
      </x:c>
      <x:c r="R530" s="16" t="str">
        <x:v>Yes</x:v>
      </x:c>
      <x:c r="S530" s="56" t="n">
        <x:v>6716</x:v>
      </x:c>
      <x:c r="T530" s="56" t="n">
        <x:v>7735</x:v>
      </x:c>
      <x:c r="U530" s="40" t="n">
        <x:f>E530*Assumptions!$B$8</x:f>
        <x:v>6757.5</x:v>
      </x:c>
      <x:c r="V530" s="40" t="n">
        <x:f>P530*Assumptions!$B$8</x:f>
        <x:v>6384.208549438718</x:v>
      </x:c>
      <x:c r="W530" s="54" t="n">
        <x:f>V530-U530</x:f>
        <x:v>-373.29145056128164</x:v>
      </x:c>
      <x:c r="X530" s="58" t="n">
        <x:f>IF(R530="No","",W530*S530)</x:f>
        <x:v>-2507025.3819695674</x:v>
      </x:c>
      <x:c r="Y530" s="58" t="n">
        <x:f>IF(R530="No","",W530*T530*Assumptions!$B$9)</x:f>
        <x:v>-866222.811027454</x:v>
      </x:c>
      <x:c r="Z530" s="58" t="n">
        <x:f>IF(R530="No","",X530-Y530)</x:f>
        <x:v>-1640802.5709421134</x:v>
      </x:c>
      <x:c r="AA530" s="58" t="n">
        <x:f>IF(R530="No","",MAX(0,-Z530))</x:f>
        <x:v>1640802.5709421134</x:v>
      </x:c>
      <x:c r="AB530" s="52" t="n">
        <x:f>IF(OR(R530="No",U530*S530=0),"",AA530/(U530*S530))</x:f>
        <x:v>0.036154269084515175</x:v>
      </x:c>
      <x:c r="AC530" s="54" t="n">
        <x:f>IF(OR(R530="No",S530-T530*Assumptions!$B$9&lt;=0),"",AA530/(Assumptions!$B$8*(S530-T530*Assumptions!$B$9)))</x:f>
        <x:v>439.16641242503727</x:v>
      </x:c>
      <x:c r="AD530" s="52" t="n">
        <x:f>IF(OR(R530="No",U530*S530=0),"",AA530/(U530*S530))</x:f>
        <x:v>0.036154269084515175</x:v>
      </x:c>
      <x:c r="AE530" s="50" t="str">
        <x:f>IF(R530="No","No finance data",IF(AB530&gt;=10%,"Severe",IF(AB530&gt;=5%,"High",IF(AB530&gt;=2%,"Moderate","Low"))))</x:f>
        <x:v>Moderate</x:v>
      </x:c>
      <x:c r="AF530" s="60" t="n">
        <x:v>37.962374</x:v>
      </x:c>
      <x:c r="AG530" s="60" t="n">
        <x:v>-87.677214</x:v>
      </x:c>
      <x:c r="AH530" s="44" t="str">
        <x:v>Undergraduate tuition-contribution proxy only; not an audited total institutional budget.</x:v>
      </x:c>
    </x:row>
    <x:row r="531">
      <x:c r="A531" s="16" t="n">
        <x:v>152600</x:v>
      </x:c>
      <x:c r="B531" s="16" t="str">
        <x:v>Valparaiso University</x:v>
      </x:c>
      <x:c r="C531" s="16" t="str">
        <x:v>IN</x:v>
      </x:c>
      <x:c r="D531" s="16" t="str">
        <x:v>Private nonprofit</x:v>
      </x:c>
      <x:c r="E531" s="34" t="n">
        <x:v>3125</x:v>
      </x:c>
      <x:c r="F531" s="21" t="n">
        <x:v>0.9317</x:v>
      </x:c>
      <x:c r="G531" s="16" t="str">
        <x:v>Regional</x:v>
      </x:c>
      <x:c r="H531" s="36" t="n">
        <x:f>IF(G531="National",Assumptions!$B$11,IF(G531="Statewide",Assumptions!$B$12,Assumptions!$B$13))</x:f>
        <x:v>0.85</x:v>
      </x:c>
      <x:c r="I531" s="21" t="n">
        <x:v>-0.05733630220335029</x:v>
      </x:c>
      <x:c r="J531" s="21" t="n">
        <x:v>-0.06046915050617507</x:v>
      </x:c>
      <x:c r="K531" s="21" t="n">
        <x:v>-0.10035471092354298</x:v>
      </x:c>
      <x:c r="L531" s="36" t="n">
        <x:f>IF(Assumptions!$B$4=2030,I531,IF(Assumptions!$B$4=2035,J531,K531))</x:f>
        <x:v>-0.06046915050617507</x:v>
      </x:c>
      <x:c r="M531" s="36" t="n">
        <x:f>Assumptions!$B$19</x:f>
        <x:v>-0.04739891965741583</x:v>
      </x:c>
      <x:c r="N531" s="52" t="n">
        <x:f>H531*L531+(1-H531)*M531+O531</x:f>
        <x:v>-0.058508615878861185</x:v>
      </x:c>
      <x:c r="O531" s="36" t="n">
        <x:f>Assumptions!$B$10</x:f>
        <x:v>0</x:v>
      </x:c>
      <x:c r="P531" s="54" t="n">
        <x:f>E531*(1+N531)</x:f>
        <x:v>2942.160575378559</x:v>
      </x:c>
      <x:c r="Q531" s="54" t="n">
        <x:f>P531-E531</x:f>
        <x:v>-182.83942462144114</x:v>
      </x:c>
      <x:c r="R531" s="16" t="str">
        <x:v>Yes</x:v>
      </x:c>
      <x:c r="S531" s="56" t="n">
        <x:v>15541</x:v>
      </x:c>
      <x:c r="T531" s="56" t="n">
        <x:v>11068</x:v>
      </x:c>
      <x:c r="U531" s="40" t="n">
        <x:f>E531*Assumptions!$B$8</x:f>
        <x:v>2656.25</x:v>
      </x:c>
      <x:c r="V531" s="40" t="n">
        <x:f>P531*Assumptions!$B$8</x:f>
        <x:v>2500.836489071775</x:v>
      </x:c>
      <x:c r="W531" s="54" t="n">
        <x:f>V531-U531</x:f>
        <x:v>-155.41351092822515</x:v>
      </x:c>
      <x:c r="X531" s="58" t="n">
        <x:f>IF(R531="No","",W531*S531)</x:f>
        <x:v>-2415281.3733355473</x:v>
      </x:c>
      <x:c r="Y531" s="58" t="n">
        <x:f>IF(R531="No","",W531*T531*Assumptions!$B$9)</x:f>
        <x:v>-516035.02168607875</x:v>
      </x:c>
      <x:c r="Z531" s="58" t="n">
        <x:f>IF(R531="No","",X531-Y531)</x:f>
        <x:v>-1899246.3516494685</x:v>
      </x:c>
      <x:c r="AA531" s="58" t="n">
        <x:f>IF(R531="No","",MAX(0,-Z531))</x:f>
        <x:v>1899246.3516494685</x:v>
      </x:c>
      <x:c r="AB531" s="52" t="n">
        <x:f>IF(OR(R531="No",U531*S531=0),"",AA531/(U531*S531))</x:f>
        <x:v>0.04600800406725511</x:v>
      </x:c>
      <x:c r="AC531" s="54" t="n">
        <x:f>IF(OR(R531="No",S531-T531*Assumptions!$B$9&lt;=0),"",AA531/(Assumptions!$B$8*(S531-T531*Assumptions!$B$9)))</x:f>
        <x:v>182.83942462144137</x:v>
      </x:c>
      <x:c r="AD531" s="52" t="n">
        <x:f>IF(OR(R531="No",U531*S531=0),"",AA531/(U531*S531))</x:f>
        <x:v>0.04600800406725511</x:v>
      </x:c>
      <x:c r="AE531" s="50" t="str">
        <x:f>IF(R531="No","No finance data",IF(AB531&gt;=10%,"Severe",IF(AB531&gt;=5%,"High",IF(AB531&gt;=2%,"Moderate","Low"))))</x:f>
        <x:v>Moderate</x:v>
      </x:c>
      <x:c r="AF531" s="60" t="n">
        <x:v>41.462239</x:v>
      </x:c>
      <x:c r="AG531" s="60" t="n">
        <x:v>-87.040172</x:v>
      </x:c>
      <x:c r="AH531" s="44" t="str">
        <x:v>Undergraduate tuition-contribution proxy only; not an audited total institutional budget.</x:v>
      </x:c>
    </x:row>
    <x:row r="532">
      <x:c r="A532" s="16" t="n">
        <x:v>152673</x:v>
      </x:c>
      <x:c r="B532" s="16" t="str">
        <x:v>Wabash College</x:v>
      </x:c>
      <x:c r="C532" s="16" t="str">
        <x:v>IN</x:v>
      </x:c>
      <x:c r="D532" s="16" t="str">
        <x:v>Private nonprofit</x:v>
      </x:c>
      <x:c r="E532" s="34" t="n">
        <x:v>866</x:v>
      </x:c>
      <x:c r="F532" s="21" t="n">
        <x:v>0.6159</x:v>
      </x:c>
      <x:c r="G532" s="16" t="str">
        <x:v>Regional</x:v>
      </x:c>
      <x:c r="H532" s="36" t="n">
        <x:f>IF(G532="National",Assumptions!$B$11,IF(G532="Statewide",Assumptions!$B$12,Assumptions!$B$13))</x:f>
        <x:v>0.85</x:v>
      </x:c>
      <x:c r="I532" s="21" t="n">
        <x:v>-0.05733630220335029</x:v>
      </x:c>
      <x:c r="J532" s="21" t="n">
        <x:v>-0.06046915050617507</x:v>
      </x:c>
      <x:c r="K532" s="21" t="n">
        <x:v>-0.10035471092354298</x:v>
      </x:c>
      <x:c r="L532" s="36" t="n">
        <x:f>IF(Assumptions!$B$4=2030,I532,IF(Assumptions!$B$4=2035,J532,K532))</x:f>
        <x:v>-0.06046915050617507</x:v>
      </x:c>
      <x:c r="M532" s="36" t="n">
        <x:f>Assumptions!$B$19</x:f>
        <x:v>-0.04739891965741583</x:v>
      </x:c>
      <x:c r="N532" s="52" t="n">
        <x:f>H532*L532+(1-H532)*M532+O532</x:f>
        <x:v>-0.058508615878861185</x:v>
      </x:c>
      <x:c r="O532" s="36" t="n">
        <x:f>Assumptions!$B$10</x:f>
        <x:v>0</x:v>
      </x:c>
      <x:c r="P532" s="54" t="n">
        <x:f>E532*(1+N532)</x:f>
        <x:v>815.3315386489063</x:v>
      </x:c>
      <x:c r="Q532" s="54" t="n">
        <x:f>P532-E532</x:f>
        <x:v>-50.6684613510937</x:v>
      </x:c>
      <x:c r="R532" s="16" t="str">
        <x:v>Yes</x:v>
      </x:c>
      <x:c r="S532" s="56" t="n">
        <x:v>12959</x:v>
      </x:c>
      <x:c r="T532" s="56" t="n">
        <x:v>17005</x:v>
      </x:c>
      <x:c r="U532" s="40" t="n">
        <x:f>E532*Assumptions!$B$8</x:f>
        <x:v>736.1</x:v>
      </x:c>
      <x:c r="V532" s="40" t="n">
        <x:f>P532*Assumptions!$B$8</x:f>
        <x:v>693.0318078515703</x:v>
      </x:c>
      <x:c r="W532" s="54" t="n">
        <x:f>V532-U532</x:f>
        <x:v>-43.068192148429716</x:v>
      </x:c>
      <x:c r="X532" s="58" t="n">
        <x:f>IF(R532="No","",W532*S532)</x:f>
        <x:v>-558120.7020515007</x:v>
      </x:c>
      <x:c r="Y532" s="58" t="n">
        <x:f>IF(R532="No","",W532*T532*Assumptions!$B$9)</x:f>
        <x:v>-219712.3822452142</x:v>
      </x:c>
      <x:c r="Z532" s="58" t="n">
        <x:f>IF(R532="No","",X532-Y532)</x:f>
        <x:v>-338408.3198062865</x:v>
      </x:c>
      <x:c r="AA532" s="58" t="n">
        <x:f>IF(R532="No","",MAX(0,-Z532))</x:f>
        <x:v>338408.3198062865</x:v>
      </x:c>
      <x:c r="AB532" s="52" t="n">
        <x:f>IF(OR(R532="No",U532*S532=0),"",AA532/(U532*S532))</x:f>
        <x:v>0.035475842986970575</x:v>
      </x:c>
      <x:c r="AC532" s="54" t="n">
        <x:f>IF(OR(R532="No",S532-T532*Assumptions!$B$9&lt;=0),"",AA532/(Assumptions!$B$8*(S532-T532*Assumptions!$B$9)))</x:f>
        <x:v>50.66846135109378</x:v>
      </x:c>
      <x:c r="AD532" s="52" t="n">
        <x:f>IF(OR(R532="No",U532*S532=0),"",AA532/(U532*S532))</x:f>
        <x:v>0.035475842986970575</x:v>
      </x:c>
      <x:c r="AE532" s="50" t="str">
        <x:f>IF(R532="No","No finance data",IF(AB532&gt;=10%,"Severe",IF(AB532&gt;=5%,"High",IF(AB532&gt;=2%,"Moderate","Low"))))</x:f>
        <x:v>Moderate</x:v>
      </x:c>
      <x:c r="AF532" s="60" t="n">
        <x:v>40.037588</x:v>
      </x:c>
      <x:c r="AG532" s="60" t="n">
        <x:v>-86.906</x:v>
      </x:c>
      <x:c r="AH532" s="44" t="str">
        <x:v>Undergraduate tuition-contribution proxy only; not an audited total institutional budget.</x:v>
      </x:c>
    </x:row>
    <x:row r="533">
      <x:c r="A533" s="16" t="n">
        <x:v>154688</x:v>
      </x:c>
      <x:c r="B533" s="16" t="str">
        <x:v>Baker University</x:v>
      </x:c>
      <x:c r="C533" s="16" t="str">
        <x:v>KS</x:v>
      </x:c>
      <x:c r="D533" s="16" t="str">
        <x:v>Private nonprofit</x:v>
      </x:c>
      <x:c r="E533" s="34" t="n">
        <x:v>1523</x:v>
      </x:c>
      <x:c r="F533" s="21" t="n">
        <x:v>0.9906</x:v>
      </x:c>
      <x:c r="G533" s="16" t="str">
        <x:v>Regional</x:v>
      </x:c>
      <x:c r="H533" s="36" t="n">
        <x:f>IF(G533="National",Assumptions!$B$11,IF(G533="Statewide",Assumptions!$B$12,Assumptions!$B$13))</x:f>
        <x:v>0.85</x:v>
      </x:c>
      <x:c r="I533" s="21" t="n">
        <x:v>-0.026889284102672995</x:v>
      </x:c>
      <x:c r="J533" s="21" t="n">
        <x:v>-0.07182863058423805</x:v>
      </x:c>
      <x:c r="K533" s="21" t="n">
        <x:v>-0.13587980781992404</x:v>
      </x:c>
      <x:c r="L533" s="36" t="n">
        <x:f>IF(Assumptions!$B$4=2030,I533,IF(Assumptions!$B$4=2035,J533,K533))</x:f>
        <x:v>-0.07182863058423805</x:v>
      </x:c>
      <x:c r="M533" s="36" t="n">
        <x:f>Assumptions!$B$19</x:f>
        <x:v>-0.04739891965741583</x:v>
      </x:c>
      <x:c r="N533" s="52" t="n">
        <x:f>H533*L533+(1-H533)*M533+O533</x:f>
        <x:v>-0.06816417394521472</x:v>
      </x:c>
      <x:c r="O533" s="36" t="n">
        <x:f>Assumptions!$B$10</x:f>
        <x:v>0</x:v>
      </x:c>
      <x:c r="P533" s="54" t="n">
        <x:f>E533*(1+N533)</x:f>
        <x:v>1419.185963081438</x:v>
      </x:c>
      <x:c r="Q533" s="54" t="n">
        <x:f>P533-E533</x:f>
        <x:v>-103.8140369185619</x:v>
      </x:c>
      <x:c r="R533" s="16" t="str">
        <x:v>Yes</x:v>
      </x:c>
      <x:c r="S533" s="56" t="n">
        <x:v>12980</x:v>
      </x:c>
      <x:c r="T533" s="56" t="n">
        <x:v>6641</x:v>
      </x:c>
      <x:c r="U533" s="40" t="n">
        <x:f>E533*Assumptions!$B$8</x:f>
        <x:v>1294.55</x:v>
      </x:c>
      <x:c r="V533" s="40" t="n">
        <x:f>P533*Assumptions!$B$8</x:f>
        <x:v>1206.3080686192225</x:v>
      </x:c>
      <x:c r="W533" s="54" t="n">
        <x:f>V533-U533</x:f>
        <x:v>-88.24193138077749</x:v>
      </x:c>
      <x:c r="X533" s="58" t="n">
        <x:f>IF(R533="No","",W533*S533)</x:f>
        <x:v>-1145380.2693224917</x:v>
      </x:c>
      <x:c r="Y533" s="58" t="n">
        <x:f>IF(R533="No","",W533*T533*Assumptions!$B$9)</x:f>
        <x:v>-175804.399889923</x:v>
      </x:c>
      <x:c r="Z533" s="58" t="n">
        <x:f>IF(R533="No","",X533-Y533)</x:f>
        <x:v>-969575.8694325688</x:v>
      </x:c>
      <x:c r="AA533" s="58" t="n">
        <x:f>IF(R533="No","",MAX(0,-Z533))</x:f>
        <x:v>969575.8694325688</x:v>
      </x:c>
      <x:c r="AB533" s="52" t="n">
        <x:f>IF(OR(R533="No",U533*S533=0),"",AA533/(U533*S533))</x:f>
        <x:v>0.057701655936659</x:v>
      </x:c>
      <x:c r="AC533" s="54" t="n">
        <x:f>IF(OR(R533="No",S533-T533*Assumptions!$B$9&lt;=0),"",AA533/(Assumptions!$B$8*(S533-T533*Assumptions!$B$9)))</x:f>
        <x:v>103.81403691856175</x:v>
      </x:c>
      <x:c r="AD533" s="52" t="n">
        <x:f>IF(OR(R533="No",U533*S533=0),"",AA533/(U533*S533))</x:f>
        <x:v>0.057701655936659</x:v>
      </x:c>
      <x:c r="AE533" s="50" t="str">
        <x:f>IF(R533="No","No finance data",IF(AB533&gt;=10%,"Severe",IF(AB533&gt;=5%,"High",IF(AB533&gt;=2%,"Moderate","Low"))))</x:f>
        <x:v>High</x:v>
      </x:c>
      <x:c r="AF533" s="60" t="n">
        <x:v>38.778712</x:v>
      </x:c>
      <x:c r="AG533" s="60" t="n">
        <x:v>-95.187346</x:v>
      </x:c>
      <x:c r="AH533" s="44" t="str">
        <x:v>Undergraduate tuition-contribution proxy only; not an audited total institutional budget.</x:v>
      </x:c>
    </x:row>
    <x:row r="534">
      <x:c r="A534" s="16" t="n">
        <x:v>155070</x:v>
      </x:c>
      <x:c r="B534" s="16" t="str">
        <x:v>Barclay College</x:v>
      </x:c>
      <x:c r="C534" s="16" t="str">
        <x:v>KS</x:v>
      </x:c>
      <x:c r="D534" s="16" t="str">
        <x:v>Private nonprofit</x:v>
      </x:c>
      <x:c r="E534" s="34" t="n">
        <x:v>233</x:v>
      </x:c>
      <x:c r="F534" s="21"/>
      <x:c r="G534" s="16" t="str">
        <x:v>Regional</x:v>
      </x:c>
      <x:c r="H534" s="36" t="n">
        <x:f>IF(G534="National",Assumptions!$B$11,IF(G534="Statewide",Assumptions!$B$12,Assumptions!$B$13))</x:f>
        <x:v>0.85</x:v>
      </x:c>
      <x:c r="I534" s="21" t="n">
        <x:v>-0.026889284102672995</x:v>
      </x:c>
      <x:c r="J534" s="21" t="n">
        <x:v>-0.07182863058423805</x:v>
      </x:c>
      <x:c r="K534" s="21" t="n">
        <x:v>-0.13587980781992404</x:v>
      </x:c>
      <x:c r="L534" s="36" t="n">
        <x:f>IF(Assumptions!$B$4=2030,I534,IF(Assumptions!$B$4=2035,J534,K534))</x:f>
        <x:v>-0.07182863058423805</x:v>
      </x:c>
      <x:c r="M534" s="36" t="n">
        <x:f>Assumptions!$B$19</x:f>
        <x:v>-0.04739891965741583</x:v>
      </x:c>
      <x:c r="N534" s="52" t="n">
        <x:f>H534*L534+(1-H534)*M534+O534</x:f>
        <x:v>-0.06816417394521472</x:v>
      </x:c>
      <x:c r="O534" s="36" t="n">
        <x:f>Assumptions!$B$10</x:f>
        <x:v>0</x:v>
      </x:c>
      <x:c r="P534" s="54" t="n">
        <x:f>E534*(1+N534)</x:f>
        <x:v>217.11774747076498</x:v>
      </x:c>
      <x:c r="Q534" s="54" t="n">
        <x:f>P534-E534</x:f>
        <x:v>-15.882252529235018</x:v>
      </x:c>
      <x:c r="R534" s="16" t="str">
        <x:v>No</x:v>
      </x:c>
      <x:c r="S534" s="56"/>
      <x:c r="T534" s="56"/>
      <x:c r="U534" s="40" t="n">
        <x:f>E534*Assumptions!$B$8</x:f>
        <x:v>198.04999999999998</x:v>
      </x:c>
      <x:c r="V534" s="40" t="n">
        <x:f>P534*Assumptions!$B$8</x:f>
        <x:v>184.55008535015023</x:v>
      </x:c>
      <x:c r="W534" s="54" t="n">
        <x:f>V534-U534</x:f>
        <x:v>-13.499914649849757</x:v>
      </x:c>
      <x:c r="X534" s="58" t="str">
        <x:f>IF(R534="No","",W534*S534)</x:f>
      </x:c>
      <x:c r="Y534" s="58" t="str">
        <x:f>IF(R534="No","",W534*T534*Assumptions!$B$9)</x:f>
      </x:c>
      <x:c r="Z534" s="58" t="str">
        <x:f>IF(R534="No","",X534-Y534)</x:f>
      </x:c>
      <x:c r="AA534" s="58" t="str">
        <x:f>IF(R534="No","",MAX(0,-Z534))</x:f>
      </x:c>
      <x:c r="AB534" s="52" t="str">
        <x:f>IF(OR(R534="No",U534*S534=0),"",AA534/(U534*S534))</x:f>
      </x:c>
      <x:c r="AC534" s="54" t="str">
        <x:f>IF(OR(R534="No",S534-T534*Assumptions!$B$9&lt;=0),"",AA534/(Assumptions!$B$8*(S534-T534*Assumptions!$B$9)))</x:f>
      </x:c>
      <x:c r="AD534" s="52" t="str">
        <x:f>IF(OR(R534="No",U534*S534=0),"",AA534/(U534*S534))</x:f>
      </x:c>
      <x:c r="AE534" s="50" t="str">
        <x:f>IF(R534="No","No finance data",IF(AB534&gt;=10%,"Severe",IF(AB534&gt;=5%,"High",IF(AB534&gt;=2%,"Moderate","Low"))))</x:f>
        <x:v>No finance data</x:v>
      </x:c>
      <x:c r="AF534" s="60"/>
      <x:c r="AG534" s="60"/>
      <x:c r="AH534" s="44" t="str">
        <x:v>Undergraduate tuition-contribution proxy only; not an audited total institutional budget.</x:v>
      </x:c>
    </x:row>
    <x:row r="535">
      <x:c r="A535" s="16" t="n">
        <x:v>154712</x:v>
      </x:c>
      <x:c r="B535" s="16" t="str">
        <x:v>Benedictine College</x:v>
      </x:c>
      <x:c r="C535" s="16" t="str">
        <x:v>KS</x:v>
      </x:c>
      <x:c r="D535" s="16" t="str">
        <x:v>Private nonprofit</x:v>
      </x:c>
      <x:c r="E535" s="34" t="n">
        <x:v>1868</x:v>
      </x:c>
      <x:c r="F535" s="21" t="n">
        <x:v>0.985</x:v>
      </x:c>
      <x:c r="G535" s="16" t="str">
        <x:v>Regional</x:v>
      </x:c>
      <x:c r="H535" s="36" t="n">
        <x:f>IF(G535="National",Assumptions!$B$11,IF(G535="Statewide",Assumptions!$B$12,Assumptions!$B$13))</x:f>
        <x:v>0.85</x:v>
      </x:c>
      <x:c r="I535" s="21" t="n">
        <x:v>-0.026889284102672995</x:v>
      </x:c>
      <x:c r="J535" s="21" t="n">
        <x:v>-0.07182863058423805</x:v>
      </x:c>
      <x:c r="K535" s="21" t="n">
        <x:v>-0.13587980781992404</x:v>
      </x:c>
      <x:c r="L535" s="36" t="n">
        <x:f>IF(Assumptions!$B$4=2030,I535,IF(Assumptions!$B$4=2035,J535,K535))</x:f>
        <x:v>-0.07182863058423805</x:v>
      </x:c>
      <x:c r="M535" s="36" t="n">
        <x:f>Assumptions!$B$19</x:f>
        <x:v>-0.04739891965741583</x:v>
      </x:c>
      <x:c r="N535" s="52" t="n">
        <x:f>H535*L535+(1-H535)*M535+O535</x:f>
        <x:v>-0.06816417394521472</x:v>
      </x:c>
      <x:c r="O535" s="36" t="n">
        <x:f>Assumptions!$B$10</x:f>
        <x:v>0</x:v>
      </x:c>
      <x:c r="P535" s="54" t="n">
        <x:f>E535*(1+N535)</x:f>
        <x:v>1740.669323070339</x:v>
      </x:c>
      <x:c r="Q535" s="54" t="n">
        <x:f>P535-E535</x:f>
        <x:v>-127.33067692966097</x:v>
      </x:c>
      <x:c r="R535" s="16" t="str">
        <x:v>Yes</x:v>
      </x:c>
      <x:c r="S535" s="56" t="n">
        <x:v>13243</x:v>
      </x:c>
      <x:c r="T535" s="56" t="n">
        <x:v>7834</x:v>
      </x:c>
      <x:c r="U535" s="40" t="n">
        <x:f>E535*Assumptions!$B$8</x:f>
        <x:v>1587.8</x:v>
      </x:c>
      <x:c r="V535" s="40" t="n">
        <x:f>P535*Assumptions!$B$8</x:f>
        <x:v>1479.5689246097882</x:v>
      </x:c>
      <x:c r="W535" s="54" t="n">
        <x:f>V535-U535</x:f>
        <x:v>-108.2310753902118</x:v>
      </x:c>
      <x:c r="X535" s="58" t="n">
        <x:f>IF(R535="No","",W535*S535)</x:f>
        <x:v>-1433304.1313925749</x:v>
      </x:c>
      <x:c r="Y535" s="58" t="n">
        <x:f>IF(R535="No","",W535*T535*Assumptions!$B$9)</x:f>
        <x:v>-254364.67338207577</x:v>
      </x:c>
      <x:c r="Z535" s="58" t="n">
        <x:f>IF(R535="No","",X535-Y535)</x:f>
        <x:v>-1178939.4580104991</x:v>
      </x:c>
      <x:c r="AA535" s="58" t="n">
        <x:f>IF(R535="No","",MAX(0,-Z535))</x:f>
        <x:v>1178939.4580104991</x:v>
      </x:c>
      <x:c r="AB535" s="52" t="n">
        <x:f>IF(OR(R535="No",U535*S535=0),"",AA535/(U535*S535))</x:f>
        <x:v>0.0560672592275492</x:v>
      </x:c>
      <x:c r="AC535" s="54" t="n">
        <x:f>IF(OR(R535="No",S535-T535*Assumptions!$B$9&lt;=0),"",AA535/(Assumptions!$B$8*(S535-T535*Assumptions!$B$9)))</x:f>
        <x:v>127.33067692966095</x:v>
      </x:c>
      <x:c r="AD535" s="52" t="n">
        <x:f>IF(OR(R535="No",U535*S535=0),"",AA535/(U535*S535))</x:f>
        <x:v>0.0560672592275492</x:v>
      </x:c>
      <x:c r="AE535" s="50" t="str">
        <x:f>IF(R535="No","No finance data",IF(AB535&gt;=10%,"Severe",IF(AB535&gt;=5%,"High",IF(AB535&gt;=2%,"Moderate","Low"))))</x:f>
        <x:v>High</x:v>
      </x:c>
      <x:c r="AF535" s="60" t="n">
        <x:v>39.573079</x:v>
      </x:c>
      <x:c r="AG535" s="60" t="n">
        <x:v>-95.113858</x:v>
      </x:c>
      <x:c r="AH535" s="44" t="str">
        <x:v>Undergraduate tuition-contribution proxy only; not an audited total institutional budget.</x:v>
      </x:c>
    </x:row>
    <x:row r="536">
      <x:c r="A536" s="16" t="n">
        <x:v>154721</x:v>
      </x:c>
      <x:c r="B536" s="16" t="str">
        <x:v>Bethany College</x:v>
      </x:c>
      <x:c r="C536" s="16" t="str">
        <x:v>KS</x:v>
      </x:c>
      <x:c r="D536" s="16" t="str">
        <x:v>Private nonprofit</x:v>
      </x:c>
      <x:c r="E536" s="34" t="n">
        <x:v>630</x:v>
      </x:c>
      <x:c r="F536" s="21" t="n">
        <x:v>0.7187</x:v>
      </x:c>
      <x:c r="G536" s="16" t="str">
        <x:v>Regional</x:v>
      </x:c>
      <x:c r="H536" s="36" t="n">
        <x:f>IF(G536="National",Assumptions!$B$11,IF(G536="Statewide",Assumptions!$B$12,Assumptions!$B$13))</x:f>
        <x:v>0.85</x:v>
      </x:c>
      <x:c r="I536" s="21" t="n">
        <x:v>-0.026889284102672995</x:v>
      </x:c>
      <x:c r="J536" s="21" t="n">
        <x:v>-0.07182863058423805</x:v>
      </x:c>
      <x:c r="K536" s="21" t="n">
        <x:v>-0.13587980781992404</x:v>
      </x:c>
      <x:c r="L536" s="36" t="n">
        <x:f>IF(Assumptions!$B$4=2030,I536,IF(Assumptions!$B$4=2035,J536,K536))</x:f>
        <x:v>-0.07182863058423805</x:v>
      </x:c>
      <x:c r="M536" s="36" t="n">
        <x:f>Assumptions!$B$19</x:f>
        <x:v>-0.04739891965741583</x:v>
      </x:c>
      <x:c r="N536" s="52" t="n">
        <x:f>H536*L536+(1-H536)*M536+O536</x:f>
        <x:v>-0.06816417394521472</x:v>
      </x:c>
      <x:c r="O536" s="36" t="n">
        <x:f>Assumptions!$B$10</x:f>
        <x:v>0</x:v>
      </x:c>
      <x:c r="P536" s="54" t="n">
        <x:f>E536*(1+N536)</x:f>
        <x:v>587.0565704145148</x:v>
      </x:c>
      <x:c r="Q536" s="54" t="n">
        <x:f>P536-E536</x:f>
        <x:v>-42.943429585485205</x:v>
      </x:c>
      <x:c r="R536" s="16" t="str">
        <x:v>Yes</x:v>
      </x:c>
      <x:c r="S536" s="56" t="n">
        <x:v>10520</x:v>
      </x:c>
      <x:c r="T536" s="56" t="n">
        <x:v>5912</x:v>
      </x:c>
      <x:c r="U536" s="40" t="n">
        <x:f>E536*Assumptions!$B$8</x:f>
        <x:v>535.5</x:v>
      </x:c>
      <x:c r="V536" s="40" t="n">
        <x:f>P536*Assumptions!$B$8</x:f>
        <x:v>498.99808485233757</x:v>
      </x:c>
      <x:c r="W536" s="54" t="n">
        <x:f>V536-U536</x:f>
        <x:v>-36.50191514766243</x:v>
      </x:c>
      <x:c r="X536" s="58" t="n">
        <x:f>IF(R536="No","",W536*S536)</x:f>
        <x:v>-384000.14735340874</x:v>
      </x:c>
      <x:c r="Y536" s="58" t="n">
        <x:f>IF(R536="No","",W536*T536*Assumptions!$B$9)</x:f>
        <x:v>-64739.796705894085</x:v>
      </x:c>
      <x:c r="Z536" s="58" t="n">
        <x:f>IF(R536="No","",X536-Y536)</x:f>
        <x:v>-319260.3506475147</x:v>
      </x:c>
      <x:c r="AA536" s="58" t="n">
        <x:f>IF(R536="No","",MAX(0,-Z536))</x:f>
        <x:v>319260.3506475147</x:v>
      </x:c>
      <x:c r="AB536" s="52" t="n">
        <x:f>IF(OR(R536="No",U536*S536=0),"",AA536/(U536*S536))</x:f>
        <x:v>0.05667216074091494</x:v>
      </x:c>
      <x:c r="AC536" s="54" t="n">
        <x:f>IF(OR(R536="No",S536-T536*Assumptions!$B$9&lt;=0),"",AA536/(Assumptions!$B$8*(S536-T536*Assumptions!$B$9)))</x:f>
        <x:v>42.94342958548521</x:v>
      </x:c>
      <x:c r="AD536" s="52" t="n">
        <x:f>IF(OR(R536="No",U536*S536=0),"",AA536/(U536*S536))</x:f>
        <x:v>0.05667216074091494</x:v>
      </x:c>
      <x:c r="AE536" s="50" t="str">
        <x:f>IF(R536="No","No finance data",IF(AB536&gt;=10%,"Severe",IF(AB536&gt;=5%,"High",IF(AB536&gt;=2%,"Moderate","Low"))))</x:f>
        <x:v>High</x:v>
      </x:c>
      <x:c r="AF536" s="60" t="n">
        <x:v>38.580598</x:v>
      </x:c>
      <x:c r="AG536" s="60" t="n">
        <x:v>-97.67367</x:v>
      </x:c>
      <x:c r="AH536" s="44" t="str">
        <x:v>Undergraduate tuition-contribution proxy only; not an audited total institutional budget.</x:v>
      </x:c>
    </x:row>
    <x:row r="537">
      <x:c r="A537" s="16" t="n">
        <x:v>154749</x:v>
      </x:c>
      <x:c r="B537" s="16" t="str">
        <x:v>Bethel College-North Newton</x:v>
      </x:c>
      <x:c r="C537" s="16" t="str">
        <x:v>KS</x:v>
      </x:c>
      <x:c r="D537" s="16" t="str">
        <x:v>Private nonprofit</x:v>
      </x:c>
      <x:c r="E537" s="34" t="n">
        <x:v>525</x:v>
      </x:c>
      <x:c r="F537" s="21"/>
      <x:c r="G537" s="16" t="str">
        <x:v>Regional</x:v>
      </x:c>
      <x:c r="H537" s="36" t="n">
        <x:f>IF(G537="National",Assumptions!$B$11,IF(G537="Statewide",Assumptions!$B$12,Assumptions!$B$13))</x:f>
        <x:v>0.85</x:v>
      </x:c>
      <x:c r="I537" s="21" t="n">
        <x:v>-0.026889284102672995</x:v>
      </x:c>
      <x:c r="J537" s="21" t="n">
        <x:v>-0.07182863058423805</x:v>
      </x:c>
      <x:c r="K537" s="21" t="n">
        <x:v>-0.13587980781992404</x:v>
      </x:c>
      <x:c r="L537" s="36" t="n">
        <x:f>IF(Assumptions!$B$4=2030,I537,IF(Assumptions!$B$4=2035,J537,K537))</x:f>
        <x:v>-0.07182863058423805</x:v>
      </x:c>
      <x:c r="M537" s="36" t="n">
        <x:f>Assumptions!$B$19</x:f>
        <x:v>-0.04739891965741583</x:v>
      </x:c>
      <x:c r="N537" s="52" t="n">
        <x:f>H537*L537+(1-H537)*M537+O537</x:f>
        <x:v>-0.06816417394521472</x:v>
      </x:c>
      <x:c r="O537" s="36" t="n">
        <x:f>Assumptions!$B$10</x:f>
        <x:v>0</x:v>
      </x:c>
      <x:c r="P537" s="54" t="n">
        <x:f>E537*(1+N537)</x:f>
        <x:v>489.2138086787623</x:v>
      </x:c>
      <x:c r="Q537" s="54" t="n">
        <x:f>P537-E537</x:f>
        <x:v>-35.78619132123771</x:v>
      </x:c>
      <x:c r="R537" s="16" t="str">
        <x:v>No</x:v>
      </x:c>
      <x:c r="S537" s="56"/>
      <x:c r="T537" s="56"/>
      <x:c r="U537" s="40" t="n">
        <x:f>E537*Assumptions!$B$8</x:f>
        <x:v>446.25</x:v>
      </x:c>
      <x:c r="V537" s="40" t="n">
        <x:f>P537*Assumptions!$B$8</x:f>
        <x:v>415.83173737694796</x:v>
      </x:c>
      <x:c r="W537" s="54" t="n">
        <x:f>V537-U537</x:f>
        <x:v>-30.418262623052044</x:v>
      </x:c>
      <x:c r="X537" s="58" t="str">
        <x:f>IF(R537="No","",W537*S537)</x:f>
      </x:c>
      <x:c r="Y537" s="58" t="str">
        <x:f>IF(R537="No","",W537*T537*Assumptions!$B$9)</x:f>
      </x:c>
      <x:c r="Z537" s="58" t="str">
        <x:f>IF(R537="No","",X537-Y537)</x:f>
      </x:c>
      <x:c r="AA537" s="58" t="str">
        <x:f>IF(R537="No","",MAX(0,-Z537))</x:f>
      </x:c>
      <x:c r="AB537" s="52" t="str">
        <x:f>IF(OR(R537="No",U537*S537=0),"",AA537/(U537*S537))</x:f>
      </x:c>
      <x:c r="AC537" s="54" t="str">
        <x:f>IF(OR(R537="No",S537-T537*Assumptions!$B$9&lt;=0),"",AA537/(Assumptions!$B$8*(S537-T537*Assumptions!$B$9)))</x:f>
      </x:c>
      <x:c r="AD537" s="52" t="str">
        <x:f>IF(OR(R537="No",U537*S537=0),"",AA537/(U537*S537))</x:f>
      </x:c>
      <x:c r="AE537" s="50" t="str">
        <x:f>IF(R537="No","No finance data",IF(AB537&gt;=10%,"Severe",IF(AB537&gt;=5%,"High",IF(AB537&gt;=2%,"Moderate","Low"))))</x:f>
        <x:v>No finance data</x:v>
      </x:c>
      <x:c r="AF537" s="60"/>
      <x:c r="AG537" s="60"/>
      <x:c r="AH537" s="44" t="str">
        <x:v>Undergraduate tuition-contribution proxy only; not an audited total institutional budget.</x:v>
      </x:c>
    </x:row>
    <x:row r="538">
      <x:c r="A538" s="16" t="n">
        <x:v>154855</x:v>
      </x:c>
      <x:c r="B538" s="16" t="str">
        <x:v>Central Christian College of Kansas</x:v>
      </x:c>
      <x:c r="C538" s="16" t="str">
        <x:v>KS</x:v>
      </x:c>
      <x:c r="D538" s="16" t="str">
        <x:v>Private nonprofit</x:v>
      </x:c>
      <x:c r="E538" s="34" t="n">
        <x:v>1150</x:v>
      </x:c>
      <x:c r="F538" s="21"/>
      <x:c r="G538" s="16" t="str">
        <x:v>Regional</x:v>
      </x:c>
      <x:c r="H538" s="36" t="n">
        <x:f>IF(G538="National",Assumptions!$B$11,IF(G538="Statewide",Assumptions!$B$12,Assumptions!$B$13))</x:f>
        <x:v>0.85</x:v>
      </x:c>
      <x:c r="I538" s="21" t="n">
        <x:v>-0.026889284102672995</x:v>
      </x:c>
      <x:c r="J538" s="21" t="n">
        <x:v>-0.07182863058423805</x:v>
      </x:c>
      <x:c r="K538" s="21" t="n">
        <x:v>-0.13587980781992404</x:v>
      </x:c>
      <x:c r="L538" s="36" t="n">
        <x:f>IF(Assumptions!$B$4=2030,I538,IF(Assumptions!$B$4=2035,J538,K538))</x:f>
        <x:v>-0.07182863058423805</x:v>
      </x:c>
      <x:c r="M538" s="36" t="n">
        <x:f>Assumptions!$B$19</x:f>
        <x:v>-0.04739891965741583</x:v>
      </x:c>
      <x:c r="N538" s="52" t="n">
        <x:f>H538*L538+(1-H538)*M538+O538</x:f>
        <x:v>-0.06816417394521472</x:v>
      </x:c>
      <x:c r="O538" s="36" t="n">
        <x:f>Assumptions!$B$10</x:f>
        <x:v>0</x:v>
      </x:c>
      <x:c r="P538" s="54" t="n">
        <x:f>E538*(1+N538)</x:f>
        <x:v>1071.6111999630032</x:v>
      </x:c>
      <x:c r="Q538" s="54" t="n">
        <x:f>P538-E538</x:f>
        <x:v>-78.38880003699683</x:v>
      </x:c>
      <x:c r="R538" s="16" t="str">
        <x:v>No</x:v>
      </x:c>
      <x:c r="S538" s="56"/>
      <x:c r="T538" s="56"/>
      <x:c r="U538" s="40" t="n">
        <x:f>E538*Assumptions!$B$8</x:f>
        <x:v>977.5</x:v>
      </x:c>
      <x:c r="V538" s="40" t="n">
        <x:f>P538*Assumptions!$B$8</x:f>
        <x:v>910.8695199685527</x:v>
      </x:c>
      <x:c r="W538" s="54" t="n">
        <x:f>V538-U538</x:f>
        <x:v>-66.63048003144729</x:v>
      </x:c>
      <x:c r="X538" s="58" t="str">
        <x:f>IF(R538="No","",W538*S538)</x:f>
      </x:c>
      <x:c r="Y538" s="58" t="str">
        <x:f>IF(R538="No","",W538*T538*Assumptions!$B$9)</x:f>
      </x:c>
      <x:c r="Z538" s="58" t="str">
        <x:f>IF(R538="No","",X538-Y538)</x:f>
      </x:c>
      <x:c r="AA538" s="58" t="str">
        <x:f>IF(R538="No","",MAX(0,-Z538))</x:f>
      </x:c>
      <x:c r="AB538" s="52" t="str">
        <x:f>IF(OR(R538="No",U538*S538=0),"",AA538/(U538*S538))</x:f>
      </x:c>
      <x:c r="AC538" s="54" t="str">
        <x:f>IF(OR(R538="No",S538-T538*Assumptions!$B$9&lt;=0),"",AA538/(Assumptions!$B$8*(S538-T538*Assumptions!$B$9)))</x:f>
      </x:c>
      <x:c r="AD538" s="52" t="str">
        <x:f>IF(OR(R538="No",U538*S538=0),"",AA538/(U538*S538))</x:f>
      </x:c>
      <x:c r="AE538" s="50" t="str">
        <x:f>IF(R538="No","No finance data",IF(AB538&gt;=10%,"Severe",IF(AB538&gt;=5%,"High",IF(AB538&gt;=2%,"Moderate","Low"))))</x:f>
        <x:v>No finance data</x:v>
      </x:c>
      <x:c r="AF538" s="60"/>
      <x:c r="AG538" s="60"/>
      <x:c r="AH538" s="44" t="str">
        <x:v>Undergraduate tuition-contribution proxy only; not an audited total institutional budget.</x:v>
      </x:c>
    </x:row>
    <x:row r="539">
      <x:c r="A539" s="16" t="n">
        <x:v>177038</x:v>
      </x:c>
      <x:c r="B539" s="16" t="str">
        <x:v>Cleveland University-Kansas City</x:v>
      </x:c>
      <x:c r="C539" s="16" t="str">
        <x:v>KS</x:v>
      </x:c>
      <x:c r="D539" s="16" t="str">
        <x:v>Private nonprofit</x:v>
      </x:c>
      <x:c r="E539" s="34" t="n">
        <x:v>45</x:v>
      </x:c>
      <x:c r="F539" s="21"/>
      <x:c r="G539" s="16" t="str">
        <x:v>Regional</x:v>
      </x:c>
      <x:c r="H539" s="36" t="n">
        <x:f>IF(G539="National",Assumptions!$B$11,IF(G539="Statewide",Assumptions!$B$12,Assumptions!$B$13))</x:f>
        <x:v>0.85</x:v>
      </x:c>
      <x:c r="I539" s="21" t="n">
        <x:v>-0.026889284102672995</x:v>
      </x:c>
      <x:c r="J539" s="21" t="n">
        <x:v>-0.07182863058423805</x:v>
      </x:c>
      <x:c r="K539" s="21" t="n">
        <x:v>-0.13587980781992404</x:v>
      </x:c>
      <x:c r="L539" s="36" t="n">
        <x:f>IF(Assumptions!$B$4=2030,I539,IF(Assumptions!$B$4=2035,J539,K539))</x:f>
        <x:v>-0.07182863058423805</x:v>
      </x:c>
      <x:c r="M539" s="36" t="n">
        <x:f>Assumptions!$B$19</x:f>
        <x:v>-0.04739891965741583</x:v>
      </x:c>
      <x:c r="N539" s="52" t="n">
        <x:f>H539*L539+(1-H539)*M539+O539</x:f>
        <x:v>-0.06816417394521472</x:v>
      </x:c>
      <x:c r="O539" s="36" t="n">
        <x:f>Assumptions!$B$10</x:f>
        <x:v>0</x:v>
      </x:c>
      <x:c r="P539" s="54" t="n">
        <x:f>E539*(1+N539)</x:f>
        <x:v>41.93261217246534</x:v>
      </x:c>
      <x:c r="Q539" s="54" t="n">
        <x:f>P539-E539</x:f>
        <x:v>-3.0673878275346596</x:v>
      </x:c>
      <x:c r="R539" s="16" t="str">
        <x:v>No</x:v>
      </x:c>
      <x:c r="S539" s="56"/>
      <x:c r="T539" s="56"/>
      <x:c r="U539" s="40" t="n">
        <x:f>E539*Assumptions!$B$8</x:f>
        <x:v>38.25</x:v>
      </x:c>
      <x:c r="V539" s="40" t="n">
        <x:f>P539*Assumptions!$B$8</x:f>
        <x:v>35.64272034659554</x:v>
      </x:c>
      <x:c r="W539" s="54" t="n">
        <x:f>V539-U539</x:f>
        <x:v>-2.6072796534044613</x:v>
      </x:c>
      <x:c r="X539" s="58" t="str">
        <x:f>IF(R539="No","",W539*S539)</x:f>
      </x:c>
      <x:c r="Y539" s="58" t="str">
        <x:f>IF(R539="No","",W539*T539*Assumptions!$B$9)</x:f>
      </x:c>
      <x:c r="Z539" s="58" t="str">
        <x:f>IF(R539="No","",X539-Y539)</x:f>
      </x:c>
      <x:c r="AA539" s="58" t="str">
        <x:f>IF(R539="No","",MAX(0,-Z539))</x:f>
      </x:c>
      <x:c r="AB539" s="52" t="str">
        <x:f>IF(OR(R539="No",U539*S539=0),"",AA539/(U539*S539))</x:f>
      </x:c>
      <x:c r="AC539" s="54" t="str">
        <x:f>IF(OR(R539="No",S539-T539*Assumptions!$B$9&lt;=0),"",AA539/(Assumptions!$B$8*(S539-T539*Assumptions!$B$9)))</x:f>
      </x:c>
      <x:c r="AD539" s="52" t="str">
        <x:f>IF(OR(R539="No",U539*S539=0),"",AA539/(U539*S539))</x:f>
      </x:c>
      <x:c r="AE539" s="50" t="str">
        <x:f>IF(R539="No","No finance data",IF(AB539&gt;=10%,"Severe",IF(AB539&gt;=5%,"High",IF(AB539&gt;=2%,"Moderate","Low"))))</x:f>
        <x:v>No finance data</x:v>
      </x:c>
      <x:c r="AF539" s="60"/>
      <x:c r="AG539" s="60"/>
      <x:c r="AH539" s="44" t="str">
        <x:v>Undergraduate tuition-contribution proxy only; not an audited total institutional budget.</x:v>
      </x:c>
    </x:row>
    <x:row r="540">
      <x:c r="A540" s="16" t="n">
        <x:v>155025</x:v>
      </x:c>
      <x:c r="B540" s="16" t="str">
        <x:v>Emporia State University</x:v>
      </x:c>
      <x:c r="C540" s="16" t="str">
        <x:v>KS</x:v>
      </x:c>
      <x:c r="D540" s="16" t="str">
        <x:v>Public</x:v>
      </x:c>
      <x:c r="E540" s="34" t="n">
        <x:v>3730</x:v>
      </x:c>
      <x:c r="F540" s="21" t="n">
        <x:v>0.8837</x:v>
      </x:c>
      <x:c r="G540" s="16" t="str">
        <x:v>Regional</x:v>
      </x:c>
      <x:c r="H540" s="36" t="n">
        <x:f>IF(G540="National",Assumptions!$B$11,IF(G540="Statewide",Assumptions!$B$12,Assumptions!$B$13))</x:f>
        <x:v>0.85</x:v>
      </x:c>
      <x:c r="I540" s="21" t="n">
        <x:v>-0.026889284102672995</x:v>
      </x:c>
      <x:c r="J540" s="21" t="n">
        <x:v>-0.07182863058423805</x:v>
      </x:c>
      <x:c r="K540" s="21" t="n">
        <x:v>-0.13587980781992404</x:v>
      </x:c>
      <x:c r="L540" s="36" t="n">
        <x:f>IF(Assumptions!$B$4=2030,I540,IF(Assumptions!$B$4=2035,J540,K540))</x:f>
        <x:v>-0.07182863058423805</x:v>
      </x:c>
      <x:c r="M540" s="36" t="n">
        <x:f>Assumptions!$B$19</x:f>
        <x:v>-0.04739891965741583</x:v>
      </x:c>
      <x:c r="N540" s="52" t="n">
        <x:f>H540*L540+(1-H540)*M540+O540</x:f>
        <x:v>-0.06816417394521472</x:v>
      </x:c>
      <x:c r="O540" s="36" t="n">
        <x:f>Assumptions!$B$10</x:f>
        <x:v>0</x:v>
      </x:c>
      <x:c r="P540" s="54" t="n">
        <x:f>E540*(1+N540)</x:f>
        <x:v>3475.7476311843493</x:v>
      </x:c>
      <x:c r="Q540" s="54" t="n">
        <x:f>P540-E540</x:f>
        <x:v>-254.2523688156507</x:v>
      </x:c>
      <x:c r="R540" s="16" t="str">
        <x:v>Yes</x:v>
      </x:c>
      <x:c r="S540" s="56" t="n">
        <x:v>6648</x:v>
      </x:c>
      <x:c r="T540" s="56" t="n">
        <x:v>7455</x:v>
      </x:c>
      <x:c r="U540" s="40" t="n">
        <x:f>E540*Assumptions!$B$8</x:f>
        <x:v>3170.5</x:v>
      </x:c>
      <x:c r="V540" s="40" t="n">
        <x:f>P540*Assumptions!$B$8</x:f>
        <x:v>2954.385486506697</x:v>
      </x:c>
      <x:c r="W540" s="54" t="n">
        <x:f>V540-U540</x:f>
        <x:v>-216.1145134933031</x:v>
      </x:c>
      <x:c r="X540" s="58" t="n">
        <x:f>IF(R540="No","",W540*S540)</x:f>
        <x:v>-1436729.2857034788</x:v>
      </x:c>
      <x:c r="Y540" s="58" t="n">
        <x:f>IF(R540="No","",W540*T540*Assumptions!$B$9)</x:f>
        <x:v>-483340.10942777235</x:v>
      </x:c>
      <x:c r="Z540" s="58" t="n">
        <x:f>IF(R540="No","",X540-Y540)</x:f>
        <x:v>-953389.1762757065</x:v>
      </x:c>
      <x:c r="AA540" s="58" t="n">
        <x:f>IF(R540="No","",MAX(0,-Z540))</x:f>
        <x:v>953389.1762757065</x:v>
      </x:c>
      <x:c r="AB540" s="52" t="n">
        <x:f>IF(OR(R540="No",U540*S540=0),"",AA540/(U540*S540))</x:f>
        <x:v>0.04523258925380783</x:v>
      </x:c>
      <x:c r="AC540" s="54" t="n">
        <x:f>IF(OR(R540="No",S540-T540*Assumptions!$B$9&lt;=0),"",AA540/(Assumptions!$B$8*(S540-T540*Assumptions!$B$9)))</x:f>
        <x:v>254.25236881565067</x:v>
      </x:c>
      <x:c r="AD540" s="52" t="n">
        <x:f>IF(OR(R540="No",U540*S540=0),"",AA540/(U540*S540))</x:f>
        <x:v>0.04523258925380783</x:v>
      </x:c>
      <x:c r="AE540" s="50" t="str">
        <x:f>IF(R540="No","No finance data",IF(AB540&gt;=10%,"Severe",IF(AB540&gt;=5%,"High",IF(AB540&gt;=2%,"Moderate","Low"))))</x:f>
        <x:v>Moderate</x:v>
      </x:c>
      <x:c r="AF540" s="60" t="n">
        <x:v>38.414784</x:v>
      </x:c>
      <x:c r="AG540" s="60" t="n">
        <x:v>-96.179021</x:v>
      </x:c>
      <x:c r="AH540" s="44" t="str">
        <x:v>Undergraduate tuition-contribution proxy only; not an audited total institutional budget.</x:v>
      </x:c>
    </x:row>
    <x:row r="541">
      <x:c r="A541" s="16" t="n">
        <x:v>155061</x:v>
      </x:c>
      <x:c r="B541" s="16" t="str">
        <x:v>Fort Hays State University</x:v>
      </x:c>
      <x:c r="C541" s="16" t="str">
        <x:v>KS</x:v>
      </x:c>
      <x:c r="D541" s="16" t="str">
        <x:v>Public</x:v>
      </x:c>
      <x:c r="E541" s="34" t="n">
        <x:v>11503</x:v>
      </x:c>
      <x:c r="F541" s="21" t="n">
        <x:v>0.9034</x:v>
      </x:c>
      <x:c r="G541" s="16" t="str">
        <x:v>Statewide</x:v>
      </x:c>
      <x:c r="H541" s="36" t="n">
        <x:f>IF(G541="National",Assumptions!$B$11,IF(G541="Statewide",Assumptions!$B$12,Assumptions!$B$13))</x:f>
        <x:v>0.6</x:v>
      </x:c>
      <x:c r="I541" s="21" t="n">
        <x:v>-0.026889284102672995</x:v>
      </x:c>
      <x:c r="J541" s="21" t="n">
        <x:v>-0.07182863058423805</x:v>
      </x:c>
      <x:c r="K541" s="21" t="n">
        <x:v>-0.13587980781992404</x:v>
      </x:c>
      <x:c r="L541" s="36" t="n">
        <x:f>IF(Assumptions!$B$4=2030,I541,IF(Assumptions!$B$4=2035,J541,K541))</x:f>
        <x:v>-0.07182863058423805</x:v>
      </x:c>
      <x:c r="M541" s="36" t="n">
        <x:f>Assumptions!$B$19</x:f>
        <x:v>-0.04739891965741583</x:v>
      </x:c>
      <x:c r="N541" s="52" t="n">
        <x:f>H541*L541+(1-H541)*M541+O541</x:f>
        <x:v>-0.062056746213509165</x:v>
      </x:c>
      <x:c r="O541" s="36" t="n">
        <x:f>Assumptions!$B$10</x:f>
        <x:v>0</x:v>
      </x:c>
      <x:c r="P541" s="54" t="n">
        <x:f>E541*(1+N541)</x:f>
        <x:v>10789.161248306003</x:v>
      </x:c>
      <x:c r="Q541" s="54" t="n">
        <x:f>P541-E541</x:f>
        <x:v>-713.8387516939965</x:v>
      </x:c>
      <x:c r="R541" s="16" t="str">
        <x:v>Yes</x:v>
      </x:c>
      <x:c r="S541" s="56" t="n">
        <x:v>6127</x:v>
      </x:c>
      <x:c r="T541" s="56" t="n">
        <x:v>5701</x:v>
      </x:c>
      <x:c r="U541" s="40" t="n">
        <x:f>E541*Assumptions!$B$8</x:f>
        <x:v>9777.55</x:v>
      </x:c>
      <x:c r="V541" s="40" t="n">
        <x:f>P541*Assumptions!$B$8</x:f>
        <x:v>9170.787061060102</x:v>
      </x:c>
      <x:c r="W541" s="54" t="n">
        <x:f>V541-U541</x:f>
        <x:v>-606.7629389398971</x:v>
      </x:c>
      <x:c r="X541" s="58" t="n">
        <x:f>IF(R541="No","",W541*S541)</x:f>
        <x:v>-3717636.52688475</x:v>
      </x:c>
      <x:c r="Y541" s="58" t="n">
        <x:f>IF(R541="No","",W541*T541*Assumptions!$B$9)</x:f>
        <x:v>-1037746.6544689061</x:v>
      </x:c>
      <x:c r="Z541" s="58" t="n">
        <x:f>IF(R541="No","",X541-Y541)</x:f>
        <x:v>-2679889.872415844</x:v>
      </x:c>
      <x:c r="AA541" s="58" t="n">
        <x:f>IF(R541="No","",MAX(0,-Z541))</x:f>
        <x:v>2679889.872415844</x:v>
      </x:c>
      <x:c r="AB541" s="52" t="n">
        <x:f>IF(OR(R541="No",U541*S541=0),"",AA541/(U541*S541))</x:f>
        <x:v>0.044734132691562956</x:v>
      </x:c>
      <x:c r="AC541" s="54" t="n">
        <x:f>IF(OR(R541="No",S541-T541*Assumptions!$B$9&lt;=0),"",AA541/(Assumptions!$B$8*(S541-T541*Assumptions!$B$9)))</x:f>
        <x:v>713.8387516939968</x:v>
      </x:c>
      <x:c r="AD541" s="52" t="n">
        <x:f>IF(OR(R541="No",U541*S541=0),"",AA541/(U541*S541))</x:f>
        <x:v>0.044734132691562956</x:v>
      </x:c>
      <x:c r="AE541" s="50" t="str">
        <x:f>IF(R541="No","No finance data",IF(AB541&gt;=10%,"Severe",IF(AB541&gt;=5%,"High",IF(AB541&gt;=2%,"Moderate","Low"))))</x:f>
        <x:v>Moderate</x:v>
      </x:c>
      <x:c r="AF541" s="60" t="n">
        <x:v>38.872156</x:v>
      </x:c>
      <x:c r="AG541" s="60" t="n">
        <x:v>-99.342503</x:v>
      </x:c>
      <x:c r="AH541" s="44" t="str">
        <x:v>Undergraduate tuition-contribution proxy only; not an audited total institutional budget.</x:v>
      </x:c>
    </x:row>
    <x:row r="542">
      <x:c r="A542" s="16" t="n">
        <x:v>155089</x:v>
      </x:c>
      <x:c r="B542" s="16" t="str">
        <x:v>Friends University</x:v>
      </x:c>
      <x:c r="C542" s="16" t="str">
        <x:v>KS</x:v>
      </x:c>
      <x:c r="D542" s="16" t="str">
        <x:v>Private nonprofit</x:v>
      </x:c>
      <x:c r="E542" s="34" t="n">
        <x:v>1266</x:v>
      </x:c>
      <x:c r="F542" s="21" t="n">
        <x:v>0.5767</x:v>
      </x:c>
      <x:c r="G542" s="16" t="str">
        <x:v>Regional</x:v>
      </x:c>
      <x:c r="H542" s="36" t="n">
        <x:f>IF(G542="National",Assumptions!$B$11,IF(G542="Statewide",Assumptions!$B$12,Assumptions!$B$13))</x:f>
        <x:v>0.85</x:v>
      </x:c>
      <x:c r="I542" s="21" t="n">
        <x:v>-0.026889284102672995</x:v>
      </x:c>
      <x:c r="J542" s="21" t="n">
        <x:v>-0.07182863058423805</x:v>
      </x:c>
      <x:c r="K542" s="21" t="n">
        <x:v>-0.13587980781992404</x:v>
      </x:c>
      <x:c r="L542" s="36" t="n">
        <x:f>IF(Assumptions!$B$4=2030,I542,IF(Assumptions!$B$4=2035,J542,K542))</x:f>
        <x:v>-0.07182863058423805</x:v>
      </x:c>
      <x:c r="M542" s="36" t="n">
        <x:f>Assumptions!$B$19</x:f>
        <x:v>-0.04739891965741583</x:v>
      </x:c>
      <x:c r="N542" s="52" t="n">
        <x:f>H542*L542+(1-H542)*M542+O542</x:f>
        <x:v>-0.06816417394521472</x:v>
      </x:c>
      <x:c r="O542" s="36" t="n">
        <x:f>Assumptions!$B$10</x:f>
        <x:v>0</x:v>
      </x:c>
      <x:c r="P542" s="54" t="n">
        <x:f>E542*(1+N542)</x:f>
        <x:v>1179.7041557853581</x:v>
      </x:c>
      <x:c r="Q542" s="54" t="n">
        <x:f>P542-E542</x:f>
        <x:v>-86.29584421464187</x:v>
      </x:c>
      <x:c r="R542" s="16" t="str">
        <x:v>Yes</x:v>
      </x:c>
      <x:c r="S542" s="56" t="n">
        <x:v>12118</x:v>
      </x:c>
      <x:c r="T542" s="56" t="n">
        <x:v>5268</x:v>
      </x:c>
      <x:c r="U542" s="40" t="n">
        <x:f>E542*Assumptions!$B$8</x:f>
        <x:v>1076.1</x:v>
      </x:c>
      <x:c r="V542" s="40" t="n">
        <x:f>P542*Assumptions!$B$8</x:f>
        <x:v>1002.7485324175544</x:v>
      </x:c>
      <x:c r="W542" s="54" t="n">
        <x:f>V542-U542</x:f>
        <x:v>-73.35146758244548</x:v>
      </x:c>
      <x:c r="X542" s="58" t="n">
        <x:f>IF(R542="No","",W542*S542)</x:f>
        <x:v>-888873.0841640743</x:v>
      </x:c>
      <x:c r="Y542" s="58" t="n">
        <x:f>IF(R542="No","",W542*T542*Assumptions!$B$9)</x:f>
        <x:v>-115924.65936729683</x:v>
      </x:c>
      <x:c r="Z542" s="58" t="n">
        <x:f>IF(R542="No","",X542-Y542)</x:f>
        <x:v>-772948.4247967774</x:v>
      </x:c>
      <x:c r="AA542" s="58" t="n">
        <x:f>IF(R542="No","",MAX(0,-Z542))</x:f>
        <x:v>772948.4247967774</x:v>
      </x:c>
      <x:c r="AB542" s="52" t="n">
        <x:f>IF(OR(R542="No",U542*S542=0),"",AA542/(U542*S542))</x:f>
        <x:v>0.0592743686553139</x:v>
      </x:c>
      <x:c r="AC542" s="54" t="n">
        <x:f>IF(OR(R542="No",S542-T542*Assumptions!$B$9&lt;=0),"",AA542/(Assumptions!$B$8*(S542-T542*Assumptions!$B$9)))</x:f>
        <x:v>86.29584421464172</x:v>
      </x:c>
      <x:c r="AD542" s="52" t="n">
        <x:f>IF(OR(R542="No",U542*S542=0),"",AA542/(U542*S542))</x:f>
        <x:v>0.0592743686553139</x:v>
      </x:c>
      <x:c r="AE542" s="50" t="str">
        <x:f>IF(R542="No","No finance data",IF(AB542&gt;=10%,"Severe",IF(AB542&gt;=5%,"High",IF(AB542&gt;=2%,"Moderate","Low"))))</x:f>
        <x:v>High</x:v>
      </x:c>
      <x:c r="AF542" s="60" t="n">
        <x:v>37.678459</x:v>
      </x:c>
      <x:c r="AG542" s="60" t="n">
        <x:v>-97.367048</x:v>
      </x:c>
      <x:c r="AH542" s="44" t="str">
        <x:v>Undergraduate tuition-contribution proxy only; not an audited total institutional budget.</x:v>
      </x:c>
    </x:row>
    <x:row r="543">
      <x:c r="A543" s="16" t="n">
        <x:v>155399</x:v>
      </x:c>
      <x:c r="B543" s="16" t="str">
        <x:v>Kansas State University</x:v>
      </x:c>
      <x:c r="C543" s="16" t="str">
        <x:v>KS</x:v>
      </x:c>
      <x:c r="D543" s="16" t="str">
        <x:v>Public</x:v>
      </x:c>
      <x:c r="E543" s="34" t="n">
        <x:v>19443</x:v>
      </x:c>
      <x:c r="F543" s="21" t="n">
        <x:v>0.9561</x:v>
      </x:c>
      <x:c r="G543" s="16" t="str">
        <x:v>Statewide</x:v>
      </x:c>
      <x:c r="H543" s="36" t="n">
        <x:f>IF(G543="National",Assumptions!$B$11,IF(G543="Statewide",Assumptions!$B$12,Assumptions!$B$13))</x:f>
        <x:v>0.6</x:v>
      </x:c>
      <x:c r="I543" s="21" t="n">
        <x:v>-0.026889284102672995</x:v>
      </x:c>
      <x:c r="J543" s="21" t="n">
        <x:v>-0.07182863058423805</x:v>
      </x:c>
      <x:c r="K543" s="21" t="n">
        <x:v>-0.13587980781992404</x:v>
      </x:c>
      <x:c r="L543" s="36" t="n">
        <x:f>IF(Assumptions!$B$4=2030,I543,IF(Assumptions!$B$4=2035,J543,K543))</x:f>
        <x:v>-0.07182863058423805</x:v>
      </x:c>
      <x:c r="M543" s="36" t="n">
        <x:f>Assumptions!$B$19</x:f>
        <x:v>-0.04739891965741583</x:v>
      </x:c>
      <x:c r="N543" s="52" t="n">
        <x:f>H543*L543+(1-H543)*M543+O543</x:f>
        <x:v>-0.062056746213509165</x:v>
      </x:c>
      <x:c r="O543" s="36" t="n">
        <x:f>Assumptions!$B$10</x:f>
        <x:v>0</x:v>
      </x:c>
      <x:c r="P543" s="54" t="n">
        <x:f>E543*(1+N543)</x:f>
        <x:v>18236.43068337074</x:v>
      </x:c>
      <x:c r="Q543" s="54" t="n">
        <x:f>P543-E543</x:f>
        <x:v>-1206.5693166292585</x:v>
      </x:c>
      <x:c r="R543" s="16" t="str">
        <x:v>Yes</x:v>
      </x:c>
      <x:c r="S543" s="56" t="n">
        <x:v>11322</x:v>
      </x:c>
      <x:c r="T543" s="56" t="n">
        <x:v>12636</x:v>
      </x:c>
      <x:c r="U543" s="40" t="n">
        <x:f>E543*Assumptions!$B$8</x:f>
        <x:v>16526.55</x:v>
      </x:c>
      <x:c r="V543" s="40" t="n">
        <x:f>P543*Assumptions!$B$8</x:f>
        <x:v>15500.96608086513</x:v>
      </x:c>
      <x:c r="W543" s="54" t="n">
        <x:f>V543-U543</x:f>
        <x:v>-1025.5839191348696</x:v>
      </x:c>
      <x:c r="X543" s="58" t="n">
        <x:f>IF(R543="No","",W543*S543)</x:f>
        <x:v>-11611661.132444993</x:v>
      </x:c>
      <x:c r="Y543" s="58" t="n">
        <x:f>IF(R543="No","",W543*T543*Assumptions!$B$9)</x:f>
        <x:v>-3887783.520656463</x:v>
      </x:c>
      <x:c r="Z543" s="58" t="n">
        <x:f>IF(R543="No","",X543-Y543)</x:f>
        <x:v>-7723877.61178853</x:v>
      </x:c>
      <x:c r="AA543" s="58" t="n">
        <x:f>IF(R543="No","",MAX(0,-Z543))</x:f>
        <x:v>7723877.61178853</x:v>
      </x:c>
      <x:c r="AB543" s="52" t="n">
        <x:f>IF(OR(R543="No",U543*S543=0),"",AA543/(U543*S543))</x:f>
        <x:v>0.04127908205998764</x:v>
      </x:c>
      <x:c r="AC543" s="54" t="n">
        <x:f>IF(OR(R543="No",S543-T543*Assumptions!$B$9&lt;=0),"",AA543/(Assumptions!$B$8*(S543-T543*Assumptions!$B$9)))</x:f>
        <x:v>1206.5693166292583</x:v>
      </x:c>
      <x:c r="AD543" s="52" t="n">
        <x:f>IF(OR(R543="No",U543*S543=0),"",AA543/(U543*S543))</x:f>
        <x:v>0.04127908205998764</x:v>
      </x:c>
      <x:c r="AE543" s="50" t="str">
        <x:f>IF(R543="No","No finance data",IF(AB543&gt;=10%,"Severe",IF(AB543&gt;=5%,"High",IF(AB543&gt;=2%,"Moderate","Low"))))</x:f>
        <x:v>Moderate</x:v>
      </x:c>
      <x:c r="AF543" s="60" t="n">
        <x:v>39.188648</x:v>
      </x:c>
      <x:c r="AG543" s="60" t="n">
        <x:v>-96.581077</x:v>
      </x:c>
      <x:c r="AH543" s="44" t="str">
        <x:v>Undergraduate tuition-contribution proxy only; not an audited total institutional budget.</x:v>
      </x:c>
    </x:row>
    <x:row r="544">
      <x:c r="A544" s="16" t="n">
        <x:v>155414</x:v>
      </x:c>
      <x:c r="B544" s="16" t="str">
        <x:v>Kansas Wesleyan University</x:v>
      </x:c>
      <x:c r="C544" s="16" t="str">
        <x:v>KS</x:v>
      </x:c>
      <x:c r="D544" s="16" t="str">
        <x:v>Private nonprofit</x:v>
      </x:c>
      <x:c r="E544" s="34" t="n">
        <x:v>665</x:v>
      </x:c>
      <x:c r="F544" s="21" t="n">
        <x:v>0.6764</x:v>
      </x:c>
      <x:c r="G544" s="16" t="str">
        <x:v>Regional</x:v>
      </x:c>
      <x:c r="H544" s="36" t="n">
        <x:f>IF(G544="National",Assumptions!$B$11,IF(G544="Statewide",Assumptions!$B$12,Assumptions!$B$13))</x:f>
        <x:v>0.85</x:v>
      </x:c>
      <x:c r="I544" s="21" t="n">
        <x:v>-0.026889284102672995</x:v>
      </x:c>
      <x:c r="J544" s="21" t="n">
        <x:v>-0.07182863058423805</x:v>
      </x:c>
      <x:c r="K544" s="21" t="n">
        <x:v>-0.13587980781992404</x:v>
      </x:c>
      <x:c r="L544" s="36" t="n">
        <x:f>IF(Assumptions!$B$4=2030,I544,IF(Assumptions!$B$4=2035,J544,K544))</x:f>
        <x:v>-0.07182863058423805</x:v>
      </x:c>
      <x:c r="M544" s="36" t="n">
        <x:f>Assumptions!$B$19</x:f>
        <x:v>-0.04739891965741583</x:v>
      </x:c>
      <x:c r="N544" s="52" t="n">
        <x:f>H544*L544+(1-H544)*M544+O544</x:f>
        <x:v>-0.06816417394521472</x:v>
      </x:c>
      <x:c r="O544" s="36" t="n">
        <x:f>Assumptions!$B$10</x:f>
        <x:v>0</x:v>
      </x:c>
      <x:c r="P544" s="54" t="n">
        <x:f>E544*(1+N544)</x:f>
        <x:v>619.6708243264322</x:v>
      </x:c>
      <x:c r="Q544" s="54" t="n">
        <x:f>P544-E544</x:f>
        <x:v>-45.32917567356776</x:v>
      </x:c>
      <x:c r="R544" s="16" t="str">
        <x:v>Yes</x:v>
      </x:c>
      <x:c r="S544" s="56" t="n">
        <x:v>12084</x:v>
      </x:c>
      <x:c r="T544" s="56" t="n">
        <x:v>5177</x:v>
      </x:c>
      <x:c r="U544" s="40" t="n">
        <x:f>E544*Assumptions!$B$8</x:f>
        <x:v>565.25</x:v>
      </x:c>
      <x:c r="V544" s="40" t="n">
        <x:f>P544*Assumptions!$B$8</x:f>
        <x:v>526.7202006774673</x:v>
      </x:c>
      <x:c r="W544" s="54" t="n">
        <x:f>V544-U544</x:f>
        <x:v>-38.529799322532654</x:v>
      </x:c>
      <x:c r="X544" s="58" t="n">
        <x:f>IF(R544="No","",W544*S544)</x:f>
        <x:v>-465594.0950134846</x:v>
      </x:c>
      <x:c r="Y544" s="58" t="n">
        <x:f>IF(R544="No","",W544*T544*Assumptions!$B$9)</x:f>
        <x:v>-59840.63132782547</x:v>
      </x:c>
      <x:c r="Z544" s="58" t="n">
        <x:f>IF(R544="No","",X544-Y544)</x:f>
        <x:v>-405753.4636856591</x:v>
      </x:c>
      <x:c r="AA544" s="58" t="n">
        <x:f>IF(R544="No","",MAX(0,-Z544))</x:f>
        <x:v>405753.4636856591</x:v>
      </x:c>
      <x:c r="AB544" s="52" t="n">
        <x:f>IF(OR(R544="No",U544*S544=0),"",AA544/(U544*S544))</x:f>
        <x:v>0.05940335148954504</x:v>
      </x:c>
      <x:c r="AC544" s="54" t="n">
        <x:f>IF(OR(R544="No",S544-T544*Assumptions!$B$9&lt;=0),"",AA544/(Assumptions!$B$8*(S544-T544*Assumptions!$B$9)))</x:f>
        <x:v>45.32917567356783</x:v>
      </x:c>
      <x:c r="AD544" s="52" t="n">
        <x:f>IF(OR(R544="No",U544*S544=0),"",AA544/(U544*S544))</x:f>
        <x:v>0.05940335148954504</x:v>
      </x:c>
      <x:c r="AE544" s="50" t="str">
        <x:f>IF(R544="No","No finance data",IF(AB544&gt;=10%,"Severe",IF(AB544&gt;=5%,"High",IF(AB544&gt;=2%,"Moderate","Low"))))</x:f>
        <x:v>High</x:v>
      </x:c>
      <x:c r="AF544" s="60" t="n">
        <x:v>38.813795</x:v>
      </x:c>
      <x:c r="AG544" s="60" t="n">
        <x:v>-97.607973</x:v>
      </x:c>
      <x:c r="AH544" s="44" t="str">
        <x:v>Undergraduate tuition-contribution proxy only; not an audited total institutional budget.</x:v>
      </x:c>
    </x:row>
    <x:row r="545">
      <x:c r="A545" s="16" t="n">
        <x:v>155496</x:v>
      </x:c>
      <x:c r="B545" s="16" t="str">
        <x:v>Manhattan Christian College</x:v>
      </x:c>
      <x:c r="C545" s="16" t="str">
        <x:v>KS</x:v>
      </x:c>
      <x:c r="D545" s="16" t="str">
        <x:v>Private nonprofit</x:v>
      </x:c>
      <x:c r="E545" s="34" t="n">
        <x:v>294</x:v>
      </x:c>
      <x:c r="F545" s="21"/>
      <x:c r="G545" s="16" t="str">
        <x:v>Regional</x:v>
      </x:c>
      <x:c r="H545" s="36" t="n">
        <x:f>IF(G545="National",Assumptions!$B$11,IF(G545="Statewide",Assumptions!$B$12,Assumptions!$B$13))</x:f>
        <x:v>0.85</x:v>
      </x:c>
      <x:c r="I545" s="21" t="n">
        <x:v>-0.026889284102672995</x:v>
      </x:c>
      <x:c r="J545" s="21" t="n">
        <x:v>-0.07182863058423805</x:v>
      </x:c>
      <x:c r="K545" s="21" t="n">
        <x:v>-0.13587980781992404</x:v>
      </x:c>
      <x:c r="L545" s="36" t="n">
        <x:f>IF(Assumptions!$B$4=2030,I545,IF(Assumptions!$B$4=2035,J545,K545))</x:f>
        <x:v>-0.07182863058423805</x:v>
      </x:c>
      <x:c r="M545" s="36" t="n">
        <x:f>Assumptions!$B$19</x:f>
        <x:v>-0.04739891965741583</x:v>
      </x:c>
      <x:c r="N545" s="52" t="n">
        <x:f>H545*L545+(1-H545)*M545+O545</x:f>
        <x:v>-0.06816417394521472</x:v>
      </x:c>
      <x:c r="O545" s="36" t="n">
        <x:f>Assumptions!$B$10</x:f>
        <x:v>0</x:v>
      </x:c>
      <x:c r="P545" s="54" t="n">
        <x:f>E545*(1+N545)</x:f>
        <x:v>273.9597328601069</x:v>
      </x:c>
      <x:c r="Q545" s="54" t="n">
        <x:f>P545-E545</x:f>
        <x:v>-20.040267139893103</x:v>
      </x:c>
      <x:c r="R545" s="16" t="str">
        <x:v>No</x:v>
      </x:c>
      <x:c r="S545" s="56"/>
      <x:c r="T545" s="56"/>
      <x:c r="U545" s="40" t="n">
        <x:f>E545*Assumptions!$B$8</x:f>
        <x:v>249.9</x:v>
      </x:c>
      <x:c r="V545" s="40" t="n">
        <x:f>P545*Assumptions!$B$8</x:f>
        <x:v>232.86577293109085</x:v>
      </x:c>
      <x:c r="W545" s="54" t="n">
        <x:f>V545-U545</x:f>
        <x:v>-17.03422706890916</x:v>
      </x:c>
      <x:c r="X545" s="58" t="str">
        <x:f>IF(R545="No","",W545*S545)</x:f>
      </x:c>
      <x:c r="Y545" s="58" t="str">
        <x:f>IF(R545="No","",W545*T545*Assumptions!$B$9)</x:f>
      </x:c>
      <x:c r="Z545" s="58" t="str">
        <x:f>IF(R545="No","",X545-Y545)</x:f>
      </x:c>
      <x:c r="AA545" s="58" t="str">
        <x:f>IF(R545="No","",MAX(0,-Z545))</x:f>
      </x:c>
      <x:c r="AB545" s="52" t="str">
        <x:f>IF(OR(R545="No",U545*S545=0),"",AA545/(U545*S545))</x:f>
      </x:c>
      <x:c r="AC545" s="54" t="str">
        <x:f>IF(OR(R545="No",S545-T545*Assumptions!$B$9&lt;=0),"",AA545/(Assumptions!$B$8*(S545-T545*Assumptions!$B$9)))</x:f>
      </x:c>
      <x:c r="AD545" s="52" t="str">
        <x:f>IF(OR(R545="No",U545*S545=0),"",AA545/(U545*S545))</x:f>
      </x:c>
      <x:c r="AE545" s="50" t="str">
        <x:f>IF(R545="No","No finance data",IF(AB545&gt;=10%,"Severe",IF(AB545&gt;=5%,"High",IF(AB545&gt;=2%,"Moderate","Low"))))</x:f>
        <x:v>No finance data</x:v>
      </x:c>
      <x:c r="AF545" s="60"/>
      <x:c r="AG545" s="60"/>
      <x:c r="AH545" s="44" t="str">
        <x:v>Undergraduate tuition-contribution proxy only; not an audited total institutional budget.</x:v>
      </x:c>
    </x:row>
    <x:row r="546">
      <x:c r="A546" s="16" t="n">
        <x:v>155511</x:v>
      </x:c>
      <x:c r="B546" s="16" t="str">
        <x:v>McPherson College</x:v>
      </x:c>
      <x:c r="C546" s="16" t="str">
        <x:v>KS</x:v>
      </x:c>
      <x:c r="D546" s="16" t="str">
        <x:v>Private nonprofit</x:v>
      </x:c>
      <x:c r="E546" s="34" t="n">
        <x:v>643</x:v>
      </x:c>
      <x:c r="F546" s="21" t="n">
        <x:v>0.8462</x:v>
      </x:c>
      <x:c r="G546" s="16" t="str">
        <x:v>Regional</x:v>
      </x:c>
      <x:c r="H546" s="36" t="n">
        <x:f>IF(G546="National",Assumptions!$B$11,IF(G546="Statewide",Assumptions!$B$12,Assumptions!$B$13))</x:f>
        <x:v>0.85</x:v>
      </x:c>
      <x:c r="I546" s="21" t="n">
        <x:v>-0.026889284102672995</x:v>
      </x:c>
      <x:c r="J546" s="21" t="n">
        <x:v>-0.07182863058423805</x:v>
      </x:c>
      <x:c r="K546" s="21" t="n">
        <x:v>-0.13587980781992404</x:v>
      </x:c>
      <x:c r="L546" s="36" t="n">
        <x:f>IF(Assumptions!$B$4=2030,I546,IF(Assumptions!$B$4=2035,J546,K546))</x:f>
        <x:v>-0.07182863058423805</x:v>
      </x:c>
      <x:c r="M546" s="36" t="n">
        <x:f>Assumptions!$B$19</x:f>
        <x:v>-0.04739891965741583</x:v>
      </x:c>
      <x:c r="N546" s="52" t="n">
        <x:f>H546*L546+(1-H546)*M546+O546</x:f>
        <x:v>-0.06816417394521472</x:v>
      </x:c>
      <x:c r="O546" s="36" t="n">
        <x:f>Assumptions!$B$10</x:f>
        <x:v>0</x:v>
      </x:c>
      <x:c r="P546" s="54" t="n">
        <x:f>E546*(1+N546)</x:f>
        <x:v>599.170436153227</x:v>
      </x:c>
      <x:c r="Q546" s="54" t="n">
        <x:f>P546-E546</x:f>
        <x:v>-43.829563846773</x:v>
      </x:c>
      <x:c r="R546" s="16" t="str">
        <x:v>Yes</x:v>
      </x:c>
      <x:c r="S546" s="56" t="n">
        <x:v>10451</x:v>
      </x:c>
      <x:c r="T546" s="56" t="n">
        <x:v>7485</x:v>
      </x:c>
      <x:c r="U546" s="40" t="n">
        <x:f>E546*Assumptions!$B$8</x:f>
        <x:v>546.55</x:v>
      </x:c>
      <x:c r="V546" s="40" t="n">
        <x:f>P546*Assumptions!$B$8</x:f>
        <x:v>509.29487073024296</x:v>
      </x:c>
      <x:c r="W546" s="54" t="n">
        <x:f>V546-U546</x:f>
        <x:v>-37.25512926975699</x:v>
      </x:c>
      <x:c r="X546" s="58" t="n">
        <x:f>IF(R546="No","",W546*S546)</x:f>
        <x:v>-389353.35599823034</x:v>
      </x:c>
      <x:c r="Y546" s="58" t="n">
        <x:f>IF(R546="No","",W546*T546*Assumptions!$B$9)</x:f>
        <x:v>-83656.39277523932</x:v>
      </x:c>
      <x:c r="Z546" s="58" t="n">
        <x:f>IF(R546="No","",X546-Y546)</x:f>
        <x:v>-305696.96322299103</x:v>
      </x:c>
      <x:c r="AA546" s="58" t="n">
        <x:f>IF(R546="No","",MAX(0,-Z546))</x:f>
        <x:v>305696.96322299103</x:v>
      </x:c>
      <x:c r="AB546" s="52" t="n">
        <x:f>IF(OR(R546="No",U546*S546=0),"",AA546/(U546*S546))</x:f>
        <x:v>0.0535184316627555</x:v>
      </x:c>
      <x:c r="AC546" s="54" t="n">
        <x:f>IF(OR(R546="No",S546-T546*Assumptions!$B$9&lt;=0),"",AA546/(Assumptions!$B$8*(S546-T546*Assumptions!$B$9)))</x:f>
        <x:v>43.829563846772935</x:v>
      </x:c>
      <x:c r="AD546" s="52" t="n">
        <x:f>IF(OR(R546="No",U546*S546=0),"",AA546/(U546*S546))</x:f>
        <x:v>0.0535184316627555</x:v>
      </x:c>
      <x:c r="AE546" s="50" t="str">
        <x:f>IF(R546="No","No finance data",IF(AB546&gt;=10%,"Severe",IF(AB546&gt;=5%,"High",IF(AB546&gt;=2%,"Moderate","Low"))))</x:f>
        <x:v>High</x:v>
      </x:c>
      <x:c r="AF546" s="60" t="n">
        <x:v>38.371422</x:v>
      </x:c>
      <x:c r="AG546" s="60" t="n">
        <x:v>-97.642996</x:v>
      </x:c>
      <x:c r="AH546" s="44" t="str">
        <x:v>Undergraduate tuition-contribution proxy only; not an audited total institutional budget.</x:v>
      </x:c>
    </x:row>
    <x:row r="547">
      <x:c r="A547" s="16" t="n">
        <x:v>155520</x:v>
      </x:c>
      <x:c r="B547" s="16" t="str">
        <x:v>MidAmerica Nazarene University</x:v>
      </x:c>
      <x:c r="C547" s="16" t="str">
        <x:v>KS</x:v>
      </x:c>
      <x:c r="D547" s="16" t="str">
        <x:v>Private nonprofit</x:v>
      </x:c>
      <x:c r="E547" s="34" t="n">
        <x:v>1329</x:v>
      </x:c>
      <x:c r="F547" s="21" t="n">
        <x:v>0.6465</x:v>
      </x:c>
      <x:c r="G547" s="16" t="str">
        <x:v>Regional</x:v>
      </x:c>
      <x:c r="H547" s="36" t="n">
        <x:f>IF(G547="National",Assumptions!$B$11,IF(G547="Statewide",Assumptions!$B$12,Assumptions!$B$13))</x:f>
        <x:v>0.85</x:v>
      </x:c>
      <x:c r="I547" s="21" t="n">
        <x:v>-0.026889284102672995</x:v>
      </x:c>
      <x:c r="J547" s="21" t="n">
        <x:v>-0.07182863058423805</x:v>
      </x:c>
      <x:c r="K547" s="21" t="n">
        <x:v>-0.13587980781992404</x:v>
      </x:c>
      <x:c r="L547" s="36" t="n">
        <x:f>IF(Assumptions!$B$4=2030,I547,IF(Assumptions!$B$4=2035,J547,K547))</x:f>
        <x:v>-0.07182863058423805</x:v>
      </x:c>
      <x:c r="M547" s="36" t="n">
        <x:f>Assumptions!$B$19</x:f>
        <x:v>-0.04739891965741583</x:v>
      </x:c>
      <x:c r="N547" s="52" t="n">
        <x:f>H547*L547+(1-H547)*M547+O547</x:f>
        <x:v>-0.06816417394521472</x:v>
      </x:c>
      <x:c r="O547" s="36" t="n">
        <x:f>Assumptions!$B$10</x:f>
        <x:v>0</x:v>
      </x:c>
      <x:c r="P547" s="54" t="n">
        <x:f>E547*(1+N547)</x:f>
        <x:v>1238.4098128268097</x:v>
      </x:c>
      <x:c r="Q547" s="54" t="n">
        <x:f>P547-E547</x:f>
        <x:v>-90.59018717319032</x:v>
      </x:c>
      <x:c r="R547" s="16" t="str">
        <x:v>Yes</x:v>
      </x:c>
      <x:c r="S547" s="56" t="n">
        <x:v>12905</x:v>
      </x:c>
      <x:c r="T547" s="56" t="n">
        <x:v>5940</x:v>
      </x:c>
      <x:c r="U547" s="40" t="n">
        <x:f>E547*Assumptions!$B$8</x:f>
        <x:v>1129.6499999999999</x:v>
      </x:c>
      <x:c r="V547" s="40" t="n">
        <x:f>P547*Assumptions!$B$8</x:f>
        <x:v>1052.6483409027883</x:v>
      </x:c>
      <x:c r="W547" s="54" t="n">
        <x:f>V547-U547</x:f>
        <x:v>-77.00165909721159</x:v>
      </x:c>
      <x:c r="X547" s="58" t="n">
        <x:f>IF(R547="No","",W547*S547)</x:f>
        <x:v>-993706.4106495156</x:v>
      </x:c>
      <x:c r="Y547" s="58" t="n">
        <x:f>IF(R547="No","",W547*T547*Assumptions!$B$9)</x:f>
        <x:v>-137216.95651123105</x:v>
      </x:c>
      <x:c r="Z547" s="58" t="n">
        <x:f>IF(R547="No","",X547-Y547)</x:f>
        <x:v>-856489.4541382845</x:v>
      </x:c>
      <x:c r="AA547" s="58" t="n">
        <x:f>IF(R547="No","",MAX(0,-Z547))</x:f>
        <x:v>856489.4541382845</x:v>
      </x:c>
      <x:c r="AB547" s="52" t="n">
        <x:f>IF(OR(R547="No",U547*S547=0),"",AA547/(U547*S547))</x:f>
        <x:v>0.058751654923876115</x:v>
      </x:c>
      <x:c r="AC547" s="54" t="n">
        <x:f>IF(OR(R547="No",S547-T547*Assumptions!$B$9&lt;=0),"",AA547/(Assumptions!$B$8*(S547-T547*Assumptions!$B$9)))</x:f>
        <x:v>90.59018717319012</x:v>
      </x:c>
      <x:c r="AD547" s="52" t="n">
        <x:f>IF(OR(R547="No",U547*S547=0),"",AA547/(U547*S547))</x:f>
        <x:v>0.058751654923876115</x:v>
      </x:c>
      <x:c r="AE547" s="50" t="str">
        <x:f>IF(R547="No","No finance data",IF(AB547&gt;=10%,"Severe",IF(AB547&gt;=5%,"High",IF(AB547&gt;=2%,"Moderate","Low"))))</x:f>
        <x:v>High</x:v>
      </x:c>
      <x:c r="AF547" s="60" t="n">
        <x:v>38.875615</x:v>
      </x:c>
      <x:c r="AG547" s="60" t="n">
        <x:v>-94.781635</x:v>
      </x:c>
      <x:c r="AH547" s="44" t="str">
        <x:v>Undergraduate tuition-contribution proxy only; not an audited total institutional budget.</x:v>
      </x:c>
    </x:row>
    <x:row r="548">
      <x:c r="A548" s="16" t="n">
        <x:v>155335</x:v>
      </x:c>
      <x:c r="B548" s="16" t="str">
        <x:v>Newman University</x:v>
      </x:c>
      <x:c r="C548" s="16" t="str">
        <x:v>KS</x:v>
      </x:c>
      <x:c r="D548" s="16" t="str">
        <x:v>Private nonprofit</x:v>
      </x:c>
      <x:c r="E548" s="34" t="n">
        <x:v>1126</x:v>
      </x:c>
      <x:c r="F548" s="21" t="n">
        <x:v>0.7165</x:v>
      </x:c>
      <x:c r="G548" s="16" t="str">
        <x:v>Regional</x:v>
      </x:c>
      <x:c r="H548" s="36" t="n">
        <x:f>IF(G548="National",Assumptions!$B$11,IF(G548="Statewide",Assumptions!$B$12,Assumptions!$B$13))</x:f>
        <x:v>0.85</x:v>
      </x:c>
      <x:c r="I548" s="21" t="n">
        <x:v>-0.026889284102672995</x:v>
      </x:c>
      <x:c r="J548" s="21" t="n">
        <x:v>-0.07182863058423805</x:v>
      </x:c>
      <x:c r="K548" s="21" t="n">
        <x:v>-0.13587980781992404</x:v>
      </x:c>
      <x:c r="L548" s="36" t="n">
        <x:f>IF(Assumptions!$B$4=2030,I548,IF(Assumptions!$B$4=2035,J548,K548))</x:f>
        <x:v>-0.07182863058423805</x:v>
      </x:c>
      <x:c r="M548" s="36" t="n">
        <x:f>Assumptions!$B$19</x:f>
        <x:v>-0.04739891965741583</x:v>
      </x:c>
      <x:c r="N548" s="52" t="n">
        <x:f>H548*L548+(1-H548)*M548+O548</x:f>
        <x:v>-0.06816417394521472</x:v>
      </x:c>
      <x:c r="O548" s="36" t="n">
        <x:f>Assumptions!$B$10</x:f>
        <x:v>0</x:v>
      </x:c>
      <x:c r="P548" s="54" t="n">
        <x:f>E548*(1+N548)</x:f>
        <x:v>1049.2471401376883</x:v>
      </x:c>
      <x:c r="Q548" s="54" t="n">
        <x:f>P548-E548</x:f>
        <x:v>-76.75285986231165</x:v>
      </x:c>
      <x:c r="R548" s="16" t="str">
        <x:v>Yes</x:v>
      </x:c>
      <x:c r="S548" s="56" t="n">
        <x:v>10536</x:v>
      </x:c>
      <x:c r="T548" s="56" t="n">
        <x:v>5523</x:v>
      </x:c>
      <x:c r="U548" s="40" t="n">
        <x:f>E548*Assumptions!$B$8</x:f>
        <x:v>957.1</x:v>
      </x:c>
      <x:c r="V548" s="40" t="n">
        <x:f>P548*Assumptions!$B$8</x:f>
        <x:v>891.8600691170351</x:v>
      </x:c>
      <x:c r="W548" s="54" t="n">
        <x:f>V548-U548</x:f>
        <x:v>-65.23993088296493</x:v>
      </x:c>
      <x:c r="X548" s="58" t="n">
        <x:f>IF(R548="No","",W548*S548)</x:f>
        <x:v>-687367.9117829185</x:v>
      </x:c>
      <x:c r="Y548" s="58" t="n">
        <x:f>IF(R548="No","",W548*T548*Assumptions!$B$9)</x:f>
        <x:v>-108096.04147998457</x:v>
      </x:c>
      <x:c r="Z548" s="58" t="n">
        <x:f>IF(R548="No","",X548-Y548)</x:f>
        <x:v>-579271.870302934</x:v>
      </x:c>
      <x:c r="AA548" s="58" t="n">
        <x:f>IF(R548="No","",MAX(0,-Z548))</x:f>
        <x:v>579271.870302934</x:v>
      </x:c>
      <x:c r="AB548" s="52" t="n">
        <x:f>IF(OR(R548="No",U548*S548=0),"",AA548/(U548*S548))</x:f>
        <x:v>0.057444620052862126</x:v>
      </x:c>
      <x:c r="AC548" s="54" t="n">
        <x:f>IF(OR(R548="No",S548-T548*Assumptions!$B$9&lt;=0),"",AA548/(Assumptions!$B$8*(S548-T548*Assumptions!$B$9)))</x:f>
        <x:v>76.7528598623117</x:v>
      </x:c>
      <x:c r="AD548" s="52" t="n">
        <x:f>IF(OR(R548="No",U548*S548=0),"",AA548/(U548*S548))</x:f>
        <x:v>0.057444620052862126</x:v>
      </x:c>
      <x:c r="AE548" s="50" t="str">
        <x:f>IF(R548="No","No finance data",IF(AB548&gt;=10%,"Severe",IF(AB548&gt;=5%,"High",IF(AB548&gt;=2%,"Moderate","Low"))))</x:f>
        <x:v>High</x:v>
      </x:c>
      <x:c r="AF548" s="60" t="n">
        <x:v>37.672643</x:v>
      </x:c>
      <x:c r="AG548" s="60" t="n">
        <x:v>-97.37768</x:v>
      </x:c>
      <x:c r="AH548" s="44" t="str">
        <x:v>Undergraduate tuition-contribution proxy only; not an audited total institutional budget.</x:v>
      </x:c>
    </x:row>
    <x:row r="549">
      <x:c r="A549" s="16" t="n">
        <x:v>155636</x:v>
      </x:c>
      <x:c r="B549" s="16" t="str">
        <x:v>Ottawa University-Kansas City</x:v>
      </x:c>
      <x:c r="C549" s="16" t="str">
        <x:v>KS</x:v>
      </x:c>
      <x:c r="D549" s="16" t="str">
        <x:v>Private nonprofit</x:v>
      </x:c>
      <x:c r="E549" s="34" t="n">
        <x:v>307</x:v>
      </x:c>
      <x:c r="F549" s="21"/>
      <x:c r="G549" s="16" t="str">
        <x:v>Regional</x:v>
      </x:c>
      <x:c r="H549" s="36" t="n">
        <x:f>IF(G549="National",Assumptions!$B$11,IF(G549="Statewide",Assumptions!$B$12,Assumptions!$B$13))</x:f>
        <x:v>0.85</x:v>
      </x:c>
      <x:c r="I549" s="21" t="n">
        <x:v>-0.026889284102672995</x:v>
      </x:c>
      <x:c r="J549" s="21" t="n">
        <x:v>-0.07182863058423805</x:v>
      </x:c>
      <x:c r="K549" s="21" t="n">
        <x:v>-0.13587980781992404</x:v>
      </x:c>
      <x:c r="L549" s="36" t="n">
        <x:f>IF(Assumptions!$B$4=2030,I549,IF(Assumptions!$B$4=2035,J549,K549))</x:f>
        <x:v>-0.07182863058423805</x:v>
      </x:c>
      <x:c r="M549" s="36" t="n">
        <x:f>Assumptions!$B$19</x:f>
        <x:v>-0.04739891965741583</x:v>
      </x:c>
      <x:c r="N549" s="52" t="n">
        <x:f>H549*L549+(1-H549)*M549+O549</x:f>
        <x:v>-0.06816417394521472</x:v>
      </x:c>
      <x:c r="O549" s="36" t="n">
        <x:f>Assumptions!$B$10</x:f>
        <x:v>0</x:v>
      </x:c>
      <x:c r="P549" s="54" t="n">
        <x:f>E549*(1+N549)</x:f>
        <x:v>286.0735985988191</x:v>
      </x:c>
      <x:c r="Q549" s="54" t="n">
        <x:f>P549-E549</x:f>
        <x:v>-20.926401401180897</x:v>
      </x:c>
      <x:c r="R549" s="16" t="str">
        <x:v>No</x:v>
      </x:c>
      <x:c r="S549" s="56"/>
      <x:c r="T549" s="56"/>
      <x:c r="U549" s="40" t="n">
        <x:f>E549*Assumptions!$B$8</x:f>
        <x:v>260.95</x:v>
      </x:c>
      <x:c r="V549" s="40" t="n">
        <x:f>P549*Assumptions!$B$8</x:f>
        <x:v>243.16255880899624</x:v>
      </x:c>
      <x:c r="W549" s="54" t="n">
        <x:f>V549-U549</x:f>
        <x:v>-17.78744119100375</x:v>
      </x:c>
      <x:c r="X549" s="58" t="str">
        <x:f>IF(R549="No","",W549*S549)</x:f>
      </x:c>
      <x:c r="Y549" s="58" t="str">
        <x:f>IF(R549="No","",W549*T549*Assumptions!$B$9)</x:f>
      </x:c>
      <x:c r="Z549" s="58" t="str">
        <x:f>IF(R549="No","",X549-Y549)</x:f>
      </x:c>
      <x:c r="AA549" s="58" t="str">
        <x:f>IF(R549="No","",MAX(0,-Z549))</x:f>
      </x:c>
      <x:c r="AB549" s="52" t="str">
        <x:f>IF(OR(R549="No",U549*S549=0),"",AA549/(U549*S549))</x:f>
      </x:c>
      <x:c r="AC549" s="54" t="str">
        <x:f>IF(OR(R549="No",S549-T549*Assumptions!$B$9&lt;=0),"",AA549/(Assumptions!$B$8*(S549-T549*Assumptions!$B$9)))</x:f>
      </x:c>
      <x:c r="AD549" s="52" t="str">
        <x:f>IF(OR(R549="No",U549*S549=0),"",AA549/(U549*S549))</x:f>
      </x:c>
      <x:c r="AE549" s="50" t="str">
        <x:f>IF(R549="No","No finance data",IF(AB549&gt;=10%,"Severe",IF(AB549&gt;=5%,"High",IF(AB549&gt;=2%,"Moderate","Low"))))</x:f>
        <x:v>No finance data</x:v>
      </x:c>
      <x:c r="AF549" s="60"/>
      <x:c r="AG549" s="60"/>
      <x:c r="AH549" s="44" t="str">
        <x:v>Undergraduate tuition-contribution proxy only; not an audited total institutional budget.</x:v>
      </x:c>
    </x:row>
    <x:row r="550">
      <x:c r="A550" s="16" t="n">
        <x:v>454582</x:v>
      </x:c>
      <x:c r="B550" s="16" t="str">
        <x:v>Ottawa University-Online</x:v>
      </x:c>
      <x:c r="C550" s="16" t="str">
        <x:v>KS</x:v>
      </x:c>
      <x:c r="D550" s="16" t="str">
        <x:v>Private nonprofit</x:v>
      </x:c>
      <x:c r="E550" s="34" t="n">
        <x:v>266</x:v>
      </x:c>
      <x:c r="F550" s="21"/>
      <x:c r="G550" s="16" t="str">
        <x:v>Regional</x:v>
      </x:c>
      <x:c r="H550" s="36" t="n">
        <x:f>IF(G550="National",Assumptions!$B$11,IF(G550="Statewide",Assumptions!$B$12,Assumptions!$B$13))</x:f>
        <x:v>0.85</x:v>
      </x:c>
      <x:c r="I550" s="21" t="n">
        <x:v>-0.026889284102672995</x:v>
      </x:c>
      <x:c r="J550" s="21" t="n">
        <x:v>-0.07182863058423805</x:v>
      </x:c>
      <x:c r="K550" s="21" t="n">
        <x:v>-0.13587980781992404</x:v>
      </x:c>
      <x:c r="L550" s="36" t="n">
        <x:f>IF(Assumptions!$B$4=2030,I550,IF(Assumptions!$B$4=2035,J550,K550))</x:f>
        <x:v>-0.07182863058423805</x:v>
      </x:c>
      <x:c r="M550" s="36" t="n">
        <x:f>Assumptions!$B$19</x:f>
        <x:v>-0.04739891965741583</x:v>
      </x:c>
      <x:c r="N550" s="52" t="n">
        <x:f>H550*L550+(1-H550)*M550+O550</x:f>
        <x:v>-0.06816417394521472</x:v>
      </x:c>
      <x:c r="O550" s="36" t="n">
        <x:f>Assumptions!$B$10</x:f>
        <x:v>0</x:v>
      </x:c>
      <x:c r="P550" s="54" t="n">
        <x:f>E550*(1+N550)</x:f>
        <x:v>247.8683297305729</x:v>
      </x:c>
      <x:c r="Q550" s="54" t="n">
        <x:f>P550-E550</x:f>
        <x:v>-18.131670269427104</x:v>
      </x:c>
      <x:c r="R550" s="16" t="str">
        <x:v>No</x:v>
      </x:c>
      <x:c r="S550" s="56"/>
      <x:c r="T550" s="56"/>
      <x:c r="U550" s="40" t="n">
        <x:f>E550*Assumptions!$B$8</x:f>
        <x:v>226.1</x:v>
      </x:c>
      <x:c r="V550" s="40" t="n">
        <x:f>P550*Assumptions!$B$8</x:f>
        <x:v>210.68808027098694</x:v>
      </x:c>
      <x:c r="W550" s="54" t="n">
        <x:f>V550-U550</x:f>
        <x:v>-15.41191972901305</x:v>
      </x:c>
      <x:c r="X550" s="58" t="str">
        <x:f>IF(R550="No","",W550*S550)</x:f>
      </x:c>
      <x:c r="Y550" s="58" t="str">
        <x:f>IF(R550="No","",W550*T550*Assumptions!$B$9)</x:f>
      </x:c>
      <x:c r="Z550" s="58" t="str">
        <x:f>IF(R550="No","",X550-Y550)</x:f>
      </x:c>
      <x:c r="AA550" s="58" t="str">
        <x:f>IF(R550="No","",MAX(0,-Z550))</x:f>
      </x:c>
      <x:c r="AB550" s="52" t="str">
        <x:f>IF(OR(R550="No",U550*S550=0),"",AA550/(U550*S550))</x:f>
      </x:c>
      <x:c r="AC550" s="54" t="str">
        <x:f>IF(OR(R550="No",S550-T550*Assumptions!$B$9&lt;=0),"",AA550/(Assumptions!$B$8*(S550-T550*Assumptions!$B$9)))</x:f>
      </x:c>
      <x:c r="AD550" s="52" t="str">
        <x:f>IF(OR(R550="No",U550*S550=0),"",AA550/(U550*S550))</x:f>
      </x:c>
      <x:c r="AE550" s="50" t="str">
        <x:f>IF(R550="No","No finance data",IF(AB550&gt;=10%,"Severe",IF(AB550&gt;=5%,"High",IF(AB550&gt;=2%,"Moderate","Low"))))</x:f>
        <x:v>No finance data</x:v>
      </x:c>
      <x:c r="AF550" s="60"/>
      <x:c r="AG550" s="60"/>
      <x:c r="AH550" s="44" t="str">
        <x:v>Undergraduate tuition-contribution proxy only; not an audited total institutional budget.</x:v>
      </x:c>
    </x:row>
    <x:row r="551">
      <x:c r="A551" s="16" t="n">
        <x:v>155627</x:v>
      </x:c>
      <x:c r="B551" s="16" t="str">
        <x:v>Ottawa University-Ottawa</x:v>
      </x:c>
      <x:c r="C551" s="16" t="str">
        <x:v>KS</x:v>
      </x:c>
      <x:c r="D551" s="16" t="str">
        <x:v>Private nonprofit</x:v>
      </x:c>
      <x:c r="E551" s="34" t="n">
        <x:v>625</x:v>
      </x:c>
      <x:c r="F551" s="21" t="n">
        <x:v>0.6657</x:v>
      </x:c>
      <x:c r="G551" s="16" t="str">
        <x:v>Regional</x:v>
      </x:c>
      <x:c r="H551" s="36" t="n">
        <x:f>IF(G551="National",Assumptions!$B$11,IF(G551="Statewide",Assumptions!$B$12,Assumptions!$B$13))</x:f>
        <x:v>0.85</x:v>
      </x:c>
      <x:c r="I551" s="21" t="n">
        <x:v>-0.026889284102672995</x:v>
      </x:c>
      <x:c r="J551" s="21" t="n">
        <x:v>-0.07182863058423805</x:v>
      </x:c>
      <x:c r="K551" s="21" t="n">
        <x:v>-0.13587980781992404</x:v>
      </x:c>
      <x:c r="L551" s="36" t="n">
        <x:f>IF(Assumptions!$B$4=2030,I551,IF(Assumptions!$B$4=2035,J551,K551))</x:f>
        <x:v>-0.07182863058423805</x:v>
      </x:c>
      <x:c r="M551" s="36" t="n">
        <x:f>Assumptions!$B$19</x:f>
        <x:v>-0.04739891965741583</x:v>
      </x:c>
      <x:c r="N551" s="52" t="n">
        <x:f>H551*L551+(1-H551)*M551+O551</x:f>
        <x:v>-0.06816417394521472</x:v>
      </x:c>
      <x:c r="O551" s="36" t="n">
        <x:f>Assumptions!$B$10</x:f>
        <x:v>0</x:v>
      </x:c>
      <x:c r="P551" s="54" t="n">
        <x:f>E551*(1+N551)</x:f>
        <x:v>582.3973912842408</x:v>
      </x:c>
      <x:c r="Q551" s="54" t="n">
        <x:f>P551-E551</x:f>
        <x:v>-42.602608715759175</x:v>
      </x:c>
      <x:c r="R551" s="16" t="str">
        <x:v>Yes</x:v>
      </x:c>
      <x:c r="S551" s="56" t="n">
        <x:v>11354</x:v>
      </x:c>
      <x:c r="T551" s="56" t="n">
        <x:v>2228</x:v>
      </x:c>
      <x:c r="U551" s="40" t="n">
        <x:f>E551*Assumptions!$B$8</x:f>
        <x:v>531.25</x:v>
      </x:c>
      <x:c r="V551" s="40" t="n">
        <x:f>P551*Assumptions!$B$8</x:f>
        <x:v>495.0377825916047</x:v>
      </x:c>
      <x:c r="W551" s="54" t="n">
        <x:f>V551-U551</x:f>
        <x:v>-36.212217408395304</x:v>
      </x:c>
      <x:c r="X551" s="58" t="n">
        <x:f>IF(R551="No","",W551*S551)</x:f>
        <x:v>-411153.5164549203</x:v>
      </x:c>
      <x:c r="Y551" s="58" t="n">
        <x:f>IF(R551="No","",W551*T551*Assumptions!$B$9)</x:f>
        <x:v>-24204.24611577142</x:v>
      </x:c>
      <x:c r="Z551" s="58" t="n">
        <x:f>IF(R551="No","",X551-Y551)</x:f>
        <x:v>-386949.2703391489</x:v>
      </x:c>
      <x:c r="AA551" s="58" t="n">
        <x:f>IF(R551="No","",MAX(0,-Z551))</x:f>
        <x:v>386949.2703391489</x:v>
      </x:c>
      <x:c r="AB551" s="52" t="n">
        <x:f>IF(OR(R551="No",U551*S551=0),"",AA551/(U551*S551))</x:f>
        <x:v>0.06415140894037222</x:v>
      </x:c>
      <x:c r="AC551" s="54" t="n">
        <x:f>IF(OR(R551="No",S551-T551*Assumptions!$B$9&lt;=0),"",AA551/(Assumptions!$B$8*(S551-T551*Assumptions!$B$9)))</x:f>
        <x:v>42.60260871575918</x:v>
      </x:c>
      <x:c r="AD551" s="52" t="n">
        <x:f>IF(OR(R551="No",U551*S551=0),"",AA551/(U551*S551))</x:f>
        <x:v>0.06415140894037222</x:v>
      </x:c>
      <x:c r="AE551" s="50" t="str">
        <x:f>IF(R551="No","No finance data",IF(AB551&gt;=10%,"Severe",IF(AB551&gt;=5%,"High",IF(AB551&gt;=2%,"Moderate","Low"))))</x:f>
        <x:v>High</x:v>
      </x:c>
      <x:c r="AF551" s="60" t="n">
        <x:v>38.603173</x:v>
      </x:c>
      <x:c r="AG551" s="60" t="n">
        <x:v>-95.264187</x:v>
      </x:c>
      <x:c r="AH551" s="44" t="str">
        <x:v>Undergraduate tuition-contribution proxy only; not an audited total institutional budget.</x:v>
      </x:c>
    </x:row>
    <x:row r="552">
      <x:c r="A552" s="16" t="n">
        <x:v>155681</x:v>
      </x:c>
      <x:c r="B552" s="16" t="str">
        <x:v>Pittsburg State University</x:v>
      </x:c>
      <x:c r="C552" s="16" t="str">
        <x:v>KS</x:v>
      </x:c>
      <x:c r="D552" s="16" t="str">
        <x:v>Public</x:v>
      </x:c>
      <x:c r="E552" s="34" t="n">
        <x:v>5700</x:v>
      </x:c>
      <x:c r="F552" s="21" t="n">
        <x:v>0.9364</x:v>
      </x:c>
      <x:c r="G552" s="16" t="str">
        <x:v>Statewide</x:v>
      </x:c>
      <x:c r="H552" s="36" t="n">
        <x:f>IF(G552="National",Assumptions!$B$11,IF(G552="Statewide",Assumptions!$B$12,Assumptions!$B$13))</x:f>
        <x:v>0.6</x:v>
      </x:c>
      <x:c r="I552" s="21" t="n">
        <x:v>-0.026889284102672995</x:v>
      </x:c>
      <x:c r="J552" s="21" t="n">
        <x:v>-0.07182863058423805</x:v>
      </x:c>
      <x:c r="K552" s="21" t="n">
        <x:v>-0.13587980781992404</x:v>
      </x:c>
      <x:c r="L552" s="36" t="n">
        <x:f>IF(Assumptions!$B$4=2030,I552,IF(Assumptions!$B$4=2035,J552,K552))</x:f>
        <x:v>-0.07182863058423805</x:v>
      </x:c>
      <x:c r="M552" s="36" t="n">
        <x:f>Assumptions!$B$19</x:f>
        <x:v>-0.04739891965741583</x:v>
      </x:c>
      <x:c r="N552" s="52" t="n">
        <x:f>H552*L552+(1-H552)*M552+O552</x:f>
        <x:v>-0.062056746213509165</x:v>
      </x:c>
      <x:c r="O552" s="36" t="n">
        <x:f>Assumptions!$B$10</x:f>
        <x:v>0</x:v>
      </x:c>
      <x:c r="P552" s="54" t="n">
        <x:f>E552*(1+N552)</x:f>
        <x:v>5346.276546582997</x:v>
      </x:c>
      <x:c r="Q552" s="54" t="n">
        <x:f>P552-E552</x:f>
        <x:v>-353.72345341700293</x:v>
      </x:c>
      <x:c r="R552" s="16" t="str">
        <x:v>Yes</x:v>
      </x:c>
      <x:c r="S552" s="56" t="n">
        <x:v>4857</x:v>
      </x:c>
      <x:c r="T552" s="56" t="n">
        <x:v>6677</x:v>
      </x:c>
      <x:c r="U552" s="40" t="n">
        <x:f>E552*Assumptions!$B$8</x:f>
        <x:v>4845</x:v>
      </x:c>
      <x:c r="V552" s="40" t="n">
        <x:f>P552*Assumptions!$B$8</x:f>
        <x:v>4544.335064595547</x:v>
      </x:c>
      <x:c r="W552" s="54" t="n">
        <x:f>V552-U552</x:f>
        <x:v>-300.664935404453</x:v>
      </x:c>
      <x:c r="X552" s="58" t="n">
        <x:f>IF(R552="No","",W552*S552)</x:f>
        <x:v>-1460329.591259428</x:v>
      </x:c>
      <x:c r="Y552" s="58" t="n">
        <x:f>IF(R552="No","",W552*T552*Assumptions!$B$9)</x:f>
        <x:v>-602261.9321086598</x:v>
      </x:c>
      <x:c r="Z552" s="58" t="n">
        <x:f>IF(R552="No","",X552-Y552)</x:f>
        <x:v>-858067.6591507683</x:v>
      </x:c>
      <x:c r="AA552" s="58" t="n">
        <x:f>IF(R552="No","",MAX(0,-Z552))</x:f>
        <x:v>858067.6591507683</x:v>
      </x:c>
      <x:c r="AB552" s="52" t="n">
        <x:f>IF(OR(R552="No",U552*S552=0),"",AA552/(U552*S552))</x:f>
        <x:v>0.036463608815881086</x:v>
      </x:c>
      <x:c r="AC552" s="54" t="n">
        <x:f>IF(OR(R552="No",S552-T552*Assumptions!$B$9&lt;=0),"",AA552/(Assumptions!$B$8*(S552-T552*Assumptions!$B$9)))</x:f>
        <x:v>353.7234534170035</x:v>
      </x:c>
      <x:c r="AD552" s="52" t="n">
        <x:f>IF(OR(R552="No",U552*S552=0),"",AA552/(U552*S552))</x:f>
        <x:v>0.036463608815881086</x:v>
      </x:c>
      <x:c r="AE552" s="50" t="str">
        <x:f>IF(R552="No","No finance data",IF(AB552&gt;=10%,"Severe",IF(AB552&gt;=5%,"High",IF(AB552&gt;=2%,"Moderate","Low"))))</x:f>
        <x:v>Moderate</x:v>
      </x:c>
      <x:c r="AF552" s="60" t="n">
        <x:v>37.392071</x:v>
      </x:c>
      <x:c r="AG552" s="60" t="n">
        <x:v>-94.702473</x:v>
      </x:c>
      <x:c r="AH552" s="44" t="str">
        <x:v>Undergraduate tuition-contribution proxy only; not an audited total institutional budget.</x:v>
      </x:c>
    </x:row>
    <x:row r="553">
      <x:c r="A553" s="16" t="n">
        <x:v>155900</x:v>
      </x:c>
      <x:c r="B553" s="16" t="str">
        <x:v>Southwestern College</x:v>
      </x:c>
      <x:c r="C553" s="16" t="str">
        <x:v>KS</x:v>
      </x:c>
      <x:c r="D553" s="16" t="str">
        <x:v>Private nonprofit</x:v>
      </x:c>
      <x:c r="E553" s="34" t="n">
        <x:v>1149</x:v>
      </x:c>
      <x:c r="F553" s="21" t="n">
        <x:v>0.6913</x:v>
      </x:c>
      <x:c r="G553" s="16" t="str">
        <x:v>Regional</x:v>
      </x:c>
      <x:c r="H553" s="36" t="n">
        <x:f>IF(G553="National",Assumptions!$B$11,IF(G553="Statewide",Assumptions!$B$12,Assumptions!$B$13))</x:f>
        <x:v>0.85</x:v>
      </x:c>
      <x:c r="I553" s="21" t="n">
        <x:v>-0.026889284102672995</x:v>
      </x:c>
      <x:c r="J553" s="21" t="n">
        <x:v>-0.07182863058423805</x:v>
      </x:c>
      <x:c r="K553" s="21" t="n">
        <x:v>-0.13587980781992404</x:v>
      </x:c>
      <x:c r="L553" s="36" t="n">
        <x:f>IF(Assumptions!$B$4=2030,I553,IF(Assumptions!$B$4=2035,J553,K553))</x:f>
        <x:v>-0.07182863058423805</x:v>
      </x:c>
      <x:c r="M553" s="36" t="n">
        <x:f>Assumptions!$B$19</x:f>
        <x:v>-0.04739891965741583</x:v>
      </x:c>
      <x:c r="N553" s="52" t="n">
        <x:f>H553*L553+(1-H553)*M553+O553</x:f>
        <x:v>-0.06816417394521472</x:v>
      </x:c>
      <x:c r="O553" s="36" t="n">
        <x:f>Assumptions!$B$10</x:f>
        <x:v>0</x:v>
      </x:c>
      <x:c r="P553" s="54" t="n">
        <x:f>E553*(1+N553)</x:f>
        <x:v>1070.6793641369484</x:v>
      </x:c>
      <x:c r="Q553" s="54" t="n">
        <x:f>P553-E553</x:f>
        <x:v>-78.32063586305162</x:v>
      </x:c>
      <x:c r="R553" s="16" t="str">
        <x:v>Yes</x:v>
      </x:c>
      <x:c r="S553" s="56" t="n">
        <x:v>12458</x:v>
      </x:c>
      <x:c r="T553" s="56" t="n">
        <x:v>7166</x:v>
      </x:c>
      <x:c r="U553" s="40" t="n">
        <x:f>E553*Assumptions!$B$8</x:f>
        <x:v>976.65</x:v>
      </x:c>
      <x:c r="V553" s="40" t="n">
        <x:f>P553*Assumptions!$B$8</x:f>
        <x:v>910.0774595164061</x:v>
      </x:c>
      <x:c r="W553" s="54" t="n">
        <x:f>V553-U553</x:f>
        <x:v>-66.57254048359391</x:v>
      </x:c>
      <x:c r="X553" s="58" t="n">
        <x:f>IF(R553="No","",W553*S553)</x:f>
        <x:v>-829360.7093446129</x:v>
      </x:c>
      <x:c r="Y553" s="58" t="n">
        <x:f>IF(R553="No","",W553*T553*Assumptions!$B$9)</x:f>
        <x:v>-143117.64753163018</x:v>
      </x:c>
      <x:c r="Z553" s="58" t="n">
        <x:f>IF(R553="No","",X553-Y553)</x:f>
        <x:v>-686243.0618129827</x:v>
      </x:c>
      <x:c r="AA553" s="58" t="n">
        <x:f>IF(R553="No","",MAX(0,-Z553))</x:f>
        <x:v>686243.0618129827</x:v>
      </x:c>
      <x:c r="AB553" s="52" t="n">
        <x:f>IF(OR(R553="No",U553*S553=0),"",AA553/(U553*S553))</x:f>
        <x:v>0.05640150408268276</x:v>
      </x:c>
      <x:c r="AC553" s="54" t="n">
        <x:f>IF(OR(R553="No",S553-T553*Assumptions!$B$9&lt;=0),"",AA553/(Assumptions!$B$8*(S553-T553*Assumptions!$B$9)))</x:f>
        <x:v>78.32063586305163</x:v>
      </x:c>
      <x:c r="AD553" s="52" t="n">
        <x:f>IF(OR(R553="No",U553*S553=0),"",AA553/(U553*S553))</x:f>
        <x:v>0.05640150408268276</x:v>
      </x:c>
      <x:c r="AE553" s="50" t="str">
        <x:f>IF(R553="No","No finance data",IF(AB553&gt;=10%,"Severe",IF(AB553&gt;=5%,"High",IF(AB553&gt;=2%,"Moderate","Low"))))</x:f>
        <x:v>High</x:v>
      </x:c>
      <x:c r="AF553" s="60" t="n">
        <x:v>37.248608</x:v>
      </x:c>
      <x:c r="AG553" s="60" t="n">
        <x:v>-96.975405</x:v>
      </x:c>
      <x:c r="AH553" s="44" t="str">
        <x:v>Undergraduate tuition-contribution proxy only; not an audited total institutional budget.</x:v>
      </x:c>
    </x:row>
    <x:row r="554">
      <x:c r="A554" s="16" t="n">
        <x:v>155937</x:v>
      </x:c>
      <x:c r="B554" s="16" t="str">
        <x:v>Sterling College</x:v>
      </x:c>
      <x:c r="C554" s="16" t="str">
        <x:v>KS</x:v>
      </x:c>
      <x:c r="D554" s="16" t="str">
        <x:v>Private nonprofit</x:v>
      </x:c>
      <x:c r="E554" s="34" t="n">
        <x:v>661</x:v>
      </x:c>
      <x:c r="F554" s="21" t="n">
        <x:v>0.474</x:v>
      </x:c>
      <x:c r="G554" s="16" t="str">
        <x:v>Regional</x:v>
      </x:c>
      <x:c r="H554" s="36" t="n">
        <x:f>IF(G554="National",Assumptions!$B$11,IF(G554="Statewide",Assumptions!$B$12,Assumptions!$B$13))</x:f>
        <x:v>0.85</x:v>
      </x:c>
      <x:c r="I554" s="21" t="n">
        <x:v>-0.026889284102672995</x:v>
      </x:c>
      <x:c r="J554" s="21" t="n">
        <x:v>-0.07182863058423805</x:v>
      </x:c>
      <x:c r="K554" s="21" t="n">
        <x:v>-0.13587980781992404</x:v>
      </x:c>
      <x:c r="L554" s="36" t="n">
        <x:f>IF(Assumptions!$B$4=2030,I554,IF(Assumptions!$B$4=2035,J554,K554))</x:f>
        <x:v>-0.07182863058423805</x:v>
      </x:c>
      <x:c r="M554" s="36" t="n">
        <x:f>Assumptions!$B$19</x:f>
        <x:v>-0.04739891965741583</x:v>
      </x:c>
      <x:c r="N554" s="52" t="n">
        <x:f>H554*L554+(1-H554)*M554+O554</x:f>
        <x:v>-0.06816417394521472</x:v>
      </x:c>
      <x:c r="O554" s="36" t="n">
        <x:f>Assumptions!$B$10</x:f>
        <x:v>0</x:v>
      </x:c>
      <x:c r="P554" s="54" t="n">
        <x:f>E554*(1+N554)</x:f>
        <x:v>615.9434810222131</x:v>
      </x:c>
      <x:c r="Q554" s="54" t="n">
        <x:f>P554-E554</x:f>
        <x:v>-45.056518977786936</x:v>
      </x:c>
      <x:c r="R554" s="16" t="str">
        <x:v>Yes</x:v>
      </x:c>
      <x:c r="S554" s="56" t="n">
        <x:v>9404</x:v>
      </x:c>
      <x:c r="T554" s="56" t="n">
        <x:v>5764</x:v>
      </x:c>
      <x:c r="U554" s="40" t="n">
        <x:f>E554*Assumptions!$B$8</x:f>
        <x:v>561.85</x:v>
      </x:c>
      <x:c r="V554" s="40" t="n">
        <x:f>P554*Assumptions!$B$8</x:f>
        <x:v>523.5519588688811</x:v>
      </x:c>
      <x:c r="W554" s="54" t="n">
        <x:f>V554-U554</x:f>
        <x:v>-38.29804113111891</x:v>
      </x:c>
      <x:c r="X554" s="58" t="n">
        <x:f>IF(R554="No","",W554*S554)</x:f>
        <x:v>-360154.7787970422</x:v>
      </x:c>
      <x:c r="Y554" s="58" t="n">
        <x:f>IF(R554="No","",W554*T554*Assumptions!$B$9)</x:f>
        <x:v>-66224.97272393081</x:v>
      </x:c>
      <x:c r="Z554" s="58" t="n">
        <x:f>IF(R554="No","",X554-Y554)</x:f>
        <x:v>-293929.80607311137</x:v>
      </x:c>
      <x:c r="AA554" s="58" t="n">
        <x:f>IF(R554="No","",MAX(0,-Z554))</x:f>
        <x:v>293929.80607311137</x:v>
      </x:c>
      <x:c r="AB554" s="52" t="n">
        <x:f>IF(OR(R554="No",U554*S554=0),"",AA554/(U554*S554))</x:f>
        <x:v>0.05563020014831285</x:v>
      </x:c>
      <x:c r="AC554" s="54" t="n">
        <x:f>IF(OR(R554="No",S554-T554*Assumptions!$B$9&lt;=0),"",AA554/(Assumptions!$B$8*(S554-T554*Assumptions!$B$9)))</x:f>
        <x:v>45.05651897778694</x:v>
      </x:c>
      <x:c r="AD554" s="52" t="n">
        <x:f>IF(OR(R554="No",U554*S554=0),"",AA554/(U554*S554))</x:f>
        <x:v>0.05563020014831285</x:v>
      </x:c>
      <x:c r="AE554" s="50" t="str">
        <x:f>IF(R554="No","No finance data",IF(AB554&gt;=10%,"Severe",IF(AB554&gt;=5%,"High",IF(AB554&gt;=2%,"Moderate","Low"))))</x:f>
        <x:v>High</x:v>
      </x:c>
      <x:c r="AF554" s="60" t="n">
        <x:v>38.219937</x:v>
      </x:c>
      <x:c r="AG554" s="60" t="n">
        <x:v>-98.208644</x:v>
      </x:c>
      <x:c r="AH554" s="44" t="str">
        <x:v>Undergraduate tuition-contribution proxy only; not an audited total institutional budget.</x:v>
      </x:c>
    </x:row>
    <x:row r="555">
      <x:c r="A555" s="16" t="n">
        <x:v>155973</x:v>
      </x:c>
      <x:c r="B555" s="16" t="str">
        <x:v>Tabor College</x:v>
      </x:c>
      <x:c r="C555" s="16" t="str">
        <x:v>KS</x:v>
      </x:c>
      <x:c r="D555" s="16" t="str">
        <x:v>Private nonprofit</x:v>
      </x:c>
      <x:c r="E555" s="34" t="n">
        <x:v>669</x:v>
      </x:c>
      <x:c r="F555" s="21" t="n">
        <x:v>0.5447</x:v>
      </x:c>
      <x:c r="G555" s="16" t="str">
        <x:v>Regional</x:v>
      </x:c>
      <x:c r="H555" s="36" t="n">
        <x:f>IF(G555="National",Assumptions!$B$11,IF(G555="Statewide",Assumptions!$B$12,Assumptions!$B$13))</x:f>
        <x:v>0.85</x:v>
      </x:c>
      <x:c r="I555" s="21" t="n">
        <x:v>-0.026889284102672995</x:v>
      </x:c>
      <x:c r="J555" s="21" t="n">
        <x:v>-0.07182863058423805</x:v>
      </x:c>
      <x:c r="K555" s="21" t="n">
        <x:v>-0.13587980781992404</x:v>
      </x:c>
      <x:c r="L555" s="36" t="n">
        <x:f>IF(Assumptions!$B$4=2030,I555,IF(Assumptions!$B$4=2035,J555,K555))</x:f>
        <x:v>-0.07182863058423805</x:v>
      </x:c>
      <x:c r="M555" s="36" t="n">
        <x:f>Assumptions!$B$19</x:f>
        <x:v>-0.04739891965741583</x:v>
      </x:c>
      <x:c r="N555" s="52" t="n">
        <x:f>H555*L555+(1-H555)*M555+O555</x:f>
        <x:v>-0.06816417394521472</x:v>
      </x:c>
      <x:c r="O555" s="36" t="n">
        <x:f>Assumptions!$B$10</x:f>
        <x:v>0</x:v>
      </x:c>
      <x:c r="P555" s="54" t="n">
        <x:f>E555*(1+N555)</x:f>
        <x:v>623.3981676306514</x:v>
      </x:c>
      <x:c r="Q555" s="54" t="n">
        <x:f>P555-E555</x:f>
        <x:v>-45.601832369348585</x:v>
      </x:c>
      <x:c r="R555" s="16" t="str">
        <x:v>Yes</x:v>
      </x:c>
      <x:c r="S555" s="56" t="n">
        <x:v>15098</x:v>
      </x:c>
      <x:c r="T555" s="56" t="n">
        <x:v>5972</x:v>
      </x:c>
      <x:c r="U555" s="40" t="n">
        <x:f>E555*Assumptions!$B$8</x:f>
        <x:v>568.65</x:v>
      </x:c>
      <x:c r="V555" s="40" t="n">
        <x:f>P555*Assumptions!$B$8</x:f>
        <x:v>529.8884424860537</x:v>
      </x:c>
      <x:c r="W555" s="54" t="n">
        <x:f>V555-U555</x:f>
        <x:v>-38.761557513946286</x:v>
      </x:c>
      <x:c r="X555" s="58" t="n">
        <x:f>IF(R555="No","",W555*S555)</x:f>
        <x:v>-585221.9953455611</x:v>
      </x:c>
      <x:c r="Y555" s="58" t="n">
        <x:f>IF(R555="No","",W555*T555*Assumptions!$B$9)</x:f>
        <x:v>-69445.20644198617</x:v>
      </x:c>
      <x:c r="Z555" s="58" t="n">
        <x:f>IF(R555="No","",X555-Y555)</x:f>
        <x:v>-515776.7889035749</x:v>
      </x:c>
      <x:c r="AA555" s="58" t="n">
        <x:f>IF(R555="No","",MAX(0,-Z555))</x:f>
        <x:v>515776.7889035749</x:v>
      </x:c>
      <x:c r="AB555" s="52" t="n">
        <x:f>IF(OR(R555="No",U555*S555=0),"",AA555/(U555*S555))</x:f>
        <x:v>0.06007549107064537</x:v>
      </x:c>
      <x:c r="AC555" s="54" t="n">
        <x:f>IF(OR(R555="No",S555-T555*Assumptions!$B$9&lt;=0),"",AA555/(Assumptions!$B$8*(S555-T555*Assumptions!$B$9)))</x:f>
        <x:v>45.601832369348585</x:v>
      </x:c>
      <x:c r="AD555" s="52" t="n">
        <x:f>IF(OR(R555="No",U555*S555=0),"",AA555/(U555*S555))</x:f>
        <x:v>0.06007549107064537</x:v>
      </x:c>
      <x:c r="AE555" s="50" t="str">
        <x:f>IF(R555="No","No finance data",IF(AB555&gt;=10%,"Severe",IF(AB555&gt;=5%,"High",IF(AB555&gt;=2%,"Moderate","Low"))))</x:f>
        <x:v>High</x:v>
      </x:c>
      <x:c r="AF555" s="60" t="n">
        <x:v>38.34858</x:v>
      </x:c>
      <x:c r="AG555" s="60" t="n">
        <x:v>-97.199773</x:v>
      </x:c>
      <x:c r="AH555" s="44" t="str">
        <x:v>Undergraduate tuition-contribution proxy only; not an audited total institutional budget.</x:v>
      </x:c>
    </x:row>
    <x:row r="556">
      <x:c r="A556" s="16" t="n">
        <x:v>155317</x:v>
      </x:c>
      <x:c r="B556" s="16" t="str">
        <x:v>University of Kansas</x:v>
      </x:c>
      <x:c r="C556" s="16" t="str">
        <x:v>KS</x:v>
      </x:c>
      <x:c r="D556" s="16" t="str">
        <x:v>Public</x:v>
      </x:c>
      <x:c r="E556" s="34" t="n">
        <x:v>18784</x:v>
      </x:c>
      <x:c r="F556" s="21" t="n">
        <x:v>0.925</x:v>
      </x:c>
      <x:c r="G556" s="16" t="str">
        <x:v>Statewide</x:v>
      </x:c>
      <x:c r="H556" s="36" t="n">
        <x:f>IF(G556="National",Assumptions!$B$11,IF(G556="Statewide",Assumptions!$B$12,Assumptions!$B$13))</x:f>
        <x:v>0.6</x:v>
      </x:c>
      <x:c r="I556" s="21" t="n">
        <x:v>-0.026889284102672995</x:v>
      </x:c>
      <x:c r="J556" s="21" t="n">
        <x:v>-0.07182863058423805</x:v>
      </x:c>
      <x:c r="K556" s="21" t="n">
        <x:v>-0.13587980781992404</x:v>
      </x:c>
      <x:c r="L556" s="36" t="n">
        <x:f>IF(Assumptions!$B$4=2030,I556,IF(Assumptions!$B$4=2035,J556,K556))</x:f>
        <x:v>-0.07182863058423805</x:v>
      </x:c>
      <x:c r="M556" s="36" t="n">
        <x:f>Assumptions!$B$19</x:f>
        <x:v>-0.04739891965741583</x:v>
      </x:c>
      <x:c r="N556" s="52" t="n">
        <x:f>H556*L556+(1-H556)*M556+O556</x:f>
        <x:v>-0.062056746213509165</x:v>
      </x:c>
      <x:c r="O556" s="36" t="n">
        <x:f>Assumptions!$B$10</x:f>
        <x:v>0</x:v>
      </x:c>
      <x:c r="P556" s="54" t="n">
        <x:f>E556*(1+N556)</x:f>
        <x:v>17618.326079125443</x:v>
      </x:c>
      <x:c r="Q556" s="54" t="n">
        <x:f>P556-E556</x:f>
        <x:v>-1165.6739208745566</x:v>
      </x:c>
      <x:c r="R556" s="16" t="str">
        <x:v>Yes</x:v>
      </x:c>
      <x:c r="S556" s="56" t="n">
        <x:v>12941</x:v>
      </x:c>
      <x:c r="T556" s="56" t="n">
        <x:v>20162</x:v>
      </x:c>
      <x:c r="U556" s="40" t="n">
        <x:f>E556*Assumptions!$B$8</x:f>
        <x:v>15966.4</x:v>
      </x:c>
      <x:c r="V556" s="40" t="n">
        <x:f>P556*Assumptions!$B$8</x:f>
        <x:v>14975.577167256626</x:v>
      </x:c>
      <x:c r="W556" s="54" t="n">
        <x:f>V556-U556</x:f>
        <x:v>-990.8228327433735</x:v>
      </x:c>
      <x:c r="X556" s="58" t="n">
        <x:f>IF(R556="No","",W556*S556)</x:f>
        <x:v>-12822238.278531997</x:v>
      </x:c>
      <x:c r="Y556" s="58" t="n">
        <x:f>IF(R556="No","",W556*T556*Assumptions!$B$9)</x:f>
        <x:v>-5993090.986131568</x:v>
      </x:c>
      <x:c r="Z556" s="58" t="n">
        <x:f>IF(R556="No","",X556-Y556)</x:f>
        <x:v>-6829147.292400428</x:v>
      </x:c>
      <x:c r="AA556" s="58" t="n">
        <x:f>IF(R556="No","",MAX(0,-Z556))</x:f>
        <x:v>6829147.292400428</x:v>
      </x:c>
      <x:c r="AB556" s="52" t="n">
        <x:f>IF(OR(R556="No",U556*S556=0),"",AA556/(U556*S556))</x:f>
        <x:v>0.033051535244725365</x:v>
      </x:c>
      <x:c r="AC556" s="54" t="n">
        <x:f>IF(OR(R556="No",S556-T556*Assumptions!$B$9&lt;=0),"",AA556/(Assumptions!$B$8*(S556-T556*Assumptions!$B$9)))</x:f>
        <x:v>1165.673920874557</x:v>
      </x:c>
      <x:c r="AD556" s="52" t="n">
        <x:f>IF(OR(R556="No",U556*S556=0),"",AA556/(U556*S556))</x:f>
        <x:v>0.033051535244725365</x:v>
      </x:c>
      <x:c r="AE556" s="50" t="str">
        <x:f>IF(R556="No","No finance data",IF(AB556&gt;=10%,"Severe",IF(AB556&gt;=5%,"High",IF(AB556&gt;=2%,"Moderate","Low"))))</x:f>
        <x:v>Moderate</x:v>
      </x:c>
      <x:c r="AF556" s="60" t="n">
        <x:v>38.958549</x:v>
      </x:c>
      <x:c r="AG556" s="60" t="n">
        <x:v>-95.247567</x:v>
      </x:c>
      <x:c r="AH556" s="44" t="str">
        <x:v>Undergraduate tuition-contribution proxy only; not an audited total institutional budget.</x:v>
      </x:c>
    </x:row>
    <x:row r="557">
      <x:c r="A557" s="16" t="n">
        <x:v>155812</x:v>
      </x:c>
      <x:c r="B557" s="16" t="str">
        <x:v>University of Saint Mary</x:v>
      </x:c>
      <x:c r="C557" s="16" t="str">
        <x:v>KS</x:v>
      </x:c>
      <x:c r="D557" s="16" t="str">
        <x:v>Private nonprofit</x:v>
      </x:c>
      <x:c r="E557" s="34" t="n">
        <x:v>795</x:v>
      </x:c>
      <x:c r="F557" s="21" t="n">
        <x:v>0.8094</x:v>
      </x:c>
      <x:c r="G557" s="16" t="str">
        <x:v>Regional</x:v>
      </x:c>
      <x:c r="H557" s="36" t="n">
        <x:f>IF(G557="National",Assumptions!$B$11,IF(G557="Statewide",Assumptions!$B$12,Assumptions!$B$13))</x:f>
        <x:v>0.85</x:v>
      </x:c>
      <x:c r="I557" s="21" t="n">
        <x:v>-0.026889284102672995</x:v>
      </x:c>
      <x:c r="J557" s="21" t="n">
        <x:v>-0.07182863058423805</x:v>
      </x:c>
      <x:c r="K557" s="21" t="n">
        <x:v>-0.13587980781992404</x:v>
      </x:c>
      <x:c r="L557" s="36" t="n">
        <x:f>IF(Assumptions!$B$4=2030,I557,IF(Assumptions!$B$4=2035,J557,K557))</x:f>
        <x:v>-0.07182863058423805</x:v>
      </x:c>
      <x:c r="M557" s="36" t="n">
        <x:f>Assumptions!$B$19</x:f>
        <x:v>-0.04739891965741583</x:v>
      </x:c>
      <x:c r="N557" s="52" t="n">
        <x:f>H557*L557+(1-H557)*M557+O557</x:f>
        <x:v>-0.06816417394521472</x:v>
      </x:c>
      <x:c r="O557" s="36" t="n">
        <x:f>Assumptions!$B$10</x:f>
        <x:v>0</x:v>
      </x:c>
      <x:c r="P557" s="54" t="n">
        <x:f>E557*(1+N557)</x:f>
        <x:v>740.8094817135543</x:v>
      </x:c>
      <x:c r="Q557" s="54" t="n">
        <x:f>P557-E557</x:f>
        <x:v>-54.190518286445695</x:v>
      </x:c>
      <x:c r="R557" s="16" t="str">
        <x:v>Yes</x:v>
      </x:c>
      <x:c r="S557" s="56" t="n">
        <x:v>15730</x:v>
      </x:c>
      <x:c r="T557" s="56" t="n">
        <x:v>8408</x:v>
      </x:c>
      <x:c r="U557" s="40" t="n">
        <x:f>E557*Assumptions!$B$8</x:f>
        <x:v>675.75</x:v>
      </x:c>
      <x:c r="V557" s="40" t="n">
        <x:f>P557*Assumptions!$B$8</x:f>
        <x:v>629.6880594565212</x:v>
      </x:c>
      <x:c r="W557" s="54" t="n">
        <x:f>V557-U557</x:f>
        <x:v>-46.06194054347884</x:v>
      </x:c>
      <x:c r="X557" s="58" t="n">
        <x:f>IF(R557="No","",W557*S557)</x:f>
        <x:v>-724554.3247489221</x:v>
      </x:c>
      <x:c r="Y557" s="58" t="n">
        <x:f>IF(R557="No","",W557*T557*Assumptions!$B$9)</x:f>
        <x:v>-116186.63882687103</x:v>
      </x:c>
      <x:c r="Z557" s="58" t="n">
        <x:f>IF(R557="No","",X557-Y557)</x:f>
        <x:v>-608367.6859220511</x:v>
      </x:c>
      <x:c r="AA557" s="58" t="n">
        <x:f>IF(R557="No","",MAX(0,-Z557))</x:f>
        <x:v>608367.6859220511</x:v>
      </x:c>
      <x:c r="AB557" s="52" t="n">
        <x:f>IF(OR(R557="No",U557*S557=0),"",AA557/(U557*S557))</x:f>
        <x:v>0.057233639148049444</x:v>
      </x:c>
      <x:c r="AC557" s="54" t="n">
        <x:f>IF(OR(R557="No",S557-T557*Assumptions!$B$9&lt;=0),"",AA557/(Assumptions!$B$8*(S557-T557*Assumptions!$B$9)))</x:f>
        <x:v>54.190518286445695</x:v>
      </x:c>
      <x:c r="AD557" s="52" t="n">
        <x:f>IF(OR(R557="No",U557*S557=0),"",AA557/(U557*S557))</x:f>
        <x:v>0.057233639148049444</x:v>
      </x:c>
      <x:c r="AE557" s="50" t="str">
        <x:f>IF(R557="No","No finance data",IF(AB557&gt;=10%,"Severe",IF(AB557&gt;=5%,"High",IF(AB557&gt;=2%,"Moderate","Low"))))</x:f>
        <x:v>High</x:v>
      </x:c>
      <x:c r="AF557" s="60" t="n">
        <x:v>39.279396</x:v>
      </x:c>
      <x:c r="AG557" s="60" t="n">
        <x:v>-94.906743</x:v>
      </x:c>
      <x:c r="AH557" s="44" t="str">
        <x:v>Undergraduate tuition-contribution proxy only; not an audited total institutional budget.</x:v>
      </x:c>
    </x:row>
    <x:row r="558">
      <x:c r="A558" s="16" t="n">
        <x:v>156082</x:v>
      </x:c>
      <x:c r="B558" s="16" t="str">
        <x:v>Washburn University</x:v>
      </x:c>
      <x:c r="C558" s="16" t="str">
        <x:v>KS</x:v>
      </x:c>
      <x:c r="D558" s="16" t="str">
        <x:v>Public</x:v>
      </x:c>
      <x:c r="E558" s="34" t="n">
        <x:v>4900</x:v>
      </x:c>
      <x:c r="F558" s="21"/>
      <x:c r="G558" s="16" t="str">
        <x:v>Regional</x:v>
      </x:c>
      <x:c r="H558" s="36" t="n">
        <x:f>IF(G558="National",Assumptions!$B$11,IF(G558="Statewide",Assumptions!$B$12,Assumptions!$B$13))</x:f>
        <x:v>0.85</x:v>
      </x:c>
      <x:c r="I558" s="21" t="n">
        <x:v>-0.026889284102672995</x:v>
      </x:c>
      <x:c r="J558" s="21" t="n">
        <x:v>-0.07182863058423805</x:v>
      </x:c>
      <x:c r="K558" s="21" t="n">
        <x:v>-0.13587980781992404</x:v>
      </x:c>
      <x:c r="L558" s="36" t="n">
        <x:f>IF(Assumptions!$B$4=2030,I558,IF(Assumptions!$B$4=2035,J558,K558))</x:f>
        <x:v>-0.07182863058423805</x:v>
      </x:c>
      <x:c r="M558" s="36" t="n">
        <x:f>Assumptions!$B$19</x:f>
        <x:v>-0.04739891965741583</x:v>
      </x:c>
      <x:c r="N558" s="52" t="n">
        <x:f>H558*L558+(1-H558)*M558+O558</x:f>
        <x:v>-0.06816417394521472</x:v>
      </x:c>
      <x:c r="O558" s="36" t="n">
        <x:f>Assumptions!$B$10</x:f>
        <x:v>0</x:v>
      </x:c>
      <x:c r="P558" s="54" t="n">
        <x:f>E558*(1+N558)</x:f>
        <x:v>4565.995547668448</x:v>
      </x:c>
      <x:c r="Q558" s="54" t="n">
        <x:f>P558-E558</x:f>
        <x:v>-334.0044523315519</x:v>
      </x:c>
      <x:c r="R558" s="16" t="str">
        <x:v>Yes</x:v>
      </x:c>
      <x:c r="S558" s="56" t="n">
        <x:v>6398</x:v>
      </x:c>
      <x:c r="T558" s="56" t="n">
        <x:v>8979</x:v>
      </x:c>
      <x:c r="U558" s="40" t="n">
        <x:f>E558*Assumptions!$B$8</x:f>
        <x:v>4165</x:v>
      </x:c>
      <x:c r="V558" s="40" t="n">
        <x:f>P558*Assumptions!$B$8</x:f>
        <x:v>3881.096215518181</x:v>
      </x:c>
      <x:c r="W558" s="54" t="n">
        <x:f>V558-U558</x:f>
        <x:v>-283.903784481819</x:v>
      </x:c>
      <x:c r="X558" s="58" t="n">
        <x:f>IF(R558="No","",W558*S558)</x:f>
        <x:v>-1816416.4131146779</x:v>
      </x:c>
      <x:c r="Y558" s="58" t="n">
        <x:f>IF(R558="No","",W558*T558*Assumptions!$B$9)</x:f>
        <x:v>-764751.6242586758</x:v>
      </x:c>
      <x:c r="Z558" s="58" t="n">
        <x:f>IF(R558="No","",X558-Y558)</x:f>
        <x:v>-1051664.788856002</x:v>
      </x:c>
      <x:c r="AA558" s="58" t="n">
        <x:f>IF(R558="No","",MAX(0,-Z558))</x:f>
        <x:v>1051664.788856002</x:v>
      </x:c>
      <x:c r="AB558" s="52" t="n">
        <x:f>IF(OR(R558="No",U558*S558=0),"",AA558/(U558*S558))</x:f>
        <x:v>0.039465543848899436</x:v>
      </x:c>
      <x:c r="AC558" s="54" t="n">
        <x:f>IF(OR(R558="No",S558-T558*Assumptions!$B$9&lt;=0),"",AA558/(Assumptions!$B$8*(S558-T558*Assumptions!$B$9)))</x:f>
        <x:v>334.0044523315517</x:v>
      </x:c>
      <x:c r="AD558" s="52" t="n">
        <x:f>IF(OR(R558="No",U558*S558=0),"",AA558/(U558*S558))</x:f>
        <x:v>0.039465543848899436</x:v>
      </x:c>
      <x:c r="AE558" s="50" t="str">
        <x:f>IF(R558="No","No finance data",IF(AB558&gt;=10%,"Severe",IF(AB558&gt;=5%,"High",IF(AB558&gt;=2%,"Moderate","Low"))))</x:f>
        <x:v>Moderate</x:v>
      </x:c>
      <x:c r="AF558" s="60" t="n">
        <x:v>39.033778</x:v>
      </x:c>
      <x:c r="AG558" s="60" t="n">
        <x:v>-95.702222</x:v>
      </x:c>
      <x:c r="AH558" s="44" t="str">
        <x:v>Undergraduate tuition-contribution proxy only; not an audited total institutional budget.</x:v>
      </x:c>
    </x:row>
    <x:row r="559">
      <x:c r="A559" s="16" t="n">
        <x:v>156125</x:v>
      </x:c>
      <x:c r="B559" s="16" t="str">
        <x:v>Wichita State University</x:v>
      </x:c>
      <x:c r="C559" s="16" t="str">
        <x:v>KS</x:v>
      </x:c>
      <x:c r="D559" s="16" t="str">
        <x:v>Public</x:v>
      </x:c>
      <x:c r="E559" s="34" t="n">
        <x:v>11048</x:v>
      </x:c>
      <x:c r="F559" s="21" t="n">
        <x:v>0.9106</x:v>
      </x:c>
      <x:c r="G559" s="16" t="str">
        <x:v>Statewide</x:v>
      </x:c>
      <x:c r="H559" s="36" t="n">
        <x:f>IF(G559="National",Assumptions!$B$11,IF(G559="Statewide",Assumptions!$B$12,Assumptions!$B$13))</x:f>
        <x:v>0.6</x:v>
      </x:c>
      <x:c r="I559" s="21" t="n">
        <x:v>-0.026889284102672995</x:v>
      </x:c>
      <x:c r="J559" s="21" t="n">
        <x:v>-0.07182863058423805</x:v>
      </x:c>
      <x:c r="K559" s="21" t="n">
        <x:v>-0.13587980781992404</x:v>
      </x:c>
      <x:c r="L559" s="36" t="n">
        <x:f>IF(Assumptions!$B$4=2030,I559,IF(Assumptions!$B$4=2035,J559,K559))</x:f>
        <x:v>-0.07182863058423805</x:v>
      </x:c>
      <x:c r="M559" s="36" t="n">
        <x:f>Assumptions!$B$19</x:f>
        <x:v>-0.04739891965741583</x:v>
      </x:c>
      <x:c r="N559" s="52" t="n">
        <x:f>H559*L559+(1-H559)*M559+O559</x:f>
        <x:v>-0.062056746213509165</x:v>
      </x:c>
      <x:c r="O559" s="36" t="n">
        <x:f>Assumptions!$B$10</x:f>
        <x:v>0</x:v>
      </x:c>
      <x:c r="P559" s="54" t="n">
        <x:f>E559*(1+N559)</x:f>
        <x:v>10362.39706783315</x:v>
      </x:c>
      <x:c r="Q559" s="54" t="n">
        <x:f>P559-E559</x:f>
        <x:v>-685.6029321668502</x:v>
      </x:c>
      <x:c r="R559" s="16" t="str">
        <x:v>Yes</x:v>
      </x:c>
      <x:c r="S559" s="56" t="n">
        <x:v>9042</x:v>
      </x:c>
      <x:c r="T559" s="56" t="n">
        <x:v>8949</x:v>
      </x:c>
      <x:c r="U559" s="40" t="n">
        <x:f>E559*Assumptions!$B$8</x:f>
        <x:v>9390.8</x:v>
      </x:c>
      <x:c r="V559" s="40" t="n">
        <x:f>P559*Assumptions!$B$8</x:f>
        <x:v>8808.037507658177</x:v>
      </x:c>
      <x:c r="W559" s="54" t="n">
        <x:f>V559-U559</x:f>
        <x:v>-582.7624923418225</x:v>
      </x:c>
      <x:c r="X559" s="58" t="n">
        <x:f>IF(R559="No","",W559*S559)</x:f>
        <x:v>-5269338.455754759</x:v>
      </x:c>
      <x:c r="Y559" s="58" t="n">
        <x:f>IF(R559="No","",W559*T559*Assumptions!$B$9)</x:f>
        <x:v>-1564542.4631900908</x:v>
      </x:c>
      <x:c r="Z559" s="58" t="n">
        <x:f>IF(R559="No","",X559-Y559)</x:f>
        <x:v>-3704795.992564668</x:v>
      </x:c>
      <x:c r="AA559" s="58" t="n">
        <x:f>IF(R559="No","",MAX(0,-Z559))</x:f>
        <x:v>3704795.992564668</x:v>
      </x:c>
      <x:c r="AB559" s="52" t="n">
        <x:f>IF(OR(R559="No",U559*S559=0),"",AA559/(U559*S559))</x:f>
        <x:v>0.04363120467851606</x:v>
      </x:c>
      <x:c r="AC559" s="54" t="n">
        <x:f>IF(OR(R559="No",S559-T559*Assumptions!$B$9&lt;=0),"",AA559/(Assumptions!$B$8*(S559-T559*Assumptions!$B$9)))</x:f>
        <x:v>685.60293216685</x:v>
      </x:c>
      <x:c r="AD559" s="52" t="n">
        <x:f>IF(OR(R559="No",U559*S559=0),"",AA559/(U559*S559))</x:f>
        <x:v>0.04363120467851606</x:v>
      </x:c>
      <x:c r="AE559" s="50" t="str">
        <x:f>IF(R559="No","No finance data",IF(AB559&gt;=10%,"Severe",IF(AB559&gt;=5%,"High",IF(AB559&gt;=2%,"Moderate","Low"))))</x:f>
        <x:v>Moderate</x:v>
      </x:c>
      <x:c r="AF559" s="60" t="n">
        <x:v>37.718882</x:v>
      </x:c>
      <x:c r="AG559" s="60" t="n">
        <x:v>-97.292361</x:v>
      </x:c>
      <x:c r="AH559" s="44" t="str">
        <x:v>Undergraduate tuition-contribution proxy only; not an audited total institutional budget.</x:v>
      </x:c>
    </x:row>
    <x:row r="560">
      <x:c r="A560" s="16" t="n">
        <x:v>156189</x:v>
      </x:c>
      <x:c r="B560" s="16" t="str">
        <x:v>Alice Lloyd College</x:v>
      </x:c>
      <x:c r="C560" s="16" t="str">
        <x:v>KY</x:v>
      </x:c>
      <x:c r="D560" s="16" t="str">
        <x:v>Private nonprofit</x:v>
      </x:c>
      <x:c r="E560" s="34" t="n">
        <x:v>616</x:v>
      </x:c>
      <x:c r="F560" s="21" t="n">
        <x:v>0.3582</x:v>
      </x:c>
      <x:c r="G560" s="16" t="str">
        <x:v>Regional</x:v>
      </x:c>
      <x:c r="H560" s="36" t="n">
        <x:f>IF(G560="National",Assumptions!$B$11,IF(G560="Statewide",Assumptions!$B$12,Assumptions!$B$13))</x:f>
        <x:v>0.85</x:v>
      </x:c>
      <x:c r="I560" s="21" t="n">
        <x:v>-0.11998257391235467</x:v>
      </x:c>
      <x:c r="J560" s="21" t="n">
        <x:v>-0.047901938652250564</x:v>
      </x:c>
      <x:c r="K560" s="21" t="n">
        <x:v>-0.09380383769975642</x:v>
      </x:c>
      <x:c r="L560" s="36" t="n">
        <x:f>IF(Assumptions!$B$4=2030,I560,IF(Assumptions!$B$4=2035,J560,K560))</x:f>
        <x:v>-0.047901938652250564</x:v>
      </x:c>
      <x:c r="M560" s="36" t="n">
        <x:f>Assumptions!$B$19</x:f>
        <x:v>-0.04739891965741583</x:v>
      </x:c>
      <x:c r="N560" s="52" t="n">
        <x:f>H560*L560+(1-H560)*M560+O560</x:f>
        <x:v>-0.047826485803025356</x:v>
      </x:c>
      <x:c r="O560" s="36" t="n">
        <x:f>Assumptions!$B$10</x:f>
        <x:v>0</x:v>
      </x:c>
      <x:c r="P560" s="54" t="n">
        <x:f>E560*(1+N560)</x:f>
        <x:v>586.5388847453363</x:v>
      </x:c>
      <x:c r="Q560" s="54" t="n">
        <x:f>P560-E560</x:f>
        <x:v>-29.461115254663696</x:v>
      </x:c>
      <x:c r="R560" s="16" t="str">
        <x:v>Yes</x:v>
      </x:c>
      <x:c r="S560" s="56" t="n">
        <x:v>7313</x:v>
      </x:c>
      <x:c r="T560" s="56" t="n">
        <x:v>5344</x:v>
      </x:c>
      <x:c r="U560" s="40" t="n">
        <x:f>E560*Assumptions!$B$8</x:f>
        <x:v>523.6</x:v>
      </x:c>
      <x:c r="V560" s="40" t="n">
        <x:f>P560*Assumptions!$B$8</x:f>
        <x:v>498.55805203353583</x:v>
      </x:c>
      <x:c r="W560" s="54" t="n">
        <x:f>V560-U560</x:f>
        <x:v>-25.041947966464193</x:v>
      </x:c>
      <x:c r="X560" s="58" t="n">
        <x:f>IF(R560="No","",W560*S560)</x:f>
        <x:v>-183131.76547875264</x:v>
      </x:c>
      <x:c r="Y560" s="58" t="n">
        <x:f>IF(R560="No","",W560*T560*Assumptions!$B$9)</x:f>
        <x:v>-40147.25097983539</x:v>
      </x:c>
      <x:c r="Z560" s="58" t="n">
        <x:f>IF(R560="No","",X560-Y560)</x:f>
        <x:v>-142984.51449891724</x:v>
      </x:c>
      <x:c r="AA560" s="58" t="n">
        <x:f>IF(R560="No","",MAX(0,-Z560))</x:f>
        <x:v>142984.51449891724</x:v>
      </x:c>
      <x:c r="AB560" s="52" t="n">
        <x:f>IF(OR(R560="No",U560*S560=0),"",AA560/(U560*S560))</x:f>
        <x:v>0.03734167491291063</x:v>
      </x:c>
      <x:c r="AC560" s="54" t="n">
        <x:f>IF(OR(R560="No",S560-T560*Assumptions!$B$9&lt;=0),"",AA560/(Assumptions!$B$8*(S560-T560*Assumptions!$B$9)))</x:f>
        <x:v>29.461115254663756</x:v>
      </x:c>
      <x:c r="AD560" s="52" t="n">
        <x:f>IF(OR(R560="No",U560*S560=0),"",AA560/(U560*S560))</x:f>
        <x:v>0.03734167491291063</x:v>
      </x:c>
      <x:c r="AE560" s="50" t="str">
        <x:f>IF(R560="No","No finance data",IF(AB560&gt;=10%,"Severe",IF(AB560&gt;=5%,"High",IF(AB560&gt;=2%,"Moderate","Low"))))</x:f>
        <x:v>Moderate</x:v>
      </x:c>
      <x:c r="AF560" s="60" t="n">
        <x:v>37.335087</x:v>
      </x:c>
      <x:c r="AG560" s="60" t="n">
        <x:v>-82.875068</x:v>
      </x:c>
      <x:c r="AH560" s="44" t="str">
        <x:v>Undergraduate tuition-contribution proxy only; not an audited total institutional budget.</x:v>
      </x:c>
    </x:row>
    <x:row r="561">
      <x:c r="A561" s="16" t="n">
        <x:v>156213</x:v>
      </x:c>
      <x:c r="B561" s="16" t="str">
        <x:v>Asbury University</x:v>
      </x:c>
      <x:c r="C561" s="16" t="str">
        <x:v>KY</x:v>
      </x:c>
      <x:c r="D561" s="16" t="str">
        <x:v>Private nonprofit</x:v>
      </x:c>
      <x:c r="E561" s="34" t="n">
        <x:v>1534</x:v>
      </x:c>
      <x:c r="F561" s="21" t="n">
        <x:v>0.7744</x:v>
      </x:c>
      <x:c r="G561" s="16" t="str">
        <x:v>Regional</x:v>
      </x:c>
      <x:c r="H561" s="36" t="n">
        <x:f>IF(G561="National",Assumptions!$B$11,IF(G561="Statewide",Assumptions!$B$12,Assumptions!$B$13))</x:f>
        <x:v>0.85</x:v>
      </x:c>
      <x:c r="I561" s="21" t="n">
        <x:v>-0.11998257391235467</x:v>
      </x:c>
      <x:c r="J561" s="21" t="n">
        <x:v>-0.047901938652250564</x:v>
      </x:c>
      <x:c r="K561" s="21" t="n">
        <x:v>-0.09380383769975642</x:v>
      </x:c>
      <x:c r="L561" s="36" t="n">
        <x:f>IF(Assumptions!$B$4=2030,I561,IF(Assumptions!$B$4=2035,J561,K561))</x:f>
        <x:v>-0.047901938652250564</x:v>
      </x:c>
      <x:c r="M561" s="36" t="n">
        <x:f>Assumptions!$B$19</x:f>
        <x:v>-0.04739891965741583</x:v>
      </x:c>
      <x:c r="N561" s="52" t="n">
        <x:f>H561*L561+(1-H561)*M561+O561</x:f>
        <x:v>-0.047826485803025356</x:v>
      </x:c>
      <x:c r="O561" s="36" t="n">
        <x:f>Assumptions!$B$10</x:f>
        <x:v>0</x:v>
      </x:c>
      <x:c r="P561" s="54" t="n">
        <x:f>E561*(1+N561)</x:f>
        <x:v>1460.634170778159</x:v>
      </x:c>
      <x:c r="Q561" s="54" t="n">
        <x:f>P561-E561</x:f>
        <x:v>-73.36582922184107</x:v>
      </x:c>
      <x:c r="R561" s="16" t="str">
        <x:v>Yes</x:v>
      </x:c>
      <x:c r="S561" s="56" t="n">
        <x:v>13581</x:v>
      </x:c>
      <x:c r="T561" s="56" t="n">
        <x:v>10342</x:v>
      </x:c>
      <x:c r="U561" s="40" t="n">
        <x:f>E561*Assumptions!$B$8</x:f>
        <x:v>1303.8999999999999</x:v>
      </x:c>
      <x:c r="V561" s="40" t="n">
        <x:f>P561*Assumptions!$B$8</x:f>
        <x:v>1241.539045161435</x:v>
      </x:c>
      <x:c r="W561" s="54" t="n">
        <x:f>V561-U561</x:f>
        <x:v>-62.360954838564794</x:v>
      </x:c>
      <x:c r="X561" s="58" t="n">
        <x:f>IF(R561="No","",W561*S561)</x:f>
        <x:v>-846924.1276625484</x:v>
      </x:c>
      <x:c r="Y561" s="58" t="n">
        <x:f>IF(R561="No","",W561*T561*Assumptions!$B$9)</x:f>
        <x:v>-193481.09848213114</x:v>
      </x:c>
      <x:c r="Z561" s="58" t="n">
        <x:f>IF(R561="No","",X561-Y561)</x:f>
        <x:v>-653443.0291804173</x:v>
      </x:c>
      <x:c r="AA561" s="58" t="n">
        <x:f>IF(R561="No","",MAX(0,-Z561))</x:f>
        <x:v>653443.0291804173</x:v>
      </x:c>
      <x:c r="AB561" s="52" t="n">
        <x:f>IF(OR(R561="No",U561*S561=0),"",AA561/(U561*S561))</x:f>
        <x:v>0.03690045275299471</x:v>
      </x:c>
      <x:c r="AC561" s="54" t="n">
        <x:f>IF(OR(R561="No",S561-T561*Assumptions!$B$9&lt;=0),"",AA561/(Assumptions!$B$8*(S561-T561*Assumptions!$B$9)))</x:f>
        <x:v>73.36582922184094</x:v>
      </x:c>
      <x:c r="AD561" s="52" t="n">
        <x:f>IF(OR(R561="No",U561*S561=0),"",AA561/(U561*S561))</x:f>
        <x:v>0.03690045275299471</x:v>
      </x:c>
      <x:c r="AE561" s="50" t="str">
        <x:f>IF(R561="No","No finance data",IF(AB561&gt;=10%,"Severe",IF(AB561&gt;=5%,"High",IF(AB561&gt;=2%,"Moderate","Low"))))</x:f>
        <x:v>Moderate</x:v>
      </x:c>
      <x:c r="AF561" s="60" t="n">
        <x:v>37.862029</x:v>
      </x:c>
      <x:c r="AG561" s="60" t="n">
        <x:v>-84.662606</x:v>
      </x:c>
      <x:c r="AH561" s="44" t="str">
        <x:v>Undergraduate tuition-contribution proxy only; not an audited total institutional budget.</x:v>
      </x:c>
    </x:row>
    <x:row r="562">
      <x:c r="A562" s="16" t="n">
        <x:v>156286</x:v>
      </x:c>
      <x:c r="B562" s="16" t="str">
        <x:v>Bellarmine University</x:v>
      </x:c>
      <x:c r="C562" s="16" t="str">
        <x:v>KY</x:v>
      </x:c>
      <x:c r="D562" s="16" t="str">
        <x:v>Private nonprofit</x:v>
      </x:c>
      <x:c r="E562" s="34" t="n">
        <x:v>2584</x:v>
      </x:c>
      <x:c r="F562" s="21" t="n">
        <x:v>0.855</x:v>
      </x:c>
      <x:c r="G562" s="16" t="str">
        <x:v>Regional</x:v>
      </x:c>
      <x:c r="H562" s="36" t="n">
        <x:f>IF(G562="National",Assumptions!$B$11,IF(G562="Statewide",Assumptions!$B$12,Assumptions!$B$13))</x:f>
        <x:v>0.85</x:v>
      </x:c>
      <x:c r="I562" s="21" t="n">
        <x:v>-0.11998257391235467</x:v>
      </x:c>
      <x:c r="J562" s="21" t="n">
        <x:v>-0.047901938652250564</x:v>
      </x:c>
      <x:c r="K562" s="21" t="n">
        <x:v>-0.09380383769975642</x:v>
      </x:c>
      <x:c r="L562" s="36" t="n">
        <x:f>IF(Assumptions!$B$4=2030,I562,IF(Assumptions!$B$4=2035,J562,K562))</x:f>
        <x:v>-0.047901938652250564</x:v>
      </x:c>
      <x:c r="M562" s="36" t="n">
        <x:f>Assumptions!$B$19</x:f>
        <x:v>-0.04739891965741583</x:v>
      </x:c>
      <x:c r="N562" s="52" t="n">
        <x:f>H562*L562+(1-H562)*M562+O562</x:f>
        <x:v>-0.047826485803025356</x:v>
      </x:c>
      <x:c r="O562" s="36" t="n">
        <x:f>Assumptions!$B$10</x:f>
        <x:v>0</x:v>
      </x:c>
      <x:c r="P562" s="54" t="n">
        <x:f>E562*(1+N562)</x:f>
        <x:v>2460.4163606849825</x:v>
      </x:c>
      <x:c r="Q562" s="54" t="n">
        <x:f>P562-E562</x:f>
        <x:v>-123.58363931501754</x:v>
      </x:c>
      <x:c r="R562" s="16" t="str">
        <x:v>Yes</x:v>
      </x:c>
      <x:c r="S562" s="56" t="n">
        <x:v>17342</x:v>
      </x:c>
      <x:c r="T562" s="56" t="n">
        <x:v>9816</x:v>
      </x:c>
      <x:c r="U562" s="40" t="n">
        <x:f>E562*Assumptions!$B$8</x:f>
        <x:v>2196.4</x:v>
      </x:c>
      <x:c r="V562" s="40" t="n">
        <x:f>P562*Assumptions!$B$8</x:f>
        <x:v>2091.353906582235</x:v>
      </x:c>
      <x:c r="W562" s="54" t="n">
        <x:f>V562-U562</x:f>
        <x:v>-105.04609341776495</x:v>
      </x:c>
      <x:c r="X562" s="58" t="n">
        <x:f>IF(R562="No","",W562*S562)</x:f>
        <x:v>-1821709.3520508797</x:v>
      </x:c>
      <x:c r="Y562" s="58" t="n">
        <x:f>IF(R562="No","",W562*T562*Assumptions!$B$9)</x:f>
        <x:v>-309339.7358966342</x:v>
      </x:c>
      <x:c r="Z562" s="58" t="n">
        <x:f>IF(R562="No","",X562-Y562)</x:f>
        <x:v>-1512369.6161542456</x:v>
      </x:c>
      <x:c r="AA562" s="58" t="n">
        <x:f>IF(R562="No","",MAX(0,-Z562))</x:f>
        <x:v>1512369.6161542456</x:v>
      </x:c>
      <x:c r="AB562" s="52" t="n">
        <x:f>IF(OR(R562="No",U562*S562=0),"",AA562/(U562*S562))</x:f>
        <x:v>0.0397051944068341</x:v>
      </x:c>
      <x:c r="AC562" s="54" t="n">
        <x:f>IF(OR(R562="No",S562-T562*Assumptions!$B$9&lt;=0),"",AA562/(Assumptions!$B$8*(S562-T562*Assumptions!$B$9)))</x:f>
        <x:v>123.58363931501758</x:v>
      </x:c>
      <x:c r="AD562" s="52" t="n">
        <x:f>IF(OR(R562="No",U562*S562=0),"",AA562/(U562*S562))</x:f>
        <x:v>0.0397051944068341</x:v>
      </x:c>
      <x:c r="AE562" s="50" t="str">
        <x:f>IF(R562="No","No finance data",IF(AB562&gt;=10%,"Severe",IF(AB562&gt;=5%,"High",IF(AB562&gt;=2%,"Moderate","Low"))))</x:f>
        <x:v>Moderate</x:v>
      </x:c>
      <x:c r="AF562" s="60" t="n">
        <x:v>38.219279</x:v>
      </x:c>
      <x:c r="AG562" s="60" t="n">
        <x:v>-85.704997</x:v>
      </x:c>
      <x:c r="AH562" s="44" t="str">
        <x:v>Undergraduate tuition-contribution proxy only; not an audited total institutional budget.</x:v>
      </x:c>
    </x:row>
    <x:row r="563">
      <x:c r="A563" s="16" t="n">
        <x:v>156295</x:v>
      </x:c>
      <x:c r="B563" s="16" t="str">
        <x:v>Berea College</x:v>
      </x:c>
      <x:c r="C563" s="16" t="str">
        <x:v>KY</x:v>
      </x:c>
      <x:c r="D563" s="16" t="str">
        <x:v>Private nonprofit</x:v>
      </x:c>
      <x:c r="E563" s="34" t="n">
        <x:v>1593</x:v>
      </x:c>
      <x:c r="F563" s="21" t="n">
        <x:v>0.3301</x:v>
      </x:c>
      <x:c r="G563" s="16" t="str">
        <x:v>National</x:v>
      </x:c>
      <x:c r="H563" s="36" t="n">
        <x:f>IF(G563="National",Assumptions!$B$11,IF(G563="Statewide",Assumptions!$B$12,Assumptions!$B$13))</x:f>
        <x:v>0.25</x:v>
      </x:c>
      <x:c r="I563" s="21" t="n">
        <x:v>-0.11998257391235467</x:v>
      </x:c>
      <x:c r="J563" s="21" t="n">
        <x:v>-0.047901938652250564</x:v>
      </x:c>
      <x:c r="K563" s="21" t="n">
        <x:v>-0.09380383769975642</x:v>
      </x:c>
      <x:c r="L563" s="36" t="n">
        <x:f>IF(Assumptions!$B$4=2030,I563,IF(Assumptions!$B$4=2035,J563,K563))</x:f>
        <x:v>-0.047901938652250564</x:v>
      </x:c>
      <x:c r="M563" s="36" t="n">
        <x:f>Assumptions!$B$19</x:f>
        <x:v>-0.04739891965741583</x:v>
      </x:c>
      <x:c r="N563" s="52" t="n">
        <x:f>H563*L563+(1-H563)*M563+O563</x:f>
        <x:v>-0.04752467440612451</x:v>
      </x:c>
      <x:c r="O563" s="36" t="n">
        <x:f>Assumptions!$B$10</x:f>
        <x:v>0</x:v>
      </x:c>
      <x:c r="P563" s="54" t="n">
        <x:f>E563*(1+N563)</x:f>
        <x:v>1517.2931936710436</x:v>
      </x:c>
      <x:c r="Q563" s="54" t="n">
        <x:f>P563-E563</x:f>
        <x:v>-75.70680632895642</x:v>
      </x:c>
      <x:c r="R563" s="16" t="str">
        <x:v>Yes</x:v>
      </x:c>
      <x:c r="S563" s="56" t="n">
        <x:v>1340</x:v>
      </x:c>
      <x:c r="T563" s="56" t="n">
        <x:v>19832</x:v>
      </x:c>
      <x:c r="U563" s="40" t="n">
        <x:f>E563*Assumptions!$B$8</x:f>
        <x:v>1354.05</x:v>
      </x:c>
      <x:c r="V563" s="40" t="n">
        <x:f>P563*Assumptions!$B$8</x:f>
        <x:v>1289.699214620387</x:v>
      </x:c>
      <x:c r="W563" s="54" t="n">
        <x:f>V563-U563</x:f>
        <x:v>-64.35078537961294</x:v>
      </x:c>
      <x:c r="X563" s="58" t="n">
        <x:f>IF(R563="No","",W563*S563)</x:f>
        <x:v>-86230.05240868134</x:v>
      </x:c>
      <x:c r="Y563" s="58" t="n">
        <x:f>IF(R563="No","",W563*T563*Assumptions!$B$9)</x:f>
        <x:v>-382861.4326945452</x:v>
      </x:c>
      <x:c r="Z563" s="58" t="n">
        <x:f>IF(R563="No","",X563-Y563)</x:f>
        <x:v>296631.3802858639</x:v>
      </x:c>
      <x:c r="AA563" s="58" t="n">
        <x:f>IF(R563="No","",MAX(0,-Z563))</x:f>
        <x:v>0</x:v>
      </x:c>
      <x:c r="AB563" s="52" t="n">
        <x:f>IF(OR(R563="No",U563*S563=0),"",AA563/(U563*S563))</x:f>
        <x:v>0</x:v>
      </x:c>
      <x:c r="AC563" s="54" t="str">
        <x:f>IF(OR(R563="No",S563-T563*Assumptions!$B$9&lt;=0),"",AA563/(Assumptions!$B$8*(S563-T563*Assumptions!$B$9)))</x:f>
      </x:c>
      <x:c r="AD563" s="52" t="n">
        <x:f>IF(OR(R563="No",U563*S563=0),"",AA563/(U563*S563))</x:f>
        <x:v>0</x:v>
      </x:c>
      <x:c r="AE563" s="50" t="str">
        <x:f>IF(R563="No","No finance data",IF(AB563&gt;=10%,"Severe",IF(AB563&gt;=5%,"High",IF(AB563&gt;=2%,"Moderate","Low"))))</x:f>
        <x:v>Low</x:v>
      </x:c>
      <x:c r="AF563" s="60" t="n">
        <x:v>37.57202</x:v>
      </x:c>
      <x:c r="AG563" s="60" t="n">
        <x:v>-84.292893</x:v>
      </x:c>
      <x:c r="AH563" s="44" t="str">
        <x:v>Undergraduate tuition-contribution proxy only; not an audited total institutional budget.</x:v>
      </x:c>
    </x:row>
    <x:row r="564">
      <x:c r="A564" s="16" t="n">
        <x:v>156356</x:v>
      </x:c>
      <x:c r="B564" s="16" t="str">
        <x:v>Brescia University</x:v>
      </x:c>
      <x:c r="C564" s="16" t="str">
        <x:v>KY</x:v>
      </x:c>
      <x:c r="D564" s="16" t="str">
        <x:v>Private nonprofit</x:v>
      </x:c>
      <x:c r="E564" s="34" t="n">
        <x:v>1023</x:v>
      </x:c>
      <x:c r="F564" s="21" t="n">
        <x:v>0.5313</x:v>
      </x:c>
      <x:c r="G564" s="16" t="str">
        <x:v>Regional</x:v>
      </x:c>
      <x:c r="H564" s="36" t="n">
        <x:f>IF(G564="National",Assumptions!$B$11,IF(G564="Statewide",Assumptions!$B$12,Assumptions!$B$13))</x:f>
        <x:v>0.85</x:v>
      </x:c>
      <x:c r="I564" s="21" t="n">
        <x:v>-0.11998257391235467</x:v>
      </x:c>
      <x:c r="J564" s="21" t="n">
        <x:v>-0.047901938652250564</x:v>
      </x:c>
      <x:c r="K564" s="21" t="n">
        <x:v>-0.09380383769975642</x:v>
      </x:c>
      <x:c r="L564" s="36" t="n">
        <x:f>IF(Assumptions!$B$4=2030,I564,IF(Assumptions!$B$4=2035,J564,K564))</x:f>
        <x:v>-0.047901938652250564</x:v>
      </x:c>
      <x:c r="M564" s="36" t="n">
        <x:f>Assumptions!$B$19</x:f>
        <x:v>-0.04739891965741583</x:v>
      </x:c>
      <x:c r="N564" s="52" t="n">
        <x:f>H564*L564+(1-H564)*M564+O564</x:f>
        <x:v>-0.047826485803025356</x:v>
      </x:c>
      <x:c r="O564" s="36" t="n">
        <x:f>Assumptions!$B$10</x:f>
        <x:v>0</x:v>
      </x:c>
      <x:c r="P564" s="54" t="n">
        <x:f>E564*(1+N564)</x:f>
        <x:v>974.073505023505</x:v>
      </x:c>
      <x:c r="Q564" s="54" t="n">
        <x:f>P564-E564</x:f>
        <x:v>-48.92649497649495</x:v>
      </x:c>
      <x:c r="R564" s="16" t="str">
        <x:v>Yes</x:v>
      </x:c>
      <x:c r="S564" s="56" t="n">
        <x:v>9975</x:v>
      </x:c>
      <x:c r="T564" s="56" t="n">
        <x:v>7277</x:v>
      </x:c>
      <x:c r="U564" s="40" t="n">
        <x:f>E564*Assumptions!$B$8</x:f>
        <x:v>869.55</x:v>
      </x:c>
      <x:c r="V564" s="40" t="n">
        <x:f>P564*Assumptions!$B$8</x:f>
        <x:v>827.9624792699793</x:v>
      </x:c>
      <x:c r="W564" s="54" t="n">
        <x:f>V564-U564</x:f>
        <x:v>-41.58752073002063</x:v>
      </x:c>
      <x:c r="X564" s="58" t="n">
        <x:f>IF(R564="No","",W564*S564)</x:f>
        <x:v>-414835.5192819558</x:v>
      </x:c>
      <x:c r="Y564" s="58" t="n">
        <x:f>IF(R564="No","",W564*T564*Assumptions!$B$9)</x:f>
        <x:v>-90789.71650570803</x:v>
      </x:c>
      <x:c r="Z564" s="58" t="n">
        <x:f>IF(R564="No","",X564-Y564)</x:f>
        <x:v>-324045.8027762477</x:v>
      </x:c>
      <x:c r="AA564" s="58" t="n">
        <x:f>IF(R564="No","",MAX(0,-Z564))</x:f>
        <x:v>324045.8027762477</x:v>
      </x:c>
      <x:c r="AB564" s="52" t="n">
        <x:f>IF(OR(R564="No",U564*S564=0),"",AA564/(U564*S564))</x:f>
        <x:v>0.03735931776727746</x:v>
      </x:c>
      <x:c r="AC564" s="54" t="n">
        <x:f>IF(OR(R564="No",S564-T564*Assumptions!$B$9&lt;=0),"",AA564/(Assumptions!$B$8*(S564-T564*Assumptions!$B$9)))</x:f>
        <x:v>48.92649497649486</x:v>
      </x:c>
      <x:c r="AD564" s="52" t="n">
        <x:f>IF(OR(R564="No",U564*S564=0),"",AA564/(U564*S564))</x:f>
        <x:v>0.03735931776727746</x:v>
      </x:c>
      <x:c r="AE564" s="50" t="str">
        <x:f>IF(R564="No","No finance data",IF(AB564&gt;=10%,"Severe",IF(AB564&gt;=5%,"High",IF(AB564&gt;=2%,"Moderate","Low"))))</x:f>
        <x:v>Moderate</x:v>
      </x:c>
      <x:c r="AF564" s="60" t="n">
        <x:v>37.769041</x:v>
      </x:c>
      <x:c r="AG564" s="60" t="n">
        <x:v>-87.111639</x:v>
      </x:c>
      <x:c r="AH564" s="44" t="str">
        <x:v>Undergraduate tuition-contribution proxy only; not an audited total institutional budget.</x:v>
      </x:c>
    </x:row>
    <x:row r="565">
      <x:c r="A565" s="16" t="n">
        <x:v>156365</x:v>
      </x:c>
      <x:c r="B565" s="16" t="str">
        <x:v>Campbellsville University</x:v>
      </x:c>
      <x:c r="C565" s="16" t="str">
        <x:v>KY</x:v>
      </x:c>
      <x:c r="D565" s="16" t="str">
        <x:v>Private nonprofit</x:v>
      </x:c>
      <x:c r="E565" s="34" t="n">
        <x:v>2098</x:v>
      </x:c>
      <x:c r="F565" s="21"/>
      <x:c r="G565" s="16" t="str">
        <x:v>Regional</x:v>
      </x:c>
      <x:c r="H565" s="36" t="n">
        <x:f>IF(G565="National",Assumptions!$B$11,IF(G565="Statewide",Assumptions!$B$12,Assumptions!$B$13))</x:f>
        <x:v>0.85</x:v>
      </x:c>
      <x:c r="I565" s="21" t="n">
        <x:v>-0.11998257391235467</x:v>
      </x:c>
      <x:c r="J565" s="21" t="n">
        <x:v>-0.047901938652250564</x:v>
      </x:c>
      <x:c r="K565" s="21" t="n">
        <x:v>-0.09380383769975642</x:v>
      </x:c>
      <x:c r="L565" s="36" t="n">
        <x:f>IF(Assumptions!$B$4=2030,I565,IF(Assumptions!$B$4=2035,J565,K565))</x:f>
        <x:v>-0.047901938652250564</x:v>
      </x:c>
      <x:c r="M565" s="36" t="n">
        <x:f>Assumptions!$B$19</x:f>
        <x:v>-0.04739891965741583</x:v>
      </x:c>
      <x:c r="N565" s="52" t="n">
        <x:f>H565*L565+(1-H565)*M565+O565</x:f>
        <x:v>-0.047826485803025356</x:v>
      </x:c>
      <x:c r="O565" s="36" t="n">
        <x:f>Assumptions!$B$10</x:f>
        <x:v>0</x:v>
      </x:c>
      <x:c r="P565" s="54" t="n">
        <x:f>E565*(1+N565)</x:f>
        <x:v>1997.6600327852527</x:v>
      </x:c>
      <x:c r="Q565" s="54" t="n">
        <x:f>P565-E565</x:f>
        <x:v>-100.33996721474728</x:v>
      </x:c>
      <x:c r="R565" s="16" t="str">
        <x:v>Yes</x:v>
      </x:c>
      <x:c r="S565" s="56" t="n">
        <x:v>11767</x:v>
      </x:c>
      <x:c r="T565" s="56" t="n">
        <x:v>5710</x:v>
      </x:c>
      <x:c r="U565" s="40" t="n">
        <x:f>E565*Assumptions!$B$8</x:f>
        <x:v>1783.3</x:v>
      </x:c>
      <x:c r="V565" s="40" t="n">
        <x:f>P565*Assumptions!$B$8</x:f>
        <x:v>1698.0110278674647</x:v>
      </x:c>
      <x:c r="W565" s="54" t="n">
        <x:f>V565-U565</x:f>
        <x:v>-85.28897213253526</x:v>
      </x:c>
      <x:c r="X565" s="58" t="n">
        <x:f>IF(R565="No","",W565*S565)</x:f>
        <x:v>-1003595.3350835425</x:v>
      </x:c>
      <x:c r="Y565" s="58" t="n">
        <x:f>IF(R565="No","",W565*T565*Assumptions!$B$9)</x:f>
        <x:v>-146100.0092630329</x:v>
      </x:c>
      <x:c r="Z565" s="58" t="n">
        <x:f>IF(R565="No","",X565-Y565)</x:f>
        <x:v>-857495.3258205096</x:v>
      </x:c>
      <x:c r="AA565" s="58" t="n">
        <x:f>IF(R565="No","",MAX(0,-Z565))</x:f>
        <x:v>857495.3258205096</x:v>
      </x:c>
      <x:c r="AB565" s="52" t="n">
        <x:f>IF(OR(R565="No",U565*S565=0),"",AA565/(U565*S565))</x:f>
        <x:v>0.04086406800914573</x:v>
      </x:c>
      <x:c r="AC565" s="54" t="n">
        <x:f>IF(OR(R565="No",S565-T565*Assumptions!$B$9&lt;=0),"",AA565/(Assumptions!$B$8*(S565-T565*Assumptions!$B$9)))</x:f>
        <x:v>100.33996721474738</x:v>
      </x:c>
      <x:c r="AD565" s="52" t="n">
        <x:f>IF(OR(R565="No",U565*S565=0),"",AA565/(U565*S565))</x:f>
        <x:v>0.04086406800914573</x:v>
      </x:c>
      <x:c r="AE565" s="50" t="str">
        <x:f>IF(R565="No","No finance data",IF(AB565&gt;=10%,"Severe",IF(AB565&gt;=5%,"High",IF(AB565&gt;=2%,"Moderate","Low"))))</x:f>
        <x:v>Moderate</x:v>
      </x:c>
      <x:c r="AF565" s="60" t="n">
        <x:v>37.343342</x:v>
      </x:c>
      <x:c r="AG565" s="60" t="n">
        <x:v>-85.348943</x:v>
      </x:c>
      <x:c r="AH565" s="44" t="str">
        <x:v>Undergraduate tuition-contribution proxy only; not an audited total institutional budget.</x:v>
      </x:c>
    </x:row>
    <x:row r="566">
      <x:c r="A566" s="16" t="n">
        <x:v>156408</x:v>
      </x:c>
      <x:c r="B566" s="16" t="str">
        <x:v>Centre College</x:v>
      </x:c>
      <x:c r="C566" s="16" t="str">
        <x:v>KY</x:v>
      </x:c>
      <x:c r="D566" s="16" t="str">
        <x:v>Private nonprofit</x:v>
      </x:c>
      <x:c r="E566" s="34" t="n">
        <x:v>1355</x:v>
      </x:c>
      <x:c r="F566" s="21" t="n">
        <x:v>0.6798</x:v>
      </x:c>
      <x:c r="G566" s="16" t="str">
        <x:v>Regional</x:v>
      </x:c>
      <x:c r="H566" s="36" t="n">
        <x:f>IF(G566="National",Assumptions!$B$11,IF(G566="Statewide",Assumptions!$B$12,Assumptions!$B$13))</x:f>
        <x:v>0.85</x:v>
      </x:c>
      <x:c r="I566" s="21" t="n">
        <x:v>-0.11998257391235467</x:v>
      </x:c>
      <x:c r="J566" s="21" t="n">
        <x:v>-0.047901938652250564</x:v>
      </x:c>
      <x:c r="K566" s="21" t="n">
        <x:v>-0.09380383769975642</x:v>
      </x:c>
      <x:c r="L566" s="36" t="n">
        <x:f>IF(Assumptions!$B$4=2030,I566,IF(Assumptions!$B$4=2035,J566,K566))</x:f>
        <x:v>-0.047901938652250564</x:v>
      </x:c>
      <x:c r="M566" s="36" t="n">
        <x:f>Assumptions!$B$19</x:f>
        <x:v>-0.04739891965741583</x:v>
      </x:c>
      <x:c r="N566" s="52" t="n">
        <x:f>H566*L566+(1-H566)*M566+O566</x:f>
        <x:v>-0.047826485803025356</x:v>
      </x:c>
      <x:c r="O566" s="36" t="n">
        <x:f>Assumptions!$B$10</x:f>
        <x:v>0</x:v>
      </x:c>
      <x:c r="P566" s="54" t="n">
        <x:f>E566*(1+N566)</x:f>
        <x:v>1290.1951117369006</x:v>
      </x:c>
      <x:c r="Q566" s="54" t="n">
        <x:f>P566-E566</x:f>
        <x:v>-64.80488826309943</x:v>
      </x:c>
      <x:c r="R566" s="16" t="str">
        <x:v>Yes</x:v>
      </x:c>
      <x:c r="S566" s="56" t="n">
        <x:v>16344</x:v>
      </x:c>
      <x:c r="T566" s="56" t="n">
        <x:v>18047</x:v>
      </x:c>
      <x:c r="U566" s="40" t="n">
        <x:f>E566*Assumptions!$B$8</x:f>
        <x:v>1151.75</x:v>
      </x:c>
      <x:c r="V566" s="40" t="n">
        <x:f>P566*Assumptions!$B$8</x:f>
        <x:v>1096.6658449763654</x:v>
      </x:c>
      <x:c r="W566" s="54" t="n">
        <x:f>V566-U566</x:f>
        <x:v>-55.084155023634594</x:v>
      </x:c>
      <x:c r="X566" s="58" t="n">
        <x:f>IF(R566="No","",W566*S566)</x:f>
        <x:v>-900295.4297062838</x:v>
      </x:c>
      <x:c r="Y566" s="58" t="n">
        <x:f>IF(R566="No","",W566*T566*Assumptions!$B$9)</x:f>
        <x:v>-298231.12371346005</x:v>
      </x:c>
      <x:c r="Z566" s="58" t="n">
        <x:f>IF(R566="No","",X566-Y566)</x:f>
        <x:v>-602064.3059928238</x:v>
      </x:c>
      <x:c r="AA566" s="58" t="n">
        <x:f>IF(R566="No","",MAX(0,-Z566))</x:f>
        <x:v>602064.3059928238</x:v>
      </x:c>
      <x:c r="AB566" s="52" t="n">
        <x:f>IF(OR(R566="No",U566*S566=0),"",AA566/(U566*S566))</x:f>
        <x:v>0.031983523444596686</x:v>
      </x:c>
      <x:c r="AC566" s="54" t="n">
        <x:f>IF(OR(R566="No",S566-T566*Assumptions!$B$9&lt;=0),"",AA566/(Assumptions!$B$8*(S566-T566*Assumptions!$B$9)))</x:f>
        <x:v>64.80488826309953</x:v>
      </x:c>
      <x:c r="AD566" s="52" t="n">
        <x:f>IF(OR(R566="No",U566*S566=0),"",AA566/(U566*S566))</x:f>
        <x:v>0.031983523444596686</x:v>
      </x:c>
      <x:c r="AE566" s="50" t="str">
        <x:f>IF(R566="No","No finance data",IF(AB566&gt;=10%,"Severe",IF(AB566&gt;=5%,"High",IF(AB566&gt;=2%,"Moderate","Low"))))</x:f>
        <x:v>Moderate</x:v>
      </x:c>
      <x:c r="AF566" s="60" t="n">
        <x:v>37.645709</x:v>
      </x:c>
      <x:c r="AG566" s="60" t="n">
        <x:v>-84.779392</x:v>
      </x:c>
      <x:c r="AH566" s="44" t="str">
        <x:v>Undergraduate tuition-contribution proxy only; not an audited total institutional budget.</x:v>
      </x:c>
    </x:row>
    <x:row r="567">
      <x:c r="A567" s="16" t="n">
        <x:v>156417</x:v>
      </x:c>
      <x:c r="B567" s="16" t="str">
        <x:v>Clear Creek Baptist Bible College</x:v>
      </x:c>
      <x:c r="C567" s="16" t="str">
        <x:v>KY</x:v>
      </x:c>
      <x:c r="D567" s="16" t="str">
        <x:v>Private nonprofit</x:v>
      </x:c>
      <x:c r="E567" s="34" t="n">
        <x:v>135</x:v>
      </x:c>
      <x:c r="F567" s="21"/>
      <x:c r="G567" s="16" t="str">
        <x:v>Regional</x:v>
      </x:c>
      <x:c r="H567" s="36" t="n">
        <x:f>IF(G567="National",Assumptions!$B$11,IF(G567="Statewide",Assumptions!$B$12,Assumptions!$B$13))</x:f>
        <x:v>0.85</x:v>
      </x:c>
      <x:c r="I567" s="21" t="n">
        <x:v>-0.11998257391235467</x:v>
      </x:c>
      <x:c r="J567" s="21" t="n">
        <x:v>-0.047901938652250564</x:v>
      </x:c>
      <x:c r="K567" s="21" t="n">
        <x:v>-0.09380383769975642</x:v>
      </x:c>
      <x:c r="L567" s="36" t="n">
        <x:f>IF(Assumptions!$B$4=2030,I567,IF(Assumptions!$B$4=2035,J567,K567))</x:f>
        <x:v>-0.047901938652250564</x:v>
      </x:c>
      <x:c r="M567" s="36" t="n">
        <x:f>Assumptions!$B$19</x:f>
        <x:v>-0.04739891965741583</x:v>
      </x:c>
      <x:c r="N567" s="52" t="n">
        <x:f>H567*L567+(1-H567)*M567+O567</x:f>
        <x:v>-0.047826485803025356</x:v>
      </x:c>
      <x:c r="O567" s="36" t="n">
        <x:f>Assumptions!$B$10</x:f>
        <x:v>0</x:v>
      </x:c>
      <x:c r="P567" s="54" t="n">
        <x:f>E567*(1+N567)</x:f>
        <x:v>128.54342441659156</x:v>
      </x:c>
      <x:c r="Q567" s="54" t="n">
        <x:f>P567-E567</x:f>
        <x:v>-6.456575583408437</x:v>
      </x:c>
      <x:c r="R567" s="16" t="str">
        <x:v>No</x:v>
      </x:c>
      <x:c r="S567" s="56"/>
      <x:c r="T567" s="56"/>
      <x:c r="U567" s="40" t="n">
        <x:f>E567*Assumptions!$B$8</x:f>
        <x:v>114.75</x:v>
      </x:c>
      <x:c r="V567" s="40" t="n">
        <x:f>P567*Assumptions!$B$8</x:f>
        <x:v>109.26191075410283</x:v>
      </x:c>
      <x:c r="W567" s="54" t="n">
        <x:f>V567-U567</x:f>
        <x:v>-5.4880892458971715</x:v>
      </x:c>
      <x:c r="X567" s="58" t="str">
        <x:f>IF(R567="No","",W567*S567)</x:f>
      </x:c>
      <x:c r="Y567" s="58" t="str">
        <x:f>IF(R567="No","",W567*T567*Assumptions!$B$9)</x:f>
      </x:c>
      <x:c r="Z567" s="58" t="str">
        <x:f>IF(R567="No","",X567-Y567)</x:f>
      </x:c>
      <x:c r="AA567" s="58" t="str">
        <x:f>IF(R567="No","",MAX(0,-Z567))</x:f>
      </x:c>
      <x:c r="AB567" s="52" t="str">
        <x:f>IF(OR(R567="No",U567*S567=0),"",AA567/(U567*S567))</x:f>
      </x:c>
      <x:c r="AC567" s="54" t="str">
        <x:f>IF(OR(R567="No",S567-T567*Assumptions!$B$9&lt;=0),"",AA567/(Assumptions!$B$8*(S567-T567*Assumptions!$B$9)))</x:f>
      </x:c>
      <x:c r="AD567" s="52" t="str">
        <x:f>IF(OR(R567="No",U567*S567=0),"",AA567/(U567*S567))</x:f>
      </x:c>
      <x:c r="AE567" s="50" t="str">
        <x:f>IF(R567="No","No finance data",IF(AB567&gt;=10%,"Severe",IF(AB567&gt;=5%,"High",IF(AB567&gt;=2%,"Moderate","Low"))))</x:f>
        <x:v>No finance data</x:v>
      </x:c>
      <x:c r="AF567" s="60"/>
      <x:c r="AG567" s="60"/>
      <x:c r="AH567" s="44" t="str">
        <x:v>Undergraduate tuition-contribution proxy only; not an audited total institutional budget.</x:v>
      </x:c>
    </x:row>
    <x:row r="568">
      <x:c r="A568" s="16" t="n">
        <x:v>156620</x:v>
      </x:c>
      <x:c r="B568" s="16" t="str">
        <x:v>Eastern Kentucky University</x:v>
      </x:c>
      <x:c r="C568" s="16" t="str">
        <x:v>KY</x:v>
      </x:c>
      <x:c r="D568" s="16" t="str">
        <x:v>Public</x:v>
      </x:c>
      <x:c r="E568" s="34" t="n">
        <x:v>13493</x:v>
      </x:c>
      <x:c r="F568" s="21" t="n">
        <x:v>0.9835</x:v>
      </x:c>
      <x:c r="G568" s="16" t="str">
        <x:v>Statewide</x:v>
      </x:c>
      <x:c r="H568" s="36" t="n">
        <x:f>IF(G568="National",Assumptions!$B$11,IF(G568="Statewide",Assumptions!$B$12,Assumptions!$B$13))</x:f>
        <x:v>0.6</x:v>
      </x:c>
      <x:c r="I568" s="21" t="n">
        <x:v>-0.11998257391235467</x:v>
      </x:c>
      <x:c r="J568" s="21" t="n">
        <x:v>-0.047901938652250564</x:v>
      </x:c>
      <x:c r="K568" s="21" t="n">
        <x:v>-0.09380383769975642</x:v>
      </x:c>
      <x:c r="L568" s="36" t="n">
        <x:f>IF(Assumptions!$B$4=2030,I568,IF(Assumptions!$B$4=2035,J568,K568))</x:f>
        <x:v>-0.047901938652250564</x:v>
      </x:c>
      <x:c r="M568" s="36" t="n">
        <x:f>Assumptions!$B$19</x:f>
        <x:v>-0.04739891965741583</x:v>
      </x:c>
      <x:c r="N568" s="52" t="n">
        <x:f>H568*L568+(1-H568)*M568+O568</x:f>
        <x:v>-0.04770073105431667</x:v>
      </x:c>
      <x:c r="O568" s="36" t="n">
        <x:f>Assumptions!$B$10</x:f>
        <x:v>0</x:v>
      </x:c>
      <x:c r="P568" s="54" t="n">
        <x:f>E568*(1+N568)</x:f>
        <x:v>12849.374035884104</x:v>
      </x:c>
      <x:c r="Q568" s="54" t="n">
        <x:f>P568-E568</x:f>
        <x:v>-643.6259641158958</x:v>
      </x:c>
      <x:c r="R568" s="16" t="str">
        <x:v>Yes</x:v>
      </x:c>
      <x:c r="S568" s="56" t="n">
        <x:v>6781</x:v>
      </x:c>
      <x:c r="T568" s="56" t="n">
        <x:v>8180</x:v>
      </x:c>
      <x:c r="U568" s="40" t="n">
        <x:f>E568*Assumptions!$B$8</x:f>
        <x:v>11469.05</x:v>
      </x:c>
      <x:c r="V568" s="40" t="n">
        <x:f>P568*Assumptions!$B$8</x:f>
        <x:v>10921.967930501489</x:v>
      </x:c>
      <x:c r="W568" s="54" t="n">
        <x:f>V568-U568</x:f>
        <x:v>-547.0820694985105</x:v>
      </x:c>
      <x:c r="X568" s="58" t="n">
        <x:f>IF(R568="No","",W568*S568)</x:f>
        <x:v>-3709763.5132693993</x:v>
      </x:c>
      <x:c r="Y568" s="58" t="n">
        <x:f>IF(R568="No","",W568*T568*Assumptions!$B$9)</x:f>
        <x:v>-1342539.3985493446</x:v>
      </x:c>
      <x:c r="Z568" s="58" t="n">
        <x:f>IF(R568="No","",X568-Y568)</x:f>
        <x:v>-2367224.114720055</x:v>
      </x:c>
      <x:c r="AA568" s="58" t="n">
        <x:f>IF(R568="No","",MAX(0,-Z568))</x:f>
        <x:v>2367224.114720055</x:v>
      </x:c>
      <x:c r="AB568" s="52" t="n">
        <x:f>IF(OR(R568="No",U568*S568=0),"",AA568/(U568*S568))</x:f>
        <x:v>0.030438145298927622</x:v>
      </x:c>
      <x:c r="AC568" s="54" t="n">
        <x:f>IF(OR(R568="No",S568-T568*Assumptions!$B$9&lt;=0),"",AA568/(Assumptions!$B$8*(S568-T568*Assumptions!$B$9)))</x:f>
        <x:v>643.6259641158947</x:v>
      </x:c>
      <x:c r="AD568" s="52" t="n">
        <x:f>IF(OR(R568="No",U568*S568=0),"",AA568/(U568*S568))</x:f>
        <x:v>0.030438145298927622</x:v>
      </x:c>
      <x:c r="AE568" s="50" t="str">
        <x:f>IF(R568="No","No finance data",IF(AB568&gt;=10%,"Severe",IF(AB568&gt;=5%,"High",IF(AB568&gt;=2%,"Moderate","Low"))))</x:f>
        <x:v>Moderate</x:v>
      </x:c>
      <x:c r="AF568" s="60" t="n">
        <x:v>37.740845</x:v>
      </x:c>
      <x:c r="AG568" s="60" t="n">
        <x:v>-84.300796</x:v>
      </x:c>
      <x:c r="AH568" s="44" t="str">
        <x:v>Undergraduate tuition-contribution proxy only; not an audited total institutional budget.</x:v>
      </x:c>
    </x:row>
    <x:row r="569">
      <x:c r="A569" s="16" t="n">
        <x:v>156745</x:v>
      </x:c>
      <x:c r="B569" s="16" t="str">
        <x:v>Georgetown College</x:v>
      </x:c>
      <x:c r="C569" s="16" t="str">
        <x:v>KY</x:v>
      </x:c>
      <x:c r="D569" s="16" t="str">
        <x:v>Private nonprofit</x:v>
      </x:c>
      <x:c r="E569" s="34" t="n">
        <x:v>975</x:v>
      </x:c>
      <x:c r="F569" s="21" t="n">
        <x:v>0.7453</x:v>
      </x:c>
      <x:c r="G569" s="16" t="str">
        <x:v>Regional</x:v>
      </x:c>
      <x:c r="H569" s="36" t="n">
        <x:f>IF(G569="National",Assumptions!$B$11,IF(G569="Statewide",Assumptions!$B$12,Assumptions!$B$13))</x:f>
        <x:v>0.85</x:v>
      </x:c>
      <x:c r="I569" s="21" t="n">
        <x:v>-0.11998257391235467</x:v>
      </x:c>
      <x:c r="J569" s="21" t="n">
        <x:v>-0.047901938652250564</x:v>
      </x:c>
      <x:c r="K569" s="21" t="n">
        <x:v>-0.09380383769975642</x:v>
      </x:c>
      <x:c r="L569" s="36" t="n">
        <x:f>IF(Assumptions!$B$4=2030,I569,IF(Assumptions!$B$4=2035,J569,K569))</x:f>
        <x:v>-0.047901938652250564</x:v>
      </x:c>
      <x:c r="M569" s="36" t="n">
        <x:f>Assumptions!$B$19</x:f>
        <x:v>-0.04739891965741583</x:v>
      </x:c>
      <x:c r="N569" s="52" t="n">
        <x:f>H569*L569+(1-H569)*M569+O569</x:f>
        <x:v>-0.047826485803025356</x:v>
      </x:c>
      <x:c r="O569" s="36" t="n">
        <x:f>Assumptions!$B$10</x:f>
        <x:v>0</x:v>
      </x:c>
      <x:c r="P569" s="54" t="n">
        <x:f>E569*(1+N569)</x:f>
        <x:v>928.3691763420502</x:v>
      </x:c>
      <x:c r="Q569" s="54" t="n">
        <x:f>P569-E569</x:f>
        <x:v>-46.630823657949804</x:v>
      </x:c>
      <x:c r="R569" s="16" t="str">
        <x:v>Yes</x:v>
      </x:c>
      <x:c r="S569" s="56" t="n">
        <x:v>7703</x:v>
      </x:c>
      <x:c r="T569" s="56" t="n">
        <x:v>5881</x:v>
      </x:c>
      <x:c r="U569" s="40" t="n">
        <x:f>E569*Assumptions!$B$8</x:f>
        <x:v>828.75</x:v>
      </x:c>
      <x:c r="V569" s="40" t="n">
        <x:f>P569*Assumptions!$B$8</x:f>
        <x:v>789.1137998907426</x:v>
      </x:c>
      <x:c r="W569" s="54" t="n">
        <x:f>V569-U569</x:f>
        <x:v>-39.6362001092574</x:v>
      </x:c>
      <x:c r="X569" s="58" t="n">
        <x:f>IF(R569="No","",W569*S569)</x:f>
        <x:v>-305317.64944160974</x:v>
      </x:c>
      <x:c r="Y569" s="58" t="n">
        <x:f>IF(R569="No","",W569*T569*Assumptions!$B$9)</x:f>
        <x:v>-69930.14785276284</x:v>
      </x:c>
      <x:c r="Z569" s="58" t="n">
        <x:f>IF(R569="No","",X569-Y569)</x:f>
        <x:v>-235387.5015888469</x:v>
      </x:c>
      <x:c r="AA569" s="58" t="n">
        <x:f>IF(R569="No","",MAX(0,-Z569))</x:f>
        <x:v>235387.5015888469</x:v>
      </x:c>
      <x:c r="AB569" s="52" t="n">
        <x:f>IF(OR(R569="No",U569*S569=0),"",AA569/(U569*S569))</x:f>
        <x:v>0.03687227719569358</x:v>
      </x:c>
      <x:c r="AC569" s="54" t="n">
        <x:f>IF(OR(R569="No",S569-T569*Assumptions!$B$9&lt;=0),"",AA569/(Assumptions!$B$8*(S569-T569*Assumptions!$B$9)))</x:f>
        <x:v>46.63082365794988</x:v>
      </x:c>
      <x:c r="AD569" s="52" t="n">
        <x:f>IF(OR(R569="No",U569*S569=0),"",AA569/(U569*S569))</x:f>
        <x:v>0.03687227719569358</x:v>
      </x:c>
      <x:c r="AE569" s="50" t="str">
        <x:f>IF(R569="No","No finance data",IF(AB569&gt;=10%,"Severe",IF(AB569&gt;=5%,"High",IF(AB569&gt;=2%,"Moderate","Low"))))</x:f>
        <x:v>Moderate</x:v>
      </x:c>
      <x:c r="AF569" s="60" t="n">
        <x:v>38.207615</x:v>
      </x:c>
      <x:c r="AG569" s="60" t="n">
        <x:v>-84.553767</x:v>
      </x:c>
      <x:c r="AH569" s="44" t="str">
        <x:v>Undergraduate tuition-contribution proxy only; not an audited total institutional budget.</x:v>
      </x:c>
    </x:row>
    <x:row r="570">
      <x:c r="A570" s="16" t="n">
        <x:v>157100</x:v>
      </x:c>
      <x:c r="B570" s="16" t="str">
        <x:v>Kentucky Christian University</x:v>
      </x:c>
      <x:c r="C570" s="16" t="str">
        <x:v>KY</x:v>
      </x:c>
      <x:c r="D570" s="16" t="str">
        <x:v>Private nonprofit</x:v>
      </x:c>
      <x:c r="E570" s="34" t="n">
        <x:v>529</x:v>
      </x:c>
      <x:c r="F570" s="21" t="n">
        <x:v>0.5768</x:v>
      </x:c>
      <x:c r="G570" s="16" t="str">
        <x:v>Regional</x:v>
      </x:c>
      <x:c r="H570" s="36" t="n">
        <x:f>IF(G570="National",Assumptions!$B$11,IF(G570="Statewide",Assumptions!$B$12,Assumptions!$B$13))</x:f>
        <x:v>0.85</x:v>
      </x:c>
      <x:c r="I570" s="21" t="n">
        <x:v>-0.11998257391235467</x:v>
      </x:c>
      <x:c r="J570" s="21" t="n">
        <x:v>-0.047901938652250564</x:v>
      </x:c>
      <x:c r="K570" s="21" t="n">
        <x:v>-0.09380383769975642</x:v>
      </x:c>
      <x:c r="L570" s="36" t="n">
        <x:f>IF(Assumptions!$B$4=2030,I570,IF(Assumptions!$B$4=2035,J570,K570))</x:f>
        <x:v>-0.047901938652250564</x:v>
      </x:c>
      <x:c r="M570" s="36" t="n">
        <x:f>Assumptions!$B$19</x:f>
        <x:v>-0.04739891965741583</x:v>
      </x:c>
      <x:c r="N570" s="52" t="n">
        <x:f>H570*L570+(1-H570)*M570+O570</x:f>
        <x:v>-0.047826485803025356</x:v>
      </x:c>
      <x:c r="O570" s="36" t="n">
        <x:f>Assumptions!$B$10</x:f>
        <x:v>0</x:v>
      </x:c>
      <x:c r="P570" s="54" t="n">
        <x:f>E570*(1+N570)</x:f>
        <x:v>503.69978901019954</x:v>
      </x:c>
      <x:c r="Q570" s="54" t="n">
        <x:f>P570-E570</x:f>
        <x:v>-25.300210989800462</x:v>
      </x:c>
      <x:c r="R570" s="16" t="str">
        <x:v>Yes</x:v>
      </x:c>
      <x:c r="S570" s="56" t="n">
        <x:v>3516</x:v>
      </x:c>
      <x:c r="T570" s="56" t="n">
        <x:v>5724</x:v>
      </x:c>
      <x:c r="U570" s="40" t="n">
        <x:f>E570*Assumptions!$B$8</x:f>
        <x:v>449.65</x:v>
      </x:c>
      <x:c r="V570" s="40" t="n">
        <x:f>P570*Assumptions!$B$8</x:f>
        <x:v>428.1448206586696</x:v>
      </x:c>
      <x:c r="W570" s="54" t="n">
        <x:f>V570-U570</x:f>
        <x:v>-21.505179341330404</x:v>
      </x:c>
      <x:c r="X570" s="58" t="n">
        <x:f>IF(R570="No","",W570*S570)</x:f>
        <x:v>-75612.2105641177</x:v>
      </x:c>
      <x:c r="Y570" s="58" t="n">
        <x:f>IF(R570="No","",W570*T570*Assumptions!$B$9)</x:f>
        <x:v>-36928.69396493257</x:v>
      </x:c>
      <x:c r="Z570" s="58" t="n">
        <x:f>IF(R570="No","",X570-Y570)</x:f>
        <x:v>-38683.51659918513</x:v>
      </x:c>
      <x:c r="AA570" s="58" t="n">
        <x:f>IF(R570="No","",MAX(0,-Z570))</x:f>
        <x:v>38683.51659918513</x:v>
      </x:c>
      <x:c r="AB570" s="52" t="n">
        <x:f>IF(OR(R570="No",U570*S570=0),"",AA570/(U570*S570))</x:f>
        <x:v>0.024468226013220202</x:v>
      </x:c>
      <x:c r="AC570" s="54" t="n">
        <x:f>IF(OR(R570="No",S570-T570*Assumptions!$B$9&lt;=0),"",AA570/(Assumptions!$B$8*(S570-T570*Assumptions!$B$9)))</x:f>
        <x:v>25.300210989800476</x:v>
      </x:c>
      <x:c r="AD570" s="52" t="n">
        <x:f>IF(OR(R570="No",U570*S570=0),"",AA570/(U570*S570))</x:f>
        <x:v>0.024468226013220202</x:v>
      </x:c>
      <x:c r="AE570" s="50" t="str">
        <x:f>IF(R570="No","No finance data",IF(AB570&gt;=10%,"Severe",IF(AB570&gt;=5%,"High",IF(AB570&gt;=2%,"Moderate","Low"))))</x:f>
        <x:v>Moderate</x:v>
      </x:c>
      <x:c r="AF570" s="60" t="n">
        <x:v>38.338805</x:v>
      </x:c>
      <x:c r="AG570" s="60" t="n">
        <x:v>-82.945561</x:v>
      </x:c>
      <x:c r="AH570" s="44" t="str">
        <x:v>Undergraduate tuition-contribution proxy only; not an audited total institutional budget.</x:v>
      </x:c>
    </x:row>
    <x:row r="571">
      <x:c r="A571" s="16" t="n">
        <x:v>157030</x:v>
      </x:c>
      <x:c r="B571" s="16" t="str">
        <x:v>Kentucky Mountain Bible College</x:v>
      </x:c>
      <x:c r="C571" s="16" t="str">
        <x:v>KY</x:v>
      </x:c>
      <x:c r="D571" s="16" t="str">
        <x:v>Private nonprofit</x:v>
      </x:c>
      <x:c r="E571" s="34" t="n">
        <x:v>60</x:v>
      </x:c>
      <x:c r="F571" s="21"/>
      <x:c r="G571" s="16" t="str">
        <x:v>Regional</x:v>
      </x:c>
      <x:c r="H571" s="36" t="n">
        <x:f>IF(G571="National",Assumptions!$B$11,IF(G571="Statewide",Assumptions!$B$12,Assumptions!$B$13))</x:f>
        <x:v>0.85</x:v>
      </x:c>
      <x:c r="I571" s="21" t="n">
        <x:v>-0.11998257391235467</x:v>
      </x:c>
      <x:c r="J571" s="21" t="n">
        <x:v>-0.047901938652250564</x:v>
      </x:c>
      <x:c r="K571" s="21" t="n">
        <x:v>-0.09380383769975642</x:v>
      </x:c>
      <x:c r="L571" s="36" t="n">
        <x:f>IF(Assumptions!$B$4=2030,I571,IF(Assumptions!$B$4=2035,J571,K571))</x:f>
        <x:v>-0.047901938652250564</x:v>
      </x:c>
      <x:c r="M571" s="36" t="n">
        <x:f>Assumptions!$B$19</x:f>
        <x:v>-0.04739891965741583</x:v>
      </x:c>
      <x:c r="N571" s="52" t="n">
        <x:f>H571*L571+(1-H571)*M571+O571</x:f>
        <x:v>-0.047826485803025356</x:v>
      </x:c>
      <x:c r="O571" s="36" t="n">
        <x:f>Assumptions!$B$10</x:f>
        <x:v>0</x:v>
      </x:c>
      <x:c r="P571" s="54" t="n">
        <x:f>E571*(1+N571)</x:f>
        <x:v>57.130410851818475</x:v>
      </x:c>
      <x:c r="Q571" s="54" t="n">
        <x:f>P571-E571</x:f>
        <x:v>-2.869589148181525</x:v>
      </x:c>
      <x:c r="R571" s="16" t="str">
        <x:v>No</x:v>
      </x:c>
      <x:c r="S571" s="56"/>
      <x:c r="T571" s="56"/>
      <x:c r="U571" s="40" t="n">
        <x:f>E571*Assumptions!$B$8</x:f>
        <x:v>51</x:v>
      </x:c>
      <x:c r="V571" s="40" t="n">
        <x:f>P571*Assumptions!$B$8</x:f>
        <x:v>48.560849224045704</x:v>
      </x:c>
      <x:c r="W571" s="54" t="n">
        <x:f>V571-U571</x:f>
        <x:v>-2.439150775954296</x:v>
      </x:c>
      <x:c r="X571" s="58" t="str">
        <x:f>IF(R571="No","",W571*S571)</x:f>
      </x:c>
      <x:c r="Y571" s="58" t="str">
        <x:f>IF(R571="No","",W571*T571*Assumptions!$B$9)</x:f>
      </x:c>
      <x:c r="Z571" s="58" t="str">
        <x:f>IF(R571="No","",X571-Y571)</x:f>
      </x:c>
      <x:c r="AA571" s="58" t="str">
        <x:f>IF(R571="No","",MAX(0,-Z571))</x:f>
      </x:c>
      <x:c r="AB571" s="52" t="str">
        <x:f>IF(OR(R571="No",U571*S571=0),"",AA571/(U571*S571))</x:f>
      </x:c>
      <x:c r="AC571" s="54" t="str">
        <x:f>IF(OR(R571="No",S571-T571*Assumptions!$B$9&lt;=0),"",AA571/(Assumptions!$B$8*(S571-T571*Assumptions!$B$9)))</x:f>
      </x:c>
      <x:c r="AD571" s="52" t="str">
        <x:f>IF(OR(R571="No",U571*S571=0),"",AA571/(U571*S571))</x:f>
      </x:c>
      <x:c r="AE571" s="50" t="str">
        <x:f>IF(R571="No","No finance data",IF(AB571&gt;=10%,"Severe",IF(AB571&gt;=5%,"High",IF(AB571&gt;=2%,"Moderate","Low"))))</x:f>
        <x:v>No finance data</x:v>
      </x:c>
      <x:c r="AF571" s="60"/>
      <x:c r="AG571" s="60"/>
      <x:c r="AH571" s="44" t="str">
        <x:v>Undergraduate tuition-contribution proxy only; not an audited total institutional budget.</x:v>
      </x:c>
    </x:row>
    <x:row r="572">
      <x:c r="A572" s="16" t="n">
        <x:v>157058</x:v>
      </x:c>
      <x:c r="B572" s="16" t="str">
        <x:v>Kentucky State University</x:v>
      </x:c>
      <x:c r="C572" s="16" t="str">
        <x:v>KY</x:v>
      </x:c>
      <x:c r="D572" s="16" t="str">
        <x:v>Public</x:v>
      </x:c>
      <x:c r="E572" s="34" t="n">
        <x:v>1286</x:v>
      </x:c>
      <x:c r="F572" s="21" t="n">
        <x:v>0.652</x:v>
      </x:c>
      <x:c r="G572" s="16" t="str">
        <x:v>Regional</x:v>
      </x:c>
      <x:c r="H572" s="36" t="n">
        <x:f>IF(G572="National",Assumptions!$B$11,IF(G572="Statewide",Assumptions!$B$12,Assumptions!$B$13))</x:f>
        <x:v>0.85</x:v>
      </x:c>
      <x:c r="I572" s="21" t="n">
        <x:v>-0.11998257391235467</x:v>
      </x:c>
      <x:c r="J572" s="21" t="n">
        <x:v>-0.047901938652250564</x:v>
      </x:c>
      <x:c r="K572" s="21" t="n">
        <x:v>-0.09380383769975642</x:v>
      </x:c>
      <x:c r="L572" s="36" t="n">
        <x:f>IF(Assumptions!$B$4=2030,I572,IF(Assumptions!$B$4=2035,J572,K572))</x:f>
        <x:v>-0.047901938652250564</x:v>
      </x:c>
      <x:c r="M572" s="36" t="n">
        <x:f>Assumptions!$B$19</x:f>
        <x:v>-0.04739891965741583</x:v>
      </x:c>
      <x:c r="N572" s="52" t="n">
        <x:f>H572*L572+(1-H572)*M572+O572</x:f>
        <x:v>-0.047826485803025356</x:v>
      </x:c>
      <x:c r="O572" s="36" t="n">
        <x:f>Assumptions!$B$10</x:f>
        <x:v>0</x:v>
      </x:c>
      <x:c r="P572" s="54" t="n">
        <x:f>E572*(1+N572)</x:f>
        <x:v>1224.4951392573093</x:v>
      </x:c>
      <x:c r="Q572" s="54" t="n">
        <x:f>P572-E572</x:f>
        <x:v>-61.50486074269065</x:v>
      </x:c>
      <x:c r="R572" s="16" t="str">
        <x:v>Yes</x:v>
      </x:c>
      <x:c r="S572" s="56" t="n">
        <x:v>8388</x:v>
      </x:c>
      <x:c r="T572" s="56" t="n">
        <x:v>6707</x:v>
      </x:c>
      <x:c r="U572" s="40" t="n">
        <x:f>E572*Assumptions!$B$8</x:f>
        <x:v>1093.1</x:v>
      </x:c>
      <x:c r="V572" s="40" t="n">
        <x:f>P572*Assumptions!$B$8</x:f>
        <x:v>1040.8208683687128</x:v>
      </x:c>
      <x:c r="W572" s="54" t="n">
        <x:f>V572-U572</x:f>
        <x:v>-52.2791316312871</x:v>
      </x:c>
      <x:c r="X572" s="58" t="n">
        <x:f>IF(R572="No","",W572*S572)</x:f>
        <x:v>-438517.3561232362</x:v>
      </x:c>
      <x:c r="Y572" s="58" t="n">
        <x:f>IF(R572="No","",W572*T572*Assumptions!$B$9)</x:f>
        <x:v>-105190.84075531278</x:v>
      </x:c>
      <x:c r="Z572" s="58" t="n">
        <x:f>IF(R572="No","",X572-Y572)</x:f>
        <x:v>-333326.5153679234</x:v>
      </x:c>
      <x:c r="AA572" s="58" t="n">
        <x:f>IF(R572="No","",MAX(0,-Z572))</x:f>
        <x:v>333326.5153679234</x:v>
      </x:c>
      <x:c r="AB572" s="52" t="n">
        <x:f>IF(OR(R572="No",U572*S572=0),"",AA572/(U572*S572))</x:f>
        <x:v>0.03635394502044705</x:v>
      </x:c>
      <x:c r="AC572" s="54" t="n">
        <x:f>IF(OR(R572="No",S572-T572*Assumptions!$B$9&lt;=0),"",AA572/(Assumptions!$B$8*(S572-T572*Assumptions!$B$9)))</x:f>
        <x:v>61.50486074269071</x:v>
      </x:c>
      <x:c r="AD572" s="52" t="n">
        <x:f>IF(OR(R572="No",U572*S572=0),"",AA572/(U572*S572))</x:f>
        <x:v>0.03635394502044705</x:v>
      </x:c>
      <x:c r="AE572" s="50" t="str">
        <x:f>IF(R572="No","No finance data",IF(AB572&gt;=10%,"Severe",IF(AB572&gt;=5%,"High",IF(AB572&gt;=2%,"Moderate","Low"))))</x:f>
        <x:v>Moderate</x:v>
      </x:c>
      <x:c r="AF572" s="60" t="n">
        <x:v>38.201427</x:v>
      </x:c>
      <x:c r="AG572" s="60" t="n">
        <x:v>-84.855402</x:v>
      </x:c>
      <x:c r="AH572" s="44" t="str">
        <x:v>Undergraduate tuition-contribution proxy only; not an audited total institutional budget.</x:v>
      </x:c>
    </x:row>
    <x:row r="573">
      <x:c r="A573" s="16" t="n">
        <x:v>157076</x:v>
      </x:c>
      <x:c r="B573" s="16" t="str">
        <x:v>Kentucky Wesleyan College</x:v>
      </x:c>
      <x:c r="C573" s="16" t="str">
        <x:v>KY</x:v>
      </x:c>
      <x:c r="D573" s="16" t="str">
        <x:v>Private nonprofit</x:v>
      </x:c>
      <x:c r="E573" s="34" t="n">
        <x:v>691</x:v>
      </x:c>
      <x:c r="F573" s="21" t="n">
        <x:v>0.6723</x:v>
      </x:c>
      <x:c r="G573" s="16" t="str">
        <x:v>Regional</x:v>
      </x:c>
      <x:c r="H573" s="36" t="n">
        <x:f>IF(G573="National",Assumptions!$B$11,IF(G573="Statewide",Assumptions!$B$12,Assumptions!$B$13))</x:f>
        <x:v>0.85</x:v>
      </x:c>
      <x:c r="I573" s="21" t="n">
        <x:v>-0.11998257391235467</x:v>
      </x:c>
      <x:c r="J573" s="21" t="n">
        <x:v>-0.047901938652250564</x:v>
      </x:c>
      <x:c r="K573" s="21" t="n">
        <x:v>-0.09380383769975642</x:v>
      </x:c>
      <x:c r="L573" s="36" t="n">
        <x:f>IF(Assumptions!$B$4=2030,I573,IF(Assumptions!$B$4=2035,J573,K573))</x:f>
        <x:v>-0.047901938652250564</x:v>
      </x:c>
      <x:c r="M573" s="36" t="n">
        <x:f>Assumptions!$B$19</x:f>
        <x:v>-0.04739891965741583</x:v>
      </x:c>
      <x:c r="N573" s="52" t="n">
        <x:f>H573*L573+(1-H573)*M573+O573</x:f>
        <x:v>-0.047826485803025356</x:v>
      </x:c>
      <x:c r="O573" s="36" t="n">
        <x:f>Assumptions!$B$10</x:f>
        <x:v>0</x:v>
      </x:c>
      <x:c r="P573" s="54" t="n">
        <x:f>E573*(1+N573)</x:f>
        <x:v>657.9518983101094</x:v>
      </x:c>
      <x:c r="Q573" s="54" t="n">
        <x:f>P573-E573</x:f>
        <x:v>-33.048101689890586</x:v>
      </x:c>
      <x:c r="R573" s="16" t="str">
        <x:v>Yes</x:v>
      </x:c>
      <x:c r="S573" s="56" t="n">
        <x:v>12972</x:v>
      </x:c>
      <x:c r="T573" s="56" t="n">
        <x:v>5042</x:v>
      </x:c>
      <x:c r="U573" s="40" t="n">
        <x:f>E573*Assumptions!$B$8</x:f>
        <x:v>587.35</x:v>
      </x:c>
      <x:c r="V573" s="40" t="n">
        <x:f>P573*Assumptions!$B$8</x:f>
        <x:v>559.259113563593</x:v>
      </x:c>
      <x:c r="W573" s="54" t="n">
        <x:f>V573-U573</x:f>
        <x:v>-28.090886436407004</x:v>
      </x:c>
      <x:c r="X573" s="58" t="n">
        <x:f>IF(R573="No","",W573*S573)</x:f>
        <x:v>-364394.97885307163</x:v>
      </x:c>
      <x:c r="Y573" s="58" t="n">
        <x:f>IF(R573="No","",W573*T573*Assumptions!$B$9)</x:f>
        <x:v>-42490.27482370924</x:v>
      </x:c>
      <x:c r="Z573" s="58" t="n">
        <x:f>IF(R573="No","",X573-Y573)</x:f>
        <x:v>-321904.7040293624</x:v>
      </x:c>
      <x:c r="AA573" s="58" t="n">
        <x:f>IF(R573="No","",MAX(0,-Z573))</x:f>
        <x:v>321904.7040293624</x:v>
      </x:c>
      <x:c r="AB573" s="52" t="n">
        <x:f>IF(OR(R573="No",U573*S573=0),"",AA573/(U573*S573))</x:f>
        <x:v>0.04224967864717776</x:v>
      </x:c>
      <x:c r="AC573" s="54" t="n">
        <x:f>IF(OR(R573="No",S573-T573*Assumptions!$B$9&lt;=0),"",AA573/(Assumptions!$B$8*(S573-T573*Assumptions!$B$9)))</x:f>
        <x:v>33.04810168989059</x:v>
      </x:c>
      <x:c r="AD573" s="52" t="n">
        <x:f>IF(OR(R573="No",U573*S573=0),"",AA573/(U573*S573))</x:f>
        <x:v>0.04224967864717776</x:v>
      </x:c>
      <x:c r="AE573" s="50" t="str">
        <x:f>IF(R573="No","No finance data",IF(AB573&gt;=10%,"Severe",IF(AB573&gt;=5%,"High",IF(AB573&gt;=2%,"Moderate","Low"))))</x:f>
        <x:v>Moderate</x:v>
      </x:c>
      <x:c r="AF573" s="60" t="n">
        <x:v>37.744489</x:v>
      </x:c>
      <x:c r="AG573" s="60" t="n">
        <x:v>-87.119658</x:v>
      </x:c>
      <x:c r="AH573" s="44" t="str">
        <x:v>Undergraduate tuition-contribution proxy only; not an audited total institutional budget.</x:v>
      </x:c>
    </x:row>
    <x:row r="574">
      <x:c r="A574" s="16" t="n">
        <x:v>157216</x:v>
      </x:c>
      <x:c r="B574" s="16" t="str">
        <x:v>Lindsey Wilson College</x:v>
      </x:c>
      <x:c r="C574" s="16" t="str">
        <x:v>KY</x:v>
      </x:c>
      <x:c r="D574" s="16" t="str">
        <x:v>Private nonprofit</x:v>
      </x:c>
      <x:c r="E574" s="34" t="n">
        <x:v>2099</x:v>
      </x:c>
      <x:c r="F574" s="21"/>
      <x:c r="G574" s="16" t="str">
        <x:v>Regional</x:v>
      </x:c>
      <x:c r="H574" s="36" t="n">
        <x:f>IF(G574="National",Assumptions!$B$11,IF(G574="Statewide",Assumptions!$B$12,Assumptions!$B$13))</x:f>
        <x:v>0.85</x:v>
      </x:c>
      <x:c r="I574" s="21" t="n">
        <x:v>-0.11998257391235467</x:v>
      </x:c>
      <x:c r="J574" s="21" t="n">
        <x:v>-0.047901938652250564</x:v>
      </x:c>
      <x:c r="K574" s="21" t="n">
        <x:v>-0.09380383769975642</x:v>
      </x:c>
      <x:c r="L574" s="36" t="n">
        <x:f>IF(Assumptions!$B$4=2030,I574,IF(Assumptions!$B$4=2035,J574,K574))</x:f>
        <x:v>-0.047901938652250564</x:v>
      </x:c>
      <x:c r="M574" s="36" t="n">
        <x:f>Assumptions!$B$19</x:f>
        <x:v>-0.04739891965741583</x:v>
      </x:c>
      <x:c r="N574" s="52" t="n">
        <x:f>H574*L574+(1-H574)*M574+O574</x:f>
        <x:v>-0.047826485803025356</x:v>
      </x:c>
      <x:c r="O574" s="36" t="n">
        <x:f>Assumptions!$B$10</x:f>
        <x:v>0</x:v>
      </x:c>
      <x:c r="P574" s="54" t="n">
        <x:f>E574*(1+N574)</x:f>
        <x:v>1998.6122062994498</x:v>
      </x:c>
      <x:c r="Q574" s="54" t="n">
        <x:f>P574-E574</x:f>
        <x:v>-100.38779370055022</x:v>
      </x:c>
      <x:c r="R574" s="16" t="str">
        <x:v>Yes</x:v>
      </x:c>
      <x:c r="S574" s="56" t="n">
        <x:v>8027</x:v>
      </x:c>
      <x:c r="T574" s="56" t="n">
        <x:v>4417</x:v>
      </x:c>
      <x:c r="U574" s="40" t="n">
        <x:f>E574*Assumptions!$B$8</x:f>
        <x:v>1784.1499999999999</x:v>
      </x:c>
      <x:c r="V574" s="40" t="n">
        <x:f>P574*Assumptions!$B$8</x:f>
        <x:v>1698.8203753545322</x:v>
      </x:c>
      <x:c r="W574" s="54" t="n">
        <x:f>V574-U574</x:f>
        <x:v>-85.32962464546767</x:v>
      </x:c>
      <x:c r="X574" s="58" t="n">
        <x:f>IF(R574="No","",W574*S574)</x:f>
        <x:v>-684940.897029169</x:v>
      </x:c>
      <x:c r="Y574" s="58" t="n">
        <x:f>IF(R574="No","",W574*T574*Assumptions!$B$9)</x:f>
        <x:v>-113070.2856177092</x:v>
      </x:c>
      <x:c r="Z574" s="58" t="n">
        <x:f>IF(R574="No","",X574-Y574)</x:f>
        <x:v>-571870.6114114599</x:v>
      </x:c>
      <x:c r="AA574" s="58" t="n">
        <x:f>IF(R574="No","",MAX(0,-Z574))</x:f>
        <x:v>571870.6114114599</x:v>
      </x:c>
      <x:c r="AB574" s="52" t="n">
        <x:f>IF(OR(R574="No",U574*S574=0),"",AA574/(U574*S574))</x:f>
        <x:v>0.039931272605368835</x:v>
      </x:c>
      <x:c r="AC574" s="54" t="n">
        <x:f>IF(OR(R574="No",S574-T574*Assumptions!$B$9&lt;=0),"",AA574/(Assumptions!$B$8*(S574-T574*Assumptions!$B$9)))</x:f>
        <x:v>100.38779370055022</x:v>
      </x:c>
      <x:c r="AD574" s="52" t="n">
        <x:f>IF(OR(R574="No",U574*S574=0),"",AA574/(U574*S574))</x:f>
        <x:v>0.039931272605368835</x:v>
      </x:c>
      <x:c r="AE574" s="50" t="str">
        <x:f>IF(R574="No","No finance data",IF(AB574&gt;=10%,"Severe",IF(AB574&gt;=5%,"High",IF(AB574&gt;=2%,"Moderate","Low"))))</x:f>
        <x:v>Moderate</x:v>
      </x:c>
      <x:c r="AF574" s="60" t="n">
        <x:v>37.101502</x:v>
      </x:c>
      <x:c r="AG574" s="60" t="n">
        <x:v>-85.299997</x:v>
      </x:c>
      <x:c r="AH574" s="44" t="str">
        <x:v>Undergraduate tuition-contribution proxy only; not an audited total institutional budget.</x:v>
      </x:c>
    </x:row>
    <x:row r="575">
      <x:c r="A575" s="16" t="n">
        <x:v>157377</x:v>
      </x:c>
      <x:c r="B575" s="16" t="str">
        <x:v>Midway University</x:v>
      </x:c>
      <x:c r="C575" s="16" t="str">
        <x:v>KY</x:v>
      </x:c>
      <x:c r="D575" s="16" t="str">
        <x:v>Private nonprofit</x:v>
      </x:c>
      <x:c r="E575" s="34" t="n">
        <x:v>928</x:v>
      </x:c>
      <x:c r="F575" s="21" t="n">
        <x:v>0.7774</x:v>
      </x:c>
      <x:c r="G575" s="16" t="str">
        <x:v>Regional</x:v>
      </x:c>
      <x:c r="H575" s="36" t="n">
        <x:f>IF(G575="National",Assumptions!$B$11,IF(G575="Statewide",Assumptions!$B$12,Assumptions!$B$13))</x:f>
        <x:v>0.85</x:v>
      </x:c>
      <x:c r="I575" s="21" t="n">
        <x:v>-0.11998257391235467</x:v>
      </x:c>
      <x:c r="J575" s="21" t="n">
        <x:v>-0.047901938652250564</x:v>
      </x:c>
      <x:c r="K575" s="21" t="n">
        <x:v>-0.09380383769975642</x:v>
      </x:c>
      <x:c r="L575" s="36" t="n">
        <x:f>IF(Assumptions!$B$4=2030,I575,IF(Assumptions!$B$4=2035,J575,K575))</x:f>
        <x:v>-0.047901938652250564</x:v>
      </x:c>
      <x:c r="M575" s="36" t="n">
        <x:f>Assumptions!$B$19</x:f>
        <x:v>-0.04739891965741583</x:v>
      </x:c>
      <x:c r="N575" s="52" t="n">
        <x:f>H575*L575+(1-H575)*M575+O575</x:f>
        <x:v>-0.047826485803025356</x:v>
      </x:c>
      <x:c r="O575" s="36" t="n">
        <x:f>Assumptions!$B$10</x:f>
        <x:v>0</x:v>
      </x:c>
      <x:c r="P575" s="54" t="n">
        <x:f>E575*(1+N575)</x:f>
        <x:v>883.6170211747924</x:v>
      </x:c>
      <x:c r="Q575" s="54" t="n">
        <x:f>P575-E575</x:f>
        <x:v>-44.3829788252076</x:v>
      </x:c>
      <x:c r="R575" s="16" t="str">
        <x:v>Yes</x:v>
      </x:c>
      <x:c r="S575" s="56" t="n">
        <x:v>12301</x:v>
      </x:c>
      <x:c r="T575" s="56" t="n">
        <x:v>5667</x:v>
      </x:c>
      <x:c r="U575" s="40" t="n">
        <x:f>E575*Assumptions!$B$8</x:f>
        <x:v>788.8</x:v>
      </x:c>
      <x:c r="V575" s="40" t="n">
        <x:f>P575*Assumptions!$B$8</x:f>
        <x:v>751.0744679985735</x:v>
      </x:c>
      <x:c r="W575" s="54" t="n">
        <x:f>V575-U575</x:f>
        <x:v>-37.72553200142647</x:v>
      </x:c>
      <x:c r="X575" s="58" t="n">
        <x:f>IF(R575="No","",W575*S575)</x:f>
        <x:v>-464061.76914954704</x:v>
      </x:c>
      <x:c r="Y575" s="58" t="n">
        <x:f>IF(R575="No","",W575*T575*Assumptions!$B$9)</x:f>
        <x:v>-64137.176955625146</x:v>
      </x:c>
      <x:c r="Z575" s="58" t="n">
        <x:f>IF(R575="No","",X575-Y575)</x:f>
        <x:v>-399924.5921939219</x:v>
      </x:c>
      <x:c r="AA575" s="58" t="n">
        <x:f>IF(R575="No","",MAX(0,-Z575))</x:f>
        <x:v>399924.5921939219</x:v>
      </x:c>
      <x:c r="AB575" s="52" t="n">
        <x:f>IF(OR(R575="No",U575*S575=0),"",AA575/(U575*S575))</x:f>
        <x:v>0.04121646966501037</x:v>
      </x:c>
      <x:c r="AC575" s="54" t="n">
        <x:f>IF(OR(R575="No",S575-T575*Assumptions!$B$9&lt;=0),"",AA575/(Assumptions!$B$8*(S575-T575*Assumptions!$B$9)))</x:f>
        <x:v>44.38297882520762</x:v>
      </x:c>
      <x:c r="AD575" s="52" t="n">
        <x:f>IF(OR(R575="No",U575*S575=0),"",AA575/(U575*S575))</x:f>
        <x:v>0.04121646966501037</x:v>
      </x:c>
      <x:c r="AE575" s="50" t="str">
        <x:f>IF(R575="No","No finance data",IF(AB575&gt;=10%,"Severe",IF(AB575&gt;=5%,"High",IF(AB575&gt;=2%,"Moderate","Low"))))</x:f>
        <x:v>Moderate</x:v>
      </x:c>
      <x:c r="AF575" s="60" t="n">
        <x:v>38.146126</x:v>
      </x:c>
      <x:c r="AG575" s="60" t="n">
        <x:v>-84.678142</x:v>
      </x:c>
      <x:c r="AH575" s="44" t="str">
        <x:v>Undergraduate tuition-contribution proxy only; not an audited total institutional budget.</x:v>
      </x:c>
    </x:row>
    <x:row r="576">
      <x:c r="A576" s="16" t="n">
        <x:v>157386</x:v>
      </x:c>
      <x:c r="B576" s="16" t="str">
        <x:v>Morehead State University</x:v>
      </x:c>
      <x:c r="C576" s="16" t="str">
        <x:v>KY</x:v>
      </x:c>
      <x:c r="D576" s="16" t="str">
        <x:v>Public</x:v>
      </x:c>
      <x:c r="E576" s="34" t="n">
        <x:v>7038</x:v>
      </x:c>
      <x:c r="F576" s="21" t="n">
        <x:v>0.8983</x:v>
      </x:c>
      <x:c r="G576" s="16" t="str">
        <x:v>Statewide</x:v>
      </x:c>
      <x:c r="H576" s="36" t="n">
        <x:f>IF(G576="National",Assumptions!$B$11,IF(G576="Statewide",Assumptions!$B$12,Assumptions!$B$13))</x:f>
        <x:v>0.6</x:v>
      </x:c>
      <x:c r="I576" s="21" t="n">
        <x:v>-0.11998257391235467</x:v>
      </x:c>
      <x:c r="J576" s="21" t="n">
        <x:v>-0.047901938652250564</x:v>
      </x:c>
      <x:c r="K576" s="21" t="n">
        <x:v>-0.09380383769975642</x:v>
      </x:c>
      <x:c r="L576" s="36" t="n">
        <x:f>IF(Assumptions!$B$4=2030,I576,IF(Assumptions!$B$4=2035,J576,K576))</x:f>
        <x:v>-0.047901938652250564</x:v>
      </x:c>
      <x:c r="M576" s="36" t="n">
        <x:f>Assumptions!$B$19</x:f>
        <x:v>-0.04739891965741583</x:v>
      </x:c>
      <x:c r="N576" s="52" t="n">
        <x:f>H576*L576+(1-H576)*M576+O576</x:f>
        <x:v>-0.04770073105431667</x:v>
      </x:c>
      <x:c r="O576" s="36" t="n">
        <x:f>Assumptions!$B$10</x:f>
        <x:v>0</x:v>
      </x:c>
      <x:c r="P576" s="54" t="n">
        <x:f>E576*(1+N576)</x:f>
        <x:v>6702.282254839719</x:v>
      </x:c>
      <x:c r="Q576" s="54" t="n">
        <x:f>P576-E576</x:f>
        <x:v>-335.7177451602811</x:v>
      </x:c>
      <x:c r="R576" s="16" t="str">
        <x:v>Yes</x:v>
      </x:c>
      <x:c r="S576" s="56" t="n">
        <x:v>4009</x:v>
      </x:c>
      <x:c r="T576" s="56" t="n">
        <x:v>7665</x:v>
      </x:c>
      <x:c r="U576" s="40" t="n">
        <x:f>E576*Assumptions!$B$8</x:f>
        <x:v>5982.3</x:v>
      </x:c>
      <x:c r="V576" s="40" t="n">
        <x:f>P576*Assumptions!$B$8</x:f>
        <x:v>5696.939916613761</x:v>
      </x:c>
      <x:c r="W576" s="54" t="n">
        <x:f>V576-U576</x:f>
        <x:v>-285.36008338623924</x:v>
      </x:c>
      <x:c r="X576" s="58" t="n">
        <x:f>IF(R576="No","",W576*S576)</x:f>
        <x:v>-1144008.574295433</x:v>
      </x:c>
      <x:c r="Y576" s="58" t="n">
        <x:f>IF(R576="No","",W576*T576*Assumptions!$B$9)</x:f>
        <x:v>-656185.5117466571</x:v>
      </x:c>
      <x:c r="Z576" s="58" t="n">
        <x:f>IF(R576="No","",X576-Y576)</x:f>
        <x:v>-487823.0625487759</x:v>
      </x:c>
      <x:c r="AA576" s="58" t="n">
        <x:f>IF(R576="No","",MAX(0,-Z576))</x:f>
        <x:v>487823.0625487759</x:v>
      </x:c>
      <x:c r="AB576" s="52" t="n">
        <x:f>IF(OR(R576="No",U576*S576=0),"",AA576/(U576*S576))</x:f>
        <x:v>0.020340334182428168</x:v>
      </x:c>
      <x:c r="AC576" s="54" t="n">
        <x:f>IF(OR(R576="No",S576-T576*Assumptions!$B$9&lt;=0),"",AA576/(Assumptions!$B$8*(S576-T576*Assumptions!$B$9)))</x:f>
        <x:v>335.7177451602814</x:v>
      </x:c>
      <x:c r="AD576" s="52" t="n">
        <x:f>IF(OR(R576="No",U576*S576=0),"",AA576/(U576*S576))</x:f>
        <x:v>0.020340334182428168</x:v>
      </x:c>
      <x:c r="AE576" s="50" t="str">
        <x:f>IF(R576="No","No finance data",IF(AB576&gt;=10%,"Severe",IF(AB576&gt;=5%,"High",IF(AB576&gt;=2%,"Moderate","Low"))))</x:f>
        <x:v>Moderate</x:v>
      </x:c>
      <x:c r="AF576" s="60" t="n">
        <x:v>38.186768</x:v>
      </x:c>
      <x:c r="AG576" s="60" t="n">
        <x:v>-83.434021</x:v>
      </x:c>
      <x:c r="AH576" s="44" t="str">
        <x:v>Undergraduate tuition-contribution proxy only; not an audited total institutional budget.</x:v>
      </x:c>
    </x:row>
    <x:row r="577">
      <x:c r="A577" s="16" t="n">
        <x:v>157401</x:v>
      </x:c>
      <x:c r="B577" s="16" t="str">
        <x:v>Murray State University</x:v>
      </x:c>
      <x:c r="C577" s="16" t="str">
        <x:v>KY</x:v>
      </x:c>
      <x:c r="D577" s="16" t="str">
        <x:v>Public</x:v>
      </x:c>
      <x:c r="E577" s="34" t="n">
        <x:v>7891</x:v>
      </x:c>
      <x:c r="F577" s="21" t="n">
        <x:v>0.8516</x:v>
      </x:c>
      <x:c r="G577" s="16" t="str">
        <x:v>Statewide</x:v>
      </x:c>
      <x:c r="H577" s="36" t="n">
        <x:f>IF(G577="National",Assumptions!$B$11,IF(G577="Statewide",Assumptions!$B$12,Assumptions!$B$13))</x:f>
        <x:v>0.6</x:v>
      </x:c>
      <x:c r="I577" s="21" t="n">
        <x:v>-0.11998257391235467</x:v>
      </x:c>
      <x:c r="J577" s="21" t="n">
        <x:v>-0.047901938652250564</x:v>
      </x:c>
      <x:c r="K577" s="21" t="n">
        <x:v>-0.09380383769975642</x:v>
      </x:c>
      <x:c r="L577" s="36" t="n">
        <x:f>IF(Assumptions!$B$4=2030,I577,IF(Assumptions!$B$4=2035,J577,K577))</x:f>
        <x:v>-0.047901938652250564</x:v>
      </x:c>
      <x:c r="M577" s="36" t="n">
        <x:f>Assumptions!$B$19</x:f>
        <x:v>-0.04739891965741583</x:v>
      </x:c>
      <x:c r="N577" s="52" t="n">
        <x:f>H577*L577+(1-H577)*M577+O577</x:f>
        <x:v>-0.04770073105431667</x:v>
      </x:c>
      <x:c r="O577" s="36" t="n">
        <x:f>Assumptions!$B$10</x:f>
        <x:v>0</x:v>
      </x:c>
      <x:c r="P577" s="54" t="n">
        <x:f>E577*(1+N577)</x:f>
        <x:v>7514.593531250387</x:v>
      </x:c>
      <x:c r="Q577" s="54" t="n">
        <x:f>P577-E577</x:f>
        <x:v>-376.40646874961294</x:v>
      </x:c>
      <x:c r="R577" s="16" t="str">
        <x:v>Yes</x:v>
      </x:c>
      <x:c r="S577" s="56" t="n">
        <x:v>7162</x:v>
      </x:c>
      <x:c r="T577" s="56" t="n">
        <x:v>8858</x:v>
      </x:c>
      <x:c r="U577" s="40" t="n">
        <x:f>E577*Assumptions!$B$8</x:f>
        <x:v>6707.349999999999</x:v>
      </x:c>
      <x:c r="V577" s="40" t="n">
        <x:f>P577*Assumptions!$B$8</x:f>
        <x:v>6387.404501562829</x:v>
      </x:c>
      <x:c r="W577" s="54" t="n">
        <x:f>V577-U577</x:f>
        <x:v>-319.9454984371705</x:v>
      </x:c>
      <x:c r="X577" s="58" t="n">
        <x:f>IF(R577="No","",W577*S577)</x:f>
        <x:v>-2291449.659807015</x:v>
      </x:c>
      <x:c r="Y577" s="58" t="n">
        <x:f>IF(R577="No","",W577*T577*Assumptions!$B$9)</x:f>
        <x:v>-850223.1675469369</x:v>
      </x:c>
      <x:c r="Z577" s="58" t="n">
        <x:f>IF(R577="No","",X577-Y577)</x:f>
        <x:v>-1441226.4922600784</x:v>
      </x:c>
      <x:c r="AA577" s="58" t="n">
        <x:f>IF(R577="No","",MAX(0,-Z577))</x:f>
        <x:v>1441226.4922600784</x:v>
      </x:c>
      <x:c r="AB577" s="52" t="n">
        <x:f>IF(OR(R577="No",U577*S577=0),"",AA577/(U577*S577))</x:f>
        <x:v>0.03000177507780992</x:v>
      </x:c>
      <x:c r="AC577" s="54" t="n">
        <x:f>IF(OR(R577="No",S577-T577*Assumptions!$B$9&lt;=0),"",AA577/(Assumptions!$B$8*(S577-T577*Assumptions!$B$9)))</x:f>
        <x:v>376.4064687496124</x:v>
      </x:c>
      <x:c r="AD577" s="52" t="n">
        <x:f>IF(OR(R577="No",U577*S577=0),"",AA577/(U577*S577))</x:f>
        <x:v>0.03000177507780992</x:v>
      </x:c>
      <x:c r="AE577" s="50" t="str">
        <x:f>IF(R577="No","No finance data",IF(AB577&gt;=10%,"Severe",IF(AB577&gt;=5%,"High",IF(AB577&gt;=2%,"Moderate","Low"))))</x:f>
        <x:v>Moderate</x:v>
      </x:c>
      <x:c r="AF577" s="60" t="n">
        <x:v>36.612419</x:v>
      </x:c>
      <x:c r="AG577" s="60" t="n">
        <x:v>-88.323629</x:v>
      </x:c>
      <x:c r="AH577" s="44" t="str">
        <x:v>Undergraduate tuition-contribution proxy only; not an audited total institutional budget.</x:v>
      </x:c>
    </x:row>
    <x:row r="578">
      <x:c r="A578" s="16" t="n">
        <x:v>157447</x:v>
      </x:c>
      <x:c r="B578" s="16" t="str">
        <x:v>Northern Kentucky University</x:v>
      </x:c>
      <x:c r="C578" s="16" t="str">
        <x:v>KY</x:v>
      </x:c>
      <x:c r="D578" s="16" t="str">
        <x:v>Public</x:v>
      </x:c>
      <x:c r="E578" s="34" t="n">
        <x:v>11302</x:v>
      </x:c>
      <x:c r="F578" s="21" t="n">
        <x:v>0.8029</x:v>
      </x:c>
      <x:c r="G578" s="16" t="str">
        <x:v>Statewide</x:v>
      </x:c>
      <x:c r="H578" s="36" t="n">
        <x:f>IF(G578="National",Assumptions!$B$11,IF(G578="Statewide",Assumptions!$B$12,Assumptions!$B$13))</x:f>
        <x:v>0.6</x:v>
      </x:c>
      <x:c r="I578" s="21" t="n">
        <x:v>-0.11998257391235467</x:v>
      </x:c>
      <x:c r="J578" s="21" t="n">
        <x:v>-0.047901938652250564</x:v>
      </x:c>
      <x:c r="K578" s="21" t="n">
        <x:v>-0.09380383769975642</x:v>
      </x:c>
      <x:c r="L578" s="36" t="n">
        <x:f>IF(Assumptions!$B$4=2030,I578,IF(Assumptions!$B$4=2035,J578,K578))</x:f>
        <x:v>-0.047901938652250564</x:v>
      </x:c>
      <x:c r="M578" s="36" t="n">
        <x:f>Assumptions!$B$19</x:f>
        <x:v>-0.04739891965741583</x:v>
      </x:c>
      <x:c r="N578" s="52" t="n">
        <x:f>H578*L578+(1-H578)*M578+O578</x:f>
        <x:v>-0.04770073105431667</x:v>
      </x:c>
      <x:c r="O578" s="36" t="n">
        <x:f>Assumptions!$B$10</x:f>
        <x:v>0</x:v>
      </x:c>
      <x:c r="P578" s="54" t="n">
        <x:f>E578*(1+N578)</x:f>
        <x:v>10762.886337624113</x:v>
      </x:c>
      <x:c r="Q578" s="54" t="n">
        <x:f>P578-E578</x:f>
        <x:v>-539.1136623758866</x:v>
      </x:c>
      <x:c r="R578" s="16" t="str">
        <x:v>Yes</x:v>
      </x:c>
      <x:c r="S578" s="56" t="n">
        <x:v>10010</x:v>
      </x:c>
      <x:c r="T578" s="56" t="n">
        <x:v>8548</x:v>
      </x:c>
      <x:c r="U578" s="40" t="n">
        <x:f>E578*Assumptions!$B$8</x:f>
        <x:v>9606.699999999999</x:v>
      </x:c>
      <x:c r="V578" s="40" t="n">
        <x:f>P578*Assumptions!$B$8</x:f>
        <x:v>9148.453386980496</x:v>
      </x:c>
      <x:c r="W578" s="54" t="n">
        <x:f>V578-U578</x:f>
        <x:v>-458.24661301950255</x:v>
      </x:c>
      <x:c r="X578" s="58" t="n">
        <x:f>IF(R578="No","",W578*S578)</x:f>
        <x:v>-4587048.596325221</x:v>
      </x:c>
      <x:c r="Y578" s="58" t="n">
        <x:f>IF(R578="No","",W578*T578*Assumptions!$B$9)</x:f>
        <x:v>-1175127.6144272124</x:v>
      </x:c>
      <x:c r="Z578" s="58" t="n">
        <x:f>IF(R578="No","",X578-Y578)</x:f>
        <x:v>-3411920.981898008</x:v>
      </x:c>
      <x:c r="AA578" s="58" t="n">
        <x:f>IF(R578="No","",MAX(0,-Z578))</x:f>
        <x:v>3411920.981898008</x:v>
      </x:c>
      <x:c r="AB578" s="52" t="n">
        <x:f>IF(OR(R578="No",U578*S578=0),"",AA578/(U578*S578))</x:f>
        <x:v>0.035480575738063846</x:v>
      </x:c>
      <x:c r="AC578" s="54" t="n">
        <x:f>IF(OR(R578="No",S578-T578*Assumptions!$B$9&lt;=0),"",AA578/(Assumptions!$B$8*(S578-T578*Assumptions!$B$9)))</x:f>
        <x:v>539.1136623758853</x:v>
      </x:c>
      <x:c r="AD578" s="52" t="n">
        <x:f>IF(OR(R578="No",U578*S578=0),"",AA578/(U578*S578))</x:f>
        <x:v>0.035480575738063846</x:v>
      </x:c>
      <x:c r="AE578" s="50" t="str">
        <x:f>IF(R578="No","No finance data",IF(AB578&gt;=10%,"Severe",IF(AB578&gt;=5%,"High",IF(AB578&gt;=2%,"Moderate","Low"))))</x:f>
        <x:v>Moderate</x:v>
      </x:c>
      <x:c r="AF578" s="60" t="n">
        <x:v>39.029714</x:v>
      </x:c>
      <x:c r="AG578" s="60" t="n">
        <x:v>-84.463483</x:v>
      </x:c>
      <x:c r="AH578" s="44" t="str">
        <x:v>Undergraduate tuition-contribution proxy only; not an audited total institutional budget.</x:v>
      </x:c>
    </x:row>
    <x:row r="579">
      <x:c r="A579" s="16" t="n">
        <x:v>157632</x:v>
      </x:c>
      <x:c r="B579" s="16" t="str">
        <x:v>Saint Catharine College</x:v>
      </x:c>
      <x:c r="C579" s="16" t="str">
        <x:v>KY</x:v>
      </x:c>
      <x:c r="D579" s="16" t="str">
        <x:v>Private nonprofit</x:v>
      </x:c>
      <x:c r="E579" s="34" t="n">
        <x:v>539</x:v>
      </x:c>
      <x:c r="F579" s="21"/>
      <x:c r="G579" s="16" t="str">
        <x:v>Regional</x:v>
      </x:c>
      <x:c r="H579" s="36" t="n">
        <x:f>IF(G579="National",Assumptions!$B$11,IF(G579="Statewide",Assumptions!$B$12,Assumptions!$B$13))</x:f>
        <x:v>0.85</x:v>
      </x:c>
      <x:c r="I579" s="21" t="n">
        <x:v>-0.11998257391235467</x:v>
      </x:c>
      <x:c r="J579" s="21" t="n">
        <x:v>-0.047901938652250564</x:v>
      </x:c>
      <x:c r="K579" s="21" t="n">
        <x:v>-0.09380383769975642</x:v>
      </x:c>
      <x:c r="L579" s="36" t="n">
        <x:f>IF(Assumptions!$B$4=2030,I579,IF(Assumptions!$B$4=2035,J579,K579))</x:f>
        <x:v>-0.047901938652250564</x:v>
      </x:c>
      <x:c r="M579" s="36" t="n">
        <x:f>Assumptions!$B$19</x:f>
        <x:v>-0.04739891965741583</x:v>
      </x:c>
      <x:c r="N579" s="52" t="n">
        <x:f>H579*L579+(1-H579)*M579+O579</x:f>
        <x:v>-0.047826485803025356</x:v>
      </x:c>
      <x:c r="O579" s="36" t="n">
        <x:f>Assumptions!$B$10</x:f>
        <x:v>0</x:v>
      </x:c>
      <x:c r="P579" s="54" t="n">
        <x:f>E579*(1+N579)</x:f>
        <x:v>513.2215241521693</x:v>
      </x:c>
      <x:c r="Q579" s="54" t="n">
        <x:f>P579-E579</x:f>
        <x:v>-25.77847584783069</x:v>
      </x:c>
      <x:c r="R579" s="16" t="str">
        <x:v>No</x:v>
      </x:c>
      <x:c r="S579" s="56"/>
      <x:c r="T579" s="56"/>
      <x:c r="U579" s="40" t="n">
        <x:f>E579*Assumptions!$B$8</x:f>
        <x:v>458.15</x:v>
      </x:c>
      <x:c r="V579" s="40" t="n">
        <x:f>P579*Assumptions!$B$8</x:f>
        <x:v>436.2382955293439</x:v>
      </x:c>
      <x:c r="W579" s="54" t="n">
        <x:f>V579-U579</x:f>
        <x:v>-21.911704470656105</x:v>
      </x:c>
      <x:c r="X579" s="58" t="str">
        <x:f>IF(R579="No","",W579*S579)</x:f>
      </x:c>
      <x:c r="Y579" s="58" t="str">
        <x:f>IF(R579="No","",W579*T579*Assumptions!$B$9)</x:f>
      </x:c>
      <x:c r="Z579" s="58" t="str">
        <x:f>IF(R579="No","",X579-Y579)</x:f>
      </x:c>
      <x:c r="AA579" s="58" t="str">
        <x:f>IF(R579="No","",MAX(0,-Z579))</x:f>
      </x:c>
      <x:c r="AB579" s="52" t="str">
        <x:f>IF(OR(R579="No",U579*S579=0),"",AA579/(U579*S579))</x:f>
      </x:c>
      <x:c r="AC579" s="54" t="str">
        <x:f>IF(OR(R579="No",S579-T579*Assumptions!$B$9&lt;=0),"",AA579/(Assumptions!$B$8*(S579-T579*Assumptions!$B$9)))</x:f>
      </x:c>
      <x:c r="AD579" s="52" t="str">
        <x:f>IF(OR(R579="No",U579*S579=0),"",AA579/(U579*S579))</x:f>
      </x:c>
      <x:c r="AE579" s="50" t="str">
        <x:f>IF(R579="No","No finance data",IF(AB579&gt;=10%,"Severe",IF(AB579&gt;=5%,"High",IF(AB579&gt;=2%,"Moderate","Low"))))</x:f>
        <x:v>No finance data</x:v>
      </x:c>
      <x:c r="AF579" s="60"/>
      <x:c r="AG579" s="60"/>
      <x:c r="AH579" s="44" t="str">
        <x:v>Undergraduate tuition-contribution proxy only; not an audited total institutional budget.</x:v>
      </x:c>
    </x:row>
    <x:row r="580">
      <x:c r="A580" s="16" t="n">
        <x:v>157757</x:v>
      </x:c>
      <x:c r="B580" s="16" t="str">
        <x:v>Spalding University</x:v>
      </x:c>
      <x:c r="C580" s="16" t="str">
        <x:v>KY</x:v>
      </x:c>
      <x:c r="D580" s="16" t="str">
        <x:v>Private nonprofit</x:v>
      </x:c>
      <x:c r="E580" s="34" t="n">
        <x:v>1122</x:v>
      </x:c>
      <x:c r="F580" s="21" t="n">
        <x:v>0.8978</x:v>
      </x:c>
      <x:c r="G580" s="16" t="str">
        <x:v>Regional</x:v>
      </x:c>
      <x:c r="H580" s="36" t="n">
        <x:f>IF(G580="National",Assumptions!$B$11,IF(G580="Statewide",Assumptions!$B$12,Assumptions!$B$13))</x:f>
        <x:v>0.85</x:v>
      </x:c>
      <x:c r="I580" s="21" t="n">
        <x:v>-0.11998257391235467</x:v>
      </x:c>
      <x:c r="J580" s="21" t="n">
        <x:v>-0.047901938652250564</x:v>
      </x:c>
      <x:c r="K580" s="21" t="n">
        <x:v>-0.09380383769975642</x:v>
      </x:c>
      <x:c r="L580" s="36" t="n">
        <x:f>IF(Assumptions!$B$4=2030,I580,IF(Assumptions!$B$4=2035,J580,K580))</x:f>
        <x:v>-0.047901938652250564</x:v>
      </x:c>
      <x:c r="M580" s="36" t="n">
        <x:f>Assumptions!$B$19</x:f>
        <x:v>-0.04739891965741583</x:v>
      </x:c>
      <x:c r="N580" s="52" t="n">
        <x:f>H580*L580+(1-H580)*M580+O580</x:f>
        <x:v>-0.047826485803025356</x:v>
      </x:c>
      <x:c r="O580" s="36" t="n">
        <x:f>Assumptions!$B$10</x:f>
        <x:v>0</x:v>
      </x:c>
      <x:c r="P580" s="54" t="n">
        <x:f>E580*(1+N580)</x:f>
        <x:v>1068.3386829290055</x:v>
      </x:c>
      <x:c r="Q580" s="54" t="n">
        <x:f>P580-E580</x:f>
        <x:v>-53.66131707099453</x:v>
      </x:c>
      <x:c r="R580" s="16" t="str">
        <x:v>Yes</x:v>
      </x:c>
      <x:c r="S580" s="56" t="n">
        <x:v>17435</x:v>
      </x:c>
      <x:c r="T580" s="56" t="n">
        <x:v>9378</x:v>
      </x:c>
      <x:c r="U580" s="40" t="n">
        <x:f>E580*Assumptions!$B$8</x:f>
        <x:v>953.6999999999999</x:v>
      </x:c>
      <x:c r="V580" s="40" t="n">
        <x:f>P580*Assumptions!$B$8</x:f>
        <x:v>908.0878804896546</x:v>
      </x:c>
      <x:c r="W580" s="54" t="n">
        <x:f>V580-U580</x:f>
        <x:v>-45.61211951034534</x:v>
      </x:c>
      <x:c r="X580" s="58" t="n">
        <x:f>IF(R580="No","",W580*S580)</x:f>
        <x:v>-795247.303662871</x:v>
      </x:c>
      <x:c r="Y580" s="58" t="n">
        <x:f>IF(R580="No","",W580*T580*Assumptions!$B$9)</x:f>
        <x:v>-128325.13703040557</x:v>
      </x:c>
      <x:c r="Z580" s="58" t="n">
        <x:f>IF(R580="No","",X580-Y580)</x:f>
        <x:v>-666922.1666324654</x:v>
      </x:c>
      <x:c r="AA580" s="58" t="n">
        <x:f>IF(R580="No","",MAX(0,-Z580))</x:f>
        <x:v>666922.1666324654</x:v>
      </x:c>
      <x:c r="AB580" s="52" t="n">
        <x:f>IF(OR(R580="No",U580*S580=0),"",AA580/(U580*S580))</x:f>
        <x:v>0.040108961561084976</x:v>
      </x:c>
      <x:c r="AC580" s="54" t="n">
        <x:f>IF(OR(R580="No",S580-T580*Assumptions!$B$9&lt;=0),"",AA580/(Assumptions!$B$8*(S580-T580*Assumptions!$B$9)))</x:f>
        <x:v>53.661317070994514</x:v>
      </x:c>
      <x:c r="AD580" s="52" t="n">
        <x:f>IF(OR(R580="No",U580*S580=0),"",AA580/(U580*S580))</x:f>
        <x:v>0.040108961561084976</x:v>
      </x:c>
      <x:c r="AE580" s="50" t="str">
        <x:f>IF(R580="No","No finance data",IF(AB580&gt;=10%,"Severe",IF(AB580&gt;=5%,"High",IF(AB580&gt;=2%,"Moderate","Low"))))</x:f>
        <x:v>Moderate</x:v>
      </x:c>
      <x:c r="AF580" s="60" t="n">
        <x:v>38.242407</x:v>
      </x:c>
      <x:c r="AG580" s="60" t="n">
        <x:v>-85.757725</x:v>
      </x:c>
      <x:c r="AH580" s="44" t="str">
        <x:v>Undergraduate tuition-contribution proxy only; not an audited total institutional budget.</x:v>
      </x:c>
    </x:row>
    <x:row r="581">
      <x:c r="A581" s="16" t="n">
        <x:v>157809</x:v>
      </x:c>
      <x:c r="B581" s="16" t="str">
        <x:v>Thomas More College</x:v>
      </x:c>
      <x:c r="C581" s="16" t="str">
        <x:v>KY</x:v>
      </x:c>
      <x:c r="D581" s="16" t="str">
        <x:v>Private nonprofit</x:v>
      </x:c>
      <x:c r="E581" s="34" t="n">
        <x:v>1308</x:v>
      </x:c>
      <x:c r="F581" s="21" t="n">
        <x:v>0.9643</x:v>
      </x:c>
      <x:c r="G581" s="16" t="str">
        <x:v>Regional</x:v>
      </x:c>
      <x:c r="H581" s="36" t="n">
        <x:f>IF(G581="National",Assumptions!$B$11,IF(G581="Statewide",Assumptions!$B$12,Assumptions!$B$13))</x:f>
        <x:v>0.85</x:v>
      </x:c>
      <x:c r="I581" s="21" t="n">
        <x:v>-0.11998257391235467</x:v>
      </x:c>
      <x:c r="J581" s="21" t="n">
        <x:v>-0.047901938652250564</x:v>
      </x:c>
      <x:c r="K581" s="21" t="n">
        <x:v>-0.09380383769975642</x:v>
      </x:c>
      <x:c r="L581" s="36" t="n">
        <x:f>IF(Assumptions!$B$4=2030,I581,IF(Assumptions!$B$4=2035,J581,K581))</x:f>
        <x:v>-0.047901938652250564</x:v>
      </x:c>
      <x:c r="M581" s="36" t="n">
        <x:f>Assumptions!$B$19</x:f>
        <x:v>-0.04739891965741583</x:v>
      </x:c>
      <x:c r="N581" s="52" t="n">
        <x:f>H581*L581+(1-H581)*M581+O581</x:f>
        <x:v>-0.047826485803025356</x:v>
      </x:c>
      <x:c r="O581" s="36" t="n">
        <x:f>Assumptions!$B$10</x:f>
        <x:v>0</x:v>
      </x:c>
      <x:c r="P581" s="54" t="n">
        <x:f>E581*(1+N581)</x:f>
        <x:v>1245.4429565696428</x:v>
      </x:c>
      <x:c r="Q581" s="54" t="n">
        <x:f>P581-E581</x:f>
        <x:v>-62.557043430357226</x:v>
      </x:c>
      <x:c r="R581" s="16" t="str">
        <x:v>Yes</x:v>
      </x:c>
      <x:c r="S581" s="56" t="n">
        <x:v>13558</x:v>
      </x:c>
      <x:c r="T581" s="56" t="n">
        <x:v>5732</x:v>
      </x:c>
      <x:c r="U581" s="40" t="n">
        <x:f>E581*Assumptions!$B$8</x:f>
        <x:v>1111.8</x:v>
      </x:c>
      <x:c r="V581" s="40" t="n">
        <x:f>P581*Assumptions!$B$8</x:f>
        <x:v>1058.6265130841964</x:v>
      </x:c>
      <x:c r="W581" s="54" t="n">
        <x:f>V581-U581</x:f>
        <x:v>-53.17348691580355</x:v>
      </x:c>
      <x:c r="X581" s="58" t="n">
        <x:f>IF(R581="No","",W581*S581)</x:f>
        <x:v>-720926.1356044646</x:v>
      </x:c>
      <x:c r="Y581" s="58" t="n">
        <x:f>IF(R581="No","",W581*T581*Assumptions!$B$9)</x:f>
        <x:v>-91437.12810041578</x:v>
      </x:c>
      <x:c r="Z581" s="58" t="n">
        <x:f>IF(R581="No","",X581-Y581)</x:f>
        <x:v>-629489.0075040488</x:v>
      </x:c>
      <x:c r="AA581" s="58" t="n">
        <x:f>IF(R581="No","",MAX(0,-Z581))</x:f>
        <x:v>629489.0075040488</x:v>
      </x:c>
      <x:c r="AB581" s="52" t="n">
        <x:f>IF(OR(R581="No",U581*S581=0),"",AA581/(U581*S581))</x:f>
        <x:v>0.04176051552814095</x:v>
      </x:c>
      <x:c r="AC581" s="54" t="n">
        <x:f>IF(OR(R581="No",S581-T581*Assumptions!$B$9&lt;=0),"",AA581/(Assumptions!$B$8*(S581-T581*Assumptions!$B$9)))</x:f>
        <x:v>62.55704343035712</x:v>
      </x:c>
      <x:c r="AD581" s="52" t="n">
        <x:f>IF(OR(R581="No",U581*S581=0),"",AA581/(U581*S581))</x:f>
        <x:v>0.04176051552814095</x:v>
      </x:c>
      <x:c r="AE581" s="50" t="str">
        <x:f>IF(R581="No","No finance data",IF(AB581&gt;=10%,"Severe",IF(AB581&gt;=5%,"High",IF(AB581&gt;=2%,"Moderate","Low"))))</x:f>
        <x:v>Moderate</x:v>
      </x:c>
      <x:c r="AF581" s="60" t="n">
        <x:v>39.022963</x:v>
      </x:c>
      <x:c r="AG581" s="60" t="n">
        <x:v>-84.568923</x:v>
      </x:c>
      <x:c r="AH581" s="44" t="str">
        <x:v>Undergraduate tuition-contribution proxy only; not an audited total institutional budget.</x:v>
      </x:c>
    </x:row>
    <x:row r="582">
      <x:c r="A582" s="16" t="n">
        <x:v>157818</x:v>
      </x:c>
      <x:c r="B582" s="16" t="str">
        <x:v>Transylvania University</x:v>
      </x:c>
      <x:c r="C582" s="16" t="str">
        <x:v>KY</x:v>
      </x:c>
      <x:c r="D582" s="16" t="str">
        <x:v>Private nonprofit</x:v>
      </x:c>
      <x:c r="E582" s="34" t="n">
        <x:v>1052</x:v>
      </x:c>
      <x:c r="F582" s="21" t="n">
        <x:v>0.9197</x:v>
      </x:c>
      <x:c r="G582" s="16" t="str">
        <x:v>Regional</x:v>
      </x:c>
      <x:c r="H582" s="36" t="n">
        <x:f>IF(G582="National",Assumptions!$B$11,IF(G582="Statewide",Assumptions!$B$12,Assumptions!$B$13))</x:f>
        <x:v>0.85</x:v>
      </x:c>
      <x:c r="I582" s="21" t="n">
        <x:v>-0.11998257391235467</x:v>
      </x:c>
      <x:c r="J582" s="21" t="n">
        <x:v>-0.047901938652250564</x:v>
      </x:c>
      <x:c r="K582" s="21" t="n">
        <x:v>-0.09380383769975642</x:v>
      </x:c>
      <x:c r="L582" s="36" t="n">
        <x:f>IF(Assumptions!$B$4=2030,I582,IF(Assumptions!$B$4=2035,J582,K582))</x:f>
        <x:v>-0.047901938652250564</x:v>
      </x:c>
      <x:c r="M582" s="36" t="n">
        <x:f>Assumptions!$B$19</x:f>
        <x:v>-0.04739891965741583</x:v>
      </x:c>
      <x:c r="N582" s="52" t="n">
        <x:f>H582*L582+(1-H582)*M582+O582</x:f>
        <x:v>-0.047826485803025356</x:v>
      </x:c>
      <x:c r="O582" s="36" t="n">
        <x:f>Assumptions!$B$10</x:f>
        <x:v>0</x:v>
      </x:c>
      <x:c r="P582" s="54" t="n">
        <x:f>E582*(1+N582)</x:f>
        <x:v>1001.6865369352173</x:v>
      </x:c>
      <x:c r="Q582" s="54" t="n">
        <x:f>P582-E582</x:f>
        <x:v>-50.313463064782695</x:v>
      </x:c>
      <x:c r="R582" s="16" t="str">
        <x:v>Yes</x:v>
      </x:c>
      <x:c r="S582" s="56" t="n">
        <x:v>15847</x:v>
      </x:c>
      <x:c r="T582" s="56" t="n">
        <x:v>9609</x:v>
      </x:c>
      <x:c r="U582" s="40" t="n">
        <x:f>E582*Assumptions!$B$8</x:f>
        <x:v>894.1999999999999</x:v>
      </x:c>
      <x:c r="V582" s="40" t="n">
        <x:f>P582*Assumptions!$B$8</x:f>
        <x:v>851.4335563949347</x:v>
      </x:c>
      <x:c r="W582" s="54" t="n">
        <x:f>V582-U582</x:f>
        <x:v>-42.766443605065206</x:v>
      </x:c>
      <x:c r="X582" s="58" t="n">
        <x:f>IF(R582="No","",W582*S582)</x:f>
        <x:v>-677719.8318094683</x:v>
      </x:c>
      <x:c r="Y582" s="58" t="n">
        <x:f>IF(R582="No","",W582*T582*Assumptions!$B$9)</x:f>
        <x:v>-123282.82698032146</x:v>
      </x:c>
      <x:c r="Z582" s="58" t="n">
        <x:f>IF(R582="No","",X582-Y582)</x:f>
        <x:v>-554437.0048291469</x:v>
      </x:c>
      <x:c r="AA582" s="58" t="n">
        <x:f>IF(R582="No","",MAX(0,-Z582))</x:f>
        <x:v>554437.0048291469</x:v>
      </x:c>
      <x:c r="AB582" s="52" t="n">
        <x:f>IF(OR(R582="No",U582*S582=0),"",AA582/(U582*S582))</x:f>
        <x:v>0.039126453580877185</x:v>
      </x:c>
      <x:c r="AC582" s="54" t="n">
        <x:f>IF(OR(R582="No",S582-T582*Assumptions!$B$9&lt;=0),"",AA582/(Assumptions!$B$8*(S582-T582*Assumptions!$B$9)))</x:f>
        <x:v>50.3134630647826</x:v>
      </x:c>
      <x:c r="AD582" s="52" t="n">
        <x:f>IF(OR(R582="No",U582*S582=0),"",AA582/(U582*S582))</x:f>
        <x:v>0.039126453580877185</x:v>
      </x:c>
      <x:c r="AE582" s="50" t="str">
        <x:f>IF(R582="No","No finance data",IF(AB582&gt;=10%,"Severe",IF(AB582&gt;=5%,"High",IF(AB582&gt;=2%,"Moderate","Low"))))</x:f>
        <x:v>Moderate</x:v>
      </x:c>
      <x:c r="AF582" s="60" t="n">
        <x:v>38.052983</x:v>
      </x:c>
      <x:c r="AG582" s="60" t="n">
        <x:v>-84.493202</x:v>
      </x:c>
      <x:c r="AH582" s="44" t="str">
        <x:v>Undergraduate tuition-contribution proxy only; not an audited total institutional budget.</x:v>
      </x:c>
    </x:row>
    <x:row r="583">
      <x:c r="A583" s="16" t="n">
        <x:v>157863</x:v>
      </x:c>
      <x:c r="B583" s="16" t="str">
        <x:v>Union College</x:v>
      </x:c>
      <x:c r="C583" s="16" t="str">
        <x:v>KY</x:v>
      </x:c>
      <x:c r="D583" s="16" t="str">
        <x:v>Private nonprofit</x:v>
      </x:c>
      <x:c r="E583" s="34" t="n">
        <x:v>794</x:v>
      </x:c>
      <x:c r="F583" s="21" t="n">
        <x:v>0.5643</x:v>
      </x:c>
      <x:c r="G583" s="16" t="str">
        <x:v>Regional</x:v>
      </x:c>
      <x:c r="H583" s="36" t="n">
        <x:f>IF(G583="National",Assumptions!$B$11,IF(G583="Statewide",Assumptions!$B$12,Assumptions!$B$13))</x:f>
        <x:v>0.85</x:v>
      </x:c>
      <x:c r="I583" s="21" t="n">
        <x:v>-0.11998257391235467</x:v>
      </x:c>
      <x:c r="J583" s="21" t="n">
        <x:v>-0.047901938652250564</x:v>
      </x:c>
      <x:c r="K583" s="21" t="n">
        <x:v>-0.09380383769975642</x:v>
      </x:c>
      <x:c r="L583" s="36" t="n">
        <x:f>IF(Assumptions!$B$4=2030,I583,IF(Assumptions!$B$4=2035,J583,K583))</x:f>
        <x:v>-0.047901938652250564</x:v>
      </x:c>
      <x:c r="M583" s="36" t="n">
        <x:f>Assumptions!$B$19</x:f>
        <x:v>-0.04739891965741583</x:v>
      </x:c>
      <x:c r="N583" s="52" t="n">
        <x:f>H583*L583+(1-H583)*M583+O583</x:f>
        <x:v>-0.047826485803025356</x:v>
      </x:c>
      <x:c r="O583" s="36" t="n">
        <x:f>Assumptions!$B$10</x:f>
        <x:v>0</x:v>
      </x:c>
      <x:c r="P583" s="54" t="n">
        <x:f>E583*(1+N583)</x:f>
        <x:v>756.0257702723978</x:v>
      </x:c>
      <x:c r="Q583" s="54" t="n">
        <x:f>P583-E583</x:f>
        <x:v>-37.974229727602165</x:v>
      </x:c>
      <x:c r="R583" s="16" t="str">
        <x:v>Yes</x:v>
      </x:c>
      <x:c r="S583" s="56" t="n">
        <x:v>10309</x:v>
      </x:c>
      <x:c r="T583" s="56" t="n">
        <x:v>4681</x:v>
      </x:c>
      <x:c r="U583" s="40" t="n">
        <x:f>E583*Assumptions!$B$8</x:f>
        <x:v>674.9</x:v>
      </x:c>
      <x:c r="V583" s="40" t="n">
        <x:f>P583*Assumptions!$B$8</x:f>
        <x:v>642.6219047315382</x:v>
      </x:c>
      <x:c r="W583" s="54" t="n">
        <x:f>V583-U583</x:f>
        <x:v>-32.27809526846181</x:v>
      </x:c>
      <x:c r="X583" s="58" t="n">
        <x:f>IF(R583="No","",W583*S583)</x:f>
        <x:v>-332754.88412257284</x:v>
      </x:c>
      <x:c r="Y583" s="58" t="n">
        <x:f>IF(R583="No","",W583*T583*Assumptions!$B$9)</x:f>
        <x:v>-45328.12918550092</x:v>
      </x:c>
      <x:c r="Z583" s="58" t="n">
        <x:f>IF(R583="No","",X583-Y583)</x:f>
        <x:v>-287426.75493707194</x:v>
      </x:c>
      <x:c r="AA583" s="58" t="n">
        <x:f>IF(R583="No","",MAX(0,-Z583))</x:f>
        <x:v>287426.75493707194</x:v>
      </x:c>
      <x:c r="AB583" s="52" t="n">
        <x:f>IF(OR(R583="No",U583*S583=0),"",AA583/(U583*S583))</x:f>
        <x:v>0.04131152469979629</x:v>
      </x:c>
      <x:c r="AC583" s="54" t="n">
        <x:f>IF(OR(R583="No",S583-T583*Assumptions!$B$9&lt;=0),"",AA583/(Assumptions!$B$8*(S583-T583*Assumptions!$B$9)))</x:f>
        <x:v>37.974229727602136</x:v>
      </x:c>
      <x:c r="AD583" s="52" t="n">
        <x:f>IF(OR(R583="No",U583*S583=0),"",AA583/(U583*S583))</x:f>
        <x:v>0.04131152469979629</x:v>
      </x:c>
      <x:c r="AE583" s="50" t="str">
        <x:f>IF(R583="No","No finance data",IF(AB583&gt;=10%,"Severe",IF(AB583&gt;=5%,"High",IF(AB583&gt;=2%,"Moderate","Low"))))</x:f>
        <x:v>Moderate</x:v>
      </x:c>
      <x:c r="AF583" s="60" t="n">
        <x:v>36.870875</x:v>
      </x:c>
      <x:c r="AG583" s="60" t="n">
        <x:v>-83.888477</x:v>
      </x:c>
      <x:c r="AH583" s="44" t="str">
        <x:v>Undergraduate tuition-contribution proxy only; not an audited total institutional budget.</x:v>
      </x:c>
    </x:row>
    <x:row r="584">
      <x:c r="A584" s="16" t="n">
        <x:v>157085</x:v>
      </x:c>
      <x:c r="B584" s="16" t="str">
        <x:v>University of Kentucky</x:v>
      </x:c>
      <x:c r="C584" s="16" t="str">
        <x:v>KY</x:v>
      </x:c>
      <x:c r="D584" s="16" t="str">
        <x:v>Public</x:v>
      </x:c>
      <x:c r="E584" s="34" t="n">
        <x:v>22247</x:v>
      </x:c>
      <x:c r="F584" s="21" t="n">
        <x:v>0.9401</x:v>
      </x:c>
      <x:c r="G584" s="16" t="str">
        <x:v>Statewide</x:v>
      </x:c>
      <x:c r="H584" s="36" t="n">
        <x:f>IF(G584="National",Assumptions!$B$11,IF(G584="Statewide",Assumptions!$B$12,Assumptions!$B$13))</x:f>
        <x:v>0.6</x:v>
      </x:c>
      <x:c r="I584" s="21" t="n">
        <x:v>-0.11998257391235467</x:v>
      </x:c>
      <x:c r="J584" s="21" t="n">
        <x:v>-0.047901938652250564</x:v>
      </x:c>
      <x:c r="K584" s="21" t="n">
        <x:v>-0.09380383769975642</x:v>
      </x:c>
      <x:c r="L584" s="36" t="n">
        <x:f>IF(Assumptions!$B$4=2030,I584,IF(Assumptions!$B$4=2035,J584,K584))</x:f>
        <x:v>-0.047901938652250564</x:v>
      </x:c>
      <x:c r="M584" s="36" t="n">
        <x:f>Assumptions!$B$19</x:f>
        <x:v>-0.04739891965741583</x:v>
      </x:c>
      <x:c r="N584" s="52" t="n">
        <x:f>H584*L584+(1-H584)*M584+O584</x:f>
        <x:v>-0.04770073105431667</x:v>
      </x:c>
      <x:c r="O584" s="36" t="n">
        <x:f>Assumptions!$B$10</x:f>
        <x:v>0</x:v>
      </x:c>
      <x:c r="P584" s="54" t="n">
        <x:f>E584*(1+N584)</x:f>
        <x:v>21185.801836234616</x:v>
      </x:c>
      <x:c r="Q584" s="54" t="n">
        <x:f>P584-E584</x:f>
        <x:v>-1061.1981637653844</x:v>
      </x:c>
      <x:c r="R584" s="16" t="str">
        <x:v>Yes</x:v>
      </x:c>
      <x:c r="S584" s="56" t="n">
        <x:v>12811</x:v>
      </x:c>
      <x:c r="T584" s="56" t="n">
        <x:v>11957</x:v>
      </x:c>
      <x:c r="U584" s="40" t="n">
        <x:f>E584*Assumptions!$B$8</x:f>
        <x:v>18909.95</x:v>
      </x:c>
      <x:c r="V584" s="40" t="n">
        <x:f>P584*Assumptions!$B$8</x:f>
        <x:v>18007.93156079942</x:v>
      </x:c>
      <x:c r="W584" s="54" t="n">
        <x:f>V584-U584</x:f>
        <x:v>-902.0184392005795</x:v>
      </x:c>
      <x:c r="X584" s="58" t="n">
        <x:f>IF(R584="No","",W584*S584)</x:f>
        <x:v>-11555758.224598624</x:v>
      </x:c>
      <x:c r="Y584" s="58" t="n">
        <x:f>IF(R584="No","",W584*T584*Assumptions!$B$9)</x:f>
        <x:v>-3235630.3432563986</x:v>
      </x:c>
      <x:c r="Z584" s="58" t="n">
        <x:f>IF(R584="No","",X584-Y584)</x:f>
        <x:v>-8320127.881342225</x:v>
      </x:c>
      <x:c r="AA584" s="58" t="n">
        <x:f>IF(R584="No","",MAX(0,-Z584))</x:f>
        <x:v>8320127.881342225</x:v>
      </x:c>
      <x:c r="AB584" s="52" t="n">
        <x:f>IF(OR(R584="No",U584*S584=0),"",AA584/(U584*S584))</x:f>
        <x:v>0.034344451890712155</x:v>
      </x:c>
      <x:c r="AC584" s="54" t="n">
        <x:f>IF(OR(R584="No",S584-T584*Assumptions!$B$9&lt;=0),"",AA584/(Assumptions!$B$8*(S584-T584*Assumptions!$B$9)))</x:f>
        <x:v>1061.1981637653876</x:v>
      </x:c>
      <x:c r="AD584" s="52" t="n">
        <x:f>IF(OR(R584="No",U584*S584=0),"",AA584/(U584*S584))</x:f>
        <x:v>0.034344451890712155</x:v>
      </x:c>
      <x:c r="AE584" s="50" t="str">
        <x:f>IF(R584="No","No finance data",IF(AB584&gt;=10%,"Severe",IF(AB584&gt;=5%,"High",IF(AB584&gt;=2%,"Moderate","Low"))))</x:f>
        <x:v>Moderate</x:v>
      </x:c>
      <x:c r="AF584" s="60" t="n">
        <x:v>38.038911</x:v>
      </x:c>
      <x:c r="AG584" s="60" t="n">
        <x:v>-84.504747</x:v>
      </x:c>
      <x:c r="AH584" s="44" t="str">
        <x:v>Undergraduate tuition-contribution proxy only; not an audited total institutional budget.</x:v>
      </x:c>
    </x:row>
    <x:row r="585">
      <x:c r="A585" s="16" t="n">
        <x:v>157289</x:v>
      </x:c>
      <x:c r="B585" s="16" t="str">
        <x:v>University of Louisville</x:v>
      </x:c>
      <x:c r="C585" s="16" t="str">
        <x:v>KY</x:v>
      </x:c>
      <x:c r="D585" s="16" t="str">
        <x:v>Public</x:v>
      </x:c>
      <x:c r="E585" s="34" t="n">
        <x:v>14844</x:v>
      </x:c>
      <x:c r="F585" s="21" t="n">
        <x:v>0.7469</x:v>
      </x:c>
      <x:c r="G585" s="16" t="str">
        <x:v>Statewide</x:v>
      </x:c>
      <x:c r="H585" s="36" t="n">
        <x:f>IF(G585="National",Assumptions!$B$11,IF(G585="Statewide",Assumptions!$B$12,Assumptions!$B$13))</x:f>
        <x:v>0.6</x:v>
      </x:c>
      <x:c r="I585" s="21" t="n">
        <x:v>-0.11998257391235467</x:v>
      </x:c>
      <x:c r="J585" s="21" t="n">
        <x:v>-0.047901938652250564</x:v>
      </x:c>
      <x:c r="K585" s="21" t="n">
        <x:v>-0.09380383769975642</x:v>
      </x:c>
      <x:c r="L585" s="36" t="n">
        <x:f>IF(Assumptions!$B$4=2030,I585,IF(Assumptions!$B$4=2035,J585,K585))</x:f>
        <x:v>-0.047901938652250564</x:v>
      </x:c>
      <x:c r="M585" s="36" t="n">
        <x:f>Assumptions!$B$19</x:f>
        <x:v>-0.04739891965741583</x:v>
      </x:c>
      <x:c r="N585" s="52" t="n">
        <x:f>H585*L585+(1-H585)*M585+O585</x:f>
        <x:v>-0.04770073105431667</x:v>
      </x:c>
      <x:c r="O585" s="36" t="n">
        <x:f>Assumptions!$B$10</x:f>
        <x:v>0</x:v>
      </x:c>
      <x:c r="P585" s="54" t="n">
        <x:f>E585*(1+N585)</x:f>
        <x:v>14135.930348229722</x:v>
      </x:c>
      <x:c r="Q585" s="54" t="n">
        <x:f>P585-E585</x:f>
        <x:v>-708.0696517702781</x:v>
      </x:c>
      <x:c r="R585" s="16" t="str">
        <x:v>Yes</x:v>
      </x:c>
      <x:c r="S585" s="56" t="n">
        <x:v>12518</x:v>
      </x:c>
      <x:c r="T585" s="56" t="n">
        <x:v>14246</x:v>
      </x:c>
      <x:c r="U585" s="40" t="n">
        <x:f>E585*Assumptions!$B$8</x:f>
        <x:v>12617.4</x:v>
      </x:c>
      <x:c r="V585" s="40" t="n">
        <x:f>P585*Assumptions!$B$8</x:f>
        <x:v>12015.540795995263</x:v>
      </x:c>
      <x:c r="W585" s="54" t="n">
        <x:f>V585-U585</x:f>
        <x:v>-601.859204004737</x:v>
      </x:c>
      <x:c r="X585" s="58" t="n">
        <x:f>IF(R585="No","",W585*S585)</x:f>
        <x:v>-7534073.515731297</x:v>
      </x:c>
      <x:c r="Y585" s="58" t="n">
        <x:f>IF(R585="No","",W585*T585*Assumptions!$B$9)</x:f>
        <x:v>-2572225.8660754445</x:v>
      </x:c>
      <x:c r="Z585" s="58" t="n">
        <x:f>IF(R585="No","",X585-Y585)</x:f>
        <x:v>-4961847.6496558525</x:v>
      </x:c>
      <x:c r="AA585" s="58" t="n">
        <x:f>IF(R585="No","",MAX(0,-Z585))</x:f>
        <x:v>4961847.6496558525</x:v>
      </x:c>
      <x:c r="AB585" s="52" t="n">
        <x:f>IF(OR(R585="No",U585*S585=0),"",AA585/(U585*S585))</x:f>
        <x:v>0.03141511159594174</x:v>
      </x:c>
      <x:c r="AC585" s="54" t="n">
        <x:f>IF(OR(R585="No",S585-T585*Assumptions!$B$9&lt;=0),"",AA585/(Assumptions!$B$8*(S585-T585*Assumptions!$B$9)))</x:f>
        <x:v>708.0696517702787</x:v>
      </x:c>
      <x:c r="AD585" s="52" t="n">
        <x:f>IF(OR(R585="No",U585*S585=0),"",AA585/(U585*S585))</x:f>
        <x:v>0.03141511159594174</x:v>
      </x:c>
      <x:c r="AE585" s="50" t="str">
        <x:f>IF(R585="No","No finance data",IF(AB585&gt;=10%,"Severe",IF(AB585&gt;=5%,"High",IF(AB585&gt;=2%,"Moderate","Low"))))</x:f>
        <x:v>Moderate</x:v>
      </x:c>
      <x:c r="AF585" s="60" t="n">
        <x:v>38.216862</x:v>
      </x:c>
      <x:c r="AG585" s="60" t="n">
        <x:v>-85.760412</x:v>
      </x:c>
      <x:c r="AH585" s="44" t="str">
        <x:v>Undergraduate tuition-contribution proxy only; not an audited total institutional budget.</x:v>
      </x:c>
    </x:row>
    <x:row r="586">
      <x:c r="A586" s="16" t="n">
        <x:v>157535</x:v>
      </x:c>
      <x:c r="B586" s="16" t="str">
        <x:v>University of Pikeville</x:v>
      </x:c>
      <x:c r="C586" s="16" t="str">
        <x:v>KY</x:v>
      </x:c>
      <x:c r="D586" s="16" t="str">
        <x:v>Private nonprofit</x:v>
      </x:c>
      <x:c r="E586" s="34" t="n">
        <x:v>1244</x:v>
      </x:c>
      <x:c r="F586" s="21"/>
      <x:c r="G586" s="16" t="str">
        <x:v>Regional</x:v>
      </x:c>
      <x:c r="H586" s="36" t="n">
        <x:f>IF(G586="National",Assumptions!$B$11,IF(G586="Statewide",Assumptions!$B$12,Assumptions!$B$13))</x:f>
        <x:v>0.85</x:v>
      </x:c>
      <x:c r="I586" s="21" t="n">
        <x:v>-0.11998257391235467</x:v>
      </x:c>
      <x:c r="J586" s="21" t="n">
        <x:v>-0.047901938652250564</x:v>
      </x:c>
      <x:c r="K586" s="21" t="n">
        <x:v>-0.09380383769975642</x:v>
      </x:c>
      <x:c r="L586" s="36" t="n">
        <x:f>IF(Assumptions!$B$4=2030,I586,IF(Assumptions!$B$4=2035,J586,K586))</x:f>
        <x:v>-0.047901938652250564</x:v>
      </x:c>
      <x:c r="M586" s="36" t="n">
        <x:f>Assumptions!$B$19</x:f>
        <x:v>-0.04739891965741583</x:v>
      </x:c>
      <x:c r="N586" s="52" t="n">
        <x:f>H586*L586+(1-H586)*M586+O586</x:f>
        <x:v>-0.047826485803025356</x:v>
      </x:c>
      <x:c r="O586" s="36" t="n">
        <x:f>Assumptions!$B$10</x:f>
        <x:v>0</x:v>
      </x:c>
      <x:c r="P586" s="54" t="n">
        <x:f>E586*(1+N586)</x:f>
        <x:v>1184.5038516610364</x:v>
      </x:c>
      <x:c r="Q586" s="54" t="n">
        <x:f>P586-E586</x:f>
        <x:v>-59.49614833896362</x:v>
      </x:c>
      <x:c r="R586" s="16" t="str">
        <x:v>Yes</x:v>
      </x:c>
      <x:c r="S586" s="56" t="n">
        <x:v>23573</x:v>
      </x:c>
      <x:c r="T586" s="56" t="n">
        <x:v>10402</x:v>
      </x:c>
      <x:c r="U586" s="40" t="n">
        <x:f>E586*Assumptions!$B$8</x:f>
        <x:v>1057.3999999999999</x:v>
      </x:c>
      <x:c r="V586" s="40" t="n">
        <x:f>P586*Assumptions!$B$8</x:f>
        <x:v>1006.8282739118808</x:v>
      </x:c>
      <x:c r="W586" s="54" t="n">
        <x:f>V586-U586</x:f>
        <x:v>-50.57172608811902</x:v>
      </x:c>
      <x:c r="X586" s="58" t="n">
        <x:f>IF(R586="No","",W586*S586)</x:f>
        <x:v>-1192127.2990752298</x:v>
      </x:c>
      <x:c r="Y586" s="58" t="n">
        <x:f>IF(R586="No","",W586*T586*Assumptions!$B$9)</x:f>
        <x:v>-157814.1284305842</x:v>
      </x:c>
      <x:c r="Z586" s="58" t="n">
        <x:f>IF(R586="No","",X586-Y586)</x:f>
        <x:v>-1034313.1706446456</x:v>
      </x:c>
      <x:c r="AA586" s="58" t="n">
        <x:f>IF(R586="No","",MAX(0,-Z586))</x:f>
        <x:v>1034313.1706446456</x:v>
      </x:c>
      <x:c r="AB586" s="52" t="n">
        <x:f>IF(OR(R586="No",U586*S586=0),"",AA586/(U586*S586))</x:f>
        <x:v>0.041495202911712395</x:v>
      </x:c>
      <x:c r="AC586" s="54" t="n">
        <x:f>IF(OR(R586="No",S586-T586*Assumptions!$B$9&lt;=0),"",AA586/(Assumptions!$B$8*(S586-T586*Assumptions!$B$9)))</x:f>
        <x:v>59.49614833896356</x:v>
      </x:c>
      <x:c r="AD586" s="52" t="n">
        <x:f>IF(OR(R586="No",U586*S586=0),"",AA586/(U586*S586))</x:f>
        <x:v>0.041495202911712395</x:v>
      </x:c>
      <x:c r="AE586" s="50" t="str">
        <x:f>IF(R586="No","No finance data",IF(AB586&gt;=10%,"Severe",IF(AB586&gt;=5%,"High",IF(AB586&gt;=2%,"Moderate","Low"))))</x:f>
        <x:v>Moderate</x:v>
      </x:c>
      <x:c r="AF586" s="60" t="n">
        <x:v>37.479232</x:v>
      </x:c>
      <x:c r="AG586" s="60" t="n">
        <x:v>-82.521063</x:v>
      </x:c>
      <x:c r="AH586" s="44" t="str">
        <x:v>Undergraduate tuition-contribution proxy only; not an audited total institutional budget.</x:v>
      </x:c>
    </x:row>
    <x:row r="587">
      <x:c r="A587" s="16" t="n">
        <x:v>156541</x:v>
      </x:c>
      <x:c r="B587" s="16" t="str">
        <x:v>University of the Cumberlands</x:v>
      </x:c>
      <x:c r="C587" s="16" t="str">
        <x:v>KY</x:v>
      </x:c>
      <x:c r="D587" s="16" t="str">
        <x:v>Private nonprofit</x:v>
      </x:c>
      <x:c r="E587" s="34" t="n">
        <x:v>1818</x:v>
      </x:c>
      <x:c r="F587" s="21" t="n">
        <x:v>0.8503</x:v>
      </x:c>
      <x:c r="G587" s="16" t="str">
        <x:v>Regional</x:v>
      </x:c>
      <x:c r="H587" s="36" t="n">
        <x:f>IF(G587="National",Assumptions!$B$11,IF(G587="Statewide",Assumptions!$B$12,Assumptions!$B$13))</x:f>
        <x:v>0.85</x:v>
      </x:c>
      <x:c r="I587" s="21" t="n">
        <x:v>-0.11998257391235467</x:v>
      </x:c>
      <x:c r="J587" s="21" t="n">
        <x:v>-0.047901938652250564</x:v>
      </x:c>
      <x:c r="K587" s="21" t="n">
        <x:v>-0.09380383769975642</x:v>
      </x:c>
      <x:c r="L587" s="36" t="n">
        <x:f>IF(Assumptions!$B$4=2030,I587,IF(Assumptions!$B$4=2035,J587,K587))</x:f>
        <x:v>-0.047901938652250564</x:v>
      </x:c>
      <x:c r="M587" s="36" t="n">
        <x:f>Assumptions!$B$19</x:f>
        <x:v>-0.04739891965741583</x:v>
      </x:c>
      <x:c r="N587" s="52" t="n">
        <x:f>H587*L587+(1-H587)*M587+O587</x:f>
        <x:v>-0.047826485803025356</x:v>
      </x:c>
      <x:c r="O587" s="36" t="n">
        <x:f>Assumptions!$B$10</x:f>
        <x:v>0</x:v>
      </x:c>
      <x:c r="P587" s="54" t="n">
        <x:f>E587*(1+N587)</x:f>
        <x:v>1731.0514488100998</x:v>
      </x:c>
      <x:c r="Q587" s="54" t="n">
        <x:f>P587-E587</x:f>
        <x:v>-86.94855118990017</x:v>
      </x:c>
      <x:c r="R587" s="16" t="str">
        <x:v>Yes</x:v>
      </x:c>
      <x:c r="S587" s="56" t="n">
        <x:v>10105</x:v>
      </x:c>
      <x:c r="T587" s="56" t="n">
        <x:v>2298</x:v>
      </x:c>
      <x:c r="U587" s="40" t="n">
        <x:f>E587*Assumptions!$B$8</x:f>
        <x:v>1545.3</x:v>
      </x:c>
      <x:c r="V587" s="40" t="n">
        <x:f>P587*Assumptions!$B$8</x:f>
        <x:v>1471.3937314885848</x:v>
      </x:c>
      <x:c r="W587" s="54" t="n">
        <x:f>V587-U587</x:f>
        <x:v>-73.90626851141519</x:v>
      </x:c>
      <x:c r="X587" s="58" t="n">
        <x:f>IF(R587="No","",W587*S587)</x:f>
        <x:v>-746822.8433078505</x:v>
      </x:c>
      <x:c r="Y587" s="58" t="n">
        <x:f>IF(R587="No","",W587*T587*Assumptions!$B$9)</x:f>
        <x:v>-50950.981511769634</x:v>
      </x:c>
      <x:c r="Z587" s="58" t="n">
        <x:f>IF(R587="No","",X587-Y587)</x:f>
        <x:v>-695871.861796081</x:v>
      </x:c>
      <x:c r="AA587" s="58" t="n">
        <x:f>IF(R587="No","",MAX(0,-Z587))</x:f>
        <x:v>695871.861796081</x:v>
      </x:c>
      <x:c r="AB587" s="52" t="n">
        <x:f>IF(OR(R587="No",U587*S587=0),"",AA587/(U587*S587))</x:f>
        <x:v>0.0445635882955929</x:v>
      </x:c>
      <x:c r="AC587" s="54" t="n">
        <x:f>IF(OR(R587="No",S587-T587*Assumptions!$B$9&lt;=0),"",AA587/(Assumptions!$B$8*(S587-T587*Assumptions!$B$9)))</x:f>
        <x:v>86.94855118990023</x:v>
      </x:c>
      <x:c r="AD587" s="52" t="n">
        <x:f>IF(OR(R587="No",U587*S587=0),"",AA587/(U587*S587))</x:f>
        <x:v>0.0445635882955929</x:v>
      </x:c>
      <x:c r="AE587" s="50" t="str">
        <x:f>IF(R587="No","No finance data",IF(AB587&gt;=10%,"Severe",IF(AB587&gt;=5%,"High",IF(AB587&gt;=2%,"Moderate","Low"))))</x:f>
        <x:v>Moderate</x:v>
      </x:c>
      <x:c r="AF587" s="60" t="n">
        <x:v>36.737048</x:v>
      </x:c>
      <x:c r="AG587" s="60" t="n">
        <x:v>-84.161646</x:v>
      </x:c>
      <x:c r="AH587" s="44" t="str">
        <x:v>Undergraduate tuition-contribution proxy only; not an audited total institutional budget.</x:v>
      </x:c>
    </x:row>
    <x:row r="588">
      <x:c r="A588" s="16" t="n">
        <x:v>157951</x:v>
      </x:c>
      <x:c r="B588" s="16" t="str">
        <x:v>Western Kentucky University</x:v>
      </x:c>
      <x:c r="C588" s="16" t="str">
        <x:v>KY</x:v>
      </x:c>
      <x:c r="D588" s="16" t="str">
        <x:v>Public</x:v>
      </x:c>
      <x:c r="E588" s="34" t="n">
        <x:v>15119</x:v>
      </x:c>
      <x:c r="F588" s="21" t="n">
        <x:v>0.9848</x:v>
      </x:c>
      <x:c r="G588" s="16" t="str">
        <x:v>Statewide</x:v>
      </x:c>
      <x:c r="H588" s="36" t="n">
        <x:f>IF(G588="National",Assumptions!$B$11,IF(G588="Statewide",Assumptions!$B$12,Assumptions!$B$13))</x:f>
        <x:v>0.6</x:v>
      </x:c>
      <x:c r="I588" s="21" t="n">
        <x:v>-0.11998257391235467</x:v>
      </x:c>
      <x:c r="J588" s="21" t="n">
        <x:v>-0.047901938652250564</x:v>
      </x:c>
      <x:c r="K588" s="21" t="n">
        <x:v>-0.09380383769975642</x:v>
      </x:c>
      <x:c r="L588" s="36" t="n">
        <x:f>IF(Assumptions!$B$4=2030,I588,IF(Assumptions!$B$4=2035,J588,K588))</x:f>
        <x:v>-0.047901938652250564</x:v>
      </x:c>
      <x:c r="M588" s="36" t="n">
        <x:f>Assumptions!$B$19</x:f>
        <x:v>-0.04739891965741583</x:v>
      </x:c>
      <x:c r="N588" s="52" t="n">
        <x:f>H588*L588+(1-H588)*M588+O588</x:f>
        <x:v>-0.04770073105431667</x:v>
      </x:c>
      <x:c r="O588" s="36" t="n">
        <x:f>Assumptions!$B$10</x:f>
        <x:v>0</x:v>
      </x:c>
      <x:c r="P588" s="54" t="n">
        <x:f>E588*(1+N588)</x:f>
        <x:v>14397.812647189785</x:v>
      </x:c>
      <x:c r="Q588" s="54" t="n">
        <x:f>P588-E588</x:f>
        <x:v>-721.1873528102151</x:v>
      </x:c>
      <x:c r="R588" s="16" t="str">
        <x:v>Yes</x:v>
      </x:c>
      <x:c r="S588" s="56" t="n">
        <x:v>7057</x:v>
      </x:c>
      <x:c r="T588" s="56" t="n">
        <x:v>8739</x:v>
      </x:c>
      <x:c r="U588" s="40" t="n">
        <x:f>E588*Assumptions!$B$8</x:f>
        <x:v>12851.15</x:v>
      </x:c>
      <x:c r="V588" s="40" t="n">
        <x:f>P588*Assumptions!$B$8</x:f>
        <x:v>12238.140750111317</x:v>
      </x:c>
      <x:c r="W588" s="54" t="n">
        <x:f>V588-U588</x:f>
        <x:v>-613.0092498886825</x:v>
      </x:c>
      <x:c r="X588" s="58" t="n">
        <x:f>IF(R588="No","",W588*S588)</x:f>
        <x:v>-4326006.2764644325</x:v>
      </x:c>
      <x:c r="Y588" s="58" t="n">
        <x:f>IF(R588="No","",W588*T588*Assumptions!$B$9)</x:f>
        <x:v>-1607126.3504331587</x:v>
      </x:c>
      <x:c r="Z588" s="58" t="n">
        <x:f>IF(R588="No","",X588-Y588)</x:f>
        <x:v>-2718879.926031274</x:v>
      </x:c>
      <x:c r="AA588" s="58" t="n">
        <x:f>IF(R588="No","",MAX(0,-Z588))</x:f>
        <x:v>2718879.926031274</x:v>
      </x:c>
      <x:c r="AB588" s="52" t="n">
        <x:f>IF(OR(R588="No",U588*S588=0),"",AA588/(U588*S588))</x:f>
        <x:v>0.029979743863569653</x:v>
      </x:c>
      <x:c r="AC588" s="54" t="n">
        <x:f>IF(OR(R588="No",S588-T588*Assumptions!$B$9&lt;=0),"",AA588/(Assumptions!$B$8*(S588-T588*Assumptions!$B$9)))</x:f>
        <x:v>721.1873528102147</x:v>
      </x:c>
      <x:c r="AD588" s="52" t="n">
        <x:f>IF(OR(R588="No",U588*S588=0),"",AA588/(U588*S588))</x:f>
        <x:v>0.029979743863569653</x:v>
      </x:c>
      <x:c r="AE588" s="50" t="str">
        <x:f>IF(R588="No","No finance data",IF(AB588&gt;=10%,"Severe",IF(AB588&gt;=5%,"High",IF(AB588&gt;=2%,"Moderate","Low"))))</x:f>
        <x:v>Moderate</x:v>
      </x:c>
      <x:c r="AF588" s="60" t="n">
        <x:v>36.985035</x:v>
      </x:c>
      <x:c r="AG588" s="60" t="n">
        <x:v>-86.456828</x:v>
      </x:c>
      <x:c r="AH588" s="44" t="str">
        <x:v>Undergraduate tuition-contribution proxy only; not an audited total institutional budget.</x:v>
      </x:c>
    </x:row>
    <x:row r="589">
      <x:c r="A589" s="16" t="n">
        <x:v>158477</x:v>
      </x:c>
      <x:c r="B589" s="16" t="str">
        <x:v>Centenary College of Louisiana</x:v>
      </x:c>
      <x:c r="C589" s="16" t="str">
        <x:v>LA</x:v>
      </x:c>
      <x:c r="D589" s="16" t="str">
        <x:v>Private nonprofit</x:v>
      </x:c>
      <x:c r="E589" s="34" t="n">
        <x:v>520</x:v>
      </x:c>
      <x:c r="F589" s="21" t="n">
        <x:v>0.6313</x:v>
      </x:c>
      <x:c r="G589" s="16" t="str">
        <x:v>Regional</x:v>
      </x:c>
      <x:c r="H589" s="36" t="n">
        <x:f>IF(G589="National",Assumptions!$B$11,IF(G589="Statewide",Assumptions!$B$12,Assumptions!$B$13))</x:f>
        <x:v>0.85</x:v>
      </x:c>
      <x:c r="I589" s="21" t="n">
        <x:v>-0.047864755328730135</x:v>
      </x:c>
      <x:c r="J589" s="21" t="n">
        <x:v>-0.018894476133293314</x:v>
      </x:c>
      <x:c r="K589" s="21" t="n">
        <x:v>-0.11698814169918947</x:v>
      </x:c>
      <x:c r="L589" s="36" t="n">
        <x:f>IF(Assumptions!$B$4=2030,I589,IF(Assumptions!$B$4=2035,J589,K589))</x:f>
        <x:v>-0.018894476133293314</x:v>
      </x:c>
      <x:c r="M589" s="36" t="n">
        <x:f>Assumptions!$B$19</x:f>
        <x:v>-0.04739891965741583</x:v>
      </x:c>
      <x:c r="N589" s="52" t="n">
        <x:f>H589*L589+(1-H589)*M589+O589</x:f>
        <x:v>-0.02317014266191169</x:v>
      </x:c>
      <x:c r="O589" s="36" t="n">
        <x:f>Assumptions!$B$10</x:f>
        <x:v>0</x:v>
      </x:c>
      <x:c r="P589" s="54" t="n">
        <x:f>E589*(1+N589)</x:f>
        <x:v>507.95152581580595</x:v>
      </x:c>
      <x:c r="Q589" s="54" t="n">
        <x:f>P589-E589</x:f>
        <x:v>-12.048474184194049</x:v>
      </x:c>
      <x:c r="R589" s="16" t="str">
        <x:v>Yes</x:v>
      </x:c>
      <x:c r="S589" s="56" t="n">
        <x:v>11504</x:v>
      </x:c>
      <x:c r="T589" s="56" t="n">
        <x:v>10993</x:v>
      </x:c>
      <x:c r="U589" s="40" t="n">
        <x:f>E589*Assumptions!$B$8</x:f>
        <x:v>442</x:v>
      </x:c>
      <x:c r="V589" s="40" t="n">
        <x:f>P589*Assumptions!$B$8</x:f>
        <x:v>431.7587969434351</x:v>
      </x:c>
      <x:c r="W589" s="54" t="n">
        <x:f>V589-U589</x:f>
        <x:v>-10.241203056564927</x:v>
      </x:c>
      <x:c r="X589" s="58" t="n">
        <x:f>IF(R589="No","",W589*S589)</x:f>
        <x:v>-117814.79996272293</x:v>
      </x:c>
      <x:c r="Y589" s="58" t="n">
        <x:f>IF(R589="No","",W589*T589*Assumptions!$B$9)</x:f>
        <x:v>-33774.46356024547</x:v>
      </x:c>
      <x:c r="Z589" s="58" t="n">
        <x:f>IF(R589="No","",X589-Y589)</x:f>
        <x:v>-84040.33640247746</x:v>
      </x:c>
      <x:c r="AA589" s="58" t="n">
        <x:f>IF(R589="No","",MAX(0,-Z589))</x:f>
        <x:v>84040.33640247746</x:v>
      </x:c>
      <x:c r="AB589" s="52" t="n">
        <x:f>IF(OR(R589="No",U589*S589=0),"",AA589/(U589*S589))</x:f>
        <x:v>0.016527860543977122</x:v>
      </x:c>
      <x:c r="AC589" s="54" t="n">
        <x:f>IF(OR(R589="No",S589-T589*Assumptions!$B$9&lt;=0),"",AA589/(Assumptions!$B$8*(S589-T589*Assumptions!$B$9)))</x:f>
        <x:v>12.048474184194033</x:v>
      </x:c>
      <x:c r="AD589" s="52" t="n">
        <x:f>IF(OR(R589="No",U589*S589=0),"",AA589/(U589*S589))</x:f>
        <x:v>0.016527860543977122</x:v>
      </x:c>
      <x:c r="AE589" s="50" t="str">
        <x:f>IF(R589="No","No finance data",IF(AB589&gt;=10%,"Severe",IF(AB589&gt;=5%,"High",IF(AB589&gt;=2%,"Moderate","Low"))))</x:f>
        <x:v>Low</x:v>
      </x:c>
      <x:c r="AF589" s="60" t="n">
        <x:v>32.483335</x:v>
      </x:c>
      <x:c r="AG589" s="60" t="n">
        <x:v>-93.730834</x:v>
      </x:c>
      <x:c r="AH589" s="44" t="str">
        <x:v>Undergraduate tuition-contribution proxy only; not an audited total institutional budget.</x:v>
      </x:c>
    </x:row>
    <x:row r="590">
      <x:c r="A590" s="16" t="n">
        <x:v>158802</x:v>
      </x:c>
      <x:c r="B590" s="16" t="str">
        <x:v>Dillard University</x:v>
      </x:c>
      <x:c r="C590" s="16" t="str">
        <x:v>LA</x:v>
      </x:c>
      <x:c r="D590" s="16" t="str">
        <x:v>Private nonprofit</x:v>
      </x:c>
      <x:c r="E590" s="34" t="n">
        <x:v>1185</x:v>
      </x:c>
      <x:c r="F590" s="21" t="n">
        <x:v>0.5522</x:v>
      </x:c>
      <x:c r="G590" s="16" t="str">
        <x:v>Regional</x:v>
      </x:c>
      <x:c r="H590" s="36" t="n">
        <x:f>IF(G590="National",Assumptions!$B$11,IF(G590="Statewide",Assumptions!$B$12,Assumptions!$B$13))</x:f>
        <x:v>0.85</x:v>
      </x:c>
      <x:c r="I590" s="21" t="n">
        <x:v>-0.047864755328730135</x:v>
      </x:c>
      <x:c r="J590" s="21" t="n">
        <x:v>-0.018894476133293314</x:v>
      </x:c>
      <x:c r="K590" s="21" t="n">
        <x:v>-0.11698814169918947</x:v>
      </x:c>
      <x:c r="L590" s="36" t="n">
        <x:f>IF(Assumptions!$B$4=2030,I590,IF(Assumptions!$B$4=2035,J590,K590))</x:f>
        <x:v>-0.018894476133293314</x:v>
      </x:c>
      <x:c r="M590" s="36" t="n">
        <x:f>Assumptions!$B$19</x:f>
        <x:v>-0.04739891965741583</x:v>
      </x:c>
      <x:c r="N590" s="52" t="n">
        <x:f>H590*L590+(1-H590)*M590+O590</x:f>
        <x:v>-0.02317014266191169</x:v>
      </x:c>
      <x:c r="O590" s="36" t="n">
        <x:f>Assumptions!$B$10</x:f>
        <x:v>0</x:v>
      </x:c>
      <x:c r="P590" s="54" t="n">
        <x:f>E590*(1+N590)</x:f>
        <x:v>1157.5433809456347</x:v>
      </x:c>
      <x:c r="Q590" s="54" t="n">
        <x:f>P590-E590</x:f>
        <x:v>-27.45661905436532</x:v>
      </x:c>
      <x:c r="R590" s="16" t="str">
        <x:v>Yes</x:v>
      </x:c>
      <x:c r="S590" s="56" t="n">
        <x:v>8030</x:v>
      </x:c>
      <x:c r="T590" s="56" t="n">
        <x:v>7150</x:v>
      </x:c>
      <x:c r="U590" s="40" t="n">
        <x:f>E590*Assumptions!$B$8</x:f>
        <x:v>1007.25</x:v>
      </x:c>
      <x:c r="V590" s="40" t="n">
        <x:f>P590*Assumptions!$B$8</x:f>
        <x:v>983.9118738037895</x:v>
      </x:c>
      <x:c r="W590" s="54" t="n">
        <x:f>V590-U590</x:f>
        <x:v>-23.33812619621051</x:v>
      </x:c>
      <x:c r="X590" s="58" t="n">
        <x:f>IF(R590="No","",W590*S590)</x:f>
        <x:v>-187405.1533555704</x:v>
      </x:c>
      <x:c r="Y590" s="58" t="n">
        <x:f>IF(R590="No","",W590*T590*Assumptions!$B$9)</x:f>
        <x:v>-50060.28069087154</x:v>
      </x:c>
      <x:c r="Z590" s="58" t="n">
        <x:f>IF(R590="No","",X590-Y590)</x:f>
        <x:v>-137344.87266469887</x:v>
      </x:c>
      <x:c r="AA590" s="58" t="n">
        <x:f>IF(R590="No","",MAX(0,-Z590))</x:f>
        <x:v>137344.87266469887</x:v>
      </x:c>
      <x:c r="AB590" s="52" t="n">
        <x:f>IF(OR(R590="No",U590*S590=0),"",AA590/(U590*S590))</x:f>
        <x:v>0.01698085797825032</x:v>
      </x:c>
      <x:c r="AC590" s="54" t="n">
        <x:f>IF(OR(R590="No",S590-T590*Assumptions!$B$9&lt;=0),"",AA590/(Assumptions!$B$8*(S590-T590*Assumptions!$B$9)))</x:f>
        <x:v>27.45661905436531</x:v>
      </x:c>
      <x:c r="AD590" s="52" t="n">
        <x:f>IF(OR(R590="No",U590*S590=0),"",AA590/(U590*S590))</x:f>
        <x:v>0.01698085797825032</x:v>
      </x:c>
      <x:c r="AE590" s="50" t="str">
        <x:f>IF(R590="No","No finance data",IF(AB590&gt;=10%,"Severe",IF(AB590&gt;=5%,"High",IF(AB590&gt;=2%,"Moderate","Low"))))</x:f>
        <x:v>Low</x:v>
      </x:c>
      <x:c r="AF590" s="60" t="n">
        <x:v>29.996587</x:v>
      </x:c>
      <x:c r="AG590" s="60" t="n">
        <x:v>-90.06464</x:v>
      </x:c>
      <x:c r="AH590" s="44" t="str">
        <x:v>Undergraduate tuition-contribution proxy only; not an audited total institutional budget.</x:v>
      </x:c>
    </x:row>
    <x:row r="591">
      <x:c r="A591" s="16" t="n">
        <x:v>159009</x:v>
      </x:c>
      <x:c r="B591" s="16" t="str">
        <x:v>Grambling State University</x:v>
      </x:c>
      <x:c r="C591" s="16" t="str">
        <x:v>LA</x:v>
      </x:c>
      <x:c r="D591" s="16" t="str">
        <x:v>Public</x:v>
      </x:c>
      <x:c r="E591" s="34" t="n">
        <x:v>3567</x:v>
      </x:c>
      <x:c r="F591" s="21" t="n">
        <x:v>0.7246</x:v>
      </x:c>
      <x:c r="G591" s="16" t="str">
        <x:v>Regional</x:v>
      </x:c>
      <x:c r="H591" s="36" t="n">
        <x:f>IF(G591="National",Assumptions!$B$11,IF(G591="Statewide",Assumptions!$B$12,Assumptions!$B$13))</x:f>
        <x:v>0.85</x:v>
      </x:c>
      <x:c r="I591" s="21" t="n">
        <x:v>-0.047864755328730135</x:v>
      </x:c>
      <x:c r="J591" s="21" t="n">
        <x:v>-0.018894476133293314</x:v>
      </x:c>
      <x:c r="K591" s="21" t="n">
        <x:v>-0.11698814169918947</x:v>
      </x:c>
      <x:c r="L591" s="36" t="n">
        <x:f>IF(Assumptions!$B$4=2030,I591,IF(Assumptions!$B$4=2035,J591,K591))</x:f>
        <x:v>-0.018894476133293314</x:v>
      </x:c>
      <x:c r="M591" s="36" t="n">
        <x:f>Assumptions!$B$19</x:f>
        <x:v>-0.04739891965741583</x:v>
      </x:c>
      <x:c r="N591" s="52" t="n">
        <x:f>H591*L591+(1-H591)*M591+O591</x:f>
        <x:v>-0.02317014266191169</x:v>
      </x:c>
      <x:c r="O591" s="36" t="n">
        <x:f>Assumptions!$B$10</x:f>
        <x:v>0</x:v>
      </x:c>
      <x:c r="P591" s="54" t="n">
        <x:f>E591*(1+N591)</x:f>
        <x:v>3484.3521011249613</x:v>
      </x:c>
      <x:c r="Q591" s="54" t="n">
        <x:f>P591-E591</x:f>
        <x:v>-82.64789887503866</x:v>
      </x:c>
      <x:c r="R591" s="16" t="str">
        <x:v>Yes</x:v>
      </x:c>
      <x:c r="S591" s="56" t="n">
        <x:v>5407</x:v>
      </x:c>
      <x:c r="T591" s="56" t="n">
        <x:v>3792</x:v>
      </x:c>
      <x:c r="U591" s="40" t="n">
        <x:f>E591*Assumptions!$B$8</x:f>
        <x:v>3031.95</x:v>
      </x:c>
      <x:c r="V591" s="40" t="n">
        <x:f>P591*Assumptions!$B$8</x:f>
        <x:v>2961.699285956217</x:v>
      </x:c>
      <x:c r="W591" s="54" t="n">
        <x:f>V591-U591</x:f>
        <x:v>-70.25071404378286</x:v>
      </x:c>
      <x:c r="X591" s="58" t="n">
        <x:f>IF(R591="No","",W591*S591)</x:f>
        <x:v>-379845.61083473393</x:v>
      </x:c>
      <x:c r="Y591" s="58" t="n">
        <x:f>IF(R591="No","",W591*T591*Assumptions!$B$9)</x:f>
        <x:v>-79917.21229620738</x:v>
      </x:c>
      <x:c r="Z591" s="58" t="n">
        <x:f>IF(R591="No","",X591-Y591)</x:f>
        <x:v>-299928.39853852656</x:v>
      </x:c>
      <x:c r="AA591" s="58" t="n">
        <x:f>IF(R591="No","",MAX(0,-Z591))</x:f>
        <x:v>299928.39853852656</x:v>
      </x:c>
      <x:c r="AB591" s="52" t="n">
        <x:f>IF(OR(R591="No",U591*S591=0),"",AA591/(U591*S591))</x:f>
        <x:v>0.018295285200807355</x:v>
      </x:c>
      <x:c r="AC591" s="54" t="n">
        <x:f>IF(OR(R591="No",S591-T591*Assumptions!$B$9&lt;=0),"",AA591/(Assumptions!$B$8*(S591-T591*Assumptions!$B$9)))</x:f>
        <x:v>82.64789887503866</x:v>
      </x:c>
      <x:c r="AD591" s="52" t="n">
        <x:f>IF(OR(R591="No",U591*S591=0),"",AA591/(U591*S591))</x:f>
        <x:v>0.018295285200807355</x:v>
      </x:c>
      <x:c r="AE591" s="50" t="str">
        <x:f>IF(R591="No","No finance data",IF(AB591&gt;=10%,"Severe",IF(AB591&gt;=5%,"High",IF(AB591&gt;=2%,"Moderate","Low"))))</x:f>
        <x:v>Low</x:v>
      </x:c>
      <x:c r="AF591" s="60" t="n">
        <x:v>32.523797</x:v>
      </x:c>
      <x:c r="AG591" s="60" t="n">
        <x:v>-92.713245</x:v>
      </x:c>
      <x:c r="AH591" s="44" t="str">
        <x:v>Undergraduate tuition-contribution proxy only; not an audited total institutional budget.</x:v>
      </x:c>
    </x:row>
    <x:row r="592">
      <x:c r="A592" s="16" t="n">
        <x:v>159568</x:v>
      </x:c>
      <x:c r="B592" s="16" t="str">
        <x:v>Louisiana College</x:v>
      </x:c>
      <x:c r="C592" s="16" t="str">
        <x:v>LA</x:v>
      </x:c>
      <x:c r="D592" s="16" t="str">
        <x:v>Private nonprofit</x:v>
      </x:c>
      <x:c r="E592" s="34" t="n">
        <x:v>881</x:v>
      </x:c>
      <x:c r="F592" s="21" t="n">
        <x:v>0.7609</x:v>
      </x:c>
      <x:c r="G592" s="16" t="str">
        <x:v>Regional</x:v>
      </x:c>
      <x:c r="H592" s="36" t="n">
        <x:f>IF(G592="National",Assumptions!$B$11,IF(G592="Statewide",Assumptions!$B$12,Assumptions!$B$13))</x:f>
        <x:v>0.85</x:v>
      </x:c>
      <x:c r="I592" s="21" t="n">
        <x:v>-0.047864755328730135</x:v>
      </x:c>
      <x:c r="J592" s="21" t="n">
        <x:v>-0.018894476133293314</x:v>
      </x:c>
      <x:c r="K592" s="21" t="n">
        <x:v>-0.11698814169918947</x:v>
      </x:c>
      <x:c r="L592" s="36" t="n">
        <x:f>IF(Assumptions!$B$4=2030,I592,IF(Assumptions!$B$4=2035,J592,K592))</x:f>
        <x:v>-0.018894476133293314</x:v>
      </x:c>
      <x:c r="M592" s="36" t="n">
        <x:f>Assumptions!$B$19</x:f>
        <x:v>-0.04739891965741583</x:v>
      </x:c>
      <x:c r="N592" s="52" t="n">
        <x:f>H592*L592+(1-H592)*M592+O592</x:f>
        <x:v>-0.02317014266191169</x:v>
      </x:c>
      <x:c r="O592" s="36" t="n">
        <x:f>Assumptions!$B$10</x:f>
        <x:v>0</x:v>
      </x:c>
      <x:c r="P592" s="54" t="n">
        <x:f>E592*(1+N592)</x:f>
        <x:v>860.5871043148559</x:v>
      </x:c>
      <x:c r="Q592" s="54" t="n">
        <x:f>P592-E592</x:f>
        <x:v>-20.41289568514412</x:v>
      </x:c>
      <x:c r="R592" s="16" t="str">
        <x:v>Yes</x:v>
      </x:c>
      <x:c r="S592" s="56" t="n">
        <x:v>9811</x:v>
      </x:c>
      <x:c r="T592" s="56" t="n">
        <x:v>7840</x:v>
      </x:c>
      <x:c r="U592" s="40" t="n">
        <x:f>E592*Assumptions!$B$8</x:f>
        <x:v>748.85</x:v>
      </x:c>
      <x:c r="V592" s="40" t="n">
        <x:f>P592*Assumptions!$B$8</x:f>
        <x:v>731.4990386676275</x:v>
      </x:c>
      <x:c r="W592" s="54" t="n">
        <x:f>V592-U592</x:f>
        <x:v>-17.35096133237255</x:v>
      </x:c>
      <x:c r="X592" s="58" t="n">
        <x:f>IF(R592="No","",W592*S592)</x:f>
        <x:v>-170230.28163190707</x:v>
      </x:c>
      <x:c r="Y592" s="58" t="n">
        <x:f>IF(R592="No","",W592*T592*Assumptions!$B$9)</x:f>
        <x:v>-40809.46105374023</x:v>
      </x:c>
      <x:c r="Z592" s="58" t="n">
        <x:f>IF(R592="No","",X592-Y592)</x:f>
        <x:v>-129420.82057816684</x:v>
      </x:c>
      <x:c r="AA592" s="58" t="n">
        <x:f>IF(R592="No","",MAX(0,-Z592))</x:f>
        <x:v>129420.82057816684</x:v>
      </x:c>
      <x:c r="AB592" s="52" t="n">
        <x:f>IF(OR(R592="No",U592*S592=0),"",AA592/(U592*S592))</x:f>
        <x:v>0.017615543177576097</x:v>
      </x:c>
      <x:c r="AC592" s="54" t="n">
        <x:f>IF(OR(R592="No",S592-T592*Assumptions!$B$9&lt;=0),"",AA592/(Assumptions!$B$8*(S592-T592*Assumptions!$B$9)))</x:f>
        <x:v>20.412895685144175</x:v>
      </x:c>
      <x:c r="AD592" s="52" t="n">
        <x:f>IF(OR(R592="No",U592*S592=0),"",AA592/(U592*S592))</x:f>
        <x:v>0.017615543177576097</x:v>
      </x:c>
      <x:c r="AE592" s="50" t="str">
        <x:f>IF(R592="No","No finance data",IF(AB592&gt;=10%,"Severe",IF(AB592&gt;=5%,"High",IF(AB592&gt;=2%,"Moderate","Low"))))</x:f>
        <x:v>Low</x:v>
      </x:c>
      <x:c r="AF592" s="60" t="n">
        <x:v>31.324528</x:v>
      </x:c>
      <x:c r="AG592" s="60" t="n">
        <x:v>-92.425973</x:v>
      </x:c>
      <x:c r="AH592" s="44" t="str">
        <x:v>Undergraduate tuition-contribution proxy only; not an audited total institutional budget.</x:v>
      </x:c>
    </x:row>
    <x:row r="593">
      <x:c r="A593" s="16" t="n">
        <x:v>159373</x:v>
      </x:c>
      <x:c r="B593" s="16" t="str">
        <x:v>Louisiana State University Health Sciences Center-New Orleans</x:v>
      </x:c>
      <x:c r="C593" s="16" t="str">
        <x:v>LA</x:v>
      </x:c>
      <x:c r="D593" s="16" t="str">
        <x:v>Public</x:v>
      </x:c>
      <x:c r="E593" s="34" t="n">
        <x:v>877</x:v>
      </x:c>
      <x:c r="F593" s="21"/>
      <x:c r="G593" s="16" t="str">
        <x:v>Regional</x:v>
      </x:c>
      <x:c r="H593" s="36" t="n">
        <x:f>IF(G593="National",Assumptions!$B$11,IF(G593="Statewide",Assumptions!$B$12,Assumptions!$B$13))</x:f>
        <x:v>0.85</x:v>
      </x:c>
      <x:c r="I593" s="21" t="n">
        <x:v>-0.047864755328730135</x:v>
      </x:c>
      <x:c r="J593" s="21" t="n">
        <x:v>-0.018894476133293314</x:v>
      </x:c>
      <x:c r="K593" s="21" t="n">
        <x:v>-0.11698814169918947</x:v>
      </x:c>
      <x:c r="L593" s="36" t="n">
        <x:f>IF(Assumptions!$B$4=2030,I593,IF(Assumptions!$B$4=2035,J593,K593))</x:f>
        <x:v>-0.018894476133293314</x:v>
      </x:c>
      <x:c r="M593" s="36" t="n">
        <x:f>Assumptions!$B$19</x:f>
        <x:v>-0.04739891965741583</x:v>
      </x:c>
      <x:c r="N593" s="52" t="n">
        <x:f>H593*L593+(1-H593)*M593+O593</x:f>
        <x:v>-0.02317014266191169</x:v>
      </x:c>
      <x:c r="O593" s="36" t="n">
        <x:f>Assumptions!$B$10</x:f>
        <x:v>0</x:v>
      </x:c>
      <x:c r="P593" s="54" t="n">
        <x:f>E593*(1+N593)</x:f>
        <x:v>856.6797848855035</x:v>
      </x:c>
      <x:c r="Q593" s="54" t="n">
        <x:f>P593-E593</x:f>
        <x:v>-20.320215114496477</x:v>
      </x:c>
      <x:c r="R593" s="16" t="str">
        <x:v>Yes</x:v>
      </x:c>
      <x:c r="S593" s="56" t="n">
        <x:v>19682</x:v>
      </x:c>
      <x:c r="T593" s="56" t="n">
        <x:v>70619</x:v>
      </x:c>
      <x:c r="U593" s="40" t="n">
        <x:f>E593*Assumptions!$B$8</x:f>
        <x:v>745.4499999999999</x:v>
      </x:c>
      <x:c r="V593" s="40" t="n">
        <x:f>P593*Assumptions!$B$8</x:f>
        <x:v>728.177817152678</x:v>
      </x:c>
      <x:c r="W593" s="54" t="n">
        <x:f>V593-U593</x:f>
        <x:v>-17.272182847321915</x:v>
      </x:c>
      <x:c r="X593" s="58" t="n">
        <x:f>IF(R593="No","",W593*S593)</x:f>
        <x:v>-339951.10280098993</x:v>
      </x:c>
      <x:c r="Y593" s="58" t="n">
        <x:f>IF(R593="No","",W593*T593*Assumptions!$B$9)</x:f>
        <x:v>-365923.2841485079</x:v>
      </x:c>
      <x:c r="Z593" s="58" t="n">
        <x:f>IF(R593="No","",X593-Y593)</x:f>
        <x:v>25972.181347517995</x:v>
      </x:c>
      <x:c r="AA593" s="58" t="n">
        <x:f>IF(R593="No","",MAX(0,-Z593))</x:f>
        <x:v>0</x:v>
      </x:c>
      <x:c r="AB593" s="52" t="n">
        <x:f>IF(OR(R593="No",U593*S593=0),"",AA593/(U593*S593))</x:f>
        <x:v>0</x:v>
      </x:c>
      <x:c r="AC593" s="54" t="str">
        <x:f>IF(OR(R593="No",S593-T593*Assumptions!$B$9&lt;=0),"",AA593/(Assumptions!$B$8*(S593-T593*Assumptions!$B$9)))</x:f>
      </x:c>
      <x:c r="AD593" s="52" t="n">
        <x:f>IF(OR(R593="No",U593*S593=0),"",AA593/(U593*S593))</x:f>
        <x:v>0</x:v>
      </x:c>
      <x:c r="AE593" s="50" t="str">
        <x:f>IF(R593="No","No finance data",IF(AB593&gt;=10%,"Severe",IF(AB593&gt;=5%,"High",IF(AB593&gt;=2%,"Moderate","Low"))))</x:f>
        <x:v>Low</x:v>
      </x:c>
      <x:c r="AF593" s="60" t="n">
        <x:v>29.957272</x:v>
      </x:c>
      <x:c r="AG593" s="60" t="n">
        <x:v>-90.083145</x:v>
      </x:c>
      <x:c r="AH593" s="44" t="str">
        <x:v>Undergraduate tuition-contribution proxy only; not an audited total institutional budget.</x:v>
      </x:c>
    </x:row>
    <x:row r="594">
      <x:c r="A594" s="16" t="n">
        <x:v>435000</x:v>
      </x:c>
      <x:c r="B594" s="16" t="str">
        <x:v>Louisiana State University Health Sciences Center-Shreveport</x:v>
      </x:c>
      <x:c r="C594" s="16" t="str">
        <x:v>LA</x:v>
      </x:c>
      <x:c r="D594" s="16" t="str">
        <x:v>Public</x:v>
      </x:c>
      <x:c r="E594" s="34" t="n">
        <x:v>39</x:v>
      </x:c>
      <x:c r="F594" s="21"/>
      <x:c r="G594" s="16" t="str">
        <x:v>Regional</x:v>
      </x:c>
      <x:c r="H594" s="36" t="n">
        <x:f>IF(G594="National",Assumptions!$B$11,IF(G594="Statewide",Assumptions!$B$12,Assumptions!$B$13))</x:f>
        <x:v>0.85</x:v>
      </x:c>
      <x:c r="I594" s="21" t="n">
        <x:v>-0.047864755328730135</x:v>
      </x:c>
      <x:c r="J594" s="21" t="n">
        <x:v>-0.018894476133293314</x:v>
      </x:c>
      <x:c r="K594" s="21" t="n">
        <x:v>-0.11698814169918947</x:v>
      </x:c>
      <x:c r="L594" s="36" t="n">
        <x:f>IF(Assumptions!$B$4=2030,I594,IF(Assumptions!$B$4=2035,J594,K594))</x:f>
        <x:v>-0.018894476133293314</x:v>
      </x:c>
      <x:c r="M594" s="36" t="n">
        <x:f>Assumptions!$B$19</x:f>
        <x:v>-0.04739891965741583</x:v>
      </x:c>
      <x:c r="N594" s="52" t="n">
        <x:f>H594*L594+(1-H594)*M594+O594</x:f>
        <x:v>-0.02317014266191169</x:v>
      </x:c>
      <x:c r="O594" s="36" t="n">
        <x:f>Assumptions!$B$10</x:f>
        <x:v>0</x:v>
      </x:c>
      <x:c r="P594" s="54" t="n">
        <x:f>E594*(1+N594)</x:f>
        <x:v>38.096364436185446</x:v>
      </x:c>
      <x:c r="Q594" s="54" t="n">
        <x:f>P594-E594</x:f>
        <x:v>-0.9036355638145537</x:v>
      </x:c>
      <x:c r="R594" s="16" t="str">
        <x:v>No</x:v>
      </x:c>
      <x:c r="S594" s="56"/>
      <x:c r="T594" s="56"/>
      <x:c r="U594" s="40" t="n">
        <x:f>E594*Assumptions!$B$8</x:f>
        <x:v>33.15</x:v>
      </x:c>
      <x:c r="V594" s="40" t="n">
        <x:f>P594*Assumptions!$B$8</x:f>
        <x:v>32.38190977075763</x:v>
      </x:c>
      <x:c r="W594" s="54" t="n">
        <x:f>V594-U594</x:f>
        <x:v>-0.7680902292423681</x:v>
      </x:c>
      <x:c r="X594" s="58" t="str">
        <x:f>IF(R594="No","",W594*S594)</x:f>
      </x:c>
      <x:c r="Y594" s="58" t="str">
        <x:f>IF(R594="No","",W594*T594*Assumptions!$B$9)</x:f>
      </x:c>
      <x:c r="Z594" s="58" t="str">
        <x:f>IF(R594="No","",X594-Y594)</x:f>
      </x:c>
      <x:c r="AA594" s="58" t="str">
        <x:f>IF(R594="No","",MAX(0,-Z594))</x:f>
      </x:c>
      <x:c r="AB594" s="52" t="str">
        <x:f>IF(OR(R594="No",U594*S594=0),"",AA594/(U594*S594))</x:f>
      </x:c>
      <x:c r="AC594" s="54" t="str">
        <x:f>IF(OR(R594="No",S594-T594*Assumptions!$B$9&lt;=0),"",AA594/(Assumptions!$B$8*(S594-T594*Assumptions!$B$9)))</x:f>
      </x:c>
      <x:c r="AD594" s="52" t="str">
        <x:f>IF(OR(R594="No",U594*S594=0),"",AA594/(U594*S594))</x:f>
      </x:c>
      <x:c r="AE594" s="50" t="str">
        <x:f>IF(R594="No","No finance data",IF(AB594&gt;=10%,"Severe",IF(AB594&gt;=5%,"High",IF(AB594&gt;=2%,"Moderate","Low"))))</x:f>
        <x:v>No finance data</x:v>
      </x:c>
      <x:c r="AF594" s="60"/>
      <x:c r="AG594" s="60"/>
      <x:c r="AH594" s="44" t="str">
        <x:v>Undergraduate tuition-contribution proxy only; not an audited total institutional budget.</x:v>
      </x:c>
    </x:row>
    <x:row r="595">
      <x:c r="A595" s="16" t="n">
        <x:v>159391</x:v>
      </x:c>
      <x:c r="B595" s="16" t="str">
        <x:v>Louisiana State University and Agricultural &amp; Mechanical College</x:v>
      </x:c>
      <x:c r="C595" s="16" t="str">
        <x:v>LA</x:v>
      </x:c>
      <x:c r="D595" s="16" t="str">
        <x:v>Public</x:v>
      </x:c>
      <x:c r="E595" s="34" t="n">
        <x:v>24904</x:v>
      </x:c>
      <x:c r="F595" s="21" t="n">
        <x:v>0.7086</x:v>
      </x:c>
      <x:c r="G595" s="16" t="str">
        <x:v>Statewide</x:v>
      </x:c>
      <x:c r="H595" s="36" t="n">
        <x:f>IF(G595="National",Assumptions!$B$11,IF(G595="Statewide",Assumptions!$B$12,Assumptions!$B$13))</x:f>
        <x:v>0.6</x:v>
      </x:c>
      <x:c r="I595" s="21" t="n">
        <x:v>-0.047864755328730135</x:v>
      </x:c>
      <x:c r="J595" s="21" t="n">
        <x:v>-0.018894476133293314</x:v>
      </x:c>
      <x:c r="K595" s="21" t="n">
        <x:v>-0.11698814169918947</x:v>
      </x:c>
      <x:c r="L595" s="36" t="n">
        <x:f>IF(Assumptions!$B$4=2030,I595,IF(Assumptions!$B$4=2035,J595,K595))</x:f>
        <x:v>-0.018894476133293314</x:v>
      </x:c>
      <x:c r="M595" s="36" t="n">
        <x:f>Assumptions!$B$19</x:f>
        <x:v>-0.04739891965741583</x:v>
      </x:c>
      <x:c r="N595" s="52" t="n">
        <x:f>H595*L595+(1-H595)*M595+O595</x:f>
        <x:v>-0.03029625354294232</x:v>
      </x:c>
      <x:c r="O595" s="36" t="n">
        <x:f>Assumptions!$B$10</x:f>
        <x:v>0</x:v>
      </x:c>
      <x:c r="P595" s="54" t="n">
        <x:f>E595*(1+N595)</x:f>
        <x:v>24149.502101766564</x:v>
      </x:c>
      <x:c r="Q595" s="54" t="n">
        <x:f>P595-E595</x:f>
        <x:v>-754.497898233436</x:v>
      </x:c>
      <x:c r="R595" s="16" t="str">
        <x:v>Yes</x:v>
      </x:c>
      <x:c r="S595" s="56" t="n">
        <x:v>11920</x:v>
      </x:c>
      <x:c r="T595" s="56" t="n">
        <x:v>10678</x:v>
      </x:c>
      <x:c r="U595" s="40" t="n">
        <x:f>E595*Assumptions!$B$8</x:f>
        <x:v>21168.399999999998</x:v>
      </x:c>
      <x:c r="V595" s="40" t="n">
        <x:f>P595*Assumptions!$B$8</x:f>
        <x:v>20527.07678650158</x:v>
      </x:c>
      <x:c r="W595" s="54" t="n">
        <x:f>V595-U595</x:f>
        <x:v>-641.3232134984173</x:v>
      </x:c>
      <x:c r="X595" s="58" t="n">
        <x:f>IF(R595="No","",W595*S595)</x:f>
        <x:v>-7644572.704901135</x:v>
      </x:c>
      <x:c r="Y595" s="58" t="n">
        <x:f>IF(R595="No","",W595*T595*Assumptions!$B$9)</x:f>
        <x:v>-2054414.78212083</x:v>
      </x:c>
      <x:c r="Z595" s="58" t="n">
        <x:f>IF(R595="No","",X595-Y595)</x:f>
        <x:v>-5590157.922780305</x:v>
      </x:c>
      <x:c r="AA595" s="58" t="n">
        <x:f>IF(R595="No","",MAX(0,-Z595))</x:f>
        <x:v>5590157.922780305</x:v>
      </x:c>
      <x:c r="AB595" s="52" t="n">
        <x:f>IF(OR(R595="No",U595*S595=0),"",AA595/(U595*S595))</x:f>
        <x:v>0.02215438956647734</x:v>
      </x:c>
      <x:c r="AC595" s="54" t="n">
        <x:f>IF(OR(R595="No",S595-T595*Assumptions!$B$9&lt;=0),"",AA595/(Assumptions!$B$8*(S595-T595*Assumptions!$B$9)))</x:f>
        <x:v>754.4978982334322</x:v>
      </x:c>
      <x:c r="AD595" s="52" t="n">
        <x:f>IF(OR(R595="No",U595*S595=0),"",AA595/(U595*S595))</x:f>
        <x:v>0.02215438956647734</x:v>
      </x:c>
      <x:c r="AE595" s="50" t="str">
        <x:f>IF(R595="No","No finance data",IF(AB595&gt;=10%,"Severe",IF(AB595&gt;=5%,"High",IF(AB595&gt;=2%,"Moderate","Low"))))</x:f>
        <x:v>Moderate</x:v>
      </x:c>
      <x:c r="AF595" s="60" t="n">
        <x:v>30.414986</x:v>
      </x:c>
      <x:c r="AG595" s="60" t="n">
        <x:v>-91.178921</x:v>
      </x:c>
      <x:c r="AH595" s="44" t="str">
        <x:v>Undergraduate tuition-contribution proxy only; not an audited total institutional budget.</x:v>
      </x:c>
    </x:row>
    <x:row r="596">
      <x:c r="A596" s="16" t="n">
        <x:v>159382</x:v>
      </x:c>
      <x:c r="B596" s="16" t="str">
        <x:v>Louisiana State University-Alexandria</x:v>
      </x:c>
      <x:c r="C596" s="16" t="str">
        <x:v>LA</x:v>
      </x:c>
      <x:c r="D596" s="16" t="str">
        <x:v>Public</x:v>
      </x:c>
      <x:c r="E596" s="34" t="n">
        <x:v>2488</x:v>
      </x:c>
      <x:c r="F596" s="21" t="n">
        <x:v>0.5829</x:v>
      </x:c>
      <x:c r="G596" s="16" t="str">
        <x:v>Regional</x:v>
      </x:c>
      <x:c r="H596" s="36" t="n">
        <x:f>IF(G596="National",Assumptions!$B$11,IF(G596="Statewide",Assumptions!$B$12,Assumptions!$B$13))</x:f>
        <x:v>0.85</x:v>
      </x:c>
      <x:c r="I596" s="21" t="n">
        <x:v>-0.047864755328730135</x:v>
      </x:c>
      <x:c r="J596" s="21" t="n">
        <x:v>-0.018894476133293314</x:v>
      </x:c>
      <x:c r="K596" s="21" t="n">
        <x:v>-0.11698814169918947</x:v>
      </x:c>
      <x:c r="L596" s="36" t="n">
        <x:f>IF(Assumptions!$B$4=2030,I596,IF(Assumptions!$B$4=2035,J596,K596))</x:f>
        <x:v>-0.018894476133293314</x:v>
      </x:c>
      <x:c r="M596" s="36" t="n">
        <x:f>Assumptions!$B$19</x:f>
        <x:v>-0.04739891965741583</x:v>
      </x:c>
      <x:c r="N596" s="52" t="n">
        <x:f>H596*L596+(1-H596)*M596+O596</x:f>
        <x:v>-0.02317014266191169</x:v>
      </x:c>
      <x:c r="O596" s="36" t="n">
        <x:f>Assumptions!$B$10</x:f>
        <x:v>0</x:v>
      </x:c>
      <x:c r="P596" s="54" t="n">
        <x:f>E596*(1+N596)</x:f>
        <x:v>2430.352685057164</x:v>
      </x:c>
      <x:c r="Q596" s="54" t="n">
        <x:f>P596-E596</x:f>
        <x:v>-57.64731494283615</x:v>
      </x:c>
      <x:c r="R596" s="16" t="str">
        <x:v>Yes</x:v>
      </x:c>
      <x:c r="S596" s="56" t="n">
        <x:v>6016</x:v>
      </x:c>
      <x:c r="T596" s="56" t="n">
        <x:v>4237</x:v>
      </x:c>
      <x:c r="U596" s="40" t="n">
        <x:f>E596*Assumptions!$B$8</x:f>
        <x:v>2114.7999999999997</x:v>
      </x:c>
      <x:c r="V596" s="40" t="n">
        <x:f>P596*Assumptions!$B$8</x:f>
        <x:v>2065.7997822985894</x:v>
      </x:c>
      <x:c r="W596" s="54" t="n">
        <x:f>V596-U596</x:f>
        <x:v>-49.00021770141029</x:v>
      </x:c>
      <x:c r="X596" s="58" t="n">
        <x:f>IF(R596="No","",W596*S596)</x:f>
        <x:v>-294785.3096916843</x:v>
      </x:c>
      <x:c r="Y596" s="58" t="n">
        <x:f>IF(R596="No","",W596*T596*Assumptions!$B$9)</x:f>
        <x:v>-62284.17672026262</x:v>
      </x:c>
      <x:c r="Z596" s="58" t="n">
        <x:f>IF(R596="No","",X596-Y596)</x:f>
        <x:v>-232501.1329714217</x:v>
      </x:c>
      <x:c r="AA596" s="58" t="n">
        <x:f>IF(R596="No","",MAX(0,-Z596))</x:f>
        <x:v>232501.1329714217</x:v>
      </x:c>
      <x:c r="AB596" s="52" t="n">
        <x:f>IF(OR(R596="No",U596*S596=0),"",AA596/(U596*S596))</x:f>
        <x:v>0.018274602712184767</x:v>
      </x:c>
      <x:c r="AC596" s="54" t="n">
        <x:f>IF(OR(R596="No",S596-T596*Assumptions!$B$9&lt;=0),"",AA596/(Assumptions!$B$8*(S596-T596*Assumptions!$B$9)))</x:f>
        <x:v>57.64731494283565</x:v>
      </x:c>
      <x:c r="AD596" s="52" t="n">
        <x:f>IF(OR(R596="No",U596*S596=0),"",AA596/(U596*S596))</x:f>
        <x:v>0.018274602712184767</x:v>
      </x:c>
      <x:c r="AE596" s="50" t="str">
        <x:f>IF(R596="No","No finance data",IF(AB596&gt;=10%,"Severe",IF(AB596&gt;=5%,"High",IF(AB596&gt;=2%,"Moderate","Low"))))</x:f>
        <x:v>Low</x:v>
      </x:c>
      <x:c r="AF596" s="60" t="n">
        <x:v>31.178616</x:v>
      </x:c>
      <x:c r="AG596" s="60" t="n">
        <x:v>-92.414409</x:v>
      </x:c>
      <x:c r="AH596" s="44" t="str">
        <x:v>Undergraduate tuition-contribution proxy only; not an audited total institutional budget.</x:v>
      </x:c>
    </x:row>
    <x:row r="597">
      <x:c r="A597" s="16" t="n">
        <x:v>159416</x:v>
      </x:c>
      <x:c r="B597" s="16" t="str">
        <x:v>Louisiana State University-Shreveport</x:v>
      </x:c>
      <x:c r="C597" s="16" t="str">
        <x:v>LA</x:v>
      </x:c>
      <x:c r="D597" s="16" t="str">
        <x:v>Public</x:v>
      </x:c>
      <x:c r="E597" s="34" t="n">
        <x:v>2442</x:v>
      </x:c>
      <x:c r="F597" s="21" t="n">
        <x:v>0.9073</x:v>
      </x:c>
      <x:c r="G597" s="16" t="str">
        <x:v>Regional</x:v>
      </x:c>
      <x:c r="H597" s="36" t="n">
        <x:f>IF(G597="National",Assumptions!$B$11,IF(G597="Statewide",Assumptions!$B$12,Assumptions!$B$13))</x:f>
        <x:v>0.85</x:v>
      </x:c>
      <x:c r="I597" s="21" t="n">
        <x:v>-0.047864755328730135</x:v>
      </x:c>
      <x:c r="J597" s="21" t="n">
        <x:v>-0.018894476133293314</x:v>
      </x:c>
      <x:c r="K597" s="21" t="n">
        <x:v>-0.11698814169918947</x:v>
      </x:c>
      <x:c r="L597" s="36" t="n">
        <x:f>IF(Assumptions!$B$4=2030,I597,IF(Assumptions!$B$4=2035,J597,K597))</x:f>
        <x:v>-0.018894476133293314</x:v>
      </x:c>
      <x:c r="M597" s="36" t="n">
        <x:f>Assumptions!$B$19</x:f>
        <x:v>-0.04739891965741583</x:v>
      </x:c>
      <x:c r="N597" s="52" t="n">
        <x:f>H597*L597+(1-H597)*M597+O597</x:f>
        <x:v>-0.02317014266191169</x:v>
      </x:c>
      <x:c r="O597" s="36" t="n">
        <x:f>Assumptions!$B$10</x:f>
        <x:v>0</x:v>
      </x:c>
      <x:c r="P597" s="54" t="n">
        <x:f>E597*(1+N597)</x:f>
        <x:v>2385.4185116196118</x:v>
      </x:c>
      <x:c r="Q597" s="54" t="n">
        <x:f>P597-E597</x:f>
        <x:v>-56.58148838038824</x:v>
      </x:c>
      <x:c r="R597" s="16" t="str">
        <x:v>Yes</x:v>
      </x:c>
      <x:c r="S597" s="56" t="n">
        <x:v>8038</x:v>
      </x:c>
      <x:c r="T597" s="56" t="n">
        <x:v>6468</x:v>
      </x:c>
      <x:c r="U597" s="40" t="n">
        <x:f>E597*Assumptions!$B$8</x:f>
        <x:v>2075.7</x:v>
      </x:c>
      <x:c r="V597" s="40" t="n">
        <x:f>P597*Assumptions!$B$8</x:f>
        <x:v>2027.6057348766699</x:v>
      </x:c>
      <x:c r="W597" s="54" t="n">
        <x:f>V597-U597</x:f>
        <x:v>-48.09426512332993</x:v>
      </x:c>
      <x:c r="X597" s="58" t="n">
        <x:f>IF(R597="No","",W597*S597)</x:f>
        <x:v>-386581.703061326</x:v>
      </x:c>
      <x:c r="Y597" s="58" t="n">
        <x:f>IF(R597="No","",W597*T597*Assumptions!$B$9)</x:f>
        <x:v>-93322.1120453094</x:v>
      </x:c>
      <x:c r="Z597" s="58" t="n">
        <x:f>IF(R597="No","",X597-Y597)</x:f>
        <x:v>-293259.5910160166</x:v>
      </x:c>
      <x:c r="AA597" s="58" t="n">
        <x:f>IF(R597="No","",MAX(0,-Z597))</x:f>
        <x:v>293259.5910160166</x:v>
      </x:c>
      <x:c r="AB597" s="52" t="n">
        <x:f>IF(OR(R597="No",U597*S597=0),"",AA597/(U597*S597))</x:f>
        <x:v>0.01757679297030011</x:v>
      </x:c>
      <x:c r="AC597" s="54" t="n">
        <x:f>IF(OR(R597="No",S597-T597*Assumptions!$B$9&lt;=0),"",AA597/(Assumptions!$B$8*(S597-T597*Assumptions!$B$9)))</x:f>
        <x:v>56.58148838038816</x:v>
      </x:c>
      <x:c r="AD597" s="52" t="n">
        <x:f>IF(OR(R597="No",U597*S597=0),"",AA597/(U597*S597))</x:f>
        <x:v>0.01757679297030011</x:v>
      </x:c>
      <x:c r="AE597" s="50" t="str">
        <x:f>IF(R597="No","No finance data",IF(AB597&gt;=10%,"Severe",IF(AB597&gt;=5%,"High",IF(AB597&gt;=2%,"Moderate","Low"))))</x:f>
        <x:v>Low</x:v>
      </x:c>
      <x:c r="AF597" s="60" t="n">
        <x:v>32.428465</x:v>
      </x:c>
      <x:c r="AG597" s="60" t="n">
        <x:v>-93.70561</x:v>
      </x:c>
      <x:c r="AH597" s="44" t="str">
        <x:v>Undergraduate tuition-contribution proxy only; not an audited total institutional budget.</x:v>
      </x:c>
    </x:row>
    <x:row r="598">
      <x:c r="A598" s="16" t="n">
        <x:v>159647</x:v>
      </x:c>
      <x:c r="B598" s="16" t="str">
        <x:v>Louisiana Tech University</x:v>
      </x:c>
      <x:c r="C598" s="16" t="str">
        <x:v>LA</x:v>
      </x:c>
      <x:c r="D598" s="16" t="str">
        <x:v>Public</x:v>
      </x:c>
      <x:c r="E598" s="34" t="n">
        <x:v>7629</x:v>
      </x:c>
      <x:c r="F598" s="21" t="n">
        <x:v>0.6583</x:v>
      </x:c>
      <x:c r="G598" s="16" t="str">
        <x:v>Statewide</x:v>
      </x:c>
      <x:c r="H598" s="36" t="n">
        <x:f>IF(G598="National",Assumptions!$B$11,IF(G598="Statewide",Assumptions!$B$12,Assumptions!$B$13))</x:f>
        <x:v>0.6</x:v>
      </x:c>
      <x:c r="I598" s="21" t="n">
        <x:v>-0.047864755328730135</x:v>
      </x:c>
      <x:c r="J598" s="21" t="n">
        <x:v>-0.018894476133293314</x:v>
      </x:c>
      <x:c r="K598" s="21" t="n">
        <x:v>-0.11698814169918947</x:v>
      </x:c>
      <x:c r="L598" s="36" t="n">
        <x:f>IF(Assumptions!$B$4=2030,I598,IF(Assumptions!$B$4=2035,J598,K598))</x:f>
        <x:v>-0.018894476133293314</x:v>
      </x:c>
      <x:c r="M598" s="36" t="n">
        <x:f>Assumptions!$B$19</x:f>
        <x:v>-0.04739891965741583</x:v>
      </x:c>
      <x:c r="N598" s="52" t="n">
        <x:f>H598*L598+(1-H598)*M598+O598</x:f>
        <x:v>-0.03029625354294232</x:v>
      </x:c>
      <x:c r="O598" s="36" t="n">
        <x:f>Assumptions!$B$10</x:f>
        <x:v>0</x:v>
      </x:c>
      <x:c r="P598" s="54" t="n">
        <x:f>E598*(1+N598)</x:f>
        <x:v>7397.869881720893</x:v>
      </x:c>
      <x:c r="Q598" s="54" t="n">
        <x:f>P598-E598</x:f>
        <x:v>-231.13011827910668</x:v>
      </x:c>
      <x:c r="R598" s="16" t="str">
        <x:v>Yes</x:v>
      </x:c>
      <x:c r="S598" s="56" t="n">
        <x:v>8714</x:v>
      </x:c>
      <x:c r="T598" s="56" t="n">
        <x:v>6753</x:v>
      </x:c>
      <x:c r="U598" s="40" t="n">
        <x:f>E598*Assumptions!$B$8</x:f>
        <x:v>6484.65</x:v>
      </x:c>
      <x:c r="V598" s="40" t="n">
        <x:f>P598*Assumptions!$B$8</x:f>
        <x:v>6288.189399462759</x:v>
      </x:c>
      <x:c r="W598" s="54" t="n">
        <x:f>V598-U598</x:f>
        <x:v>-196.46060053724068</x:v>
      </x:c>
      <x:c r="X598" s="58" t="n">
        <x:f>IF(R598="No","",W598*S598)</x:f>
        <x:v>-1711957.6730815154</x:v>
      </x:c>
      <x:c r="Y598" s="58" t="n">
        <x:f>IF(R598="No","",W598*T598*Assumptions!$B$9)</x:f>
        <x:v>-398009.5306283959</x:v>
      </x:c>
      <x:c r="Z598" s="58" t="n">
        <x:f>IF(R598="No","",X598-Y598)</x:f>
        <x:v>-1313948.1424531194</x:v>
      </x:c>
      <x:c r="AA598" s="58" t="n">
        <x:f>IF(R598="No","",MAX(0,-Z598))</x:f>
        <x:v>1313948.1424531194</x:v>
      </x:c>
      <x:c r="AB598" s="52" t="n">
        <x:f>IF(OR(R598="No",U598*S598=0),"",AA598/(U598*S598))</x:f>
        <x:v>0.023252739651199485</x:v>
      </x:c>
      <x:c r="AC598" s="54" t="n">
        <x:f>IF(OR(R598="No",S598-T598*Assumptions!$B$9&lt;=0),"",AA598/(Assumptions!$B$8*(S598-T598*Assumptions!$B$9)))</x:f>
        <x:v>231.13011827910668</x:v>
      </x:c>
      <x:c r="AD598" s="52" t="n">
        <x:f>IF(OR(R598="No",U598*S598=0),"",AA598/(U598*S598))</x:f>
        <x:v>0.023252739651199485</x:v>
      </x:c>
      <x:c r="AE598" s="50" t="str">
        <x:f>IF(R598="No","No finance data",IF(AB598&gt;=10%,"Severe",IF(AB598&gt;=5%,"High",IF(AB598&gt;=2%,"Moderate","Low"))))</x:f>
        <x:v>Moderate</x:v>
      </x:c>
      <x:c r="AF598" s="60" t="n">
        <x:v>32.528297</x:v>
      </x:c>
      <x:c r="AG598" s="60" t="n">
        <x:v>-92.649963</x:v>
      </x:c>
      <x:c r="AH598" s="44" t="str">
        <x:v>Undergraduate tuition-contribution proxy only; not an audited total institutional budget.</x:v>
      </x:c>
    </x:row>
    <x:row r="599">
      <x:c r="A599" s="16" t="n">
        <x:v>159656</x:v>
      </x:c>
      <x:c r="B599" s="16" t="str">
        <x:v>Loyola University New Orleans</x:v>
      </x:c>
      <x:c r="C599" s="16" t="str">
        <x:v>LA</x:v>
      </x:c>
      <x:c r="D599" s="16" t="str">
        <x:v>Private nonprofit</x:v>
      </x:c>
      <x:c r="E599" s="34" t="n">
        <x:v>2572</x:v>
      </x:c>
      <x:c r="F599" s="21" t="n">
        <x:v>0.7827</x:v>
      </x:c>
      <x:c r="G599" s="16" t="str">
        <x:v>Regional</x:v>
      </x:c>
      <x:c r="H599" s="36" t="n">
        <x:f>IF(G599="National",Assumptions!$B$11,IF(G599="Statewide",Assumptions!$B$12,Assumptions!$B$13))</x:f>
        <x:v>0.85</x:v>
      </x:c>
      <x:c r="I599" s="21" t="n">
        <x:v>-0.047864755328730135</x:v>
      </x:c>
      <x:c r="J599" s="21" t="n">
        <x:v>-0.018894476133293314</x:v>
      </x:c>
      <x:c r="K599" s="21" t="n">
        <x:v>-0.11698814169918947</x:v>
      </x:c>
      <x:c r="L599" s="36" t="n">
        <x:f>IF(Assumptions!$B$4=2030,I599,IF(Assumptions!$B$4=2035,J599,K599))</x:f>
        <x:v>-0.018894476133293314</x:v>
      </x:c>
      <x:c r="M599" s="36" t="n">
        <x:f>Assumptions!$B$19</x:f>
        <x:v>-0.04739891965741583</x:v>
      </x:c>
      <x:c r="N599" s="52" t="n">
        <x:f>H599*L599+(1-H599)*M599+O599</x:f>
        <x:v>-0.02317014266191169</x:v>
      </x:c>
      <x:c r="O599" s="36" t="n">
        <x:f>Assumptions!$B$10</x:f>
        <x:v>0</x:v>
      </x:c>
      <x:c r="P599" s="54" t="n">
        <x:f>E599*(1+N599)</x:f>
        <x:v>2512.4063930735633</x:v>
      </x:c>
      <x:c r="Q599" s="54" t="n">
        <x:f>P599-E599</x:f>
        <x:v>-59.59360692643668</x:v>
      </x:c>
      <x:c r="R599" s="16" t="str">
        <x:v>Yes</x:v>
      </x:c>
      <x:c r="S599" s="56" t="n">
        <x:v>14583</x:v>
      </x:c>
      <x:c r="T599" s="56" t="n">
        <x:v>10099</x:v>
      </x:c>
      <x:c r="U599" s="40" t="n">
        <x:f>E599*Assumptions!$B$8</x:f>
        <x:v>2186.2</x:v>
      </x:c>
      <x:c r="V599" s="40" t="n">
        <x:f>P599*Assumptions!$B$8</x:f>
        <x:v>2135.5454341125287</x:v>
      </x:c>
      <x:c r="W599" s="54" t="n">
        <x:f>V599-U599</x:f>
        <x:v>-50.65456588747111</x:v>
      </x:c>
      <x:c r="X599" s="58" t="n">
        <x:f>IF(R599="No","",W599*S599)</x:f>
        <x:v>-738695.5343369911</x:v>
      </x:c>
      <x:c r="Y599" s="58" t="n">
        <x:f>IF(R599="No","",W599*T599*Assumptions!$B$9)</x:f>
        <x:v>-153468.1382692712</x:v>
      </x:c>
      <x:c r="Z599" s="58" t="n">
        <x:f>IF(R599="No","",X599-Y599)</x:f>
        <x:v>-585227.3960677199</x:v>
      </x:c>
      <x:c r="AA599" s="58" t="n">
        <x:f>IF(R599="No","",MAX(0,-Z599))</x:f>
        <x:v>585227.3960677199</x:v>
      </x:c>
      <x:c r="AB599" s="52" t="n">
        <x:f>IF(OR(R599="No",U599*S599=0),"",AA599/(U599*S599))</x:f>
        <x:v>0.018356415635730858</x:v>
      </x:c>
      <x:c r="AC599" s="54" t="n">
        <x:f>IF(OR(R599="No",S599-T599*Assumptions!$B$9&lt;=0),"",AA599/(Assumptions!$B$8*(S599-T599*Assumptions!$B$9)))</x:f>
        <x:v>59.5936069264366</x:v>
      </x:c>
      <x:c r="AD599" s="52" t="n">
        <x:f>IF(OR(R599="No",U599*S599=0),"",AA599/(U599*S599))</x:f>
        <x:v>0.018356415635730858</x:v>
      </x:c>
      <x:c r="AE599" s="50" t="str">
        <x:f>IF(R599="No","No finance data",IF(AB599&gt;=10%,"Severe",IF(AB599&gt;=5%,"High",IF(AB599&gt;=2%,"Moderate","Low"))))</x:f>
        <x:v>Low</x:v>
      </x:c>
      <x:c r="AF599" s="60" t="n">
        <x:v>29.936141</x:v>
      </x:c>
      <x:c r="AG599" s="60" t="n">
        <x:v>-90.120417</x:v>
      </x:c>
      <x:c r="AH599" s="44" t="str">
        <x:v>Undergraduate tuition-contribution proxy only; not an audited total institutional budget.</x:v>
      </x:c>
    </x:row>
    <x:row r="600">
      <x:c r="A600" s="16" t="n">
        <x:v>159717</x:v>
      </x:c>
      <x:c r="B600" s="16" t="str">
        <x:v>McNeese State University</x:v>
      </x:c>
      <x:c r="C600" s="16" t="str">
        <x:v>LA</x:v>
      </x:c>
      <x:c r="D600" s="16" t="str">
        <x:v>Public</x:v>
      </x:c>
      <x:c r="E600" s="34" t="n">
        <x:v>6511</x:v>
      </x:c>
      <x:c r="F600" s="21" t="n">
        <x:v>0.6876</x:v>
      </x:c>
      <x:c r="G600" s="16" t="str">
        <x:v>Statewide</x:v>
      </x:c>
      <x:c r="H600" s="36" t="n">
        <x:f>IF(G600="National",Assumptions!$B$11,IF(G600="Statewide",Assumptions!$B$12,Assumptions!$B$13))</x:f>
        <x:v>0.6</x:v>
      </x:c>
      <x:c r="I600" s="21" t="n">
        <x:v>-0.047864755328730135</x:v>
      </x:c>
      <x:c r="J600" s="21" t="n">
        <x:v>-0.018894476133293314</x:v>
      </x:c>
      <x:c r="K600" s="21" t="n">
        <x:v>-0.11698814169918947</x:v>
      </x:c>
      <x:c r="L600" s="36" t="n">
        <x:f>IF(Assumptions!$B$4=2030,I600,IF(Assumptions!$B$4=2035,J600,K600))</x:f>
        <x:v>-0.018894476133293314</x:v>
      </x:c>
      <x:c r="M600" s="36" t="n">
        <x:f>Assumptions!$B$19</x:f>
        <x:v>-0.04739891965741583</x:v>
      </x:c>
      <x:c r="N600" s="52" t="n">
        <x:f>H600*L600+(1-H600)*M600+O600</x:f>
        <x:v>-0.03029625354294232</x:v>
      </x:c>
      <x:c r="O600" s="36" t="n">
        <x:f>Assumptions!$B$10</x:f>
        <x:v>0</x:v>
      </x:c>
      <x:c r="P600" s="54" t="n">
        <x:f>E600*(1+N600)</x:f>
        <x:v>6313.741093181903</x:v>
      </x:c>
      <x:c r="Q600" s="54" t="n">
        <x:f>P600-E600</x:f>
        <x:v>-197.25890681809688</x:v>
      </x:c>
      <x:c r="R600" s="16" t="str">
        <x:v>Yes</x:v>
      </x:c>
      <x:c r="S600" s="56" t="n">
        <x:v>6113</x:v>
      </x:c>
      <x:c r="T600" s="56" t="n">
        <x:v>4669</x:v>
      </x:c>
      <x:c r="U600" s="40" t="n">
        <x:f>E600*Assumptions!$B$8</x:f>
        <x:v>5534.349999999999</x:v>
      </x:c>
      <x:c r="V600" s="40" t="n">
        <x:f>P600*Assumptions!$B$8</x:f>
        <x:v>5366.679929204617</x:v>
      </x:c>
      <x:c r="W600" s="54" t="n">
        <x:f>V600-U600</x:f>
        <x:v>-167.67007079538234</x:v>
      </x:c>
      <x:c r="X600" s="58" t="n">
        <x:f>IF(R600="No","",W600*S600)</x:f>
        <x:v>-1024967.1427721722</x:v>
      </x:c>
      <x:c r="Y600" s="58" t="n">
        <x:f>IF(R600="No","",W600*T600*Assumptions!$B$9)</x:f>
        <x:v>-234855.46816309204</x:v>
      </x:c>
      <x:c r="Z600" s="58" t="n">
        <x:f>IF(R600="No","",X600-Y600)</x:f>
        <x:v>-790111.6746090802</x:v>
      </x:c>
      <x:c r="AA600" s="58" t="n">
        <x:f>IF(R600="No","",MAX(0,-Z600))</x:f>
        <x:v>790111.6746090802</x:v>
      </x:c>
      <x:c r="AB600" s="52" t="n">
        <x:f>IF(OR(R600="No",U600*S600=0),"",AA600/(U600*S600))</x:f>
        <x:v>0.023354332663243365</x:v>
      </x:c>
      <x:c r="AC600" s="54" t="n">
        <x:f>IF(OR(R600="No",S600-T600*Assumptions!$B$9&lt;=0),"",AA600/(Assumptions!$B$8*(S600-T600*Assumptions!$B$9)))</x:f>
        <x:v>197.25890681809688</x:v>
      </x:c>
      <x:c r="AD600" s="52" t="n">
        <x:f>IF(OR(R600="No",U600*S600=0),"",AA600/(U600*S600))</x:f>
        <x:v>0.023354332663243365</x:v>
      </x:c>
      <x:c r="AE600" s="50" t="str">
        <x:f>IF(R600="No","No finance data",IF(AB600&gt;=10%,"Severe",IF(AB600&gt;=5%,"High",IF(AB600&gt;=2%,"Moderate","Low"))))</x:f>
        <x:v>Moderate</x:v>
      </x:c>
      <x:c r="AF600" s="60" t="n">
        <x:v>30.178187</x:v>
      </x:c>
      <x:c r="AG600" s="60" t="n">
        <x:v>-93.217222</x:v>
      </x:c>
      <x:c r="AH600" s="44" t="str">
        <x:v>Undergraduate tuition-contribution proxy only; not an audited total institutional budget.</x:v>
      </x:c>
    </x:row>
    <x:row r="601">
      <x:c r="A601" s="16" t="n">
        <x:v>159966</x:v>
      </x:c>
      <x:c r="B601" s="16" t="str">
        <x:v>Nicholls State University</x:v>
      </x:c>
      <x:c r="C601" s="16" t="str">
        <x:v>LA</x:v>
      </x:c>
      <x:c r="D601" s="16" t="str">
        <x:v>Public</x:v>
      </x:c>
      <x:c r="E601" s="34" t="n">
        <x:v>5254</x:v>
      </x:c>
      <x:c r="F601" s="21" t="n">
        <x:v>0.9719</x:v>
      </x:c>
      <x:c r="G601" s="16" t="str">
        <x:v>Statewide</x:v>
      </x:c>
      <x:c r="H601" s="36" t="n">
        <x:f>IF(G601="National",Assumptions!$B$11,IF(G601="Statewide",Assumptions!$B$12,Assumptions!$B$13))</x:f>
        <x:v>0.6</x:v>
      </x:c>
      <x:c r="I601" s="21" t="n">
        <x:v>-0.047864755328730135</x:v>
      </x:c>
      <x:c r="J601" s="21" t="n">
        <x:v>-0.018894476133293314</x:v>
      </x:c>
      <x:c r="K601" s="21" t="n">
        <x:v>-0.11698814169918947</x:v>
      </x:c>
      <x:c r="L601" s="36" t="n">
        <x:f>IF(Assumptions!$B$4=2030,I601,IF(Assumptions!$B$4=2035,J601,K601))</x:f>
        <x:v>-0.018894476133293314</x:v>
      </x:c>
      <x:c r="M601" s="36" t="n">
        <x:f>Assumptions!$B$19</x:f>
        <x:v>-0.04739891965741583</x:v>
      </x:c>
      <x:c r="N601" s="52" t="n">
        <x:f>H601*L601+(1-H601)*M601+O601</x:f>
        <x:v>-0.03029625354294232</x:v>
      </x:c>
      <x:c r="O601" s="36" t="n">
        <x:f>Assumptions!$B$10</x:f>
        <x:v>0</x:v>
      </x:c>
      <x:c r="P601" s="54" t="n">
        <x:f>E601*(1+N601)</x:f>
        <x:v>5094.823483885381</x:v>
      </x:c>
      <x:c r="Q601" s="54" t="n">
        <x:f>P601-E601</x:f>
        <x:v>-159.1765161146186</x:v>
      </x:c>
      <x:c r="R601" s="16" t="str">
        <x:v>Yes</x:v>
      </x:c>
      <x:c r="S601" s="56" t="n">
        <x:v>6255</x:v>
      </x:c>
      <x:c r="T601" s="56" t="n">
        <x:v>5769</x:v>
      </x:c>
      <x:c r="U601" s="40" t="n">
        <x:f>E601*Assumptions!$B$8</x:f>
        <x:v>4465.9</x:v>
      </x:c>
      <x:c r="V601" s="40" t="n">
        <x:f>P601*Assumptions!$B$8</x:f>
        <x:v>4330.599961302574</x:v>
      </x:c>
      <x:c r="W601" s="54" t="n">
        <x:f>V601-U601</x:f>
        <x:v>-135.3000386974254</x:v>
      </x:c>
      <x:c r="X601" s="58" t="n">
        <x:f>IF(R601="No","",W601*S601)</x:f>
        <x:v>-846301.742052396</x:v>
      </x:c>
      <x:c r="Y601" s="58" t="n">
        <x:f>IF(R601="No","",W601*T601*Assumptions!$B$9)</x:f>
        <x:v>-234163.77697363417</x:v>
      </x:c>
      <x:c r="Z601" s="58" t="n">
        <x:f>IF(R601="No","",X601-Y601)</x:f>
        <x:v>-612137.9650787618</x:v>
      </x:c>
      <x:c r="AA601" s="58" t="n">
        <x:f>IF(R601="No","",MAX(0,-Z601))</x:f>
        <x:v>612137.9650787618</x:v>
      </x:c>
      <x:c r="AB601" s="52" t="n">
        <x:f>IF(OR(R601="No",U601*S601=0),"",AA601/(U601*S601))</x:f>
        <x:v>0.02191356353386623</x:v>
      </x:c>
      <x:c r="AC601" s="54" t="n">
        <x:f>IF(OR(R601="No",S601-T601*Assumptions!$B$9&lt;=0),"",AA601/(Assumptions!$B$8*(S601-T601*Assumptions!$B$9)))</x:f>
        <x:v>159.17651611461812</x:v>
      </x:c>
      <x:c r="AD601" s="52" t="n">
        <x:f>IF(OR(R601="No",U601*S601=0),"",AA601/(U601*S601))</x:f>
        <x:v>0.02191356353386623</x:v>
      </x:c>
      <x:c r="AE601" s="50" t="str">
        <x:f>IF(R601="No","No finance data",IF(AB601&gt;=10%,"Severe",IF(AB601&gt;=5%,"High",IF(AB601&gt;=2%,"Moderate","Low"))))</x:f>
        <x:v>Moderate</x:v>
      </x:c>
      <x:c r="AF601" s="60" t="n">
        <x:v>29.794486</x:v>
      </x:c>
      <x:c r="AG601" s="60" t="n">
        <x:v>-90.801571</x:v>
      </x:c>
      <x:c r="AH601" s="44" t="str">
        <x:v>Undergraduate tuition-contribution proxy only; not an audited total institutional budget.</x:v>
      </x:c>
    </x:row>
    <x:row r="602">
      <x:c r="A602" s="16" t="n">
        <x:v>160038</x:v>
      </x:c>
      <x:c r="B602" s="16" t="str">
        <x:v>Northwestern State University of Louisiana</x:v>
      </x:c>
      <x:c r="C602" s="16" t="str">
        <x:v>LA</x:v>
      </x:c>
      <x:c r="D602" s="16" t="str">
        <x:v>Public</x:v>
      </x:c>
      <x:c r="E602" s="34" t="n">
        <x:v>6836</x:v>
      </x:c>
      <x:c r="F602" s="21" t="n">
        <x:v>0.9628</x:v>
      </x:c>
      <x:c r="G602" s="16" t="str">
        <x:v>Statewide</x:v>
      </x:c>
      <x:c r="H602" s="36" t="n">
        <x:f>IF(G602="National",Assumptions!$B$11,IF(G602="Statewide",Assumptions!$B$12,Assumptions!$B$13))</x:f>
        <x:v>0.6</x:v>
      </x:c>
      <x:c r="I602" s="21" t="n">
        <x:v>-0.047864755328730135</x:v>
      </x:c>
      <x:c r="J602" s="21" t="n">
        <x:v>-0.018894476133293314</x:v>
      </x:c>
      <x:c r="K602" s="21" t="n">
        <x:v>-0.11698814169918947</x:v>
      </x:c>
      <x:c r="L602" s="36" t="n">
        <x:f>IF(Assumptions!$B$4=2030,I602,IF(Assumptions!$B$4=2035,J602,K602))</x:f>
        <x:v>-0.018894476133293314</x:v>
      </x:c>
      <x:c r="M602" s="36" t="n">
        <x:f>Assumptions!$B$19</x:f>
        <x:v>-0.04739891965741583</x:v>
      </x:c>
      <x:c r="N602" s="52" t="n">
        <x:f>H602*L602+(1-H602)*M602+O602</x:f>
        <x:v>-0.03029625354294232</x:v>
      </x:c>
      <x:c r="O602" s="36" t="n">
        <x:f>Assumptions!$B$10</x:f>
        <x:v>0</x:v>
      </x:c>
      <x:c r="P602" s="54" t="n">
        <x:f>E602*(1+N602)</x:f>
        <x:v>6628.894810780446</x:v>
      </x:c>
      <x:c r="Q602" s="54" t="n">
        <x:f>P602-E602</x:f>
        <x:v>-207.10518921955372</x:v>
      </x:c>
      <x:c r="R602" s="16" t="str">
        <x:v>Yes</x:v>
      </x:c>
      <x:c r="S602" s="56" t="n">
        <x:v>7156</x:v>
      </x:c>
      <x:c r="T602" s="56" t="n">
        <x:v>5854</x:v>
      </x:c>
      <x:c r="U602" s="40" t="n">
        <x:f>E602*Assumptions!$B$8</x:f>
        <x:v>5810.599999999999</x:v>
      </x:c>
      <x:c r="V602" s="40" t="n">
        <x:f>P602*Assumptions!$B$8</x:f>
        <x:v>5634.5605891633795</x:v>
      </x:c>
      <x:c r="W602" s="54" t="n">
        <x:f>V602-U602</x:f>
        <x:v>-176.03941083661994</x:v>
      </x:c>
      <x:c r="X602" s="58" t="n">
        <x:f>IF(R602="No","",W602*S602)</x:f>
        <x:v>-1259738.0239468522</x:v>
      </x:c>
      <x:c r="Y602" s="58" t="n">
        <x:f>IF(R602="No","",W602*T602*Assumptions!$B$9)</x:f>
        <x:v>-309160.4133112719</x:v>
      </x:c>
      <x:c r="Z602" s="58" t="n">
        <x:f>IF(R602="No","",X602-Y602)</x:f>
        <x:v>-950577.6106355803</x:v>
      </x:c>
      <x:c r="AA602" s="58" t="n">
        <x:f>IF(R602="No","",MAX(0,-Z602))</x:f>
        <x:v>950577.6106355803</x:v>
      </x:c>
      <x:c r="AB602" s="52" t="n">
        <x:f>IF(OR(R602="No",U602*S602=0),"",AA602/(U602*S602))</x:f>
        <x:v>0.02286105504208766</x:v>
      </x:c>
      <x:c r="AC602" s="54" t="n">
        <x:f>IF(OR(R602="No",S602-T602*Assumptions!$B$9&lt;=0),"",AA602/(Assumptions!$B$8*(S602-T602*Assumptions!$B$9)))</x:f>
        <x:v>207.10518921955284</x:v>
      </x:c>
      <x:c r="AD602" s="52" t="n">
        <x:f>IF(OR(R602="No",U602*S602=0),"",AA602/(U602*S602))</x:f>
        <x:v>0.02286105504208766</x:v>
      </x:c>
      <x:c r="AE602" s="50" t="str">
        <x:f>IF(R602="No","No finance data",IF(AB602&gt;=10%,"Severe",IF(AB602&gt;=5%,"High",IF(AB602&gt;=2%,"Moderate","Low"))))</x:f>
        <x:v>Moderate</x:v>
      </x:c>
      <x:c r="AF602" s="60" t="n">
        <x:v>31.750666</x:v>
      </x:c>
      <x:c r="AG602" s="60" t="n">
        <x:v>-93.097797</x:v>
      </x:c>
      <x:c r="AH602" s="44" t="str">
        <x:v>Undergraduate tuition-contribution proxy only; not an audited total institutional budget.</x:v>
      </x:c>
    </x:row>
    <x:row r="603">
      <x:c r="A603" s="16" t="n">
        <x:v>160074</x:v>
      </x:c>
      <x:c r="B603" s="16" t="str">
        <x:v>Our Lady of the Lake College</x:v>
      </x:c>
      <x:c r="C603" s="16" t="str">
        <x:v>LA</x:v>
      </x:c>
      <x:c r="D603" s="16" t="str">
        <x:v>Private nonprofit</x:v>
      </x:c>
      <x:c r="E603" s="34" t="n">
        <x:v>1436</x:v>
      </x:c>
      <x:c r="F603" s="21" t="n">
        <x:v>0.5453</x:v>
      </x:c>
      <x:c r="G603" s="16" t="str">
        <x:v>Regional</x:v>
      </x:c>
      <x:c r="H603" s="36" t="n">
        <x:f>IF(G603="National",Assumptions!$B$11,IF(G603="Statewide",Assumptions!$B$12,Assumptions!$B$13))</x:f>
        <x:v>0.85</x:v>
      </x:c>
      <x:c r="I603" s="21" t="n">
        <x:v>-0.047864755328730135</x:v>
      </x:c>
      <x:c r="J603" s="21" t="n">
        <x:v>-0.018894476133293314</x:v>
      </x:c>
      <x:c r="K603" s="21" t="n">
        <x:v>-0.11698814169918947</x:v>
      </x:c>
      <x:c r="L603" s="36" t="n">
        <x:f>IF(Assumptions!$B$4=2030,I603,IF(Assumptions!$B$4=2035,J603,K603))</x:f>
        <x:v>-0.018894476133293314</x:v>
      </x:c>
      <x:c r="M603" s="36" t="n">
        <x:f>Assumptions!$B$19</x:f>
        <x:v>-0.04739891965741583</x:v>
      </x:c>
      <x:c r="N603" s="52" t="n">
        <x:f>H603*L603+(1-H603)*M603+O603</x:f>
        <x:v>-0.02317014266191169</x:v>
      </x:c>
      <x:c r="O603" s="36" t="n">
        <x:f>Assumptions!$B$10</x:f>
        <x:v>0</x:v>
      </x:c>
      <x:c r="P603" s="54" t="n">
        <x:f>E603*(1+N603)</x:f>
        <x:v>1402.7276751374948</x:v>
      </x:c>
      <x:c r="Q603" s="54" t="n">
        <x:f>P603-E603</x:f>
        <x:v>-33.27232486250523</x:v>
      </x:c>
      <x:c r="R603" s="16" t="str">
        <x:v>Yes</x:v>
      </x:c>
      <x:c r="S603" s="56" t="n">
        <x:v>14922</x:v>
      </x:c>
      <x:c r="T603" s="56" t="n">
        <x:v>10762</x:v>
      </x:c>
      <x:c r="U603" s="40" t="n">
        <x:f>E603*Assumptions!$B$8</x:f>
        <x:v>1220.6</x:v>
      </x:c>
      <x:c r="V603" s="40" t="n">
        <x:f>P603*Assumptions!$B$8</x:f>
        <x:v>1192.3185238668705</x:v>
      </x:c>
      <x:c r="W603" s="54" t="n">
        <x:f>V603-U603</x:f>
        <x:v>-28.281476133129445</x:v>
      </x:c>
      <x:c r="X603" s="58" t="n">
        <x:f>IF(R603="No","",W603*S603)</x:f>
        <x:v>-422016.1868585576</x:v>
      </x:c>
      <x:c r="Y603" s="58" t="n">
        <x:f>IF(R603="No","",W603*T603*Assumptions!$B$9)</x:f>
        <x:v>-91309.57384342172</x:v>
      </x:c>
      <x:c r="Z603" s="58" t="n">
        <x:f>IF(R603="No","",X603-Y603)</x:f>
        <x:v>-330706.61301513587</x:v>
      </x:c>
      <x:c r="AA603" s="58" t="n">
        <x:f>IF(R603="No","",MAX(0,-Z603))</x:f>
        <x:v>330706.61301513587</x:v>
      </x:c>
      <x:c r="AB603" s="52" t="n">
        <x:f>IF(OR(R603="No",U603*S603=0),"",AA603/(U603*S603))</x:f>
        <x:v>0.018156932462323985</x:v>
      </x:c>
      <x:c r="AC603" s="54" t="n">
        <x:f>IF(OR(R603="No",S603-T603*Assumptions!$B$9&lt;=0),"",AA603/(Assumptions!$B$8*(S603-T603*Assumptions!$B$9)))</x:f>
        <x:v>33.272324862505236</x:v>
      </x:c>
      <x:c r="AD603" s="52" t="n">
        <x:f>IF(OR(R603="No",U603*S603=0),"",AA603/(U603*S603))</x:f>
        <x:v>0.018156932462323985</x:v>
      </x:c>
      <x:c r="AE603" s="50" t="str">
        <x:f>IF(R603="No","No finance data",IF(AB603&gt;=10%,"Severe",IF(AB603&gt;=5%,"High",IF(AB603&gt;=2%,"Moderate","Low"))))</x:f>
        <x:v>Low</x:v>
      </x:c>
      <x:c r="AF603" s="60" t="n">
        <x:v>30.401379</x:v>
      </x:c>
      <x:c r="AG603" s="60" t="n">
        <x:v>-91.110587</x:v>
      </x:c>
      <x:c r="AH603" s="44" t="str">
        <x:v>Undergraduate tuition-contribution proxy only; not an audited total institutional budget.</x:v>
      </x:c>
    </x:row>
    <x:row r="604">
      <x:c r="A604" s="16" t="n">
        <x:v>160409</x:v>
      </x:c>
      <x:c r="B604" s="16" t="str">
        <x:v>Saint Joseph Seminary College</x:v>
      </x:c>
      <x:c r="C604" s="16" t="str">
        <x:v>LA</x:v>
      </x:c>
      <x:c r="D604" s="16" t="str">
        <x:v>Private nonprofit</x:v>
      </x:c>
      <x:c r="E604" s="34" t="n">
        <x:v>137</x:v>
      </x:c>
      <x:c r="F604" s="21"/>
      <x:c r="G604" s="16" t="str">
        <x:v>Regional</x:v>
      </x:c>
      <x:c r="H604" s="36" t="n">
        <x:f>IF(G604="National",Assumptions!$B$11,IF(G604="Statewide",Assumptions!$B$12,Assumptions!$B$13))</x:f>
        <x:v>0.85</x:v>
      </x:c>
      <x:c r="I604" s="21" t="n">
        <x:v>-0.047864755328730135</x:v>
      </x:c>
      <x:c r="J604" s="21" t="n">
        <x:v>-0.018894476133293314</x:v>
      </x:c>
      <x:c r="K604" s="21" t="n">
        <x:v>-0.11698814169918947</x:v>
      </x:c>
      <x:c r="L604" s="36" t="n">
        <x:f>IF(Assumptions!$B$4=2030,I604,IF(Assumptions!$B$4=2035,J604,K604))</x:f>
        <x:v>-0.018894476133293314</x:v>
      </x:c>
      <x:c r="M604" s="36" t="n">
        <x:f>Assumptions!$B$19</x:f>
        <x:v>-0.04739891965741583</x:v>
      </x:c>
      <x:c r="N604" s="52" t="n">
        <x:f>H604*L604+(1-H604)*M604+O604</x:f>
        <x:v>-0.02317014266191169</x:v>
      </x:c>
      <x:c r="O604" s="36" t="n">
        <x:f>Assumptions!$B$10</x:f>
        <x:v>0</x:v>
      </x:c>
      <x:c r="P604" s="54" t="n">
        <x:f>E604*(1+N604)</x:f>
        <x:v>133.8256904553181</x:v>
      </x:c>
      <x:c r="Q604" s="54" t="n">
        <x:f>P604-E604</x:f>
        <x:v>-3.174309544681904</x:v>
      </x:c>
      <x:c r="R604" s="16" t="str">
        <x:v>No</x:v>
      </x:c>
      <x:c r="S604" s="56"/>
      <x:c r="T604" s="56"/>
      <x:c r="U604" s="40" t="n">
        <x:f>E604*Assumptions!$B$8</x:f>
        <x:v>116.45</x:v>
      </x:c>
      <x:c r="V604" s="40" t="n">
        <x:f>P604*Assumptions!$B$8</x:f>
        <x:v>113.75183688702037</x:v>
      </x:c>
      <x:c r="W604" s="54" t="n">
        <x:f>V604-U604</x:f>
        <x:v>-2.6981631129796284</x:v>
      </x:c>
      <x:c r="X604" s="58" t="str">
        <x:f>IF(R604="No","",W604*S604)</x:f>
      </x:c>
      <x:c r="Y604" s="58" t="str">
        <x:f>IF(R604="No","",W604*T604*Assumptions!$B$9)</x:f>
      </x:c>
      <x:c r="Z604" s="58" t="str">
        <x:f>IF(R604="No","",X604-Y604)</x:f>
      </x:c>
      <x:c r="AA604" s="58" t="str">
        <x:f>IF(R604="No","",MAX(0,-Z604))</x:f>
      </x:c>
      <x:c r="AB604" s="52" t="str">
        <x:f>IF(OR(R604="No",U604*S604=0),"",AA604/(U604*S604))</x:f>
      </x:c>
      <x:c r="AC604" s="54" t="str">
        <x:f>IF(OR(R604="No",S604-T604*Assumptions!$B$9&lt;=0),"",AA604/(Assumptions!$B$8*(S604-T604*Assumptions!$B$9)))</x:f>
      </x:c>
      <x:c r="AD604" s="52" t="str">
        <x:f>IF(OR(R604="No",U604*S604=0),"",AA604/(U604*S604))</x:f>
      </x:c>
      <x:c r="AE604" s="50" t="str">
        <x:f>IF(R604="No","No finance data",IF(AB604&gt;=10%,"Severe",IF(AB604&gt;=5%,"High",IF(AB604&gt;=2%,"Moderate","Low"))))</x:f>
        <x:v>No finance data</x:v>
      </x:c>
      <x:c r="AF604" s="60"/>
      <x:c r="AG604" s="60"/>
      <x:c r="AH604" s="44" t="str">
        <x:v>Undergraduate tuition-contribution proxy only; not an audited total institutional budget.</x:v>
      </x:c>
    </x:row>
    <x:row r="605">
      <x:c r="A605" s="16" t="n">
        <x:v>160612</x:v>
      </x:c>
      <x:c r="B605" s="16" t="str">
        <x:v>Southeastern Louisiana University</x:v>
      </x:c>
      <x:c r="C605" s="16" t="str">
        <x:v>LA</x:v>
      </x:c>
      <x:c r="D605" s="16" t="str">
        <x:v>Public</x:v>
      </x:c>
      <x:c r="E605" s="34" t="n">
        <x:v>11024</x:v>
      </x:c>
      <x:c r="F605" s="21" t="n">
        <x:v>0.9894</x:v>
      </x:c>
      <x:c r="G605" s="16" t="str">
        <x:v>Statewide</x:v>
      </x:c>
      <x:c r="H605" s="36" t="n">
        <x:f>IF(G605="National",Assumptions!$B$11,IF(G605="Statewide",Assumptions!$B$12,Assumptions!$B$13))</x:f>
        <x:v>0.6</x:v>
      </x:c>
      <x:c r="I605" s="21" t="n">
        <x:v>-0.047864755328730135</x:v>
      </x:c>
      <x:c r="J605" s="21" t="n">
        <x:v>-0.018894476133293314</x:v>
      </x:c>
      <x:c r="K605" s="21" t="n">
        <x:v>-0.11698814169918947</x:v>
      </x:c>
      <x:c r="L605" s="36" t="n">
        <x:f>IF(Assumptions!$B$4=2030,I605,IF(Assumptions!$B$4=2035,J605,K605))</x:f>
        <x:v>-0.018894476133293314</x:v>
      </x:c>
      <x:c r="M605" s="36" t="n">
        <x:f>Assumptions!$B$19</x:f>
        <x:v>-0.04739891965741583</x:v>
      </x:c>
      <x:c r="N605" s="52" t="n">
        <x:f>H605*L605+(1-H605)*M605+O605</x:f>
        <x:v>-0.03029625354294232</x:v>
      </x:c>
      <x:c r="O605" s="36" t="n">
        <x:f>Assumptions!$B$10</x:f>
        <x:v>0</x:v>
      </x:c>
      <x:c r="P605" s="54" t="n">
        <x:f>E605*(1+N605)</x:f>
        <x:v>10690.014100942604</x:v>
      </x:c>
      <x:c r="Q605" s="54" t="n">
        <x:f>P605-E605</x:f>
        <x:v>-333.9858990573957</x:v>
      </x:c>
      <x:c r="R605" s="16" t="str">
        <x:v>Yes</x:v>
      </x:c>
      <x:c r="S605" s="56" t="n">
        <x:v>5914</x:v>
      </x:c>
      <x:c r="T605" s="56" t="n">
        <x:v>5808</x:v>
      </x:c>
      <x:c r="U605" s="40" t="n">
        <x:f>E605*Assumptions!$B$8</x:f>
        <x:v>9370.4</x:v>
      </x:c>
      <x:c r="V605" s="40" t="n">
        <x:f>P605*Assumptions!$B$8</x:f>
        <x:v>9086.511985801213</x:v>
      </x:c>
      <x:c r="W605" s="54" t="n">
        <x:f>V605-U605</x:f>
        <x:v>-283.88801419878655</x:v>
      </x:c>
      <x:c r="X605" s="58" t="n">
        <x:f>IF(R605="No","",W605*S605)</x:f>
        <x:v>-1678913.7159716235</x:v>
      </x:c>
      <x:c r="Y605" s="58" t="n">
        <x:f>IF(R605="No","",W605*T605*Assumptions!$B$9)</x:f>
        <x:v>-494646.47593996563</x:v>
      </x:c>
      <x:c r="Z605" s="58" t="n">
        <x:f>IF(R605="No","",X605-Y605)</x:f>
        <x:v>-1184267.240031658</x:v>
      </x:c>
      <x:c r="AA605" s="58" t="n">
        <x:f>IF(R605="No","",MAX(0,-Z605))</x:f>
        <x:v>1184267.240031658</x:v>
      </x:c>
      <x:c r="AB605" s="52" t="n">
        <x:f>IF(OR(R605="No",U605*S605=0),"",AA605/(U605*S605))</x:f>
        <x:v>0.021370282597182634</x:v>
      </x:c>
      <x:c r="AC605" s="54" t="n">
        <x:f>IF(OR(R605="No",S605-T605*Assumptions!$B$9&lt;=0),"",AA605/(Assumptions!$B$8*(S605-T605*Assumptions!$B$9)))</x:f>
        <x:v>333.98589905739595</x:v>
      </x:c>
      <x:c r="AD605" s="52" t="n">
        <x:f>IF(OR(R605="No",U605*S605=0),"",AA605/(U605*S605))</x:f>
        <x:v>0.021370282597182634</x:v>
      </x:c>
      <x:c r="AE605" s="50" t="str">
        <x:f>IF(R605="No","No finance data",IF(AB605&gt;=10%,"Severe",IF(AB605&gt;=5%,"High",IF(AB605&gt;=2%,"Moderate","Low"))))</x:f>
        <x:v>Moderate</x:v>
      </x:c>
      <x:c r="AF605" s="60" t="n">
        <x:v>30.514652</x:v>
      </x:c>
      <x:c r="AG605" s="60" t="n">
        <x:v>-90.468676</x:v>
      </x:c>
      <x:c r="AH605" s="44" t="str">
        <x:v>Undergraduate tuition-contribution proxy only; not an audited total institutional budget.</x:v>
      </x:c>
    </x:row>
    <x:row r="606">
      <x:c r="A606" s="16" t="n">
        <x:v>160621</x:v>
      </x:c>
      <x:c r="B606" s="16" t="str">
        <x:v>Southern University and A &amp; M College</x:v>
      </x:c>
      <x:c r="C606" s="16" t="str">
        <x:v>LA</x:v>
      </x:c>
      <x:c r="D606" s="16" t="str">
        <x:v>Public</x:v>
      </x:c>
      <x:c r="E606" s="34" t="n">
        <x:v>5226</x:v>
      </x:c>
      <x:c r="F606" s="21" t="n">
        <x:v>0.5888</x:v>
      </x:c>
      <x:c r="G606" s="16" t="str">
        <x:v>Statewide</x:v>
      </x:c>
      <x:c r="H606" s="36" t="n">
        <x:f>IF(G606="National",Assumptions!$B$11,IF(G606="Statewide",Assumptions!$B$12,Assumptions!$B$13))</x:f>
        <x:v>0.6</x:v>
      </x:c>
      <x:c r="I606" s="21" t="n">
        <x:v>-0.047864755328730135</x:v>
      </x:c>
      <x:c r="J606" s="21" t="n">
        <x:v>-0.018894476133293314</x:v>
      </x:c>
      <x:c r="K606" s="21" t="n">
        <x:v>-0.11698814169918947</x:v>
      </x:c>
      <x:c r="L606" s="36" t="n">
        <x:f>IF(Assumptions!$B$4=2030,I606,IF(Assumptions!$B$4=2035,J606,K606))</x:f>
        <x:v>-0.018894476133293314</x:v>
      </x:c>
      <x:c r="M606" s="36" t="n">
        <x:f>Assumptions!$B$19</x:f>
        <x:v>-0.04739891965741583</x:v>
      </x:c>
      <x:c r="N606" s="52" t="n">
        <x:f>H606*L606+(1-H606)*M606+O606</x:f>
        <x:v>-0.03029625354294232</x:v>
      </x:c>
      <x:c r="O606" s="36" t="n">
        <x:f>Assumptions!$B$10</x:f>
        <x:v>0</x:v>
      </x:c>
      <x:c r="P606" s="54" t="n">
        <x:f>E606*(1+N606)</x:f>
        <x:v>5067.671778984583</x:v>
      </x:c>
      <x:c r="Q606" s="54" t="n">
        <x:f>P606-E606</x:f>
        <x:v>-158.3282210154166</x:v>
      </x:c>
      <x:c r="R606" s="16" t="str">
        <x:v>Yes</x:v>
      </x:c>
      <x:c r="S606" s="56" t="n">
        <x:v>5372</x:v>
      </x:c>
      <x:c r="T606" s="56" t="n">
        <x:v>5336</x:v>
      </x:c>
      <x:c r="U606" s="40" t="n">
        <x:f>E606*Assumptions!$B$8</x:f>
        <x:v>4442.099999999999</x:v>
      </x:c>
      <x:c r="V606" s="40" t="n">
        <x:f>P606*Assumptions!$B$8</x:f>
        <x:v>4307.5210121368955</x:v>
      </x:c>
      <x:c r="W606" s="54" t="n">
        <x:f>V606-U606</x:f>
        <x:v>-134.57898786310398</x:v>
      </x:c>
      <x:c r="X606" s="58" t="n">
        <x:f>IF(R606="No","",W606*S606)</x:f>
        <x:v>-722958.3228005946</x:v>
      </x:c>
      <x:c r="Y606" s="58" t="n">
        <x:f>IF(R606="No","",W606*T606*Assumptions!$B$9)</x:f>
        <x:v>-215434.04377125684</x:v>
      </x:c>
      <x:c r="Z606" s="58" t="n">
        <x:f>IF(R606="No","",X606-Y606)</x:f>
        <x:v>-507524.2790293378</x:v>
      </x:c>
      <x:c r="AA606" s="58" t="n">
        <x:f>IF(R606="No","",MAX(0,-Z606))</x:f>
        <x:v>507524.2790293378</x:v>
      </x:c>
      <x:c r="AB606" s="52" t="n">
        <x:f>IF(OR(R606="No",U606*S606=0),"",AA606/(U606*S606))</x:f>
        <x:v>0.02126828580810574</x:v>
      </x:c>
      <x:c r="AC606" s="54" t="n">
        <x:f>IF(OR(R606="No",S606-T606*Assumptions!$B$9&lt;=0),"",AA606/(Assumptions!$B$8*(S606-T606*Assumptions!$B$9)))</x:f>
        <x:v>158.32822101541646</x:v>
      </x:c>
      <x:c r="AD606" s="52" t="n">
        <x:f>IF(OR(R606="No",U606*S606=0),"",AA606/(U606*S606))</x:f>
        <x:v>0.02126828580810574</x:v>
      </x:c>
      <x:c r="AE606" s="50" t="str">
        <x:f>IF(R606="No","No finance data",IF(AB606&gt;=10%,"Severe",IF(AB606&gt;=5%,"High",IF(AB606&gt;=2%,"Moderate","Low"))))</x:f>
        <x:v>Moderate</x:v>
      </x:c>
      <x:c r="AF606" s="60" t="n">
        <x:v>30.524558</x:v>
      </x:c>
      <x:c r="AG606" s="60" t="n">
        <x:v>-91.190105</x:v>
      </x:c>
      <x:c r="AH606" s="44" t="str">
        <x:v>Undergraduate tuition-contribution proxy only; not an audited total institutional budget.</x:v>
      </x:c>
    </x:row>
    <x:row r="607">
      <x:c r="A607" s="16" t="n">
        <x:v>160630</x:v>
      </x:c>
      <x:c r="B607" s="16" t="str">
        <x:v>Southern University at New Orleans</x:v>
      </x:c>
      <x:c r="C607" s="16" t="str">
        <x:v>LA</x:v>
      </x:c>
      <x:c r="D607" s="16" t="str">
        <x:v>Public</x:v>
      </x:c>
      <x:c r="E607" s="34" t="n">
        <x:v>2015</x:v>
      </x:c>
      <x:c r="F607" s="21" t="n">
        <x:v>0.7929</x:v>
      </x:c>
      <x:c r="G607" s="16" t="str">
        <x:v>Regional</x:v>
      </x:c>
      <x:c r="H607" s="36" t="n">
        <x:f>IF(G607="National",Assumptions!$B$11,IF(G607="Statewide",Assumptions!$B$12,Assumptions!$B$13))</x:f>
        <x:v>0.85</x:v>
      </x:c>
      <x:c r="I607" s="21" t="n">
        <x:v>-0.047864755328730135</x:v>
      </x:c>
      <x:c r="J607" s="21" t="n">
        <x:v>-0.018894476133293314</x:v>
      </x:c>
      <x:c r="K607" s="21" t="n">
        <x:v>-0.11698814169918947</x:v>
      </x:c>
      <x:c r="L607" s="36" t="n">
        <x:f>IF(Assumptions!$B$4=2030,I607,IF(Assumptions!$B$4=2035,J607,K607))</x:f>
        <x:v>-0.018894476133293314</x:v>
      </x:c>
      <x:c r="M607" s="36" t="n">
        <x:f>Assumptions!$B$19</x:f>
        <x:v>-0.04739891965741583</x:v>
      </x:c>
      <x:c r="N607" s="52" t="n">
        <x:f>H607*L607+(1-H607)*M607+O607</x:f>
        <x:v>-0.02317014266191169</x:v>
      </x:c>
      <x:c r="O607" s="36" t="n">
        <x:f>Assumptions!$B$10</x:f>
        <x:v>0</x:v>
      </x:c>
      <x:c r="P607" s="54" t="n">
        <x:f>E607*(1+N607)</x:f>
        <x:v>1968.312162536248</x:v>
      </x:c>
      <x:c r="Q607" s="54" t="n">
        <x:f>P607-E607</x:f>
        <x:v>-46.687837463751976</x:v>
      </x:c>
      <x:c r="R607" s="16" t="str">
        <x:v>Yes</x:v>
      </x:c>
      <x:c r="S607" s="56" t="n">
        <x:v>3855</x:v>
      </x:c>
      <x:c r="T607" s="56" t="n">
        <x:v>5897</x:v>
      </x:c>
      <x:c r="U607" s="40" t="n">
        <x:f>E607*Assumptions!$B$8</x:f>
        <x:v>1712.75</x:v>
      </x:c>
      <x:c r="V607" s="40" t="n">
        <x:f>P607*Assumptions!$B$8</x:f>
        <x:v>1673.0653381558109</x:v>
      </x:c>
      <x:c r="W607" s="54" t="n">
        <x:f>V607-U607</x:f>
        <x:v>-39.68466184418912</x:v>
      </x:c>
      <x:c r="X607" s="58" t="n">
        <x:f>IF(R607="No","",W607*S607)</x:f>
        <x:v>-152984.37140934906</x:v>
      </x:c>
      <x:c r="Y607" s="58" t="n">
        <x:f>IF(R607="No","",W607*T607*Assumptions!$B$9)</x:f>
        <x:v>-70206.13526855498</x:v>
      </x:c>
      <x:c r="Z607" s="58" t="n">
        <x:f>IF(R607="No","",X607-Y607)</x:f>
        <x:v>-82778.23614079408</x:v>
      </x:c>
      <x:c r="AA607" s="58" t="n">
        <x:f>IF(R607="No","",MAX(0,-Z607))</x:f>
        <x:v>82778.23614079408</x:v>
      </x:c>
      <x:c r="AB607" s="52" t="n">
        <x:f>IF(OR(R607="No",U607*S607=0),"",AA607/(U607*S607))</x:f>
        <x:v>0.012537120772628129</x:v>
      </x:c>
      <x:c r="AC607" s="54" t="n">
        <x:f>IF(OR(R607="No",S607-T607*Assumptions!$B$9&lt;=0),"",AA607/(Assumptions!$B$8*(S607-T607*Assumptions!$B$9)))</x:f>
        <x:v>46.6878374637519</x:v>
      </x:c>
      <x:c r="AD607" s="52" t="n">
        <x:f>IF(OR(R607="No",U607*S607=0),"",AA607/(U607*S607))</x:f>
        <x:v>0.012537120772628129</x:v>
      </x:c>
      <x:c r="AE607" s="50" t="str">
        <x:f>IF(R607="No","No finance data",IF(AB607&gt;=10%,"Severe",IF(AB607&gt;=5%,"High",IF(AB607&gt;=2%,"Moderate","Low"))))</x:f>
        <x:v>Low</x:v>
      </x:c>
      <x:c r="AF607" s="60" t="n">
        <x:v>30.026162</x:v>
      </x:c>
      <x:c r="AG607" s="60" t="n">
        <x:v>-90.044912</x:v>
      </x:c>
      <x:c r="AH607" s="44" t="str">
        <x:v>Undergraduate tuition-contribution proxy only; not an audited total institutional budget.</x:v>
      </x:c>
    </x:row>
    <x:row r="608">
      <x:c r="A608" s="16" t="n">
        <x:v>160755</x:v>
      </x:c>
      <x:c r="B608" s="16" t="str">
        <x:v>Tulane University of Louisiana</x:v>
      </x:c>
      <x:c r="C608" s="16" t="str">
        <x:v>LA</x:v>
      </x:c>
      <x:c r="D608" s="16" t="str">
        <x:v>Private nonprofit</x:v>
      </x:c>
      <x:c r="E608" s="34" t="n">
        <x:v>7841</x:v>
      </x:c>
      <x:c r="F608" s="21" t="n">
        <x:v>0.0963</x:v>
      </x:c>
      <x:c r="G608" s="16" t="str">
        <x:v>National</x:v>
      </x:c>
      <x:c r="H608" s="36" t="n">
        <x:f>IF(G608="National",Assumptions!$B$11,IF(G608="Statewide",Assumptions!$B$12,Assumptions!$B$13))</x:f>
        <x:v>0.25</x:v>
      </x:c>
      <x:c r="I608" s="21" t="n">
        <x:v>-0.047864755328730135</x:v>
      </x:c>
      <x:c r="J608" s="21" t="n">
        <x:v>-0.018894476133293314</x:v>
      </x:c>
      <x:c r="K608" s="21" t="n">
        <x:v>-0.11698814169918947</x:v>
      </x:c>
      <x:c r="L608" s="36" t="n">
        <x:f>IF(Assumptions!$B$4=2030,I608,IF(Assumptions!$B$4=2035,J608,K608))</x:f>
        <x:v>-0.018894476133293314</x:v>
      </x:c>
      <x:c r="M608" s="36" t="n">
        <x:f>Assumptions!$B$19</x:f>
        <x:v>-0.04739891965741583</x:v>
      </x:c>
      <x:c r="N608" s="52" t="n">
        <x:f>H608*L608+(1-H608)*M608+O608</x:f>
        <x:v>-0.0402728087763852</x:v>
      </x:c>
      <x:c r="O608" s="36" t="n">
        <x:f>Assumptions!$B$10</x:f>
        <x:v>0</x:v>
      </x:c>
      <x:c r="P608" s="54" t="n">
        <x:f>E608*(1+N608)</x:f>
        <x:v>7525.220906384364</x:v>
      </x:c>
      <x:c r="Q608" s="54" t="n">
        <x:f>P608-E608</x:f>
        <x:v>-315.77909361563616</x:v>
      </x:c>
      <x:c r="R608" s="16" t="str">
        <x:v>Yes</x:v>
      </x:c>
      <x:c r="S608" s="56" t="n">
        <x:v>35099</x:v>
      </x:c>
      <x:c r="T608" s="56" t="n">
        <x:v>29648</x:v>
      </x:c>
      <x:c r="U608" s="40" t="n">
        <x:f>E608*Assumptions!$B$8</x:f>
        <x:v>6664.849999999999</x:v>
      </x:c>
      <x:c r="V608" s="40" t="n">
        <x:f>P608*Assumptions!$B$8</x:f>
        <x:v>6396.437770426709</x:v>
      </x:c>
      <x:c r="W608" s="54" t="n">
        <x:f>V608-U608</x:f>
        <x:v>-268.41222957329046</x:v>
      </x:c>
      <x:c r="X608" s="58" t="n">
        <x:f>IF(R608="No","",W608*S608)</x:f>
        <x:v>-9421000.845792921</x:v>
      </x:c>
      <x:c r="Y608" s="58" t="n">
        <x:f>IF(R608="No","",W608*T608*Assumptions!$B$9)</x:f>
        <x:v>-2387365.7347166743</x:v>
      </x:c>
      <x:c r="Z608" s="58" t="n">
        <x:f>IF(R608="No","",X608-Y608)</x:f>
        <x:v>-7033635.111076247</x:v>
      </x:c>
      <x:c r="AA608" s="58" t="n">
        <x:f>IF(R608="No","",MAX(0,-Z608))</x:f>
        <x:v>7033635.111076247</x:v>
      </x:c>
      <x:c r="AB608" s="52" t="n">
        <x:f>IF(OR(R608="No",U608*S608=0),"",AA608/(U608*S608))</x:f>
        <x:v>0.030067319435358897</x:v>
      </x:c>
      <x:c r="AC608" s="54" t="n">
        <x:f>IF(OR(R608="No",S608-T608*Assumptions!$B$9&lt;=0),"",AA608/(Assumptions!$B$8*(S608-T608*Assumptions!$B$9)))</x:f>
        <x:v>315.7790936156358</x:v>
      </x:c>
      <x:c r="AD608" s="52" t="n">
        <x:f>IF(OR(R608="No",U608*S608=0),"",AA608/(U608*S608))</x:f>
        <x:v>0.030067319435358897</x:v>
      </x:c>
      <x:c r="AE608" s="50" t="str">
        <x:f>IF(R608="No","No finance data",IF(AB608&gt;=10%,"Severe",IF(AB608&gt;=5%,"High",IF(AB608&gt;=2%,"Moderate","Low"))))</x:f>
        <x:v>Moderate</x:v>
      </x:c>
      <x:c r="AF608" s="60" t="n">
        <x:v>29.940069</x:v>
      </x:c>
      <x:c r="AG608" s="60" t="n">
        <x:v>-90.122144</x:v>
      </x:c>
      <x:c r="AH608" s="44" t="str">
        <x:v>Undergraduate tuition-contribution proxy only; not an audited total institutional budget.</x:v>
      </x:c>
    </x:row>
    <x:row r="609">
      <x:c r="A609" s="16" t="n">
        <x:v>160065</x:v>
      </x:c>
      <x:c r="B609" s="16" t="str">
        <x:v>University of Holy Cross</x:v>
      </x:c>
      <x:c r="C609" s="16" t="str">
        <x:v>LA</x:v>
      </x:c>
      <x:c r="D609" s="16" t="str">
        <x:v>Private nonprofit</x:v>
      </x:c>
      <x:c r="E609" s="34" t="n">
        <x:v>845</x:v>
      </x:c>
      <x:c r="F609" s="21" t="n">
        <x:v>0.75</x:v>
      </x:c>
      <x:c r="G609" s="16" t="str">
        <x:v>Regional</x:v>
      </x:c>
      <x:c r="H609" s="36" t="n">
        <x:f>IF(G609="National",Assumptions!$B$11,IF(G609="Statewide",Assumptions!$B$12,Assumptions!$B$13))</x:f>
        <x:v>0.85</x:v>
      </x:c>
      <x:c r="I609" s="21" t="n">
        <x:v>-0.047864755328730135</x:v>
      </x:c>
      <x:c r="J609" s="21" t="n">
        <x:v>-0.018894476133293314</x:v>
      </x:c>
      <x:c r="K609" s="21" t="n">
        <x:v>-0.11698814169918947</x:v>
      </x:c>
      <x:c r="L609" s="36" t="n">
        <x:f>IF(Assumptions!$B$4=2030,I609,IF(Assumptions!$B$4=2035,J609,K609))</x:f>
        <x:v>-0.018894476133293314</x:v>
      </x:c>
      <x:c r="M609" s="36" t="n">
        <x:f>Assumptions!$B$19</x:f>
        <x:v>-0.04739891965741583</x:v>
      </x:c>
      <x:c r="N609" s="52" t="n">
        <x:f>H609*L609+(1-H609)*M609+O609</x:f>
        <x:v>-0.02317014266191169</x:v>
      </x:c>
      <x:c r="O609" s="36" t="n">
        <x:f>Assumptions!$B$10</x:f>
        <x:v>0</x:v>
      </x:c>
      <x:c r="P609" s="54" t="n">
        <x:f>E609*(1+N609)</x:f>
        <x:v>825.4212294506847</x:v>
      </x:c>
      <x:c r="Q609" s="54" t="n">
        <x:f>P609-E609</x:f>
        <x:v>-19.578770549315323</x:v>
      </x:c>
      <x:c r="R609" s="16" t="str">
        <x:v>Yes</x:v>
      </x:c>
      <x:c r="S609" s="56" t="n">
        <x:v>16537</x:v>
      </x:c>
      <x:c r="T609" s="56" t="n">
        <x:v>10425</x:v>
      </x:c>
      <x:c r="U609" s="40" t="n">
        <x:f>E609*Assumptions!$B$8</x:f>
        <x:v>718.25</x:v>
      </x:c>
      <x:c r="V609" s="40" t="n">
        <x:f>P609*Assumptions!$B$8</x:f>
        <x:v>701.6080450330819</x:v>
      </x:c>
      <x:c r="W609" s="54" t="n">
        <x:f>V609-U609</x:f>
        <x:v>-16.641954966918092</x:v>
      </x:c>
      <x:c r="X609" s="58" t="n">
        <x:f>IF(R609="No","",W609*S609)</x:f>
        <x:v>-275208.0092879245</x:v>
      </x:c>
      <x:c r="Y609" s="58" t="n">
        <x:f>IF(R609="No","",W609*T609*Assumptions!$B$9)</x:f>
        <x:v>-52047.71415903634</x:v>
      </x:c>
      <x:c r="Z609" s="58" t="n">
        <x:f>IF(R609="No","",X609-Y609)</x:f>
        <x:v>-223160.29512888816</x:v>
      </x:c>
      <x:c r="AA609" s="58" t="n">
        <x:f>IF(R609="No","",MAX(0,-Z609))</x:f>
        <x:v>223160.29512888816</x:v>
      </x:c>
      <x:c r="AB609" s="52" t="n">
        <x:f>IF(OR(R609="No",U609*S609=0),"",AA609/(U609*S609))</x:f>
        <x:v>0.018788173672667666</x:v>
      </x:c>
      <x:c r="AC609" s="54" t="n">
        <x:f>IF(OR(R609="No",S609-T609*Assumptions!$B$9&lt;=0),"",AA609/(Assumptions!$B$8*(S609-T609*Assumptions!$B$9)))</x:f>
        <x:v>19.578770549315404</x:v>
      </x:c>
      <x:c r="AD609" s="52" t="n">
        <x:f>IF(OR(R609="No",U609*S609=0),"",AA609/(U609*S609))</x:f>
        <x:v>0.018788173672667666</x:v>
      </x:c>
      <x:c r="AE609" s="50" t="str">
        <x:f>IF(R609="No","No finance data",IF(AB609&gt;=10%,"Severe",IF(AB609&gt;=5%,"High",IF(AB609&gt;=2%,"Moderate","Low"))))</x:f>
        <x:v>Low</x:v>
      </x:c>
      <x:c r="AF609" s="60" t="n">
        <x:v>29.912003</x:v>
      </x:c>
      <x:c r="AG609" s="60" t="n">
        <x:v>-89.99445</x:v>
      </x:c>
      <x:c r="AH609" s="44" t="str">
        <x:v>Undergraduate tuition-contribution proxy only; not an audited total institutional budget.</x:v>
      </x:c>
    </x:row>
    <x:row r="610">
      <x:c r="A610" s="16" t="n">
        <x:v>160658</x:v>
      </x:c>
      <x:c r="B610" s="16" t="str">
        <x:v>University of Louisiana at Lafayette</x:v>
      </x:c>
      <x:c r="C610" s="16" t="str">
        <x:v>LA</x:v>
      </x:c>
      <x:c r="D610" s="16" t="str">
        <x:v>Public</x:v>
      </x:c>
      <x:c r="E610" s="34" t="n">
        <x:v>15091</x:v>
      </x:c>
      <x:c r="F610" s="21" t="n">
        <x:v>0.7835</x:v>
      </x:c>
      <x:c r="G610" s="16" t="str">
        <x:v>Statewide</x:v>
      </x:c>
      <x:c r="H610" s="36" t="n">
        <x:f>IF(G610="National",Assumptions!$B$11,IF(G610="Statewide",Assumptions!$B$12,Assumptions!$B$13))</x:f>
        <x:v>0.6</x:v>
      </x:c>
      <x:c r="I610" s="21" t="n">
        <x:v>-0.047864755328730135</x:v>
      </x:c>
      <x:c r="J610" s="21" t="n">
        <x:v>-0.018894476133293314</x:v>
      </x:c>
      <x:c r="K610" s="21" t="n">
        <x:v>-0.11698814169918947</x:v>
      </x:c>
      <x:c r="L610" s="36" t="n">
        <x:f>IF(Assumptions!$B$4=2030,I610,IF(Assumptions!$B$4=2035,J610,K610))</x:f>
        <x:v>-0.018894476133293314</x:v>
      </x:c>
      <x:c r="M610" s="36" t="n">
        <x:f>Assumptions!$B$19</x:f>
        <x:v>-0.04739891965741583</x:v>
      </x:c>
      <x:c r="N610" s="52" t="n">
        <x:f>H610*L610+(1-H610)*M610+O610</x:f>
        <x:v>-0.03029625354294232</x:v>
      </x:c>
      <x:c r="O610" s="36" t="n">
        <x:f>Assumptions!$B$10</x:f>
        <x:v>0</x:v>
      </x:c>
      <x:c r="P610" s="54" t="n">
        <x:f>E610*(1+N610)</x:f>
        <x:v>14633.799237783458</x:v>
      </x:c>
      <x:c r="Q610" s="54" t="n">
        <x:f>P610-E610</x:f>
        <x:v>-457.200762216542</x:v>
      </x:c>
      <x:c r="R610" s="16" t="str">
        <x:v>Yes</x:v>
      </x:c>
      <x:c r="S610" s="56" t="n">
        <x:v>10080</x:v>
      </x:c>
      <x:c r="T610" s="56" t="n">
        <x:v>8676</x:v>
      </x:c>
      <x:c r="U610" s="40" t="n">
        <x:f>E610*Assumptions!$B$8</x:f>
        <x:v>12827.35</x:v>
      </x:c>
      <x:c r="V610" s="40" t="n">
        <x:f>P610*Assumptions!$B$8</x:f>
        <x:v>12438.729352115939</x:v>
      </x:c>
      <x:c r="W610" s="54" t="n">
        <x:f>V610-U610</x:f>
        <x:v>-388.6206478840613</x:v>
      </x:c>
      <x:c r="X610" s="58" t="n">
        <x:f>IF(R610="No","",W610*S610)</x:f>
        <x:v>-3917296.130671338</x:v>
      </x:c>
      <x:c r="Y610" s="58" t="n">
        <x:f>IF(R610="No","",W610*T610*Assumptions!$B$9)</x:f>
        <x:v>-1011501.8223126348</x:v>
      </x:c>
      <x:c r="Z610" s="58" t="n">
        <x:f>IF(R610="No","",X610-Y610)</x:f>
        <x:v>-2905794.3083587033</x:v>
      </x:c>
      <x:c r="AA610" s="58" t="n">
        <x:f>IF(R610="No","",MAX(0,-Z610))</x:f>
        <x:v>2905794.3083587033</x:v>
      </x:c>
      <x:c r="AB610" s="52" t="n">
        <x:f>IF(OR(R610="No",U610*S610=0),"",AA610/(U610*S610))</x:f>
        <x:v>0.02247332807453258</x:v>
      </x:c>
      <x:c r="AC610" s="54" t="n">
        <x:f>IF(OR(R610="No",S610-T610*Assumptions!$B$9&lt;=0),"",AA610/(Assumptions!$B$8*(S610-T610*Assumptions!$B$9)))</x:f>
        <x:v>457.20076221654267</x:v>
      </x:c>
      <x:c r="AD610" s="52" t="n">
        <x:f>IF(OR(R610="No",U610*S610=0),"",AA610/(U610*S610))</x:f>
        <x:v>0.02247332807453258</x:v>
      </x:c>
      <x:c r="AE610" s="50" t="str">
        <x:f>IF(R610="No","No finance data",IF(AB610&gt;=10%,"Severe",IF(AB610&gt;=5%,"High",IF(AB610&gt;=2%,"Moderate","Low"))))</x:f>
        <x:v>Moderate</x:v>
      </x:c>
      <x:c r="AF610" s="60" t="n">
        <x:v>30.212191</x:v>
      </x:c>
      <x:c r="AG610" s="60" t="n">
        <x:v>-92.020165</x:v>
      </x:c>
      <x:c r="AH610" s="44" t="str">
        <x:v>Undergraduate tuition-contribution proxy only; not an audited total institutional budget.</x:v>
      </x:c>
    </x:row>
    <x:row r="611">
      <x:c r="A611" s="16" t="n">
        <x:v>159993</x:v>
      </x:c>
      <x:c r="B611" s="16" t="str">
        <x:v>University of Louisiana at Monroe</x:v>
      </x:c>
      <x:c r="C611" s="16" t="str">
        <x:v>LA</x:v>
      </x:c>
      <x:c r="D611" s="16" t="str">
        <x:v>Public</x:v>
      </x:c>
      <x:c r="E611" s="34" t="n">
        <x:v>5957</x:v>
      </x:c>
      <x:c r="F611" s="21" t="n">
        <x:v>0.6989</x:v>
      </x:c>
      <x:c r="G611" s="16" t="str">
        <x:v>Statewide</x:v>
      </x:c>
      <x:c r="H611" s="36" t="n">
        <x:f>IF(G611="National",Assumptions!$B$11,IF(G611="Statewide",Assumptions!$B$12,Assumptions!$B$13))</x:f>
        <x:v>0.6</x:v>
      </x:c>
      <x:c r="I611" s="21" t="n">
        <x:v>-0.047864755328730135</x:v>
      </x:c>
      <x:c r="J611" s="21" t="n">
        <x:v>-0.018894476133293314</x:v>
      </x:c>
      <x:c r="K611" s="21" t="n">
        <x:v>-0.11698814169918947</x:v>
      </x:c>
      <x:c r="L611" s="36" t="n">
        <x:f>IF(Assumptions!$B$4=2030,I611,IF(Assumptions!$B$4=2035,J611,K611))</x:f>
        <x:v>-0.018894476133293314</x:v>
      </x:c>
      <x:c r="M611" s="36" t="n">
        <x:f>Assumptions!$B$19</x:f>
        <x:v>-0.04739891965741583</x:v>
      </x:c>
      <x:c r="N611" s="52" t="n">
        <x:f>H611*L611+(1-H611)*M611+O611</x:f>
        <x:v>-0.03029625354294232</x:v>
      </x:c>
      <x:c r="O611" s="36" t="n">
        <x:f>Assumptions!$B$10</x:f>
        <x:v>0</x:v>
      </x:c>
      <x:c r="P611" s="54" t="n">
        <x:f>E611*(1+N611)</x:f>
        <x:v>5776.525217644693</x:v>
      </x:c>
      <x:c r="Q611" s="54" t="n">
        <x:f>P611-E611</x:f>
        <x:v>-180.47478235530707</x:v>
      </x:c>
      <x:c r="R611" s="16" t="str">
        <x:v>Yes</x:v>
      </x:c>
      <x:c r="S611" s="56" t="n">
        <x:v>8334</x:v>
      </x:c>
      <x:c r="T611" s="56" t="n">
        <x:v>6175</x:v>
      </x:c>
      <x:c r="U611" s="40" t="n">
        <x:f>E611*Assumptions!$B$8</x:f>
        <x:v>5063.45</x:v>
      </x:c>
      <x:c r="V611" s="40" t="n">
        <x:f>P611*Assumptions!$B$8</x:f>
        <x:v>4910.046434997989</x:v>
      </x:c>
      <x:c r="W611" s="54" t="n">
        <x:f>V611-U611</x:f>
        <x:v>-153.4035650020105</x:v>
      </x:c>
      <x:c r="X611" s="58" t="n">
        <x:f>IF(R611="No","",W611*S611)</x:f>
        <x:v>-1278465.3107267555</x:v>
      </x:c>
      <x:c r="Y611" s="58" t="n">
        <x:f>IF(R611="No","",W611*T611*Assumptions!$B$9)</x:f>
        <x:v>-284180.1041662245</x:v>
      </x:c>
      <x:c r="Z611" s="58" t="n">
        <x:f>IF(R611="No","",X611-Y611)</x:f>
        <x:v>-994285.206560531</x:v>
      </x:c>
      <x:c r="AA611" s="58" t="n">
        <x:f>IF(R611="No","",MAX(0,-Z611))</x:f>
        <x:v>994285.206560531</x:v>
      </x:c>
      <x:c r="AB611" s="52" t="n">
        <x:f>IF(OR(R611="No",U611*S611=0),"",AA611/(U611*S611))</x:f>
        <x:v>0.023561935125819493</x:v>
      </x:c>
      <x:c r="AC611" s="54" t="n">
        <x:f>IF(OR(R611="No",S611-T611*Assumptions!$B$9&lt;=0),"",AA611/(Assumptions!$B$8*(S611-T611*Assumptions!$B$9)))</x:f>
        <x:v>180.47478235530647</x:v>
      </x:c>
      <x:c r="AD611" s="52" t="n">
        <x:f>IF(OR(R611="No",U611*S611=0),"",AA611/(U611*S611))</x:f>
        <x:v>0.023561935125819493</x:v>
      </x:c>
      <x:c r="AE611" s="50" t="str">
        <x:f>IF(R611="No","No finance data",IF(AB611&gt;=10%,"Severe",IF(AB611&gt;=5%,"High",IF(AB611&gt;=2%,"Moderate","Low"))))</x:f>
        <x:v>Moderate</x:v>
      </x:c>
      <x:c r="AF611" s="60" t="n">
        <x:v>32.527748</x:v>
      </x:c>
      <x:c r="AG611" s="60" t="n">
        <x:v>-92.07374</x:v>
      </x:c>
      <x:c r="AH611" s="44" t="str">
        <x:v>Undergraduate tuition-contribution proxy only; not an audited total institutional budget.</x:v>
      </x:c>
    </x:row>
    <x:row r="612">
      <x:c r="A612" s="16" t="n">
        <x:v>159939</x:v>
      </x:c>
      <x:c r="B612" s="16" t="str">
        <x:v>University of New Orleans</x:v>
      </x:c>
      <x:c r="C612" s="16" t="str">
        <x:v>LA</x:v>
      </x:c>
      <x:c r="D612" s="16" t="str">
        <x:v>Public</x:v>
      </x:c>
      <x:c r="E612" s="34" t="n">
        <x:v>6185</x:v>
      </x:c>
      <x:c r="F612" s="21" t="n">
        <x:v>0.8058</x:v>
      </x:c>
      <x:c r="G612" s="16" t="str">
        <x:v>Statewide</x:v>
      </x:c>
      <x:c r="H612" s="36" t="n">
        <x:f>IF(G612="National",Assumptions!$B$11,IF(G612="Statewide",Assumptions!$B$12,Assumptions!$B$13))</x:f>
        <x:v>0.6</x:v>
      </x:c>
      <x:c r="I612" s="21" t="n">
        <x:v>-0.047864755328730135</x:v>
      </x:c>
      <x:c r="J612" s="21" t="n">
        <x:v>-0.018894476133293314</x:v>
      </x:c>
      <x:c r="K612" s="21" t="n">
        <x:v>-0.11698814169918947</x:v>
      </x:c>
      <x:c r="L612" s="36" t="n">
        <x:f>IF(Assumptions!$B$4=2030,I612,IF(Assumptions!$B$4=2035,J612,K612))</x:f>
        <x:v>-0.018894476133293314</x:v>
      </x:c>
      <x:c r="M612" s="36" t="n">
        <x:f>Assumptions!$B$19</x:f>
        <x:v>-0.04739891965741583</x:v>
      </x:c>
      <x:c r="N612" s="52" t="n">
        <x:f>H612*L612+(1-H612)*M612+O612</x:f>
        <x:v>-0.03029625354294232</x:v>
      </x:c>
      <x:c r="O612" s="36" t="n">
        <x:f>Assumptions!$B$10</x:f>
        <x:v>0</x:v>
      </x:c>
      <x:c r="P612" s="54" t="n">
        <x:f>E612*(1+N612)</x:f>
        <x:v>5997.6176718369015</x:v>
      </x:c>
      <x:c r="Q612" s="54" t="n">
        <x:f>P612-E612</x:f>
        <x:v>-187.38232816309846</x:v>
      </x:c>
      <x:c r="R612" s="16" t="str">
        <x:v>Yes</x:v>
      </x:c>
      <x:c r="S612" s="56" t="n">
        <x:v>8803</x:v>
      </x:c>
      <x:c r="T612" s="56" t="n">
        <x:v>6295</x:v>
      </x:c>
      <x:c r="U612" s="40" t="n">
        <x:f>E612*Assumptions!$B$8</x:f>
        <x:v>5257.25</x:v>
      </x:c>
      <x:c r="V612" s="40" t="n">
        <x:f>P612*Assumptions!$B$8</x:f>
        <x:v>5097.9750210613665</x:v>
      </x:c>
      <x:c r="W612" s="54" t="n">
        <x:f>V612-U612</x:f>
        <x:v>-159.27497893863347</x:v>
      </x:c>
      <x:c r="X612" s="58" t="n">
        <x:f>IF(R612="No","",W612*S612)</x:f>
        <x:v>-1402097.6395967903</x:v>
      </x:c>
      <x:c r="Y612" s="58" t="n">
        <x:f>IF(R612="No","",W612*T612*Assumptions!$B$9)</x:f>
        <x:v>-300790.79772560927</x:v>
      </x:c>
      <x:c r="Z612" s="58" t="n">
        <x:f>IF(R612="No","",X612-Y612)</x:f>
        <x:v>-1101306.841871181</x:v>
      </x:c>
      <x:c r="AA612" s="58" t="n">
        <x:f>IF(R612="No","",MAX(0,-Z612))</x:f>
        <x:v>1101306.841871181</x:v>
      </x:c>
      <x:c r="AB612" s="52" t="n">
        <x:f>IF(OR(R612="No",U612*S612=0),"",AA612/(U612*S612))</x:f>
        <x:v>0.02379682439198848</x:v>
      </x:c>
      <x:c r="AC612" s="54" t="n">
        <x:f>IF(OR(R612="No",S612-T612*Assumptions!$B$9&lt;=0),"",AA612/(Assumptions!$B$8*(S612-T612*Assumptions!$B$9)))</x:f>
        <x:v>187.38232816309818</x:v>
      </x:c>
      <x:c r="AD612" s="52" t="n">
        <x:f>IF(OR(R612="No",U612*S612=0),"",AA612/(U612*S612))</x:f>
        <x:v>0.02379682439198848</x:v>
      </x:c>
      <x:c r="AE612" s="50" t="str">
        <x:f>IF(R612="No","No finance data",IF(AB612&gt;=10%,"Severe",IF(AB612&gt;=5%,"High",IF(AB612&gt;=2%,"Moderate","Low"))))</x:f>
        <x:v>Moderate</x:v>
      </x:c>
      <x:c r="AF612" s="60" t="n">
        <x:v>30.027704</x:v>
      </x:c>
      <x:c r="AG612" s="60" t="n">
        <x:v>-90.067142</x:v>
      </x:c>
      <x:c r="AH612" s="44" t="str">
        <x:v>Undergraduate tuition-contribution proxy only; not an audited total institutional budget.</x:v>
      </x:c>
    </x:row>
    <x:row r="613">
      <x:c r="A613" s="16" t="n">
        <x:v>160904</x:v>
      </x:c>
      <x:c r="B613" s="16" t="str">
        <x:v>Xavier University of Louisiana</x:v>
      </x:c>
      <x:c r="C613" s="16" t="str">
        <x:v>LA</x:v>
      </x:c>
      <x:c r="D613" s="16" t="str">
        <x:v>Private nonprofit</x:v>
      </x:c>
      <x:c r="E613" s="34" t="n">
        <x:v>2344</x:v>
      </x:c>
      <x:c r="F613" s="21" t="n">
        <x:v>0.9541</x:v>
      </x:c>
      <x:c r="G613" s="16" t="str">
        <x:v>Regional</x:v>
      </x:c>
      <x:c r="H613" s="36" t="n">
        <x:f>IF(G613="National",Assumptions!$B$11,IF(G613="Statewide",Assumptions!$B$12,Assumptions!$B$13))</x:f>
        <x:v>0.85</x:v>
      </x:c>
      <x:c r="I613" s="21" t="n">
        <x:v>-0.047864755328730135</x:v>
      </x:c>
      <x:c r="J613" s="21" t="n">
        <x:v>-0.018894476133293314</x:v>
      </x:c>
      <x:c r="K613" s="21" t="n">
        <x:v>-0.11698814169918947</x:v>
      </x:c>
      <x:c r="L613" s="36" t="n">
        <x:f>IF(Assumptions!$B$4=2030,I613,IF(Assumptions!$B$4=2035,J613,K613))</x:f>
        <x:v>-0.018894476133293314</x:v>
      </x:c>
      <x:c r="M613" s="36" t="n">
        <x:f>Assumptions!$B$19</x:f>
        <x:v>-0.04739891965741583</x:v>
      </x:c>
      <x:c r="N613" s="52" t="n">
        <x:f>H613*L613+(1-H613)*M613+O613</x:f>
        <x:v>-0.02317014266191169</x:v>
      </x:c>
      <x:c r="O613" s="36" t="n">
        <x:f>Assumptions!$B$10</x:f>
        <x:v>0</x:v>
      </x:c>
      <x:c r="P613" s="54" t="n">
        <x:f>E613*(1+N613)</x:f>
        <x:v>2289.689185600479</x:v>
      </x:c>
      <x:c r="Q613" s="54" t="n">
        <x:f>P613-E613</x:f>
        <x:v>-54.31081439952095</x:v>
      </x:c>
      <x:c r="R613" s="16" t="str">
        <x:v>Yes</x:v>
      </x:c>
      <x:c r="S613" s="56" t="n">
        <x:v>14110</x:v>
      </x:c>
      <x:c r="T613" s="56" t="n">
        <x:v>9297</x:v>
      </x:c>
      <x:c r="U613" s="40" t="n">
        <x:f>E613*Assumptions!$B$8</x:f>
        <x:v>1992.3999999999999</x:v>
      </x:c>
      <x:c r="V613" s="40" t="n">
        <x:f>P613*Assumptions!$B$8</x:f>
        <x:v>1946.2358077604072</x:v>
      </x:c>
      <x:c r="W613" s="54" t="n">
        <x:f>V613-U613</x:f>
        <x:v>-46.164192239592694</x:v>
      </x:c>
      <x:c r="X613" s="58" t="n">
        <x:f>IF(R613="No","",W613*S613)</x:f>
        <x:v>-651376.7525006529</x:v>
      </x:c>
      <x:c r="Y613" s="58" t="n">
        <x:f>IF(R613="No","",W613*T613*Assumptions!$B$9)</x:f>
        <x:v>-128756.54857544799</x:v>
      </x:c>
      <x:c r="Z613" s="58" t="n">
        <x:f>IF(R613="No","",X613-Y613)</x:f>
        <x:v>-522620.2039252049</x:v>
      </x:c>
      <x:c r="AA613" s="58" t="n">
        <x:f>IF(R613="No","",MAX(0,-Z613))</x:f>
        <x:v>522620.2039252049</x:v>
      </x:c>
      <x:c r="AB613" s="52" t="n">
        <x:f>IF(OR(R613="No",U613*S613=0),"",AA613/(U613*S613))</x:f>
        <x:v>0.0185901394798891</x:v>
      </x:c>
      <x:c r="AC613" s="54" t="n">
        <x:f>IF(OR(R613="No",S613-T613*Assumptions!$B$9&lt;=0),"",AA613/(Assumptions!$B$8*(S613-T613*Assumptions!$B$9)))</x:f>
        <x:v>54.31081439952082</x:v>
      </x:c>
      <x:c r="AD613" s="52" t="n">
        <x:f>IF(OR(R613="No",U613*S613=0),"",AA613/(U613*S613))</x:f>
        <x:v>0.0185901394798891</x:v>
      </x:c>
      <x:c r="AE613" s="50" t="str">
        <x:f>IF(R613="No","No finance data",IF(AB613&gt;=10%,"Severe",IF(AB613&gt;=5%,"High",IF(AB613&gt;=2%,"Moderate","Low"))))</x:f>
        <x:v>Low</x:v>
      </x:c>
      <x:c r="AF613" s="60" t="n">
        <x:v>29.964162</x:v>
      </x:c>
      <x:c r="AG613" s="60" t="n">
        <x:v>-90.107307</x:v>
      </x:c>
      <x:c r="AH613" s="44" t="str">
        <x:v>Undergraduate tuition-contribution proxy only; not an audited total institutional budget.</x:v>
      </x:c>
    </x:row>
    <x:row r="614">
      <x:c r="A614" s="16" t="n">
        <x:v>164447</x:v>
      </x:c>
      <x:c r="B614" s="16" t="str">
        <x:v>American International College</x:v>
      </x:c>
      <x:c r="C614" s="16" t="str">
        <x:v>MA</x:v>
      </x:c>
      <x:c r="D614" s="16" t="str">
        <x:v>Private nonprofit</x:v>
      </x:c>
      <x:c r="E614" s="34" t="n">
        <x:v>1478</x:v>
      </x:c>
      <x:c r="F614" s="21" t="n">
        <x:v>0.5787</x:v>
      </x:c>
      <x:c r="G614" s="16" t="str">
        <x:v>Regional</x:v>
      </x:c>
      <x:c r="H614" s="36" t="n">
        <x:f>IF(G614="National",Assumptions!$B$11,IF(G614="Statewide",Assumptions!$B$12,Assumptions!$B$13))</x:f>
        <x:v>0.85</x:v>
      </x:c>
      <x:c r="I614" s="21" t="n">
        <x:v>-0.056426495016611344</x:v>
      </x:c>
      <x:c r="J614" s="21" t="n">
        <x:v>-0.047004775747508276</x:v>
      </x:c>
      <x:c r="K614" s="21" t="n">
        <x:v>-0.09852574750830567</x:v>
      </x:c>
      <x:c r="L614" s="36" t="n">
        <x:f>IF(Assumptions!$B$4=2030,I614,IF(Assumptions!$B$4=2035,J614,K614))</x:f>
        <x:v>-0.047004775747508276</x:v>
      </x:c>
      <x:c r="M614" s="36" t="n">
        <x:f>Assumptions!$B$19</x:f>
        <x:v>-0.04739891965741583</x:v>
      </x:c>
      <x:c r="N614" s="52" t="n">
        <x:f>H614*L614+(1-H614)*M614+O614</x:f>
        <x:v>-0.04706389733399441</x:v>
      </x:c>
      <x:c r="O614" s="36" t="n">
        <x:f>Assumptions!$B$10</x:f>
        <x:v>0</x:v>
      </x:c>
      <x:c r="P614" s="54" t="n">
        <x:f>E614*(1+N614)</x:f>
        <x:v>1408.4395597403563</x:v>
      </x:c>
      <x:c r="Q614" s="54" t="n">
        <x:f>P614-E614</x:f>
        <x:v>-69.56044025964366</x:v>
      </x:c>
      <x:c r="R614" s="16" t="str">
        <x:v>Yes</x:v>
      </x:c>
      <x:c r="S614" s="56" t="n">
        <x:v>12766</x:v>
      </x:c>
      <x:c r="T614" s="56" t="n">
        <x:v>4757</x:v>
      </x:c>
      <x:c r="U614" s="40" t="n">
        <x:f>E614*Assumptions!$B$8</x:f>
        <x:v>1256.3</x:v>
      </x:c>
      <x:c r="V614" s="40" t="n">
        <x:f>P614*Assumptions!$B$8</x:f>
        <x:v>1197.173625779303</x:v>
      </x:c>
      <x:c r="W614" s="54" t="n">
        <x:f>V614-U614</x:f>
        <x:v>-59.126374220697016</x:v>
      </x:c>
      <x:c r="X614" s="58" t="n">
        <x:f>IF(R614="No","",W614*S614)</x:f>
        <x:v>-754807.2933014181</x:v>
      </x:c>
      <x:c r="Y614" s="58" t="n">
        <x:f>IF(R614="No","",W614*T614*Assumptions!$B$9)</x:f>
        <x:v>-84379.2486503567</x:v>
      </x:c>
      <x:c r="Z614" s="58" t="n">
        <x:f>IF(R614="No","",X614-Y614)</x:f>
        <x:v>-670428.0446510614</x:v>
      </x:c>
      <x:c r="AA614" s="58" t="n">
        <x:f>IF(R614="No","",MAX(0,-Z614))</x:f>
        <x:v>670428.0446510614</x:v>
      </x:c>
      <x:c r="AB614" s="52" t="n">
        <x:f>IF(OR(R614="No",U614*S614=0),"",AA614/(U614*S614))</x:f>
        <x:v>0.04180266532041578</x:v>
      </x:c>
      <x:c r="AC614" s="54" t="n">
        <x:f>IF(OR(R614="No",S614-T614*Assumptions!$B$9&lt;=0),"",AA614/(Assumptions!$B$8*(S614-T614*Assumptions!$B$9)))</x:f>
        <x:v>69.56044025964356</x:v>
      </x:c>
      <x:c r="AD614" s="52" t="n">
        <x:f>IF(OR(R614="No",U614*S614=0),"",AA614/(U614*S614))</x:f>
        <x:v>0.04180266532041578</x:v>
      </x:c>
      <x:c r="AE614" s="50" t="str">
        <x:f>IF(R614="No","No finance data",IF(AB614&gt;=10%,"Severe",IF(AB614&gt;=5%,"High",IF(AB614&gt;=2%,"Moderate","Low"))))</x:f>
        <x:v>Moderate</x:v>
      </x:c>
      <x:c r="AF614" s="60" t="n">
        <x:v>42.112346</x:v>
      </x:c>
      <x:c r="AG614" s="60" t="n">
        <x:v>-72.558338</x:v>
      </x:c>
      <x:c r="AH614" s="44" t="str">
        <x:v>Undergraduate tuition-contribution proxy only; not an audited total institutional budget.</x:v>
      </x:c>
    </x:row>
    <x:row r="615">
      <x:c r="A615" s="16" t="n">
        <x:v>164465</x:v>
      </x:c>
      <x:c r="B615" s="16" t="str">
        <x:v>Amherst College</x:v>
      </x:c>
      <x:c r="C615" s="16" t="str">
        <x:v>MA</x:v>
      </x:c>
      <x:c r="D615" s="16" t="str">
        <x:v>Private nonprofit</x:v>
      </x:c>
      <x:c r="E615" s="34" t="n">
        <x:v>1795</x:v>
      </x:c>
      <x:c r="F615" s="21" t="n">
        <x:v>0.0874</x:v>
      </x:c>
      <x:c r="G615" s="16" t="str">
        <x:v>National</x:v>
      </x:c>
      <x:c r="H615" s="36" t="n">
        <x:f>IF(G615="National",Assumptions!$B$11,IF(G615="Statewide",Assumptions!$B$12,Assumptions!$B$13))</x:f>
        <x:v>0.25</x:v>
      </x:c>
      <x:c r="I615" s="21" t="n">
        <x:v>-0.056426495016611344</x:v>
      </x:c>
      <x:c r="J615" s="21" t="n">
        <x:v>-0.047004775747508276</x:v>
      </x:c>
      <x:c r="K615" s="21" t="n">
        <x:v>-0.09852574750830567</x:v>
      </x:c>
      <x:c r="L615" s="36" t="n">
        <x:f>IF(Assumptions!$B$4=2030,I615,IF(Assumptions!$B$4=2035,J615,K615))</x:f>
        <x:v>-0.047004775747508276</x:v>
      </x:c>
      <x:c r="M615" s="36" t="n">
        <x:f>Assumptions!$B$19</x:f>
        <x:v>-0.04739891965741583</x:v>
      </x:c>
      <x:c r="N615" s="52" t="n">
        <x:f>H615*L615+(1-H615)*M615+O615</x:f>
        <x:v>-0.04730038367993894</x:v>
      </x:c>
      <x:c r="O615" s="36" t="n">
        <x:f>Assumptions!$B$10</x:f>
        <x:v>0</x:v>
      </x:c>
      <x:c r="P615" s="54" t="n">
        <x:f>E615*(1+N615)</x:f>
        <x:v>1710.0958112945095</x:v>
      </x:c>
      <x:c r="Q615" s="54" t="n">
        <x:f>P615-E615</x:f>
        <x:v>-84.90418870549047</x:v>
      </x:c>
      <x:c r="R615" s="16" t="str">
        <x:v>Yes</x:v>
      </x:c>
      <x:c r="S615" s="56" t="n">
        <x:v>28973</x:v>
      </x:c>
      <x:c r="T615" s="56" t="n">
        <x:v>35852</x:v>
      </x:c>
      <x:c r="U615" s="40" t="n">
        <x:f>E615*Assumptions!$B$8</x:f>
        <x:v>1525.75</x:v>
      </x:c>
      <x:c r="V615" s="40" t="n">
        <x:f>P615*Assumptions!$B$8</x:f>
        <x:v>1453.5814396003332</x:v>
      </x:c>
      <x:c r="W615" s="54" t="n">
        <x:f>V615-U615</x:f>
        <x:v>-72.16856039966683</x:v>
      </x:c>
      <x:c r="X615" s="58" t="n">
        <x:f>IF(R615="No","",W615*S615)</x:f>
        <x:v>-2090939.700459547</x:v>
      </x:c>
      <x:c r="Y615" s="58" t="n">
        <x:f>IF(R615="No","",W615*T615*Assumptions!$B$9)</x:f>
        <x:v>-776216.1682346564</x:v>
      </x:c>
      <x:c r="Z615" s="58" t="n">
        <x:f>IF(R615="No","",X615-Y615)</x:f>
        <x:v>-1314723.5322248908</x:v>
      </x:c>
      <x:c r="AA615" s="58" t="n">
        <x:f>IF(R615="No","",MAX(0,-Z615))</x:f>
        <x:v>1314723.5322248908</x:v>
      </x:c>
      <x:c r="AB615" s="52" t="n">
        <x:f>IF(OR(R615="No",U615*S615=0),"",AA615/(U615*S615))</x:f>
        <x:v>0.029741138634277423</x:v>
      </x:c>
      <x:c r="AC615" s="54" t="n">
        <x:f>IF(OR(R615="No",S615-T615*Assumptions!$B$9&lt;=0),"",AA615/(Assumptions!$B$8*(S615-T615*Assumptions!$B$9)))</x:f>
        <x:v>84.9041887054904</x:v>
      </x:c>
      <x:c r="AD615" s="52" t="n">
        <x:f>IF(OR(R615="No",U615*S615=0),"",AA615/(U615*S615))</x:f>
        <x:v>0.029741138634277423</x:v>
      </x:c>
      <x:c r="AE615" s="50" t="str">
        <x:f>IF(R615="No","No finance data",IF(AB615&gt;=10%,"Severe",IF(AB615&gt;=5%,"High",IF(AB615&gt;=2%,"Moderate","Low"))))</x:f>
        <x:v>Moderate</x:v>
      </x:c>
      <x:c r="AF615" s="60" t="n">
        <x:v>42.372459</x:v>
      </x:c>
      <x:c r="AG615" s="60" t="n">
        <x:v>-72.518493</x:v>
      </x:c>
      <x:c r="AH615" s="44" t="str">
        <x:v>Undergraduate tuition-contribution proxy only; not an audited total institutional budget.</x:v>
      </x:c>
    </x:row>
    <x:row r="616">
      <x:c r="A616" s="16" t="n">
        <x:v>164492</x:v>
      </x:c>
      <x:c r="B616" s="16" t="str">
        <x:v>Anna Maria College</x:v>
      </x:c>
      <x:c r="C616" s="16" t="str">
        <x:v>MA</x:v>
      </x:c>
      <x:c r="D616" s="16" t="str">
        <x:v>Private nonprofit</x:v>
      </x:c>
      <x:c r="E616" s="34" t="n">
        <x:v>1123</x:v>
      </x:c>
      <x:c r="F616" s="21" t="n">
        <x:v>0.7285</x:v>
      </x:c>
      <x:c r="G616" s="16" t="str">
        <x:v>Regional</x:v>
      </x:c>
      <x:c r="H616" s="36" t="n">
        <x:f>IF(G616="National",Assumptions!$B$11,IF(G616="Statewide",Assumptions!$B$12,Assumptions!$B$13))</x:f>
        <x:v>0.85</x:v>
      </x:c>
      <x:c r="I616" s="21" t="n">
        <x:v>-0.056426495016611344</x:v>
      </x:c>
      <x:c r="J616" s="21" t="n">
        <x:v>-0.047004775747508276</x:v>
      </x:c>
      <x:c r="K616" s="21" t="n">
        <x:v>-0.09852574750830567</x:v>
      </x:c>
      <x:c r="L616" s="36" t="n">
        <x:f>IF(Assumptions!$B$4=2030,I616,IF(Assumptions!$B$4=2035,J616,K616))</x:f>
        <x:v>-0.047004775747508276</x:v>
      </x:c>
      <x:c r="M616" s="36" t="n">
        <x:f>Assumptions!$B$19</x:f>
        <x:v>-0.04739891965741583</x:v>
      </x:c>
      <x:c r="N616" s="52" t="n">
        <x:f>H616*L616+(1-H616)*M616+O616</x:f>
        <x:v>-0.04706389733399441</x:v>
      </x:c>
      <x:c r="O616" s="36" t="n">
        <x:f>Assumptions!$B$10</x:f>
        <x:v>0</x:v>
      </x:c>
      <x:c r="P616" s="54" t="n">
        <x:f>E616*(1+N616)</x:f>
        <x:v>1070.1472432939242</x:v>
      </x:c>
      <x:c r="Q616" s="54" t="n">
        <x:f>P616-E616</x:f>
        <x:v>-52.85275670607575</x:v>
      </x:c>
      <x:c r="R616" s="16" t="str">
        <x:v>Yes</x:v>
      </x:c>
      <x:c r="S616" s="56" t="n">
        <x:v>13455</x:v>
      </x:c>
      <x:c r="T616" s="56" t="n">
        <x:v>5790</x:v>
      </x:c>
      <x:c r="U616" s="40" t="n">
        <x:f>E616*Assumptions!$B$8</x:f>
        <x:v>954.55</x:v>
      </x:c>
      <x:c r="V616" s="40" t="n">
        <x:f>P616*Assumptions!$B$8</x:f>
        <x:v>909.6251567998356</x:v>
      </x:c>
      <x:c r="W616" s="54" t="n">
        <x:f>V616-U616</x:f>
        <x:v>-44.92484320016433</x:v>
      </x:c>
      <x:c r="X616" s="58" t="n">
        <x:f>IF(R616="No","",W616*S616)</x:f>
        <x:v>-604463.7652582111</x:v>
      </x:c>
      <x:c r="Y616" s="58" t="n">
        <x:f>IF(R616="No","",W616*T616*Assumptions!$B$9)</x:f>
        <x:v>-78034.45263868544</x:v>
      </x:c>
      <x:c r="Z616" s="58" t="n">
        <x:f>IF(R616="No","",X616-Y616)</x:f>
        <x:v>-526429.3126195256</x:v>
      </x:c>
      <x:c r="AA616" s="58" t="n">
        <x:f>IF(R616="No","",MAX(0,-Z616))</x:f>
        <x:v>526429.3126195256</x:v>
      </x:c>
      <x:c r="AB616" s="52" t="n">
        <x:f>IF(OR(R616="No",U616*S616=0),"",AA616/(U616*S616))</x:f>
        <x:v>0.04098808985208072</x:v>
      </x:c>
      <x:c r="AC616" s="54" t="n">
        <x:f>IF(OR(R616="No",S616-T616*Assumptions!$B$9&lt;=0),"",AA616/(Assumptions!$B$8*(S616-T616*Assumptions!$B$9)))</x:f>
        <x:v>52.85275670607568</x:v>
      </x:c>
      <x:c r="AD616" s="52" t="n">
        <x:f>IF(OR(R616="No",U616*S616=0),"",AA616/(U616*S616))</x:f>
        <x:v>0.04098808985208072</x:v>
      </x:c>
      <x:c r="AE616" s="50" t="str">
        <x:f>IF(R616="No","No finance data",IF(AB616&gt;=10%,"Severe",IF(AB616&gt;=5%,"High",IF(AB616&gt;=2%,"Moderate","Low"))))</x:f>
        <x:v>Moderate</x:v>
      </x:c>
      <x:c r="AF616" s="60" t="n">
        <x:v>42.330542</x:v>
      </x:c>
      <x:c r="AG616" s="60" t="n">
        <x:v>-71.91896</x:v>
      </x:c>
      <x:c r="AH616" s="44" t="str">
        <x:v>Undergraduate tuition-contribution proxy only; not an audited total institutional budget.</x:v>
      </x:c>
    </x:row>
    <x:row r="617">
      <x:c r="A617" s="16" t="n">
        <x:v>164562</x:v>
      </x:c>
      <x:c r="B617" s="16" t="str">
        <x:v>Assumption College</x:v>
      </x:c>
      <x:c r="C617" s="16" t="str">
        <x:v>MA</x:v>
      </x:c>
      <x:c r="D617" s="16" t="str">
        <x:v>Private nonprofit</x:v>
      </x:c>
      <x:c r="E617" s="34" t="n">
        <x:v>2184</x:v>
      </x:c>
      <x:c r="F617" s="21" t="n">
        <x:v>0.8649</x:v>
      </x:c>
      <x:c r="G617" s="16" t="str">
        <x:v>Regional</x:v>
      </x:c>
      <x:c r="H617" s="36" t="n">
        <x:f>IF(G617="National",Assumptions!$B$11,IF(G617="Statewide",Assumptions!$B$12,Assumptions!$B$13))</x:f>
        <x:v>0.85</x:v>
      </x:c>
      <x:c r="I617" s="21" t="n">
        <x:v>-0.056426495016611344</x:v>
      </x:c>
      <x:c r="J617" s="21" t="n">
        <x:v>-0.047004775747508276</x:v>
      </x:c>
      <x:c r="K617" s="21" t="n">
        <x:v>-0.09852574750830567</x:v>
      </x:c>
      <x:c r="L617" s="36" t="n">
        <x:f>IF(Assumptions!$B$4=2030,I617,IF(Assumptions!$B$4=2035,J617,K617))</x:f>
        <x:v>-0.047004775747508276</x:v>
      </x:c>
      <x:c r="M617" s="36" t="n">
        <x:f>Assumptions!$B$19</x:f>
        <x:v>-0.04739891965741583</x:v>
      </x:c>
      <x:c r="N617" s="52" t="n">
        <x:f>H617*L617+(1-H617)*M617+O617</x:f>
        <x:v>-0.04706389733399441</x:v>
      </x:c>
      <x:c r="O617" s="36" t="n">
        <x:f>Assumptions!$B$10</x:f>
        <x:v>0</x:v>
      </x:c>
      <x:c r="P617" s="54" t="n">
        <x:f>E617*(1+N617)</x:f>
        <x:v>2081.2124482225563</x:v>
      </x:c>
      <x:c r="Q617" s="54" t="n">
        <x:f>P617-E617</x:f>
        <x:v>-102.7875517774437</x:v>
      </x:c>
      <x:c r="R617" s="16" t="str">
        <x:v>Yes</x:v>
      </x:c>
      <x:c r="S617" s="56" t="n">
        <x:v>14963</x:v>
      </x:c>
      <x:c r="T617" s="56" t="n">
        <x:v>9904</x:v>
      </x:c>
      <x:c r="U617" s="40" t="n">
        <x:f>E617*Assumptions!$B$8</x:f>
        <x:v>1856.3999999999999</x:v>
      </x:c>
      <x:c r="V617" s="40" t="n">
        <x:f>P617*Assumptions!$B$8</x:f>
        <x:v>1769.030580989173</x:v>
      </x:c>
      <x:c r="W617" s="54" t="n">
        <x:f>V617-U617</x:f>
        <x:v>-87.36941901082696</x:v>
      </x:c>
      <x:c r="X617" s="58" t="n">
        <x:f>IF(R617="No","",W617*S617)</x:f>
        <x:v>-1307308.6166590038</x:v>
      </x:c>
      <x:c r="Y617" s="58" t="n">
        <x:f>IF(R617="No","",W617*T617*Assumptions!$B$9)</x:f>
        <x:v>-259592.01776496906</x:v>
      </x:c>
      <x:c r="Z617" s="58" t="n">
        <x:f>IF(R617="No","",X617-Y617)</x:f>
        <x:v>-1047716.5988940347</x:v>
      </x:c>
      <x:c r="AA617" s="58" t="n">
        <x:f>IF(R617="No","",MAX(0,-Z617))</x:f>
        <x:v>1047716.5988940347</x:v>
      </x:c>
      <x:c r="AB617" s="52" t="n">
        <x:f>IF(OR(R617="No",U617*S617=0),"",AA617/(U617*S617))</x:f>
        <x:v>0.03771842839335644</x:v>
      </x:c>
      <x:c r="AC617" s="54" t="n">
        <x:f>IF(OR(R617="No",S617-T617*Assumptions!$B$9&lt;=0),"",AA617/(Assumptions!$B$8*(S617-T617*Assumptions!$B$9)))</x:f>
        <x:v>102.7875517774435</x:v>
      </x:c>
      <x:c r="AD617" s="52" t="n">
        <x:f>IF(OR(R617="No",U617*S617=0),"",AA617/(U617*S617))</x:f>
        <x:v>0.03771842839335644</x:v>
      </x:c>
      <x:c r="AE617" s="50" t="str">
        <x:f>IF(R617="No","No finance data",IF(AB617&gt;=10%,"Severe",IF(AB617&gt;=5%,"High",IF(AB617&gt;=2%,"Moderate","Low"))))</x:f>
        <x:v>Moderate</x:v>
      </x:c>
      <x:c r="AF617" s="60" t="n">
        <x:v>42.294226</x:v>
      </x:c>
      <x:c r="AG617" s="60" t="n">
        <x:v>-71.828991</x:v>
      </x:c>
      <x:c r="AH617" s="44" t="str">
        <x:v>Undergraduate tuition-contribution proxy only; not an audited total institutional budget.</x:v>
      </x:c>
    </x:row>
    <x:row r="618">
      <x:c r="A618" s="16" t="n">
        <x:v>164580</x:v>
      </x:c>
      <x:c r="B618" s="16" t="str">
        <x:v>Babson College</x:v>
      </x:c>
      <x:c r="C618" s="16" t="str">
        <x:v>MA</x:v>
      </x:c>
      <x:c r="D618" s="16" t="str">
        <x:v>Private nonprofit</x:v>
      </x:c>
      <x:c r="E618" s="34" t="n">
        <x:v>2141</x:v>
      </x:c>
      <x:c r="F618" s="21" t="n">
        <x:v>0.2535</x:v>
      </x:c>
      <x:c r="G618" s="16" t="str">
        <x:v>National</x:v>
      </x:c>
      <x:c r="H618" s="36" t="n">
        <x:f>IF(G618="National",Assumptions!$B$11,IF(G618="Statewide",Assumptions!$B$12,Assumptions!$B$13))</x:f>
        <x:v>0.25</x:v>
      </x:c>
      <x:c r="I618" s="21" t="n">
        <x:v>-0.056426495016611344</x:v>
      </x:c>
      <x:c r="J618" s="21" t="n">
        <x:v>-0.047004775747508276</x:v>
      </x:c>
      <x:c r="K618" s="21" t="n">
        <x:v>-0.09852574750830567</x:v>
      </x:c>
      <x:c r="L618" s="36" t="n">
        <x:f>IF(Assumptions!$B$4=2030,I618,IF(Assumptions!$B$4=2035,J618,K618))</x:f>
        <x:v>-0.047004775747508276</x:v>
      </x:c>
      <x:c r="M618" s="36" t="n">
        <x:f>Assumptions!$B$19</x:f>
        <x:v>-0.04739891965741583</x:v>
      </x:c>
      <x:c r="N618" s="52" t="n">
        <x:f>H618*L618+(1-H618)*M618+O618</x:f>
        <x:v>-0.04730038367993894</x:v>
      </x:c>
      <x:c r="O618" s="36" t="n">
        <x:f>Assumptions!$B$10</x:f>
        <x:v>0</x:v>
      </x:c>
      <x:c r="P618" s="54" t="n">
        <x:f>E618*(1+N618)</x:f>
        <x:v>2039.7298785412506</x:v>
      </x:c>
      <x:c r="Q618" s="54" t="n">
        <x:f>P618-E618</x:f>
        <x:v>-101.27012145874937</x:v>
      </x:c>
      <x:c r="R618" s="16" t="str">
        <x:v>Yes</x:v>
      </x:c>
      <x:c r="S618" s="56" t="n">
        <x:v>35329</x:v>
      </x:c>
      <x:c r="T618" s="56" t="n">
        <x:v>14548</x:v>
      </x:c>
      <x:c r="U618" s="40" t="n">
        <x:f>E618*Assumptions!$B$8</x:f>
        <x:v>1819.85</x:v>
      </x:c>
      <x:c r="V618" s="40" t="n">
        <x:f>P618*Assumptions!$B$8</x:f>
        <x:v>1733.770396760063</x:v>
      </x:c>
      <x:c r="W618" s="54" t="n">
        <x:f>V618-U618</x:f>
        <x:v>-86.07960323993689</x:v>
      </x:c>
      <x:c r="X618" s="58" t="n">
        <x:f>IF(R618="No","",W618*S618)</x:f>
        <x:v>-3041106.30286373</x:v>
      </x:c>
      <x:c r="Y618" s="58" t="n">
        <x:f>IF(R618="No","",W618*T618*Assumptions!$B$9)</x:f>
        <x:v>-375685.82038038055</x:v>
      </x:c>
      <x:c r="Z618" s="58" t="n">
        <x:f>IF(R618="No","",X618-Y618)</x:f>
        <x:v>-2665420.4824833497</x:v>
      </x:c>
      <x:c r="AA618" s="58" t="n">
        <x:f>IF(R618="No","",MAX(0,-Z618))</x:f>
        <x:v>2665420.4824833497</x:v>
      </x:c>
      <x:c r="AB618" s="52" t="n">
        <x:f>IF(OR(R618="No",U618*S618=0),"",AA618/(U618*S618))</x:f>
        <x:v>0.0414570879587828</x:v>
      </x:c>
      <x:c r="AC618" s="54" t="n">
        <x:f>IF(OR(R618="No",S618-T618*Assumptions!$B$9&lt;=0),"",AA618/(Assumptions!$B$8*(S618-T618*Assumptions!$B$9)))</x:f>
        <x:v>101.27012145874927</x:v>
      </x:c>
      <x:c r="AD618" s="52" t="n">
        <x:f>IF(OR(R618="No",U618*S618=0),"",AA618/(U618*S618))</x:f>
        <x:v>0.0414570879587828</x:v>
      </x:c>
      <x:c r="AE618" s="50" t="str">
        <x:f>IF(R618="No","No finance data",IF(AB618&gt;=10%,"Severe",IF(AB618&gt;=5%,"High",IF(AB618&gt;=2%,"Moderate","Low"))))</x:f>
        <x:v>Moderate</x:v>
      </x:c>
      <x:c r="AF618" s="60" t="n">
        <x:v>42.297017</x:v>
      </x:c>
      <x:c r="AG618" s="60" t="n">
        <x:v>-71.264057</x:v>
      </x:c>
      <x:c r="AH618" s="44" t="str">
        <x:v>Undergraduate tuition-contribution proxy only; not an audited total institutional budget.</x:v>
      </x:c>
    </x:row>
    <x:row r="619">
      <x:c r="A619" s="16" t="n">
        <x:v>164632</x:v>
      </x:c>
      <x:c r="B619" s="16" t="str">
        <x:v>Bay Path University</x:v>
      </x:c>
      <x:c r="C619" s="16" t="str">
        <x:v>MA</x:v>
      </x:c>
      <x:c r="D619" s="16" t="str">
        <x:v>Private nonprofit</x:v>
      </x:c>
      <x:c r="E619" s="34" t="n">
        <x:v>1849</x:v>
      </x:c>
      <x:c r="F619" s="21" t="n">
        <x:v>0.7541</x:v>
      </x:c>
      <x:c r="G619" s="16" t="str">
        <x:v>Regional</x:v>
      </x:c>
      <x:c r="H619" s="36" t="n">
        <x:f>IF(G619="National",Assumptions!$B$11,IF(G619="Statewide",Assumptions!$B$12,Assumptions!$B$13))</x:f>
        <x:v>0.85</x:v>
      </x:c>
      <x:c r="I619" s="21" t="n">
        <x:v>-0.056426495016611344</x:v>
      </x:c>
      <x:c r="J619" s="21" t="n">
        <x:v>-0.047004775747508276</x:v>
      </x:c>
      <x:c r="K619" s="21" t="n">
        <x:v>-0.09852574750830567</x:v>
      </x:c>
      <x:c r="L619" s="36" t="n">
        <x:f>IF(Assumptions!$B$4=2030,I619,IF(Assumptions!$B$4=2035,J619,K619))</x:f>
        <x:v>-0.047004775747508276</x:v>
      </x:c>
      <x:c r="M619" s="36" t="n">
        <x:f>Assumptions!$B$19</x:f>
        <x:v>-0.04739891965741583</x:v>
      </x:c>
      <x:c r="N619" s="52" t="n">
        <x:f>H619*L619+(1-H619)*M619+O619</x:f>
        <x:v>-0.04706389733399441</x:v>
      </x:c>
      <x:c r="O619" s="36" t="n">
        <x:f>Assumptions!$B$10</x:f>
        <x:v>0</x:v>
      </x:c>
      <x:c r="P619" s="54" t="n">
        <x:f>E619*(1+N619)</x:f>
        <x:v>1761.9788538294442</x:v>
      </x:c>
      <x:c r="Q619" s="54" t="n">
        <x:f>P619-E619</x:f>
        <x:v>-87.02114617055577</x:v>
      </x:c>
      <x:c r="R619" s="16" t="str">
        <x:v>Yes</x:v>
      </x:c>
      <x:c r="S619" s="56" t="n">
        <x:v>16088</x:v>
      </x:c>
      <x:c r="T619" s="56" t="n">
        <x:v>7334</x:v>
      </x:c>
      <x:c r="U619" s="40" t="n">
        <x:f>E619*Assumptions!$B$8</x:f>
        <x:v>1571.6499999999999</x:v>
      </x:c>
      <x:c r="V619" s="40" t="n">
        <x:f>P619*Assumptions!$B$8</x:f>
        <x:v>1497.6820257550276</x:v>
      </x:c>
      <x:c r="W619" s="54" t="n">
        <x:f>V619-U619</x:f>
        <x:v>-73.96797424497231</x:v>
      </x:c>
      <x:c r="X619" s="58" t="n">
        <x:f>IF(R619="No","",W619*S619)</x:f>
        <x:v>-1189996.7696531145</x:v>
      </x:c>
      <x:c r="Y619" s="58" t="n">
        <x:f>IF(R619="No","",W619*T619*Assumptions!$B$9)</x:f>
        <x:v>-162744.3369337881</x:v>
      </x:c>
      <x:c r="Z619" s="58" t="n">
        <x:f>IF(R619="No","",X619-Y619)</x:f>
        <x:v>-1027252.4327193263</x:v>
      </x:c>
      <x:c r="AA619" s="58" t="n">
        <x:f>IF(R619="No","",MAX(0,-Z619))</x:f>
        <x:v>1027252.4327193263</x:v>
      </x:c>
      <x:c r="AB619" s="52" t="n">
        <x:f>IF(OR(R619="No",U619*S619=0),"",AA619/(U619*S619))</x:f>
        <x:v>0.04062742375652956</x:v>
      </x:c>
      <x:c r="AC619" s="54" t="n">
        <x:f>IF(OR(R619="No",S619-T619*Assumptions!$B$9&lt;=0),"",AA619/(Assumptions!$B$8*(S619-T619*Assumptions!$B$9)))</x:f>
        <x:v>87.02114617055565</x:v>
      </x:c>
      <x:c r="AD619" s="52" t="n">
        <x:f>IF(OR(R619="No",U619*S619=0),"",AA619/(U619*S619))</x:f>
        <x:v>0.04062742375652956</x:v>
      </x:c>
      <x:c r="AE619" s="50" t="str">
        <x:f>IF(R619="No","No finance data",IF(AB619&gt;=10%,"Severe",IF(AB619&gt;=5%,"High",IF(AB619&gt;=2%,"Moderate","Low"))))</x:f>
        <x:v>Moderate</x:v>
      </x:c>
      <x:c r="AF619" s="60" t="n">
        <x:v>42.055088</x:v>
      </x:c>
      <x:c r="AG619" s="60" t="n">
        <x:v>-72.583382</x:v>
      </x:c>
      <x:c r="AH619" s="44" t="str">
        <x:v>Undergraduate tuition-contribution proxy only; not an audited total institutional budget.</x:v>
      </x:c>
    </x:row>
    <x:row r="620">
      <x:c r="A620" s="16" t="n">
        <x:v>164720</x:v>
      </x:c>
      <x:c r="B620" s="16" t="str">
        <x:v>Becker College</x:v>
      </x:c>
      <x:c r="C620" s="16" t="str">
        <x:v>MA</x:v>
      </x:c>
      <x:c r="D620" s="16" t="str">
        <x:v>Private nonprofit</x:v>
      </x:c>
      <x:c r="E620" s="34" t="n">
        <x:v>2036</x:v>
      </x:c>
      <x:c r="F620" s="21"/>
      <x:c r="G620" s="16" t="str">
        <x:v>Regional</x:v>
      </x:c>
      <x:c r="H620" s="36" t="n">
        <x:f>IF(G620="National",Assumptions!$B$11,IF(G620="Statewide",Assumptions!$B$12,Assumptions!$B$13))</x:f>
        <x:v>0.85</x:v>
      </x:c>
      <x:c r="I620" s="21" t="n">
        <x:v>-0.056426495016611344</x:v>
      </x:c>
      <x:c r="J620" s="21" t="n">
        <x:v>-0.047004775747508276</x:v>
      </x:c>
      <x:c r="K620" s="21" t="n">
        <x:v>-0.09852574750830567</x:v>
      </x:c>
      <x:c r="L620" s="36" t="n">
        <x:f>IF(Assumptions!$B$4=2030,I620,IF(Assumptions!$B$4=2035,J620,K620))</x:f>
        <x:v>-0.047004775747508276</x:v>
      </x:c>
      <x:c r="M620" s="36" t="n">
        <x:f>Assumptions!$B$19</x:f>
        <x:v>-0.04739891965741583</x:v>
      </x:c>
      <x:c r="N620" s="52" t="n">
        <x:f>H620*L620+(1-H620)*M620+O620</x:f>
        <x:v>-0.04706389733399441</x:v>
      </x:c>
      <x:c r="O620" s="36" t="n">
        <x:f>Assumptions!$B$10</x:f>
        <x:v>0</x:v>
      </x:c>
      <x:c r="P620" s="54" t="n">
        <x:f>E620*(1+N620)</x:f>
        <x:v>1940.1779050279874</x:v>
      </x:c>
      <x:c r="Q620" s="54" t="n">
        <x:f>P620-E620</x:f>
        <x:v>-95.82209497201256</x:v>
      </x:c>
      <x:c r="R620" s="16" t="str">
        <x:v>No</x:v>
      </x:c>
      <x:c r="S620" s="56"/>
      <x:c r="T620" s="56"/>
      <x:c r="U620" s="40" t="n">
        <x:f>E620*Assumptions!$B$8</x:f>
        <x:v>1730.6</x:v>
      </x:c>
      <x:c r="V620" s="40" t="n">
        <x:f>P620*Assumptions!$B$8</x:f>
        <x:v>1649.1512192737894</x:v>
      </x:c>
      <x:c r="W620" s="54" t="n">
        <x:f>V620-U620</x:f>
        <x:v>-81.44878072621054</x:v>
      </x:c>
      <x:c r="X620" s="58" t="str">
        <x:f>IF(R620="No","",W620*S620)</x:f>
      </x:c>
      <x:c r="Y620" s="58" t="str">
        <x:f>IF(R620="No","",W620*T620*Assumptions!$B$9)</x:f>
      </x:c>
      <x:c r="Z620" s="58" t="str">
        <x:f>IF(R620="No","",X620-Y620)</x:f>
      </x:c>
      <x:c r="AA620" s="58" t="str">
        <x:f>IF(R620="No","",MAX(0,-Z620))</x:f>
      </x:c>
      <x:c r="AB620" s="52" t="str">
        <x:f>IF(OR(R620="No",U620*S620=0),"",AA620/(U620*S620))</x:f>
      </x:c>
      <x:c r="AC620" s="54" t="str">
        <x:f>IF(OR(R620="No",S620-T620*Assumptions!$B$9&lt;=0),"",AA620/(Assumptions!$B$8*(S620-T620*Assumptions!$B$9)))</x:f>
      </x:c>
      <x:c r="AD620" s="52" t="str">
        <x:f>IF(OR(R620="No",U620*S620=0),"",AA620/(U620*S620))</x:f>
      </x:c>
      <x:c r="AE620" s="50" t="str">
        <x:f>IF(R620="No","No finance data",IF(AB620&gt;=10%,"Severe",IF(AB620&gt;=5%,"High",IF(AB620&gt;=2%,"Moderate","Low"))))</x:f>
        <x:v>No finance data</x:v>
      </x:c>
      <x:c r="AF620" s="60"/>
      <x:c r="AG620" s="60"/>
      <x:c r="AH620" s="44" t="str">
        <x:v>Undergraduate tuition-contribution proxy only; not an audited total institutional budget.</x:v>
      </x:c>
    </x:row>
    <x:row r="621">
      <x:c r="A621" s="16" t="n">
        <x:v>164739</x:v>
      </x:c>
      <x:c r="B621" s="16" t="str">
        <x:v>Bentley University</x:v>
      </x:c>
      <x:c r="C621" s="16" t="str">
        <x:v>MA</x:v>
      </x:c>
      <x:c r="D621" s="16" t="str">
        <x:v>Private nonprofit</x:v>
      </x:c>
      <x:c r="E621" s="34" t="n">
        <x:v>4137</x:v>
      </x:c>
      <x:c r="F621" s="21" t="n">
        <x:v>0.6094</x:v>
      </x:c>
      <x:c r="G621" s="16" t="str">
        <x:v>Regional</x:v>
      </x:c>
      <x:c r="H621" s="36" t="n">
        <x:f>IF(G621="National",Assumptions!$B$11,IF(G621="Statewide",Assumptions!$B$12,Assumptions!$B$13))</x:f>
        <x:v>0.85</x:v>
      </x:c>
      <x:c r="I621" s="21" t="n">
        <x:v>-0.056426495016611344</x:v>
      </x:c>
      <x:c r="J621" s="21" t="n">
        <x:v>-0.047004775747508276</x:v>
      </x:c>
      <x:c r="K621" s="21" t="n">
        <x:v>-0.09852574750830567</x:v>
      </x:c>
      <x:c r="L621" s="36" t="n">
        <x:f>IF(Assumptions!$B$4=2030,I621,IF(Assumptions!$B$4=2035,J621,K621))</x:f>
        <x:v>-0.047004775747508276</x:v>
      </x:c>
      <x:c r="M621" s="36" t="n">
        <x:f>Assumptions!$B$19</x:f>
        <x:v>-0.04739891965741583</x:v>
      </x:c>
      <x:c r="N621" s="52" t="n">
        <x:f>H621*L621+(1-H621)*M621+O621</x:f>
        <x:v>-0.04706389733399441</x:v>
      </x:c>
      <x:c r="O621" s="36" t="n">
        <x:f>Assumptions!$B$10</x:f>
        <x:v>0</x:v>
      </x:c>
      <x:c r="P621" s="54" t="n">
        <x:f>E621*(1+N621)</x:f>
        <x:v>3942.296656729265</x:v>
      </x:c>
      <x:c r="Q621" s="54" t="n">
        <x:f>P621-E621</x:f>
        <x:v>-194.70334327073488</x:v>
      </x:c>
      <x:c r="R621" s="16" t="str">
        <x:v>Yes</x:v>
      </x:c>
      <x:c r="S621" s="56" t="n">
        <x:v>31450</x:v>
      </x:c>
      <x:c r="T621" s="56" t="n">
        <x:v>14145</x:v>
      </x:c>
      <x:c r="U621" s="40" t="n">
        <x:f>E621*Assumptions!$B$8</x:f>
        <x:v>3516.45</x:v>
      </x:c>
      <x:c r="V621" s="40" t="n">
        <x:f>P621*Assumptions!$B$8</x:f>
        <x:v>3350.9521582198754</x:v>
      </x:c>
      <x:c r="W621" s="54" t="n">
        <x:f>V621-U621</x:f>
        <x:v>-165.49784178012442</x:v>
      </x:c>
      <x:c r="X621" s="58" t="n">
        <x:f>IF(R621="No","",W621*S621)</x:f>
        <x:v>-5204907.123984913</x:v>
      </x:c>
      <x:c r="Y621" s="58" t="n">
        <x:f>IF(R621="No","",W621*T621*Assumptions!$B$9)</x:f>
        <x:v>-702290.0915939579</x:v>
      </x:c>
      <x:c r="Z621" s="58" t="n">
        <x:f>IF(R621="No","",X621-Y621)</x:f>
        <x:v>-4502617.032390956</x:v>
      </x:c>
      <x:c r="AA621" s="58" t="n">
        <x:f>IF(R621="No","",MAX(0,-Z621))</x:f>
        <x:v>4502617.032390956</x:v>
      </x:c>
      <x:c r="AB621" s="52" t="n">
        <x:f>IF(OR(R621="No",U621*S621=0),"",AA621/(U621*S621))</x:f>
        <x:v>0.0407136382453837</x:v>
      </x:c>
      <x:c r="AC621" s="54" t="n">
        <x:f>IF(OR(R621="No",S621-T621*Assumptions!$B$9&lt;=0),"",AA621/(Assumptions!$B$8*(S621-T621*Assumptions!$B$9)))</x:f>
        <x:v>194.70334327073468</x:v>
      </x:c>
      <x:c r="AD621" s="52" t="n">
        <x:f>IF(OR(R621="No",U621*S621=0),"",AA621/(U621*S621))</x:f>
        <x:v>0.0407136382453837</x:v>
      </x:c>
      <x:c r="AE621" s="50" t="str">
        <x:f>IF(R621="No","No finance data",IF(AB621&gt;=10%,"Severe",IF(AB621&gt;=5%,"High",IF(AB621&gt;=2%,"Moderate","Low"))))</x:f>
        <x:v>Moderate</x:v>
      </x:c>
      <x:c r="AF621" s="60" t="n">
        <x:v>42.385995</x:v>
      </x:c>
      <x:c r="AG621" s="60" t="n">
        <x:v>-71.222839</x:v>
      </x:c>
      <x:c r="AH621" s="44" t="str">
        <x:v>Undergraduate tuition-contribution proxy only; not an audited total institutional budget.</x:v>
      </x:c>
    </x:row>
    <x:row r="622">
      <x:c r="A622" s="16" t="n">
        <x:v>164748</x:v>
      </x:c>
      <x:c r="B622" s="16" t="str">
        <x:v>Berklee College of Music</x:v>
      </x:c>
      <x:c r="C622" s="16" t="str">
        <x:v>MA</x:v>
      </x:c>
      <x:c r="D622" s="16" t="str">
        <x:v>Private nonprofit</x:v>
      </x:c>
      <x:c r="E622" s="34" t="n">
        <x:v>5112</x:v>
      </x:c>
      <x:c r="F622" s="21" t="n">
        <x:v>0.5517</x:v>
      </x:c>
      <x:c r="G622" s="16" t="str">
        <x:v>Regional</x:v>
      </x:c>
      <x:c r="H622" s="36" t="n">
        <x:f>IF(G622="National",Assumptions!$B$11,IF(G622="Statewide",Assumptions!$B$12,Assumptions!$B$13))</x:f>
        <x:v>0.85</x:v>
      </x:c>
      <x:c r="I622" s="21" t="n">
        <x:v>-0.056426495016611344</x:v>
      </x:c>
      <x:c r="J622" s="21" t="n">
        <x:v>-0.047004775747508276</x:v>
      </x:c>
      <x:c r="K622" s="21" t="n">
        <x:v>-0.09852574750830567</x:v>
      </x:c>
      <x:c r="L622" s="36" t="n">
        <x:f>IF(Assumptions!$B$4=2030,I622,IF(Assumptions!$B$4=2035,J622,K622))</x:f>
        <x:v>-0.047004775747508276</x:v>
      </x:c>
      <x:c r="M622" s="36" t="n">
        <x:f>Assumptions!$B$19</x:f>
        <x:v>-0.04739891965741583</x:v>
      </x:c>
      <x:c r="N622" s="52" t="n">
        <x:f>H622*L622+(1-H622)*M622+O622</x:f>
        <x:v>-0.04706389733399441</x:v>
      </x:c>
      <x:c r="O622" s="36" t="n">
        <x:f>Assumptions!$B$10</x:f>
        <x:v>0</x:v>
      </x:c>
      <x:c r="P622" s="54" t="n">
        <x:f>E622*(1+N622)</x:f>
        <x:v>4871.409356828621</x:v>
      </x:c>
      <x:c r="Q622" s="54" t="n">
        <x:f>P622-E622</x:f>
        <x:v>-240.59064317137927</x:v>
      </x:c>
      <x:c r="R622" s="16" t="str">
        <x:v>Yes</x:v>
      </x:c>
      <x:c r="S622" s="56" t="n">
        <x:v>26641</x:v>
      </x:c>
      <x:c r="T622" s="56" t="n">
        <x:v>18668</x:v>
      </x:c>
      <x:c r="U622" s="40" t="n">
        <x:f>E622*Assumptions!$B$8</x:f>
        <x:v>4345.2</x:v>
      </x:c>
      <x:c r="V622" s="40" t="n">
        <x:f>P622*Assumptions!$B$8</x:f>
        <x:v>4140.697953304328</x:v>
      </x:c>
      <x:c r="W622" s="54" t="n">
        <x:f>V622-U622</x:f>
        <x:v>-204.5020466956721</x:v>
      </x:c>
      <x:c r="X622" s="58" t="n">
        <x:f>IF(R622="No","",W622*S622)</x:f>
        <x:v>-5448139.026019401</x:v>
      </x:c>
      <x:c r="Y622" s="58" t="n">
        <x:f>IF(R622="No","",W622*T622*Assumptions!$B$9)</x:f>
        <x:v>-1145293.262314442</x:v>
      </x:c>
      <x:c r="Z622" s="58" t="n">
        <x:f>IF(R622="No","",X622-Y622)</x:f>
        <x:v>-4302845.763704959</x:v>
      </x:c>
      <x:c r="AA622" s="58" t="n">
        <x:f>IF(R622="No","",MAX(0,-Z622))</x:f>
        <x:v>4302845.763704959</x:v>
      </x:c>
      <x:c r="AB622" s="52" t="n">
        <x:f>IF(OR(R622="No",U622*S622=0),"",AA622/(U622*S622))</x:f>
        <x:v>0.03717025030012541</x:v>
      </x:c>
      <x:c r="AC622" s="54" t="n">
        <x:f>IF(OR(R622="No",S622-T622*Assumptions!$B$9&lt;=0),"",AA622/(Assumptions!$B$8*(S622-T622*Assumptions!$B$9)))</x:f>
        <x:v>240.590643171379</x:v>
      </x:c>
      <x:c r="AD622" s="52" t="n">
        <x:f>IF(OR(R622="No",U622*S622=0),"",AA622/(U622*S622))</x:f>
        <x:v>0.03717025030012541</x:v>
      </x:c>
      <x:c r="AE622" s="50" t="str">
        <x:f>IF(R622="No","No finance data",IF(AB622&gt;=10%,"Severe",IF(AB622&gt;=5%,"High",IF(AB622&gt;=2%,"Moderate","Low"))))</x:f>
        <x:v>Moderate</x:v>
      </x:c>
      <x:c r="AF622" s="60" t="n">
        <x:v>42.346646</x:v>
      </x:c>
      <x:c r="AG622" s="60" t="n">
        <x:v>-71.089405</x:v>
      </x:c>
      <x:c r="AH622" s="44" t="str">
        <x:v>Undergraduate tuition-contribution proxy only; not an audited total institutional budget.</x:v>
      </x:c>
    </x:row>
    <x:row r="623">
      <x:c r="A623" s="16" t="n">
        <x:v>164872</x:v>
      </x:c>
      <x:c r="B623" s="16" t="str">
        <x:v>Boston Architectural College</x:v>
      </x:c>
      <x:c r="C623" s="16" t="str">
        <x:v>MA</x:v>
      </x:c>
      <x:c r="D623" s="16" t="str">
        <x:v>Private nonprofit</x:v>
      </x:c>
      <x:c r="E623" s="34" t="n">
        <x:v>365</x:v>
      </x:c>
      <x:c r="F623" s="21"/>
      <x:c r="G623" s="16" t="str">
        <x:v>Regional</x:v>
      </x:c>
      <x:c r="H623" s="36" t="n">
        <x:f>IF(G623="National",Assumptions!$B$11,IF(G623="Statewide",Assumptions!$B$12,Assumptions!$B$13))</x:f>
        <x:v>0.85</x:v>
      </x:c>
      <x:c r="I623" s="21" t="n">
        <x:v>-0.056426495016611344</x:v>
      </x:c>
      <x:c r="J623" s="21" t="n">
        <x:v>-0.047004775747508276</x:v>
      </x:c>
      <x:c r="K623" s="21" t="n">
        <x:v>-0.09852574750830567</x:v>
      </x:c>
      <x:c r="L623" s="36" t="n">
        <x:f>IF(Assumptions!$B$4=2030,I623,IF(Assumptions!$B$4=2035,J623,K623))</x:f>
        <x:v>-0.047004775747508276</x:v>
      </x:c>
      <x:c r="M623" s="36" t="n">
        <x:f>Assumptions!$B$19</x:f>
        <x:v>-0.04739891965741583</x:v>
      </x:c>
      <x:c r="N623" s="52" t="n">
        <x:f>H623*L623+(1-H623)*M623+O623</x:f>
        <x:v>-0.04706389733399441</x:v>
      </x:c>
      <x:c r="O623" s="36" t="n">
        <x:f>Assumptions!$B$10</x:f>
        <x:v>0</x:v>
      </x:c>
      <x:c r="P623" s="54" t="n">
        <x:f>E623*(1+N623)</x:f>
        <x:v>347.82167747309205</x:v>
      </x:c>
      <x:c r="Q623" s="54" t="n">
        <x:f>P623-E623</x:f>
        <x:v>-17.178322526907948</x:v>
      </x:c>
      <x:c r="R623" s="16" t="str">
        <x:v>No</x:v>
      </x:c>
      <x:c r="S623" s="56"/>
      <x:c r="T623" s="56"/>
      <x:c r="U623" s="40" t="n">
        <x:f>E623*Assumptions!$B$8</x:f>
        <x:v>310.25</x:v>
      </x:c>
      <x:c r="V623" s="40" t="n">
        <x:f>P623*Assumptions!$B$8</x:f>
        <x:v>295.64842585212824</x:v>
      </x:c>
      <x:c r="W623" s="54" t="n">
        <x:f>V623-U623</x:f>
        <x:v>-14.601574147871759</x:v>
      </x:c>
      <x:c r="X623" s="58" t="str">
        <x:f>IF(R623="No","",W623*S623)</x:f>
      </x:c>
      <x:c r="Y623" s="58" t="str">
        <x:f>IF(R623="No","",W623*T623*Assumptions!$B$9)</x:f>
      </x:c>
      <x:c r="Z623" s="58" t="str">
        <x:f>IF(R623="No","",X623-Y623)</x:f>
      </x:c>
      <x:c r="AA623" s="58" t="str">
        <x:f>IF(R623="No","",MAX(0,-Z623))</x:f>
      </x:c>
      <x:c r="AB623" s="52" t="str">
        <x:f>IF(OR(R623="No",U623*S623=0),"",AA623/(U623*S623))</x:f>
      </x:c>
      <x:c r="AC623" s="54" t="str">
        <x:f>IF(OR(R623="No",S623-T623*Assumptions!$B$9&lt;=0),"",AA623/(Assumptions!$B$8*(S623-T623*Assumptions!$B$9)))</x:f>
      </x:c>
      <x:c r="AD623" s="52" t="str">
        <x:f>IF(OR(R623="No",U623*S623=0),"",AA623/(U623*S623))</x:f>
      </x:c>
      <x:c r="AE623" s="50" t="str">
        <x:f>IF(R623="No","No finance data",IF(AB623&gt;=10%,"Severe",IF(AB623&gt;=5%,"High",IF(AB623&gt;=2%,"Moderate","Low"))))</x:f>
        <x:v>No finance data</x:v>
      </x:c>
      <x:c r="AF623" s="60"/>
      <x:c r="AG623" s="60"/>
      <x:c r="AH623" s="44" t="str">
        <x:v>Undergraduate tuition-contribution proxy only; not an audited total institutional budget.</x:v>
      </x:c>
    </x:row>
    <x:row r="624">
      <x:c r="A624" s="16" t="n">
        <x:v>164614</x:v>
      </x:c>
      <x:c r="B624" s="16" t="str">
        <x:v>Boston Baptist College</x:v>
      </x:c>
      <x:c r="C624" s="16" t="str">
        <x:v>MA</x:v>
      </x:c>
      <x:c r="D624" s="16" t="str">
        <x:v>Private nonprofit</x:v>
      </x:c>
      <x:c r="E624" s="34" t="n">
        <x:v>71</x:v>
      </x:c>
      <x:c r="F624" s="21"/>
      <x:c r="G624" s="16" t="str">
        <x:v>Regional</x:v>
      </x:c>
      <x:c r="H624" s="36" t="n">
        <x:f>IF(G624="National",Assumptions!$B$11,IF(G624="Statewide",Assumptions!$B$12,Assumptions!$B$13))</x:f>
        <x:v>0.85</x:v>
      </x:c>
      <x:c r="I624" s="21" t="n">
        <x:v>-0.056426495016611344</x:v>
      </x:c>
      <x:c r="J624" s="21" t="n">
        <x:v>-0.047004775747508276</x:v>
      </x:c>
      <x:c r="K624" s="21" t="n">
        <x:v>-0.09852574750830567</x:v>
      </x:c>
      <x:c r="L624" s="36" t="n">
        <x:f>IF(Assumptions!$B$4=2030,I624,IF(Assumptions!$B$4=2035,J624,K624))</x:f>
        <x:v>-0.047004775747508276</x:v>
      </x:c>
      <x:c r="M624" s="36" t="n">
        <x:f>Assumptions!$B$19</x:f>
        <x:v>-0.04739891965741583</x:v>
      </x:c>
      <x:c r="N624" s="52" t="n">
        <x:f>H624*L624+(1-H624)*M624+O624</x:f>
        <x:v>-0.04706389733399441</x:v>
      </x:c>
      <x:c r="O624" s="36" t="n">
        <x:f>Assumptions!$B$10</x:f>
        <x:v>0</x:v>
      </x:c>
      <x:c r="P624" s="54" t="n">
        <x:f>E624*(1+N624)</x:f>
        <x:v>67.6584632892864</x:v>
      </x:c>
      <x:c r="Q624" s="54" t="n">
        <x:f>P624-E624</x:f>
        <x:v>-3.341536710713598</x:v>
      </x:c>
      <x:c r="R624" s="16" t="str">
        <x:v>No</x:v>
      </x:c>
      <x:c r="S624" s="56"/>
      <x:c r="T624" s="56"/>
      <x:c r="U624" s="40" t="n">
        <x:f>E624*Assumptions!$B$8</x:f>
        <x:v>60.35</x:v>
      </x:c>
      <x:c r="V624" s="40" t="n">
        <x:f>P624*Assumptions!$B$8</x:f>
        <x:v>57.50969379589344</x:v>
      </x:c>
      <x:c r="W624" s="54" t="n">
        <x:f>V624-U624</x:f>
        <x:v>-2.840306204106561</x:v>
      </x:c>
      <x:c r="X624" s="58" t="str">
        <x:f>IF(R624="No","",W624*S624)</x:f>
      </x:c>
      <x:c r="Y624" s="58" t="str">
        <x:f>IF(R624="No","",W624*T624*Assumptions!$B$9)</x:f>
      </x:c>
      <x:c r="Z624" s="58" t="str">
        <x:f>IF(R624="No","",X624-Y624)</x:f>
      </x:c>
      <x:c r="AA624" s="58" t="str">
        <x:f>IF(R624="No","",MAX(0,-Z624))</x:f>
      </x:c>
      <x:c r="AB624" s="52" t="str">
        <x:f>IF(OR(R624="No",U624*S624=0),"",AA624/(U624*S624))</x:f>
      </x:c>
      <x:c r="AC624" s="54" t="str">
        <x:f>IF(OR(R624="No",S624-T624*Assumptions!$B$9&lt;=0),"",AA624/(Assumptions!$B$8*(S624-T624*Assumptions!$B$9)))</x:f>
      </x:c>
      <x:c r="AD624" s="52" t="str">
        <x:f>IF(OR(R624="No",U624*S624=0),"",AA624/(U624*S624))</x:f>
      </x:c>
      <x:c r="AE624" s="50" t="str">
        <x:f>IF(R624="No","No finance data",IF(AB624&gt;=10%,"Severe",IF(AB624&gt;=5%,"High",IF(AB624&gt;=2%,"Moderate","Low"))))</x:f>
        <x:v>No finance data</x:v>
      </x:c>
      <x:c r="AF624" s="60"/>
      <x:c r="AG624" s="60"/>
      <x:c r="AH624" s="44" t="str">
        <x:v>Undergraduate tuition-contribution proxy only; not an audited total institutional budget.</x:v>
      </x:c>
    </x:row>
    <x:row r="625">
      <x:c r="A625" s="16" t="n">
        <x:v>164924</x:v>
      </x:c>
      <x:c r="B625" s="16" t="str">
        <x:v>Boston College</x:v>
      </x:c>
      <x:c r="C625" s="16" t="str">
        <x:v>MA</x:v>
      </x:c>
      <x:c r="D625" s="16" t="str">
        <x:v>Private nonprofit</x:v>
      </x:c>
      <x:c r="E625" s="34" t="n">
        <x:v>9491</x:v>
      </x:c>
      <x:c r="F625" s="21" t="n">
        <x:v>0.1904</x:v>
      </x:c>
      <x:c r="G625" s="16" t="str">
        <x:v>National</x:v>
      </x:c>
      <x:c r="H625" s="36" t="n">
        <x:f>IF(G625="National",Assumptions!$B$11,IF(G625="Statewide",Assumptions!$B$12,Assumptions!$B$13))</x:f>
        <x:v>0.25</x:v>
      </x:c>
      <x:c r="I625" s="21" t="n">
        <x:v>-0.056426495016611344</x:v>
      </x:c>
      <x:c r="J625" s="21" t="n">
        <x:v>-0.047004775747508276</x:v>
      </x:c>
      <x:c r="K625" s="21" t="n">
        <x:v>-0.09852574750830567</x:v>
      </x:c>
      <x:c r="L625" s="36" t="n">
        <x:f>IF(Assumptions!$B$4=2030,I625,IF(Assumptions!$B$4=2035,J625,K625))</x:f>
        <x:v>-0.047004775747508276</x:v>
      </x:c>
      <x:c r="M625" s="36" t="n">
        <x:f>Assumptions!$B$19</x:f>
        <x:v>-0.04739891965741583</x:v>
      </x:c>
      <x:c r="N625" s="52" t="n">
        <x:f>H625*L625+(1-H625)*M625+O625</x:f>
        <x:v>-0.04730038367993894</x:v>
      </x:c>
      <x:c r="O625" s="36" t="n">
        <x:f>Assumptions!$B$10</x:f>
        <x:v>0</x:v>
      </x:c>
      <x:c r="P625" s="54" t="n">
        <x:f>E625*(1+N625)</x:f>
        <x:v>9042.072058493699</x:v>
      </x:c>
      <x:c r="Q625" s="54" t="n">
        <x:f>P625-E625</x:f>
        <x:v>-448.92794150630107</x:v>
      </x:c>
      <x:c r="R625" s="16" t="str">
        <x:v>Yes</x:v>
      </x:c>
      <x:c r="S625" s="56" t="n">
        <x:v>38133</x:v>
      </x:c>
      <x:c r="T625" s="56" t="n">
        <x:v>23682</x:v>
      </x:c>
      <x:c r="U625" s="40" t="n">
        <x:f>E625*Assumptions!$B$8</x:f>
        <x:v>8067.349999999999</x:v>
      </x:c>
      <x:c r="V625" s="40" t="n">
        <x:f>P625*Assumptions!$B$8</x:f>
        <x:v>7685.761249719644</x:v>
      </x:c>
      <x:c r="W625" s="54" t="n">
        <x:f>V625-U625</x:f>
        <x:v>-381.58875028035527</x:v>
      </x:c>
      <x:c r="X625" s="58" t="n">
        <x:f>IF(R625="No","",W625*S625)</x:f>
        <x:v>-14551123.814440787</x:v>
      </x:c>
      <x:c r="Y625" s="58" t="n">
        <x:f>IF(R625="No","",W625*T625*Assumptions!$B$9)</x:f>
        <x:v>-2711035.4352418124</x:v>
      </x:c>
      <x:c r="Z625" s="58" t="n">
        <x:f>IF(R625="No","",X625-Y625)</x:f>
        <x:v>-11840088.379198974</x:v>
      </x:c>
      <x:c r="AA625" s="58" t="n">
        <x:f>IF(R625="No","",MAX(0,-Z625))</x:f>
        <x:v>11840088.379198974</x:v>
      </x:c>
      <x:c r="AB625" s="52" t="n">
        <x:f>IF(OR(R625="No",U625*S625=0),"",AA625/(U625*S625))</x:f>
        <x:v>0.03848779862519647</x:v>
      </x:c>
      <x:c r="AC625" s="54" t="n">
        <x:f>IF(OR(R625="No",S625-T625*Assumptions!$B$9&lt;=0),"",AA625/(Assumptions!$B$8*(S625-T625*Assumptions!$B$9)))</x:f>
        <x:v>448.9279415063003</x:v>
      </x:c>
      <x:c r="AD625" s="52" t="n">
        <x:f>IF(OR(R625="No",U625*S625=0),"",AA625/(U625*S625))</x:f>
        <x:v>0.03848779862519647</x:v>
      </x:c>
      <x:c r="AE625" s="50" t="str">
        <x:f>IF(R625="No","No finance data",IF(AB625&gt;=10%,"Severe",IF(AB625&gt;=5%,"High",IF(AB625&gt;=2%,"Moderate","Low"))))</x:f>
        <x:v>Moderate</x:v>
      </x:c>
      <x:c r="AF625" s="60" t="n">
        <x:v>42.336213</x:v>
      </x:c>
      <x:c r="AG625" s="60" t="n">
        <x:v>-71.169242</x:v>
      </x:c>
      <x:c r="AH625" s="44" t="str">
        <x:v>Undergraduate tuition-contribution proxy only; not an audited total institutional budget.</x:v>
      </x:c>
    </x:row>
    <x:row r="626">
      <x:c r="A626" s="16" t="n">
        <x:v>164988</x:v>
      </x:c>
      <x:c r="B626" s="16" t="str">
        <x:v>Boston University</x:v>
      </x:c>
      <x:c r="C626" s="16" t="str">
        <x:v>MA</x:v>
      </x:c>
      <x:c r="D626" s="16" t="str">
        <x:v>Private nonprofit</x:v>
      </x:c>
      <x:c r="E626" s="34" t="n">
        <x:v>16456</x:v>
      </x:c>
      <x:c r="F626" s="21" t="n">
        <x:v>0.1865</x:v>
      </x:c>
      <x:c r="G626" s="16" t="str">
        <x:v>National</x:v>
      </x:c>
      <x:c r="H626" s="36" t="n">
        <x:f>IF(G626="National",Assumptions!$B$11,IF(G626="Statewide",Assumptions!$B$12,Assumptions!$B$13))</x:f>
        <x:v>0.25</x:v>
      </x:c>
      <x:c r="I626" s="21" t="n">
        <x:v>-0.056426495016611344</x:v>
      </x:c>
      <x:c r="J626" s="21" t="n">
        <x:v>-0.047004775747508276</x:v>
      </x:c>
      <x:c r="K626" s="21" t="n">
        <x:v>-0.09852574750830567</x:v>
      </x:c>
      <x:c r="L626" s="36" t="n">
        <x:f>IF(Assumptions!$B$4=2030,I626,IF(Assumptions!$B$4=2035,J626,K626))</x:f>
        <x:v>-0.047004775747508276</x:v>
      </x:c>
      <x:c r="M626" s="36" t="n">
        <x:f>Assumptions!$B$19</x:f>
        <x:v>-0.04739891965741583</x:v>
      </x:c>
      <x:c r="N626" s="52" t="n">
        <x:f>H626*L626+(1-H626)*M626+O626</x:f>
        <x:v>-0.04730038367993894</x:v>
      </x:c>
      <x:c r="O626" s="36" t="n">
        <x:f>Assumptions!$B$10</x:f>
        <x:v>0</x:v>
      </x:c>
      <x:c r="P626" s="54" t="n">
        <x:f>E626*(1+N626)</x:f>
        <x:v>15677.624886162925</x:v>
      </x:c>
      <x:c r="Q626" s="54" t="n">
        <x:f>P626-E626</x:f>
        <x:v>-778.3751138370753</x:v>
      </x:c>
      <x:c r="R626" s="16" t="str">
        <x:v>Yes</x:v>
      </x:c>
      <x:c r="S626" s="56" t="n">
        <x:v>33819</x:v>
      </x:c>
      <x:c r="T626" s="56" t="n">
        <x:v>30056</x:v>
      </x:c>
      <x:c r="U626" s="40" t="n">
        <x:f>E626*Assumptions!$B$8</x:f>
        <x:v>13987.6</x:v>
      </x:c>
      <x:c r="V626" s="40" t="n">
        <x:f>P626*Assumptions!$B$8</x:f>
        <x:v>13325.981153238487</x:v>
      </x:c>
      <x:c r="W626" s="54" t="n">
        <x:f>V626-U626</x:f>
        <x:v>-661.6188467615139</x:v>
      </x:c>
      <x:c r="X626" s="58" t="n">
        <x:f>IF(R626="No","",W626*S626)</x:f>
        <x:v>-22375287.778627638</x:v>
      </x:c>
      <x:c r="Y626" s="58" t="n">
        <x:f>IF(R626="No","",W626*T626*Assumptions!$B$9)</x:f>
        <x:v>-5965684.817479218</x:v>
      </x:c>
      <x:c r="Z626" s="58" t="n">
        <x:f>IF(R626="No","",X626-Y626)</x:f>
        <x:v>-16409602.961148418</x:v>
      </x:c>
      <x:c r="AA626" s="58" t="n">
        <x:f>IF(R626="No","",MAX(0,-Z626))</x:f>
        <x:v>16409602.961148418</x:v>
      </x:c>
      <x:c r="AB626" s="52" t="n">
        <x:f>IF(OR(R626="No",U626*S626=0),"",AA626/(U626*S626))</x:f>
        <x:v>0.03468918584542953</x:v>
      </x:c>
      <x:c r="AC626" s="54" t="n">
        <x:f>IF(OR(R626="No",S626-T626*Assumptions!$B$9&lt;=0),"",AA626/(Assumptions!$B$8*(S626-T626*Assumptions!$B$9)))</x:f>
        <x:v>778.3751138370751</x:v>
      </x:c>
      <x:c r="AD626" s="52" t="n">
        <x:f>IF(OR(R626="No",U626*S626=0),"",AA626/(U626*S626))</x:f>
        <x:v>0.03468918584542953</x:v>
      </x:c>
      <x:c r="AE626" s="50" t="str">
        <x:f>IF(R626="No","No finance data",IF(AB626&gt;=10%,"Severe",IF(AB626&gt;=5%,"High",IF(AB626&gt;=2%,"Moderate","Low"))))</x:f>
        <x:v>Moderate</x:v>
      </x:c>
      <x:c r="AF626" s="60" t="n">
        <x:v>42.351118</x:v>
      </x:c>
      <x:c r="AG626" s="60" t="n">
        <x:v>-71.107942</x:v>
      </x:c>
      <x:c r="AH626" s="44" t="str">
        <x:v>Undergraduate tuition-contribution proxy only; not an audited total institutional budget.</x:v>
      </x:c>
    </x:row>
    <x:row r="627">
      <x:c r="A627" s="16" t="n">
        <x:v>165015</x:v>
      </x:c>
      <x:c r="B627" s="16" t="str">
        <x:v>Brandeis University</x:v>
      </x:c>
      <x:c r="C627" s="16" t="str">
        <x:v>MA</x:v>
      </x:c>
      <x:c r="D627" s="16" t="str">
        <x:v>Private nonprofit</x:v>
      </x:c>
      <x:c r="E627" s="34" t="n">
        <x:v>3610</x:v>
      </x:c>
      <x:c r="F627" s="21" t="n">
        <x:v>0.3914</x:v>
      </x:c>
      <x:c r="G627" s="16" t="str">
        <x:v>Regional</x:v>
      </x:c>
      <x:c r="H627" s="36" t="n">
        <x:f>IF(G627="National",Assumptions!$B$11,IF(G627="Statewide",Assumptions!$B$12,Assumptions!$B$13))</x:f>
        <x:v>0.85</x:v>
      </x:c>
      <x:c r="I627" s="21" t="n">
        <x:v>-0.056426495016611344</x:v>
      </x:c>
      <x:c r="J627" s="21" t="n">
        <x:v>-0.047004775747508276</x:v>
      </x:c>
      <x:c r="K627" s="21" t="n">
        <x:v>-0.09852574750830567</x:v>
      </x:c>
      <x:c r="L627" s="36" t="n">
        <x:f>IF(Assumptions!$B$4=2030,I627,IF(Assumptions!$B$4=2035,J627,K627))</x:f>
        <x:v>-0.047004775747508276</x:v>
      </x:c>
      <x:c r="M627" s="36" t="n">
        <x:f>Assumptions!$B$19</x:f>
        <x:v>-0.04739891965741583</x:v>
      </x:c>
      <x:c r="N627" s="52" t="n">
        <x:f>H627*L627+(1-H627)*M627+O627</x:f>
        <x:v>-0.04706389733399441</x:v>
      </x:c>
      <x:c r="O627" s="36" t="n">
        <x:f>Assumptions!$B$10</x:f>
        <x:v>0</x:v>
      </x:c>
      <x:c r="P627" s="54" t="n">
        <x:f>E627*(1+N627)</x:f>
        <x:v>3440.0993306242804</x:v>
      </x:c>
      <x:c r="Q627" s="54" t="n">
        <x:f>P627-E627</x:f>
        <x:v>-169.90066937571964</x:v>
      </x:c>
      <x:c r="R627" s="16" t="str">
        <x:v>Yes</x:v>
      </x:c>
      <x:c r="S627" s="56" t="n">
        <x:v>23886</x:v>
      </x:c>
      <x:c r="T627" s="56" t="n">
        <x:v>18090</x:v>
      </x:c>
      <x:c r="U627" s="40" t="n">
        <x:f>E627*Assumptions!$B$8</x:f>
        <x:v>3068.5</x:v>
      </x:c>
      <x:c r="V627" s="40" t="n">
        <x:f>P627*Assumptions!$B$8</x:f>
        <x:v>2924.0844310306384</x:v>
      </x:c>
      <x:c r="W627" s="54" t="n">
        <x:f>V627-U627</x:f>
        <x:v>-144.41556896936163</x:v>
      </x:c>
      <x:c r="X627" s="58" t="n">
        <x:f>IF(R627="No","",W627*S627)</x:f>
        <x:v>-3449510.280402172</x:v>
      </x:c>
      <x:c r="Y627" s="58" t="n">
        <x:f>IF(R627="No","",W627*T627*Assumptions!$B$9)</x:f>
        <x:v>-783743.2927967255</x:v>
      </x:c>
      <x:c r="Z627" s="58" t="n">
        <x:f>IF(R627="No","",X627-Y627)</x:f>
        <x:v>-2665766.9876054465</x:v>
      </x:c>
      <x:c r="AA627" s="58" t="n">
        <x:f>IF(R627="No","",MAX(0,-Z627))</x:f>
        <x:v>2665766.9876054465</x:v>
      </x:c>
      <x:c r="AB627" s="52" t="n">
        <x:f>IF(OR(R627="No",U627*S627=0),"",AA627/(U627*S627))</x:f>
        <x:v>0.03637078124793609</x:v>
      </x:c>
      <x:c r="AC627" s="54" t="n">
        <x:f>IF(OR(R627="No",S627-T627*Assumptions!$B$9&lt;=0),"",AA627/(Assumptions!$B$8*(S627-T627*Assumptions!$B$9)))</x:f>
        <x:v>169.9006693757196</x:v>
      </x:c>
      <x:c r="AD627" s="52" t="n">
        <x:f>IF(OR(R627="No",U627*S627=0),"",AA627/(U627*S627))</x:f>
        <x:v>0.03637078124793609</x:v>
      </x:c>
      <x:c r="AE627" s="50" t="str">
        <x:f>IF(R627="No","No finance data",IF(AB627&gt;=10%,"Severe",IF(AB627&gt;=5%,"High",IF(AB627&gt;=2%,"Moderate","Low"))))</x:f>
        <x:v>Moderate</x:v>
      </x:c>
      <x:c r="AF627" s="60" t="n">
        <x:v>42.365727</x:v>
      </x:c>
      <x:c r="AG627" s="60" t="n">
        <x:v>-71.260155</x:v>
      </x:c>
      <x:c r="AH627" s="44" t="str">
        <x:v>Undergraduate tuition-contribution proxy only; not an audited total institutional budget.</x:v>
      </x:c>
    </x:row>
    <x:row r="628">
      <x:c r="A628" s="16" t="n">
        <x:v>165024</x:v>
      </x:c>
      <x:c r="B628" s="16" t="str">
        <x:v>Bridgewater State University</x:v>
      </x:c>
      <x:c r="C628" s="16" t="str">
        <x:v>MA</x:v>
      </x:c>
      <x:c r="D628" s="16" t="str">
        <x:v>Public</x:v>
      </x:c>
      <x:c r="E628" s="34" t="n">
        <x:v>9497</x:v>
      </x:c>
      <x:c r="F628" s="21" t="n">
        <x:v>0.8638</x:v>
      </x:c>
      <x:c r="G628" s="16" t="str">
        <x:v>Statewide</x:v>
      </x:c>
      <x:c r="H628" s="36" t="n">
        <x:f>IF(G628="National",Assumptions!$B$11,IF(G628="Statewide",Assumptions!$B$12,Assumptions!$B$13))</x:f>
        <x:v>0.6</x:v>
      </x:c>
      <x:c r="I628" s="21" t="n">
        <x:v>-0.056426495016611344</x:v>
      </x:c>
      <x:c r="J628" s="21" t="n">
        <x:v>-0.047004775747508276</x:v>
      </x:c>
      <x:c r="K628" s="21" t="n">
        <x:v>-0.09852574750830567</x:v>
      </x:c>
      <x:c r="L628" s="36" t="n">
        <x:f>IF(Assumptions!$B$4=2030,I628,IF(Assumptions!$B$4=2035,J628,K628))</x:f>
        <x:v>-0.047004775747508276</x:v>
      </x:c>
      <x:c r="M628" s="36" t="n">
        <x:f>Assumptions!$B$19</x:f>
        <x:v>-0.04739891965741583</x:v>
      </x:c>
      <x:c r="N628" s="52" t="n">
        <x:f>H628*L628+(1-H628)*M628+O628</x:f>
        <x:v>-0.0471624333114713</x:v>
      </x:c>
      <x:c r="O628" s="36" t="n">
        <x:f>Assumptions!$B$10</x:f>
        <x:v>0</x:v>
      </x:c>
      <x:c r="P628" s="54" t="n">
        <x:f>E628*(1+N628)</x:f>
        <x:v>9049.098370840957</x:v>
      </x:c>
      <x:c r="Q628" s="54" t="n">
        <x:f>P628-E628</x:f>
        <x:v>-447.9016291590433</x:v>
      </x:c>
      <x:c r="R628" s="16" t="str">
        <x:v>Yes</x:v>
      </x:c>
      <x:c r="S628" s="56" t="n">
        <x:v>8960</x:v>
      </x:c>
      <x:c r="T628" s="56" t="n">
        <x:v>8958</x:v>
      </x:c>
      <x:c r="U628" s="40" t="n">
        <x:f>E628*Assumptions!$B$8</x:f>
        <x:v>8072.45</x:v>
      </x:c>
      <x:c r="V628" s="40" t="n">
        <x:f>P628*Assumptions!$B$8</x:f>
        <x:v>7691.733615214813</x:v>
      </x:c>
      <x:c r="W628" s="54" t="n">
        <x:f>V628-U628</x:f>
        <x:v>-380.7163847851871</x:v>
      </x:c>
      <x:c r="X628" s="58" t="n">
        <x:f>IF(R628="No","",W628*S628)</x:f>
        <x:v>-3411218.807675276</x:v>
      </x:c>
      <x:c r="Y628" s="58" t="n">
        <x:f>IF(R628="No","",W628*T628*Assumptions!$B$9)</x:f>
        <x:v>-1023137.2124717117</x:v>
      </x:c>
      <x:c r="Z628" s="58" t="n">
        <x:f>IF(R628="No","",X628-Y628)</x:f>
        <x:v>-2388081.5952035645</x:v>
      </x:c>
      <x:c r="AA628" s="58" t="n">
        <x:f>IF(R628="No","",MAX(0,-Z628))</x:f>
        <x:v>2388081.5952035645</x:v>
      </x:c>
      <x:c r="AB628" s="52" t="n">
        <x:f>IF(OR(R628="No",U628*S628=0),"",AA628/(U628*S628))</x:f>
        <x:v>0.033016861516689214</x:v>
      </x:c>
      <x:c r="AC628" s="54" t="n">
        <x:f>IF(OR(R628="No",S628-T628*Assumptions!$B$9&lt;=0),"",AA628/(Assumptions!$B$8*(S628-T628*Assumptions!$B$9)))</x:f>
        <x:v>447.90162915904364</x:v>
      </x:c>
      <x:c r="AD628" s="52" t="n">
        <x:f>IF(OR(R628="No",U628*S628=0),"",AA628/(U628*S628))</x:f>
        <x:v>0.033016861516689214</x:v>
      </x:c>
      <x:c r="AE628" s="50" t="str">
        <x:f>IF(R628="No","No finance data",IF(AB628&gt;=10%,"Severe",IF(AB628&gt;=5%,"High",IF(AB628&gt;=2%,"Moderate","Low"))))</x:f>
        <x:v>Moderate</x:v>
      </x:c>
      <x:c r="AF628" s="60" t="n">
        <x:v>41.98749</x:v>
      </x:c>
      <x:c r="AG628" s="60" t="n">
        <x:v>-70.974553</x:v>
      </x:c>
      <x:c r="AH628" s="44" t="str">
        <x:v>Undergraduate tuition-contribution proxy only; not an audited total institutional budget.</x:v>
      </x:c>
    </x:row>
    <x:row r="629">
      <x:c r="A629" s="16" t="n">
        <x:v>165167</x:v>
      </x:c>
      <x:c r="B629" s="16" t="str">
        <x:v>Cambridge College</x:v>
      </x:c>
      <x:c r="C629" s="16" t="str">
        <x:v>MA</x:v>
      </x:c>
      <x:c r="D629" s="16" t="str">
        <x:v>Private nonprofit</x:v>
      </x:c>
      <x:c r="E629" s="34" t="n">
        <x:v>997</x:v>
      </x:c>
      <x:c r="F629" s="21"/>
      <x:c r="G629" s="16" t="str">
        <x:v>Regional</x:v>
      </x:c>
      <x:c r="H629" s="36" t="n">
        <x:f>IF(G629="National",Assumptions!$B$11,IF(G629="Statewide",Assumptions!$B$12,Assumptions!$B$13))</x:f>
        <x:v>0.85</x:v>
      </x:c>
      <x:c r="I629" s="21" t="n">
        <x:v>-0.056426495016611344</x:v>
      </x:c>
      <x:c r="J629" s="21" t="n">
        <x:v>-0.047004775747508276</x:v>
      </x:c>
      <x:c r="K629" s="21" t="n">
        <x:v>-0.09852574750830567</x:v>
      </x:c>
      <x:c r="L629" s="36" t="n">
        <x:f>IF(Assumptions!$B$4=2030,I629,IF(Assumptions!$B$4=2035,J629,K629))</x:f>
        <x:v>-0.047004775747508276</x:v>
      </x:c>
      <x:c r="M629" s="36" t="n">
        <x:f>Assumptions!$B$19</x:f>
        <x:v>-0.04739891965741583</x:v>
      </x:c>
      <x:c r="N629" s="52" t="n">
        <x:f>H629*L629+(1-H629)*M629+O629</x:f>
        <x:v>-0.04706389733399441</x:v>
      </x:c>
      <x:c r="O629" s="36" t="n">
        <x:f>Assumptions!$B$10</x:f>
        <x:v>0</x:v>
      </x:c>
      <x:c r="P629" s="54" t="n">
        <x:f>E629*(1+N629)</x:f>
        <x:v>950.0772943580075</x:v>
      </x:c>
      <x:c r="Q629" s="54" t="n">
        <x:f>P629-E629</x:f>
        <x:v>-46.92270564199248</x:v>
      </x:c>
      <x:c r="R629" s="16" t="str">
        <x:v>Yes</x:v>
      </x:c>
      <x:c r="S629" s="56" t="n">
        <x:v>12012</x:v>
      </x:c>
      <x:c r="T629" s="56" t="n">
        <x:v>5934</x:v>
      </x:c>
      <x:c r="U629" s="40" t="n">
        <x:f>E629*Assumptions!$B$8</x:f>
        <x:v>847.4499999999999</x:v>
      </x:c>
      <x:c r="V629" s="40" t="n">
        <x:f>P629*Assumptions!$B$8</x:f>
        <x:v>807.5657002043064</x:v>
      </x:c>
      <x:c r="W629" s="54" t="n">
        <x:f>V629-U629</x:f>
        <x:v>-39.88429979569355</x:v>
      </x:c>
      <x:c r="X629" s="58" t="n">
        <x:f>IF(R629="No","",W629*S629)</x:f>
        <x:v>-479090.20914587093</x:v>
      </x:c>
      <x:c r="Y629" s="58" t="n">
        <x:f>IF(R629="No","",W629*T629*Assumptions!$B$9)</x:f>
        <x:v>-71002.03049629366</x:v>
      </x:c>
      <x:c r="Z629" s="58" t="n">
        <x:f>IF(R629="No","",X629-Y629)</x:f>
        <x:v>-408088.17864957725</x:v>
      </x:c>
      <x:c r="AA629" s="58" t="n">
        <x:f>IF(R629="No","",MAX(0,-Z629))</x:f>
        <x:v>408088.17864957725</x:v>
      </x:c>
      <x:c r="AB629" s="52" t="n">
        <x:f>IF(OR(R629="No",U629*S629=0),"",AA629/(U629*S629))</x:f>
        <x:v>0.04008894311871161</x:v>
      </x:c>
      <x:c r="AC629" s="54" t="n">
        <x:f>IF(OR(R629="No",S629-T629*Assumptions!$B$9&lt;=0),"",AA629/(Assumptions!$B$8*(S629-T629*Assumptions!$B$9)))</x:f>
        <x:v>46.922705641992415</x:v>
      </x:c>
      <x:c r="AD629" s="52" t="n">
        <x:f>IF(OR(R629="No",U629*S629=0),"",AA629/(U629*S629))</x:f>
        <x:v>0.04008894311871161</x:v>
      </x:c>
      <x:c r="AE629" s="50" t="str">
        <x:f>IF(R629="No","No finance data",IF(AB629&gt;=10%,"Severe",IF(AB629&gt;=5%,"High",IF(AB629&gt;=2%,"Moderate","Low"))))</x:f>
        <x:v>Moderate</x:v>
      </x:c>
      <x:c r="AF629" s="60" t="n">
        <x:v>42.381091</x:v>
      </x:c>
      <x:c r="AG629" s="60" t="n">
        <x:v>-71.072646</x:v>
      </x:c>
      <x:c r="AH629" s="44" t="str">
        <x:v>Undergraduate tuition-contribution proxy only; not an audited total institutional budget.</x:v>
      </x:c>
    </x:row>
    <x:row r="630">
      <x:c r="A630" s="16" t="n">
        <x:v>165334</x:v>
      </x:c>
      <x:c r="B630" s="16" t="str">
        <x:v>Clark University</x:v>
      </x:c>
      <x:c r="C630" s="16" t="str">
        <x:v>MA</x:v>
      </x:c>
      <x:c r="D630" s="16" t="str">
        <x:v>Private nonprofit</x:v>
      </x:c>
      <x:c r="E630" s="34" t="n">
        <x:v>2331</x:v>
      </x:c>
      <x:c r="F630" s="21" t="n">
        <x:v>0.4803</x:v>
      </x:c>
      <x:c r="G630" s="16" t="str">
        <x:v>Regional</x:v>
      </x:c>
      <x:c r="H630" s="36" t="n">
        <x:f>IF(G630="National",Assumptions!$B$11,IF(G630="Statewide",Assumptions!$B$12,Assumptions!$B$13))</x:f>
        <x:v>0.85</x:v>
      </x:c>
      <x:c r="I630" s="21" t="n">
        <x:v>-0.056426495016611344</x:v>
      </x:c>
      <x:c r="J630" s="21" t="n">
        <x:v>-0.047004775747508276</x:v>
      </x:c>
      <x:c r="K630" s="21" t="n">
        <x:v>-0.09852574750830567</x:v>
      </x:c>
      <x:c r="L630" s="36" t="n">
        <x:f>IF(Assumptions!$B$4=2030,I630,IF(Assumptions!$B$4=2035,J630,K630))</x:f>
        <x:v>-0.047004775747508276</x:v>
      </x:c>
      <x:c r="M630" s="36" t="n">
        <x:f>Assumptions!$B$19</x:f>
        <x:v>-0.04739891965741583</x:v>
      </x:c>
      <x:c r="N630" s="52" t="n">
        <x:f>H630*L630+(1-H630)*M630+O630</x:f>
        <x:v>-0.04706389733399441</x:v>
      </x:c>
      <x:c r="O630" s="36" t="n">
        <x:f>Assumptions!$B$10</x:f>
        <x:v>0</x:v>
      </x:c>
      <x:c r="P630" s="54" t="n">
        <x:f>E630*(1+N630)</x:f>
        <x:v>2221.294055314459</x:v>
      </x:c>
      <x:c r="Q630" s="54" t="n">
        <x:f>P630-E630</x:f>
        <x:v>-109.705944685541</x:v>
      </x:c>
      <x:c r="R630" s="16" t="str">
        <x:v>Yes</x:v>
      </x:c>
      <x:c r="S630" s="56" t="n">
        <x:v>22163</x:v>
      </x:c>
      <x:c r="T630" s="56" t="n">
        <x:v>13386</x:v>
      </x:c>
      <x:c r="U630" s="40" t="n">
        <x:f>E630*Assumptions!$B$8</x:f>
        <x:v>1981.35</x:v>
      </x:c>
      <x:c r="V630" s="40" t="n">
        <x:f>P630*Assumptions!$B$8</x:f>
        <x:v>1888.09994701729</x:v>
      </x:c>
      <x:c r="W630" s="54" t="n">
        <x:f>V630-U630</x:f>
        <x:v>-93.2500529827098</x:v>
      </x:c>
      <x:c r="X630" s="58" t="n">
        <x:f>IF(R630="No","",W630*S630)</x:f>
        <x:v>-2066700.9242557974</x:v>
      </x:c>
      <x:c r="Y630" s="58" t="n">
        <x:f>IF(R630="No","",W630*T630*Assumptions!$B$9)</x:f>
        <x:v>-374473.562767966</x:v>
      </x:c>
      <x:c r="Z630" s="58" t="n">
        <x:f>IF(R630="No","",X630-Y630)</x:f>
        <x:v>-1692227.3614878315</x:v>
      </x:c>
      <x:c r="AA630" s="58" t="n">
        <x:f>IF(R630="No","",MAX(0,-Z630))</x:f>
        <x:v>1692227.3614878315</x:v>
      </x:c>
      <x:c r="AB630" s="52" t="n">
        <x:f>IF(OR(R630="No",U630*S630=0),"",AA630/(U630*S630))</x:f>
        <x:v>0.038536207088366345</x:v>
      </x:c>
      <x:c r="AC630" s="54" t="n">
        <x:f>IF(OR(R630="No",S630-T630*Assumptions!$B$9&lt;=0),"",AA630/(Assumptions!$B$8*(S630-T630*Assumptions!$B$9)))</x:f>
        <x:v>109.70594468554094</x:v>
      </x:c>
      <x:c r="AD630" s="52" t="n">
        <x:f>IF(OR(R630="No",U630*S630=0),"",AA630/(U630*S630))</x:f>
        <x:v>0.038536207088366345</x:v>
      </x:c>
      <x:c r="AE630" s="50" t="str">
        <x:f>IF(R630="No","No finance data",IF(AB630&gt;=10%,"Severe",IF(AB630&gt;=5%,"High",IF(AB630&gt;=2%,"Moderate","Low"))))</x:f>
        <x:v>Moderate</x:v>
      </x:c>
      <x:c r="AF630" s="60" t="n">
        <x:v>42.249987</x:v>
      </x:c>
      <x:c r="AG630" s="60" t="n">
        <x:v>-71.823356</x:v>
      </x:c>
      <x:c r="AH630" s="44" t="str">
        <x:v>Undergraduate tuition-contribution proxy only; not an audited total institutional budget.</x:v>
      </x:c>
    </x:row>
    <x:row r="631">
      <x:c r="A631" s="16" t="n">
        <x:v>167394</x:v>
      </x:c>
      <x:c r="B631" s="16" t="str">
        <x:v>College of Our Lady of the Elms</x:v>
      </x:c>
      <x:c r="C631" s="16" t="str">
        <x:v>MA</x:v>
      </x:c>
      <x:c r="D631" s="16" t="str">
        <x:v>Private nonprofit</x:v>
      </x:c>
      <x:c r="E631" s="34" t="n">
        <x:v>1268</x:v>
      </x:c>
      <x:c r="F631" s="21" t="n">
        <x:v>0.6792</x:v>
      </x:c>
      <x:c r="G631" s="16" t="str">
        <x:v>Regional</x:v>
      </x:c>
      <x:c r="H631" s="36" t="n">
        <x:f>IF(G631="National",Assumptions!$B$11,IF(G631="Statewide",Assumptions!$B$12,Assumptions!$B$13))</x:f>
        <x:v>0.85</x:v>
      </x:c>
      <x:c r="I631" s="21" t="n">
        <x:v>-0.056426495016611344</x:v>
      </x:c>
      <x:c r="J631" s="21" t="n">
        <x:v>-0.047004775747508276</x:v>
      </x:c>
      <x:c r="K631" s="21" t="n">
        <x:v>-0.09852574750830567</x:v>
      </x:c>
      <x:c r="L631" s="36" t="n">
        <x:f>IF(Assumptions!$B$4=2030,I631,IF(Assumptions!$B$4=2035,J631,K631))</x:f>
        <x:v>-0.047004775747508276</x:v>
      </x:c>
      <x:c r="M631" s="36" t="n">
        <x:f>Assumptions!$B$19</x:f>
        <x:v>-0.04739891965741583</x:v>
      </x:c>
      <x:c r="N631" s="52" t="n">
        <x:f>H631*L631+(1-H631)*M631+O631</x:f>
        <x:v>-0.04706389733399441</x:v>
      </x:c>
      <x:c r="O631" s="36" t="n">
        <x:f>Assumptions!$B$10</x:f>
        <x:v>0</x:v>
      </x:c>
      <x:c r="P631" s="54" t="n">
        <x:f>E631*(1+N631)</x:f>
        <x:v>1208.322978180495</x:v>
      </x:c>
      <x:c r="Q631" s="54" t="n">
        <x:f>P631-E631</x:f>
        <x:v>-59.677021819504944</x:v>
      </x:c>
      <x:c r="R631" s="16" t="str">
        <x:v>Yes</x:v>
      </x:c>
      <x:c r="S631" s="56" t="n">
        <x:v>17878</x:v>
      </x:c>
      <x:c r="T631" s="56" t="n">
        <x:v>7700</x:v>
      </x:c>
      <x:c r="U631" s="40" t="n">
        <x:f>E631*Assumptions!$B$8</x:f>
        <x:v>1077.8</x:v>
      </x:c>
      <x:c r="V631" s="40" t="n">
        <x:f>P631*Assumptions!$B$8</x:f>
        <x:v>1027.0745314534208</x:v>
      </x:c>
      <x:c r="W631" s="54" t="n">
        <x:f>V631-U631</x:f>
        <x:v>-50.72546854657912</x:v>
      </x:c>
      <x:c r="X631" s="58" t="n">
        <x:f>IF(R631="No","",W631*S631)</x:f>
        <x:v>-906869.9266757416</x:v>
      </x:c>
      <x:c r="Y631" s="58" t="n">
        <x:f>IF(R631="No","",W631*T631*Assumptions!$B$9)</x:f>
        <x:v>-117175.83234259777</x:v>
      </x:c>
      <x:c r="Z631" s="58" t="n">
        <x:f>IF(R631="No","",X631-Y631)</x:f>
        <x:v>-789694.0943331438</x:v>
      </x:c>
      <x:c r="AA631" s="58" t="n">
        <x:f>IF(R631="No","",MAX(0,-Z631))</x:f>
        <x:v>789694.0943331438</x:v>
      </x:c>
      <x:c r="AB631" s="52" t="n">
        <x:f>IF(OR(R631="No",U631*S631=0),"",AA631/(U631*S631))</x:f>
        <x:v>0.040982814279876066</x:v>
      </x:c>
      <x:c r="AC631" s="54" t="n">
        <x:f>IF(OR(R631="No",S631-T631*Assumptions!$B$9&lt;=0),"",AA631/(Assumptions!$B$8*(S631-T631*Assumptions!$B$9)))</x:f>
        <x:v>59.67702181950485</x:v>
      </x:c>
      <x:c r="AD631" s="52" t="n">
        <x:f>IF(OR(R631="No",U631*S631=0),"",AA631/(U631*S631))</x:f>
        <x:v>0.040982814279876066</x:v>
      </x:c>
      <x:c r="AE631" s="50" t="str">
        <x:f>IF(R631="No","No finance data",IF(AB631&gt;=10%,"Severe",IF(AB631&gt;=5%,"High",IF(AB631&gt;=2%,"Moderate","Low"))))</x:f>
        <x:v>Moderate</x:v>
      </x:c>
      <x:c r="AF631" s="60" t="n">
        <x:v>42.141781</x:v>
      </x:c>
      <x:c r="AG631" s="60" t="n">
        <x:v>-72.60154</x:v>
      </x:c>
      <x:c r="AH631" s="44" t="str">
        <x:v>Undergraduate tuition-contribution proxy only; not an audited total institutional budget.</x:v>
      </x:c>
    </x:row>
    <x:row r="632">
      <x:c r="A632" s="16" t="n">
        <x:v>166124</x:v>
      </x:c>
      <x:c r="B632" s="16" t="str">
        <x:v>College of the Holy Cross</x:v>
      </x:c>
      <x:c r="C632" s="16" t="str">
        <x:v>MA</x:v>
      </x:c>
      <x:c r="D632" s="16" t="str">
        <x:v>Private nonprofit</x:v>
      </x:c>
      <x:c r="E632" s="34" t="n">
        <x:v>2698</x:v>
      </x:c>
      <x:c r="F632" s="21" t="n">
        <x:v>0.4287</x:v>
      </x:c>
      <x:c r="G632" s="16" t="str">
        <x:v>Regional</x:v>
      </x:c>
      <x:c r="H632" s="36" t="n">
        <x:f>IF(G632="National",Assumptions!$B$11,IF(G632="Statewide",Assumptions!$B$12,Assumptions!$B$13))</x:f>
        <x:v>0.85</x:v>
      </x:c>
      <x:c r="I632" s="21" t="n">
        <x:v>-0.056426495016611344</x:v>
      </x:c>
      <x:c r="J632" s="21" t="n">
        <x:v>-0.047004775747508276</x:v>
      </x:c>
      <x:c r="K632" s="21" t="n">
        <x:v>-0.09852574750830567</x:v>
      </x:c>
      <x:c r="L632" s="36" t="n">
        <x:f>IF(Assumptions!$B$4=2030,I632,IF(Assumptions!$B$4=2035,J632,K632))</x:f>
        <x:v>-0.047004775747508276</x:v>
      </x:c>
      <x:c r="M632" s="36" t="n">
        <x:f>Assumptions!$B$19</x:f>
        <x:v>-0.04739891965741583</x:v>
      </x:c>
      <x:c r="N632" s="52" t="n">
        <x:f>H632*L632+(1-H632)*M632+O632</x:f>
        <x:v>-0.04706389733399441</x:v>
      </x:c>
      <x:c r="O632" s="36" t="n">
        <x:f>Assumptions!$B$10</x:f>
        <x:v>0</x:v>
      </x:c>
      <x:c r="P632" s="54" t="n">
        <x:f>E632*(1+N632)</x:f>
        <x:v>2571.021604992883</x:v>
      </x:c>
      <x:c r="Q632" s="54" t="n">
        <x:f>P632-E632</x:f>
        <x:v>-126.97839500711689</x:v>
      </x:c>
      <x:c r="R632" s="16" t="str">
        <x:v>Yes</x:v>
      </x:c>
      <x:c r="S632" s="56" t="n">
        <x:v>31661</x:v>
      </x:c>
      <x:c r="T632" s="56" t="n">
        <x:v>19429</x:v>
      </x:c>
      <x:c r="U632" s="40" t="n">
        <x:f>E632*Assumptions!$B$8</x:f>
        <x:v>2293.2999999999997</x:v>
      </x:c>
      <x:c r="V632" s="40" t="n">
        <x:f>P632*Assumptions!$B$8</x:f>
        <x:v>2185.3683642439505</x:v>
      </x:c>
      <x:c r="W632" s="54" t="n">
        <x:f>V632-U632</x:f>
        <x:v>-107.93163575604922</x:v>
      </x:c>
      <x:c r="X632" s="58" t="n">
        <x:f>IF(R632="No","",W632*S632)</x:f>
        <x:v>-3417223.519672274</x:v>
      </x:c>
      <x:c r="Y632" s="58" t="n">
        <x:f>IF(R632="No","",W632*T632*Assumptions!$B$9)</x:f>
        <x:v>-629101.1253312841</x:v>
      </x:c>
      <x:c r="Z632" s="58" t="n">
        <x:f>IF(R632="No","",X632-Y632)</x:f>
        <x:v>-2788122.39434099</x:v>
      </x:c>
      <x:c r="AA632" s="58" t="n">
        <x:f>IF(R632="No","",MAX(0,-Z632))</x:f>
        <x:v>2788122.39434099</x:v>
      </x:c>
      <x:c r="AB632" s="52" t="n">
        <x:f>IF(OR(R632="No",U632*S632=0),"",AA632/(U632*S632))</x:f>
        <x:v>0.03839956776794612</x:v>
      </x:c>
      <x:c r="AC632" s="54" t="n">
        <x:f>IF(OR(R632="No",S632-T632*Assumptions!$B$9&lt;=0),"",AA632/(Assumptions!$B$8*(S632-T632*Assumptions!$B$9)))</x:f>
        <x:v>126.97839500711673</x:v>
      </x:c>
      <x:c r="AD632" s="52" t="n">
        <x:f>IF(OR(R632="No",U632*S632=0),"",AA632/(U632*S632))</x:f>
        <x:v>0.03839956776794612</x:v>
      </x:c>
      <x:c r="AE632" s="50" t="str">
        <x:f>IF(R632="No","No finance data",IF(AB632&gt;=10%,"Severe",IF(AB632&gt;=5%,"High",IF(AB632&gt;=2%,"Moderate","Low"))))</x:f>
        <x:v>Moderate</x:v>
      </x:c>
      <x:c r="AF632" s="60" t="n">
        <x:v>42.23752</x:v>
      </x:c>
      <x:c r="AG632" s="60" t="n">
        <x:v>-71.808214</x:v>
      </x:c>
      <x:c r="AH632" s="44" t="str">
        <x:v>Undergraduate tuition-contribution proxy only; not an audited total institutional budget.</x:v>
      </x:c>
    </x:row>
    <x:row r="633">
      <x:c r="A633" s="16" t="n">
        <x:v>165529</x:v>
      </x:c>
      <x:c r="B633" s="16" t="str">
        <x:v>Curry College</x:v>
      </x:c>
      <x:c r="C633" s="16" t="str">
        <x:v>MA</x:v>
      </x:c>
      <x:c r="D633" s="16" t="str">
        <x:v>Private nonprofit</x:v>
      </x:c>
      <x:c r="E633" s="34" t="n">
        <x:v>2691</x:v>
      </x:c>
      <x:c r="F633" s="21" t="n">
        <x:v>0.8032</x:v>
      </x:c>
      <x:c r="G633" s="16" t="str">
        <x:v>Regional</x:v>
      </x:c>
      <x:c r="H633" s="36" t="n">
        <x:f>IF(G633="National",Assumptions!$B$11,IF(G633="Statewide",Assumptions!$B$12,Assumptions!$B$13))</x:f>
        <x:v>0.85</x:v>
      </x:c>
      <x:c r="I633" s="21" t="n">
        <x:v>-0.056426495016611344</x:v>
      </x:c>
      <x:c r="J633" s="21" t="n">
        <x:v>-0.047004775747508276</x:v>
      </x:c>
      <x:c r="K633" s="21" t="n">
        <x:v>-0.09852574750830567</x:v>
      </x:c>
      <x:c r="L633" s="36" t="n">
        <x:f>IF(Assumptions!$B$4=2030,I633,IF(Assumptions!$B$4=2035,J633,K633))</x:f>
        <x:v>-0.047004775747508276</x:v>
      </x:c>
      <x:c r="M633" s="36" t="n">
        <x:f>Assumptions!$B$19</x:f>
        <x:v>-0.04739891965741583</x:v>
      </x:c>
      <x:c r="N633" s="52" t="n">
        <x:f>H633*L633+(1-H633)*M633+O633</x:f>
        <x:v>-0.04706389733399441</x:v>
      </x:c>
      <x:c r="O633" s="36" t="n">
        <x:f>Assumptions!$B$10</x:f>
        <x:v>0</x:v>
      </x:c>
      <x:c r="P633" s="54" t="n">
        <x:f>E633*(1+N633)</x:f>
        <x:v>2564.351052274221</x:v>
      </x:c>
      <x:c r="Q633" s="54" t="n">
        <x:f>P633-E633</x:f>
        <x:v>-126.64894772577918</x:v>
      </x:c>
      <x:c r="R633" s="16" t="str">
        <x:v>Yes</x:v>
      </x:c>
      <x:c r="S633" s="56" t="n">
        <x:v>18058</x:v>
      </x:c>
      <x:c r="T633" s="56" t="n">
        <x:v>12950</x:v>
      </x:c>
      <x:c r="U633" s="40" t="n">
        <x:f>E633*Assumptions!$B$8</x:f>
        <x:v>2287.35</x:v>
      </x:c>
      <x:c r="V633" s="40" t="n">
        <x:f>P633*Assumptions!$B$8</x:f>
        <x:v>2179.6983944330877</x:v>
      </x:c>
      <x:c r="W633" s="54" t="n">
        <x:f>V633-U633</x:f>
        <x:v>-107.65160556691217</x:v>
      </x:c>
      <x:c r="X633" s="58" t="n">
        <x:f>IF(R633="No","",W633*S633)</x:f>
        <x:v>-1943972.6933273</x:v>
      </x:c>
      <x:c r="Y633" s="58" t="n">
        <x:f>IF(R633="No","",W633*T633*Assumptions!$B$9)</x:f>
        <x:v>-418226.48762745375</x:v>
      </x:c>
      <x:c r="Z633" s="58" t="n">
        <x:f>IF(R633="No","",X633-Y633)</x:f>
        <x:v>-1525746.2056998461</x:v>
      </x:c>
      <x:c r="AA633" s="58" t="n">
        <x:f>IF(R633="No","",MAX(0,-Z633))</x:f>
        <x:v>1525746.2056998461</x:v>
      </x:c>
      <x:c r="AB633" s="52" t="n">
        <x:f>IF(OR(R633="No",U633*S633=0),"",AA633/(U633*S633))</x:f>
        <x:v>0.036938565561784424</x:v>
      </x:c>
      <x:c r="AC633" s="54" t="n">
        <x:f>IF(OR(R633="No",S633-T633*Assumptions!$B$9&lt;=0),"",AA633/(Assumptions!$B$8*(S633-T633*Assumptions!$B$9)))</x:f>
        <x:v>126.64894772577902</x:v>
      </x:c>
      <x:c r="AD633" s="52" t="n">
        <x:f>IF(OR(R633="No",U633*S633=0),"",AA633/(U633*S633))</x:f>
        <x:v>0.036938565561784424</x:v>
      </x:c>
      <x:c r="AE633" s="50" t="str">
        <x:f>IF(R633="No","No finance data",IF(AB633&gt;=10%,"Severe",IF(AB633&gt;=5%,"High",IF(AB633&gt;=2%,"Moderate","Low"))))</x:f>
        <x:v>Moderate</x:v>
      </x:c>
      <x:c r="AF633" s="60" t="n">
        <x:v>42.238061</x:v>
      </x:c>
      <x:c r="AG633" s="60" t="n">
        <x:v>-71.116539</x:v>
      </x:c>
      <x:c r="AH633" s="44" t="str">
        <x:v>Undergraduate tuition-contribution proxy only; not an audited total institutional budget.</x:v>
      </x:c>
    </x:row>
    <x:row r="634">
      <x:c r="A634" s="16" t="n">
        <x:v>165644</x:v>
      </x:c>
      <x:c r="B634" s="16" t="str">
        <x:v>Eastern Nazarene College</x:v>
      </x:c>
      <x:c r="C634" s="16" t="str">
        <x:v>MA</x:v>
      </x:c>
      <x:c r="D634" s="16" t="str">
        <x:v>Private nonprofit</x:v>
      </x:c>
      <x:c r="E634" s="34" t="n">
        <x:v>910</x:v>
      </x:c>
      <x:c r="F634" s="21"/>
      <x:c r="G634" s="16" t="str">
        <x:v>Regional</x:v>
      </x:c>
      <x:c r="H634" s="36" t="n">
        <x:f>IF(G634="National",Assumptions!$B$11,IF(G634="Statewide",Assumptions!$B$12,Assumptions!$B$13))</x:f>
        <x:v>0.85</x:v>
      </x:c>
      <x:c r="I634" s="21" t="n">
        <x:v>-0.056426495016611344</x:v>
      </x:c>
      <x:c r="J634" s="21" t="n">
        <x:v>-0.047004775747508276</x:v>
      </x:c>
      <x:c r="K634" s="21" t="n">
        <x:v>-0.09852574750830567</x:v>
      </x:c>
      <x:c r="L634" s="36" t="n">
        <x:f>IF(Assumptions!$B$4=2030,I634,IF(Assumptions!$B$4=2035,J634,K634))</x:f>
        <x:v>-0.047004775747508276</x:v>
      </x:c>
      <x:c r="M634" s="36" t="n">
        <x:f>Assumptions!$B$19</x:f>
        <x:v>-0.04739891965741583</x:v>
      </x:c>
      <x:c r="N634" s="52" t="n">
        <x:f>H634*L634+(1-H634)*M634+O634</x:f>
        <x:v>-0.04706389733399441</x:v>
      </x:c>
      <x:c r="O634" s="36" t="n">
        <x:f>Assumptions!$B$10</x:f>
        <x:v>0</x:v>
      </x:c>
      <x:c r="P634" s="54" t="n">
        <x:f>E634*(1+N634)</x:f>
        <x:v>867.1718534260651</x:v>
      </x:c>
      <x:c r="Q634" s="54" t="n">
        <x:f>P634-E634</x:f>
        <x:v>-42.82814657393487</x:v>
      </x:c>
      <x:c r="R634" s="16" t="str">
        <x:v>No</x:v>
      </x:c>
      <x:c r="S634" s="56"/>
      <x:c r="T634" s="56"/>
      <x:c r="U634" s="40" t="n">
        <x:f>E634*Assumptions!$B$8</x:f>
        <x:v>773.5</x:v>
      </x:c>
      <x:c r="V634" s="40" t="n">
        <x:f>P634*Assumptions!$B$8</x:f>
        <x:v>737.0960754121553</x:v>
      </x:c>
      <x:c r="W634" s="54" t="n">
        <x:f>V634-U634</x:f>
        <x:v>-36.4039245878447</x:v>
      </x:c>
      <x:c r="X634" s="58" t="str">
        <x:f>IF(R634="No","",W634*S634)</x:f>
      </x:c>
      <x:c r="Y634" s="58" t="str">
        <x:f>IF(R634="No","",W634*T634*Assumptions!$B$9)</x:f>
      </x:c>
      <x:c r="Z634" s="58" t="str">
        <x:f>IF(R634="No","",X634-Y634)</x:f>
      </x:c>
      <x:c r="AA634" s="58" t="str">
        <x:f>IF(R634="No","",MAX(0,-Z634))</x:f>
      </x:c>
      <x:c r="AB634" s="52" t="str">
        <x:f>IF(OR(R634="No",U634*S634=0),"",AA634/(U634*S634))</x:f>
      </x:c>
      <x:c r="AC634" s="54" t="str">
        <x:f>IF(OR(R634="No",S634-T634*Assumptions!$B$9&lt;=0),"",AA634/(Assumptions!$B$8*(S634-T634*Assumptions!$B$9)))</x:f>
      </x:c>
      <x:c r="AD634" s="52" t="str">
        <x:f>IF(OR(R634="No",U634*S634=0),"",AA634/(U634*S634))</x:f>
      </x:c>
      <x:c r="AE634" s="50" t="str">
        <x:f>IF(R634="No","No finance data",IF(AB634&gt;=10%,"Severe",IF(AB634&gt;=5%,"High",IF(AB634&gt;=2%,"Moderate","Low"))))</x:f>
        <x:v>No finance data</x:v>
      </x:c>
      <x:c r="AF634" s="60"/>
      <x:c r="AG634" s="60"/>
      <x:c r="AH634" s="44" t="str">
        <x:v>Undergraduate tuition-contribution proxy only; not an audited total institutional budget.</x:v>
      </x:c>
    </x:row>
    <x:row r="635">
      <x:c r="A635" s="16" t="n">
        <x:v>165662</x:v>
      </x:c>
      <x:c r="B635" s="16" t="str">
        <x:v>Emerson College</x:v>
      </x:c>
      <x:c r="C635" s="16" t="str">
        <x:v>MA</x:v>
      </x:c>
      <x:c r="D635" s="16" t="str">
        <x:v>Private nonprofit</x:v>
      </x:c>
      <x:c r="E635" s="34" t="n">
        <x:v>3783</x:v>
      </x:c>
      <x:c r="F635" s="21" t="n">
        <x:v>0.4528</x:v>
      </x:c>
      <x:c r="G635" s="16" t="str">
        <x:v>Regional</x:v>
      </x:c>
      <x:c r="H635" s="36" t="n">
        <x:f>IF(G635="National",Assumptions!$B$11,IF(G635="Statewide",Assumptions!$B$12,Assumptions!$B$13))</x:f>
        <x:v>0.85</x:v>
      </x:c>
      <x:c r="I635" s="21" t="n">
        <x:v>-0.056426495016611344</x:v>
      </x:c>
      <x:c r="J635" s="21" t="n">
        <x:v>-0.047004775747508276</x:v>
      </x:c>
      <x:c r="K635" s="21" t="n">
        <x:v>-0.09852574750830567</x:v>
      </x:c>
      <x:c r="L635" s="36" t="n">
        <x:f>IF(Assumptions!$B$4=2030,I635,IF(Assumptions!$B$4=2035,J635,K635))</x:f>
        <x:v>-0.047004775747508276</x:v>
      </x:c>
      <x:c r="M635" s="36" t="n">
        <x:f>Assumptions!$B$19</x:f>
        <x:v>-0.04739891965741583</x:v>
      </x:c>
      <x:c r="N635" s="52" t="n">
        <x:f>H635*L635+(1-H635)*M635+O635</x:f>
        <x:v>-0.04706389733399441</x:v>
      </x:c>
      <x:c r="O635" s="36" t="n">
        <x:f>Assumptions!$B$10</x:f>
        <x:v>0</x:v>
      </x:c>
      <x:c r="P635" s="54" t="n">
        <x:f>E635*(1+N635)</x:f>
        <x:v>3604.957276385499</x:v>
      </x:c>
      <x:c r="Q635" s="54" t="n">
        <x:f>P635-E635</x:f>
        <x:v>-178.04272361450103</x:v>
      </x:c>
      <x:c r="R635" s="16" t="str">
        <x:v>Yes</x:v>
      </x:c>
      <x:c r="S635" s="56" t="n">
        <x:v>28000</x:v>
      </x:c>
      <x:c r="T635" s="56" t="n">
        <x:v>10815</x:v>
      </x:c>
      <x:c r="U635" s="40" t="n">
        <x:f>E635*Assumptions!$B$8</x:f>
        <x:v>3215.5499999999997</x:v>
      </x:c>
      <x:c r="V635" s="40" t="n">
        <x:f>P635*Assumptions!$B$8</x:f>
        <x:v>3064.213684927674</x:v>
      </x:c>
      <x:c r="W635" s="54" t="n">
        <x:f>V635-U635</x:f>
        <x:v>-151.33631507232576</x:v>
      </x:c>
      <x:c r="X635" s="58" t="n">
        <x:f>IF(R635="No","",W635*S635)</x:f>
        <x:v>-4237416.822025121</x:v>
      </x:c>
      <x:c r="Y635" s="58" t="n">
        <x:f>IF(R635="No","",W635*T635*Assumptions!$B$9)</x:f>
        <x:v>-491010.67425216094</x:v>
      </x:c>
      <x:c r="Z635" s="58" t="n">
        <x:f>IF(R635="No","",X635-Y635)</x:f>
        <x:v>-3746406.1477729604</x:v>
      </x:c>
      <x:c r="AA635" s="58" t="n">
        <x:f>IF(R635="No","",MAX(0,-Z635))</x:f>
        <x:v>3746406.1477729604</x:v>
      </x:c>
      <x:c r="AB635" s="52" t="n">
        <x:f>IF(OR(R635="No",U635*S635=0),"",AA635/(U635*S635))</x:f>
        <x:v>0.041610368230417825</x:v>
      </x:c>
      <x:c r="AC635" s="54" t="n">
        <x:f>IF(OR(R635="No",S635-T635*Assumptions!$B$9&lt;=0),"",AA635/(Assumptions!$B$8*(S635-T635*Assumptions!$B$9)))</x:f>
        <x:v>178.04272361450091</x:v>
      </x:c>
      <x:c r="AD635" s="52" t="n">
        <x:f>IF(OR(R635="No",U635*S635=0),"",AA635/(U635*S635))</x:f>
        <x:v>0.041610368230417825</x:v>
      </x:c>
      <x:c r="AE635" s="50" t="str">
        <x:f>IF(R635="No","No finance data",IF(AB635&gt;=10%,"Severe",IF(AB635&gt;=5%,"High",IF(AB635&gt;=2%,"Moderate","Low"))))</x:f>
        <x:v>Moderate</x:v>
      </x:c>
      <x:c r="AF635" s="60" t="n">
        <x:v>42.352202</x:v>
      </x:c>
      <x:c r="AG635" s="60" t="n">
        <x:v>-71.065384</x:v>
      </x:c>
      <x:c r="AH635" s="44" t="str">
        <x:v>Undergraduate tuition-contribution proxy only; not an audited total institutional budget.</x:v>
      </x:c>
    </x:row>
    <x:row r="636">
      <x:c r="A636" s="16" t="n">
        <x:v>165671</x:v>
      </x:c>
      <x:c r="B636" s="16" t="str">
        <x:v>Emmanuel College</x:v>
      </x:c>
      <x:c r="C636" s="16" t="str">
        <x:v>MA</x:v>
      </x:c>
      <x:c r="D636" s="16" t="str">
        <x:v>Private nonprofit</x:v>
      </x:c>
      <x:c r="E636" s="34" t="n">
        <x:v>1865</x:v>
      </x:c>
      <x:c r="F636" s="21" t="n">
        <x:v>0.7388</x:v>
      </x:c>
      <x:c r="G636" s="16" t="str">
        <x:v>Regional</x:v>
      </x:c>
      <x:c r="H636" s="36" t="n">
        <x:f>IF(G636="National",Assumptions!$B$11,IF(G636="Statewide",Assumptions!$B$12,Assumptions!$B$13))</x:f>
        <x:v>0.85</x:v>
      </x:c>
      <x:c r="I636" s="21" t="n">
        <x:v>-0.056426495016611344</x:v>
      </x:c>
      <x:c r="J636" s="21" t="n">
        <x:v>-0.047004775747508276</x:v>
      </x:c>
      <x:c r="K636" s="21" t="n">
        <x:v>-0.09852574750830567</x:v>
      </x:c>
      <x:c r="L636" s="36" t="n">
        <x:f>IF(Assumptions!$B$4=2030,I636,IF(Assumptions!$B$4=2035,J636,K636))</x:f>
        <x:v>-0.047004775747508276</x:v>
      </x:c>
      <x:c r="M636" s="36" t="n">
        <x:f>Assumptions!$B$19</x:f>
        <x:v>-0.04739891965741583</x:v>
      </x:c>
      <x:c r="N636" s="52" t="n">
        <x:f>H636*L636+(1-H636)*M636+O636</x:f>
        <x:v>-0.04706389733399441</x:v>
      </x:c>
      <x:c r="O636" s="36" t="n">
        <x:f>Assumptions!$B$10</x:f>
        <x:v>0</x:v>
      </x:c>
      <x:c r="P636" s="54" t="n">
        <x:f>E636*(1+N636)</x:f>
        <x:v>1777.2258314721005</x:v>
      </x:c>
      <x:c r="Q636" s="54" t="n">
        <x:f>P636-E636</x:f>
        <x:v>-87.77416852789952</x:v>
      </x:c>
      <x:c r="R636" s="16" t="str">
        <x:v>Yes</x:v>
      </x:c>
      <x:c r="S636" s="56" t="n">
        <x:v>16682</x:v>
      </x:c>
      <x:c r="T636" s="56" t="n">
        <x:v>8590</x:v>
      </x:c>
      <x:c r="U636" s="40" t="n">
        <x:f>E636*Assumptions!$B$8</x:f>
        <x:v>1585.25</x:v>
      </x:c>
      <x:c r="V636" s="40" t="n">
        <x:f>P636*Assumptions!$B$8</x:f>
        <x:v>1510.6419567512853</x:v>
      </x:c>
      <x:c r="W636" s="54" t="n">
        <x:f>V636-U636</x:f>
        <x:v>-74.6080432487147</x:v>
      </x:c>
      <x:c r="X636" s="58" t="n">
        <x:f>IF(R636="No","",W636*S636)</x:f>
        <x:v>-1244611.3774750584</x:v>
      </x:c>
      <x:c r="Y636" s="58" t="n">
        <x:f>IF(R636="No","",W636*T636*Assumptions!$B$9)</x:f>
        <x:v>-192264.92745193775</x:v>
      </x:c>
      <x:c r="Z636" s="58" t="n">
        <x:f>IF(R636="No","",X636-Y636)</x:f>
        <x:v>-1052346.4500231207</x:v>
      </x:c>
      <x:c r="AA636" s="58" t="n">
        <x:f>IF(R636="No","",MAX(0,-Z636))</x:f>
        <x:v>1052346.4500231207</x:v>
      </x:c>
      <x:c r="AB636" s="52" t="n">
        <x:f>IF(OR(R636="No",U636*S636=0),"",AA636/(U636*S636))</x:f>
        <x:v>0.039793566232825296</x:v>
      </x:c>
      <x:c r="AC636" s="54" t="n">
        <x:f>IF(OR(R636="No",S636-T636*Assumptions!$B$9&lt;=0),"",AA636/(Assumptions!$B$8*(S636-T636*Assumptions!$B$9)))</x:f>
        <x:v>87.77416852789963</x:v>
      </x:c>
      <x:c r="AD636" s="52" t="n">
        <x:f>IF(OR(R636="No",U636*S636=0),"",AA636/(U636*S636))</x:f>
        <x:v>0.039793566232825296</x:v>
      </x:c>
      <x:c r="AE636" s="50" t="str">
        <x:f>IF(R636="No","No finance data",IF(AB636&gt;=10%,"Severe",IF(AB636&gt;=5%,"High",IF(AB636&gt;=2%,"Moderate","Low"))))</x:f>
        <x:v>Moderate</x:v>
      </x:c>
      <x:c r="AF636" s="60" t="n">
        <x:v>42.340602</x:v>
      </x:c>
      <x:c r="AG636" s="60" t="n">
        <x:v>-71.103634</x:v>
      </x:c>
      <x:c r="AH636" s="44" t="str">
        <x:v>Undergraduate tuition-contribution proxy only; not an audited total institutional budget.</x:v>
      </x:c>
    </x:row>
    <x:row r="637">
      <x:c r="A637" s="16" t="n">
        <x:v>165699</x:v>
      </x:c>
      <x:c r="B637" s="16" t="str">
        <x:v>Endicott College</x:v>
      </x:c>
      <x:c r="C637" s="16" t="str">
        <x:v>MA</x:v>
      </x:c>
      <x:c r="D637" s="16" t="str">
        <x:v>Private nonprofit</x:v>
      </x:c>
      <x:c r="E637" s="34" t="n">
        <x:v>2970</x:v>
      </x:c>
      <x:c r="F637" s="21" t="n">
        <x:v>0.7721</x:v>
      </x:c>
      <x:c r="G637" s="16" t="str">
        <x:v>Regional</x:v>
      </x:c>
      <x:c r="H637" s="36" t="n">
        <x:f>IF(G637="National",Assumptions!$B$11,IF(G637="Statewide",Assumptions!$B$12,Assumptions!$B$13))</x:f>
        <x:v>0.85</x:v>
      </x:c>
      <x:c r="I637" s="21" t="n">
        <x:v>-0.056426495016611344</x:v>
      </x:c>
      <x:c r="J637" s="21" t="n">
        <x:v>-0.047004775747508276</x:v>
      </x:c>
      <x:c r="K637" s="21" t="n">
        <x:v>-0.09852574750830567</x:v>
      </x:c>
      <x:c r="L637" s="36" t="n">
        <x:f>IF(Assumptions!$B$4=2030,I637,IF(Assumptions!$B$4=2035,J637,K637))</x:f>
        <x:v>-0.047004775747508276</x:v>
      </x:c>
      <x:c r="M637" s="36" t="n">
        <x:f>Assumptions!$B$19</x:f>
        <x:v>-0.04739891965741583</x:v>
      </x:c>
      <x:c r="N637" s="52" t="n">
        <x:f>H637*L637+(1-H637)*M637+O637</x:f>
        <x:v>-0.04706389733399441</x:v>
      </x:c>
      <x:c r="O637" s="36" t="n">
        <x:f>Assumptions!$B$10</x:f>
        <x:v>0</x:v>
      </x:c>
      <x:c r="P637" s="54" t="n">
        <x:f>E637*(1+N637)</x:f>
        <x:v>2830.220224918037</x:v>
      </x:c>
      <x:c r="Q637" s="54" t="n">
        <x:f>P637-E637</x:f>
        <x:v>-139.77977508196318</x:v>
      </x:c>
      <x:c r="R637" s="16" t="str">
        <x:v>Yes</x:v>
      </x:c>
      <x:c r="S637" s="56" t="n">
        <x:v>17213</x:v>
      </x:c>
      <x:c r="T637" s="56" t="n">
        <x:v>8760</x:v>
      </x:c>
      <x:c r="U637" s="40" t="n">
        <x:f>E637*Assumptions!$B$8</x:f>
        <x:v>2524.5</x:v>
      </x:c>
      <x:c r="V637" s="40" t="n">
        <x:f>P637*Assumptions!$B$8</x:f>
        <x:v>2405.6871911803314</x:v>
      </x:c>
      <x:c r="W637" s="54" t="n">
        <x:f>V637-U637</x:f>
        <x:v>-118.81280881966859</x:v>
      </x:c>
      <x:c r="X637" s="58" t="n">
        <x:f>IF(R637="No","",W637*S637)</x:f>
        <x:v>-2045124.8782129553</x:v>
      </x:c>
      <x:c r="Y637" s="58" t="n">
        <x:f>IF(R637="No","",W637*T637*Assumptions!$B$9)</x:f>
        <x:v>-312240.061578089</x:v>
      </x:c>
      <x:c r="Z637" s="58" t="n">
        <x:f>IF(R637="No","",X637-Y637)</x:f>
        <x:v>-1732884.8166348664</x:v>
      </x:c>
      <x:c r="AA637" s="58" t="n">
        <x:f>IF(R637="No","",MAX(0,-Z637))</x:f>
        <x:v>1732884.8166348664</x:v>
      </x:c>
      <x:c r="AB637" s="52" t="n">
        <x:f>IF(OR(R637="No",U637*S637=0),"",AA637/(U637*S637))</x:f>
        <x:v>0.03987840252229749</x:v>
      </x:c>
      <x:c r="AC637" s="54" t="n">
        <x:f>IF(OR(R637="No",S637-T637*Assumptions!$B$9&lt;=0),"",AA637/(Assumptions!$B$8*(S637-T637*Assumptions!$B$9)))</x:f>
        <x:v>139.77977508196304</x:v>
      </x:c>
      <x:c r="AD637" s="52" t="n">
        <x:f>IF(OR(R637="No",U637*S637=0),"",AA637/(U637*S637))</x:f>
        <x:v>0.03987840252229749</x:v>
      </x:c>
      <x:c r="AE637" s="50" t="str">
        <x:f>IF(R637="No","No finance data",IF(AB637&gt;=10%,"Severe",IF(AB637&gt;=5%,"High",IF(AB637&gt;=2%,"Moderate","Low"))))</x:f>
        <x:v>Moderate</x:v>
      </x:c>
      <x:c r="AF637" s="60" t="n">
        <x:v>42.553296</x:v>
      </x:c>
      <x:c r="AG637" s="60" t="n">
        <x:v>-70.840847</x:v>
      </x:c>
      <x:c r="AH637" s="44" t="str">
        <x:v>Undergraduate tuition-contribution proxy only; not an audited total institutional budget.</x:v>
      </x:c>
    </x:row>
    <x:row r="638">
      <x:c r="A638" s="16" t="n">
        <x:v>165802</x:v>
      </x:c>
      <x:c r="B638" s="16" t="str">
        <x:v>Fisher College</x:v>
      </x:c>
      <x:c r="C638" s="16" t="str">
        <x:v>MA</x:v>
      </x:c>
      <x:c r="D638" s="16" t="str">
        <x:v>Private nonprofit</x:v>
      </x:c>
      <x:c r="E638" s="34" t="n">
        <x:v>1608</x:v>
      </x:c>
      <x:c r="F638" s="21" t="n">
        <x:v>0.7235</x:v>
      </x:c>
      <x:c r="G638" s="16" t="str">
        <x:v>Regional</x:v>
      </x:c>
      <x:c r="H638" s="36" t="n">
        <x:f>IF(G638="National",Assumptions!$B$11,IF(G638="Statewide",Assumptions!$B$12,Assumptions!$B$13))</x:f>
        <x:v>0.85</x:v>
      </x:c>
      <x:c r="I638" s="21" t="n">
        <x:v>-0.056426495016611344</x:v>
      </x:c>
      <x:c r="J638" s="21" t="n">
        <x:v>-0.047004775747508276</x:v>
      </x:c>
      <x:c r="K638" s="21" t="n">
        <x:v>-0.09852574750830567</x:v>
      </x:c>
      <x:c r="L638" s="36" t="n">
        <x:f>IF(Assumptions!$B$4=2030,I638,IF(Assumptions!$B$4=2035,J638,K638))</x:f>
        <x:v>-0.047004775747508276</x:v>
      </x:c>
      <x:c r="M638" s="36" t="n">
        <x:f>Assumptions!$B$19</x:f>
        <x:v>-0.04739891965741583</x:v>
      </x:c>
      <x:c r="N638" s="52" t="n">
        <x:f>H638*L638+(1-H638)*M638+O638</x:f>
        <x:v>-0.04706389733399441</x:v>
      </x:c>
      <x:c r="O638" s="36" t="n">
        <x:f>Assumptions!$B$10</x:f>
        <x:v>0</x:v>
      </x:c>
      <x:c r="P638" s="54" t="n">
        <x:f>E638*(1+N638)</x:f>
        <x:v>1532.321253086937</x:v>
      </x:c>
      <x:c r="Q638" s="54" t="n">
        <x:f>P638-E638</x:f>
        <x:v>-75.67874691306292</x:v>
      </x:c>
      <x:c r="R638" s="16" t="str">
        <x:v>Yes</x:v>
      </x:c>
      <x:c r="S638" s="56" t="n">
        <x:v>13238</x:v>
      </x:c>
      <x:c r="T638" s="56" t="n">
        <x:v>7739</x:v>
      </x:c>
      <x:c r="U638" s="40" t="n">
        <x:f>E638*Assumptions!$B$8</x:f>
        <x:v>1366.8</x:v>
      </x:c>
      <x:c r="V638" s="40" t="n">
        <x:f>P638*Assumptions!$B$8</x:f>
        <x:v>1302.4730651238965</x:v>
      </x:c>
      <x:c r="W638" s="54" t="n">
        <x:f>V638-U638</x:f>
        <x:v>-64.32693487610345</x:v>
      </x:c>
      <x:c r="X638" s="58" t="n">
        <x:f>IF(R638="No","",W638*S638)</x:f>
        <x:v>-851559.9638898575</x:v>
      </x:c>
      <x:c r="Y638" s="58" t="n">
        <x:f>IF(R638="No","",W638*T638*Assumptions!$B$9)</x:f>
        <x:v>-149347.8447018494</x:v>
      </x:c>
      <x:c r="Z638" s="58" t="n">
        <x:f>IF(R638="No","",X638-Y638)</x:f>
        <x:v>-702212.1191880081</x:v>
      </x:c>
      <x:c r="AA638" s="58" t="n">
        <x:f>IF(R638="No","",MAX(0,-Z638))</x:f>
        <x:v>702212.1191880081</x:v>
      </x:c>
      <x:c r="AB638" s="52" t="n">
        <x:f>IF(OR(R638="No",U638*S638=0),"",AA638/(U638*S638))</x:f>
        <x:v>0.03880976147961039</x:v>
      </x:c>
      <x:c r="AC638" s="54" t="n">
        <x:f>IF(OR(R638="No",S638-T638*Assumptions!$B$9&lt;=0),"",AA638/(Assumptions!$B$8*(S638-T638*Assumptions!$B$9)))</x:f>
        <x:v>75.6787469130629</x:v>
      </x:c>
      <x:c r="AD638" s="52" t="n">
        <x:f>IF(OR(R638="No",U638*S638=0),"",AA638/(U638*S638))</x:f>
        <x:v>0.03880976147961039</x:v>
      </x:c>
      <x:c r="AE638" s="50" t="str">
        <x:f>IF(R638="No","No finance data",IF(AB638&gt;=10%,"Severe",IF(AB638&gt;=5%,"High",IF(AB638&gt;=2%,"Moderate","Low"))))</x:f>
        <x:v>Moderate</x:v>
      </x:c>
      <x:c r="AF638" s="60" t="n">
        <x:v>42.355253</x:v>
      </x:c>
      <x:c r="AG638" s="60" t="n">
        <x:v>-71.074125</x:v>
      </x:c>
      <x:c r="AH638" s="44" t="str">
        <x:v>Undergraduate tuition-contribution proxy only; not an audited total institutional budget.</x:v>
      </x:c>
    </x:row>
    <x:row r="639">
      <x:c r="A639" s="16" t="n">
        <x:v>165820</x:v>
      </x:c>
      <x:c r="B639" s="16" t="str">
        <x:v>Fitchburg State University</x:v>
      </x:c>
      <x:c r="C639" s="16" t="str">
        <x:v>MA</x:v>
      </x:c>
      <x:c r="D639" s="16" t="str">
        <x:v>Public</x:v>
      </x:c>
      <x:c r="E639" s="34" t="n">
        <x:v>4156</x:v>
      </x:c>
      <x:c r="F639" s="21" t="n">
        <x:v>0.8527</x:v>
      </x:c>
      <x:c r="G639" s="16" t="str">
        <x:v>Regional</x:v>
      </x:c>
      <x:c r="H639" s="36" t="n">
        <x:f>IF(G639="National",Assumptions!$B$11,IF(G639="Statewide",Assumptions!$B$12,Assumptions!$B$13))</x:f>
        <x:v>0.85</x:v>
      </x:c>
      <x:c r="I639" s="21" t="n">
        <x:v>-0.056426495016611344</x:v>
      </x:c>
      <x:c r="J639" s="21" t="n">
        <x:v>-0.047004775747508276</x:v>
      </x:c>
      <x:c r="K639" s="21" t="n">
        <x:v>-0.09852574750830567</x:v>
      </x:c>
      <x:c r="L639" s="36" t="n">
        <x:f>IF(Assumptions!$B$4=2030,I639,IF(Assumptions!$B$4=2035,J639,K639))</x:f>
        <x:v>-0.047004775747508276</x:v>
      </x:c>
      <x:c r="M639" s="36" t="n">
        <x:f>Assumptions!$B$19</x:f>
        <x:v>-0.04739891965741583</x:v>
      </x:c>
      <x:c r="N639" s="52" t="n">
        <x:f>H639*L639+(1-H639)*M639+O639</x:f>
        <x:v>-0.04706389733399441</x:v>
      </x:c>
      <x:c r="O639" s="36" t="n">
        <x:f>Assumptions!$B$10</x:f>
        <x:v>0</x:v>
      </x:c>
      <x:c r="P639" s="54" t="n">
        <x:f>E639*(1+N639)</x:f>
        <x:v>3960.402442679919</x:v>
      </x:c>
      <x:c r="Q639" s="54" t="n">
        <x:f>P639-E639</x:f>
        <x:v>-195.5975573200808</x:v>
      </x:c>
      <x:c r="R639" s="16" t="str">
        <x:v>Yes</x:v>
      </x:c>
      <x:c r="S639" s="56" t="n">
        <x:v>7663</x:v>
      </x:c>
      <x:c r="T639" s="56" t="n">
        <x:v>9454</x:v>
      </x:c>
      <x:c r="U639" s="40" t="n">
        <x:f>E639*Assumptions!$B$8</x:f>
        <x:v>3532.6</x:v>
      </x:c>
      <x:c r="V639" s="40" t="n">
        <x:f>P639*Assumptions!$B$8</x:f>
        <x:v>3366.342076277931</x:v>
      </x:c>
      <x:c r="W639" s="54" t="n">
        <x:f>V639-U639</x:f>
        <x:v>-166.25792372206888</x:v>
      </x:c>
      <x:c r="X639" s="58" t="n">
        <x:f>IF(R639="No","",W639*S639)</x:f>
        <x:v>-1274034.4694822137</x:v>
      </x:c>
      <x:c r="Y639" s="58" t="n">
        <x:f>IF(R639="No","",W639*T639*Assumptions!$B$9)</x:f>
        <x:v>-471540.7232605317</x:v>
      </x:c>
      <x:c r="Z639" s="58" t="n">
        <x:f>IF(R639="No","",X639-Y639)</x:f>
        <x:v>-802493.746221682</x:v>
      </x:c>
      <x:c r="AA639" s="58" t="n">
        <x:f>IF(R639="No","",MAX(0,-Z639))</x:f>
        <x:v>802493.746221682</x:v>
      </x:c>
      <x:c r="AB639" s="52" t="n">
        <x:f>IF(OR(R639="No",U639*S639=0),"",AA639/(U639*S639))</x:f>
        <x:v>0.029644789201582214</x:v>
      </x:c>
      <x:c r="AC639" s="54" t="n">
        <x:f>IF(OR(R639="No",S639-T639*Assumptions!$B$9&lt;=0),"",AA639/(Assumptions!$B$8*(S639-T639*Assumptions!$B$9)))</x:f>
        <x:v>195.59755732008105</x:v>
      </x:c>
      <x:c r="AD639" s="52" t="n">
        <x:f>IF(OR(R639="No",U639*S639=0),"",AA639/(U639*S639))</x:f>
        <x:v>0.029644789201582214</x:v>
      </x:c>
      <x:c r="AE639" s="50" t="str">
        <x:f>IF(R639="No","No finance data",IF(AB639&gt;=10%,"Severe",IF(AB639&gt;=5%,"High",IF(AB639&gt;=2%,"Moderate","Low"))))</x:f>
        <x:v>Moderate</x:v>
      </x:c>
      <x:c r="AF639" s="60" t="n">
        <x:v>42.588298</x:v>
      </x:c>
      <x:c r="AG639" s="60" t="n">
        <x:v>-71.789666</x:v>
      </x:c>
      <x:c r="AH639" s="44" t="str">
        <x:v>Undergraduate tuition-contribution proxy only; not an audited total institutional budget.</x:v>
      </x:c>
    </x:row>
    <x:row r="640">
      <x:c r="A640" s="16" t="n">
        <x:v>165866</x:v>
      </x:c>
      <x:c r="B640" s="16" t="str">
        <x:v>Framingham State University</x:v>
      </x:c>
      <x:c r="C640" s="16" t="str">
        <x:v>MA</x:v>
      </x:c>
      <x:c r="D640" s="16" t="str">
        <x:v>Public</x:v>
      </x:c>
      <x:c r="E640" s="34" t="n">
        <x:v>4288</x:v>
      </x:c>
      <x:c r="F640" s="21" t="n">
        <x:v>0.838</x:v>
      </x:c>
      <x:c r="G640" s="16" t="str">
        <x:v>Regional</x:v>
      </x:c>
      <x:c r="H640" s="36" t="n">
        <x:f>IF(G640="National",Assumptions!$B$11,IF(G640="Statewide",Assumptions!$B$12,Assumptions!$B$13))</x:f>
        <x:v>0.85</x:v>
      </x:c>
      <x:c r="I640" s="21" t="n">
        <x:v>-0.056426495016611344</x:v>
      </x:c>
      <x:c r="J640" s="21" t="n">
        <x:v>-0.047004775747508276</x:v>
      </x:c>
      <x:c r="K640" s="21" t="n">
        <x:v>-0.09852574750830567</x:v>
      </x:c>
      <x:c r="L640" s="36" t="n">
        <x:f>IF(Assumptions!$B$4=2030,I640,IF(Assumptions!$B$4=2035,J640,K640))</x:f>
        <x:v>-0.047004775747508276</x:v>
      </x:c>
      <x:c r="M640" s="36" t="n">
        <x:f>Assumptions!$B$19</x:f>
        <x:v>-0.04739891965741583</x:v>
      </x:c>
      <x:c r="N640" s="52" t="n">
        <x:f>H640*L640+(1-H640)*M640+O640</x:f>
        <x:v>-0.04706389733399441</x:v>
      </x:c>
      <x:c r="O640" s="36" t="n">
        <x:f>Assumptions!$B$10</x:f>
        <x:v>0</x:v>
      </x:c>
      <x:c r="P640" s="54" t="n">
        <x:f>E640*(1+N640)</x:f>
        <x:v>4086.190008231832</x:v>
      </x:c>
      <x:c r="Q640" s="54" t="n">
        <x:f>P640-E640</x:f>
        <x:v>-201.80999176816795</x:v>
      </x:c>
      <x:c r="R640" s="16" t="str">
        <x:v>Yes</x:v>
      </x:c>
      <x:c r="S640" s="56" t="n">
        <x:v>7265</x:v>
      </x:c>
      <x:c r="T640" s="56" t="n">
        <x:v>9498</x:v>
      </x:c>
      <x:c r="U640" s="40" t="n">
        <x:f>E640*Assumptions!$B$8</x:f>
        <x:v>3644.7999999999997</x:v>
      </x:c>
      <x:c r="V640" s="40" t="n">
        <x:f>P640*Assumptions!$B$8</x:f>
        <x:v>3473.261506997057</x:v>
      </x:c>
      <x:c r="W640" s="54" t="n">
        <x:f>V640-U640</x:f>
        <x:v>-171.5384930029427</x:v>
      </x:c>
      <x:c r="X640" s="58" t="n">
        <x:f>IF(R640="No","",W640*S640)</x:f>
        <x:v>-1246227.1516663786</x:v>
      </x:c>
      <x:c r="Y640" s="58" t="n">
        <x:f>IF(R640="No","",W640*T640*Assumptions!$B$9)</x:f>
        <x:v>-488781.7819625848</x:v>
      </x:c>
      <x:c r="Z640" s="58" t="n">
        <x:f>IF(R640="No","",X640-Y640)</x:f>
        <x:v>-757445.3697037938</x:v>
      </x:c>
      <x:c r="AA640" s="58" t="n">
        <x:f>IF(R640="No","",MAX(0,-Z640))</x:f>
        <x:v>757445.3697037938</x:v>
      </x:c>
      <x:c r="AB640" s="52" t="n">
        <x:f>IF(OR(R640="No",U640*S640=0),"",AA640/(U640*S640))</x:f>
        <x:v>0.028605002762282946</x:v>
      </x:c>
      <x:c r="AC640" s="54" t="n">
        <x:f>IF(OR(R640="No",S640-T640*Assumptions!$B$9&lt;=0),"",AA640/(Assumptions!$B$8*(S640-T640*Assumptions!$B$9)))</x:f>
        <x:v>201.80999176816786</x:v>
      </x:c>
      <x:c r="AD640" s="52" t="n">
        <x:f>IF(OR(R640="No",U640*S640=0),"",AA640/(U640*S640))</x:f>
        <x:v>0.028605002762282946</x:v>
      </x:c>
      <x:c r="AE640" s="50" t="str">
        <x:f>IF(R640="No","No finance data",IF(AB640&gt;=10%,"Severe",IF(AB640&gt;=5%,"High",IF(AB640&gt;=2%,"Moderate","Low"))))</x:f>
        <x:v>Moderate</x:v>
      </x:c>
      <x:c r="AF640" s="60" t="n">
        <x:v>42.297116</x:v>
      </x:c>
      <x:c r="AG640" s="60" t="n">
        <x:v>-71.437565</x:v>
      </x:c>
      <x:c r="AH640" s="44" t="str">
        <x:v>Undergraduate tuition-contribution proxy only; not an audited total institutional budget.</x:v>
      </x:c>
    </x:row>
    <x:row r="641">
      <x:c r="A641" s="16" t="n">
        <x:v>441982</x:v>
      </x:c>
      <x:c r="B641" s="16" t="str">
        <x:v>Franklin W Olin College of Engineering</x:v>
      </x:c>
      <x:c r="C641" s="16" t="str">
        <x:v>MA</x:v>
      </x:c>
      <x:c r="D641" s="16" t="str">
        <x:v>Private nonprofit</x:v>
      </x:c>
      <x:c r="E641" s="34" t="n">
        <x:v>333</x:v>
      </x:c>
      <x:c r="F641" s="21"/>
      <x:c r="G641" s="16" t="str">
        <x:v>Regional</x:v>
      </x:c>
      <x:c r="H641" s="36" t="n">
        <x:f>IF(G641="National",Assumptions!$B$11,IF(G641="Statewide",Assumptions!$B$12,Assumptions!$B$13))</x:f>
        <x:v>0.85</x:v>
      </x:c>
      <x:c r="I641" s="21" t="n">
        <x:v>-0.056426495016611344</x:v>
      </x:c>
      <x:c r="J641" s="21" t="n">
        <x:v>-0.047004775747508276</x:v>
      </x:c>
      <x:c r="K641" s="21" t="n">
        <x:v>-0.09852574750830567</x:v>
      </x:c>
      <x:c r="L641" s="36" t="n">
        <x:f>IF(Assumptions!$B$4=2030,I641,IF(Assumptions!$B$4=2035,J641,K641))</x:f>
        <x:v>-0.047004775747508276</x:v>
      </x:c>
      <x:c r="M641" s="36" t="n">
        <x:f>Assumptions!$B$19</x:f>
        <x:v>-0.04739891965741583</x:v>
      </x:c>
      <x:c r="N641" s="52" t="n">
        <x:f>H641*L641+(1-H641)*M641+O641</x:f>
        <x:v>-0.04706389733399441</x:v>
      </x:c>
      <x:c r="O641" s="36" t="n">
        <x:f>Assumptions!$B$10</x:f>
        <x:v>0</x:v>
      </x:c>
      <x:c r="P641" s="54" t="n">
        <x:f>E641*(1+N641)</x:f>
        <x:v>317.32772218777984</x:v>
      </x:c>
      <x:c r="Q641" s="54" t="n">
        <x:f>P641-E641</x:f>
        <x:v>-15.672277812220159</x:v>
      </x:c>
      <x:c r="R641" s="16" t="str">
        <x:v>No</x:v>
      </x:c>
      <x:c r="S641" s="56"/>
      <x:c r="T641" s="56"/>
      <x:c r="U641" s="40" t="n">
        <x:f>E641*Assumptions!$B$8</x:f>
        <x:v>283.05</x:v>
      </x:c>
      <x:c r="V641" s="40" t="n">
        <x:f>P641*Assumptions!$B$8</x:f>
        <x:v>269.72856385961285</x:v>
      </x:c>
      <x:c r="W641" s="54" t="n">
        <x:f>V641-U641</x:f>
        <x:v>-13.321436140387164</x:v>
      </x:c>
      <x:c r="X641" s="58" t="str">
        <x:f>IF(R641="No","",W641*S641)</x:f>
      </x:c>
      <x:c r="Y641" s="58" t="str">
        <x:f>IF(R641="No","",W641*T641*Assumptions!$B$9)</x:f>
      </x:c>
      <x:c r="Z641" s="58" t="str">
        <x:f>IF(R641="No","",X641-Y641)</x:f>
      </x:c>
      <x:c r="AA641" s="58" t="str">
        <x:f>IF(R641="No","",MAX(0,-Z641))</x:f>
      </x:c>
      <x:c r="AB641" s="52" t="str">
        <x:f>IF(OR(R641="No",U641*S641=0),"",AA641/(U641*S641))</x:f>
      </x:c>
      <x:c r="AC641" s="54" t="str">
        <x:f>IF(OR(R641="No",S641-T641*Assumptions!$B$9&lt;=0),"",AA641/(Assumptions!$B$8*(S641-T641*Assumptions!$B$9)))</x:f>
      </x:c>
      <x:c r="AD641" s="52" t="str">
        <x:f>IF(OR(R641="No",U641*S641=0),"",AA641/(U641*S641))</x:f>
      </x:c>
      <x:c r="AE641" s="50" t="str">
        <x:f>IF(R641="No","No finance data",IF(AB641&gt;=10%,"Severe",IF(AB641&gt;=5%,"High",IF(AB641&gt;=2%,"Moderate","Low"))))</x:f>
        <x:v>No finance data</x:v>
      </x:c>
      <x:c r="AF641" s="60"/>
      <x:c r="AG641" s="60"/>
      <x:c r="AH641" s="44" t="str">
        <x:v>Undergraduate tuition-contribution proxy only; not an audited total institutional budget.</x:v>
      </x:c>
    </x:row>
    <x:row r="642">
      <x:c r="A642" s="16" t="n">
        <x:v>165936</x:v>
      </x:c>
      <x:c r="B642" s="16" t="str">
        <x:v>Gordon College</x:v>
      </x:c>
      <x:c r="C642" s="16" t="str">
        <x:v>MA</x:v>
      </x:c>
      <x:c r="D642" s="16" t="str">
        <x:v>Private nonprofit</x:v>
      </x:c>
      <x:c r="E642" s="34" t="n">
        <x:v>1664</x:v>
      </x:c>
      <x:c r="F642" s="21" t="n">
        <x:v>0.7743</x:v>
      </x:c>
      <x:c r="G642" s="16" t="str">
        <x:v>Regional</x:v>
      </x:c>
      <x:c r="H642" s="36" t="n">
        <x:f>IF(G642="National",Assumptions!$B$11,IF(G642="Statewide",Assumptions!$B$12,Assumptions!$B$13))</x:f>
        <x:v>0.85</x:v>
      </x:c>
      <x:c r="I642" s="21" t="n">
        <x:v>-0.056426495016611344</x:v>
      </x:c>
      <x:c r="J642" s="21" t="n">
        <x:v>-0.047004775747508276</x:v>
      </x:c>
      <x:c r="K642" s="21" t="n">
        <x:v>-0.09852574750830567</x:v>
      </x:c>
      <x:c r="L642" s="36" t="n">
        <x:f>IF(Assumptions!$B$4=2030,I642,IF(Assumptions!$B$4=2035,J642,K642))</x:f>
        <x:v>-0.047004775747508276</x:v>
      </x:c>
      <x:c r="M642" s="36" t="n">
        <x:f>Assumptions!$B$19</x:f>
        <x:v>-0.04739891965741583</x:v>
      </x:c>
      <x:c r="N642" s="52" t="n">
        <x:f>H642*L642+(1-H642)*M642+O642</x:f>
        <x:v>-0.04706389733399441</x:v>
      </x:c>
      <x:c r="O642" s="36" t="n">
        <x:f>Assumptions!$B$10</x:f>
        <x:v>0</x:v>
      </x:c>
      <x:c r="P642" s="54" t="n">
        <x:f>E642*(1+N642)</x:f>
        <x:v>1585.6856748362334</x:v>
      </x:c>
      <x:c r="Q642" s="54" t="n">
        <x:f>P642-E642</x:f>
        <x:v>-78.31432516376663</x:v>
      </x:c>
      <x:c r="R642" s="16" t="str">
        <x:v>Yes</x:v>
      </x:c>
      <x:c r="S642" s="56" t="n">
        <x:v>16222</x:v>
      </x:c>
      <x:c r="T642" s="56" t="n">
        <x:v>9530</x:v>
      </x:c>
      <x:c r="U642" s="40" t="n">
        <x:f>E642*Assumptions!$B$8</x:f>
        <x:v>1414.3999999999999</x:v>
      </x:c>
      <x:c r="V642" s="40" t="n">
        <x:f>P642*Assumptions!$B$8</x:f>
        <x:v>1347.8328236107984</x:v>
      </x:c>
      <x:c r="W642" s="54" t="n">
        <x:f>V642-U642</x:f>
        <x:v>-66.56717638920145</x:v>
      </x:c>
      <x:c r="X642" s="58" t="n">
        <x:f>IF(R642="No","",W642*S642)</x:f>
        <x:v>-1079852.7353856259</x:v>
      </x:c>
      <x:c r="Y642" s="58" t="n">
        <x:f>IF(R642="No","",W642*T642*Assumptions!$B$9)</x:f>
        <x:v>-190315.55729672694</x:v>
      </x:c>
      <x:c r="Z642" s="58" t="n">
        <x:f>IF(R642="No","",X642-Y642)</x:f>
        <x:v>-889537.1780888989</x:v>
      </x:c>
      <x:c r="AA642" s="58" t="n">
        <x:f>IF(R642="No","",MAX(0,-Z642))</x:f>
        <x:v>889537.1780888989</x:v>
      </x:c>
      <x:c r="AB642" s="52" t="n">
        <x:f>IF(OR(R642="No",U642*S642=0),"",AA642/(U642*S642))</x:f>
        <x:v>0.03876925533683671</x:v>
      </x:c>
      <x:c r="AC642" s="54" t="n">
        <x:f>IF(OR(R642="No",S642-T642*Assumptions!$B$9&lt;=0),"",AA642/(Assumptions!$B$8*(S642-T642*Assumptions!$B$9)))</x:f>
        <x:v>78.31432516376641</x:v>
      </x:c>
      <x:c r="AD642" s="52" t="n">
        <x:f>IF(OR(R642="No",U642*S642=0),"",AA642/(U642*S642))</x:f>
        <x:v>0.03876925533683671</x:v>
      </x:c>
      <x:c r="AE642" s="50" t="str">
        <x:f>IF(R642="No","No finance data",IF(AB642&gt;=10%,"Severe",IF(AB642&gt;=5%,"High",IF(AB642&gt;=2%,"Moderate","Low"))))</x:f>
        <x:v>Moderate</x:v>
      </x:c>
      <x:c r="AF642" s="60" t="n">
        <x:v>42.590567</x:v>
      </x:c>
      <x:c r="AG642" s="60" t="n">
        <x:v>-70.82151</x:v>
      </x:c>
      <x:c r="AH642" s="44" t="str">
        <x:v>Undergraduate tuition-contribution proxy only; not an audited total institutional budget.</x:v>
      </x:c>
    </x:row>
    <x:row r="643">
      <x:c r="A643" s="16" t="n">
        <x:v>166018</x:v>
      </x:c>
      <x:c r="B643" s="16" t="str">
        <x:v>Hampshire College</x:v>
      </x:c>
      <x:c r="C643" s="16" t="str">
        <x:v>MA</x:v>
      </x:c>
      <x:c r="D643" s="16" t="str">
        <x:v>Private nonprofit</x:v>
      </x:c>
      <x:c r="E643" s="34" t="n">
        <x:v>1396</x:v>
      </x:c>
      <x:c r="F643" s="21"/>
      <x:c r="G643" s="16" t="str">
        <x:v>Regional</x:v>
      </x:c>
      <x:c r="H643" s="36" t="n">
        <x:f>IF(G643="National",Assumptions!$B$11,IF(G643="Statewide",Assumptions!$B$12,Assumptions!$B$13))</x:f>
        <x:v>0.85</x:v>
      </x:c>
      <x:c r="I643" s="21" t="n">
        <x:v>-0.056426495016611344</x:v>
      </x:c>
      <x:c r="J643" s="21" t="n">
        <x:v>-0.047004775747508276</x:v>
      </x:c>
      <x:c r="K643" s="21" t="n">
        <x:v>-0.09852574750830567</x:v>
      </x:c>
      <x:c r="L643" s="36" t="n">
        <x:f>IF(Assumptions!$B$4=2030,I643,IF(Assumptions!$B$4=2035,J643,K643))</x:f>
        <x:v>-0.047004775747508276</x:v>
      </x:c>
      <x:c r="M643" s="36" t="n">
        <x:f>Assumptions!$B$19</x:f>
        <x:v>-0.04739891965741583</x:v>
      </x:c>
      <x:c r="N643" s="52" t="n">
        <x:f>H643*L643+(1-H643)*M643+O643</x:f>
        <x:v>-0.04706389733399441</x:v>
      </x:c>
      <x:c r="O643" s="36" t="n">
        <x:f>Assumptions!$B$10</x:f>
        <x:v>0</x:v>
      </x:c>
      <x:c r="P643" s="54" t="n">
        <x:f>E643*(1+N643)</x:f>
        <x:v>1330.298799321744</x:v>
      </x:c>
      <x:c r="Q643" s="54" t="n">
        <x:f>P643-E643</x:f>
        <x:v>-65.7012006782561</x:v>
      </x:c>
      <x:c r="R643" s="16" t="str">
        <x:v>No</x:v>
      </x:c>
      <x:c r="S643" s="56"/>
      <x:c r="T643" s="56"/>
      <x:c r="U643" s="40" t="n">
        <x:f>E643*Assumptions!$B$8</x:f>
        <x:v>1186.6</x:v>
      </x:c>
      <x:c r="V643" s="40" t="n">
        <x:f>P643*Assumptions!$B$8</x:f>
        <x:v>1130.7539794234822</x:v>
      </x:c>
      <x:c r="W643" s="54" t="n">
        <x:f>V643-U643</x:f>
        <x:v>-55.84602057651773</x:v>
      </x:c>
      <x:c r="X643" s="58" t="str">
        <x:f>IF(R643="No","",W643*S643)</x:f>
      </x:c>
      <x:c r="Y643" s="58" t="str">
        <x:f>IF(R643="No","",W643*T643*Assumptions!$B$9)</x:f>
      </x:c>
      <x:c r="Z643" s="58" t="str">
        <x:f>IF(R643="No","",X643-Y643)</x:f>
      </x:c>
      <x:c r="AA643" s="58" t="str">
        <x:f>IF(R643="No","",MAX(0,-Z643))</x:f>
      </x:c>
      <x:c r="AB643" s="52" t="str">
        <x:f>IF(OR(R643="No",U643*S643=0),"",AA643/(U643*S643))</x:f>
      </x:c>
      <x:c r="AC643" s="54" t="str">
        <x:f>IF(OR(R643="No",S643-T643*Assumptions!$B$9&lt;=0),"",AA643/(Assumptions!$B$8*(S643-T643*Assumptions!$B$9)))</x:f>
      </x:c>
      <x:c r="AD643" s="52" t="str">
        <x:f>IF(OR(R643="No",U643*S643=0),"",AA643/(U643*S643))</x:f>
      </x:c>
      <x:c r="AE643" s="50" t="str">
        <x:f>IF(R643="No","No finance data",IF(AB643&gt;=10%,"Severe",IF(AB643&gt;=5%,"High",IF(AB643&gt;=2%,"Moderate","Low"))))</x:f>
        <x:v>No finance data</x:v>
      </x:c>
      <x:c r="AF643" s="60"/>
      <x:c r="AG643" s="60"/>
      <x:c r="AH643" s="44" t="str">
        <x:v>Undergraduate tuition-contribution proxy only; not an audited total institutional budget.</x:v>
      </x:c>
    </x:row>
    <x:row r="644">
      <x:c r="A644" s="16" t="n">
        <x:v>166027</x:v>
      </x:c>
      <x:c r="B644" s="16" t="str">
        <x:v>Harvard University</x:v>
      </x:c>
      <x:c r="C644" s="16" t="str">
        <x:v>MA</x:v>
      </x:c>
      <x:c r="D644" s="16" t="str">
        <x:v>Private nonprofit</x:v>
      </x:c>
      <x:c r="E644" s="34" t="n">
        <x:v>7333</x:v>
      </x:c>
      <x:c r="F644" s="21" t="n">
        <x:v>0.0401</x:v>
      </x:c>
      <x:c r="G644" s="16" t="str">
        <x:v>National</x:v>
      </x:c>
      <x:c r="H644" s="36" t="n">
        <x:f>IF(G644="National",Assumptions!$B$11,IF(G644="Statewide",Assumptions!$B$12,Assumptions!$B$13))</x:f>
        <x:v>0.25</x:v>
      </x:c>
      <x:c r="I644" s="21" t="n">
        <x:v>-0.056426495016611344</x:v>
      </x:c>
      <x:c r="J644" s="21" t="n">
        <x:v>-0.047004775747508276</x:v>
      </x:c>
      <x:c r="K644" s="21" t="n">
        <x:v>-0.09852574750830567</x:v>
      </x:c>
      <x:c r="L644" s="36" t="n">
        <x:f>IF(Assumptions!$B$4=2030,I644,IF(Assumptions!$B$4=2035,J644,K644))</x:f>
        <x:v>-0.047004775747508276</x:v>
      </x:c>
      <x:c r="M644" s="36" t="n">
        <x:f>Assumptions!$B$19</x:f>
        <x:v>-0.04739891965741583</x:v>
      </x:c>
      <x:c r="N644" s="52" t="n">
        <x:f>H644*L644+(1-H644)*M644+O644</x:f>
        <x:v>-0.04730038367993894</x:v>
      </x:c>
      <x:c r="O644" s="36" t="n">
        <x:f>Assumptions!$B$10</x:f>
        <x:v>0</x:v>
      </x:c>
      <x:c r="P644" s="54" t="n">
        <x:f>E644*(1+N644)</x:f>
        <x:v>6986.146286475007</x:v>
      </x:c>
      <x:c r="Q644" s="54" t="n">
        <x:f>P644-E644</x:f>
        <x:v>-346.8537135249926</x:v>
      </x:c>
      <x:c r="R644" s="16" t="str">
        <x:v>Yes</x:v>
      </x:c>
      <x:c r="S644" s="56" t="n">
        <x:v>30821</x:v>
      </x:c>
      <x:c r="T644" s="56" t="n">
        <x:v>43746</x:v>
      </x:c>
      <x:c r="U644" s="40" t="n">
        <x:f>E644*Assumptions!$B$8</x:f>
        <x:v>6233.05</x:v>
      </x:c>
      <x:c r="V644" s="40" t="n">
        <x:f>P644*Assumptions!$B$8</x:f>
        <x:v>5938.224343503756</x:v>
      </x:c>
      <x:c r="W644" s="54" t="n">
        <x:f>V644-U644</x:f>
        <x:v>-294.82565649624394</x:v>
      </x:c>
      <x:c r="X644" s="58" t="n">
        <x:f>IF(R644="No","",W644*S644)</x:f>
        <x:v>-9086821.558870735</x:v>
      </x:c>
      <x:c r="Y644" s="58" t="n">
        <x:f>IF(R644="No","",W644*T644*Assumptions!$B$9)</x:f>
        <x:v>-3869232.950725406</x:v>
      </x:c>
      <x:c r="Z644" s="58" t="n">
        <x:f>IF(R644="No","",X644-Y644)</x:f>
        <x:v>-5217588.608145328</x:v>
      </x:c>
      <x:c r="AA644" s="58" t="n">
        <x:f>IF(R644="No","",MAX(0,-Z644))</x:f>
        <x:v>5217588.608145328</x:v>
      </x:c>
      <x:c r="AB644" s="52" t="n">
        <x:f>IF(OR(R644="No",U644*S644=0),"",AA644/(U644*S644))</x:f>
        <x:v>0.027159545441764278</x:v>
      </x:c>
      <x:c r="AC644" s="54" t="n">
        <x:f>IF(OR(R644="No",S644-T644*Assumptions!$B$9&lt;=0),"",AA644/(Assumptions!$B$8*(S644-T644*Assumptions!$B$9)))</x:f>
        <x:v>346.8537135249928</x:v>
      </x:c>
      <x:c r="AD644" s="52" t="n">
        <x:f>IF(OR(R644="No",U644*S644=0),"",AA644/(U644*S644))</x:f>
        <x:v>0.027159545441764278</x:v>
      </x:c>
      <x:c r="AE644" s="50" t="str">
        <x:f>IF(R644="No","No finance data",IF(AB644&gt;=10%,"Severe",IF(AB644&gt;=5%,"High",IF(AB644&gt;=2%,"Moderate","Low"))))</x:f>
        <x:v>Moderate</x:v>
      </x:c>
      <x:c r="AF644" s="60" t="n">
        <x:v>42.374471</x:v>
      </x:c>
      <x:c r="AG644" s="60" t="n">
        <x:v>-71.118313</x:v>
      </x:c>
      <x:c r="AH644" s="44" t="str">
        <x:v>Undergraduate tuition-contribution proxy only; not an audited total institutional budget.</x:v>
      </x:c>
    </x:row>
    <x:row r="645">
      <x:c r="A645" s="16" t="n">
        <x:v>166045</x:v>
      </x:c>
      <x:c r="B645" s="16" t="str">
        <x:v>Hebrew College</x:v>
      </x:c>
      <x:c r="C645" s="16" t="str">
        <x:v>MA</x:v>
      </x:c>
      <x:c r="D645" s="16" t="str">
        <x:v>Private nonprofit</x:v>
      </x:c>
      <x:c r="E645" s="34" t="n">
        <x:v>3</x:v>
      </x:c>
      <x:c r="F645" s="21"/>
      <x:c r="G645" s="16" t="str">
        <x:v>Regional</x:v>
      </x:c>
      <x:c r="H645" s="36" t="n">
        <x:f>IF(G645="National",Assumptions!$B$11,IF(G645="Statewide",Assumptions!$B$12,Assumptions!$B$13))</x:f>
        <x:v>0.85</x:v>
      </x:c>
      <x:c r="I645" s="21" t="n">
        <x:v>-0.056426495016611344</x:v>
      </x:c>
      <x:c r="J645" s="21" t="n">
        <x:v>-0.047004775747508276</x:v>
      </x:c>
      <x:c r="K645" s="21" t="n">
        <x:v>-0.09852574750830567</x:v>
      </x:c>
      <x:c r="L645" s="36" t="n">
        <x:f>IF(Assumptions!$B$4=2030,I645,IF(Assumptions!$B$4=2035,J645,K645))</x:f>
        <x:v>-0.047004775747508276</x:v>
      </x:c>
      <x:c r="M645" s="36" t="n">
        <x:f>Assumptions!$B$19</x:f>
        <x:v>-0.04739891965741583</x:v>
      </x:c>
      <x:c r="N645" s="52" t="n">
        <x:f>H645*L645+(1-H645)*M645+O645</x:f>
        <x:v>-0.04706389733399441</x:v>
      </x:c>
      <x:c r="O645" s="36" t="n">
        <x:f>Assumptions!$B$10</x:f>
        <x:v>0</x:v>
      </x:c>
      <x:c r="P645" s="54" t="n">
        <x:f>E645*(1+N645)</x:f>
        <x:v>2.8588083079980167</x:v>
      </x:c>
      <x:c r="Q645" s="54" t="n">
        <x:f>P645-E645</x:f>
        <x:v>-0.14119169200198334</x:v>
      </x:c>
      <x:c r="R645" s="16" t="str">
        <x:v>No</x:v>
      </x:c>
      <x:c r="S645" s="56"/>
      <x:c r="T645" s="56"/>
      <x:c r="U645" s="40" t="n">
        <x:f>E645*Assumptions!$B$8</x:f>
        <x:v>2.55</x:v>
      </x:c>
      <x:c r="V645" s="40" t="n">
        <x:f>P645*Assumptions!$B$8</x:f>
        <x:v>2.429987061798314</x:v>
      </x:c>
      <x:c r="W645" s="54" t="n">
        <x:f>V645-U645</x:f>
        <x:v>-0.12001293820168568</x:v>
      </x:c>
      <x:c r="X645" s="58" t="str">
        <x:f>IF(R645="No","",W645*S645)</x:f>
      </x:c>
      <x:c r="Y645" s="58" t="str">
        <x:f>IF(R645="No","",W645*T645*Assumptions!$B$9)</x:f>
      </x:c>
      <x:c r="Z645" s="58" t="str">
        <x:f>IF(R645="No","",X645-Y645)</x:f>
      </x:c>
      <x:c r="AA645" s="58" t="str">
        <x:f>IF(R645="No","",MAX(0,-Z645))</x:f>
      </x:c>
      <x:c r="AB645" s="52" t="str">
        <x:f>IF(OR(R645="No",U645*S645=0),"",AA645/(U645*S645))</x:f>
      </x:c>
      <x:c r="AC645" s="54" t="str">
        <x:f>IF(OR(R645="No",S645-T645*Assumptions!$B$9&lt;=0),"",AA645/(Assumptions!$B$8*(S645-T645*Assumptions!$B$9)))</x:f>
      </x:c>
      <x:c r="AD645" s="52" t="str">
        <x:f>IF(OR(R645="No",U645*S645=0),"",AA645/(U645*S645))</x:f>
      </x:c>
      <x:c r="AE645" s="50" t="str">
        <x:f>IF(R645="No","No finance data",IF(AB645&gt;=10%,"Severe",IF(AB645&gt;=5%,"High",IF(AB645&gt;=2%,"Moderate","Low"))))</x:f>
        <x:v>No finance data</x:v>
      </x:c>
      <x:c r="AF645" s="60"/>
      <x:c r="AG645" s="60"/>
      <x:c r="AH645" s="44" t="str">
        <x:v>Undergraduate tuition-contribution proxy only; not an audited total institutional budget.</x:v>
      </x:c>
    </x:row>
    <x:row r="646">
      <x:c r="A646" s="16" t="n">
        <x:v>166054</x:v>
      </x:c>
      <x:c r="B646" s="16" t="str">
        <x:v>Hellenic College-Holy Cross Greek Orthodox School of Theology</x:v>
      </x:c>
      <x:c r="C646" s="16" t="str">
        <x:v>MA</x:v>
      </x:c>
      <x:c r="D646" s="16" t="str">
        <x:v>Private nonprofit</x:v>
      </x:c>
      <x:c r="E646" s="34" t="n">
        <x:v>91</x:v>
      </x:c>
      <x:c r="F646" s="21"/>
      <x:c r="G646" s="16" t="str">
        <x:v>Regional</x:v>
      </x:c>
      <x:c r="H646" s="36" t="n">
        <x:f>IF(G646="National",Assumptions!$B$11,IF(G646="Statewide",Assumptions!$B$12,Assumptions!$B$13))</x:f>
        <x:v>0.85</x:v>
      </x:c>
      <x:c r="I646" s="21" t="n">
        <x:v>-0.056426495016611344</x:v>
      </x:c>
      <x:c r="J646" s="21" t="n">
        <x:v>-0.047004775747508276</x:v>
      </x:c>
      <x:c r="K646" s="21" t="n">
        <x:v>-0.09852574750830567</x:v>
      </x:c>
      <x:c r="L646" s="36" t="n">
        <x:f>IF(Assumptions!$B$4=2030,I646,IF(Assumptions!$B$4=2035,J646,K646))</x:f>
        <x:v>-0.047004775747508276</x:v>
      </x:c>
      <x:c r="M646" s="36" t="n">
        <x:f>Assumptions!$B$19</x:f>
        <x:v>-0.04739891965741583</x:v>
      </x:c>
      <x:c r="N646" s="52" t="n">
        <x:f>H646*L646+(1-H646)*M646+O646</x:f>
        <x:v>-0.04706389733399441</x:v>
      </x:c>
      <x:c r="O646" s="36" t="n">
        <x:f>Assumptions!$B$10</x:f>
        <x:v>0</x:v>
      </x:c>
      <x:c r="P646" s="54" t="n">
        <x:f>E646*(1+N646)</x:f>
        <x:v>86.71718534260651</x:v>
      </x:c>
      <x:c r="Q646" s="54" t="n">
        <x:f>P646-E646</x:f>
        <x:v>-4.282814657393487</x:v>
      </x:c>
      <x:c r="R646" s="16" t="str">
        <x:v>No</x:v>
      </x:c>
      <x:c r="S646" s="56"/>
      <x:c r="T646" s="56"/>
      <x:c r="U646" s="40" t="n">
        <x:f>E646*Assumptions!$B$8</x:f>
        <x:v>77.35</x:v>
      </x:c>
      <x:c r="V646" s="40" t="n">
        <x:f>P646*Assumptions!$B$8</x:f>
        <x:v>73.70960754121553</x:v>
      </x:c>
      <x:c r="W646" s="54" t="n">
        <x:f>V646-U646</x:f>
        <x:v>-3.6403924587844614</x:v>
      </x:c>
      <x:c r="X646" s="58" t="str">
        <x:f>IF(R646="No","",W646*S646)</x:f>
      </x:c>
      <x:c r="Y646" s="58" t="str">
        <x:f>IF(R646="No","",W646*T646*Assumptions!$B$9)</x:f>
      </x:c>
      <x:c r="Z646" s="58" t="str">
        <x:f>IF(R646="No","",X646-Y646)</x:f>
      </x:c>
      <x:c r="AA646" s="58" t="str">
        <x:f>IF(R646="No","",MAX(0,-Z646))</x:f>
      </x:c>
      <x:c r="AB646" s="52" t="str">
        <x:f>IF(OR(R646="No",U646*S646=0),"",AA646/(U646*S646))</x:f>
      </x:c>
      <x:c r="AC646" s="54" t="str">
        <x:f>IF(OR(R646="No",S646-T646*Assumptions!$B$9&lt;=0),"",AA646/(Assumptions!$B$8*(S646-T646*Assumptions!$B$9)))</x:f>
      </x:c>
      <x:c r="AD646" s="52" t="str">
        <x:f>IF(OR(R646="No",U646*S646=0),"",AA646/(U646*S646))</x:f>
      </x:c>
      <x:c r="AE646" s="50" t="str">
        <x:f>IF(R646="No","No finance data",IF(AB646&gt;=10%,"Severe",IF(AB646&gt;=5%,"High",IF(AB646&gt;=2%,"Moderate","Low"))))</x:f>
        <x:v>No finance data</x:v>
      </x:c>
      <x:c r="AF646" s="60"/>
      <x:c r="AG646" s="60"/>
      <x:c r="AH646" s="44" t="str">
        <x:v>Undergraduate tuition-contribution proxy only; not an audited total institutional budget.</x:v>
      </x:c>
    </x:row>
    <x:row r="647">
      <x:c r="A647" s="16" t="n">
        <x:v>166391</x:v>
      </x:c>
      <x:c r="B647" s="16" t="str">
        <x:v>Lasell College</x:v>
      </x:c>
      <x:c r="C647" s="16" t="str">
        <x:v>MA</x:v>
      </x:c>
      <x:c r="D647" s="16" t="str">
        <x:v>Private nonprofit</x:v>
      </x:c>
      <x:c r="E647" s="34" t="n">
        <x:v>1810</x:v>
      </x:c>
      <x:c r="F647" s="21" t="n">
        <x:v>0.8506</x:v>
      </x:c>
      <x:c r="G647" s="16" t="str">
        <x:v>Regional</x:v>
      </x:c>
      <x:c r="H647" s="36" t="n">
        <x:f>IF(G647="National",Assumptions!$B$11,IF(G647="Statewide",Assumptions!$B$12,Assumptions!$B$13))</x:f>
        <x:v>0.85</x:v>
      </x:c>
      <x:c r="I647" s="21" t="n">
        <x:v>-0.056426495016611344</x:v>
      </x:c>
      <x:c r="J647" s="21" t="n">
        <x:v>-0.047004775747508276</x:v>
      </x:c>
      <x:c r="K647" s="21" t="n">
        <x:v>-0.09852574750830567</x:v>
      </x:c>
      <x:c r="L647" s="36" t="n">
        <x:f>IF(Assumptions!$B$4=2030,I647,IF(Assumptions!$B$4=2035,J647,K647))</x:f>
        <x:v>-0.047004775747508276</x:v>
      </x:c>
      <x:c r="M647" s="36" t="n">
        <x:f>Assumptions!$B$19</x:f>
        <x:v>-0.04739891965741583</x:v>
      </x:c>
      <x:c r="N647" s="52" t="n">
        <x:f>H647*L647+(1-H647)*M647+O647</x:f>
        <x:v>-0.04706389733399441</x:v>
      </x:c>
      <x:c r="O647" s="36" t="n">
        <x:f>Assumptions!$B$10</x:f>
        <x:v>0</x:v>
      </x:c>
      <x:c r="P647" s="54" t="n">
        <x:f>E647*(1+N647)</x:f>
        <x:v>1724.8143458254701</x:v>
      </x:c>
      <x:c r="Q647" s="54" t="n">
        <x:f>P647-E647</x:f>
        <x:v>-85.18565417452987</x:v>
      </x:c>
      <x:c r="R647" s="16" t="str">
        <x:v>Yes</x:v>
      </x:c>
      <x:c r="S647" s="56" t="n">
        <x:v>16835</x:v>
      </x:c>
      <x:c r="T647" s="56" t="n">
        <x:v>7439</x:v>
      </x:c>
      <x:c r="U647" s="40" t="n">
        <x:f>E647*Assumptions!$B$8</x:f>
        <x:v>1538.5</x:v>
      </x:c>
      <x:c r="V647" s="40" t="n">
        <x:f>P647*Assumptions!$B$8</x:f>
        <x:v>1466.0921939516495</x:v>
      </x:c>
      <x:c r="W647" s="54" t="n">
        <x:f>V647-U647</x:f>
        <x:v>-72.4078060483505</x:v>
      </x:c>
      <x:c r="X647" s="58" t="n">
        <x:f>IF(R647="No","",W647*S647)</x:f>
        <x:v>-1218985.4148239805</x:v>
      </x:c>
      <x:c r="Y647" s="58" t="n">
        <x:f>IF(R647="No","",W647*T647*Assumptions!$B$9)</x:f>
        <x:v>-161592.5007581038</x:v>
      </x:c>
      <x:c r="Z647" s="58" t="n">
        <x:f>IF(R647="No","",X647-Y647)</x:f>
        <x:v>-1057392.9140658767</x:v>
      </x:c>
      <x:c r="AA647" s="58" t="n">
        <x:f>IF(R647="No","",MAX(0,-Z647))</x:f>
        <x:v>1057392.9140658767</x:v>
      </x:c>
      <x:c r="AB647" s="52" t="n">
        <x:f>IF(OR(R647="No",U647*S647=0),"",AA647/(U647*S647))</x:f>
        <x:v>0.04082496061404939</x:v>
      </x:c>
      <x:c r="AC647" s="54" t="n">
        <x:f>IF(OR(R647="No",S647-T647*Assumptions!$B$9&lt;=0),"",AA647/(Assumptions!$B$8*(S647-T647*Assumptions!$B$9)))</x:f>
        <x:v>85.18565417453</x:v>
      </x:c>
      <x:c r="AD647" s="52" t="n">
        <x:f>IF(OR(R647="No",U647*S647=0),"",AA647/(U647*S647))</x:f>
        <x:v>0.04082496061404939</x:v>
      </x:c>
      <x:c r="AE647" s="50" t="str">
        <x:f>IF(R647="No","No finance data",IF(AB647&gt;=10%,"Severe",IF(AB647&gt;=5%,"High",IF(AB647&gt;=2%,"Moderate","Low"))))</x:f>
        <x:v>Moderate</x:v>
      </x:c>
      <x:c r="AF647" s="60" t="n">
        <x:v>42.342148</x:v>
      </x:c>
      <x:c r="AG647" s="60" t="n">
        <x:v>-71.24347</x:v>
      </x:c>
      <x:c r="AH647" s="44" t="str">
        <x:v>Undergraduate tuition-contribution proxy only; not an audited total institutional budget.</x:v>
      </x:c>
    </x:row>
    <x:row r="648">
      <x:c r="A648" s="16" t="n">
        <x:v>166452</x:v>
      </x:c>
      <x:c r="B648" s="16" t="str">
        <x:v>Lesley University</x:v>
      </x:c>
      <x:c r="C648" s="16" t="str">
        <x:v>MA</x:v>
      </x:c>
      <x:c r="D648" s="16" t="str">
        <x:v>Private nonprofit</x:v>
      </x:c>
      <x:c r="E648" s="34" t="n">
        <x:v>1849</x:v>
      </x:c>
      <x:c r="F648" s="21" t="n">
        <x:v>0.8695</x:v>
      </x:c>
      <x:c r="G648" s="16" t="str">
        <x:v>Regional</x:v>
      </x:c>
      <x:c r="H648" s="36" t="n">
        <x:f>IF(G648="National",Assumptions!$B$11,IF(G648="Statewide",Assumptions!$B$12,Assumptions!$B$13))</x:f>
        <x:v>0.85</x:v>
      </x:c>
      <x:c r="I648" s="21" t="n">
        <x:v>-0.056426495016611344</x:v>
      </x:c>
      <x:c r="J648" s="21" t="n">
        <x:v>-0.047004775747508276</x:v>
      </x:c>
      <x:c r="K648" s="21" t="n">
        <x:v>-0.09852574750830567</x:v>
      </x:c>
      <x:c r="L648" s="36" t="n">
        <x:f>IF(Assumptions!$B$4=2030,I648,IF(Assumptions!$B$4=2035,J648,K648))</x:f>
        <x:v>-0.047004775747508276</x:v>
      </x:c>
      <x:c r="M648" s="36" t="n">
        <x:f>Assumptions!$B$19</x:f>
        <x:v>-0.04739891965741583</x:v>
      </x:c>
      <x:c r="N648" s="52" t="n">
        <x:f>H648*L648+(1-H648)*M648+O648</x:f>
        <x:v>-0.04706389733399441</x:v>
      </x:c>
      <x:c r="O648" s="36" t="n">
        <x:f>Assumptions!$B$10</x:f>
        <x:v>0</x:v>
      </x:c>
      <x:c r="P648" s="54" t="n">
        <x:f>E648*(1+N648)</x:f>
        <x:v>1761.9788538294442</x:v>
      </x:c>
      <x:c r="Q648" s="54" t="n">
        <x:f>P648-E648</x:f>
        <x:v>-87.02114617055577</x:v>
      </x:c>
      <x:c r="R648" s="16" t="str">
        <x:v>Yes</x:v>
      </x:c>
      <x:c r="S648" s="56" t="n">
        <x:v>17643</x:v>
      </x:c>
      <x:c r="T648" s="56" t="n">
        <x:v>12188</x:v>
      </x:c>
      <x:c r="U648" s="40" t="n">
        <x:f>E648*Assumptions!$B$8</x:f>
        <x:v>1571.6499999999999</x:v>
      </x:c>
      <x:c r="V648" s="40" t="n">
        <x:f>P648*Assumptions!$B$8</x:f>
        <x:v>1497.6820257550276</x:v>
      </x:c>
      <x:c r="W648" s="54" t="n">
        <x:f>V648-U648</x:f>
        <x:v>-73.96797424497231</x:v>
      </x:c>
      <x:c r="X648" s="58" t="n">
        <x:f>IF(R648="No","",W648*S648)</x:f>
        <x:v>-1305016.9696040465</x:v>
      </x:c>
      <x:c r="Y648" s="58" t="n">
        <x:f>IF(R648="No","",W648*T648*Assumptions!$B$9)</x:f>
        <x:v>-270456.50102931674</x:v>
      </x:c>
      <x:c r="Z648" s="58" t="n">
        <x:f>IF(R648="No","",X648-Y648)</x:f>
        <x:v>-1034560.4685747297</x:v>
      </x:c>
      <x:c r="AA648" s="58" t="n">
        <x:f>IF(R648="No","",MAX(0,-Z648))</x:f>
        <x:v>1034560.4685747297</x:v>
      </x:c>
      <x:c r="AB648" s="52" t="n">
        <x:f>IF(OR(R648="No",U648*S648=0),"",AA648/(U648*S648))</x:f>
        <x:v>0.0373102027122171</x:v>
      </x:c>
      <x:c r="AC648" s="54" t="n">
        <x:f>IF(OR(R648="No",S648-T648*Assumptions!$B$9&lt;=0),"",AA648/(Assumptions!$B$8*(S648-T648*Assumptions!$B$9)))</x:f>
        <x:v>87.02114617055565</x:v>
      </x:c>
      <x:c r="AD648" s="52" t="n">
        <x:f>IF(OR(R648="No",U648*S648=0),"",AA648/(U648*S648))</x:f>
        <x:v>0.0373102027122171</x:v>
      </x:c>
      <x:c r="AE648" s="50" t="str">
        <x:f>IF(R648="No","No finance data",IF(AB648&gt;=10%,"Severe",IF(AB648&gt;=5%,"High",IF(AB648&gt;=2%,"Moderate","Low"))))</x:f>
        <x:v>Moderate</x:v>
      </x:c>
      <x:c r="AF648" s="60" t="n">
        <x:v>42.38012</x:v>
      </x:c>
      <x:c r="AG648" s="60" t="n">
        <x:v>-71.117303</x:v>
      </x:c>
      <x:c r="AH648" s="44" t="str">
        <x:v>Undergraduate tuition-contribution proxy only; not an audited total institutional budget.</x:v>
      </x:c>
    </x:row>
    <x:row r="649">
      <x:c r="A649" s="16" t="n">
        <x:v>166656</x:v>
      </x:c>
      <x:c r="B649" s="16" t="str">
        <x:v>MCPHS University</x:v>
      </x:c>
      <x:c r="C649" s="16" t="str">
        <x:v>MA</x:v>
      </x:c>
      <x:c r="D649" s="16" t="str">
        <x:v>Private nonprofit</x:v>
      </x:c>
      <x:c r="E649" s="34" t="n">
        <x:v>3877</x:v>
      </x:c>
      <x:c r="F649" s="21" t="n">
        <x:v>0.9771</x:v>
      </x:c>
      <x:c r="G649" s="16" t="str">
        <x:v>Regional</x:v>
      </x:c>
      <x:c r="H649" s="36" t="n">
        <x:f>IF(G649="National",Assumptions!$B$11,IF(G649="Statewide",Assumptions!$B$12,Assumptions!$B$13))</x:f>
        <x:v>0.85</x:v>
      </x:c>
      <x:c r="I649" s="21" t="n">
        <x:v>-0.056426495016611344</x:v>
      </x:c>
      <x:c r="J649" s="21" t="n">
        <x:v>-0.047004775747508276</x:v>
      </x:c>
      <x:c r="K649" s="21" t="n">
        <x:v>-0.09852574750830567</x:v>
      </x:c>
      <x:c r="L649" s="36" t="n">
        <x:f>IF(Assumptions!$B$4=2030,I649,IF(Assumptions!$B$4=2035,J649,K649))</x:f>
        <x:v>-0.047004775747508276</x:v>
      </x:c>
      <x:c r="M649" s="36" t="n">
        <x:f>Assumptions!$B$19</x:f>
        <x:v>-0.04739891965741583</x:v>
      </x:c>
      <x:c r="N649" s="52" t="n">
        <x:f>H649*L649+(1-H649)*M649+O649</x:f>
        <x:v>-0.04706389733399441</x:v>
      </x:c>
      <x:c r="O649" s="36" t="n">
        <x:f>Assumptions!$B$10</x:f>
        <x:v>0</x:v>
      </x:c>
      <x:c r="P649" s="54" t="n">
        <x:f>E649*(1+N649)</x:f>
        <x:v>3694.5332700361037</x:v>
      </x:c>
      <x:c r="Q649" s="54" t="n">
        <x:f>P649-E649</x:f>
        <x:v>-182.46672996389634</x:v>
      </x:c>
      <x:c r="R649" s="16" t="str">
        <x:v>Yes</x:v>
      </x:c>
      <x:c r="S649" s="56" t="n">
        <x:v>20167</x:v>
      </x:c>
      <x:c r="T649" s="56" t="n">
        <x:v>9842</x:v>
      </x:c>
      <x:c r="U649" s="40" t="n">
        <x:f>E649*Assumptions!$B$8</x:f>
        <x:v>3295.45</x:v>
      </x:c>
      <x:c r="V649" s="40" t="n">
        <x:f>P649*Assumptions!$B$8</x:f>
        <x:v>3140.353279530688</x:v>
      </x:c>
      <x:c r="W649" s="54" t="n">
        <x:f>V649-U649</x:f>
        <x:v>-155.096720469312</x:v>
      </x:c>
      <x:c r="X649" s="58" t="n">
        <x:f>IF(R649="No","",W649*S649)</x:f>
        <x:v>-3127835.561704615</x:v>
      </x:c>
      <x:c r="Y649" s="58" t="n">
        <x:f>IF(R649="No","",W649*T649*Assumptions!$B$9)</x:f>
        <x:v>-457938.57685769064</x:v>
      </x:c>
      <x:c r="Z649" s="58" t="n">
        <x:f>IF(R649="No","",X649-Y649)</x:f>
        <x:v>-2669896.9848469244</x:v>
      </x:c>
      <x:c r="AA649" s="58" t="n">
        <x:f>IF(R649="No","",MAX(0,-Z649))</x:f>
        <x:v>2669896.9848469244</x:v>
      </x:c>
      <x:c r="AB649" s="52" t="n">
        <x:f>IF(OR(R649="No",U649*S649=0),"",AA649/(U649*S649))</x:f>
        <x:v>0.04017338990758735</x:v>
      </x:c>
      <x:c r="AC649" s="54" t="n">
        <x:f>IF(OR(R649="No",S649-T649*Assumptions!$B$9&lt;=0),"",AA649/(Assumptions!$B$8*(S649-T649*Assumptions!$B$9)))</x:f>
        <x:v>182.46672996389646</x:v>
      </x:c>
      <x:c r="AD649" s="52" t="n">
        <x:f>IF(OR(R649="No",U649*S649=0),"",AA649/(U649*S649))</x:f>
        <x:v>0.04017338990758735</x:v>
      </x:c>
      <x:c r="AE649" s="50" t="str">
        <x:f>IF(R649="No","No finance data",IF(AB649&gt;=10%,"Severe",IF(AB649&gt;=5%,"High",IF(AB649&gt;=2%,"Moderate","Low"))))</x:f>
        <x:v>Moderate</x:v>
      </x:c>
      <x:c r="AF649" s="60" t="n">
        <x:v>42.336825</x:v>
      </x:c>
      <x:c r="AG649" s="60" t="n">
        <x:v>-71.101244</x:v>
      </x:c>
      <x:c r="AH649" s="44" t="str">
        <x:v>Undergraduate tuition-contribution proxy only; not an audited total institutional budget.</x:v>
      </x:c>
    </x:row>
    <x:row r="650">
      <x:c r="A650" s="16" t="n">
        <x:v>166869</x:v>
      </x:c>
      <x:c r="B650" s="16" t="str">
        <x:v>MGH Institute of Health Professions</x:v>
      </x:c>
      <x:c r="C650" s="16" t="str">
        <x:v>MA</x:v>
      </x:c>
      <x:c r="D650" s="16" t="str">
        <x:v>Private nonprofit</x:v>
      </x:c>
      <x:c r="E650" s="34" t="n">
        <x:v>192</x:v>
      </x:c>
      <x:c r="F650" s="21"/>
      <x:c r="G650" s="16" t="str">
        <x:v>Regional</x:v>
      </x:c>
      <x:c r="H650" s="36" t="n">
        <x:f>IF(G650="National",Assumptions!$B$11,IF(G650="Statewide",Assumptions!$B$12,Assumptions!$B$13))</x:f>
        <x:v>0.85</x:v>
      </x:c>
      <x:c r="I650" s="21" t="n">
        <x:v>-0.056426495016611344</x:v>
      </x:c>
      <x:c r="J650" s="21" t="n">
        <x:v>-0.047004775747508276</x:v>
      </x:c>
      <x:c r="K650" s="21" t="n">
        <x:v>-0.09852574750830567</x:v>
      </x:c>
      <x:c r="L650" s="36" t="n">
        <x:f>IF(Assumptions!$B$4=2030,I650,IF(Assumptions!$B$4=2035,J650,K650))</x:f>
        <x:v>-0.047004775747508276</x:v>
      </x:c>
      <x:c r="M650" s="36" t="n">
        <x:f>Assumptions!$B$19</x:f>
        <x:v>-0.04739891965741583</x:v>
      </x:c>
      <x:c r="N650" s="52" t="n">
        <x:f>H650*L650+(1-H650)*M650+O650</x:f>
        <x:v>-0.04706389733399441</x:v>
      </x:c>
      <x:c r="O650" s="36" t="n">
        <x:f>Assumptions!$B$10</x:f>
        <x:v>0</x:v>
      </x:c>
      <x:c r="P650" s="54" t="n">
        <x:f>E650*(1+N650)</x:f>
        <x:v>182.96373171187307</x:v>
      </x:c>
      <x:c r="Q650" s="54" t="n">
        <x:f>P650-E650</x:f>
        <x:v>-9.036268288126934</x:v>
      </x:c>
      <x:c r="R650" s="16" t="str">
        <x:v>No</x:v>
      </x:c>
      <x:c r="S650" s="56"/>
      <x:c r="T650" s="56"/>
      <x:c r="U650" s="40" t="n">
        <x:f>E650*Assumptions!$B$8</x:f>
        <x:v>163.2</x:v>
      </x:c>
      <x:c r="V650" s="40" t="n">
        <x:f>P650*Assumptions!$B$8</x:f>
        <x:v>155.5191719550921</x:v>
      </x:c>
      <x:c r="W650" s="54" t="n">
        <x:f>V650-U650</x:f>
        <x:v>-7.680828044907884</x:v>
      </x:c>
      <x:c r="X650" s="58" t="str">
        <x:f>IF(R650="No","",W650*S650)</x:f>
      </x:c>
      <x:c r="Y650" s="58" t="str">
        <x:f>IF(R650="No","",W650*T650*Assumptions!$B$9)</x:f>
      </x:c>
      <x:c r="Z650" s="58" t="str">
        <x:f>IF(R650="No","",X650-Y650)</x:f>
      </x:c>
      <x:c r="AA650" s="58" t="str">
        <x:f>IF(R650="No","",MAX(0,-Z650))</x:f>
      </x:c>
      <x:c r="AB650" s="52" t="str">
        <x:f>IF(OR(R650="No",U650*S650=0),"",AA650/(U650*S650))</x:f>
      </x:c>
      <x:c r="AC650" s="54" t="str">
        <x:f>IF(OR(R650="No",S650-T650*Assumptions!$B$9&lt;=0),"",AA650/(Assumptions!$B$8*(S650-T650*Assumptions!$B$9)))</x:f>
      </x:c>
      <x:c r="AD650" s="52" t="str">
        <x:f>IF(OR(R650="No",U650*S650=0),"",AA650/(U650*S650))</x:f>
      </x:c>
      <x:c r="AE650" s="50" t="str">
        <x:f>IF(R650="No","No finance data",IF(AB650&gt;=10%,"Severe",IF(AB650&gt;=5%,"High",IF(AB650&gt;=2%,"Moderate","Low"))))</x:f>
        <x:v>No finance data</x:v>
      </x:c>
      <x:c r="AF650" s="60"/>
      <x:c r="AG650" s="60"/>
      <x:c r="AH650" s="44" t="str">
        <x:v>Undergraduate tuition-contribution proxy only; not an audited total institutional budget.</x:v>
      </x:c>
    </x:row>
    <x:row r="651">
      <x:c r="A651" s="16" t="n">
        <x:v>166674</x:v>
      </x:c>
      <x:c r="B651" s="16" t="str">
        <x:v>Massachusetts College of Art and Design</x:v>
      </x:c>
      <x:c r="C651" s="16" t="str">
        <x:v>MA</x:v>
      </x:c>
      <x:c r="D651" s="16" t="str">
        <x:v>Public</x:v>
      </x:c>
      <x:c r="E651" s="34" t="n">
        <x:v>1736</x:v>
      </x:c>
      <x:c r="F651" s="21" t="n">
        <x:v>0.7867</x:v>
      </x:c>
      <x:c r="G651" s="16" t="str">
        <x:v>Regional</x:v>
      </x:c>
      <x:c r="H651" s="36" t="n">
        <x:f>IF(G651="National",Assumptions!$B$11,IF(G651="Statewide",Assumptions!$B$12,Assumptions!$B$13))</x:f>
        <x:v>0.85</x:v>
      </x:c>
      <x:c r="I651" s="21" t="n">
        <x:v>-0.056426495016611344</x:v>
      </x:c>
      <x:c r="J651" s="21" t="n">
        <x:v>-0.047004775747508276</x:v>
      </x:c>
      <x:c r="K651" s="21" t="n">
        <x:v>-0.09852574750830567</x:v>
      </x:c>
      <x:c r="L651" s="36" t="n">
        <x:f>IF(Assumptions!$B$4=2030,I651,IF(Assumptions!$B$4=2035,J651,K651))</x:f>
        <x:v>-0.047004775747508276</x:v>
      </x:c>
      <x:c r="M651" s="36" t="n">
        <x:f>Assumptions!$B$19</x:f>
        <x:v>-0.04739891965741583</x:v>
      </x:c>
      <x:c r="N651" s="52" t="n">
        <x:f>H651*L651+(1-H651)*M651+O651</x:f>
        <x:v>-0.04706389733399441</x:v>
      </x:c>
      <x:c r="O651" s="36" t="n">
        <x:f>Assumptions!$B$10</x:f>
        <x:v>0</x:v>
      </x:c>
      <x:c r="P651" s="54" t="n">
        <x:f>E651*(1+N651)</x:f>
        <x:v>1654.2970742281857</x:v>
      </x:c>
      <x:c r="Q651" s="54" t="n">
        <x:f>P651-E651</x:f>
        <x:v>-81.70292577181431</x:v>
      </x:c>
      <x:c r="R651" s="16" t="str">
        <x:v>Yes</x:v>
      </x:c>
      <x:c r="S651" s="56" t="n">
        <x:v>15145</x:v>
      </x:c>
      <x:c r="T651" s="56" t="n">
        <x:v>15112</x:v>
      </x:c>
      <x:c r="U651" s="40" t="n">
        <x:f>E651*Assumptions!$B$8</x:f>
        <x:v>1475.6</x:v>
      </x:c>
      <x:c r="V651" s="40" t="n">
        <x:f>P651*Assumptions!$B$8</x:f>
        <x:v>1406.1525130939579</x:v>
      </x:c>
      <x:c r="W651" s="54" t="n">
        <x:f>V651-U651</x:f>
        <x:v>-69.44748690604206</x:v>
      </x:c>
      <x:c r="X651" s="58" t="n">
        <x:f>IF(R651="No","",W651*S651)</x:f>
        <x:v>-1051782.189192007</x:v>
      </x:c>
      <x:c r="Y651" s="58" t="n">
        <x:f>IF(R651="No","",W651*T651*Assumptions!$B$9)</x:f>
        <x:v>-314847.12663723226</x:v>
      </x:c>
      <x:c r="Z651" s="58" t="n">
        <x:f>IF(R651="No","",X651-Y651)</x:f>
        <x:v>-736935.0625547748</x:v>
      </x:c>
      <x:c r="AA651" s="58" t="n">
        <x:f>IF(R651="No","",MAX(0,-Z651))</x:f>
        <x:v>736935.0625547748</x:v>
      </x:c>
      <x:c r="AB651" s="52" t="n">
        <x:f>IF(OR(R651="No",U651*S651=0),"",AA651/(U651*S651))</x:f>
        <x:v>0.03297549291316921</x:v>
      </x:c>
      <x:c r="AC651" s="54" t="n">
        <x:f>IF(OR(R651="No",S651-T651*Assumptions!$B$9&lt;=0),"",AA651/(Assumptions!$B$8*(S651-T651*Assumptions!$B$9)))</x:f>
        <x:v>81.7029257718142</x:v>
      </x:c>
      <x:c r="AD651" s="52" t="n">
        <x:f>IF(OR(R651="No",U651*S651=0),"",AA651/(U651*S651))</x:f>
        <x:v>0.03297549291316921</x:v>
      </x:c>
      <x:c r="AE651" s="50" t="str">
        <x:f>IF(R651="No","No finance data",IF(AB651&gt;=10%,"Severe",IF(AB651&gt;=5%,"High",IF(AB651&gt;=2%,"Moderate","Low"))))</x:f>
        <x:v>Moderate</x:v>
      </x:c>
      <x:c r="AF651" s="60" t="n">
        <x:v>42.336862</x:v>
      </x:c>
      <x:c r="AG651" s="60" t="n">
        <x:v>-71.099275</x:v>
      </x:c>
      <x:c r="AH651" s="44" t="str">
        <x:v>Undergraduate tuition-contribution proxy only; not an audited total institutional budget.</x:v>
      </x:c>
    </x:row>
    <x:row r="652">
      <x:c r="A652" s="16" t="n">
        <x:v>167288</x:v>
      </x:c>
      <x:c r="B652" s="16" t="str">
        <x:v>Massachusetts College of Liberal Arts</x:v>
      </x:c>
      <x:c r="C652" s="16" t="str">
        <x:v>MA</x:v>
      </x:c>
      <x:c r="D652" s="16" t="str">
        <x:v>Public</x:v>
      </x:c>
      <x:c r="E652" s="34" t="n">
        <x:v>1423</x:v>
      </x:c>
      <x:c r="F652" s="21" t="n">
        <x:v>0.9096</x:v>
      </x:c>
      <x:c r="G652" s="16" t="str">
        <x:v>Regional</x:v>
      </x:c>
      <x:c r="H652" s="36" t="n">
        <x:f>IF(G652="National",Assumptions!$B$11,IF(G652="Statewide",Assumptions!$B$12,Assumptions!$B$13))</x:f>
        <x:v>0.85</x:v>
      </x:c>
      <x:c r="I652" s="21" t="n">
        <x:v>-0.056426495016611344</x:v>
      </x:c>
      <x:c r="J652" s="21" t="n">
        <x:v>-0.047004775747508276</x:v>
      </x:c>
      <x:c r="K652" s="21" t="n">
        <x:v>-0.09852574750830567</x:v>
      </x:c>
      <x:c r="L652" s="36" t="n">
        <x:f>IF(Assumptions!$B$4=2030,I652,IF(Assumptions!$B$4=2035,J652,K652))</x:f>
        <x:v>-0.047004775747508276</x:v>
      </x:c>
      <x:c r="M652" s="36" t="n">
        <x:f>Assumptions!$B$19</x:f>
        <x:v>-0.04739891965741583</x:v>
      </x:c>
      <x:c r="N652" s="52" t="n">
        <x:f>H652*L652+(1-H652)*M652+O652</x:f>
        <x:v>-0.04706389733399441</x:v>
      </x:c>
      <x:c r="O652" s="36" t="n">
        <x:f>Assumptions!$B$10</x:f>
        <x:v>0</x:v>
      </x:c>
      <x:c r="P652" s="54" t="n">
        <x:f>E652*(1+N652)</x:f>
        <x:v>1356.028074093726</x:v>
      </x:c>
      <x:c r="Q652" s="54" t="n">
        <x:f>P652-E652</x:f>
        <x:v>-66.97192590627401</x:v>
      </x:c>
      <x:c r="R652" s="16" t="str">
        <x:v>Yes</x:v>
      </x:c>
      <x:c r="S652" s="56" t="n">
        <x:v>7018</x:v>
      </x:c>
      <x:c r="T652" s="56" t="n">
        <x:v>15294</x:v>
      </x:c>
      <x:c r="U652" s="40" t="n">
        <x:f>E652*Assumptions!$B$8</x:f>
        <x:v>1209.55</x:v>
      </x:c>
      <x:c r="V652" s="40" t="n">
        <x:f>P652*Assumptions!$B$8</x:f>
        <x:v>1152.6238629796671</x:v>
      </x:c>
      <x:c r="W652" s="54" t="n">
        <x:f>V652-U652</x:f>
        <x:v>-56.92613702033282</x:v>
      </x:c>
      <x:c r="X652" s="58" t="n">
        <x:f>IF(R652="No","",W652*S652)</x:f>
        <x:v>-399507.6296086957</x:v>
      </x:c>
      <x:c r="Y652" s="58" t="n">
        <x:f>IF(R652="No","",W652*T652*Assumptions!$B$9)</x:f>
        <x:v>-261188.501876691</x:v>
      </x:c>
      <x:c r="Z652" s="58" t="n">
        <x:f>IF(R652="No","",X652-Y652)</x:f>
        <x:v>-138319.12773200468</x:v>
      </x:c>
      <x:c r="AA652" s="58" t="n">
        <x:f>IF(R652="No","",MAX(0,-Z652))</x:f>
        <x:v>138319.12773200468</x:v>
      </x:c>
      <x:c r="AB652" s="52" t="n">
        <x:f>IF(OR(R652="No",U652*S652=0),"",AA652/(U652*S652))</x:f>
        <x:v>0.016294650575967424</x:v>
      </x:c>
      <x:c r="AC652" s="54" t="n">
        <x:f>IF(OR(R652="No",S652-T652*Assumptions!$B$9&lt;=0),"",AA652/(Assumptions!$B$8*(S652-T652*Assumptions!$B$9)))</x:f>
        <x:v>66.97192590627391</x:v>
      </x:c>
      <x:c r="AD652" s="52" t="n">
        <x:f>IF(OR(R652="No",U652*S652=0),"",AA652/(U652*S652))</x:f>
        <x:v>0.016294650575967424</x:v>
      </x:c>
      <x:c r="AE652" s="50" t="str">
        <x:f>IF(R652="No","No finance data",IF(AB652&gt;=10%,"Severe",IF(AB652&gt;=5%,"High",IF(AB652&gt;=2%,"Moderate","Low"))))</x:f>
        <x:v>Low</x:v>
      </x:c>
      <x:c r="AF652" s="60" t="n">
        <x:v>42.691361</x:v>
      </x:c>
      <x:c r="AG652" s="60" t="n">
        <x:v>-73.102817</x:v>
      </x:c>
      <x:c r="AH652" s="44" t="str">
        <x:v>Undergraduate tuition-contribution proxy only; not an audited total institutional budget.</x:v>
      </x:c>
    </x:row>
    <x:row r="653">
      <x:c r="A653" s="16" t="n">
        <x:v>166683</x:v>
      </x:c>
      <x:c r="B653" s="16" t="str">
        <x:v>Massachusetts Institute of Technology</x:v>
      </x:c>
      <x:c r="C653" s="16" t="str">
        <x:v>MA</x:v>
      </x:c>
      <x:c r="D653" s="16" t="str">
        <x:v>Private nonprofit</x:v>
      </x:c>
      <x:c r="E653" s="34" t="n">
        <x:v>4474</x:v>
      </x:c>
      <x:c r="F653" s="21" t="n">
        <x:v>0.0411</x:v>
      </x:c>
      <x:c r="G653" s="16" t="str">
        <x:v>National</x:v>
      </x:c>
      <x:c r="H653" s="36" t="n">
        <x:f>IF(G653="National",Assumptions!$B$11,IF(G653="Statewide",Assumptions!$B$12,Assumptions!$B$13))</x:f>
        <x:v>0.25</x:v>
      </x:c>
      <x:c r="I653" s="21" t="n">
        <x:v>-0.056426495016611344</x:v>
      </x:c>
      <x:c r="J653" s="21" t="n">
        <x:v>-0.047004775747508276</x:v>
      </x:c>
      <x:c r="K653" s="21" t="n">
        <x:v>-0.09852574750830567</x:v>
      </x:c>
      <x:c r="L653" s="36" t="n">
        <x:f>IF(Assumptions!$B$4=2030,I653,IF(Assumptions!$B$4=2035,J653,K653))</x:f>
        <x:v>-0.047004775747508276</x:v>
      </x:c>
      <x:c r="M653" s="36" t="n">
        <x:f>Assumptions!$B$19</x:f>
        <x:v>-0.04739891965741583</x:v>
      </x:c>
      <x:c r="N653" s="52" t="n">
        <x:f>H653*L653+(1-H653)*M653+O653</x:f>
        <x:v>-0.04730038367993894</x:v>
      </x:c>
      <x:c r="O653" s="36" t="n">
        <x:f>Assumptions!$B$10</x:f>
        <x:v>0</x:v>
      </x:c>
      <x:c r="P653" s="54" t="n">
        <x:f>E653*(1+N653)</x:f>
        <x:v>4262.378083415953</x:v>
      </x:c>
      <x:c r="Q653" s="54" t="n">
        <x:f>P653-E653</x:f>
        <x:v>-211.62191658404663</x:v>
      </x:c>
      <x:c r="R653" s="16" t="str">
        <x:v>Yes</x:v>
      </x:c>
      <x:c r="S653" s="56" t="n">
        <x:v>31063</x:v>
      </x:c>
      <x:c r="T653" s="56" t="n">
        <x:v>81122</x:v>
      </x:c>
      <x:c r="U653" s="40" t="n">
        <x:f>E653*Assumptions!$B$8</x:f>
        <x:v>3802.9</x:v>
      </x:c>
      <x:c r="V653" s="40" t="n">
        <x:f>P653*Assumptions!$B$8</x:f>
        <x:v>3623.02137090356</x:v>
      </x:c>
      <x:c r="W653" s="54" t="n">
        <x:f>V653-U653</x:f>
        <x:v>-179.8786290964399</x:v>
      </x:c>
      <x:c r="X653" s="58" t="n">
        <x:f>IF(R653="No","",W653*S653)</x:f>
        <x:v>-5587569.8556227125</x:v>
      </x:c>
      <x:c r="Y653" s="58" t="n">
        <x:f>IF(R653="No","",W653*T653*Assumptions!$B$9)</x:f>
        <x:v>-4377634.244868419</x:v>
      </x:c>
      <x:c r="Z653" s="58" t="n">
        <x:f>IF(R653="No","",X653-Y653)</x:f>
        <x:v>-1209935.6107542934</x:v>
      </x:c>
      <x:c r="AA653" s="58" t="n">
        <x:f>IF(R653="No","",MAX(0,-Z653))</x:f>
        <x:v>1209935.6107542934</x:v>
      </x:c>
      <x:c r="AB653" s="52" t="n">
        <x:f>IF(OR(R653="No",U653*S653=0),"",AA653/(U653*S653))</x:f>
        <x:v>0.010242452460636174</x:v>
      </x:c>
      <x:c r="AC653" s="54" t="n">
        <x:f>IF(OR(R653="No",S653-T653*Assumptions!$B$9&lt;=0),"",AA653/(Assumptions!$B$8*(S653-T653*Assumptions!$B$9)))</x:f>
        <x:v>211.6219165840469</x:v>
      </x:c>
      <x:c r="AD653" s="52" t="n">
        <x:f>IF(OR(R653="No",U653*S653=0),"",AA653/(U653*S653))</x:f>
        <x:v>0.010242452460636174</x:v>
      </x:c>
      <x:c r="AE653" s="50" t="str">
        <x:f>IF(R653="No","No finance data",IF(AB653&gt;=10%,"Severe",IF(AB653&gt;=5%,"High",IF(AB653&gt;=2%,"Moderate","Low"))))</x:f>
        <x:v>Low</x:v>
      </x:c>
      <x:c r="AF653" s="60" t="n">
        <x:v>42.359243</x:v>
      </x:c>
      <x:c r="AG653" s="60" t="n">
        <x:v>-71.093226</x:v>
      </x:c>
      <x:c r="AH653" s="44" t="str">
        <x:v>Undergraduate tuition-contribution proxy only; not an audited total institutional budget.</x:v>
      </x:c>
    </x:row>
    <x:row r="654">
      <x:c r="A654" s="16" t="n">
        <x:v>166692</x:v>
      </x:c>
      <x:c r="B654" s="16" t="str">
        <x:v>Massachusetts Maritime Academy</x:v>
      </x:c>
      <x:c r="C654" s="16" t="str">
        <x:v>MA</x:v>
      </x:c>
      <x:c r="D654" s="16" t="str">
        <x:v>Public</x:v>
      </x:c>
      <x:c r="E654" s="34" t="n">
        <x:v>1537</x:v>
      </x:c>
      <x:c r="F654" s="21" t="n">
        <x:v>0.9008</x:v>
      </x:c>
      <x:c r="G654" s="16" t="str">
        <x:v>Regional</x:v>
      </x:c>
      <x:c r="H654" s="36" t="n">
        <x:f>IF(G654="National",Assumptions!$B$11,IF(G654="Statewide",Assumptions!$B$12,Assumptions!$B$13))</x:f>
        <x:v>0.85</x:v>
      </x:c>
      <x:c r="I654" s="21" t="n">
        <x:v>-0.056426495016611344</x:v>
      </x:c>
      <x:c r="J654" s="21" t="n">
        <x:v>-0.047004775747508276</x:v>
      </x:c>
      <x:c r="K654" s="21" t="n">
        <x:v>-0.09852574750830567</x:v>
      </x:c>
      <x:c r="L654" s="36" t="n">
        <x:f>IF(Assumptions!$B$4=2030,I654,IF(Assumptions!$B$4=2035,J654,K654))</x:f>
        <x:v>-0.047004775747508276</x:v>
      </x:c>
      <x:c r="M654" s="36" t="n">
        <x:f>Assumptions!$B$19</x:f>
        <x:v>-0.04739891965741583</x:v>
      </x:c>
      <x:c r="N654" s="52" t="n">
        <x:f>H654*L654+(1-H654)*M654+O654</x:f>
        <x:v>-0.04706389733399441</x:v>
      </x:c>
      <x:c r="O654" s="36" t="n">
        <x:f>Assumptions!$B$10</x:f>
        <x:v>0</x:v>
      </x:c>
      <x:c r="P654" s="54" t="n">
        <x:f>E654*(1+N654)</x:f>
        <x:v>1464.6627897976507</x:v>
      </x:c>
      <x:c r="Q654" s="54" t="n">
        <x:f>P654-E654</x:f>
        <x:v>-72.3372102023493</x:v>
      </x:c>
      <x:c r="R654" s="16" t="str">
        <x:v>Yes</x:v>
      </x:c>
      <x:c r="S654" s="56" t="n">
        <x:v>12505</x:v>
      </x:c>
      <x:c r="T654" s="56" t="n">
        <x:v>10425</x:v>
      </x:c>
      <x:c r="U654" s="40" t="n">
        <x:f>E654*Assumptions!$B$8</x:f>
        <x:v>1306.45</x:v>
      </x:c>
      <x:c r="V654" s="40" t="n">
        <x:f>P654*Assumptions!$B$8</x:f>
        <x:v>1244.9633713280032</x:v>
      </x:c>
      <x:c r="W654" s="54" t="n">
        <x:f>V654-U654</x:f>
        <x:v>-61.48662867199687</x:v>
      </x:c>
      <x:c r="X654" s="58" t="n">
        <x:f>IF(R654="No","",W654*S654)</x:f>
        <x:v>-768890.2915433209</x:v>
      </x:c>
      <x:c r="Y654" s="58" t="n">
        <x:f>IF(R654="No","",W654*T654*Assumptions!$B$9)</x:f>
        <x:v>-192299.43117167018</x:v>
      </x:c>
      <x:c r="Z654" s="58" t="n">
        <x:f>IF(R654="No","",X654-Y654)</x:f>
        <x:v>-576590.8603716507</x:v>
      </x:c>
      <x:c r="AA654" s="58" t="n">
        <x:f>IF(R654="No","",MAX(0,-Z654))</x:f>
        <x:v>576590.8603716507</x:v>
      </x:c>
      <x:c r="AB654" s="52" t="n">
        <x:f>IF(OR(R654="No",U654*S654=0),"",AA654/(U654*S654))</x:f>
        <x:v>0.03529321849256551</x:v>
      </x:c>
      <x:c r="AC654" s="54" t="n">
        <x:f>IF(OR(R654="No",S654-T654*Assumptions!$B$9&lt;=0),"",AA654/(Assumptions!$B$8*(S654-T654*Assumptions!$B$9)))</x:f>
        <x:v>72.33721020234925</x:v>
      </x:c>
      <x:c r="AD654" s="52" t="n">
        <x:f>IF(OR(R654="No",U654*S654=0),"",AA654/(U654*S654))</x:f>
        <x:v>0.03529321849256551</x:v>
      </x:c>
      <x:c r="AE654" s="50" t="str">
        <x:f>IF(R654="No","No finance data",IF(AB654&gt;=10%,"Severe",IF(AB654&gt;=5%,"High",IF(AB654&gt;=2%,"Moderate","Low"))))</x:f>
        <x:v>Moderate</x:v>
      </x:c>
      <x:c r="AF654" s="60" t="n">
        <x:v>41.739072</x:v>
      </x:c>
      <x:c r="AG654" s="60" t="n">
        <x:v>-70.624084</x:v>
      </x:c>
      <x:c r="AH654" s="44" t="str">
        <x:v>Undergraduate tuition-contribution proxy only; not an audited total institutional budget.</x:v>
      </x:c>
    </x:row>
    <x:row r="655">
      <x:c r="A655" s="16" t="n">
        <x:v>166850</x:v>
      </x:c>
      <x:c r="B655" s="16" t="str">
        <x:v>Merrimack College</x:v>
      </x:c>
      <x:c r="C655" s="16" t="str">
        <x:v>MA</x:v>
      </x:c>
      <x:c r="D655" s="16" t="str">
        <x:v>Private nonprofit</x:v>
      </x:c>
      <x:c r="E655" s="34" t="n">
        <x:v>3129</x:v>
      </x:c>
      <x:c r="F655" s="21" t="n">
        <x:v>0.803</x:v>
      </x:c>
      <x:c r="G655" s="16" t="str">
        <x:v>Regional</x:v>
      </x:c>
      <x:c r="H655" s="36" t="n">
        <x:f>IF(G655="National",Assumptions!$B$11,IF(G655="Statewide",Assumptions!$B$12,Assumptions!$B$13))</x:f>
        <x:v>0.85</x:v>
      </x:c>
      <x:c r="I655" s="21" t="n">
        <x:v>-0.056426495016611344</x:v>
      </x:c>
      <x:c r="J655" s="21" t="n">
        <x:v>-0.047004775747508276</x:v>
      </x:c>
      <x:c r="K655" s="21" t="n">
        <x:v>-0.09852574750830567</x:v>
      </x:c>
      <x:c r="L655" s="36" t="n">
        <x:f>IF(Assumptions!$B$4=2030,I655,IF(Assumptions!$B$4=2035,J655,K655))</x:f>
        <x:v>-0.047004775747508276</x:v>
      </x:c>
      <x:c r="M655" s="36" t="n">
        <x:f>Assumptions!$B$19</x:f>
        <x:v>-0.04739891965741583</x:v>
      </x:c>
      <x:c r="N655" s="52" t="n">
        <x:f>H655*L655+(1-H655)*M655+O655</x:f>
        <x:v>-0.04706389733399441</x:v>
      </x:c>
      <x:c r="O655" s="36" t="n">
        <x:f>Assumptions!$B$10</x:f>
        <x:v>0</x:v>
      </x:c>
      <x:c r="P655" s="54" t="n">
        <x:f>E655*(1+N655)</x:f>
        <x:v>2981.7370652419313</x:v>
      </x:c>
      <x:c r="Q655" s="54" t="n">
        <x:f>P655-E655</x:f>
        <x:v>-147.2629347580687</x:v>
      </x:c>
      <x:c r="R655" s="16" t="str">
        <x:v>Yes</x:v>
      </x:c>
      <x:c r="S655" s="56" t="n">
        <x:v>19105</x:v>
      </x:c>
      <x:c r="T655" s="56" t="n">
        <x:v>8377</x:v>
      </x:c>
      <x:c r="U655" s="40" t="n">
        <x:f>E655*Assumptions!$B$8</x:f>
        <x:v>2659.65</x:v>
      </x:c>
      <x:c r="V655" s="40" t="n">
        <x:f>P655*Assumptions!$B$8</x:f>
        <x:v>2534.4765054556415</x:v>
      </x:c>
      <x:c r="W655" s="54" t="n">
        <x:f>V655-U655</x:f>
        <x:v>-125.17349454435862</x:v>
      </x:c>
      <x:c r="X655" s="58" t="n">
        <x:f>IF(R655="No","",W655*S655)</x:f>
        <x:v>-2391439.613269971</x:v>
      </x:c>
      <x:c r="Y655" s="58" t="n">
        <x:f>IF(R655="No","",W655*T655*Assumptions!$B$9)</x:f>
        <x:v>-314573.5091394276</x:v>
      </x:c>
      <x:c r="Z655" s="58" t="n">
        <x:f>IF(R655="No","",X655-Y655)</x:f>
        <x:v>-2076866.1041305435</x:v>
      </x:c>
      <x:c r="AA655" s="58" t="n">
        <x:f>IF(R655="No","",MAX(0,-Z655))</x:f>
        <x:v>2076866.1041305435</x:v>
      </x:c>
      <x:c r="AB655" s="52" t="n">
        <x:f>IF(OR(R655="No",U655*S655=0),"",AA655/(U655*S655))</x:f>
        <x:v>0.04087304256351239</x:v>
      </x:c>
      <x:c r="AC655" s="54" t="n">
        <x:f>IF(OR(R655="No",S655-T655*Assumptions!$B$9&lt;=0),"",AA655/(Assumptions!$B$8*(S655-T655*Assumptions!$B$9)))</x:f>
        <x:v>147.26293475806892</x:v>
      </x:c>
      <x:c r="AD655" s="52" t="n">
        <x:f>IF(OR(R655="No",U655*S655=0),"",AA655/(U655*S655))</x:f>
        <x:v>0.04087304256351239</x:v>
      </x:c>
      <x:c r="AE655" s="50" t="str">
        <x:f>IF(R655="No","No finance data",IF(AB655&gt;=10%,"Severe",IF(AB655&gt;=5%,"High",IF(AB655&gt;=2%,"Moderate","Low"))))</x:f>
        <x:v>Moderate</x:v>
      </x:c>
      <x:c r="AF655" s="60" t="n">
        <x:v>42.668344</x:v>
      </x:c>
      <x:c r="AG655" s="60" t="n">
        <x:v>-71.124216</x:v>
      </x:c>
      <x:c r="AH655" s="44" t="str">
        <x:v>Undergraduate tuition-contribution proxy only; not an audited total institutional budget.</x:v>
      </x:c>
    </x:row>
    <x:row r="656">
      <x:c r="A656" s="16" t="n">
        <x:v>166911</x:v>
      </x:c>
      <x:c r="B656" s="16" t="str">
        <x:v>Montserrat College of Art</x:v>
      </x:c>
      <x:c r="C656" s="16" t="str">
        <x:v>MA</x:v>
      </x:c>
      <x:c r="D656" s="16" t="str">
        <x:v>Private nonprofit</x:v>
      </x:c>
      <x:c r="E656" s="34" t="n">
        <x:v>358</x:v>
      </x:c>
      <x:c r="F656" s="21"/>
      <x:c r="G656" s="16" t="str">
        <x:v>Regional</x:v>
      </x:c>
      <x:c r="H656" s="36" t="n">
        <x:f>IF(G656="National",Assumptions!$B$11,IF(G656="Statewide",Assumptions!$B$12,Assumptions!$B$13))</x:f>
        <x:v>0.85</x:v>
      </x:c>
      <x:c r="I656" s="21" t="n">
        <x:v>-0.056426495016611344</x:v>
      </x:c>
      <x:c r="J656" s="21" t="n">
        <x:v>-0.047004775747508276</x:v>
      </x:c>
      <x:c r="K656" s="21" t="n">
        <x:v>-0.09852574750830567</x:v>
      </x:c>
      <x:c r="L656" s="36" t="n">
        <x:f>IF(Assumptions!$B$4=2030,I656,IF(Assumptions!$B$4=2035,J656,K656))</x:f>
        <x:v>-0.047004775747508276</x:v>
      </x:c>
      <x:c r="M656" s="36" t="n">
        <x:f>Assumptions!$B$19</x:f>
        <x:v>-0.04739891965741583</x:v>
      </x:c>
      <x:c r="N656" s="52" t="n">
        <x:f>H656*L656+(1-H656)*M656+O656</x:f>
        <x:v>-0.04706389733399441</x:v>
      </x:c>
      <x:c r="O656" s="36" t="n">
        <x:f>Assumptions!$B$10</x:f>
        <x:v>0</x:v>
      </x:c>
      <x:c r="P656" s="54" t="n">
        <x:f>E656*(1+N656)</x:f>
        <x:v>341.15112475443</x:v>
      </x:c>
      <x:c r="Q656" s="54" t="n">
        <x:f>P656-E656</x:f>
        <x:v>-16.848875245570014</x:v>
      </x:c>
      <x:c r="R656" s="16" t="str">
        <x:v>No</x:v>
      </x:c>
      <x:c r="S656" s="56"/>
      <x:c r="T656" s="56"/>
      <x:c r="U656" s="40" t="n">
        <x:f>E656*Assumptions!$B$8</x:f>
        <x:v>304.3</x:v>
      </x:c>
      <x:c r="V656" s="40" t="n">
        <x:f>P656*Assumptions!$B$8</x:f>
        <x:v>289.9784560412655</x:v>
      </x:c>
      <x:c r="W656" s="54" t="n">
        <x:f>V656-U656</x:f>
        <x:v>-14.321543958734537</x:v>
      </x:c>
      <x:c r="X656" s="58" t="str">
        <x:f>IF(R656="No","",W656*S656)</x:f>
      </x:c>
      <x:c r="Y656" s="58" t="str">
        <x:f>IF(R656="No","",W656*T656*Assumptions!$B$9)</x:f>
      </x:c>
      <x:c r="Z656" s="58" t="str">
        <x:f>IF(R656="No","",X656-Y656)</x:f>
      </x:c>
      <x:c r="AA656" s="58" t="str">
        <x:f>IF(R656="No","",MAX(0,-Z656))</x:f>
      </x:c>
      <x:c r="AB656" s="52" t="str">
        <x:f>IF(OR(R656="No",U656*S656=0),"",AA656/(U656*S656))</x:f>
      </x:c>
      <x:c r="AC656" s="54" t="str">
        <x:f>IF(OR(R656="No",S656-T656*Assumptions!$B$9&lt;=0),"",AA656/(Assumptions!$B$8*(S656-T656*Assumptions!$B$9)))</x:f>
      </x:c>
      <x:c r="AD656" s="52" t="str">
        <x:f>IF(OR(R656="No",U656*S656=0),"",AA656/(U656*S656))</x:f>
      </x:c>
      <x:c r="AE656" s="50" t="str">
        <x:f>IF(R656="No","No finance data",IF(AB656&gt;=10%,"Severe",IF(AB656&gt;=5%,"High",IF(AB656&gt;=2%,"Moderate","Low"))))</x:f>
        <x:v>No finance data</x:v>
      </x:c>
      <x:c r="AF656" s="60"/>
      <x:c r="AG656" s="60"/>
      <x:c r="AH656" s="44" t="str">
        <x:v>Undergraduate tuition-contribution proxy only; not an audited total institutional budget.</x:v>
      </x:c>
    </x:row>
    <x:row r="657">
      <x:c r="A657" s="16" t="n">
        <x:v>166939</x:v>
      </x:c>
      <x:c r="B657" s="16" t="str">
        <x:v>Mount Holyoke College</x:v>
      </x:c>
      <x:c r="C657" s="16" t="str">
        <x:v>MA</x:v>
      </x:c>
      <x:c r="D657" s="16" t="str">
        <x:v>Private nonprofit</x:v>
      </x:c>
      <x:c r="E657" s="34" t="n">
        <x:v>2099</x:v>
      </x:c>
      <x:c r="F657" s="21" t="n">
        <x:v>0.523</x:v>
      </x:c>
      <x:c r="G657" s="16" t="str">
        <x:v>Regional</x:v>
      </x:c>
      <x:c r="H657" s="36" t="n">
        <x:f>IF(G657="National",Assumptions!$B$11,IF(G657="Statewide",Assumptions!$B$12,Assumptions!$B$13))</x:f>
        <x:v>0.85</x:v>
      </x:c>
      <x:c r="I657" s="21" t="n">
        <x:v>-0.056426495016611344</x:v>
      </x:c>
      <x:c r="J657" s="21" t="n">
        <x:v>-0.047004775747508276</x:v>
      </x:c>
      <x:c r="K657" s="21" t="n">
        <x:v>-0.09852574750830567</x:v>
      </x:c>
      <x:c r="L657" s="36" t="n">
        <x:f>IF(Assumptions!$B$4=2030,I657,IF(Assumptions!$B$4=2035,J657,K657))</x:f>
        <x:v>-0.047004775747508276</x:v>
      </x:c>
      <x:c r="M657" s="36" t="n">
        <x:f>Assumptions!$B$19</x:f>
        <x:v>-0.04739891965741583</x:v>
      </x:c>
      <x:c r="N657" s="52" t="n">
        <x:f>H657*L657+(1-H657)*M657+O657</x:f>
        <x:v>-0.04706389733399441</x:v>
      </x:c>
      <x:c r="O657" s="36" t="n">
        <x:f>Assumptions!$B$10</x:f>
        <x:v>0</x:v>
      </x:c>
      <x:c r="P657" s="54" t="n">
        <x:f>E657*(1+N657)</x:f>
        <x:v>2000.2128794959458</x:v>
      </x:c>
      <x:c r="Q657" s="54" t="n">
        <x:f>P657-E657</x:f>
        <x:v>-98.7871205040542</x:v>
      </x:c>
      <x:c r="R657" s="16" t="str">
        <x:v>Yes</x:v>
      </x:c>
      <x:c r="S657" s="56" t="n">
        <x:v>25334</x:v>
      </x:c>
      <x:c r="T657" s="56" t="n">
        <x:v>23045</x:v>
      </x:c>
      <x:c r="U657" s="40" t="n">
        <x:f>E657*Assumptions!$B$8</x:f>
        <x:v>1784.1499999999999</x:v>
      </x:c>
      <x:c r="V657" s="40" t="n">
        <x:f>P657*Assumptions!$B$8</x:f>
        <x:v>1700.1809475715538</x:v>
      </x:c>
      <x:c r="W657" s="54" t="n">
        <x:f>V657-U657</x:f>
        <x:v>-83.96905242844605</x:v>
      </x:c>
      <x:c r="X657" s="58" t="n">
        <x:f>IF(R657="No","",W657*S657)</x:f>
        <x:v>-2127271.974222252</x:v>
      </x:c>
      <x:c r="Y657" s="58" t="n">
        <x:f>IF(R657="No","",W657*T657*Assumptions!$B$9)</x:f>
        <x:v>-580520.0439640617</x:v>
      </x:c>
      <x:c r="Z657" s="58" t="n">
        <x:f>IF(R657="No","",X657-Y657)</x:f>
        <x:v>-1546751.9302581905</x:v>
      </x:c>
      <x:c r="AA657" s="58" t="n">
        <x:f>IF(R657="No","",MAX(0,-Z657))</x:f>
        <x:v>1546751.9302581905</x:v>
      </x:c>
      <x:c r="AB657" s="52" t="n">
        <x:f>IF(OR(R657="No",U657*S657=0),"",AA657/(U657*S657))</x:f>
        <x:v>0.03422043581119615</x:v>
      </x:c>
      <x:c r="AC657" s="54" t="n">
        <x:f>IF(OR(R657="No",S657-T657*Assumptions!$B$9&lt;=0),"",AA657/(Assumptions!$B$8*(S657-T657*Assumptions!$B$9)))</x:f>
        <x:v>98.78712050405419</x:v>
      </x:c>
      <x:c r="AD657" s="52" t="n">
        <x:f>IF(OR(R657="No",U657*S657=0),"",AA657/(U657*S657))</x:f>
        <x:v>0.03422043581119615</x:v>
      </x:c>
      <x:c r="AE657" s="50" t="str">
        <x:f>IF(R657="No","No finance data",IF(AB657&gt;=10%,"Severe",IF(AB657&gt;=5%,"High",IF(AB657&gt;=2%,"Moderate","Low"))))</x:f>
        <x:v>Moderate</x:v>
      </x:c>
      <x:c r="AF657" s="60" t="n">
        <x:v>42.25489</x:v>
      </x:c>
      <x:c r="AG657" s="60" t="n">
        <x:v>-72.573916</x:v>
      </x:c>
      <x:c r="AH657" s="44" t="str">
        <x:v>Undergraduate tuition-contribution proxy only; not an audited total institutional budget.</x:v>
      </x:c>
    </x:row>
    <x:row r="658">
      <x:c r="A658" s="16" t="n">
        <x:v>166948</x:v>
      </x:c>
      <x:c r="B658" s="16" t="str">
        <x:v>Mount Ida College</x:v>
      </x:c>
      <x:c r="C658" s="16" t="str">
        <x:v>MA</x:v>
      </x:c>
      <x:c r="D658" s="16" t="str">
        <x:v>Private nonprofit</x:v>
      </x:c>
      <x:c r="E658" s="34" t="n">
        <x:v>1317</x:v>
      </x:c>
      <x:c r="F658" s="21"/>
      <x:c r="G658" s="16" t="str">
        <x:v>Regional</x:v>
      </x:c>
      <x:c r="H658" s="36" t="n">
        <x:f>IF(G658="National",Assumptions!$B$11,IF(G658="Statewide",Assumptions!$B$12,Assumptions!$B$13))</x:f>
        <x:v>0.85</x:v>
      </x:c>
      <x:c r="I658" s="21" t="n">
        <x:v>-0.056426495016611344</x:v>
      </x:c>
      <x:c r="J658" s="21" t="n">
        <x:v>-0.047004775747508276</x:v>
      </x:c>
      <x:c r="K658" s="21" t="n">
        <x:v>-0.09852574750830567</x:v>
      </x:c>
      <x:c r="L658" s="36" t="n">
        <x:f>IF(Assumptions!$B$4=2030,I658,IF(Assumptions!$B$4=2035,J658,K658))</x:f>
        <x:v>-0.047004775747508276</x:v>
      </x:c>
      <x:c r="M658" s="36" t="n">
        <x:f>Assumptions!$B$19</x:f>
        <x:v>-0.04739891965741583</x:v>
      </x:c>
      <x:c r="N658" s="52" t="n">
        <x:f>H658*L658+(1-H658)*M658+O658</x:f>
        <x:v>-0.04706389733399441</x:v>
      </x:c>
      <x:c r="O658" s="36" t="n">
        <x:f>Assumptions!$B$10</x:f>
        <x:v>0</x:v>
      </x:c>
      <x:c r="P658" s="54" t="n">
        <x:f>E658*(1+N658)</x:f>
        <x:v>1255.0168472111293</x:v>
      </x:c>
      <x:c r="Q658" s="54" t="n">
        <x:f>P658-E658</x:f>
        <x:v>-61.98315278887071</x:v>
      </x:c>
      <x:c r="R658" s="16" t="str">
        <x:v>No</x:v>
      </x:c>
      <x:c r="S658" s="56"/>
      <x:c r="T658" s="56"/>
      <x:c r="U658" s="40" t="n">
        <x:f>E658*Assumptions!$B$8</x:f>
        <x:v>1119.45</x:v>
      </x:c>
      <x:c r="V658" s="40" t="n">
        <x:f>P658*Assumptions!$B$8</x:f>
        <x:v>1066.76432012946</x:v>
      </x:c>
      <x:c r="W658" s="54" t="n">
        <x:f>V658-U658</x:f>
        <x:v>-52.68567987054007</x:v>
      </x:c>
      <x:c r="X658" s="58" t="str">
        <x:f>IF(R658="No","",W658*S658)</x:f>
      </x:c>
      <x:c r="Y658" s="58" t="str">
        <x:f>IF(R658="No","",W658*T658*Assumptions!$B$9)</x:f>
      </x:c>
      <x:c r="Z658" s="58" t="str">
        <x:f>IF(R658="No","",X658-Y658)</x:f>
      </x:c>
      <x:c r="AA658" s="58" t="str">
        <x:f>IF(R658="No","",MAX(0,-Z658))</x:f>
      </x:c>
      <x:c r="AB658" s="52" t="str">
        <x:f>IF(OR(R658="No",U658*S658=0),"",AA658/(U658*S658))</x:f>
      </x:c>
      <x:c r="AC658" s="54" t="str">
        <x:f>IF(OR(R658="No",S658-T658*Assumptions!$B$9&lt;=0),"",AA658/(Assumptions!$B$8*(S658-T658*Assumptions!$B$9)))</x:f>
      </x:c>
      <x:c r="AD658" s="52" t="str">
        <x:f>IF(OR(R658="No",U658*S658=0),"",AA658/(U658*S658))</x:f>
      </x:c>
      <x:c r="AE658" s="50" t="str">
        <x:f>IF(R658="No","No finance data",IF(AB658&gt;=10%,"Severe",IF(AB658&gt;=5%,"High",IF(AB658&gt;=2%,"Moderate","Low"))))</x:f>
        <x:v>No finance data</x:v>
      </x:c>
      <x:c r="AF658" s="60"/>
      <x:c r="AG658" s="60"/>
      <x:c r="AH658" s="44" t="str">
        <x:v>Undergraduate tuition-contribution proxy only; not an audited total institutional budget.</x:v>
      </x:c>
    </x:row>
    <x:row r="659">
      <x:c r="A659" s="16" t="n">
        <x:v>441478</x:v>
      </x:c>
      <x:c r="B659" s="16" t="str">
        <x:v>National Graduate School of Quality Management</x:v>
      </x:c>
      <x:c r="C659" s="16" t="str">
        <x:v>MA</x:v>
      </x:c>
      <x:c r="D659" s="16" t="str">
        <x:v>Private nonprofit</x:v>
      </x:c>
      <x:c r="E659" s="34" t="n">
        <x:v>73</x:v>
      </x:c>
      <x:c r="F659" s="21"/>
      <x:c r="G659" s="16" t="str">
        <x:v>Regional</x:v>
      </x:c>
      <x:c r="H659" s="36" t="n">
        <x:f>IF(G659="National",Assumptions!$B$11,IF(G659="Statewide",Assumptions!$B$12,Assumptions!$B$13))</x:f>
        <x:v>0.85</x:v>
      </x:c>
      <x:c r="I659" s="21" t="n">
        <x:v>-0.056426495016611344</x:v>
      </x:c>
      <x:c r="J659" s="21" t="n">
        <x:v>-0.047004775747508276</x:v>
      </x:c>
      <x:c r="K659" s="21" t="n">
        <x:v>-0.09852574750830567</x:v>
      </x:c>
      <x:c r="L659" s="36" t="n">
        <x:f>IF(Assumptions!$B$4=2030,I659,IF(Assumptions!$B$4=2035,J659,K659))</x:f>
        <x:v>-0.047004775747508276</x:v>
      </x:c>
      <x:c r="M659" s="36" t="n">
        <x:f>Assumptions!$B$19</x:f>
        <x:v>-0.04739891965741583</x:v>
      </x:c>
      <x:c r="N659" s="52" t="n">
        <x:f>H659*L659+(1-H659)*M659+O659</x:f>
        <x:v>-0.04706389733399441</x:v>
      </x:c>
      <x:c r="O659" s="36" t="n">
        <x:f>Assumptions!$B$10</x:f>
        <x:v>0</x:v>
      </x:c>
      <x:c r="P659" s="54" t="n">
        <x:f>E659*(1+N659)</x:f>
        <x:v>69.5643354946184</x:v>
      </x:c>
      <x:c r="Q659" s="54" t="n">
        <x:f>P659-E659</x:f>
        <x:v>-3.4356645053815953</x:v>
      </x:c>
      <x:c r="R659" s="16" t="str">
        <x:v>No</x:v>
      </x:c>
      <x:c r="S659" s="56"/>
      <x:c r="T659" s="56"/>
      <x:c r="U659" s="40" t="n">
        <x:f>E659*Assumptions!$B$8</x:f>
        <x:v>62.05</x:v>
      </x:c>
      <x:c r="V659" s="40" t="n">
        <x:f>P659*Assumptions!$B$8</x:f>
        <x:v>59.129685170425645</x:v>
      </x:c>
      <x:c r="W659" s="54" t="n">
        <x:f>V659-U659</x:f>
        <x:v>-2.9203148295743517</x:v>
      </x:c>
      <x:c r="X659" s="58" t="str">
        <x:f>IF(R659="No","",W659*S659)</x:f>
      </x:c>
      <x:c r="Y659" s="58" t="str">
        <x:f>IF(R659="No","",W659*T659*Assumptions!$B$9)</x:f>
      </x:c>
      <x:c r="Z659" s="58" t="str">
        <x:f>IF(R659="No","",X659-Y659)</x:f>
      </x:c>
      <x:c r="AA659" s="58" t="str">
        <x:f>IF(R659="No","",MAX(0,-Z659))</x:f>
      </x:c>
      <x:c r="AB659" s="52" t="str">
        <x:f>IF(OR(R659="No",U659*S659=0),"",AA659/(U659*S659))</x:f>
      </x:c>
      <x:c r="AC659" s="54" t="str">
        <x:f>IF(OR(R659="No",S659-T659*Assumptions!$B$9&lt;=0),"",AA659/(Assumptions!$B$8*(S659-T659*Assumptions!$B$9)))</x:f>
      </x:c>
      <x:c r="AD659" s="52" t="str">
        <x:f>IF(OR(R659="No",U659*S659=0),"",AA659/(U659*S659))</x:f>
      </x:c>
      <x:c r="AE659" s="50" t="str">
        <x:f>IF(R659="No","No finance data",IF(AB659&gt;=10%,"Severe",IF(AB659&gt;=5%,"High",IF(AB659&gt;=2%,"Moderate","Low"))))</x:f>
        <x:v>No finance data</x:v>
      </x:c>
      <x:c r="AF659" s="60"/>
      <x:c r="AG659" s="60"/>
      <x:c r="AH659" s="44" t="str">
        <x:v>Undergraduate tuition-contribution proxy only; not an audited total institutional budget.</x:v>
      </x:c>
    </x:row>
    <x:row r="660">
      <x:c r="A660" s="16" t="n">
        <x:v>167251</x:v>
      </x:c>
      <x:c r="B660" s="16" t="str">
        <x:v>Newbury College</x:v>
      </x:c>
      <x:c r="C660" s="16" t="str">
        <x:v>MA</x:v>
      </x:c>
      <x:c r="D660" s="16" t="str">
        <x:v>Private nonprofit</x:v>
      </x:c>
      <x:c r="E660" s="34" t="n">
        <x:v>861</x:v>
      </x:c>
      <x:c r="F660" s="21"/>
      <x:c r="G660" s="16" t="str">
        <x:v>Regional</x:v>
      </x:c>
      <x:c r="H660" s="36" t="n">
        <x:f>IF(G660="National",Assumptions!$B$11,IF(G660="Statewide",Assumptions!$B$12,Assumptions!$B$13))</x:f>
        <x:v>0.85</x:v>
      </x:c>
      <x:c r="I660" s="21" t="n">
        <x:v>-0.056426495016611344</x:v>
      </x:c>
      <x:c r="J660" s="21" t="n">
        <x:v>-0.047004775747508276</x:v>
      </x:c>
      <x:c r="K660" s="21" t="n">
        <x:v>-0.09852574750830567</x:v>
      </x:c>
      <x:c r="L660" s="36" t="n">
        <x:f>IF(Assumptions!$B$4=2030,I660,IF(Assumptions!$B$4=2035,J660,K660))</x:f>
        <x:v>-0.047004775747508276</x:v>
      </x:c>
      <x:c r="M660" s="36" t="n">
        <x:f>Assumptions!$B$19</x:f>
        <x:v>-0.04739891965741583</x:v>
      </x:c>
      <x:c r="N660" s="52" t="n">
        <x:f>H660*L660+(1-H660)*M660+O660</x:f>
        <x:v>-0.04706389733399441</x:v>
      </x:c>
      <x:c r="O660" s="36" t="n">
        <x:f>Assumptions!$B$10</x:f>
        <x:v>0</x:v>
      </x:c>
      <x:c r="P660" s="54" t="n">
        <x:f>E660*(1+N660)</x:f>
        <x:v>820.4779843954308</x:v>
      </x:c>
      <x:c r="Q660" s="54" t="n">
        <x:f>P660-E660</x:f>
        <x:v>-40.52201560456922</x:v>
      </x:c>
      <x:c r="R660" s="16" t="str">
        <x:v>No</x:v>
      </x:c>
      <x:c r="S660" s="56"/>
      <x:c r="T660" s="56"/>
      <x:c r="U660" s="40" t="n">
        <x:f>E660*Assumptions!$B$8</x:f>
        <x:v>731.85</x:v>
      </x:c>
      <x:c r="V660" s="40" t="n">
        <x:f>P660*Assumptions!$B$8</x:f>
        <x:v>697.4062867361162</x:v>
      </x:c>
      <x:c r="W660" s="54" t="n">
        <x:f>V660-U660</x:f>
        <x:v>-34.443713263883865</x:v>
      </x:c>
      <x:c r="X660" s="58" t="str">
        <x:f>IF(R660="No","",W660*S660)</x:f>
      </x:c>
      <x:c r="Y660" s="58" t="str">
        <x:f>IF(R660="No","",W660*T660*Assumptions!$B$9)</x:f>
      </x:c>
      <x:c r="Z660" s="58" t="str">
        <x:f>IF(R660="No","",X660-Y660)</x:f>
      </x:c>
      <x:c r="AA660" s="58" t="str">
        <x:f>IF(R660="No","",MAX(0,-Z660))</x:f>
      </x:c>
      <x:c r="AB660" s="52" t="str">
        <x:f>IF(OR(R660="No",U660*S660=0),"",AA660/(U660*S660))</x:f>
      </x:c>
      <x:c r="AC660" s="54" t="str">
        <x:f>IF(OR(R660="No",S660-T660*Assumptions!$B$9&lt;=0),"",AA660/(Assumptions!$B$8*(S660-T660*Assumptions!$B$9)))</x:f>
      </x:c>
      <x:c r="AD660" s="52" t="str">
        <x:f>IF(OR(R660="No",U660*S660=0),"",AA660/(U660*S660))</x:f>
      </x:c>
      <x:c r="AE660" s="50" t="str">
        <x:f>IF(R660="No","No finance data",IF(AB660&gt;=10%,"Severe",IF(AB660&gt;=5%,"High",IF(AB660&gt;=2%,"Moderate","Low"))))</x:f>
        <x:v>No finance data</x:v>
      </x:c>
      <x:c r="AF660" s="60"/>
      <x:c r="AG660" s="60"/>
      <x:c r="AH660" s="44" t="str">
        <x:v>Undergraduate tuition-contribution proxy only; not an audited total institutional budget.</x:v>
      </x:c>
    </x:row>
    <x:row r="661">
      <x:c r="A661" s="16" t="n">
        <x:v>167260</x:v>
      </x:c>
      <x:c r="B661" s="16" t="str">
        <x:v>Nichols College</x:v>
      </x:c>
      <x:c r="C661" s="16" t="str">
        <x:v>MA</x:v>
      </x:c>
      <x:c r="D661" s="16" t="str">
        <x:v>Private nonprofit</x:v>
      </x:c>
      <x:c r="E661" s="34" t="n">
        <x:v>1256</x:v>
      </x:c>
      <x:c r="F661" s="21" t="n">
        <x:v>0.8477</x:v>
      </x:c>
      <x:c r="G661" s="16" t="str">
        <x:v>Regional</x:v>
      </x:c>
      <x:c r="H661" s="36" t="n">
        <x:f>IF(G661="National",Assumptions!$B$11,IF(G661="Statewide",Assumptions!$B$12,Assumptions!$B$13))</x:f>
        <x:v>0.85</x:v>
      </x:c>
      <x:c r="I661" s="21" t="n">
        <x:v>-0.056426495016611344</x:v>
      </x:c>
      <x:c r="J661" s="21" t="n">
        <x:v>-0.047004775747508276</x:v>
      </x:c>
      <x:c r="K661" s="21" t="n">
        <x:v>-0.09852574750830567</x:v>
      </x:c>
      <x:c r="L661" s="36" t="n">
        <x:f>IF(Assumptions!$B$4=2030,I661,IF(Assumptions!$B$4=2035,J661,K661))</x:f>
        <x:v>-0.047004775747508276</x:v>
      </x:c>
      <x:c r="M661" s="36" t="n">
        <x:f>Assumptions!$B$19</x:f>
        <x:v>-0.04739891965741583</x:v>
      </x:c>
      <x:c r="N661" s="52" t="n">
        <x:f>H661*L661+(1-H661)*M661+O661</x:f>
        <x:v>-0.04706389733399441</x:v>
      </x:c>
      <x:c r="O661" s="36" t="n">
        <x:f>Assumptions!$B$10</x:f>
        <x:v>0</x:v>
      </x:c>
      <x:c r="P661" s="54" t="n">
        <x:f>E661*(1+N661)</x:f>
        <x:v>1196.887744948503</x:v>
      </x:c>
      <x:c r="Q661" s="54" t="n">
        <x:f>P661-E661</x:f>
        <x:v>-59.11225505149696</x:v>
      </x:c>
      <x:c r="R661" s="16" t="str">
        <x:v>Yes</x:v>
      </x:c>
      <x:c r="S661" s="56" t="n">
        <x:v>15294</x:v>
      </x:c>
      <x:c r="T661" s="56" t="n">
        <x:v>5074</x:v>
      </x:c>
      <x:c r="U661" s="40" t="n">
        <x:f>E661*Assumptions!$B$8</x:f>
        <x:v>1067.6</x:v>
      </x:c>
      <x:c r="V661" s="40" t="n">
        <x:f>P661*Assumptions!$B$8</x:f>
        <x:v>1017.3545832062275</x:v>
      </x:c>
      <x:c r="W661" s="54" t="n">
        <x:f>V661-U661</x:f>
        <x:v>-50.24541679377239</x:v>
      </x:c>
      <x:c r="X661" s="58" t="n">
        <x:f>IF(R661="No","",W661*S661)</x:f>
        <x:v>-768453.4044439549</x:v>
      </x:c>
      <x:c r="Y661" s="58" t="n">
        <x:f>IF(R661="No","",W661*T661*Assumptions!$B$9)</x:f>
        <x:v>-76483.57344348033</x:v>
      </x:c>
      <x:c r="Z661" s="58" t="n">
        <x:f>IF(R661="No","",X661-Y661)</x:f>
        <x:v>-691969.8310004746</x:v>
      </x:c>
      <x:c r="AA661" s="58" t="n">
        <x:f>IF(R661="No","",MAX(0,-Z661))</x:f>
        <x:v>691969.8310004746</x:v>
      </x:c>
      <x:c r="AB661" s="52" t="n">
        <x:f>IF(OR(R661="No",U661*S661=0),"",AA661/(U661*S661))</x:f>
        <x:v>0.042379664005773754</x:v>
      </x:c>
      <x:c r="AC661" s="54" t="n">
        <x:f>IF(OR(R661="No",S661-T661*Assumptions!$B$9&lt;=0),"",AA661/(Assumptions!$B$8*(S661-T661*Assumptions!$B$9)))</x:f>
        <x:v>59.11225505149694</x:v>
      </x:c>
      <x:c r="AD661" s="52" t="n">
        <x:f>IF(OR(R661="No",U661*S661=0),"",AA661/(U661*S661))</x:f>
        <x:v>0.042379664005773754</x:v>
      </x:c>
      <x:c r="AE661" s="50" t="str">
        <x:f>IF(R661="No","No finance data",IF(AB661&gt;=10%,"Severe",IF(AB661&gt;=5%,"High",IF(AB661&gt;=2%,"Moderate","Low"))))</x:f>
        <x:v>Moderate</x:v>
      </x:c>
      <x:c r="AF661" s="60" t="n">
        <x:v>42.044033</x:v>
      </x:c>
      <x:c r="AG661" s="60" t="n">
        <x:v>-71.930283</x:v>
      </x:c>
      <x:c r="AH661" s="44" t="str">
        <x:v>Undergraduate tuition-contribution proxy only; not an audited total institutional budget.</x:v>
      </x:c>
    </x:row>
    <x:row r="662">
      <x:c r="A662" s="16" t="n">
        <x:v>167358</x:v>
      </x:c>
      <x:c r="B662" s="16" t="str">
        <x:v>Northeastern University</x:v>
      </x:c>
      <x:c r="C662" s="16" t="str">
        <x:v>MA</x:v>
      </x:c>
      <x:c r="D662" s="16" t="str">
        <x:v>Private nonprofit</x:v>
      </x:c>
      <x:c r="E662" s="34" t="n">
        <x:v>13620</x:v>
      </x:c>
      <x:c r="F662" s="21" t="n">
        <x:v>0.1838</x:v>
      </x:c>
      <x:c r="G662" s="16" t="str">
        <x:v>National</x:v>
      </x:c>
      <x:c r="H662" s="36" t="n">
        <x:f>IF(G662="National",Assumptions!$B$11,IF(G662="Statewide",Assumptions!$B$12,Assumptions!$B$13))</x:f>
        <x:v>0.25</x:v>
      </x:c>
      <x:c r="I662" s="21" t="n">
        <x:v>-0.056426495016611344</x:v>
      </x:c>
      <x:c r="J662" s="21" t="n">
        <x:v>-0.047004775747508276</x:v>
      </x:c>
      <x:c r="K662" s="21" t="n">
        <x:v>-0.09852574750830567</x:v>
      </x:c>
      <x:c r="L662" s="36" t="n">
        <x:f>IF(Assumptions!$B$4=2030,I662,IF(Assumptions!$B$4=2035,J662,K662))</x:f>
        <x:v>-0.047004775747508276</x:v>
      </x:c>
      <x:c r="M662" s="36" t="n">
        <x:f>Assumptions!$B$19</x:f>
        <x:v>-0.04739891965741583</x:v>
      </x:c>
      <x:c r="N662" s="52" t="n">
        <x:f>H662*L662+(1-H662)*M662+O662</x:f>
        <x:v>-0.04730038367993894</x:v>
      </x:c>
      <x:c r="O662" s="36" t="n">
        <x:f>Assumptions!$B$10</x:f>
        <x:v>0</x:v>
      </x:c>
      <x:c r="P662" s="54" t="n">
        <x:f>E662*(1+N662)</x:f>
        <x:v>12975.768774279231</x:v>
      </x:c>
      <x:c r="Q662" s="54" t="n">
        <x:f>P662-E662</x:f>
        <x:v>-644.2312257207686</x:v>
      </x:c>
      <x:c r="R662" s="16" t="str">
        <x:v>Yes</x:v>
      </x:c>
      <x:c r="S662" s="56" t="n">
        <x:v>41791</x:v>
      </x:c>
      <x:c r="T662" s="56" t="n">
        <x:v>17088</x:v>
      </x:c>
      <x:c r="U662" s="40" t="n">
        <x:f>E662*Assumptions!$B$8</x:f>
        <x:v>11577</x:v>
      </x:c>
      <x:c r="V662" s="40" t="n">
        <x:f>P662*Assumptions!$B$8</x:f>
        <x:v>11029.403458137347</x:v>
      </x:c>
      <x:c r="W662" s="54" t="n">
        <x:f>V662-U662</x:f>
        <x:v>-547.5965418626529</x:v>
      </x:c>
      <x:c r="X662" s="58" t="n">
        <x:f>IF(R662="No","",W662*S662)</x:f>
        <x:v>-22884607.080982126</x:v>
      </x:c>
      <x:c r="Y662" s="58" t="n">
        <x:f>IF(R662="No","",W662*T662*Assumptions!$B$9)</x:f>
        <x:v>-2807198.9122047033</x:v>
      </x:c>
      <x:c r="Z662" s="58" t="n">
        <x:f>IF(R662="No","",X662-Y662)</x:f>
        <x:v>-20077408.16877742</x:v>
      </x:c>
      <x:c r="AA662" s="58" t="n">
        <x:f>IF(R662="No","",MAX(0,-Z662))</x:f>
        <x:v>20077408.16877742</x:v>
      </x:c>
      <x:c r="AB662" s="52" t="n">
        <x:f>IF(OR(R662="No",U662*S662=0),"",AA662/(U662*S662))</x:f>
        <x:v>0.04149816102681172</x:v>
      </x:c>
      <x:c r="AC662" s="54" t="n">
        <x:f>IF(OR(R662="No",S662-T662*Assumptions!$B$9&lt;=0),"",AA662/(Assumptions!$B$8*(S662-T662*Assumptions!$B$9)))</x:f>
        <x:v>644.2312257207681</x:v>
      </x:c>
      <x:c r="AD662" s="52" t="n">
        <x:f>IF(OR(R662="No",U662*S662=0),"",AA662/(U662*S662))</x:f>
        <x:v>0.04149816102681172</x:v>
      </x:c>
      <x:c r="AE662" s="50" t="str">
        <x:f>IF(R662="No","No finance data",IF(AB662&gt;=10%,"Severe",IF(AB662&gt;=5%,"High",IF(AB662&gt;=2%,"Moderate","Low"))))</x:f>
        <x:v>Moderate</x:v>
      </x:c>
      <x:c r="AF662" s="60" t="n">
        <x:v>42.339992</x:v>
      </x:c>
      <x:c r="AG662" s="60" t="n">
        <x:v>-71.088782</x:v>
      </x:c>
      <x:c r="AH662" s="44" t="str">
        <x:v>Undergraduate tuition-contribution proxy only; not an audited total institutional budget.</x:v>
      </x:c>
    </x:row>
    <x:row r="663">
      <x:c r="A663" s="16" t="n">
        <x:v>482705</x:v>
      </x:c>
      <x:c r="B663" s="16" t="str">
        <x:v>Northeastern University Professional Advancement Network</x:v>
      </x:c>
      <x:c r="C663" s="16" t="str">
        <x:v>MA</x:v>
      </x:c>
      <x:c r="D663" s="16" t="str">
        <x:v>Private nonprofit</x:v>
      </x:c>
      <x:c r="E663" s="34" t="n">
        <x:v>2051</x:v>
      </x:c>
      <x:c r="F663" s="21"/>
      <x:c r="G663" s="16" t="str">
        <x:v>Regional</x:v>
      </x:c>
      <x:c r="H663" s="36" t="n">
        <x:f>IF(G663="National",Assumptions!$B$11,IF(G663="Statewide",Assumptions!$B$12,Assumptions!$B$13))</x:f>
        <x:v>0.85</x:v>
      </x:c>
      <x:c r="I663" s="21" t="n">
        <x:v>-0.056426495016611344</x:v>
      </x:c>
      <x:c r="J663" s="21" t="n">
        <x:v>-0.047004775747508276</x:v>
      </x:c>
      <x:c r="K663" s="21" t="n">
        <x:v>-0.09852574750830567</x:v>
      </x:c>
      <x:c r="L663" s="36" t="n">
        <x:f>IF(Assumptions!$B$4=2030,I663,IF(Assumptions!$B$4=2035,J663,K663))</x:f>
        <x:v>-0.047004775747508276</x:v>
      </x:c>
      <x:c r="M663" s="36" t="n">
        <x:f>Assumptions!$B$19</x:f>
        <x:v>-0.04739891965741583</x:v>
      </x:c>
      <x:c r="N663" s="52" t="n">
        <x:f>H663*L663+(1-H663)*M663+O663</x:f>
        <x:v>-0.04706389733399441</x:v>
      </x:c>
      <x:c r="O663" s="36" t="n">
        <x:f>Assumptions!$B$10</x:f>
        <x:v>0</x:v>
      </x:c>
      <x:c r="P663" s="54" t="n">
        <x:f>E663*(1+N663)</x:f>
        <x:v>1954.4719465679775</x:v>
      </x:c>
      <x:c r="Q663" s="54" t="n">
        <x:f>P663-E663</x:f>
        <x:v>-96.52805343202249</x:v>
      </x:c>
      <x:c r="R663" s="16" t="str">
        <x:v>Yes</x:v>
      </x:c>
      <x:c r="S663" s="56" t="n">
        <x:v>11210</x:v>
      </x:c>
      <x:c r="T663" s="56" t="n">
        <x:v>4584</x:v>
      </x:c>
      <x:c r="U663" s="40" t="n">
        <x:f>E663*Assumptions!$B$8</x:f>
        <x:v>1743.35</x:v>
      </x:c>
      <x:c r="V663" s="40" t="n">
        <x:f>P663*Assumptions!$B$8</x:f>
        <x:v>1661.3011545827808</x:v>
      </x:c>
      <x:c r="W663" s="54" t="n">
        <x:f>V663-U663</x:f>
        <x:v>-82.04884541721913</x:v>
      </x:c>
      <x:c r="X663" s="58" t="n">
        <x:f>IF(R663="No","",W663*S663)</x:f>
        <x:v>-919767.5571270264</x:v>
      </x:c>
      <x:c r="Y663" s="58" t="n">
        <x:f>IF(R663="No","",W663*T663*Assumptions!$B$9)</x:f>
        <x:v>-112833.57221775973</x:v>
      </x:c>
      <x:c r="Z663" s="58" t="n">
        <x:f>IF(R663="No","",X663-Y663)</x:f>
        <x:v>-806933.9849092667</x:v>
      </x:c>
      <x:c r="AA663" s="58" t="n">
        <x:f>IF(R663="No","",MAX(0,-Z663))</x:f>
        <x:v>806933.9849092667</x:v>
      </x:c>
      <x:c r="AB663" s="52" t="n">
        <x:f>IF(OR(R663="No",U663*S663=0),"",AA663/(U663*S663))</x:f>
        <x:v>0.04129027809994363</x:v>
      </x:c>
      <x:c r="AC663" s="54" t="n">
        <x:f>IF(OR(R663="No",S663-T663*Assumptions!$B$9&lt;=0),"",AA663/(Assumptions!$B$8*(S663-T663*Assumptions!$B$9)))</x:f>
        <x:v>96.5280534320225</x:v>
      </x:c>
      <x:c r="AD663" s="52" t="n">
        <x:f>IF(OR(R663="No",U663*S663=0),"",AA663/(U663*S663))</x:f>
        <x:v>0.04129027809994363</x:v>
      </x:c>
      <x:c r="AE663" s="50" t="str">
        <x:f>IF(R663="No","No finance data",IF(AB663&gt;=10%,"Severe",IF(AB663&gt;=5%,"High",IF(AB663&gt;=2%,"Moderate","Low"))))</x:f>
        <x:v>Moderate</x:v>
      </x:c>
      <x:c r="AF663" s="60" t="n">
        <x:v>42.339992</x:v>
      </x:c>
      <x:c r="AG663" s="60" t="n">
        <x:v>-71.088782</x:v>
      </x:c>
      <x:c r="AH663" s="44" t="str">
        <x:v>Undergraduate tuition-contribution proxy only; not an audited total institutional budget.</x:v>
      </x:c>
    </x:row>
    <x:row r="664">
      <x:c r="A664" s="16" t="n">
        <x:v>217606</x:v>
      </x:c>
      <x:c r="B664" s="16" t="str">
        <x:v>Northpoint Bible College</x:v>
      </x:c>
      <x:c r="C664" s="16" t="str">
        <x:v>MA</x:v>
      </x:c>
      <x:c r="D664" s="16" t="str">
        <x:v>Private nonprofit</x:v>
      </x:c>
      <x:c r="E664" s="34" t="n">
        <x:v>301</x:v>
      </x:c>
      <x:c r="F664" s="21"/>
      <x:c r="G664" s="16" t="str">
        <x:v>Regional</x:v>
      </x:c>
      <x:c r="H664" s="36" t="n">
        <x:f>IF(G664="National",Assumptions!$B$11,IF(G664="Statewide",Assumptions!$B$12,Assumptions!$B$13))</x:f>
        <x:v>0.85</x:v>
      </x:c>
      <x:c r="I664" s="21" t="n">
        <x:v>-0.056426495016611344</x:v>
      </x:c>
      <x:c r="J664" s="21" t="n">
        <x:v>-0.047004775747508276</x:v>
      </x:c>
      <x:c r="K664" s="21" t="n">
        <x:v>-0.09852574750830567</x:v>
      </x:c>
      <x:c r="L664" s="36" t="n">
        <x:f>IF(Assumptions!$B$4=2030,I664,IF(Assumptions!$B$4=2035,J664,K664))</x:f>
        <x:v>-0.047004775747508276</x:v>
      </x:c>
      <x:c r="M664" s="36" t="n">
        <x:f>Assumptions!$B$19</x:f>
        <x:v>-0.04739891965741583</x:v>
      </x:c>
      <x:c r="N664" s="52" t="n">
        <x:f>H664*L664+(1-H664)*M664+O664</x:f>
        <x:v>-0.04706389733399441</x:v>
      </x:c>
      <x:c r="O664" s="36" t="n">
        <x:f>Assumptions!$B$10</x:f>
        <x:v>0</x:v>
      </x:c>
      <x:c r="P664" s="54" t="n">
        <x:f>E664*(1+N664)</x:f>
        <x:v>286.8337669024677</x:v>
      </x:c>
      <x:c r="Q664" s="54" t="n">
        <x:f>P664-E664</x:f>
        <x:v>-14.166233097532313</x:v>
      </x:c>
      <x:c r="R664" s="16" t="str">
        <x:v>No</x:v>
      </x:c>
      <x:c r="S664" s="56"/>
      <x:c r="T664" s="56"/>
      <x:c r="U664" s="40" t="n">
        <x:f>E664*Assumptions!$B$8</x:f>
        <x:v>255.85</x:v>
      </x:c>
      <x:c r="V664" s="40" t="n">
        <x:f>P664*Assumptions!$B$8</x:f>
        <x:v>243.80870186709754</x:v>
      </x:c>
      <x:c r="W664" s="54" t="n">
        <x:f>V664-U664</x:f>
        <x:v>-12.041298132902455</x:v>
      </x:c>
      <x:c r="X664" s="58" t="str">
        <x:f>IF(R664="No","",W664*S664)</x:f>
      </x:c>
      <x:c r="Y664" s="58" t="str">
        <x:f>IF(R664="No","",W664*T664*Assumptions!$B$9)</x:f>
      </x:c>
      <x:c r="Z664" s="58" t="str">
        <x:f>IF(R664="No","",X664-Y664)</x:f>
      </x:c>
      <x:c r="AA664" s="58" t="str">
        <x:f>IF(R664="No","",MAX(0,-Z664))</x:f>
      </x:c>
      <x:c r="AB664" s="52" t="str">
        <x:f>IF(OR(R664="No",U664*S664=0),"",AA664/(U664*S664))</x:f>
      </x:c>
      <x:c r="AC664" s="54" t="str">
        <x:f>IF(OR(R664="No",S664-T664*Assumptions!$B$9&lt;=0),"",AA664/(Assumptions!$B$8*(S664-T664*Assumptions!$B$9)))</x:f>
      </x:c>
      <x:c r="AD664" s="52" t="str">
        <x:f>IF(OR(R664="No",U664*S664=0),"",AA664/(U664*S664))</x:f>
      </x:c>
      <x:c r="AE664" s="50" t="str">
        <x:f>IF(R664="No","No finance data",IF(AB664&gt;=10%,"Severe",IF(AB664&gt;=5%,"High",IF(AB664&gt;=2%,"Moderate","Low"))))</x:f>
        <x:v>No finance data</x:v>
      </x:c>
      <x:c r="AF664" s="60"/>
      <x:c r="AG664" s="60"/>
      <x:c r="AH664" s="44" t="str">
        <x:v>Undergraduate tuition-contribution proxy only; not an audited total institutional budget.</x:v>
      </x:c>
    </x:row>
    <x:row r="665">
      <x:c r="A665" s="16" t="n">
        <x:v>167455</x:v>
      </x:c>
      <x:c r="B665" s="16" t="str">
        <x:v>Pine Manor College</x:v>
      </x:c>
      <x:c r="C665" s="16" t="str">
        <x:v>MA</x:v>
      </x:c>
      <x:c r="D665" s="16" t="str">
        <x:v>Private nonprofit</x:v>
      </x:c>
      <x:c r="E665" s="34" t="n">
        <x:v>448</x:v>
      </x:c>
      <x:c r="F665" s="21"/>
      <x:c r="G665" s="16" t="str">
        <x:v>Regional</x:v>
      </x:c>
      <x:c r="H665" s="36" t="n">
        <x:f>IF(G665="National",Assumptions!$B$11,IF(G665="Statewide",Assumptions!$B$12,Assumptions!$B$13))</x:f>
        <x:v>0.85</x:v>
      </x:c>
      <x:c r="I665" s="21" t="n">
        <x:v>-0.056426495016611344</x:v>
      </x:c>
      <x:c r="J665" s="21" t="n">
        <x:v>-0.047004775747508276</x:v>
      </x:c>
      <x:c r="K665" s="21" t="n">
        <x:v>-0.09852574750830567</x:v>
      </x:c>
      <x:c r="L665" s="36" t="n">
        <x:f>IF(Assumptions!$B$4=2030,I665,IF(Assumptions!$B$4=2035,J665,K665))</x:f>
        <x:v>-0.047004775747508276</x:v>
      </x:c>
      <x:c r="M665" s="36" t="n">
        <x:f>Assumptions!$B$19</x:f>
        <x:v>-0.04739891965741583</x:v>
      </x:c>
      <x:c r="N665" s="52" t="n">
        <x:f>H665*L665+(1-H665)*M665+O665</x:f>
        <x:v>-0.04706389733399441</x:v>
      </x:c>
      <x:c r="O665" s="36" t="n">
        <x:f>Assumptions!$B$10</x:f>
        <x:v>0</x:v>
      </x:c>
      <x:c r="P665" s="54" t="n">
        <x:f>E665*(1+N665)</x:f>
        <x:v>426.9153739943705</x:v>
      </x:c>
      <x:c r="Q665" s="54" t="n">
        <x:f>P665-E665</x:f>
        <x:v>-21.084626005629502</x:v>
      </x:c>
      <x:c r="R665" s="16" t="str">
        <x:v>No</x:v>
      </x:c>
      <x:c r="S665" s="56"/>
      <x:c r="T665" s="56"/>
      <x:c r="U665" s="40" t="n">
        <x:f>E665*Assumptions!$B$8</x:f>
        <x:v>380.8</x:v>
      </x:c>
      <x:c r="V665" s="40" t="n">
        <x:f>P665*Assumptions!$B$8</x:f>
        <x:v>362.87806789521494</x:v>
      </x:c>
      <x:c r="W665" s="54" t="n">
        <x:f>V665-U665</x:f>
        <x:v>-17.92193210478507</x:v>
      </x:c>
      <x:c r="X665" s="58" t="str">
        <x:f>IF(R665="No","",W665*S665)</x:f>
      </x:c>
      <x:c r="Y665" s="58" t="str">
        <x:f>IF(R665="No","",W665*T665*Assumptions!$B$9)</x:f>
      </x:c>
      <x:c r="Z665" s="58" t="str">
        <x:f>IF(R665="No","",X665-Y665)</x:f>
      </x:c>
      <x:c r="AA665" s="58" t="str">
        <x:f>IF(R665="No","",MAX(0,-Z665))</x:f>
      </x:c>
      <x:c r="AB665" s="52" t="str">
        <x:f>IF(OR(R665="No",U665*S665=0),"",AA665/(U665*S665))</x:f>
      </x:c>
      <x:c r="AC665" s="54" t="str">
        <x:f>IF(OR(R665="No",S665-T665*Assumptions!$B$9&lt;=0),"",AA665/(Assumptions!$B$8*(S665-T665*Assumptions!$B$9)))</x:f>
      </x:c>
      <x:c r="AD665" s="52" t="str">
        <x:f>IF(OR(R665="No",U665*S665=0),"",AA665/(U665*S665))</x:f>
      </x:c>
      <x:c r="AE665" s="50" t="str">
        <x:f>IF(R665="No","No finance data",IF(AB665&gt;=10%,"Severe",IF(AB665&gt;=5%,"High",IF(AB665&gt;=2%,"Moderate","Low"))))</x:f>
        <x:v>No finance data</x:v>
      </x:c>
      <x:c r="AF665" s="60"/>
      <x:c r="AG665" s="60"/>
      <x:c r="AH665" s="44" t="str">
        <x:v>Undergraduate tuition-contribution proxy only; not an audited total institutional budget.</x:v>
      </x:c>
    </x:row>
    <x:row r="666">
      <x:c r="A666" s="16" t="n">
        <x:v>167598</x:v>
      </x:c>
      <x:c r="B666" s="16" t="str">
        <x:v>Regis College</x:v>
      </x:c>
      <x:c r="C666" s="16" t="str">
        <x:v>MA</x:v>
      </x:c>
      <x:c r="D666" s="16" t="str">
        <x:v>Private nonprofit</x:v>
      </x:c>
      <x:c r="E666" s="34" t="n">
        <x:v>1235</x:v>
      </x:c>
      <x:c r="F666" s="21" t="n">
        <x:v>0.8906</x:v>
      </x:c>
      <x:c r="G666" s="16" t="str">
        <x:v>Regional</x:v>
      </x:c>
      <x:c r="H666" s="36" t="n">
        <x:f>IF(G666="National",Assumptions!$B$11,IF(G666="Statewide",Assumptions!$B$12,Assumptions!$B$13))</x:f>
        <x:v>0.85</x:v>
      </x:c>
      <x:c r="I666" s="21" t="n">
        <x:v>-0.056426495016611344</x:v>
      </x:c>
      <x:c r="J666" s="21" t="n">
        <x:v>-0.047004775747508276</x:v>
      </x:c>
      <x:c r="K666" s="21" t="n">
        <x:v>-0.09852574750830567</x:v>
      </x:c>
      <x:c r="L666" s="36" t="n">
        <x:f>IF(Assumptions!$B$4=2030,I666,IF(Assumptions!$B$4=2035,J666,K666))</x:f>
        <x:v>-0.047004775747508276</x:v>
      </x:c>
      <x:c r="M666" s="36" t="n">
        <x:f>Assumptions!$B$19</x:f>
        <x:v>-0.04739891965741583</x:v>
      </x:c>
      <x:c r="N666" s="52" t="n">
        <x:f>H666*L666+(1-H666)*M666+O666</x:f>
        <x:v>-0.04706389733399441</x:v>
      </x:c>
      <x:c r="O666" s="36" t="n">
        <x:f>Assumptions!$B$10</x:f>
        <x:v>0</x:v>
      </x:c>
      <x:c r="P666" s="54" t="n">
        <x:f>E666*(1+N666)</x:f>
        <x:v>1176.8760867925168</x:v>
      </x:c>
      <x:c r="Q666" s="54" t="n">
        <x:f>P666-E666</x:f>
        <x:v>-58.123913207483156</x:v>
      </x:c>
      <x:c r="R666" s="16" t="str">
        <x:v>Yes</x:v>
      </x:c>
      <x:c r="S666" s="56" t="n">
        <x:v>21605</x:v>
      </x:c>
      <x:c r="T666" s="56" t="n">
        <x:v>8498</x:v>
      </x:c>
      <x:c r="U666" s="40" t="n">
        <x:f>E666*Assumptions!$B$8</x:f>
        <x:v>1049.75</x:v>
      </x:c>
      <x:c r="V666" s="40" t="n">
        <x:f>P666*Assumptions!$B$8</x:f>
        <x:v>1000.3446737736393</x:v>
      </x:c>
      <x:c r="W666" s="54" t="n">
        <x:f>V666-U666</x:f>
        <x:v>-49.40532622636067</x:v>
      </x:c>
      <x:c r="X666" s="58" t="n">
        <x:f>IF(R666="No","",W666*S666)</x:f>
        <x:v>-1067402.0731205223</x:v>
      </x:c>
      <x:c r="Y666" s="58" t="n">
        <x:f>IF(R666="No","",W666*T666*Assumptions!$B$9)</x:f>
        <x:v>-125953.9386814839</x:v>
      </x:c>
      <x:c r="Z666" s="58" t="n">
        <x:f>IF(R666="No","",X666-Y666)</x:f>
        <x:v>-941448.1344390385</x:v>
      </x:c>
      <x:c r="AA666" s="58" t="n">
        <x:f>IF(R666="No","",MAX(0,-Z666))</x:f>
        <x:v>941448.1344390385</x:v>
      </x:c>
      <x:c r="AB666" s="52" t="n">
        <x:f>IF(OR(R666="No",U666*S666=0),"",AA666/(U666*S666))</x:f>
        <x:v>0.04151033566478429</x:v>
      </x:c>
      <x:c r="AC666" s="54" t="n">
        <x:f>IF(OR(R666="No",S666-T666*Assumptions!$B$9&lt;=0),"",AA666/(Assumptions!$B$8*(S666-T666*Assumptions!$B$9)))</x:f>
        <x:v>58.12391320748315</x:v>
      </x:c>
      <x:c r="AD666" s="52" t="n">
        <x:f>IF(OR(R666="No",U666*S666=0),"",AA666/(U666*S666))</x:f>
        <x:v>0.04151033566478429</x:v>
      </x:c>
      <x:c r="AE666" s="50" t="str">
        <x:f>IF(R666="No","No finance data",IF(AB666&gt;=10%,"Severe",IF(AB666&gt;=5%,"High",IF(AB666&gt;=2%,"Moderate","Low"))))</x:f>
        <x:v>Moderate</x:v>
      </x:c>
      <x:c r="AF666" s="60" t="n">
        <x:v>42.351291</x:v>
      </x:c>
      <x:c r="AG666" s="60" t="n">
        <x:v>-71.310561</x:v>
      </x:c>
      <x:c r="AH666" s="44" t="str">
        <x:v>Undergraduate tuition-contribution proxy only; not an audited total institutional budget.</x:v>
      </x:c>
    </x:row>
    <x:row r="667">
      <x:c r="A667" s="16" t="n">
        <x:v>167677</x:v>
      </x:c>
      <x:c r="B667" s="16" t="str">
        <x:v>Saint John's Seminary</x:v>
      </x:c>
      <x:c r="C667" s="16" t="str">
        <x:v>MA</x:v>
      </x:c>
      <x:c r="D667" s="16" t="str">
        <x:v>Private nonprofit</x:v>
      </x:c>
      <x:c r="E667" s="34" t="n">
        <x:v>33</x:v>
      </x:c>
      <x:c r="F667" s="21"/>
      <x:c r="G667" s="16" t="str">
        <x:v>Regional</x:v>
      </x:c>
      <x:c r="H667" s="36" t="n">
        <x:f>IF(G667="National",Assumptions!$B$11,IF(G667="Statewide",Assumptions!$B$12,Assumptions!$B$13))</x:f>
        <x:v>0.85</x:v>
      </x:c>
      <x:c r="I667" s="21" t="n">
        <x:v>-0.056426495016611344</x:v>
      </x:c>
      <x:c r="J667" s="21" t="n">
        <x:v>-0.047004775747508276</x:v>
      </x:c>
      <x:c r="K667" s="21" t="n">
        <x:v>-0.09852574750830567</x:v>
      </x:c>
      <x:c r="L667" s="36" t="n">
        <x:f>IF(Assumptions!$B$4=2030,I667,IF(Assumptions!$B$4=2035,J667,K667))</x:f>
        <x:v>-0.047004775747508276</x:v>
      </x:c>
      <x:c r="M667" s="36" t="n">
        <x:f>Assumptions!$B$19</x:f>
        <x:v>-0.04739891965741583</x:v>
      </x:c>
      <x:c r="N667" s="52" t="n">
        <x:f>H667*L667+(1-H667)*M667+O667</x:f>
        <x:v>-0.04706389733399441</x:v>
      </x:c>
      <x:c r="O667" s="36" t="n">
        <x:f>Assumptions!$B$10</x:f>
        <x:v>0</x:v>
      </x:c>
      <x:c r="P667" s="54" t="n">
        <x:f>E667*(1+N667)</x:f>
        <x:v>31.446891387978184</x:v>
      </x:c>
      <x:c r="Q667" s="54" t="n">
        <x:f>P667-E667</x:f>
        <x:v>-1.5531086120218163</x:v>
      </x:c>
      <x:c r="R667" s="16" t="str">
        <x:v>No</x:v>
      </x:c>
      <x:c r="S667" s="56"/>
      <x:c r="T667" s="56"/>
      <x:c r="U667" s="40" t="n">
        <x:f>E667*Assumptions!$B$8</x:f>
        <x:v>28.05</x:v>
      </x:c>
      <x:c r="V667" s="40" t="n">
        <x:f>P667*Assumptions!$B$8</x:f>
        <x:v>26.729857679781457</x:v>
      </x:c>
      <x:c r="W667" s="54" t="n">
        <x:f>V667-U667</x:f>
        <x:v>-1.3201423202185438</x:v>
      </x:c>
      <x:c r="X667" s="58" t="str">
        <x:f>IF(R667="No","",W667*S667)</x:f>
      </x:c>
      <x:c r="Y667" s="58" t="str">
        <x:f>IF(R667="No","",W667*T667*Assumptions!$B$9)</x:f>
      </x:c>
      <x:c r="Z667" s="58" t="str">
        <x:f>IF(R667="No","",X667-Y667)</x:f>
      </x:c>
      <x:c r="AA667" s="58" t="str">
        <x:f>IF(R667="No","",MAX(0,-Z667))</x:f>
      </x:c>
      <x:c r="AB667" s="52" t="str">
        <x:f>IF(OR(R667="No",U667*S667=0),"",AA667/(U667*S667))</x:f>
      </x:c>
      <x:c r="AC667" s="54" t="str">
        <x:f>IF(OR(R667="No",S667-T667*Assumptions!$B$9&lt;=0),"",AA667/(Assumptions!$B$8*(S667-T667*Assumptions!$B$9)))</x:f>
      </x:c>
      <x:c r="AD667" s="52" t="str">
        <x:f>IF(OR(R667="No",U667*S667=0),"",AA667/(U667*S667))</x:f>
      </x:c>
      <x:c r="AE667" s="50" t="str">
        <x:f>IF(R667="No","No finance data",IF(AB667&gt;=10%,"Severe",IF(AB667&gt;=5%,"High",IF(AB667&gt;=2%,"Moderate","Low"))))</x:f>
        <x:v>No finance data</x:v>
      </x:c>
      <x:c r="AF667" s="60"/>
      <x:c r="AG667" s="60"/>
      <x:c r="AH667" s="44" t="str">
        <x:v>Undergraduate tuition-contribution proxy only; not an audited total institutional budget.</x:v>
      </x:c>
    </x:row>
    <x:row r="668">
      <x:c r="A668" s="16" t="n">
        <x:v>167729</x:v>
      </x:c>
      <x:c r="B668" s="16" t="str">
        <x:v>Salem State University</x:v>
      </x:c>
      <x:c r="C668" s="16" t="str">
        <x:v>MA</x:v>
      </x:c>
      <x:c r="D668" s="16" t="str">
        <x:v>Public</x:v>
      </x:c>
      <x:c r="E668" s="34" t="n">
        <x:v>7091</x:v>
      </x:c>
      <x:c r="F668" s="21" t="n">
        <x:v>0.9001</x:v>
      </x:c>
      <x:c r="G668" s="16" t="str">
        <x:v>Statewide</x:v>
      </x:c>
      <x:c r="H668" s="36" t="n">
        <x:f>IF(G668="National",Assumptions!$B$11,IF(G668="Statewide",Assumptions!$B$12,Assumptions!$B$13))</x:f>
        <x:v>0.6</x:v>
      </x:c>
      <x:c r="I668" s="21" t="n">
        <x:v>-0.056426495016611344</x:v>
      </x:c>
      <x:c r="J668" s="21" t="n">
        <x:v>-0.047004775747508276</x:v>
      </x:c>
      <x:c r="K668" s="21" t="n">
        <x:v>-0.09852574750830567</x:v>
      </x:c>
      <x:c r="L668" s="36" t="n">
        <x:f>IF(Assumptions!$B$4=2030,I668,IF(Assumptions!$B$4=2035,J668,K668))</x:f>
        <x:v>-0.047004775747508276</x:v>
      </x:c>
      <x:c r="M668" s="36" t="n">
        <x:f>Assumptions!$B$19</x:f>
        <x:v>-0.04739891965741583</x:v>
      </x:c>
      <x:c r="N668" s="52" t="n">
        <x:f>H668*L668+(1-H668)*M668+O668</x:f>
        <x:v>-0.0471624333114713</x:v>
      </x:c>
      <x:c r="O668" s="36" t="n">
        <x:f>Assumptions!$B$10</x:f>
        <x:v>0</x:v>
      </x:c>
      <x:c r="P668" s="54" t="n">
        <x:f>E668*(1+N668)</x:f>
        <x:v>6756.571185388357</x:v>
      </x:c>
      <x:c r="Q668" s="54" t="n">
        <x:f>P668-E668</x:f>
        <x:v>-334.42881461164325</x:v>
      </x:c>
      <x:c r="R668" s="16" t="str">
        <x:v>Yes</x:v>
      </x:c>
      <x:c r="S668" s="56" t="n">
        <x:v>9818</x:v>
      </x:c>
      <x:c r="T668" s="56" t="n">
        <x:v>8213</x:v>
      </x:c>
      <x:c r="U668" s="40" t="n">
        <x:f>E668*Assumptions!$B$8</x:f>
        <x:v>6027.349999999999</x:v>
      </x:c>
      <x:c r="V668" s="40" t="n">
        <x:f>P668*Assumptions!$B$8</x:f>
        <x:v>5743.085507580103</x:v>
      </x:c>
      <x:c r="W668" s="54" t="n">
        <x:f>V668-U668</x:f>
        <x:v>-284.26449241989667</x:v>
      </x:c>
      <x:c r="X668" s="58" t="n">
        <x:f>IF(R668="No","",W668*S668)</x:f>
        <x:v>-2790908.7865785453</x:v>
      </x:c>
      <x:c r="Y668" s="58" t="n">
        <x:f>IF(R668="No","",W668*T668*Assumptions!$B$9)</x:f>
        <x:v>-700399.2828733834</x:v>
      </x:c>
      <x:c r="Z668" s="58" t="n">
        <x:f>IF(R668="No","",X668-Y668)</x:f>
        <x:v>-2090509.503705162</x:v>
      </x:c>
      <x:c r="AA668" s="58" t="n">
        <x:f>IF(R668="No","",MAX(0,-Z668))</x:f>
        <x:v>2090509.503705162</x:v>
      </x:c>
      <x:c r="AB668" s="52" t="n">
        <x:f>IF(OR(R668="No",U668*S668=0),"",AA668/(U668*S668))</x:f>
        <x:v>0.035326670484405305</x:v>
      </x:c>
      <x:c r="AC668" s="54" t="n">
        <x:f>IF(OR(R668="No",S668-T668*Assumptions!$B$9&lt;=0),"",AA668/(Assumptions!$B$8*(S668-T668*Assumptions!$B$9)))</x:f>
        <x:v>334.42881461164313</x:v>
      </x:c>
      <x:c r="AD668" s="52" t="n">
        <x:f>IF(OR(R668="No",U668*S668=0),"",AA668/(U668*S668))</x:f>
        <x:v>0.035326670484405305</x:v>
      </x:c>
      <x:c r="AE668" s="50" t="str">
        <x:f>IF(R668="No","No finance data",IF(AB668&gt;=10%,"Severe",IF(AB668&gt;=5%,"High",IF(AB668&gt;=2%,"Moderate","Low"))))</x:f>
        <x:v>Moderate</x:v>
      </x:c>
      <x:c r="AF668" s="60" t="n">
        <x:v>42.503575</x:v>
      </x:c>
      <x:c r="AG668" s="60" t="n">
        <x:v>-70.890234</x:v>
      </x:c>
      <x:c r="AH668" s="44" t="str">
        <x:v>Undergraduate tuition-contribution proxy only; not an audited total institutional budget.</x:v>
      </x:c>
    </x:row>
    <x:row r="669">
      <x:c r="A669" s="16" t="n">
        <x:v>166984</x:v>
      </x:c>
      <x:c r="B669" s="16" t="str">
        <x:v>School of the Museum of Fine Arts at Tufts University</x:v>
      </x:c>
      <x:c r="C669" s="16" t="str">
        <x:v>MA</x:v>
      </x:c>
      <x:c r="D669" s="16" t="str">
        <x:v>Private nonprofit</x:v>
      </x:c>
      <x:c r="E669" s="34" t="n">
        <x:v>231</x:v>
      </x:c>
      <x:c r="F669" s="21"/>
      <x:c r="G669" s="16" t="str">
        <x:v>Regional</x:v>
      </x:c>
      <x:c r="H669" s="36" t="n">
        <x:f>IF(G669="National",Assumptions!$B$11,IF(G669="Statewide",Assumptions!$B$12,Assumptions!$B$13))</x:f>
        <x:v>0.85</x:v>
      </x:c>
      <x:c r="I669" s="21" t="n">
        <x:v>-0.056426495016611344</x:v>
      </x:c>
      <x:c r="J669" s="21" t="n">
        <x:v>-0.047004775747508276</x:v>
      </x:c>
      <x:c r="K669" s="21" t="n">
        <x:v>-0.09852574750830567</x:v>
      </x:c>
      <x:c r="L669" s="36" t="n">
        <x:f>IF(Assumptions!$B$4=2030,I669,IF(Assumptions!$B$4=2035,J669,K669))</x:f>
        <x:v>-0.047004775747508276</x:v>
      </x:c>
      <x:c r="M669" s="36" t="n">
        <x:f>Assumptions!$B$19</x:f>
        <x:v>-0.04739891965741583</x:v>
      </x:c>
      <x:c r="N669" s="52" t="n">
        <x:f>H669*L669+(1-H669)*M669+O669</x:f>
        <x:v>-0.04706389733399441</x:v>
      </x:c>
      <x:c r="O669" s="36" t="n">
        <x:f>Assumptions!$B$10</x:f>
        <x:v>0</x:v>
      </x:c>
      <x:c r="P669" s="54" t="n">
        <x:f>E669*(1+N669)</x:f>
        <x:v>220.1282397158473</x:v>
      </x:c>
      <x:c r="Q669" s="54" t="n">
        <x:f>P669-E669</x:f>
        <x:v>-10.871760284152714</x:v>
      </x:c>
      <x:c r="R669" s="16" t="str">
        <x:v>No</x:v>
      </x:c>
      <x:c r="S669" s="56"/>
      <x:c r="T669" s="56"/>
      <x:c r="U669" s="40" t="n">
        <x:f>E669*Assumptions!$B$8</x:f>
        <x:v>196.35</x:v>
      </x:c>
      <x:c r="V669" s="40" t="n">
        <x:f>P669*Assumptions!$B$8</x:f>
        <x:v>187.10900375847018</x:v>
      </x:c>
      <x:c r="W669" s="54" t="n">
        <x:f>V669-U669</x:f>
        <x:v>-9.240996241529814</x:v>
      </x:c>
      <x:c r="X669" s="58" t="str">
        <x:f>IF(R669="No","",W669*S669)</x:f>
      </x:c>
      <x:c r="Y669" s="58" t="str">
        <x:f>IF(R669="No","",W669*T669*Assumptions!$B$9)</x:f>
      </x:c>
      <x:c r="Z669" s="58" t="str">
        <x:f>IF(R669="No","",X669-Y669)</x:f>
      </x:c>
      <x:c r="AA669" s="58" t="str">
        <x:f>IF(R669="No","",MAX(0,-Z669))</x:f>
      </x:c>
      <x:c r="AB669" s="52" t="str">
        <x:f>IF(OR(R669="No",U669*S669=0),"",AA669/(U669*S669))</x:f>
      </x:c>
      <x:c r="AC669" s="54" t="str">
        <x:f>IF(OR(R669="No",S669-T669*Assumptions!$B$9&lt;=0),"",AA669/(Assumptions!$B$8*(S669-T669*Assumptions!$B$9)))</x:f>
      </x:c>
      <x:c r="AD669" s="52" t="str">
        <x:f>IF(OR(R669="No",U669*S669=0),"",AA669/(U669*S669))</x:f>
      </x:c>
      <x:c r="AE669" s="50" t="str">
        <x:f>IF(R669="No","No finance data",IF(AB669&gt;=10%,"Severe",IF(AB669&gt;=5%,"High",IF(AB669&gt;=2%,"Moderate","Low"))))</x:f>
        <x:v>No finance data</x:v>
      </x:c>
      <x:c r="AF669" s="60"/>
      <x:c r="AG669" s="60"/>
      <x:c r="AH669" s="44" t="str">
        <x:v>Undergraduate tuition-contribution proxy only; not an audited total institutional budget.</x:v>
      </x:c>
    </x:row>
    <x:row r="670">
      <x:c r="A670" s="16" t="n">
        <x:v>167783</x:v>
      </x:c>
      <x:c r="B670" s="16" t="str">
        <x:v>Simmons College</x:v>
      </x:c>
      <x:c r="C670" s="16" t="str">
        <x:v>MA</x:v>
      </x:c>
      <x:c r="D670" s="16" t="str">
        <x:v>Private nonprofit</x:v>
      </x:c>
      <x:c r="E670" s="34" t="n">
        <x:v>1717</x:v>
      </x:c>
      <x:c r="F670" s="21" t="n">
        <x:v>0.8353</x:v>
      </x:c>
      <x:c r="G670" s="16" t="str">
        <x:v>Regional</x:v>
      </x:c>
      <x:c r="H670" s="36" t="n">
        <x:f>IF(G670="National",Assumptions!$B$11,IF(G670="Statewide",Assumptions!$B$12,Assumptions!$B$13))</x:f>
        <x:v>0.85</x:v>
      </x:c>
      <x:c r="I670" s="21" t="n">
        <x:v>-0.056426495016611344</x:v>
      </x:c>
      <x:c r="J670" s="21" t="n">
        <x:v>-0.047004775747508276</x:v>
      </x:c>
      <x:c r="K670" s="21" t="n">
        <x:v>-0.09852574750830567</x:v>
      </x:c>
      <x:c r="L670" s="36" t="n">
        <x:f>IF(Assumptions!$B$4=2030,I670,IF(Assumptions!$B$4=2035,J670,K670))</x:f>
        <x:v>-0.047004775747508276</x:v>
      </x:c>
      <x:c r="M670" s="36" t="n">
        <x:f>Assumptions!$B$19</x:f>
        <x:v>-0.04739891965741583</x:v>
      </x:c>
      <x:c r="N670" s="52" t="n">
        <x:f>H670*L670+(1-H670)*M670+O670</x:f>
        <x:v>-0.04706389733399441</x:v>
      </x:c>
      <x:c r="O670" s="36" t="n">
        <x:f>Assumptions!$B$10</x:f>
        <x:v>0</x:v>
      </x:c>
      <x:c r="P670" s="54" t="n">
        <x:f>E670*(1+N670)</x:f>
        <x:v>1636.1912882775316</x:v>
      </x:c>
      <x:c r="Q670" s="54" t="n">
        <x:f>P670-E670</x:f>
        <x:v>-80.80871172246839</x:v>
      </x:c>
      <x:c r="R670" s="16" t="str">
        <x:v>Yes</x:v>
      </x:c>
      <x:c r="S670" s="56" t="n">
        <x:v>23677</x:v>
      </x:c>
      <x:c r="T670" s="56" t="n">
        <x:v>16373</x:v>
      </x:c>
      <x:c r="U670" s="40" t="n">
        <x:f>E670*Assumptions!$B$8</x:f>
        <x:v>1459.45</x:v>
      </x:c>
      <x:c r="V670" s="40" t="n">
        <x:f>P670*Assumptions!$B$8</x:f>
        <x:v>1390.7625950359018</x:v>
      </x:c>
      <x:c r="W670" s="54" t="n">
        <x:f>V670-U670</x:f>
        <x:v>-68.68740496409828</x:v>
      </x:c>
      <x:c r="X670" s="58" t="n">
        <x:f>IF(R670="No","",W670*S670)</x:f>
        <x:v>-1626311.687334955</x:v>
      </x:c>
      <x:c r="Y670" s="58" t="n">
        <x:f>IF(R670="No","",W670*T670*Assumptions!$B$9)</x:f>
        <x:v>-337385.6644431543</x:v>
      </x:c>
      <x:c r="Z670" s="58" t="n">
        <x:f>IF(R670="No","",X670-Y670)</x:f>
        <x:v>-1288926.0228918006</x:v>
      </x:c>
      <x:c r="AA670" s="58" t="n">
        <x:f>IF(R670="No","",MAX(0,-Z670))</x:f>
        <x:v>1288926.0228918006</x:v>
      </x:c>
      <x:c r="AB670" s="52" t="n">
        <x:f>IF(OR(R670="No",U670*S670=0),"",AA670/(U670*S670))</x:f>
        <x:v>0.03730028043511172</x:v>
      </x:c>
      <x:c r="AC670" s="54" t="n">
        <x:f>IF(OR(R670="No",S670-T670*Assumptions!$B$9&lt;=0),"",AA670/(Assumptions!$B$8*(S670-T670*Assumptions!$B$9)))</x:f>
        <x:v>80.80871172246857</x:v>
      </x:c>
      <x:c r="AD670" s="52" t="n">
        <x:f>IF(OR(R670="No",U670*S670=0),"",AA670/(U670*S670))</x:f>
        <x:v>0.03730028043511172</x:v>
      </x:c>
      <x:c r="AE670" s="50" t="str">
        <x:f>IF(R670="No","No finance data",IF(AB670&gt;=10%,"Severe",IF(AB670&gt;=5%,"High",IF(AB670&gt;=2%,"Moderate","Low"))))</x:f>
        <x:v>Moderate</x:v>
      </x:c>
      <x:c r="AF670" s="60" t="n">
        <x:v>42.3393</x:v>
      </x:c>
      <x:c r="AG670" s="60" t="n">
        <x:v>-71.099967</x:v>
      </x:c>
      <x:c r="AH670" s="44" t="str">
        <x:v>Undergraduate tuition-contribution proxy only; not an audited total institutional budget.</x:v>
      </x:c>
    </x:row>
    <x:row r="671">
      <x:c r="A671" s="16" t="n">
        <x:v>167835</x:v>
      </x:c>
      <x:c r="B671" s="16" t="str">
        <x:v>Smith College</x:v>
      </x:c>
      <x:c r="C671" s="16" t="str">
        <x:v>MA</x:v>
      </x:c>
      <x:c r="D671" s="16" t="str">
        <x:v>Private nonprofit</x:v>
      </x:c>
      <x:c r="E671" s="34" t="n">
        <x:v>2471</x:v>
      </x:c>
      <x:c r="F671" s="21" t="n">
        <x:v>0.2991</x:v>
      </x:c>
      <x:c r="G671" s="16" t="str">
        <x:v>National</x:v>
      </x:c>
      <x:c r="H671" s="36" t="n">
        <x:f>IF(G671="National",Assumptions!$B$11,IF(G671="Statewide",Assumptions!$B$12,Assumptions!$B$13))</x:f>
        <x:v>0.25</x:v>
      </x:c>
      <x:c r="I671" s="21" t="n">
        <x:v>-0.056426495016611344</x:v>
      </x:c>
      <x:c r="J671" s="21" t="n">
        <x:v>-0.047004775747508276</x:v>
      </x:c>
      <x:c r="K671" s="21" t="n">
        <x:v>-0.09852574750830567</x:v>
      </x:c>
      <x:c r="L671" s="36" t="n">
        <x:f>IF(Assumptions!$B$4=2030,I671,IF(Assumptions!$B$4=2035,J671,K671))</x:f>
        <x:v>-0.047004775747508276</x:v>
      </x:c>
      <x:c r="M671" s="36" t="n">
        <x:f>Assumptions!$B$19</x:f>
        <x:v>-0.04739891965741583</x:v>
      </x:c>
      <x:c r="N671" s="52" t="n">
        <x:f>H671*L671+(1-H671)*M671+O671</x:f>
        <x:v>-0.04730038367993894</x:v>
      </x:c>
      <x:c r="O671" s="36" t="n">
        <x:f>Assumptions!$B$10</x:f>
        <x:v>0</x:v>
      </x:c>
      <x:c r="P671" s="54" t="n">
        <x:f>E671*(1+N671)</x:f>
        <x:v>2354.120751926871</x:v>
      </x:c>
      <x:c r="Q671" s="54" t="n">
        <x:f>P671-E671</x:f>
        <x:v>-116.87924807312902</x:v>
      </x:c>
      <x:c r="R671" s="16" t="str">
        <x:v>Yes</x:v>
      </x:c>
      <x:c r="S671" s="56" t="n">
        <x:v>24743</x:v>
      </x:c>
      <x:c r="T671" s="56" t="n">
        <x:v>25640</x:v>
      </x:c>
      <x:c r="U671" s="40" t="n">
        <x:f>E671*Assumptions!$B$8</x:f>
        <x:v>2100.35</x:v>
      </x:c>
      <x:c r="V671" s="40" t="n">
        <x:f>P671*Assumptions!$B$8</x:f>
        <x:v>2001.0026391378403</x:v>
      </x:c>
      <x:c r="W671" s="54" t="n">
        <x:f>V671-U671</x:f>
        <x:v>-99.34736086215958</x:v>
      </x:c>
      <x:c r="X671" s="58" t="n">
        <x:f>IF(R671="No","",W671*S671)</x:f>
        <x:v>-2458151.7498124144</x:v>
      </x:c>
      <x:c r="Y671" s="58" t="n">
        <x:f>IF(R671="No","",W671*T671*Assumptions!$B$9)</x:f>
        <x:v>-764179.8997517314</x:v>
      </x:c>
      <x:c r="Z671" s="58" t="n">
        <x:f>IF(R671="No","",X671-Y671)</x:f>
        <x:v>-1693971.850060683</x:v>
      </x:c>
      <x:c r="AA671" s="58" t="n">
        <x:f>IF(R671="No","",MAX(0,-Z671))</x:f>
        <x:v>1693971.850060683</x:v>
      </x:c>
      <x:c r="AB671" s="52" t="n">
        <x:f>IF(OR(R671="No",U671*S671=0),"",AA671/(U671*S671))</x:f>
        <x:v>0.03259583890905054</x:v>
      </x:c>
      <x:c r="AC671" s="54" t="n">
        <x:f>IF(OR(R671="No",S671-T671*Assumptions!$B$9&lt;=0),"",AA671/(Assumptions!$B$8*(S671-T671*Assumptions!$B$9)))</x:f>
        <x:v>116.87924807312892</x:v>
      </x:c>
      <x:c r="AD671" s="52" t="n">
        <x:f>IF(OR(R671="No",U671*S671=0),"",AA671/(U671*S671))</x:f>
        <x:v>0.03259583890905054</x:v>
      </x:c>
      <x:c r="AE671" s="50" t="str">
        <x:f>IF(R671="No","No finance data",IF(AB671&gt;=10%,"Severe",IF(AB671&gt;=5%,"High",IF(AB671&gt;=2%,"Moderate","Low"))))</x:f>
        <x:v>Moderate</x:v>
      </x:c>
      <x:c r="AF671" s="60" t="n">
        <x:v>42.318111</x:v>
      </x:c>
      <x:c r="AG671" s="60" t="n">
        <x:v>-72.638097</x:v>
      </x:c>
      <x:c r="AH671" s="44" t="str">
        <x:v>Undergraduate tuition-contribution proxy only; not an audited total institutional budget.</x:v>
      </x:c>
    </x:row>
    <x:row r="672">
      <x:c r="A672" s="16" t="n">
        <x:v>167899</x:v>
      </x:c>
      <x:c r="B672" s="16" t="str">
        <x:v>Springfield College</x:v>
      </x:c>
      <x:c r="C672" s="16" t="str">
        <x:v>MA</x:v>
      </x:c>
      <x:c r="D672" s="16" t="str">
        <x:v>Private nonprofit</x:v>
      </x:c>
      <x:c r="E672" s="34" t="n">
        <x:v>2134</x:v>
      </x:c>
      <x:c r="F672" s="21" t="n">
        <x:v>0.769</x:v>
      </x:c>
      <x:c r="G672" s="16" t="str">
        <x:v>Regional</x:v>
      </x:c>
      <x:c r="H672" s="36" t="n">
        <x:f>IF(G672="National",Assumptions!$B$11,IF(G672="Statewide",Assumptions!$B$12,Assumptions!$B$13))</x:f>
        <x:v>0.85</x:v>
      </x:c>
      <x:c r="I672" s="21" t="n">
        <x:v>-0.056426495016611344</x:v>
      </x:c>
      <x:c r="J672" s="21" t="n">
        <x:v>-0.047004775747508276</x:v>
      </x:c>
      <x:c r="K672" s="21" t="n">
        <x:v>-0.09852574750830567</x:v>
      </x:c>
      <x:c r="L672" s="36" t="n">
        <x:f>IF(Assumptions!$B$4=2030,I672,IF(Assumptions!$B$4=2035,J672,K672))</x:f>
        <x:v>-0.047004775747508276</x:v>
      </x:c>
      <x:c r="M672" s="36" t="n">
        <x:f>Assumptions!$B$19</x:f>
        <x:v>-0.04739891965741583</x:v>
      </x:c>
      <x:c r="N672" s="52" t="n">
        <x:f>H672*L672+(1-H672)*M672+O672</x:f>
        <x:v>-0.04706389733399441</x:v>
      </x:c>
      <x:c r="O672" s="36" t="n">
        <x:f>Assumptions!$B$10</x:f>
        <x:v>0</x:v>
      </x:c>
      <x:c r="P672" s="54" t="n">
        <x:f>E672*(1+N672)</x:f>
        <x:v>2033.565643089256</x:v>
      </x:c>
      <x:c r="Q672" s="54" t="n">
        <x:f>P672-E672</x:f>
        <x:v>-100.4343569107441</x:v>
      </x:c>
      <x:c r="R672" s="16" t="str">
        <x:v>Yes</x:v>
      </x:c>
      <x:c r="S672" s="56" t="n">
        <x:v>17746</x:v>
      </x:c>
      <x:c r="T672" s="56" t="n">
        <x:v>11270</x:v>
      </x:c>
      <x:c r="U672" s="40" t="n">
        <x:f>E672*Assumptions!$B$8</x:f>
        <x:v>1813.8999999999999</x:v>
      </x:c>
      <x:c r="V672" s="40" t="n">
        <x:f>P672*Assumptions!$B$8</x:f>
        <x:v>1728.5307966258674</x:v>
      </x:c>
      <x:c r="W672" s="54" t="n">
        <x:f>V672-U672</x:f>
        <x:v>-85.36920337413244</x:v>
      </x:c>
      <x:c r="X672" s="58" t="n">
        <x:f>IF(R672="No","",W672*S672)</x:f>
        <x:v>-1514961.8830773542</x:v>
      </x:c>
      <x:c r="Y672" s="58" t="n">
        <x:f>IF(R672="No","",W672*T672*Assumptions!$B$9)</x:f>
        <x:v>-288633.2766079418</x:v>
      </x:c>
      <x:c r="Z672" s="58" t="n">
        <x:f>IF(R672="No","",X672-Y672)</x:f>
        <x:v>-1226328.6064694123</x:v>
      </x:c>
      <x:c r="AA672" s="58" t="n">
        <x:f>IF(R672="No","",MAX(0,-Z672))</x:f>
        <x:v>1226328.6064694123</x:v>
      </x:c>
      <x:c r="AB672" s="52" t="n">
        <x:f>IF(OR(R672="No",U672*S672=0),"",AA672/(U672*S672))</x:f>
        <x:v>0.038097198535040545</x:v>
      </x:c>
      <x:c r="AC672" s="54" t="n">
        <x:f>IF(OR(R672="No",S672-T672*Assumptions!$B$9&lt;=0),"",AA672/(Assumptions!$B$8*(S672-T672*Assumptions!$B$9)))</x:f>
        <x:v>100.43435691074403</x:v>
      </x:c>
      <x:c r="AD672" s="52" t="n">
        <x:f>IF(OR(R672="No",U672*S672=0),"",AA672/(U672*S672))</x:f>
        <x:v>0.038097198535040545</x:v>
      </x:c>
      <x:c r="AE672" s="50" t="str">
        <x:f>IF(R672="No","No finance data",IF(AB672&gt;=10%,"Severe",IF(AB672&gt;=5%,"High",IF(AB672&gt;=2%,"Moderate","Low"))))</x:f>
        <x:v>Moderate</x:v>
      </x:c>
      <x:c r="AF672" s="60" t="n">
        <x:v>42.1022</x:v>
      </x:c>
      <x:c r="AG672" s="60" t="n">
        <x:v>-72.556647</x:v>
      </x:c>
      <x:c r="AH672" s="44" t="str">
        <x:v>Undergraduate tuition-contribution proxy only; not an audited total institutional budget.</x:v>
      </x:c>
    </x:row>
    <x:row r="673">
      <x:c r="A673" s="16" t="n">
        <x:v>475273</x:v>
      </x:c>
      <x:c r="B673" s="16" t="str">
        <x:v>Springfield College-School of Professional and Continuing Studies</x:v>
      </x:c>
      <x:c r="C673" s="16" t="str">
        <x:v>MA</x:v>
      </x:c>
      <x:c r="D673" s="16" t="str">
        <x:v>Private nonprofit</x:v>
      </x:c>
      <x:c r="E673" s="34" t="n">
        <x:v>1157</x:v>
      </x:c>
      <x:c r="F673" s="21"/>
      <x:c r="G673" s="16" t="str">
        <x:v>Regional</x:v>
      </x:c>
      <x:c r="H673" s="36" t="n">
        <x:f>IF(G673="National",Assumptions!$B$11,IF(G673="Statewide",Assumptions!$B$12,Assumptions!$B$13))</x:f>
        <x:v>0.85</x:v>
      </x:c>
      <x:c r="I673" s="21" t="n">
        <x:v>-0.056426495016611344</x:v>
      </x:c>
      <x:c r="J673" s="21" t="n">
        <x:v>-0.047004775747508276</x:v>
      </x:c>
      <x:c r="K673" s="21" t="n">
        <x:v>-0.09852574750830567</x:v>
      </x:c>
      <x:c r="L673" s="36" t="n">
        <x:f>IF(Assumptions!$B$4=2030,I673,IF(Assumptions!$B$4=2035,J673,K673))</x:f>
        <x:v>-0.047004775747508276</x:v>
      </x:c>
      <x:c r="M673" s="36" t="n">
        <x:f>Assumptions!$B$19</x:f>
        <x:v>-0.04739891965741583</x:v>
      </x:c>
      <x:c r="N673" s="52" t="n">
        <x:f>H673*L673+(1-H673)*M673+O673</x:f>
        <x:v>-0.04706389733399441</x:v>
      </x:c>
      <x:c r="O673" s="36" t="n">
        <x:f>Assumptions!$B$10</x:f>
        <x:v>0</x:v>
      </x:c>
      <x:c r="P673" s="54" t="n">
        <x:f>E673*(1+N673)</x:f>
        <x:v>1102.5470707845684</x:v>
      </x:c>
      <x:c r="Q673" s="54" t="n">
        <x:f>P673-E673</x:f>
        <x:v>-54.452929215431595</x:v>
      </x:c>
      <x:c r="R673" s="16" t="str">
        <x:v>No</x:v>
      </x:c>
      <x:c r="S673" s="56"/>
      <x:c r="T673" s="56"/>
      <x:c r="U673" s="40" t="n">
        <x:f>E673*Assumptions!$B$8</x:f>
        <x:v>983.4499999999999</x:v>
      </x:c>
      <x:c r="V673" s="40" t="n">
        <x:f>P673*Assumptions!$B$8</x:f>
        <x:v>937.1650101668831</x:v>
      </x:c>
      <x:c r="W673" s="54" t="n">
        <x:f>V673-U673</x:f>
        <x:v>-46.28498983311681</x:v>
      </x:c>
      <x:c r="X673" s="58" t="str">
        <x:f>IF(R673="No","",W673*S673)</x:f>
      </x:c>
      <x:c r="Y673" s="58" t="str">
        <x:f>IF(R673="No","",W673*T673*Assumptions!$B$9)</x:f>
      </x:c>
      <x:c r="Z673" s="58" t="str">
        <x:f>IF(R673="No","",X673-Y673)</x:f>
      </x:c>
      <x:c r="AA673" s="58" t="str">
        <x:f>IF(R673="No","",MAX(0,-Z673))</x:f>
      </x:c>
      <x:c r="AB673" s="52" t="str">
        <x:f>IF(OR(R673="No",U673*S673=0),"",AA673/(U673*S673))</x:f>
      </x:c>
      <x:c r="AC673" s="54" t="str">
        <x:f>IF(OR(R673="No",S673-T673*Assumptions!$B$9&lt;=0),"",AA673/(Assumptions!$B$8*(S673-T673*Assumptions!$B$9)))</x:f>
      </x:c>
      <x:c r="AD673" s="52" t="str">
        <x:f>IF(OR(R673="No",U673*S673=0),"",AA673/(U673*S673))</x:f>
      </x:c>
      <x:c r="AE673" s="50" t="str">
        <x:f>IF(R673="No","No finance data",IF(AB673&gt;=10%,"Severe",IF(AB673&gt;=5%,"High",IF(AB673&gt;=2%,"Moderate","Low"))))</x:f>
        <x:v>No finance data</x:v>
      </x:c>
      <x:c r="AF673" s="60"/>
      <x:c r="AG673" s="60"/>
      <x:c r="AH673" s="44" t="str">
        <x:v>Undergraduate tuition-contribution proxy only; not an audited total institutional budget.</x:v>
      </x:c>
    </x:row>
    <x:row r="674">
      <x:c r="A674" s="16" t="n">
        <x:v>167996</x:v>
      </x:c>
      <x:c r="B674" s="16" t="str">
        <x:v>Stonehill College</x:v>
      </x:c>
      <x:c r="C674" s="16" t="str">
        <x:v>MA</x:v>
      </x:c>
      <x:c r="D674" s="16" t="str">
        <x:v>Private nonprofit</x:v>
      </x:c>
      <x:c r="E674" s="34" t="n">
        <x:v>2387</x:v>
      </x:c>
      <x:c r="F674" s="21" t="n">
        <x:v>0.72</x:v>
      </x:c>
      <x:c r="G674" s="16" t="str">
        <x:v>Regional</x:v>
      </x:c>
      <x:c r="H674" s="36" t="n">
        <x:f>IF(G674="National",Assumptions!$B$11,IF(G674="Statewide",Assumptions!$B$12,Assumptions!$B$13))</x:f>
        <x:v>0.85</x:v>
      </x:c>
      <x:c r="I674" s="21" t="n">
        <x:v>-0.056426495016611344</x:v>
      </x:c>
      <x:c r="J674" s="21" t="n">
        <x:v>-0.047004775747508276</x:v>
      </x:c>
      <x:c r="K674" s="21" t="n">
        <x:v>-0.09852574750830567</x:v>
      </x:c>
      <x:c r="L674" s="36" t="n">
        <x:f>IF(Assumptions!$B$4=2030,I674,IF(Assumptions!$B$4=2035,J674,K674))</x:f>
        <x:v>-0.047004775747508276</x:v>
      </x:c>
      <x:c r="M674" s="36" t="n">
        <x:f>Assumptions!$B$19</x:f>
        <x:v>-0.04739891965741583</x:v>
      </x:c>
      <x:c r="N674" s="52" t="n">
        <x:f>H674*L674+(1-H674)*M674+O674</x:f>
        <x:v>-0.04706389733399441</x:v>
      </x:c>
      <x:c r="O674" s="36" t="n">
        <x:f>Assumptions!$B$10</x:f>
        <x:v>0</x:v>
      </x:c>
      <x:c r="P674" s="54" t="n">
        <x:f>E674*(1+N674)</x:f>
        <x:v>2274.6584770637555</x:v>
      </x:c>
      <x:c r="Q674" s="54" t="n">
        <x:f>P674-E674</x:f>
        <x:v>-112.34152293624447</x:v>
      </x:c>
      <x:c r="R674" s="16" t="str">
        <x:v>Yes</x:v>
      </x:c>
      <x:c r="S674" s="56" t="n">
        <x:v>21300</x:v>
      </x:c>
      <x:c r="T674" s="56" t="n">
        <x:v>13183</x:v>
      </x:c>
      <x:c r="U674" s="40" t="n">
        <x:f>E674*Assumptions!$B$8</x:f>
        <x:v>2028.95</x:v>
      </x:c>
      <x:c r="V674" s="40" t="n">
        <x:f>P674*Assumptions!$B$8</x:f>
        <x:v>1933.4597055041922</x:v>
      </x:c>
      <x:c r="W674" s="54" t="n">
        <x:f>V674-U674</x:f>
        <x:v>-95.4902944958078</x:v>
      </x:c>
      <x:c r="X674" s="58" t="n">
        <x:f>IF(R674="No","",W674*S674)</x:f>
        <x:v>-2033943.2727607063</x:v>
      </x:c>
      <x:c r="Y674" s="58" t="n">
        <x:f>IF(R674="No","",W674*T674*Assumptions!$B$9)</x:f>
        <x:v>-377654.56570147024</x:v>
      </x:c>
      <x:c r="Z674" s="58" t="n">
        <x:f>IF(R674="No","",X674-Y674)</x:f>
        <x:v>-1656288.707059236</x:v>
      </x:c>
      <x:c r="AA674" s="58" t="n">
        <x:f>IF(R674="No","",MAX(0,-Z674))</x:f>
        <x:v>1656288.707059236</x:v>
      </x:c>
      <x:c r="AB674" s="52" t="n">
        <x:f>IF(OR(R674="No",U674*S674=0),"",AA674/(U674*S674))</x:f>
        <x:v>0.03832525848112043</x:v>
      </x:c>
      <x:c r="AC674" s="54" t="n">
        <x:f>IF(OR(R674="No",S674-T674*Assumptions!$B$9&lt;=0),"",AA674/(Assumptions!$B$8*(S674-T674*Assumptions!$B$9)))</x:f>
        <x:v>112.34152293624449</x:v>
      </x:c>
      <x:c r="AD674" s="52" t="n">
        <x:f>IF(OR(R674="No",U674*S674=0),"",AA674/(U674*S674))</x:f>
        <x:v>0.03832525848112043</x:v>
      </x:c>
      <x:c r="AE674" s="50" t="str">
        <x:f>IF(R674="No","No finance data",IF(AB674&gt;=10%,"Severe",IF(AB674&gt;=5%,"High",IF(AB674&gt;=2%,"Moderate","Low"))))</x:f>
        <x:v>Moderate</x:v>
      </x:c>
      <x:c r="AF674" s="60" t="n">
        <x:v>42.05905</x:v>
      </x:c>
      <x:c r="AG674" s="60" t="n">
        <x:v>-71.080632</x:v>
      </x:c>
      <x:c r="AH674" s="44" t="str">
        <x:v>Undergraduate tuition-contribution proxy only; not an audited total institutional budget.</x:v>
      </x:c>
    </x:row>
    <x:row r="675">
      <x:c r="A675" s="16" t="n">
        <x:v>168005</x:v>
      </x:c>
      <x:c r="B675" s="16" t="str">
        <x:v>Suffolk University</x:v>
      </x:c>
      <x:c r="C675" s="16" t="str">
        <x:v>MA</x:v>
      </x:c>
      <x:c r="D675" s="16" t="str">
        <x:v>Private nonprofit</x:v>
      </x:c>
      <x:c r="E675" s="34" t="n">
        <x:v>5352</x:v>
      </x:c>
      <x:c r="F675" s="21" t="n">
        <x:v>0.8803</x:v>
      </x:c>
      <x:c r="G675" s="16" t="str">
        <x:v>Regional</x:v>
      </x:c>
      <x:c r="H675" s="36" t="n">
        <x:f>IF(G675="National",Assumptions!$B$11,IF(G675="Statewide",Assumptions!$B$12,Assumptions!$B$13))</x:f>
        <x:v>0.85</x:v>
      </x:c>
      <x:c r="I675" s="21" t="n">
        <x:v>-0.056426495016611344</x:v>
      </x:c>
      <x:c r="J675" s="21" t="n">
        <x:v>-0.047004775747508276</x:v>
      </x:c>
      <x:c r="K675" s="21" t="n">
        <x:v>-0.09852574750830567</x:v>
      </x:c>
      <x:c r="L675" s="36" t="n">
        <x:f>IF(Assumptions!$B$4=2030,I675,IF(Assumptions!$B$4=2035,J675,K675))</x:f>
        <x:v>-0.047004775747508276</x:v>
      </x:c>
      <x:c r="M675" s="36" t="n">
        <x:f>Assumptions!$B$19</x:f>
        <x:v>-0.04739891965741583</x:v>
      </x:c>
      <x:c r="N675" s="52" t="n">
        <x:f>H675*L675+(1-H675)*M675+O675</x:f>
        <x:v>-0.04706389733399441</x:v>
      </x:c>
      <x:c r="O675" s="36" t="n">
        <x:f>Assumptions!$B$10</x:f>
        <x:v>0</x:v>
      </x:c>
      <x:c r="P675" s="54" t="n">
        <x:f>E675*(1+N675)</x:f>
        <x:v>5100.114021468462</x:v>
      </x:c>
      <x:c r="Q675" s="54" t="n">
        <x:f>P675-E675</x:f>
        <x:v>-251.88597853153806</x:v>
      </x:c>
      <x:c r="R675" s="16" t="str">
        <x:v>Yes</x:v>
      </x:c>
      <x:c r="S675" s="56" t="n">
        <x:v>25018</x:v>
      </x:c>
      <x:c r="T675" s="56" t="n">
        <x:v>11940</x:v>
      </x:c>
      <x:c r="U675" s="40" t="n">
        <x:f>E675*Assumptions!$B$8</x:f>
        <x:v>4549.2</x:v>
      </x:c>
      <x:c r="V675" s="40" t="n">
        <x:f>P675*Assumptions!$B$8</x:f>
        <x:v>4335.096918248192</x:v>
      </x:c>
      <x:c r="W675" s="54" t="n">
        <x:f>V675-U675</x:f>
        <x:v>-214.10308175180762</x:v>
      </x:c>
      <x:c r="X675" s="58" t="n">
        <x:f>IF(R675="No","",W675*S675)</x:f>
        <x:v>-5356430.899266724</x:v>
      </x:c>
      <x:c r="Y675" s="58" t="n">
        <x:f>IF(R675="No","",W675*T675*Assumptions!$B$9)</x:f>
        <x:v>-766917.2388349749</x:v>
      </x:c>
      <x:c r="Z675" s="58" t="n">
        <x:f>IF(R675="No","",X675-Y675)</x:f>
        <x:v>-4589513.660431748</x:v>
      </x:c>
      <x:c r="AA675" s="58" t="n">
        <x:f>IF(R675="No","",MAX(0,-Z675))</x:f>
        <x:v>4589513.660431748</x:v>
      </x:c>
      <x:c r="AB675" s="52" t="n">
        <x:f>IF(OR(R675="No",U675*S675=0),"",AA675/(U675*S675))</x:f>
        <x:v>0.04032543381771146</x:v>
      </x:c>
      <x:c r="AC675" s="54" t="n">
        <x:f>IF(OR(R675="No",S675-T675*Assumptions!$B$9&lt;=0),"",AA675/(Assumptions!$B$8*(S675-T675*Assumptions!$B$9)))</x:f>
        <x:v>251.8859785315384</x:v>
      </x:c>
      <x:c r="AD675" s="52" t="n">
        <x:f>IF(OR(R675="No",U675*S675=0),"",AA675/(U675*S675))</x:f>
        <x:v>0.04032543381771146</x:v>
      </x:c>
      <x:c r="AE675" s="50" t="str">
        <x:f>IF(R675="No","No finance data",IF(AB675&gt;=10%,"Severe",IF(AB675&gt;=5%,"High",IF(AB675&gt;=2%,"Moderate","Low"))))</x:f>
        <x:v>Moderate</x:v>
      </x:c>
      <x:c r="AF675" s="60" t="n">
        <x:v>42.357945</x:v>
      </x:c>
      <x:c r="AG675" s="60" t="n">
        <x:v>-71.060917</x:v>
      </x:c>
      <x:c r="AH675" s="44" t="str">
        <x:v>Undergraduate tuition-contribution proxy only; not an audited total institutional budget.</x:v>
      </x:c>
    </x:row>
    <x:row r="676">
      <x:c r="A676" s="16" t="n">
        <x:v>164933</x:v>
      </x:c>
      <x:c r="B676" s="16" t="str">
        <x:v>The Boston Conservatory</x:v>
      </x:c>
      <x:c r="C676" s="16" t="str">
        <x:v>MA</x:v>
      </x:c>
      <x:c r="D676" s="16" t="str">
        <x:v>Private nonprofit</x:v>
      </x:c>
      <x:c r="E676" s="34" t="n">
        <x:v>563</x:v>
      </x:c>
      <x:c r="F676" s="21"/>
      <x:c r="G676" s="16" t="str">
        <x:v>Regional</x:v>
      </x:c>
      <x:c r="H676" s="36" t="n">
        <x:f>IF(G676="National",Assumptions!$B$11,IF(G676="Statewide",Assumptions!$B$12,Assumptions!$B$13))</x:f>
        <x:v>0.85</x:v>
      </x:c>
      <x:c r="I676" s="21" t="n">
        <x:v>-0.056426495016611344</x:v>
      </x:c>
      <x:c r="J676" s="21" t="n">
        <x:v>-0.047004775747508276</x:v>
      </x:c>
      <x:c r="K676" s="21" t="n">
        <x:v>-0.09852574750830567</x:v>
      </x:c>
      <x:c r="L676" s="36" t="n">
        <x:f>IF(Assumptions!$B$4=2030,I676,IF(Assumptions!$B$4=2035,J676,K676))</x:f>
        <x:v>-0.047004775747508276</x:v>
      </x:c>
      <x:c r="M676" s="36" t="n">
        <x:f>Assumptions!$B$19</x:f>
        <x:v>-0.04739891965741583</x:v>
      </x:c>
      <x:c r="N676" s="52" t="n">
        <x:f>H676*L676+(1-H676)*M676+O676</x:f>
        <x:v>-0.04706389733399441</x:v>
      </x:c>
      <x:c r="O676" s="36" t="n">
        <x:f>Assumptions!$B$10</x:f>
        <x:v>0</x:v>
      </x:c>
      <x:c r="P676" s="54" t="n">
        <x:f>E676*(1+N676)</x:f>
        <x:v>536.5030258009612</x:v>
      </x:c>
      <x:c r="Q676" s="54" t="n">
        <x:f>P676-E676</x:f>
        <x:v>-26.496974199038846</x:v>
      </x:c>
      <x:c r="R676" s="16" t="str">
        <x:v>No</x:v>
      </x:c>
      <x:c r="S676" s="56"/>
      <x:c r="T676" s="56"/>
      <x:c r="U676" s="40" t="n">
        <x:f>E676*Assumptions!$B$8</x:f>
        <x:v>478.55</x:v>
      </x:c>
      <x:c r="V676" s="40" t="n">
        <x:f>P676*Assumptions!$B$8</x:f>
        <x:v>456.027571930817</x:v>
      </x:c>
      <x:c r="W676" s="54" t="n">
        <x:f>V676-U676</x:f>
        <x:v>-22.522428069183036</x:v>
      </x:c>
      <x:c r="X676" s="58" t="str">
        <x:f>IF(R676="No","",W676*S676)</x:f>
      </x:c>
      <x:c r="Y676" s="58" t="str">
        <x:f>IF(R676="No","",W676*T676*Assumptions!$B$9)</x:f>
      </x:c>
      <x:c r="Z676" s="58" t="str">
        <x:f>IF(R676="No","",X676-Y676)</x:f>
      </x:c>
      <x:c r="AA676" s="58" t="str">
        <x:f>IF(R676="No","",MAX(0,-Z676))</x:f>
      </x:c>
      <x:c r="AB676" s="52" t="str">
        <x:f>IF(OR(R676="No",U676*S676=0),"",AA676/(U676*S676))</x:f>
      </x:c>
      <x:c r="AC676" s="54" t="str">
        <x:f>IF(OR(R676="No",S676-T676*Assumptions!$B$9&lt;=0),"",AA676/(Assumptions!$B$8*(S676-T676*Assumptions!$B$9)))</x:f>
      </x:c>
      <x:c r="AD676" s="52" t="str">
        <x:f>IF(OR(R676="No",U676*S676=0),"",AA676/(U676*S676))</x:f>
      </x:c>
      <x:c r="AE676" s="50" t="str">
        <x:f>IF(R676="No","No finance data",IF(AB676&gt;=10%,"Severe",IF(AB676&gt;=5%,"High",IF(AB676&gt;=2%,"Moderate","Low"))))</x:f>
        <x:v>No finance data</x:v>
      </x:c>
      <x:c r="AF676" s="60"/>
      <x:c r="AG676" s="60"/>
      <x:c r="AH676" s="44" t="str">
        <x:v>Undergraduate tuition-contribution proxy only; not an audited total institutional budget.</x:v>
      </x:c>
    </x:row>
    <x:row r="677">
      <x:c r="A677" s="16" t="n">
        <x:v>167057</x:v>
      </x:c>
      <x:c r="B677" s="16" t="str">
        <x:v>The New England Conservatory of Music</x:v>
      </x:c>
      <x:c r="C677" s="16" t="str">
        <x:v>MA</x:v>
      </x:c>
      <x:c r="D677" s="16" t="str">
        <x:v>Private nonprofit</x:v>
      </x:c>
      <x:c r="E677" s="34" t="n">
        <x:v>377</x:v>
      </x:c>
      <x:c r="F677" s="21"/>
      <x:c r="G677" s="16" t="str">
        <x:v>Regional</x:v>
      </x:c>
      <x:c r="H677" s="36" t="n">
        <x:f>IF(G677="National",Assumptions!$B$11,IF(G677="Statewide",Assumptions!$B$12,Assumptions!$B$13))</x:f>
        <x:v>0.85</x:v>
      </x:c>
      <x:c r="I677" s="21" t="n">
        <x:v>-0.056426495016611344</x:v>
      </x:c>
      <x:c r="J677" s="21" t="n">
        <x:v>-0.047004775747508276</x:v>
      </x:c>
      <x:c r="K677" s="21" t="n">
        <x:v>-0.09852574750830567</x:v>
      </x:c>
      <x:c r="L677" s="36" t="n">
        <x:f>IF(Assumptions!$B$4=2030,I677,IF(Assumptions!$B$4=2035,J677,K677))</x:f>
        <x:v>-0.047004775747508276</x:v>
      </x:c>
      <x:c r="M677" s="36" t="n">
        <x:f>Assumptions!$B$19</x:f>
        <x:v>-0.04739891965741583</x:v>
      </x:c>
      <x:c r="N677" s="52" t="n">
        <x:f>H677*L677+(1-H677)*M677+O677</x:f>
        <x:v>-0.04706389733399441</x:v>
      </x:c>
      <x:c r="O677" s="36" t="n">
        <x:f>Assumptions!$B$10</x:f>
        <x:v>0</x:v>
      </x:c>
      <x:c r="P677" s="54" t="n">
        <x:f>E677*(1+N677)</x:f>
        <x:v>359.2569107050841</x:v>
      </x:c>
      <x:c r="Q677" s="54" t="n">
        <x:f>P677-E677</x:f>
        <x:v>-17.743089294915876</x:v>
      </x:c>
      <x:c r="R677" s="16" t="str">
        <x:v>No</x:v>
      </x:c>
      <x:c r="S677" s="56"/>
      <x:c r="T677" s="56"/>
      <x:c r="U677" s="40" t="n">
        <x:f>E677*Assumptions!$B$8</x:f>
        <x:v>320.45</x:v>
      </x:c>
      <x:c r="V677" s="40" t="n">
        <x:f>P677*Assumptions!$B$8</x:f>
        <x:v>305.3683740993215</x:v>
      </x:c>
      <x:c r="W677" s="54" t="n">
        <x:f>V677-U677</x:f>
        <x:v>-15.081625900678489</x:v>
      </x:c>
      <x:c r="X677" s="58" t="str">
        <x:f>IF(R677="No","",W677*S677)</x:f>
      </x:c>
      <x:c r="Y677" s="58" t="str">
        <x:f>IF(R677="No","",W677*T677*Assumptions!$B$9)</x:f>
      </x:c>
      <x:c r="Z677" s="58" t="str">
        <x:f>IF(R677="No","",X677-Y677)</x:f>
      </x:c>
      <x:c r="AA677" s="58" t="str">
        <x:f>IF(R677="No","",MAX(0,-Z677))</x:f>
      </x:c>
      <x:c r="AB677" s="52" t="str">
        <x:f>IF(OR(R677="No",U677*S677=0),"",AA677/(U677*S677))</x:f>
      </x:c>
      <x:c r="AC677" s="54" t="str">
        <x:f>IF(OR(R677="No",S677-T677*Assumptions!$B$9&lt;=0),"",AA677/(Assumptions!$B$8*(S677-T677*Assumptions!$B$9)))</x:f>
      </x:c>
      <x:c r="AD677" s="52" t="str">
        <x:f>IF(OR(R677="No",U677*S677=0),"",AA677/(U677*S677))</x:f>
      </x:c>
      <x:c r="AE677" s="50" t="str">
        <x:f>IF(R677="No","No finance data",IF(AB677&gt;=10%,"Severe",IF(AB677&gt;=5%,"High",IF(AB677&gt;=2%,"Moderate","Low"))))</x:f>
        <x:v>No finance data</x:v>
      </x:c>
      <x:c r="AF677" s="60"/>
      <x:c r="AG677" s="60"/>
      <x:c r="AH677" s="44" t="str">
        <x:v>Undergraduate tuition-contribution proxy only; not an audited total institutional budget.</x:v>
      </x:c>
    </x:row>
    <x:row r="678">
      <x:c r="A678" s="16" t="n">
        <x:v>168148</x:v>
      </x:c>
      <x:c r="B678" s="16" t="str">
        <x:v>Tufts University</x:v>
      </x:c>
      <x:c r="C678" s="16" t="str">
        <x:v>MA</x:v>
      </x:c>
      <x:c r="D678" s="16" t="str">
        <x:v>Private nonprofit</x:v>
      </x:c>
      <x:c r="E678" s="34" t="n">
        <x:v>5236</x:v>
      </x:c>
      <x:c r="F678" s="21" t="n">
        <x:v>0.1143</x:v>
      </x:c>
      <x:c r="G678" s="16" t="str">
        <x:v>National</x:v>
      </x:c>
      <x:c r="H678" s="36" t="n">
        <x:f>IF(G678="National",Assumptions!$B$11,IF(G678="Statewide",Assumptions!$B$12,Assumptions!$B$13))</x:f>
        <x:v>0.25</x:v>
      </x:c>
      <x:c r="I678" s="21" t="n">
        <x:v>-0.056426495016611344</x:v>
      </x:c>
      <x:c r="J678" s="21" t="n">
        <x:v>-0.047004775747508276</x:v>
      </x:c>
      <x:c r="K678" s="21" t="n">
        <x:v>-0.09852574750830567</x:v>
      </x:c>
      <x:c r="L678" s="36" t="n">
        <x:f>IF(Assumptions!$B$4=2030,I678,IF(Assumptions!$B$4=2035,J678,K678))</x:f>
        <x:v>-0.047004775747508276</x:v>
      </x:c>
      <x:c r="M678" s="36" t="n">
        <x:f>Assumptions!$B$19</x:f>
        <x:v>-0.04739891965741583</x:v>
      </x:c>
      <x:c r="N678" s="52" t="n">
        <x:f>H678*L678+(1-H678)*M678+O678</x:f>
        <x:v>-0.04730038367993894</x:v>
      </x:c>
      <x:c r="O678" s="36" t="n">
        <x:f>Assumptions!$B$10</x:f>
        <x:v>0</x:v>
      </x:c>
      <x:c r="P678" s="54" t="n">
        <x:f>E678*(1+N678)</x:f>
        <x:v>4988.3351910518395</x:v>
      </x:c>
      <x:c r="Q678" s="54" t="n">
        <x:f>P678-E678</x:f>
        <x:v>-247.6648089481605</x:v>
      </x:c>
      <x:c r="R678" s="16" t="str">
        <x:v>Yes</x:v>
      </x:c>
      <x:c r="S678" s="56" t="n">
        <x:v>38880</x:v>
      </x:c>
      <x:c r="T678" s="56" t="n">
        <x:v>24074</x:v>
      </x:c>
      <x:c r="U678" s="40" t="n">
        <x:f>E678*Assumptions!$B$8</x:f>
        <x:v>4450.599999999999</x:v>
      </x:c>
      <x:c r="V678" s="40" t="n">
        <x:f>P678*Assumptions!$B$8</x:f>
        <x:v>4240.084912394063</x:v>
      </x:c>
      <x:c r="W678" s="54" t="n">
        <x:f>V678-U678</x:f>
        <x:v>-210.51508760593606</x:v>
      </x:c>
      <x:c r="X678" s="58" t="n">
        <x:f>IF(R678="No","",W678*S678)</x:f>
        <x:v>-8184826.606118794</x:v>
      </x:c>
      <x:c r="Y678" s="58" t="n">
        <x:f>IF(R678="No","",W678*T678*Assumptions!$B$9)</x:f>
        <x:v>-1520382.0657075914</x:v>
      </x:c>
      <x:c r="Z678" s="58" t="n">
        <x:f>IF(R678="No","",X678-Y678)</x:f>
        <x:v>-6664444.540411202</x:v>
      </x:c>
      <x:c r="AA678" s="58" t="n">
        <x:f>IF(R678="No","",MAX(0,-Z678))</x:f>
        <x:v>6664444.540411202</x:v>
      </x:c>
      <x:c r="AB678" s="52" t="n">
        <x:f>IF(OR(R678="No",U678*S678=0),"",AA678/(U678*S678))</x:f>
        <x:v>0.038514045433713215</x:v>
      </x:c>
      <x:c r="AC678" s="54" t="n">
        <x:f>IF(OR(R678="No",S678-T678*Assumptions!$B$9&lt;=0),"",AA678/(Assumptions!$B$8*(S678-T678*Assumptions!$B$9)))</x:f>
        <x:v>247.66480894816007</x:v>
      </x:c>
      <x:c r="AD678" s="52" t="n">
        <x:f>IF(OR(R678="No",U678*S678=0),"",AA678/(U678*S678))</x:f>
        <x:v>0.038514045433713215</x:v>
      </x:c>
      <x:c r="AE678" s="50" t="str">
        <x:f>IF(R678="No","No finance data",IF(AB678&gt;=10%,"Severe",IF(AB678&gt;=5%,"High",IF(AB678&gt;=2%,"Moderate","Low"))))</x:f>
        <x:v>Moderate</x:v>
      </x:c>
      <x:c r="AF678" s="60" t="n">
        <x:v>42.40855</x:v>
      </x:c>
      <x:c r="AG678" s="60" t="n">
        <x:v>-71.118293</x:v>
      </x:c>
      <x:c r="AH678" s="44" t="str">
        <x:v>Undergraduate tuition-contribution proxy only; not an audited total institutional budget.</x:v>
      </x:c>
    </x:row>
    <x:row r="679">
      <x:c r="A679" s="16" t="n">
        <x:v>166629</x:v>
      </x:c>
      <x:c r="B679" s="16" t="str">
        <x:v>University of Massachusetts-Amherst</x:v>
      </x:c>
      <x:c r="C679" s="16" t="str">
        <x:v>MA</x:v>
      </x:c>
      <x:c r="D679" s="16" t="str">
        <x:v>Public</x:v>
      </x:c>
      <x:c r="E679" s="34" t="n">
        <x:v>22405</x:v>
      </x:c>
      <x:c r="F679" s="21" t="n">
        <x:v>0.6553</x:v>
      </x:c>
      <x:c r="G679" s="16" t="str">
        <x:v>Statewide</x:v>
      </x:c>
      <x:c r="H679" s="36" t="n">
        <x:f>IF(G679="National",Assumptions!$B$11,IF(G679="Statewide",Assumptions!$B$12,Assumptions!$B$13))</x:f>
        <x:v>0.6</x:v>
      </x:c>
      <x:c r="I679" s="21" t="n">
        <x:v>-0.056426495016611344</x:v>
      </x:c>
      <x:c r="J679" s="21" t="n">
        <x:v>-0.047004775747508276</x:v>
      </x:c>
      <x:c r="K679" s="21" t="n">
        <x:v>-0.09852574750830567</x:v>
      </x:c>
      <x:c r="L679" s="36" t="n">
        <x:f>IF(Assumptions!$B$4=2030,I679,IF(Assumptions!$B$4=2035,J679,K679))</x:f>
        <x:v>-0.047004775747508276</x:v>
      </x:c>
      <x:c r="M679" s="36" t="n">
        <x:f>Assumptions!$B$19</x:f>
        <x:v>-0.04739891965741583</x:v>
      </x:c>
      <x:c r="N679" s="52" t="n">
        <x:f>H679*L679+(1-H679)*M679+O679</x:f>
        <x:v>-0.0471624333114713</x:v>
      </x:c>
      <x:c r="O679" s="36" t="n">
        <x:f>Assumptions!$B$10</x:f>
        <x:v>0</x:v>
      </x:c>
      <x:c r="P679" s="54" t="n">
        <x:f>E679*(1+N679)</x:f>
        <x:v>21348.325681656486</x:v>
      </x:c>
      <x:c r="Q679" s="54" t="n">
        <x:f>P679-E679</x:f>
        <x:v>-1056.6743183435137</x:v>
      </x:c>
      <x:c r="R679" s="16" t="str">
        <x:v>Yes</x:v>
      </x:c>
      <x:c r="S679" s="56" t="n">
        <x:v>13531</x:v>
      </x:c>
      <x:c r="T679" s="56" t="n">
        <x:v>17826</x:v>
      </x:c>
      <x:c r="U679" s="40" t="n">
        <x:f>E679*Assumptions!$B$8</x:f>
        <x:v>19044.25</x:v>
      </x:c>
      <x:c r="V679" s="40" t="n">
        <x:f>P679*Assumptions!$B$8</x:f>
        <x:v>18146.07682940801</x:v>
      </x:c>
      <x:c r="W679" s="54" t="n">
        <x:f>V679-U679</x:f>
        <x:v>-898.1731705919883</x:v>
      </x:c>
      <x:c r="X679" s="58" t="n">
        <x:f>IF(R679="No","",W679*S679)</x:f>
        <x:v>-12153181.171280194</x:v>
      </x:c>
      <x:c r="Y679" s="58" t="n">
        <x:f>IF(R679="No","",W679*T679*Assumptions!$B$9)</x:f>
        <x:v>-4803250.481691835</x:v>
      </x:c>
      <x:c r="Z679" s="58" t="n">
        <x:f>IF(R679="No","",X679-Y679)</x:f>
        <x:v>-7349930.689588359</x:v>
      </x:c>
      <x:c r="AA679" s="58" t="n">
        <x:f>IF(R679="No","",MAX(0,-Z679))</x:f>
        <x:v>7349930.689588359</x:v>
      </x:c>
      <x:c r="AB679" s="52" t="n">
        <x:f>IF(OR(R679="No",U679*S679=0),"",AA679/(U679*S679))</x:f>
        <x:v>0.028522623920954282</x:v>
      </x:c>
      <x:c r="AC679" s="54" t="n">
        <x:f>IF(OR(R679="No",S679-T679*Assumptions!$B$9&lt;=0),"",AA679/(Assumptions!$B$8*(S679-T679*Assumptions!$B$9)))</x:f>
        <x:v>1056.6743183435158</x:v>
      </x:c>
      <x:c r="AD679" s="52" t="n">
        <x:f>IF(OR(R679="No",U679*S679=0),"",AA679/(U679*S679))</x:f>
        <x:v>0.028522623920954282</x:v>
      </x:c>
      <x:c r="AE679" s="50" t="str">
        <x:f>IF(R679="No","No finance data",IF(AB679&gt;=10%,"Severe",IF(AB679&gt;=5%,"High",IF(AB679&gt;=2%,"Moderate","Low"))))</x:f>
        <x:v>Moderate</x:v>
      </x:c>
      <x:c r="AF679" s="60" t="n">
        <x:v>42.385999</x:v>
      </x:c>
      <x:c r="AG679" s="60" t="n">
        <x:v>-72.526728</x:v>
      </x:c>
      <x:c r="AH679" s="44" t="str">
        <x:v>Undergraduate tuition-contribution proxy only; not an audited total institutional budget.</x:v>
      </x:c>
    </x:row>
    <x:row r="680">
      <x:c r="A680" s="16" t="n">
        <x:v>166638</x:v>
      </x:c>
      <x:c r="B680" s="16" t="str">
        <x:v>University of Massachusetts-Boston</x:v>
      </x:c>
      <x:c r="C680" s="16" t="str">
        <x:v>MA</x:v>
      </x:c>
      <x:c r="D680" s="16" t="str">
        <x:v>Public</x:v>
      </x:c>
      <x:c r="E680" s="34" t="n">
        <x:v>12397</x:v>
      </x:c>
      <x:c r="F680" s="21" t="n">
        <x:v>0.789</x:v>
      </x:c>
      <x:c r="G680" s="16" t="str">
        <x:v>Statewide</x:v>
      </x:c>
      <x:c r="H680" s="36" t="n">
        <x:f>IF(G680="National",Assumptions!$B$11,IF(G680="Statewide",Assumptions!$B$12,Assumptions!$B$13))</x:f>
        <x:v>0.6</x:v>
      </x:c>
      <x:c r="I680" s="21" t="n">
        <x:v>-0.056426495016611344</x:v>
      </x:c>
      <x:c r="J680" s="21" t="n">
        <x:v>-0.047004775747508276</x:v>
      </x:c>
      <x:c r="K680" s="21" t="n">
        <x:v>-0.09852574750830567</x:v>
      </x:c>
      <x:c r="L680" s="36" t="n">
        <x:f>IF(Assumptions!$B$4=2030,I680,IF(Assumptions!$B$4=2035,J680,K680))</x:f>
        <x:v>-0.047004775747508276</x:v>
      </x:c>
      <x:c r="M680" s="36" t="n">
        <x:f>Assumptions!$B$19</x:f>
        <x:v>-0.04739891965741583</x:v>
      </x:c>
      <x:c r="N680" s="52" t="n">
        <x:f>H680*L680+(1-H680)*M680+O680</x:f>
        <x:v>-0.0471624333114713</x:v>
      </x:c>
      <x:c r="O680" s="36" t="n">
        <x:f>Assumptions!$B$10</x:f>
        <x:v>0</x:v>
      </x:c>
      <x:c r="P680" s="54" t="n">
        <x:f>E680*(1+N680)</x:f>
        <x:v>11812.327314237691</x:v>
      </x:c>
      <x:c r="Q680" s="54" t="n">
        <x:f>P680-E680</x:f>
        <x:v>-584.6726857623089</x:v>
      </x:c>
      <x:c r="R680" s="16" t="str">
        <x:v>Yes</x:v>
      </x:c>
      <x:c r="S680" s="56" t="n">
        <x:v>13317</x:v>
      </x:c>
      <x:c r="T680" s="56" t="n">
        <x:v>15153</x:v>
      </x:c>
      <x:c r="U680" s="40" t="n">
        <x:f>E680*Assumptions!$B$8</x:f>
        <x:v>10537.449999999999</x:v>
      </x:c>
      <x:c r="V680" s="40" t="n">
        <x:f>P680*Assumptions!$B$8</x:f>
        <x:v>10040.478217102038</x:v>
      </x:c>
      <x:c r="W680" s="54" t="n">
        <x:f>V680-U680</x:f>
        <x:v>-496.971782897961</x:v>
      </x:c>
      <x:c r="X680" s="58" t="n">
        <x:f>IF(R680="No","",W680*S680)</x:f>
        <x:v>-6618173.232852147</x:v>
      </x:c>
      <x:c r="Y680" s="58" t="n">
        <x:f>IF(R680="No","",W680*T680*Assumptions!$B$9)</x:f>
        <x:v>-2259184.027875841</x:v>
      </x:c>
      <x:c r="Z680" s="58" t="n">
        <x:f>IF(R680="No","",X680-Y680)</x:f>
        <x:v>-4358989.204976305</x:v>
      </x:c>
      <x:c r="AA680" s="58" t="n">
        <x:f>IF(R680="No","",MAX(0,-Z680))</x:f>
        <x:v>4358989.204976305</x:v>
      </x:c>
      <x:c r="AB680" s="52" t="n">
        <x:f>IF(OR(R680="No",U680*S680=0),"",AA680/(U680*S680))</x:f>
        <x:v>0.03106303362756207</x:v>
      </x:c>
      <x:c r="AC680" s="54" t="n">
        <x:f>IF(OR(R680="No",S680-T680*Assumptions!$B$9&lt;=0),"",AA680/(Assumptions!$B$8*(S680-T680*Assumptions!$B$9)))</x:f>
        <x:v>584.672685762307</x:v>
      </x:c>
      <x:c r="AD680" s="52" t="n">
        <x:f>IF(OR(R680="No",U680*S680=0),"",AA680/(U680*S680))</x:f>
        <x:v>0.03106303362756207</x:v>
      </x:c>
      <x:c r="AE680" s="50" t="str">
        <x:f>IF(R680="No","No finance data",IF(AB680&gt;=10%,"Severe",IF(AB680&gt;=5%,"High",IF(AB680&gt;=2%,"Moderate","Low"))))</x:f>
        <x:v>Moderate</x:v>
      </x:c>
      <x:c r="AF680" s="60" t="n">
        <x:v>42.312881</x:v>
      </x:c>
      <x:c r="AG680" s="60" t="n">
        <x:v>-71.036865</x:v>
      </x:c>
      <x:c r="AH680" s="44" t="str">
        <x:v>Undergraduate tuition-contribution proxy only; not an audited total institutional budget.</x:v>
      </x:c>
    </x:row>
    <x:row r="681">
      <x:c r="A681" s="16" t="n">
        <x:v>167987</x:v>
      </x:c>
      <x:c r="B681" s="16" t="str">
        <x:v>University of Massachusetts-Dartmouth</x:v>
      </x:c>
      <x:c r="C681" s="16" t="str">
        <x:v>MA</x:v>
      </x:c>
      <x:c r="D681" s="16" t="str">
        <x:v>Public</x:v>
      </x:c>
      <x:c r="E681" s="34" t="n">
        <x:v>7054</x:v>
      </x:c>
      <x:c r="F681" s="21" t="n">
        <x:v>0.9222</x:v>
      </x:c>
      <x:c r="G681" s="16" t="str">
        <x:v>Statewide</x:v>
      </x:c>
      <x:c r="H681" s="36" t="n">
        <x:f>IF(G681="National",Assumptions!$B$11,IF(G681="Statewide",Assumptions!$B$12,Assumptions!$B$13))</x:f>
        <x:v>0.6</x:v>
      </x:c>
      <x:c r="I681" s="21" t="n">
        <x:v>-0.056426495016611344</x:v>
      </x:c>
      <x:c r="J681" s="21" t="n">
        <x:v>-0.047004775747508276</x:v>
      </x:c>
      <x:c r="K681" s="21" t="n">
        <x:v>-0.09852574750830567</x:v>
      </x:c>
      <x:c r="L681" s="36" t="n">
        <x:f>IF(Assumptions!$B$4=2030,I681,IF(Assumptions!$B$4=2035,J681,K681))</x:f>
        <x:v>-0.047004775747508276</x:v>
      </x:c>
      <x:c r="M681" s="36" t="n">
        <x:f>Assumptions!$B$19</x:f>
        <x:v>-0.04739891965741583</x:v>
      </x:c>
      <x:c r="N681" s="52" t="n">
        <x:f>H681*L681+(1-H681)*M681+O681</x:f>
        <x:v>-0.0471624333114713</x:v>
      </x:c>
      <x:c r="O681" s="36" t="n">
        <x:f>Assumptions!$B$10</x:f>
        <x:v>0</x:v>
      </x:c>
      <x:c r="P681" s="54" t="n">
        <x:f>E681*(1+N681)</x:f>
        <x:v>6721.316195420882</x:v>
      </x:c>
      <x:c r="Q681" s="54" t="n">
        <x:f>P681-E681</x:f>
        <x:v>-332.68380457911826</x:v>
      </x:c>
      <x:c r="R681" s="16" t="str">
        <x:v>Yes</x:v>
      </x:c>
      <x:c r="S681" s="56" t="n">
        <x:v>11976</x:v>
      </x:c>
      <x:c r="T681" s="56" t="n">
        <x:v>14589</x:v>
      </x:c>
      <x:c r="U681" s="40" t="n">
        <x:f>E681*Assumptions!$B$8</x:f>
        <x:v>5995.9</x:v>
      </x:c>
      <x:c r="V681" s="40" t="n">
        <x:f>P681*Assumptions!$B$8</x:f>
        <x:v>5713.118766107749</x:v>
      </x:c>
      <x:c r="W681" s="54" t="n">
        <x:f>V681-U681</x:f>
        <x:v>-282.7812338922504</x:v>
      </x:c>
      <x:c r="X681" s="58" t="n">
        <x:f>IF(R681="No","",W681*S681)</x:f>
        <x:v>-3386588.0570935905</x:v>
      </x:c>
      <x:c r="Y681" s="58" t="n">
        <x:f>IF(R681="No","",W681*T681*Assumptions!$B$9)</x:f>
        <x:v>-1237648.626376212</x:v>
      </x:c>
      <x:c r="Z681" s="58" t="n">
        <x:f>IF(R681="No","",X681-Y681)</x:f>
        <x:v>-2148939.4307173784</x:v>
      </x:c>
      <x:c r="AA681" s="58" t="n">
        <x:f>IF(R681="No","",MAX(0,-Z681))</x:f>
        <x:v>2148939.4307173784</x:v>
      </x:c>
      <x:c r="AB681" s="52" t="n">
        <x:f>IF(OR(R681="No",U681*S681=0),"",AA681/(U681*S681))</x:f>
        <x:v>0.02992664324180556</x:v>
      </x:c>
      <x:c r="AC681" s="54" t="n">
        <x:f>IF(OR(R681="No",S681-T681*Assumptions!$B$9&lt;=0),"",AA681/(Assumptions!$B$8*(S681-T681*Assumptions!$B$9)))</x:f>
        <x:v>332.68380457911815</x:v>
      </x:c>
      <x:c r="AD681" s="52" t="n">
        <x:f>IF(OR(R681="No",U681*S681=0),"",AA681/(U681*S681))</x:f>
        <x:v>0.02992664324180556</x:v>
      </x:c>
      <x:c r="AE681" s="50" t="str">
        <x:f>IF(R681="No","No finance data",IF(AB681&gt;=10%,"Severe",IF(AB681&gt;=5%,"High",IF(AB681&gt;=2%,"Moderate","Low"))))</x:f>
        <x:v>Moderate</x:v>
      </x:c>
      <x:c r="AF681" s="60" t="n">
        <x:v>41.62869</x:v>
      </x:c>
      <x:c r="AG681" s="60" t="n">
        <x:v>-71.004552</x:v>
      </x:c>
      <x:c r="AH681" s="44" t="str">
        <x:v>Undergraduate tuition-contribution proxy only; not an audited total institutional budget.</x:v>
      </x:c>
    </x:row>
    <x:row r="682">
      <x:c r="A682" s="16" t="n">
        <x:v>166513</x:v>
      </x:c>
      <x:c r="B682" s="16" t="str">
        <x:v>University of Massachusetts-Lowell</x:v>
      </x:c>
      <x:c r="C682" s="16" t="str">
        <x:v>MA</x:v>
      </x:c>
      <x:c r="D682" s="16" t="str">
        <x:v>Public</x:v>
      </x:c>
      <x:c r="E682" s="34" t="n">
        <x:v>13092</x:v>
      </x:c>
      <x:c r="F682" s="21" t="n">
        <x:v>0.8457</x:v>
      </x:c>
      <x:c r="G682" s="16" t="str">
        <x:v>Statewide</x:v>
      </x:c>
      <x:c r="H682" s="36" t="n">
        <x:f>IF(G682="National",Assumptions!$B$11,IF(G682="Statewide",Assumptions!$B$12,Assumptions!$B$13))</x:f>
        <x:v>0.6</x:v>
      </x:c>
      <x:c r="I682" s="21" t="n">
        <x:v>-0.056426495016611344</x:v>
      </x:c>
      <x:c r="J682" s="21" t="n">
        <x:v>-0.047004775747508276</x:v>
      </x:c>
      <x:c r="K682" s="21" t="n">
        <x:v>-0.09852574750830567</x:v>
      </x:c>
      <x:c r="L682" s="36" t="n">
        <x:f>IF(Assumptions!$B$4=2030,I682,IF(Assumptions!$B$4=2035,J682,K682))</x:f>
        <x:v>-0.047004775747508276</x:v>
      </x:c>
      <x:c r="M682" s="36" t="n">
        <x:f>Assumptions!$B$19</x:f>
        <x:v>-0.04739891965741583</x:v>
      </x:c>
      <x:c r="N682" s="52" t="n">
        <x:f>H682*L682+(1-H682)*M682+O682</x:f>
        <x:v>-0.0471624333114713</x:v>
      </x:c>
      <x:c r="O682" s="36" t="n">
        <x:f>Assumptions!$B$10</x:f>
        <x:v>0</x:v>
      </x:c>
      <x:c r="P682" s="54" t="n">
        <x:f>E682*(1+N682)</x:f>
        <x:v>12474.549423086219</x:v>
      </x:c>
      <x:c r="Q682" s="54" t="n">
        <x:f>P682-E682</x:f>
        <x:v>-617.4505769137813</x:v>
      </x:c>
      <x:c r="R682" s="16" t="str">
        <x:v>Yes</x:v>
      </x:c>
      <x:c r="S682" s="56" t="n">
        <x:v>13271</x:v>
      </x:c>
      <x:c r="T682" s="56" t="n">
        <x:v>12104</x:v>
      </x:c>
      <x:c r="U682" s="40" t="n">
        <x:f>E682*Assumptions!$B$8</x:f>
        <x:v>11128.199999999999</x:v>
      </x:c>
      <x:c r="V682" s="40" t="n">
        <x:f>P682*Assumptions!$B$8</x:f>
        <x:v>10603.367009623285</x:v>
      </x:c>
      <x:c r="W682" s="54" t="n">
        <x:f>V682-U682</x:f>
        <x:v>-524.8329903767135</x:v>
      </x:c>
      <x:c r="X682" s="58" t="n">
        <x:f>IF(R682="No","",W682*S682)</x:f>
        <x:v>-6965058.615289365</x:v>
      </x:c>
      <x:c r="Y682" s="58" t="n">
        <x:f>IF(R682="No","",W682*T682*Assumptions!$B$9)</x:f>
        <x:v>-1905773.5546559219</x:v>
      </x:c>
      <x:c r="Z682" s="58" t="n">
        <x:f>IF(R682="No","",X682-Y682)</x:f>
        <x:v>-5059285.060633443</x:v>
      </x:c>
      <x:c r="AA682" s="58" t="n">
        <x:f>IF(R682="No","",MAX(0,-Z682))</x:f>
        <x:v>5059285.060633443</x:v>
      </x:c>
      <x:c r="AB682" s="52" t="n">
        <x:f>IF(OR(R682="No",U682*S682=0),"",AA682/(U682*S682))</x:f>
        <x:v>0.03425788747162383</x:v>
      </x:c>
      <x:c r="AC682" s="54" t="n">
        <x:f>IF(OR(R682="No",S682-T682*Assumptions!$B$9&lt;=0),"",AA682/(Assumptions!$B$8*(S682-T682*Assumptions!$B$9)))</x:f>
        <x:v>617.4505769137807</x:v>
      </x:c>
      <x:c r="AD682" s="52" t="n">
        <x:f>IF(OR(R682="No",U682*S682=0),"",AA682/(U682*S682))</x:f>
        <x:v>0.03425788747162383</x:v>
      </x:c>
      <x:c r="AE682" s="50" t="str">
        <x:f>IF(R682="No","No finance data",IF(AB682&gt;=10%,"Severe",IF(AB682&gt;=5%,"High",IF(AB682&gt;=2%,"Moderate","Low"))))</x:f>
        <x:v>Moderate</x:v>
      </x:c>
      <x:c r="AF682" s="60" t="n">
        <x:v>42.652864</x:v>
      </x:c>
      <x:c r="AG682" s="60" t="n">
        <x:v>-71.326809</x:v>
      </x:c>
      <x:c r="AH682" s="44" t="str">
        <x:v>Undergraduate tuition-contribution proxy only; not an audited total institutional budget.</x:v>
      </x:c>
    </x:row>
    <x:row r="683">
      <x:c r="A683" s="16" t="n">
        <x:v>168218</x:v>
      </x:c>
      <x:c r="B683" s="16" t="str">
        <x:v>Wellesley College</x:v>
      </x:c>
      <x:c r="C683" s="16" t="str">
        <x:v>MA</x:v>
      </x:c>
      <x:c r="D683" s="16" t="str">
        <x:v>Private nonprofit</x:v>
      </x:c>
      <x:c r="E683" s="34" t="n">
        <x:v>2344</x:v>
      </x:c>
      <x:c r="F683" s="21" t="n">
        <x:v>0.1618</x:v>
      </x:c>
      <x:c r="G683" s="16" t="str">
        <x:v>National</x:v>
      </x:c>
      <x:c r="H683" s="36" t="n">
        <x:f>IF(G683="National",Assumptions!$B$11,IF(G683="Statewide",Assumptions!$B$12,Assumptions!$B$13))</x:f>
        <x:v>0.25</x:v>
      </x:c>
      <x:c r="I683" s="21" t="n">
        <x:v>-0.056426495016611344</x:v>
      </x:c>
      <x:c r="J683" s="21" t="n">
        <x:v>-0.047004775747508276</x:v>
      </x:c>
      <x:c r="K683" s="21" t="n">
        <x:v>-0.09852574750830567</x:v>
      </x:c>
      <x:c r="L683" s="36" t="n">
        <x:f>IF(Assumptions!$B$4=2030,I683,IF(Assumptions!$B$4=2035,J683,K683))</x:f>
        <x:v>-0.047004775747508276</x:v>
      </x:c>
      <x:c r="M683" s="36" t="n">
        <x:f>Assumptions!$B$19</x:f>
        <x:v>-0.04739891965741583</x:v>
      </x:c>
      <x:c r="N683" s="52" t="n">
        <x:f>H683*L683+(1-H683)*M683+O683</x:f>
        <x:v>-0.04730038367993894</x:v>
      </x:c>
      <x:c r="O683" s="36" t="n">
        <x:f>Assumptions!$B$10</x:f>
        <x:v>0</x:v>
      </x:c>
      <x:c r="P683" s="54" t="n">
        <x:f>E683*(1+N683)</x:f>
        <x:v>2233.127900654223</x:v>
      </x:c>
      <x:c r="Q683" s="54" t="n">
        <x:f>P683-E683</x:f>
        <x:v>-110.87209934577686</x:v>
      </x:c>
      <x:c r="R683" s="16" t="str">
        <x:v>Yes</x:v>
      </x:c>
      <x:c r="S683" s="56" t="n">
        <x:v>23100</x:v>
      </x:c>
      <x:c r="T683" s="56" t="n">
        <x:v>34108</x:v>
      </x:c>
      <x:c r="U683" s="40" t="n">
        <x:f>E683*Assumptions!$B$8</x:f>
        <x:v>1992.3999999999999</x:v>
      </x:c>
      <x:c r="V683" s="40" t="n">
        <x:f>P683*Assumptions!$B$8</x:f>
        <x:v>1898.1587155560896</x:v>
      </x:c>
      <x:c r="W683" s="54" t="n">
        <x:f>V683-U683</x:f>
        <x:v>-94.24128444391022</x:v>
      </x:c>
      <x:c r="X683" s="58" t="n">
        <x:f>IF(R683="No","",W683*S683)</x:f>
        <x:v>-2176973.670654326</x:v>
      </x:c>
      <x:c r="Y683" s="58" t="n">
        <x:f>IF(R683="No","",W683*T683*Assumptions!$B$9)</x:f>
        <x:v>-964314.518943867</x:v>
      </x:c>
      <x:c r="Z683" s="58" t="n">
        <x:f>IF(R683="No","",X683-Y683)</x:f>
        <x:v>-1212659.1517104593</x:v>
      </x:c>
      <x:c r="AA683" s="58" t="n">
        <x:f>IF(R683="No","",MAX(0,-Z683))</x:f>
        <x:v>1212659.1517104593</x:v>
      </x:c>
      <x:c r="AB683" s="52" t="n">
        <x:f>IF(OR(R683="No",U683*S683=0),"",AA683/(U683*S683))</x:f>
        <x:v>0.026348156581817384</x:v>
      </x:c>
      <x:c r="AC683" s="54" t="n">
        <x:f>IF(OR(R683="No",S683-T683*Assumptions!$B$9&lt;=0),"",AA683/(Assumptions!$B$8*(S683-T683*Assumptions!$B$9)))</x:f>
        <x:v>110.87209934577675</x:v>
      </x:c>
      <x:c r="AD683" s="52" t="n">
        <x:f>IF(OR(R683="No",U683*S683=0),"",AA683/(U683*S683))</x:f>
        <x:v>0.026348156581817384</x:v>
      </x:c>
      <x:c r="AE683" s="50" t="str">
        <x:f>IF(R683="No","No finance data",IF(AB683&gt;=10%,"Severe",IF(AB683&gt;=5%,"High",IF(AB683&gt;=2%,"Moderate","Low"))))</x:f>
        <x:v>Moderate</x:v>
      </x:c>
      <x:c r="AF683" s="60" t="n">
        <x:v>42.291554</x:v>
      </x:c>
      <x:c r="AG683" s="60" t="n">
        <x:v>-71.306605</x:v>
      </x:c>
      <x:c r="AH683" s="44" t="str">
        <x:v>Undergraduate tuition-contribution proxy only; not an audited total institutional budget.</x:v>
      </x:c>
    </x:row>
    <x:row r="684">
      <x:c r="A684" s="16" t="n">
        <x:v>168227</x:v>
      </x:c>
      <x:c r="B684" s="16" t="str">
        <x:v>Wentworth Institute of Technology</x:v>
      </x:c>
      <x:c r="C684" s="16" t="str">
        <x:v>MA</x:v>
      </x:c>
      <x:c r="D684" s="16" t="str">
        <x:v>Private nonprofit</x:v>
      </x:c>
      <x:c r="E684" s="34" t="n">
        <x:v>4288</x:v>
      </x:c>
      <x:c r="F684" s="21" t="n">
        <x:v>0.8954</x:v>
      </x:c>
      <x:c r="G684" s="16" t="str">
        <x:v>Regional</x:v>
      </x:c>
      <x:c r="H684" s="36" t="n">
        <x:f>IF(G684="National",Assumptions!$B$11,IF(G684="Statewide",Assumptions!$B$12,Assumptions!$B$13))</x:f>
        <x:v>0.85</x:v>
      </x:c>
      <x:c r="I684" s="21" t="n">
        <x:v>-0.056426495016611344</x:v>
      </x:c>
      <x:c r="J684" s="21" t="n">
        <x:v>-0.047004775747508276</x:v>
      </x:c>
      <x:c r="K684" s="21" t="n">
        <x:v>-0.09852574750830567</x:v>
      </x:c>
      <x:c r="L684" s="36" t="n">
        <x:f>IF(Assumptions!$B$4=2030,I684,IF(Assumptions!$B$4=2035,J684,K684))</x:f>
        <x:v>-0.047004775747508276</x:v>
      </x:c>
      <x:c r="M684" s="36" t="n">
        <x:f>Assumptions!$B$19</x:f>
        <x:v>-0.04739891965741583</x:v>
      </x:c>
      <x:c r="N684" s="52" t="n">
        <x:f>H684*L684+(1-H684)*M684+O684</x:f>
        <x:v>-0.04706389733399441</x:v>
      </x:c>
      <x:c r="O684" s="36" t="n">
        <x:f>Assumptions!$B$10</x:f>
        <x:v>0</x:v>
      </x:c>
      <x:c r="P684" s="54" t="n">
        <x:f>E684*(1+N684)</x:f>
        <x:v>4086.190008231832</x:v>
      </x:c>
      <x:c r="Q684" s="54" t="n">
        <x:f>P684-E684</x:f>
        <x:v>-201.80999176816795</x:v>
      </x:c>
      <x:c r="R684" s="16" t="str">
        <x:v>Yes</x:v>
      </x:c>
      <x:c r="S684" s="56" t="n">
        <x:v>15854</x:v>
      </x:c>
      <x:c r="T684" s="56" t="n">
        <x:v>9999</x:v>
      </x:c>
      <x:c r="U684" s="40" t="n">
        <x:f>E684*Assumptions!$B$8</x:f>
        <x:v>3644.7999999999997</x:v>
      </x:c>
      <x:c r="V684" s="40" t="n">
        <x:f>P684*Assumptions!$B$8</x:f>
        <x:v>3473.261506997057</x:v>
      </x:c>
      <x:c r="W684" s="54" t="n">
        <x:f>V684-U684</x:f>
        <x:v>-171.5384930029427</x:v>
      </x:c>
      <x:c r="X684" s="58" t="n">
        <x:f>IF(R684="No","",W684*S684)</x:f>
        <x:v>-2719571.2680686535</x:v>
      </x:c>
      <x:c r="Y684" s="58" t="n">
        <x:f>IF(R684="No","",W684*T684*Assumptions!$B$9)</x:f>
        <x:v>-514564.01746092713</x:v>
      </x:c>
      <x:c r="Z684" s="58" t="n">
        <x:f>IF(R684="No","",X684-Y684)</x:f>
        <x:v>-2205007.250607726</x:v>
      </x:c>
      <x:c r="AA684" s="58" t="n">
        <x:f>IF(R684="No","",MAX(0,-Z684))</x:f>
        <x:v>2205007.250607726</x:v>
      </x:c>
      <x:c r="AB684" s="52" t="n">
        <x:f>IF(OR(R684="No",U684*S684=0),"",AA684/(U684*S684))</x:f>
        <x:v>0.038159042229113406</x:v>
      </x:c>
      <x:c r="AC684" s="54" t="n">
        <x:f>IF(OR(R684="No",S684-T684*Assumptions!$B$9&lt;=0),"",AA684/(Assumptions!$B$8*(S684-T684*Assumptions!$B$9)))</x:f>
        <x:v>201.8099917681679</x:v>
      </x:c>
      <x:c r="AD684" s="52" t="n">
        <x:f>IF(OR(R684="No",U684*S684=0),"",AA684/(U684*S684))</x:f>
        <x:v>0.038159042229113406</x:v>
      </x:c>
      <x:c r="AE684" s="50" t="str">
        <x:f>IF(R684="No","No finance data",IF(AB684&gt;=10%,"Severe",IF(AB684&gt;=5%,"High",IF(AB684&gt;=2%,"Moderate","Low"))))</x:f>
        <x:v>Moderate</x:v>
      </x:c>
      <x:c r="AF684" s="60" t="n">
        <x:v>42.336632</x:v>
      </x:c>
      <x:c r="AG684" s="60" t="n">
        <x:v>-71.094983</x:v>
      </x:c>
      <x:c r="AH684" s="44" t="str">
        <x:v>Undergraduate tuition-contribution proxy only; not an audited total institutional budget.</x:v>
      </x:c>
    </x:row>
    <x:row r="685">
      <x:c r="A685" s="16" t="n">
        <x:v>168254</x:v>
      </x:c>
      <x:c r="B685" s="16" t="str">
        <x:v>Western New England University</x:v>
      </x:c>
      <x:c r="C685" s="16" t="str">
        <x:v>MA</x:v>
      </x:c>
      <x:c r="D685" s="16" t="str">
        <x:v>Private nonprofit</x:v>
      </x:c>
      <x:c r="E685" s="34" t="n">
        <x:v>2726</x:v>
      </x:c>
      <x:c r="F685" s="21" t="n">
        <x:v>0.8988</x:v>
      </x:c>
      <x:c r="G685" s="16" t="str">
        <x:v>Regional</x:v>
      </x:c>
      <x:c r="H685" s="36" t="n">
        <x:f>IF(G685="National",Assumptions!$B$11,IF(G685="Statewide",Assumptions!$B$12,Assumptions!$B$13))</x:f>
        <x:v>0.85</x:v>
      </x:c>
      <x:c r="I685" s="21" t="n">
        <x:v>-0.056426495016611344</x:v>
      </x:c>
      <x:c r="J685" s="21" t="n">
        <x:v>-0.047004775747508276</x:v>
      </x:c>
      <x:c r="K685" s="21" t="n">
        <x:v>-0.09852574750830567</x:v>
      </x:c>
      <x:c r="L685" s="36" t="n">
        <x:f>IF(Assumptions!$B$4=2030,I685,IF(Assumptions!$B$4=2035,J685,K685))</x:f>
        <x:v>-0.047004775747508276</x:v>
      </x:c>
      <x:c r="M685" s="36" t="n">
        <x:f>Assumptions!$B$19</x:f>
        <x:v>-0.04739891965741583</x:v>
      </x:c>
      <x:c r="N685" s="52" t="n">
        <x:f>H685*L685+(1-H685)*M685+O685</x:f>
        <x:v>-0.04706389733399441</x:v>
      </x:c>
      <x:c r="O685" s="36" t="n">
        <x:f>Assumptions!$B$10</x:f>
        <x:v>0</x:v>
      </x:c>
      <x:c r="P685" s="54" t="n">
        <x:f>E685*(1+N685)</x:f>
        <x:v>2597.7038158675314</x:v>
      </x:c>
      <x:c r="Q685" s="54" t="n">
        <x:f>P685-E685</x:f>
        <x:v>-128.29618413246862</x:v>
      </x:c>
      <x:c r="R685" s="16" t="str">
        <x:v>Yes</x:v>
      </x:c>
      <x:c r="S685" s="56" t="n">
        <x:v>21690</x:v>
      </x:c>
      <x:c r="T685" s="56" t="n">
        <x:v>11145</x:v>
      </x:c>
      <x:c r="U685" s="40" t="n">
        <x:f>E685*Assumptions!$B$8</x:f>
        <x:v>2317.1</x:v>
      </x:c>
      <x:c r="V685" s="40" t="n">
        <x:f>P685*Assumptions!$B$8</x:f>
        <x:v>2208.0482434874016</x:v>
      </x:c>
      <x:c r="W685" s="54" t="n">
        <x:f>V685-U685</x:f>
        <x:v>-109.05175651259833</x:v>
      </x:c>
      <x:c r="X685" s="58" t="n">
        <x:f>IF(R685="No","",W685*S685)</x:f>
        <x:v>-2365332.598758258</x:v>
      </x:c>
      <x:c r="Y685" s="58" t="n">
        <x:f>IF(R685="No","",W685*T685*Assumptions!$B$9)</x:f>
        <x:v>-364614.5478998725</x:v>
      </x:c>
      <x:c r="Z685" s="58" t="n">
        <x:f>IF(R685="No","",X685-Y685)</x:f>
        <x:v>-2000718.0508583854</x:v>
      </x:c>
      <x:c r="AA685" s="58" t="n">
        <x:f>IF(R685="No","",MAX(0,-Z685))</x:f>
        <x:v>2000718.0508583854</x:v>
      </x:c>
      <x:c r="AB685" s="52" t="n">
        <x:f>IF(OR(R685="No",U685*S685=0),"",AA685/(U685*S685))</x:f>
        <x:v>0.03980902685284129</x:v>
      </x:c>
      <x:c r="AC685" s="54" t="n">
        <x:f>IF(OR(R685="No",S685-T685*Assumptions!$B$9&lt;=0),"",AA685/(Assumptions!$B$8*(S685-T685*Assumptions!$B$9)))</x:f>
        <x:v>128.29618413246862</x:v>
      </x:c>
      <x:c r="AD685" s="52" t="n">
        <x:f>IF(OR(R685="No",U685*S685=0),"",AA685/(U685*S685))</x:f>
        <x:v>0.03980902685284129</x:v>
      </x:c>
      <x:c r="AE685" s="50" t="str">
        <x:f>IF(R685="No","No finance data",IF(AB685&gt;=10%,"Severe",IF(AB685&gt;=5%,"High",IF(AB685&gt;=2%,"Moderate","Low"))))</x:f>
        <x:v>Moderate</x:v>
      </x:c>
      <x:c r="AF685" s="60" t="n">
        <x:v>42.115017</x:v>
      </x:c>
      <x:c r="AG685" s="60" t="n">
        <x:v>-72.520466</x:v>
      </x:c>
      <x:c r="AH685" s="44" t="str">
        <x:v>Undergraduate tuition-contribution proxy only; not an audited total institutional budget.</x:v>
      </x:c>
    </x:row>
    <x:row r="686">
      <x:c r="A686" s="16" t="n">
        <x:v>168263</x:v>
      </x:c>
      <x:c r="B686" s="16" t="str">
        <x:v>Westfield State University</x:v>
      </x:c>
      <x:c r="C686" s="16" t="str">
        <x:v>MA</x:v>
      </x:c>
      <x:c r="D686" s="16" t="str">
        <x:v>Public</x:v>
      </x:c>
      <x:c r="E686" s="34" t="n">
        <x:v>5459</x:v>
      </x:c>
      <x:c r="F686" s="21" t="n">
        <x:v>0.9435</x:v>
      </x:c>
      <x:c r="G686" s="16" t="str">
        <x:v>Statewide</x:v>
      </x:c>
      <x:c r="H686" s="36" t="n">
        <x:f>IF(G686="National",Assumptions!$B$11,IF(G686="Statewide",Assumptions!$B$12,Assumptions!$B$13))</x:f>
        <x:v>0.6</x:v>
      </x:c>
      <x:c r="I686" s="21" t="n">
        <x:v>-0.056426495016611344</x:v>
      </x:c>
      <x:c r="J686" s="21" t="n">
        <x:v>-0.047004775747508276</x:v>
      </x:c>
      <x:c r="K686" s="21" t="n">
        <x:v>-0.09852574750830567</x:v>
      </x:c>
      <x:c r="L686" s="36" t="n">
        <x:f>IF(Assumptions!$B$4=2030,I686,IF(Assumptions!$B$4=2035,J686,K686))</x:f>
        <x:v>-0.047004775747508276</x:v>
      </x:c>
      <x:c r="M686" s="36" t="n">
        <x:f>Assumptions!$B$19</x:f>
        <x:v>-0.04739891965741583</x:v>
      </x:c>
      <x:c r="N686" s="52" t="n">
        <x:f>H686*L686+(1-H686)*M686+O686</x:f>
        <x:v>-0.0471624333114713</x:v>
      </x:c>
      <x:c r="O686" s="36" t="n">
        <x:f>Assumptions!$B$10</x:f>
        <x:v>0</x:v>
      </x:c>
      <x:c r="P686" s="54" t="n">
        <x:f>E686*(1+N686)</x:f>
        <x:v>5201.540276552678</x:v>
      </x:c>
      <x:c r="Q686" s="54" t="n">
        <x:f>P686-E686</x:f>
        <x:v>-257.4597234473222</x:v>
      </x:c>
      <x:c r="R686" s="16" t="str">
        <x:v>Yes</x:v>
      </x:c>
      <x:c r="S686" s="56" t="n">
        <x:v>9291</x:v>
      </x:c>
      <x:c r="T686" s="56" t="n">
        <x:v>10337</x:v>
      </x:c>
      <x:c r="U686" s="40" t="n">
        <x:f>E686*Assumptions!$B$8</x:f>
        <x:v>4640.15</x:v>
      </x:c>
      <x:c r="V686" s="40" t="n">
        <x:f>P686*Assumptions!$B$8</x:f>
        <x:v>4421.309235069776</x:v>
      </x:c>
      <x:c r="W686" s="54" t="n">
        <x:f>V686-U686</x:f>
        <x:v>-218.8407649302235</x:v>
      </x:c>
      <x:c r="X686" s="58" t="n">
        <x:f>IF(R686="No","",W686*S686)</x:f>
        <x:v>-2033249.5469667064</x:v>
      </x:c>
      <x:c r="Y686" s="58" t="n">
        <x:f>IF(R686="No","",W686*T686*Assumptions!$B$9)</x:f>
        <x:v>-678647.096125116</x:v>
      </x:c>
      <x:c r="Z686" s="58" t="n">
        <x:f>IF(R686="No","",X686-Y686)</x:f>
        <x:v>-1354602.4508415903</x:v>
      </x:c>
      <x:c r="AA686" s="58" t="n">
        <x:f>IF(R686="No","",MAX(0,-Z686))</x:f>
        <x:v>1354602.4508415903</x:v>
      </x:c>
      <x:c r="AB686" s="52" t="n">
        <x:f>IF(OR(R686="No",U686*S686=0),"",AA686/(U686*S686))</x:f>
        <x:v>0.03142081002633475</x:v>
      </x:c>
      <x:c r="AC686" s="54" t="n">
        <x:f>IF(OR(R686="No",S686-T686*Assumptions!$B$9&lt;=0),"",AA686/(Assumptions!$B$8*(S686-T686*Assumptions!$B$9)))</x:f>
        <x:v>257.4597234473217</x:v>
      </x:c>
      <x:c r="AD686" s="52" t="n">
        <x:f>IF(OR(R686="No",U686*S686=0),"",AA686/(U686*S686))</x:f>
        <x:v>0.03142081002633475</x:v>
      </x:c>
      <x:c r="AE686" s="50" t="str">
        <x:f>IF(R686="No","No finance data",IF(AB686&gt;=10%,"Severe",IF(AB686&gt;=5%,"High",IF(AB686&gt;=2%,"Moderate","Low"))))</x:f>
        <x:v>Moderate</x:v>
      </x:c>
      <x:c r="AF686" s="60" t="n">
        <x:v>42.132698</x:v>
      </x:c>
      <x:c r="AG686" s="60" t="n">
        <x:v>-72.796503</x:v>
      </x:c>
      <x:c r="AH686" s="44" t="str">
        <x:v>Undergraduate tuition-contribution proxy only; not an audited total institutional budget.</x:v>
      </x:c>
    </x:row>
    <x:row r="687">
      <x:c r="A687" s="16" t="n">
        <x:v>168281</x:v>
      </x:c>
      <x:c r="B687" s="16" t="str">
        <x:v>Wheaton College</x:v>
      </x:c>
      <x:c r="C687" s="16" t="str">
        <x:v>MA</x:v>
      </x:c>
      <x:c r="D687" s="16" t="str">
        <x:v>Private nonprofit</x:v>
      </x:c>
      <x:c r="E687" s="34" t="n">
        <x:v>1565</x:v>
      </x:c>
      <x:c r="F687" s="21" t="n">
        <x:v>0.8206</x:v>
      </x:c>
      <x:c r="G687" s="16" t="str">
        <x:v>Regional</x:v>
      </x:c>
      <x:c r="H687" s="36" t="n">
        <x:f>IF(G687="National",Assumptions!$B$11,IF(G687="Statewide",Assumptions!$B$12,Assumptions!$B$13))</x:f>
        <x:v>0.85</x:v>
      </x:c>
      <x:c r="I687" s="21" t="n">
        <x:v>-0.056426495016611344</x:v>
      </x:c>
      <x:c r="J687" s="21" t="n">
        <x:v>-0.047004775747508276</x:v>
      </x:c>
      <x:c r="K687" s="21" t="n">
        <x:v>-0.09852574750830567</x:v>
      </x:c>
      <x:c r="L687" s="36" t="n">
        <x:f>IF(Assumptions!$B$4=2030,I687,IF(Assumptions!$B$4=2035,J687,K687))</x:f>
        <x:v>-0.047004775747508276</x:v>
      </x:c>
      <x:c r="M687" s="36" t="n">
        <x:f>Assumptions!$B$19</x:f>
        <x:v>-0.04739891965741583</x:v>
      </x:c>
      <x:c r="N687" s="52" t="n">
        <x:f>H687*L687+(1-H687)*M687+O687</x:f>
        <x:v>-0.04706389733399441</x:v>
      </x:c>
      <x:c r="O687" s="36" t="n">
        <x:f>Assumptions!$B$10</x:f>
        <x:v>0</x:v>
      </x:c>
      <x:c r="P687" s="54" t="n">
        <x:f>E687*(1+N687)</x:f>
        <x:v>1491.3450006722987</x:v>
      </x:c>
      <x:c r="Q687" s="54" t="n">
        <x:f>P687-E687</x:f>
        <x:v>-73.65499932770126</x:v>
      </x:c>
      <x:c r="R687" s="16" t="str">
        <x:v>Yes</x:v>
      </x:c>
      <x:c r="S687" s="56" t="n">
        <x:v>18207</x:v>
      </x:c>
      <x:c r="T687" s="56" t="n">
        <x:v>13608</x:v>
      </x:c>
      <x:c r="U687" s="40" t="n">
        <x:f>E687*Assumptions!$B$8</x:f>
        <x:v>1330.25</x:v>
      </x:c>
      <x:c r="V687" s="40" t="n">
        <x:f>P687*Assumptions!$B$8</x:f>
        <x:v>1267.6432505714538</x:v>
      </x:c>
      <x:c r="W687" s="54" t="n">
        <x:f>V687-U687</x:f>
        <x:v>-62.60674942854621</x:v>
      </x:c>
      <x:c r="X687" s="58" t="n">
        <x:f>IF(R687="No","",W687*S687)</x:f>
        <x:v>-1139881.086845541</x:v>
      </x:c>
      <x:c r="Y687" s="58" t="n">
        <x:f>IF(R687="No","",W687*T687*Assumptions!$B$9)</x:f>
        <x:v>-255585.79386709703</x:v>
      </x:c>
      <x:c r="Z687" s="58" t="n">
        <x:f>IF(R687="No","",X687-Y687)</x:f>
        <x:v>-884295.2929784439</x:v>
      </x:c>
      <x:c r="AA687" s="58" t="n">
        <x:f>IF(R687="No","",MAX(0,-Z687))</x:f>
        <x:v>884295.2929784439</x:v>
      </x:c>
      <x:c r="AB687" s="52" t="n">
        <x:f>IF(OR(R687="No",U687*S687=0),"",AA687/(U687*S687))</x:f>
        <x:v>0.03651116187640682</x:v>
      </x:c>
      <x:c r="AC687" s="54" t="n">
        <x:f>IF(OR(R687="No",S687-T687*Assumptions!$B$9&lt;=0),"",AA687/(Assumptions!$B$8*(S687-T687*Assumptions!$B$9)))</x:f>
        <x:v>73.65499932770143</x:v>
      </x:c>
      <x:c r="AD687" s="52" t="n">
        <x:f>IF(OR(R687="No",U687*S687=0),"",AA687/(U687*S687))</x:f>
        <x:v>0.03651116187640682</x:v>
      </x:c>
      <x:c r="AE687" s="50" t="str">
        <x:f>IF(R687="No","No finance data",IF(AB687&gt;=10%,"Severe",IF(AB687&gt;=5%,"High",IF(AB687&gt;=2%,"Moderate","Low"))))</x:f>
        <x:v>Moderate</x:v>
      </x:c>
      <x:c r="AF687" s="60" t="n">
        <x:v>41.966637</x:v>
      </x:c>
      <x:c r="AG687" s="60" t="n">
        <x:v>-71.183979</x:v>
      </x:c>
      <x:c r="AH687" s="44" t="str">
        <x:v>Undergraduate tuition-contribution proxy only; not an audited total institutional budget.</x:v>
      </x:c>
    </x:row>
    <x:row r="688">
      <x:c r="A688" s="16" t="n">
        <x:v>168290</x:v>
      </x:c>
      <x:c r="B688" s="16" t="str">
        <x:v>Wheelock College</x:v>
      </x:c>
      <x:c r="C688" s="16" t="str">
        <x:v>MA</x:v>
      </x:c>
      <x:c r="D688" s="16" t="str">
        <x:v>Private nonprofit</x:v>
      </x:c>
      <x:c r="E688" s="34" t="n">
        <x:v>809</x:v>
      </x:c>
      <x:c r="F688" s="21"/>
      <x:c r="G688" s="16" t="str">
        <x:v>Regional</x:v>
      </x:c>
      <x:c r="H688" s="36" t="n">
        <x:f>IF(G688="National",Assumptions!$B$11,IF(G688="Statewide",Assumptions!$B$12,Assumptions!$B$13))</x:f>
        <x:v>0.85</x:v>
      </x:c>
      <x:c r="I688" s="21" t="n">
        <x:v>-0.056426495016611344</x:v>
      </x:c>
      <x:c r="J688" s="21" t="n">
        <x:v>-0.047004775747508276</x:v>
      </x:c>
      <x:c r="K688" s="21" t="n">
        <x:v>-0.09852574750830567</x:v>
      </x:c>
      <x:c r="L688" s="36" t="n">
        <x:f>IF(Assumptions!$B$4=2030,I688,IF(Assumptions!$B$4=2035,J688,K688))</x:f>
        <x:v>-0.047004775747508276</x:v>
      </x:c>
      <x:c r="M688" s="36" t="n">
        <x:f>Assumptions!$B$19</x:f>
        <x:v>-0.04739891965741583</x:v>
      </x:c>
      <x:c r="N688" s="52" t="n">
        <x:f>H688*L688+(1-H688)*M688+O688</x:f>
        <x:v>-0.04706389733399441</x:v>
      </x:c>
      <x:c r="O688" s="36" t="n">
        <x:f>Assumptions!$B$10</x:f>
        <x:v>0</x:v>
      </x:c>
      <x:c r="P688" s="54" t="n">
        <x:f>E688*(1+N688)</x:f>
        <x:v>770.9253070567985</x:v>
      </x:c>
      <x:c r="Q688" s="54" t="n">
        <x:f>P688-E688</x:f>
        <x:v>-38.07469294320151</x:v>
      </x:c>
      <x:c r="R688" s="16" t="str">
        <x:v>No</x:v>
      </x:c>
      <x:c r="S688" s="56"/>
      <x:c r="T688" s="56"/>
      <x:c r="U688" s="40" t="n">
        <x:f>E688*Assumptions!$B$8</x:f>
        <x:v>687.65</x:v>
      </x:c>
      <x:c r="V688" s="40" t="n">
        <x:f>P688*Assumptions!$B$8</x:f>
        <x:v>655.2865109982787</x:v>
      </x:c>
      <x:c r="W688" s="54" t="n">
        <x:f>V688-U688</x:f>
        <x:v>-32.36348900172129</x:v>
      </x:c>
      <x:c r="X688" s="58" t="str">
        <x:f>IF(R688="No","",W688*S688)</x:f>
      </x:c>
      <x:c r="Y688" s="58" t="str">
        <x:f>IF(R688="No","",W688*T688*Assumptions!$B$9)</x:f>
      </x:c>
      <x:c r="Z688" s="58" t="str">
        <x:f>IF(R688="No","",X688-Y688)</x:f>
      </x:c>
      <x:c r="AA688" s="58" t="str">
        <x:f>IF(R688="No","",MAX(0,-Z688))</x:f>
      </x:c>
      <x:c r="AB688" s="52" t="str">
        <x:f>IF(OR(R688="No",U688*S688=0),"",AA688/(U688*S688))</x:f>
      </x:c>
      <x:c r="AC688" s="54" t="str">
        <x:f>IF(OR(R688="No",S688-T688*Assumptions!$B$9&lt;=0),"",AA688/(Assumptions!$B$8*(S688-T688*Assumptions!$B$9)))</x:f>
      </x:c>
      <x:c r="AD688" s="52" t="str">
        <x:f>IF(OR(R688="No",U688*S688=0),"",AA688/(U688*S688))</x:f>
      </x:c>
      <x:c r="AE688" s="50" t="str">
        <x:f>IF(R688="No","No finance data",IF(AB688&gt;=10%,"Severe",IF(AB688&gt;=5%,"High",IF(AB688&gt;=2%,"Moderate","Low"))))</x:f>
        <x:v>No finance data</x:v>
      </x:c>
      <x:c r="AF688" s="60"/>
      <x:c r="AG688" s="60"/>
      <x:c r="AH688" s="44" t="str">
        <x:v>Undergraduate tuition-contribution proxy only; not an audited total institutional budget.</x:v>
      </x:c>
    </x:row>
    <x:row r="689">
      <x:c r="A689" s="16" t="n">
        <x:v>168342</x:v>
      </x:c>
      <x:c r="B689" s="16" t="str">
        <x:v>Williams College</x:v>
      </x:c>
      <x:c r="C689" s="16" t="str">
        <x:v>MA</x:v>
      </x:c>
      <x:c r="D689" s="16" t="str">
        <x:v>Private nonprofit</x:v>
      </x:c>
      <x:c r="E689" s="34" t="n">
        <x:v>2070</x:v>
      </x:c>
      <x:c r="F689" s="21" t="n">
        <x:v>0.0883</x:v>
      </x:c>
      <x:c r="G689" s="16" t="str">
        <x:v>National</x:v>
      </x:c>
      <x:c r="H689" s="36" t="n">
        <x:f>IF(G689="National",Assumptions!$B$11,IF(G689="Statewide",Assumptions!$B$12,Assumptions!$B$13))</x:f>
        <x:v>0.25</x:v>
      </x:c>
      <x:c r="I689" s="21" t="n">
        <x:v>-0.056426495016611344</x:v>
      </x:c>
      <x:c r="J689" s="21" t="n">
        <x:v>-0.047004775747508276</x:v>
      </x:c>
      <x:c r="K689" s="21" t="n">
        <x:v>-0.09852574750830567</x:v>
      </x:c>
      <x:c r="L689" s="36" t="n">
        <x:f>IF(Assumptions!$B$4=2030,I689,IF(Assumptions!$B$4=2035,J689,K689))</x:f>
        <x:v>-0.047004775747508276</x:v>
      </x:c>
      <x:c r="M689" s="36" t="n">
        <x:f>Assumptions!$B$19</x:f>
        <x:v>-0.04739891965741583</x:v>
      </x:c>
      <x:c r="N689" s="52" t="n">
        <x:f>H689*L689+(1-H689)*M689+O689</x:f>
        <x:v>-0.04730038367993894</x:v>
      </x:c>
      <x:c r="O689" s="36" t="n">
        <x:f>Assumptions!$B$10</x:f>
        <x:v>0</x:v>
      </x:c>
      <x:c r="P689" s="54" t="n">
        <x:f>E689*(1+N689)</x:f>
        <x:v>1972.0882057825263</x:v>
      </x:c>
      <x:c r="Q689" s="54" t="n">
        <x:f>P689-E689</x:f>
        <x:v>-97.9117942174737</x:v>
      </x:c>
      <x:c r="R689" s="16" t="str">
        <x:v>Yes</x:v>
      </x:c>
      <x:c r="S689" s="56" t="n">
        <x:v>28217</x:v>
      </x:c>
      <x:c r="T689" s="56" t="n">
        <x:v>48046</x:v>
      </x:c>
      <x:c r="U689" s="40" t="n">
        <x:f>E689*Assumptions!$B$8</x:f>
        <x:v>1759.5</x:v>
      </x:c>
      <x:c r="V689" s="40" t="n">
        <x:f>P689*Assumptions!$B$8</x:f>
        <x:v>1676.2749749151474</x:v>
      </x:c>
      <x:c r="W689" s="54" t="n">
        <x:f>V689-U689</x:f>
        <x:v>-83.22502508485263</x:v>
      </x:c>
      <x:c r="X689" s="58" t="n">
        <x:f>IF(R689="No","",W689*S689)</x:f>
        <x:v>-2348360.532819287</x:v>
      </x:c>
      <x:c r="Y689" s="58" t="n">
        <x:f>IF(R689="No","",W689*T689*Assumptions!$B$9)</x:f>
        <x:v>-1199588.8665680487</x:v>
      </x:c>
      <x:c r="Z689" s="58" t="n">
        <x:f>IF(R689="No","",X689-Y689)</x:f>
        <x:v>-1148771.6662512382</x:v>
      </x:c>
      <x:c r="AA689" s="58" t="n">
        <x:f>IF(R689="No","",MAX(0,-Z689))</x:f>
        <x:v>1148771.6662512382</x:v>
      </x:c>
      <x:c r="AB689" s="52" t="n">
        <x:f>IF(OR(R689="No",U689*S689=0),"",AA689/(U689*S689))</x:f>
        <x:v>0.023138414998438314</x:v>
      </x:c>
      <x:c r="AC689" s="54" t="n">
        <x:f>IF(OR(R689="No",S689-T689*Assumptions!$B$9&lt;=0),"",AA689/(Assumptions!$B$8*(S689-T689*Assumptions!$B$9)))</x:f>
        <x:v>97.9117942174737</x:v>
      </x:c>
      <x:c r="AD689" s="52" t="n">
        <x:f>IF(OR(R689="No",U689*S689=0),"",AA689/(U689*S689))</x:f>
        <x:v>0.023138414998438314</x:v>
      </x:c>
      <x:c r="AE689" s="50" t="str">
        <x:f>IF(R689="No","No finance data",IF(AB689&gt;=10%,"Severe",IF(AB689&gt;=5%,"High",IF(AB689&gt;=2%,"Moderate","Low"))))</x:f>
        <x:v>Moderate</x:v>
      </x:c>
      <x:c r="AF689" s="60" t="n">
        <x:v>42.712725</x:v>
      </x:c>
      <x:c r="AG689" s="60" t="n">
        <x:v>-73.203132</x:v>
      </x:c>
      <x:c r="AH689" s="44" t="str">
        <x:v>Undergraduate tuition-contribution proxy only; not an audited total institutional budget.</x:v>
      </x:c>
    </x:row>
    <x:row r="690">
      <x:c r="A690" s="16" t="n">
        <x:v>168421</x:v>
      </x:c>
      <x:c r="B690" s="16" t="str">
        <x:v>Worcester Polytechnic Institute</x:v>
      </x:c>
      <x:c r="C690" s="16" t="str">
        <x:v>MA</x:v>
      </x:c>
      <x:c r="D690" s="16" t="str">
        <x:v>Private nonprofit</x:v>
      </x:c>
      <x:c r="E690" s="34" t="n">
        <x:v>4177</x:v>
      </x:c>
      <x:c r="F690" s="21" t="n">
        <x:v>0.6021</x:v>
      </x:c>
      <x:c r="G690" s="16" t="str">
        <x:v>Regional</x:v>
      </x:c>
      <x:c r="H690" s="36" t="n">
        <x:f>IF(G690="National",Assumptions!$B$11,IF(G690="Statewide",Assumptions!$B$12,Assumptions!$B$13))</x:f>
        <x:v>0.85</x:v>
      </x:c>
      <x:c r="I690" s="21" t="n">
        <x:v>-0.056426495016611344</x:v>
      </x:c>
      <x:c r="J690" s="21" t="n">
        <x:v>-0.047004775747508276</x:v>
      </x:c>
      <x:c r="K690" s="21" t="n">
        <x:v>-0.09852574750830567</x:v>
      </x:c>
      <x:c r="L690" s="36" t="n">
        <x:f>IF(Assumptions!$B$4=2030,I690,IF(Assumptions!$B$4=2035,J690,K690))</x:f>
        <x:v>-0.047004775747508276</x:v>
      </x:c>
      <x:c r="M690" s="36" t="n">
        <x:f>Assumptions!$B$19</x:f>
        <x:v>-0.04739891965741583</x:v>
      </x:c>
      <x:c r="N690" s="52" t="n">
        <x:f>H690*L690+(1-H690)*M690+O690</x:f>
        <x:v>-0.04706389733399441</x:v>
      </x:c>
      <x:c r="O690" s="36" t="n">
        <x:f>Assumptions!$B$10</x:f>
        <x:v>0</x:v>
      </x:c>
      <x:c r="P690" s="54" t="n">
        <x:f>E690*(1+N690)</x:f>
        <x:v>3980.414100835905</x:v>
      </x:c>
      <x:c r="Q690" s="54" t="n">
        <x:f>P690-E690</x:f>
        <x:v>-196.58589916409483</x:v>
      </x:c>
      <x:c r="R690" s="16" t="str">
        <x:v>Yes</x:v>
      </x:c>
      <x:c r="S690" s="56" t="n">
        <x:v>29096</x:v>
      </x:c>
      <x:c r="T690" s="56" t="n">
        <x:v>19311</x:v>
      </x:c>
      <x:c r="U690" s="40" t="n">
        <x:f>E690*Assumptions!$B$8</x:f>
        <x:v>3550.45</x:v>
      </x:c>
      <x:c r="V690" s="40" t="n">
        <x:f>P690*Assumptions!$B$8</x:f>
        <x:v>3383.3519857105193</x:v>
      </x:c>
      <x:c r="W690" s="54" t="n">
        <x:f>V690-U690</x:f>
        <x:v>-167.0980142894805</x:v>
      </x:c>
      <x:c r="X690" s="58" t="n">
        <x:f>IF(R690="No","",W690*S690)</x:f>
        <x:v>-4861883.823766724</x:v>
      </x:c>
      <x:c r="Y690" s="58" t="n">
        <x:f>IF(R690="No","",W690*T690*Assumptions!$B$9)</x:f>
        <x:v>-968048.9261832472</x:v>
      </x:c>
      <x:c r="Z690" s="58" t="n">
        <x:f>IF(R690="No","",X690-Y690)</x:f>
        <x:v>-3893834.897583477</x:v>
      </x:c>
      <x:c r="AA690" s="58" t="n">
        <x:f>IF(R690="No","",MAX(0,-Z690))</x:f>
        <x:v>3893834.897583477</x:v>
      </x:c>
      <x:c r="AB690" s="52" t="n">
        <x:f>IF(OR(R690="No",U690*S690=0),"",AA690/(U690*S690))</x:f>
        <x:v>0.03769301211179791</x:v>
      </x:c>
      <x:c r="AC690" s="54" t="n">
        <x:f>IF(OR(R690="No",S690-T690*Assumptions!$B$9&lt;=0),"",AA690/(Assumptions!$B$8*(S690-T690*Assumptions!$B$9)))</x:f>
        <x:v>196.58589916409468</x:v>
      </x:c>
      <x:c r="AD690" s="52" t="n">
        <x:f>IF(OR(R690="No",U690*S690=0),"",AA690/(U690*S690))</x:f>
        <x:v>0.03769301211179791</x:v>
      </x:c>
      <x:c r="AE690" s="50" t="str">
        <x:f>IF(R690="No","No finance data",IF(AB690&gt;=10%,"Severe",IF(AB690&gt;=5%,"High",IF(AB690&gt;=2%,"Moderate","Low"))))</x:f>
        <x:v>Moderate</x:v>
      </x:c>
      <x:c r="AF690" s="60" t="n">
        <x:v>42.274853</x:v>
      </x:c>
      <x:c r="AG690" s="60" t="n">
        <x:v>-71.808339</x:v>
      </x:c>
      <x:c r="AH690" s="44" t="str">
        <x:v>Undergraduate tuition-contribution proxy only; not an audited total institutional budget.</x:v>
      </x:c>
    </x:row>
    <x:row r="691">
      <x:c r="A691" s="16" t="n">
        <x:v>168430</x:v>
      </x:c>
      <x:c r="B691" s="16" t="str">
        <x:v>Worcester State University</x:v>
      </x:c>
      <x:c r="C691" s="16" t="str">
        <x:v>MA</x:v>
      </x:c>
      <x:c r="D691" s="16" t="str">
        <x:v>Public</x:v>
      </x:c>
      <x:c r="E691" s="34" t="n">
        <x:v>5049</x:v>
      </x:c>
      <x:c r="F691" s="21" t="n">
        <x:v>0.8932</x:v>
      </x:c>
      <x:c r="G691" s="16" t="str">
        <x:v>Statewide</x:v>
      </x:c>
      <x:c r="H691" s="36" t="n">
        <x:f>IF(G691="National",Assumptions!$B$11,IF(G691="Statewide",Assumptions!$B$12,Assumptions!$B$13))</x:f>
        <x:v>0.6</x:v>
      </x:c>
      <x:c r="I691" s="21" t="n">
        <x:v>-0.056426495016611344</x:v>
      </x:c>
      <x:c r="J691" s="21" t="n">
        <x:v>-0.047004775747508276</x:v>
      </x:c>
      <x:c r="K691" s="21" t="n">
        <x:v>-0.09852574750830567</x:v>
      </x:c>
      <x:c r="L691" s="36" t="n">
        <x:f>IF(Assumptions!$B$4=2030,I691,IF(Assumptions!$B$4=2035,J691,K691))</x:f>
        <x:v>-0.047004775747508276</x:v>
      </x:c>
      <x:c r="M691" s="36" t="n">
        <x:f>Assumptions!$B$19</x:f>
        <x:v>-0.04739891965741583</x:v>
      </x:c>
      <x:c r="N691" s="52" t="n">
        <x:f>H691*L691+(1-H691)*M691+O691</x:f>
        <x:v>-0.0471624333114713</x:v>
      </x:c>
      <x:c r="O691" s="36" t="n">
        <x:f>Assumptions!$B$10</x:f>
        <x:v>0</x:v>
      </x:c>
      <x:c r="P691" s="54" t="n">
        <x:f>E691*(1+N691)</x:f>
        <x:v>4810.876874210381</x:v>
      </x:c>
      <x:c r="Q691" s="54" t="n">
        <x:f>P691-E691</x:f>
        <x:v>-238.12312578961883</x:v>
      </x:c>
      <x:c r="R691" s="16" t="str">
        <x:v>Yes</x:v>
      </x:c>
      <x:c r="S691" s="56" t="n">
        <x:v>8222</x:v>
      </x:c>
      <x:c r="T691" s="56" t="n">
        <x:v>8751</x:v>
      </x:c>
      <x:c r="U691" s="40" t="n">
        <x:f>E691*Assumptions!$B$8</x:f>
        <x:v>4291.65</x:v>
      </x:c>
      <x:c r="V691" s="40" t="n">
        <x:f>P691*Assumptions!$B$8</x:f>
        <x:v>4089.2453430788237</x:v>
      </x:c>
      <x:c r="W691" s="54" t="n">
        <x:f>V691-U691</x:f>
        <x:v>-202.40465692117596</x:v>
      </x:c>
      <x:c r="X691" s="58" t="n">
        <x:f>IF(R691="No","",W691*S691)</x:f>
        <x:v>-1664171.0892059088</x:v>
      </x:c>
      <x:c r="Y691" s="58" t="n">
        <x:f>IF(R691="No","",W691*T691*Assumptions!$B$9)</x:f>
        <x:v>-531372.9458151632</x:v>
      </x:c>
      <x:c r="Z691" s="58" t="n">
        <x:f>IF(R691="No","",X691-Y691)</x:f>
        <x:v>-1132798.1433907456</x:v>
      </x:c>
      <x:c r="AA691" s="58" t="n">
        <x:f>IF(R691="No","",MAX(0,-Z691))</x:f>
        <x:v>1132798.1433907456</x:v>
      </x:c>
      <x:c r="AB691" s="52" t="n">
        <x:f>IF(OR(R691="No",U691*S691=0),"",AA691/(U691*S691))</x:f>
        <x:v>0.03210338001876814</x:v>
      </x:c>
      <x:c r="AC691" s="54" t="n">
        <x:f>IF(OR(R691="No",S691-T691*Assumptions!$B$9&lt;=0),"",AA691/(Assumptions!$B$8*(S691-T691*Assumptions!$B$9)))</x:f>
        <x:v>238.12312578961877</x:v>
      </x:c>
      <x:c r="AD691" s="52" t="n">
        <x:f>IF(OR(R691="No",U691*S691=0),"",AA691/(U691*S691))</x:f>
        <x:v>0.03210338001876814</x:v>
      </x:c>
      <x:c r="AE691" s="50" t="str">
        <x:f>IF(R691="No","No finance data",IF(AB691&gt;=10%,"Severe",IF(AB691&gt;=5%,"High",IF(AB691&gt;=2%,"Moderate","Low"))))</x:f>
        <x:v>Moderate</x:v>
      </x:c>
      <x:c r="AF691" s="60" t="n">
        <x:v>42.267526</x:v>
      </x:c>
      <x:c r="AG691" s="60" t="n">
        <x:v>-71.844018</x:v>
      </x:c>
      <x:c r="AH691" s="44" t="str">
        <x:v>Undergraduate tuition-contribution proxy only; not an audited total institutional budget.</x:v>
      </x:c>
    </x:row>
    <x:row r="692">
      <x:c r="A692" s="16" t="n">
        <x:v>476601</x:v>
      </x:c>
      <x:c r="B692" s="16" t="str">
        <x:v>Bais HaMedrash and Mesivta of Baltimore</x:v>
      </x:c>
      <x:c r="C692" s="16" t="str">
        <x:v>MD</x:v>
      </x:c>
      <x:c r="D692" s="16" t="str">
        <x:v>Private nonprofit</x:v>
      </x:c>
      <x:c r="E692" s="34" t="n">
        <x:v>58</x:v>
      </x:c>
      <x:c r="F692" s="21"/>
      <x:c r="G692" s="16" t="str">
        <x:v>Regional</x:v>
      </x:c>
      <x:c r="H692" s="36" t="n">
        <x:f>IF(G692="National",Assumptions!$B$11,IF(G692="Statewide",Assumptions!$B$12,Assumptions!$B$13))</x:f>
        <x:v>0.85</x:v>
      </x:c>
      <x:c r="I692" s="21" t="n">
        <x:v>-0.07190865657138235</x:v>
      </x:c>
      <x:c r="J692" s="21" t="n">
        <x:v>-0.06900693713391093</x:v>
      </x:c>
      <x:c r="K692" s="21" t="n">
        <x:v>-0.15307582260371955</x:v>
      </x:c>
      <x:c r="L692" s="36" t="n">
        <x:f>IF(Assumptions!$B$4=2030,I692,IF(Assumptions!$B$4=2035,J692,K692))</x:f>
        <x:v>-0.06900693713391093</x:v>
      </x:c>
      <x:c r="M692" s="36" t="n">
        <x:f>Assumptions!$B$19</x:f>
        <x:v>-0.04739891965741583</x:v>
      </x:c>
      <x:c r="N692" s="52" t="n">
        <x:f>H692*L692+(1-H692)*M692+O692</x:f>
        <x:v>-0.06576573451243665</x:v>
      </x:c>
      <x:c r="O692" s="36" t="n">
        <x:f>Assumptions!$B$10</x:f>
        <x:v>0</x:v>
      </x:c>
      <x:c r="P692" s="54" t="n">
        <x:f>E692*(1+N692)</x:f>
        <x:v>54.18558739827868</x:v>
      </x:c>
      <x:c r="Q692" s="54" t="n">
        <x:f>P692-E692</x:f>
        <x:v>-3.8144126017213225</x:v>
      </x:c>
      <x:c r="R692" s="16" t="str">
        <x:v>No</x:v>
      </x:c>
      <x:c r="S692" s="56"/>
      <x:c r="T692" s="56"/>
      <x:c r="U692" s="40" t="n">
        <x:f>E692*Assumptions!$B$8</x:f>
        <x:v>49.3</x:v>
      </x:c>
      <x:c r="V692" s="40" t="n">
        <x:f>P692*Assumptions!$B$8</x:f>
        <x:v>46.057749288536876</x:v>
      </x:c>
      <x:c r="W692" s="54" t="n">
        <x:f>V692-U692</x:f>
        <x:v>-3.2422507114631216</x:v>
      </x:c>
      <x:c r="X692" s="58" t="str">
        <x:f>IF(R692="No","",W692*S692)</x:f>
      </x:c>
      <x:c r="Y692" s="58" t="str">
        <x:f>IF(R692="No","",W692*T692*Assumptions!$B$9)</x:f>
      </x:c>
      <x:c r="Z692" s="58" t="str">
        <x:f>IF(R692="No","",X692-Y692)</x:f>
      </x:c>
      <x:c r="AA692" s="58" t="str">
        <x:f>IF(R692="No","",MAX(0,-Z692))</x:f>
      </x:c>
      <x:c r="AB692" s="52" t="str">
        <x:f>IF(OR(R692="No",U692*S692=0),"",AA692/(U692*S692))</x:f>
      </x:c>
      <x:c r="AC692" s="54" t="str">
        <x:f>IF(OR(R692="No",S692-T692*Assumptions!$B$9&lt;=0),"",AA692/(Assumptions!$B$8*(S692-T692*Assumptions!$B$9)))</x:f>
      </x:c>
      <x:c r="AD692" s="52" t="str">
        <x:f>IF(OR(R692="No",U692*S692=0),"",AA692/(U692*S692))</x:f>
      </x:c>
      <x:c r="AE692" s="50" t="str">
        <x:f>IF(R692="No","No finance data",IF(AB692&gt;=10%,"Severe",IF(AB692&gt;=5%,"High",IF(AB692&gt;=2%,"Moderate","Low"))))</x:f>
        <x:v>No finance data</x:v>
      </x:c>
      <x:c r="AF692" s="60"/>
      <x:c r="AG692" s="60"/>
      <x:c r="AH692" s="44" t="str">
        <x:v>Undergraduate tuition-contribution proxy only; not an audited total institutional budget.</x:v>
      </x:c>
    </x:row>
    <x:row r="693">
      <x:c r="A693" s="16" t="n">
        <x:v>162007</x:v>
      </x:c>
      <x:c r="B693" s="16" t="str">
        <x:v>Bowie State University</x:v>
      </x:c>
      <x:c r="C693" s="16" t="str">
        <x:v>MD</x:v>
      </x:c>
      <x:c r="D693" s="16" t="str">
        <x:v>Public</x:v>
      </x:c>
      <x:c r="E693" s="34" t="n">
        <x:v>4254</x:v>
      </x:c>
      <x:c r="F693" s="21" t="n">
        <x:v>0.8704</x:v>
      </x:c>
      <x:c r="G693" s="16" t="str">
        <x:v>Regional</x:v>
      </x:c>
      <x:c r="H693" s="36" t="n">
        <x:f>IF(G693="National",Assumptions!$B$11,IF(G693="Statewide",Assumptions!$B$12,Assumptions!$B$13))</x:f>
        <x:v>0.85</x:v>
      </x:c>
      <x:c r="I693" s="21" t="n">
        <x:v>-0.07190865657138235</x:v>
      </x:c>
      <x:c r="J693" s="21" t="n">
        <x:v>-0.06900693713391093</x:v>
      </x:c>
      <x:c r="K693" s="21" t="n">
        <x:v>-0.15307582260371955</x:v>
      </x:c>
      <x:c r="L693" s="36" t="n">
        <x:f>IF(Assumptions!$B$4=2030,I693,IF(Assumptions!$B$4=2035,J693,K693))</x:f>
        <x:v>-0.06900693713391093</x:v>
      </x:c>
      <x:c r="M693" s="36" t="n">
        <x:f>Assumptions!$B$19</x:f>
        <x:v>-0.04739891965741583</x:v>
      </x:c>
      <x:c r="N693" s="52" t="n">
        <x:f>H693*L693+(1-H693)*M693+O693</x:f>
        <x:v>-0.06576573451243665</x:v>
      </x:c>
      <x:c r="O693" s="36" t="n">
        <x:f>Assumptions!$B$10</x:f>
        <x:v>0</x:v>
      </x:c>
      <x:c r="P693" s="54" t="n">
        <x:f>E693*(1+N693)</x:f>
        <x:v>3974.232565384095</x:v>
      </x:c>
      <x:c r="Q693" s="54" t="n">
        <x:f>P693-E693</x:f>
        <x:v>-279.76743461590513</x:v>
      </x:c>
      <x:c r="R693" s="16" t="str">
        <x:v>Yes</x:v>
      </x:c>
      <x:c r="S693" s="56" t="n">
        <x:v>5121</x:v>
      </x:c>
      <x:c r="T693" s="56" t="n">
        <x:v>8316</x:v>
      </x:c>
      <x:c r="U693" s="40" t="n">
        <x:f>E693*Assumptions!$B$8</x:f>
        <x:v>3615.9</x:v>
      </x:c>
      <x:c r="V693" s="40" t="n">
        <x:f>P693*Assumptions!$B$8</x:f>
        <x:v>3378.0976805764803</x:v>
      </x:c>
      <x:c r="W693" s="54" t="n">
        <x:f>V693-U693</x:f>
        <x:v>-237.80231942351975</x:v>
      </x:c>
      <x:c r="X693" s="58" t="n">
        <x:f>IF(R693="No","",W693*S693)</x:f>
        <x:v>-1217785.6777678446</x:v>
      </x:c>
      <x:c r="Y693" s="58" t="n">
        <x:f>IF(R693="No","",W693*T693*Assumptions!$B$9)</x:f>
        <x:v>-593269.2264977971</x:v>
      </x:c>
      <x:c r="Z693" s="58" t="n">
        <x:f>IF(R693="No","",X693-Y693)</x:f>
        <x:v>-624516.4512700476</x:v>
      </x:c>
      <x:c r="AA693" s="58" t="n">
        <x:f>IF(R693="No","",MAX(0,-Z693))</x:f>
        <x:v>624516.4512700476</x:v>
      </x:c>
      <x:c r="AB693" s="52" t="n">
        <x:f>IF(OR(R693="No",U693*S693=0),"",AA693/(U693*S693))</x:f>
        <x:v>0.033726610423073844</x:v>
      </x:c>
      <x:c r="AC693" s="54" t="n">
        <x:f>IF(OR(R693="No",S693-T693*Assumptions!$B$9&lt;=0),"",AA693/(Assumptions!$B$8*(S693-T693*Assumptions!$B$9)))</x:f>
        <x:v>279.7674346159056</x:v>
      </x:c>
      <x:c r="AD693" s="52" t="n">
        <x:f>IF(OR(R693="No",U693*S693=0),"",AA693/(U693*S693))</x:f>
        <x:v>0.033726610423073844</x:v>
      </x:c>
      <x:c r="AE693" s="50" t="str">
        <x:f>IF(R693="No","No finance data",IF(AB693&gt;=10%,"Severe",IF(AB693&gt;=5%,"High",IF(AB693&gt;=2%,"Moderate","Low"))))</x:f>
        <x:v>Moderate</x:v>
      </x:c>
      <x:c r="AF693" s="60" t="n">
        <x:v>39.018185</x:v>
      </x:c>
      <x:c r="AG693" s="60" t="n">
        <x:v>-76.759721</x:v>
      </x:c>
      <x:c r="AH693" s="44" t="str">
        <x:v>Undergraduate tuition-contribution proxy only; not an audited total institutional budget.</x:v>
      </x:c>
    </x:row>
    <x:row r="694">
      <x:c r="A694" s="16" t="n">
        <x:v>162061</x:v>
      </x:c>
      <x:c r="B694" s="16" t="str">
        <x:v>Capitol Technology University</x:v>
      </x:c>
      <x:c r="C694" s="16" t="str">
        <x:v>MD</x:v>
      </x:c>
      <x:c r="D694" s="16" t="str">
        <x:v>Private nonprofit</x:v>
      </x:c>
      <x:c r="E694" s="34" t="n">
        <x:v>407</x:v>
      </x:c>
      <x:c r="F694" s="21"/>
      <x:c r="G694" s="16" t="str">
        <x:v>Regional</x:v>
      </x:c>
      <x:c r="H694" s="36" t="n">
        <x:f>IF(G694="National",Assumptions!$B$11,IF(G694="Statewide",Assumptions!$B$12,Assumptions!$B$13))</x:f>
        <x:v>0.85</x:v>
      </x:c>
      <x:c r="I694" s="21" t="n">
        <x:v>-0.07190865657138235</x:v>
      </x:c>
      <x:c r="J694" s="21" t="n">
        <x:v>-0.06900693713391093</x:v>
      </x:c>
      <x:c r="K694" s="21" t="n">
        <x:v>-0.15307582260371955</x:v>
      </x:c>
      <x:c r="L694" s="36" t="n">
        <x:f>IF(Assumptions!$B$4=2030,I694,IF(Assumptions!$B$4=2035,J694,K694))</x:f>
        <x:v>-0.06900693713391093</x:v>
      </x:c>
      <x:c r="M694" s="36" t="n">
        <x:f>Assumptions!$B$19</x:f>
        <x:v>-0.04739891965741583</x:v>
      </x:c>
      <x:c r="N694" s="52" t="n">
        <x:f>H694*L694+(1-H694)*M694+O694</x:f>
        <x:v>-0.06576573451243665</x:v>
      </x:c>
      <x:c r="O694" s="36" t="n">
        <x:f>Assumptions!$B$10</x:f>
        <x:v>0</x:v>
      </x:c>
      <x:c r="P694" s="54" t="n">
        <x:f>E694*(1+N694)</x:f>
        <x:v>380.2333460534383</x:v>
      </x:c>
      <x:c r="Q694" s="54" t="n">
        <x:f>P694-E694</x:f>
        <x:v>-26.76665394656169</x:v>
      </x:c>
      <x:c r="R694" s="16" t="str">
        <x:v>No</x:v>
      </x:c>
      <x:c r="S694" s="56"/>
      <x:c r="T694" s="56"/>
      <x:c r="U694" s="40" t="n">
        <x:f>E694*Assumptions!$B$8</x:f>
        <x:v>345.95</x:v>
      </x:c>
      <x:c r="V694" s="40" t="n">
        <x:f>P694*Assumptions!$B$8</x:f>
        <x:v>323.19834414542254</x:v>
      </x:c>
      <x:c r="W694" s="54" t="n">
        <x:f>V694-U694</x:f>
        <x:v>-22.75165585457745</x:v>
      </x:c>
      <x:c r="X694" s="58" t="str">
        <x:f>IF(R694="No","",W694*S694)</x:f>
      </x:c>
      <x:c r="Y694" s="58" t="str">
        <x:f>IF(R694="No","",W694*T694*Assumptions!$B$9)</x:f>
      </x:c>
      <x:c r="Z694" s="58" t="str">
        <x:f>IF(R694="No","",X694-Y694)</x:f>
      </x:c>
      <x:c r="AA694" s="58" t="str">
        <x:f>IF(R694="No","",MAX(0,-Z694))</x:f>
      </x:c>
      <x:c r="AB694" s="52" t="str">
        <x:f>IF(OR(R694="No",U694*S694=0),"",AA694/(U694*S694))</x:f>
      </x:c>
      <x:c r="AC694" s="54" t="str">
        <x:f>IF(OR(R694="No",S694-T694*Assumptions!$B$9&lt;=0),"",AA694/(Assumptions!$B$8*(S694-T694*Assumptions!$B$9)))</x:f>
      </x:c>
      <x:c r="AD694" s="52" t="str">
        <x:f>IF(OR(R694="No",U694*S694=0),"",AA694/(U694*S694))</x:f>
      </x:c>
      <x:c r="AE694" s="50" t="str">
        <x:f>IF(R694="No","No finance data",IF(AB694&gt;=10%,"Severe",IF(AB694&gt;=5%,"High",IF(AB694&gt;=2%,"Moderate","Low"))))</x:f>
        <x:v>No finance data</x:v>
      </x:c>
      <x:c r="AF694" s="60"/>
      <x:c r="AG694" s="60"/>
      <x:c r="AH694" s="44" t="str">
        <x:v>Undergraduate tuition-contribution proxy only; not an audited total institutional budget.</x:v>
      </x:c>
    </x:row>
    <x:row r="695">
      <x:c r="A695" s="16" t="n">
        <x:v>162283</x:v>
      </x:c>
      <x:c r="B695" s="16" t="str">
        <x:v>Coppin State University</x:v>
      </x:c>
      <x:c r="C695" s="16" t="str">
        <x:v>MD</x:v>
      </x:c>
      <x:c r="D695" s="16" t="str">
        <x:v>Public</x:v>
      </x:c>
      <x:c r="E695" s="34" t="n">
        <x:v>2633</x:v>
      </x:c>
      <x:c r="F695" s="21" t="n">
        <x:v>0.4792</x:v>
      </x:c>
      <x:c r="G695" s="16" t="str">
        <x:v>Regional</x:v>
      </x:c>
      <x:c r="H695" s="36" t="n">
        <x:f>IF(G695="National",Assumptions!$B$11,IF(G695="Statewide",Assumptions!$B$12,Assumptions!$B$13))</x:f>
        <x:v>0.85</x:v>
      </x:c>
      <x:c r="I695" s="21" t="n">
        <x:v>-0.07190865657138235</x:v>
      </x:c>
      <x:c r="J695" s="21" t="n">
        <x:v>-0.06900693713391093</x:v>
      </x:c>
      <x:c r="K695" s="21" t="n">
        <x:v>-0.15307582260371955</x:v>
      </x:c>
      <x:c r="L695" s="36" t="n">
        <x:f>IF(Assumptions!$B$4=2030,I695,IF(Assumptions!$B$4=2035,J695,K695))</x:f>
        <x:v>-0.06900693713391093</x:v>
      </x:c>
      <x:c r="M695" s="36" t="n">
        <x:f>Assumptions!$B$19</x:f>
        <x:v>-0.04739891965741583</x:v>
      </x:c>
      <x:c r="N695" s="52" t="n">
        <x:f>H695*L695+(1-H695)*M695+O695</x:f>
        <x:v>-0.06576573451243665</x:v>
      </x:c>
      <x:c r="O695" s="36" t="n">
        <x:f>Assumptions!$B$10</x:f>
        <x:v>0</x:v>
      </x:c>
      <x:c r="P695" s="54" t="n">
        <x:f>E695*(1+N695)</x:f>
        <x:v>2459.8388210287544</x:v>
      </x:c>
      <x:c r="Q695" s="54" t="n">
        <x:f>P695-E695</x:f>
        <x:v>-173.1611789712456</x:v>
      </x:c>
      <x:c r="R695" s="16" t="str">
        <x:v>Yes</x:v>
      </x:c>
      <x:c r="S695" s="56" t="n">
        <x:v>2617</x:v>
      </x:c>
      <x:c r="T695" s="56" t="n">
        <x:v>14486</x:v>
      </x:c>
      <x:c r="U695" s="40" t="n">
        <x:f>E695*Assumptions!$B$8</x:f>
        <x:v>2238.0499999999997</x:v>
      </x:c>
      <x:c r="V695" s="40" t="n">
        <x:f>P695*Assumptions!$B$8</x:f>
        <x:v>2090.862997874441</x:v>
      </x:c>
      <x:c r="W695" s="54" t="n">
        <x:f>V695-U695</x:f>
        <x:v>-147.1870021255586</x:v>
      </x:c>
      <x:c r="X695" s="58" t="n">
        <x:f>IF(R695="No","",W695*S695)</x:f>
        <x:v>-385188.38456258684</x:v>
      </x:c>
      <x:c r="Y695" s="58" t="n">
        <x:f>IF(R695="No","",W695*T695*Assumptions!$B$9)</x:f>
        <x:v>-639645.2738372525</x:v>
      </x:c>
      <x:c r="Z695" s="58" t="n">
        <x:f>IF(R695="No","",X695-Y695)</x:f>
        <x:v>254456.88927466568</x:v>
      </x:c>
      <x:c r="AA695" s="58" t="n">
        <x:f>IF(R695="No","",MAX(0,-Z695))</x:f>
        <x:v>0</x:v>
      </x:c>
      <x:c r="AB695" s="52" t="n">
        <x:f>IF(OR(R695="No",U695*S695=0),"",AA695/(U695*S695))</x:f>
        <x:v>0</x:v>
      </x:c>
      <x:c r="AC695" s="54" t="str">
        <x:f>IF(OR(R695="No",S695-T695*Assumptions!$B$9&lt;=0),"",AA695/(Assumptions!$B$8*(S695-T695*Assumptions!$B$9)))</x:f>
      </x:c>
      <x:c r="AD695" s="52" t="n">
        <x:f>IF(OR(R695="No",U695*S695=0),"",AA695/(U695*S695))</x:f>
        <x:v>0</x:v>
      </x:c>
      <x:c r="AE695" s="50" t="str">
        <x:f>IF(R695="No","No finance data",IF(AB695&gt;=10%,"Severe",IF(AB695&gt;=5%,"High",IF(AB695&gt;=2%,"Moderate","Low"))))</x:f>
        <x:v>Low</x:v>
      </x:c>
      <x:c r="AF695" s="60" t="n">
        <x:v>39.311258</x:v>
      </x:c>
      <x:c r="AG695" s="60" t="n">
        <x:v>-76.658687</x:v>
      </x:c>
      <x:c r="AH695" s="44" t="str">
        <x:v>Undergraduate tuition-contribution proxy only; not an audited total institutional budget.</x:v>
      </x:c>
    </x:row>
    <x:row r="696">
      <x:c r="A696" s="16" t="n">
        <x:v>212452</x:v>
      </x:c>
      <x:c r="B696" s="16" t="str">
        <x:v>Faith Theological Seminary</x:v>
      </x:c>
      <x:c r="C696" s="16" t="str">
        <x:v>MD</x:v>
      </x:c>
      <x:c r="D696" s="16" t="str">
        <x:v>Private nonprofit</x:v>
      </x:c>
      <x:c r="E696" s="34" t="n">
        <x:v>69</x:v>
      </x:c>
      <x:c r="F696" s="21"/>
      <x:c r="G696" s="16" t="str">
        <x:v>Regional</x:v>
      </x:c>
      <x:c r="H696" s="36" t="n">
        <x:f>IF(G696="National",Assumptions!$B$11,IF(G696="Statewide",Assumptions!$B$12,Assumptions!$B$13))</x:f>
        <x:v>0.85</x:v>
      </x:c>
      <x:c r="I696" s="21" t="n">
        <x:v>-0.07190865657138235</x:v>
      </x:c>
      <x:c r="J696" s="21" t="n">
        <x:v>-0.06900693713391093</x:v>
      </x:c>
      <x:c r="K696" s="21" t="n">
        <x:v>-0.15307582260371955</x:v>
      </x:c>
      <x:c r="L696" s="36" t="n">
        <x:f>IF(Assumptions!$B$4=2030,I696,IF(Assumptions!$B$4=2035,J696,K696))</x:f>
        <x:v>-0.06900693713391093</x:v>
      </x:c>
      <x:c r="M696" s="36" t="n">
        <x:f>Assumptions!$B$19</x:f>
        <x:v>-0.04739891965741583</x:v>
      </x:c>
      <x:c r="N696" s="52" t="n">
        <x:f>H696*L696+(1-H696)*M696+O696</x:f>
        <x:v>-0.06576573451243665</x:v>
      </x:c>
      <x:c r="O696" s="36" t="n">
        <x:f>Assumptions!$B$10</x:f>
        <x:v>0</x:v>
      </x:c>
      <x:c r="P696" s="54" t="n">
        <x:f>E696*(1+N696)</x:f>
        <x:v>64.46216431864187</x:v>
      </x:c>
      <x:c r="Q696" s="54" t="n">
        <x:f>P696-E696</x:f>
        <x:v>-4.537835681358132</x:v>
      </x:c>
      <x:c r="R696" s="16" t="str">
        <x:v>No</x:v>
      </x:c>
      <x:c r="S696" s="56"/>
      <x:c r="T696" s="56"/>
      <x:c r="U696" s="40" t="n">
        <x:f>E696*Assumptions!$B$8</x:f>
        <x:v>58.65</x:v>
      </x:c>
      <x:c r="V696" s="40" t="n">
        <x:f>P696*Assumptions!$B$8</x:f>
        <x:v>54.79283967084559</x:v>
      </x:c>
      <x:c r="W696" s="54" t="n">
        <x:f>V696-U696</x:f>
        <x:v>-3.8571603291544108</x:v>
      </x:c>
      <x:c r="X696" s="58" t="str">
        <x:f>IF(R696="No","",W696*S696)</x:f>
      </x:c>
      <x:c r="Y696" s="58" t="str">
        <x:f>IF(R696="No","",W696*T696*Assumptions!$B$9)</x:f>
      </x:c>
      <x:c r="Z696" s="58" t="str">
        <x:f>IF(R696="No","",X696-Y696)</x:f>
      </x:c>
      <x:c r="AA696" s="58" t="str">
        <x:f>IF(R696="No","",MAX(0,-Z696))</x:f>
      </x:c>
      <x:c r="AB696" s="52" t="str">
        <x:f>IF(OR(R696="No",U696*S696=0),"",AA696/(U696*S696))</x:f>
      </x:c>
      <x:c r="AC696" s="54" t="str">
        <x:f>IF(OR(R696="No",S696-T696*Assumptions!$B$9&lt;=0),"",AA696/(Assumptions!$B$8*(S696-T696*Assumptions!$B$9)))</x:f>
      </x:c>
      <x:c r="AD696" s="52" t="str">
        <x:f>IF(OR(R696="No",U696*S696=0),"",AA696/(U696*S696))</x:f>
      </x:c>
      <x:c r="AE696" s="50" t="str">
        <x:f>IF(R696="No","No finance data",IF(AB696&gt;=10%,"Severe",IF(AB696&gt;=5%,"High",IF(AB696&gt;=2%,"Moderate","Low"))))</x:f>
        <x:v>No finance data</x:v>
      </x:c>
      <x:c r="AF696" s="60"/>
      <x:c r="AG696" s="60"/>
      <x:c r="AH696" s="44" t="str">
        <x:v>Undergraduate tuition-contribution proxy only; not an audited total institutional budget.</x:v>
      </x:c>
    </x:row>
    <x:row r="697">
      <x:c r="A697" s="16" t="n">
        <x:v>162584</x:v>
      </x:c>
      <x:c r="B697" s="16" t="str">
        <x:v>Frostburg State University</x:v>
      </x:c>
      <x:c r="C697" s="16" t="str">
        <x:v>MD</x:v>
      </x:c>
      <x:c r="D697" s="16" t="str">
        <x:v>Public</x:v>
      </x:c>
      <x:c r="E697" s="34" t="n">
        <x:v>4850</x:v>
      </x:c>
      <x:c r="F697" s="21" t="n">
        <x:v>0.8605</x:v>
      </x:c>
      <x:c r="G697" s="16" t="str">
        <x:v>Regional</x:v>
      </x:c>
      <x:c r="H697" s="36" t="n">
        <x:f>IF(G697="National",Assumptions!$B$11,IF(G697="Statewide",Assumptions!$B$12,Assumptions!$B$13))</x:f>
        <x:v>0.85</x:v>
      </x:c>
      <x:c r="I697" s="21" t="n">
        <x:v>-0.07190865657138235</x:v>
      </x:c>
      <x:c r="J697" s="21" t="n">
        <x:v>-0.06900693713391093</x:v>
      </x:c>
      <x:c r="K697" s="21" t="n">
        <x:v>-0.15307582260371955</x:v>
      </x:c>
      <x:c r="L697" s="36" t="n">
        <x:f>IF(Assumptions!$B$4=2030,I697,IF(Assumptions!$B$4=2035,J697,K697))</x:f>
        <x:v>-0.06900693713391093</x:v>
      </x:c>
      <x:c r="M697" s="36" t="n">
        <x:f>Assumptions!$B$19</x:f>
        <x:v>-0.04739891965741583</x:v>
      </x:c>
      <x:c r="N697" s="52" t="n">
        <x:f>H697*L697+(1-H697)*M697+O697</x:f>
        <x:v>-0.06576573451243665</x:v>
      </x:c>
      <x:c r="O697" s="36" t="n">
        <x:f>Assumptions!$B$10</x:f>
        <x:v>0</x:v>
      </x:c>
      <x:c r="P697" s="54" t="n">
        <x:f>E697*(1+N697)</x:f>
        <x:v>4531.036187614683</x:v>
      </x:c>
      <x:c r="Q697" s="54" t="n">
        <x:f>P697-E697</x:f>
        <x:v>-318.9638123853174</x:v>
      </x:c>
      <x:c r="R697" s="16" t="str">
        <x:v>Yes</x:v>
      </x:c>
      <x:c r="S697" s="56" t="n">
        <x:v>6396</x:v>
      </x:c>
      <x:c r="T697" s="56" t="n">
        <x:v>9191</x:v>
      </x:c>
      <x:c r="U697" s="40" t="n">
        <x:f>E697*Assumptions!$B$8</x:f>
        <x:v>4122.5</x:v>
      </x:c>
      <x:c r="V697" s="40" t="n">
        <x:f>P697*Assumptions!$B$8</x:f>
        <x:v>3851.38075947248</x:v>
      </x:c>
      <x:c r="W697" s="54" t="n">
        <x:f>V697-U697</x:f>
        <x:v>-271.1192405275201</x:v>
      </x:c>
      <x:c r="X697" s="58" t="n">
        <x:f>IF(R697="No","",W697*S697)</x:f>
        <x:v>-1734078.6624140185</x:v>
      </x:c>
      <x:c r="Y697" s="58" t="n">
        <x:f>IF(R697="No","",W697*T697*Assumptions!$B$9)</x:f>
        <x:v>-747557.0819065311</x:v>
      </x:c>
      <x:c r="Z697" s="58" t="n">
        <x:f>IF(R697="No","",X697-Y697)</x:f>
        <x:v>-986521.5805074874</x:v>
      </x:c>
      <x:c r="AA697" s="58" t="n">
        <x:f>IF(R697="No","",MAX(0,-Z697))</x:f>
        <x:v>986521.5805074874</x:v>
      </x:c>
      <x:c r="AB697" s="52" t="n">
        <x:f>IF(OR(R697="No",U697*S697=0),"",AA697/(U697*S697))</x:f>
        <x:v>0.03741428676835573</x:v>
      </x:c>
      <x:c r="AC697" s="54" t="n">
        <x:f>IF(OR(R697="No",S697-T697*Assumptions!$B$9&lt;=0),"",AA697/(Assumptions!$B$8*(S697-T697*Assumptions!$B$9)))</x:f>
        <x:v>318.9638123853178</x:v>
      </x:c>
      <x:c r="AD697" s="52" t="n">
        <x:f>IF(OR(R697="No",U697*S697=0),"",AA697/(U697*S697))</x:f>
        <x:v>0.03741428676835573</x:v>
      </x:c>
      <x:c r="AE697" s="50" t="str">
        <x:f>IF(R697="No","No finance data",IF(AB697&gt;=10%,"Severe",IF(AB697&gt;=5%,"High",IF(AB697&gt;=2%,"Moderate","Low"))))</x:f>
        <x:v>Moderate</x:v>
      </x:c>
      <x:c r="AF697" s="60" t="n">
        <x:v>39.650918</x:v>
      </x:c>
      <x:c r="AG697" s="60" t="n">
        <x:v>-78.934293</x:v>
      </x:c>
      <x:c r="AH697" s="44" t="str">
        <x:v>Undergraduate tuition-contribution proxy only; not an audited total institutional budget.</x:v>
      </x:c>
    </x:row>
    <x:row r="698">
      <x:c r="A698" s="16" t="n">
        <x:v>162654</x:v>
      </x:c>
      <x:c r="B698" s="16" t="str">
        <x:v>Goucher College</x:v>
      </x:c>
      <x:c r="C698" s="16" t="str">
        <x:v>MD</x:v>
      </x:c>
      <x:c r="D698" s="16" t="str">
        <x:v>Private nonprofit</x:v>
      </x:c>
      <x:c r="E698" s="34" t="n">
        <x:v>1466</x:v>
      </x:c>
      <x:c r="F698" s="21" t="n">
        <x:v>0.8234</x:v>
      </x:c>
      <x:c r="G698" s="16" t="str">
        <x:v>Regional</x:v>
      </x:c>
      <x:c r="H698" s="36" t="n">
        <x:f>IF(G698="National",Assumptions!$B$11,IF(G698="Statewide",Assumptions!$B$12,Assumptions!$B$13))</x:f>
        <x:v>0.85</x:v>
      </x:c>
      <x:c r="I698" s="21" t="n">
        <x:v>-0.07190865657138235</x:v>
      </x:c>
      <x:c r="J698" s="21" t="n">
        <x:v>-0.06900693713391093</x:v>
      </x:c>
      <x:c r="K698" s="21" t="n">
        <x:v>-0.15307582260371955</x:v>
      </x:c>
      <x:c r="L698" s="36" t="n">
        <x:f>IF(Assumptions!$B$4=2030,I698,IF(Assumptions!$B$4=2035,J698,K698))</x:f>
        <x:v>-0.06900693713391093</x:v>
      </x:c>
      <x:c r="M698" s="36" t="n">
        <x:f>Assumptions!$B$19</x:f>
        <x:v>-0.04739891965741583</x:v>
      </x:c>
      <x:c r="N698" s="52" t="n">
        <x:f>H698*L698+(1-H698)*M698+O698</x:f>
        <x:v>-0.06576573451243665</x:v>
      </x:c>
      <x:c r="O698" s="36" t="n">
        <x:f>Assumptions!$B$10</x:f>
        <x:v>0</x:v>
      </x:c>
      <x:c r="P698" s="54" t="n">
        <x:f>E698*(1+N698)</x:f>
        <x:v>1369.5874332047679</x:v>
      </x:c>
      <x:c r="Q698" s="54" t="n">
        <x:f>P698-E698</x:f>
        <x:v>-96.41256679523212</x:v>
      </x:c>
      <x:c r="R698" s="16" t="str">
        <x:v>Yes</x:v>
      </x:c>
      <x:c r="S698" s="56" t="n">
        <x:v>18561</x:v>
      </x:c>
      <x:c r="T698" s="56" t="n">
        <x:v>13455</x:v>
      </x:c>
      <x:c r="U698" s="40" t="n">
        <x:f>E698*Assumptions!$B$8</x:f>
        <x:v>1246.1</x:v>
      </x:c>
      <x:c r="V698" s="40" t="n">
        <x:f>P698*Assumptions!$B$8</x:f>
        <x:v>1164.1493182240526</x:v>
      </x:c>
      <x:c r="W698" s="54" t="n">
        <x:f>V698-U698</x:f>
        <x:v>-81.95068177594726</x:v>
      </x:c>
      <x:c r="X698" s="58" t="n">
        <x:f>IF(R698="No","",W698*S698)</x:f>
        <x:v>-1521086.604443357</x:v>
      </x:c>
      <x:c r="Y698" s="58" t="n">
        <x:f>IF(R698="No","",W698*T698*Assumptions!$B$9)</x:f>
        <x:v>-330793.92698861106</x:v>
      </x:c>
      <x:c r="Z698" s="58" t="n">
        <x:f>IF(R698="No","",X698-Y698)</x:f>
        <x:v>-1190292.677454746</x:v>
      </x:c>
      <x:c r="AA698" s="58" t="n">
        <x:f>IF(R698="No","",MAX(0,-Z698))</x:f>
        <x:v>1190292.677454746</x:v>
      </x:c>
      <x:c r="AB698" s="52" t="n">
        <x:f>IF(OR(R698="No",U698*S698=0),"",AA698/(U698*S698))</x:f>
        <x:v>0.051463520873114905</x:v>
      </x:c>
      <x:c r="AC698" s="54" t="n">
        <x:f>IF(OR(R698="No",S698-T698*Assumptions!$B$9&lt;=0),"",AA698/(Assumptions!$B$8*(S698-T698*Assumptions!$B$9)))</x:f>
        <x:v>96.4125667952321</x:v>
      </x:c>
      <x:c r="AD698" s="52" t="n">
        <x:f>IF(OR(R698="No",U698*S698=0),"",AA698/(U698*S698))</x:f>
        <x:v>0.051463520873114905</x:v>
      </x:c>
      <x:c r="AE698" s="50" t="str">
        <x:f>IF(R698="No","No finance data",IF(AB698&gt;=10%,"Severe",IF(AB698&gt;=5%,"High",IF(AB698&gt;=2%,"Moderate","Low"))))</x:f>
        <x:v>High</x:v>
      </x:c>
      <x:c r="AF698" s="60" t="n">
        <x:v>39.410175</x:v>
      </x:c>
      <x:c r="AG698" s="60" t="n">
        <x:v>-76.594843</x:v>
      </x:c>
      <x:c r="AH698" s="44" t="str">
        <x:v>Undergraduate tuition-contribution proxy only; not an audited total institutional budget.</x:v>
      </x:c>
    </x:row>
    <x:row r="699">
      <x:c r="A699" s="16" t="n">
        <x:v>162760</x:v>
      </x:c>
      <x:c r="B699" s="16" t="str">
        <x:v>Hood College</x:v>
      </x:c>
      <x:c r="C699" s="16" t="str">
        <x:v>MD</x:v>
      </x:c>
      <x:c r="D699" s="16" t="str">
        <x:v>Private nonprofit</x:v>
      </x:c>
      <x:c r="E699" s="34" t="n">
        <x:v>1247</x:v>
      </x:c>
      <x:c r="F699" s="21" t="n">
        <x:v>0.7679</x:v>
      </x:c>
      <x:c r="G699" s="16" t="str">
        <x:v>Regional</x:v>
      </x:c>
      <x:c r="H699" s="36" t="n">
        <x:f>IF(G699="National",Assumptions!$B$11,IF(G699="Statewide",Assumptions!$B$12,Assumptions!$B$13))</x:f>
        <x:v>0.85</x:v>
      </x:c>
      <x:c r="I699" s="21" t="n">
        <x:v>-0.07190865657138235</x:v>
      </x:c>
      <x:c r="J699" s="21" t="n">
        <x:v>-0.06900693713391093</x:v>
      </x:c>
      <x:c r="K699" s="21" t="n">
        <x:v>-0.15307582260371955</x:v>
      </x:c>
      <x:c r="L699" s="36" t="n">
        <x:f>IF(Assumptions!$B$4=2030,I699,IF(Assumptions!$B$4=2035,J699,K699))</x:f>
        <x:v>-0.06900693713391093</x:v>
      </x:c>
      <x:c r="M699" s="36" t="n">
        <x:f>Assumptions!$B$19</x:f>
        <x:v>-0.04739891965741583</x:v>
      </x:c>
      <x:c r="N699" s="52" t="n">
        <x:f>H699*L699+(1-H699)*M699+O699</x:f>
        <x:v>-0.06576573451243665</x:v>
      </x:c>
      <x:c r="O699" s="36" t="n">
        <x:f>Assumptions!$B$10</x:f>
        <x:v>0</x:v>
      </x:c>
      <x:c r="P699" s="54" t="n">
        <x:f>E699*(1+N699)</x:f>
        <x:v>1164.9901290629916</x:v>
      </x:c>
      <x:c r="Q699" s="54" t="n">
        <x:f>P699-E699</x:f>
        <x:v>-82.00987093700837</x:v>
      </x:c>
      <x:c r="R699" s="16" t="str">
        <x:v>Yes</x:v>
      </x:c>
      <x:c r="S699" s="56" t="n">
        <x:v>16072</x:v>
      </x:c>
      <x:c r="T699" s="56" t="n">
        <x:v>9770</x:v>
      </x:c>
      <x:c r="U699" s="40" t="n">
        <x:f>E699*Assumptions!$B$8</x:f>
        <x:v>1059.95</x:v>
      </x:c>
      <x:c r="V699" s="40" t="n">
        <x:f>P699*Assumptions!$B$8</x:f>
        <x:v>990.2416097035428</x:v>
      </x:c>
      <x:c r="W699" s="54" t="n">
        <x:f>V699-U699</x:f>
        <x:v>-69.7083902964572</x:v>
      </x:c>
      <x:c r="X699" s="58" t="n">
        <x:f>IF(R699="No","",W699*S699)</x:f>
        <x:v>-1120353.2488446601</x:v>
      </x:c>
      <x:c r="Y699" s="58" t="n">
        <x:f>IF(R699="No","",W699*T699*Assumptions!$B$9)</x:f>
        <x:v>-204315.29195891603</x:v>
      </x:c>
      <x:c r="Z699" s="58" t="n">
        <x:f>IF(R699="No","",X699-Y699)</x:f>
        <x:v>-916037.9568857441</x:v>
      </x:c>
      <x:c r="AA699" s="58" t="n">
        <x:f>IF(R699="No","",MAX(0,-Z699))</x:f>
        <x:v>916037.9568857441</x:v>
      </x:c>
      <x:c r="AB699" s="52" t="n">
        <x:f>IF(OR(R699="No",U699*S699=0),"",AA699/(U699*S699))</x:f>
        <x:v>0.053772244725480936</x:v>
      </x:c>
      <x:c r="AC699" s="54" t="n">
        <x:f>IF(OR(R699="No",S699-T699*Assumptions!$B$9&lt;=0),"",AA699/(Assumptions!$B$8*(S699-T699*Assumptions!$B$9)))</x:f>
        <x:v>82.00987093700847</x:v>
      </x:c>
      <x:c r="AD699" s="52" t="n">
        <x:f>IF(OR(R699="No",U699*S699=0),"",AA699/(U699*S699))</x:f>
        <x:v>0.053772244725480936</x:v>
      </x:c>
      <x:c r="AE699" s="50" t="str">
        <x:f>IF(R699="No","No finance data",IF(AB699&gt;=10%,"Severe",IF(AB699&gt;=5%,"High",IF(AB699&gt;=2%,"Moderate","Low"))))</x:f>
        <x:v>High</x:v>
      </x:c>
      <x:c r="AF699" s="60" t="n">
        <x:v>39.420631</x:v>
      </x:c>
      <x:c r="AG699" s="60" t="n">
        <x:v>-77.419049</x:v>
      </x:c>
      <x:c r="AH699" s="44" t="str">
        <x:v>Undergraduate tuition-contribution proxy only; not an audited total institutional budget.</x:v>
      </x:c>
    </x:row>
    <x:row r="700">
      <x:c r="A700" s="16" t="n">
        <x:v>162928</x:v>
      </x:c>
      <x:c r="B700" s="16" t="str">
        <x:v>Johns Hopkins University</x:v>
      </x:c>
      <x:c r="C700" s="16" t="str">
        <x:v>MD</x:v>
      </x:c>
      <x:c r="D700" s="16" t="str">
        <x:v>Private nonprofit</x:v>
      </x:c>
      <x:c r="E700" s="34" t="n">
        <x:v>5862</x:v>
      </x:c>
      <x:c r="F700" s="21" t="n">
        <x:v>0.0752</x:v>
      </x:c>
      <x:c r="G700" s="16" t="str">
        <x:v>National</x:v>
      </x:c>
      <x:c r="H700" s="36" t="n">
        <x:f>IF(G700="National",Assumptions!$B$11,IF(G700="Statewide",Assumptions!$B$12,Assumptions!$B$13))</x:f>
        <x:v>0.25</x:v>
      </x:c>
      <x:c r="I700" s="21" t="n">
        <x:v>-0.07190865657138235</x:v>
      </x:c>
      <x:c r="J700" s="21" t="n">
        <x:v>-0.06900693713391093</x:v>
      </x:c>
      <x:c r="K700" s="21" t="n">
        <x:v>-0.15307582260371955</x:v>
      </x:c>
      <x:c r="L700" s="36" t="n">
        <x:f>IF(Assumptions!$B$4=2030,I700,IF(Assumptions!$B$4=2035,J700,K700))</x:f>
        <x:v>-0.06900693713391093</x:v>
      </x:c>
      <x:c r="M700" s="36" t="n">
        <x:f>Assumptions!$B$19</x:f>
        <x:v>-0.04739891965741583</x:v>
      </x:c>
      <x:c r="N700" s="52" t="n">
        <x:f>H700*L700+(1-H700)*M700+O700</x:f>
        <x:v>-0.0528009240265396</x:v>
      </x:c>
      <x:c r="O700" s="36" t="n">
        <x:f>Assumptions!$B$10</x:f>
        <x:v>0</x:v>
      </x:c>
      <x:c r="P700" s="54" t="n">
        <x:f>E700*(1+N700)</x:f>
        <x:v>5552.480983356425</x:v>
      </x:c>
      <x:c r="Q700" s="54" t="n">
        <x:f>P700-E700</x:f>
        <x:v>-309.519016643575</x:v>
      </x:c>
      <x:c r="R700" s="16" t="str">
        <x:v>Yes</x:v>
      </x:c>
      <x:c r="S700" s="56" t="n">
        <x:v>24660</x:v>
      </x:c>
      <x:c r="T700" s="56" t="n">
        <x:v>81946</x:v>
      </x:c>
      <x:c r="U700" s="40" t="n">
        <x:f>E700*Assumptions!$B$8</x:f>
        <x:v>4982.7</x:v>
      </x:c>
      <x:c r="V700" s="40" t="n">
        <x:f>P700*Assumptions!$B$8</x:f>
        <x:v>4719.608835852961</x:v>
      </x:c>
      <x:c r="W700" s="54" t="n">
        <x:f>V700-U700</x:f>
        <x:v>-263.0911641470384</x:v>
      </x:c>
      <x:c r="X700" s="58" t="n">
        <x:f>IF(R700="No","",W700*S700)</x:f>
        <x:v>-6487828.107865967</x:v>
      </x:c>
      <x:c r="Y700" s="58" t="n">
        <x:f>IF(R700="No","",W700*T700*Assumptions!$B$9)</x:f>
        <x:v>-6467780.561157962</x:v>
      </x:c>
      <x:c r="Z700" s="58" t="n">
        <x:f>IF(R700="No","",X700-Y700)</x:f>
        <x:v>-20047.54670800455</x:v>
      </x:c>
      <x:c r="AA700" s="58" t="n">
        <x:f>IF(R700="No","",MAX(0,-Z700))</x:f>
        <x:v>20047.54670800455</x:v>
      </x:c>
      <x:c r="AB700" s="52" t="n">
        <x:f>IF(OR(R700="No",U700*S700=0),"",AA700/(U700*S700))</x:f>
        <x:v>0.00016315613993602413</x:v>
      </x:c>
      <x:c r="AC700" s="54" t="n">
        <x:f>IF(OR(R700="No",S700-T700*Assumptions!$B$9&lt;=0),"",AA700/(Assumptions!$B$8*(S700-T700*Assumptions!$B$9)))</x:f>
        <x:v>309.51901664357507</x:v>
      </x:c>
      <x:c r="AD700" s="52" t="n">
        <x:f>IF(OR(R700="No",U700*S700=0),"",AA700/(U700*S700))</x:f>
        <x:v>0.00016315613993602413</x:v>
      </x:c>
      <x:c r="AE700" s="50" t="str">
        <x:f>IF(R700="No","No finance data",IF(AB700&gt;=10%,"Severe",IF(AB700&gt;=5%,"High",IF(AB700&gt;=2%,"Moderate","Low"))))</x:f>
        <x:v>Low</x:v>
      </x:c>
      <x:c r="AF700" s="60" t="n">
        <x:v>39.328977</x:v>
      </x:c>
      <x:c r="AG700" s="60" t="n">
        <x:v>-76.621595</x:v>
      </x:c>
      <x:c r="AH700" s="44" t="str">
        <x:v>Undergraduate tuition-contribution proxy only; not an audited total institutional budget.</x:v>
      </x:c>
    </x:row>
    <x:row r="701">
      <x:c r="A701" s="16" t="n">
        <x:v>163046</x:v>
      </x:c>
      <x:c r="B701" s="16" t="str">
        <x:v>Loyola University Maryland</x:v>
      </x:c>
      <x:c r="C701" s="16" t="str">
        <x:v>MD</x:v>
      </x:c>
      <x:c r="D701" s="16" t="str">
        <x:v>Private nonprofit</x:v>
      </x:c>
      <x:c r="E701" s="34" t="n">
        <x:v>4031</x:v>
      </x:c>
      <x:c r="F701" s="21" t="n">
        <x:v>0.8421</x:v>
      </x:c>
      <x:c r="G701" s="16" t="str">
        <x:v>Regional</x:v>
      </x:c>
      <x:c r="H701" s="36" t="n">
        <x:f>IF(G701="National",Assumptions!$B$11,IF(G701="Statewide",Assumptions!$B$12,Assumptions!$B$13))</x:f>
        <x:v>0.85</x:v>
      </x:c>
      <x:c r="I701" s="21" t="n">
        <x:v>-0.07190865657138235</x:v>
      </x:c>
      <x:c r="J701" s="21" t="n">
        <x:v>-0.06900693713391093</x:v>
      </x:c>
      <x:c r="K701" s="21" t="n">
        <x:v>-0.15307582260371955</x:v>
      </x:c>
      <x:c r="L701" s="36" t="n">
        <x:f>IF(Assumptions!$B$4=2030,I701,IF(Assumptions!$B$4=2035,J701,K701))</x:f>
        <x:v>-0.06900693713391093</x:v>
      </x:c>
      <x:c r="M701" s="36" t="n">
        <x:f>Assumptions!$B$19</x:f>
        <x:v>-0.04739891965741583</x:v>
      </x:c>
      <x:c r="N701" s="52" t="n">
        <x:f>H701*L701+(1-H701)*M701+O701</x:f>
        <x:v>-0.06576573451243665</x:v>
      </x:c>
      <x:c r="O701" s="36" t="n">
        <x:f>Assumptions!$B$10</x:f>
        <x:v>0</x:v>
      </x:c>
      <x:c r="P701" s="54" t="n">
        <x:f>E701*(1+N701)</x:f>
        <x:v>3765.898324180368</x:v>
      </x:c>
      <x:c r="Q701" s="54" t="n">
        <x:f>P701-E701</x:f>
        <x:v>-265.10167581963196</x:v>
      </x:c>
      <x:c r="R701" s="16" t="str">
        <x:v>Yes</x:v>
      </x:c>
      <x:c r="S701" s="56" t="n">
        <x:v>22424</x:v>
      </x:c>
      <x:c r="T701" s="56" t="n">
        <x:v>10031</x:v>
      </x:c>
      <x:c r="U701" s="40" t="n">
        <x:f>E701*Assumptions!$B$8</x:f>
        <x:v>3426.35</x:v>
      </x:c>
      <x:c r="V701" s="40" t="n">
        <x:f>P701*Assumptions!$B$8</x:f>
        <x:v>3201.013575553313</x:v>
      </x:c>
      <x:c r="W701" s="54" t="n">
        <x:f>V701-U701</x:f>
        <x:v>-225.33642444668703</x:v>
      </x:c>
      <x:c r="X701" s="58" t="n">
        <x:f>IF(R701="No","",W701*S701)</x:f>
        <x:v>-5052943.9817925105</x:v>
      </x:c>
      <x:c r="Y701" s="58" t="n">
        <x:f>IF(R701="No","",W701*T701*Assumptions!$B$9)</x:f>
        <x:v>-678104.9020874152</x:v>
      </x:c>
      <x:c r="Z701" s="58" t="n">
        <x:f>IF(R701="No","",X701-Y701)</x:f>
        <x:v>-4374839.079705095</x:v>
      </x:c>
      <x:c r="AA701" s="58" t="n">
        <x:f>IF(R701="No","",MAX(0,-Z701))</x:f>
        <x:v>4374839.079705095</x:v>
      </x:c>
      <x:c r="AB701" s="52" t="n">
        <x:f>IF(OR(R701="No",U701*S701=0),"",AA701/(U701*S701))</x:f>
        <x:v>0.05693997528712997</x:v>
      </x:c>
      <x:c r="AC701" s="54" t="n">
        <x:f>IF(OR(R701="No",S701-T701*Assumptions!$B$9&lt;=0),"",AA701/(Assumptions!$B$8*(S701-T701*Assumptions!$B$9)))</x:f>
        <x:v>265.10167581963185</x:v>
      </x:c>
      <x:c r="AD701" s="52" t="n">
        <x:f>IF(OR(R701="No",U701*S701=0),"",AA701/(U701*S701))</x:f>
        <x:v>0.05693997528712997</x:v>
      </x:c>
      <x:c r="AE701" s="50" t="str">
        <x:f>IF(R701="No","No finance data",IF(AB701&gt;=10%,"Severe",IF(AB701&gt;=5%,"High",IF(AB701&gt;=2%,"Moderate","Low"))))</x:f>
        <x:v>High</x:v>
      </x:c>
      <x:c r="AF701" s="60" t="n">
        <x:v>39.346358</x:v>
      </x:c>
      <x:c r="AG701" s="60" t="n">
        <x:v>-76.621872</x:v>
      </x:c>
      <x:c r="AH701" s="44" t="str">
        <x:v>Undergraduate tuition-contribution proxy only; not an audited total institutional budget.</x:v>
      </x:c>
    </x:row>
    <x:row r="702">
      <x:c r="A702" s="16" t="n">
        <x:v>446394</x:v>
      </x:c>
      <x:c r="B702" s="16" t="str">
        <x:v>Maple Springs Baptist Bible College and Seminary</x:v>
      </x:c>
      <x:c r="C702" s="16" t="str">
        <x:v>MD</x:v>
      </x:c>
      <x:c r="D702" s="16" t="str">
        <x:v>Private nonprofit</x:v>
      </x:c>
      <x:c r="E702" s="34" t="n">
        <x:v>52</x:v>
      </x:c>
      <x:c r="F702" s="21"/>
      <x:c r="G702" s="16" t="str">
        <x:v>Regional</x:v>
      </x:c>
      <x:c r="H702" s="36" t="n">
        <x:f>IF(G702="National",Assumptions!$B$11,IF(G702="Statewide",Assumptions!$B$12,Assumptions!$B$13))</x:f>
        <x:v>0.85</x:v>
      </x:c>
      <x:c r="I702" s="21" t="n">
        <x:v>-0.07190865657138235</x:v>
      </x:c>
      <x:c r="J702" s="21" t="n">
        <x:v>-0.06900693713391093</x:v>
      </x:c>
      <x:c r="K702" s="21" t="n">
        <x:v>-0.15307582260371955</x:v>
      </x:c>
      <x:c r="L702" s="36" t="n">
        <x:f>IF(Assumptions!$B$4=2030,I702,IF(Assumptions!$B$4=2035,J702,K702))</x:f>
        <x:v>-0.06900693713391093</x:v>
      </x:c>
      <x:c r="M702" s="36" t="n">
        <x:f>Assumptions!$B$19</x:f>
        <x:v>-0.04739891965741583</x:v>
      </x:c>
      <x:c r="N702" s="52" t="n">
        <x:f>H702*L702+(1-H702)*M702+O702</x:f>
        <x:v>-0.06576573451243665</x:v>
      </x:c>
      <x:c r="O702" s="36" t="n">
        <x:f>Assumptions!$B$10</x:f>
        <x:v>0</x:v>
      </x:c>
      <x:c r="P702" s="54" t="n">
        <x:f>E702*(1+N702)</x:f>
        <x:v>48.5801818053533</x:v>
      </x:c>
      <x:c r="Q702" s="54" t="n">
        <x:f>P702-E702</x:f>
        <x:v>-3.4198181946467017</x:v>
      </x:c>
      <x:c r="R702" s="16" t="str">
        <x:v>No</x:v>
      </x:c>
      <x:c r="S702" s="56"/>
      <x:c r="T702" s="56"/>
      <x:c r="U702" s="40" t="n">
        <x:f>E702*Assumptions!$B$8</x:f>
        <x:v>44.199999999999996</x:v>
      </x:c>
      <x:c r="V702" s="40" t="n">
        <x:f>P702*Assumptions!$B$8</x:f>
        <x:v>41.293154534550304</x:v>
      </x:c>
      <x:c r="W702" s="54" t="n">
        <x:f>V702-U702</x:f>
        <x:v>-2.906845465449692</x:v>
      </x:c>
      <x:c r="X702" s="58" t="str">
        <x:f>IF(R702="No","",W702*S702)</x:f>
      </x:c>
      <x:c r="Y702" s="58" t="str">
        <x:f>IF(R702="No","",W702*T702*Assumptions!$B$9)</x:f>
      </x:c>
      <x:c r="Z702" s="58" t="str">
        <x:f>IF(R702="No","",X702-Y702)</x:f>
      </x:c>
      <x:c r="AA702" s="58" t="str">
        <x:f>IF(R702="No","",MAX(0,-Z702))</x:f>
      </x:c>
      <x:c r="AB702" s="52" t="str">
        <x:f>IF(OR(R702="No",U702*S702=0),"",AA702/(U702*S702))</x:f>
      </x:c>
      <x:c r="AC702" s="54" t="str">
        <x:f>IF(OR(R702="No",S702-T702*Assumptions!$B$9&lt;=0),"",AA702/(Assumptions!$B$8*(S702-T702*Assumptions!$B$9)))</x:f>
      </x:c>
      <x:c r="AD702" s="52" t="str">
        <x:f>IF(OR(R702="No",U702*S702=0),"",AA702/(U702*S702))</x:f>
      </x:c>
      <x:c r="AE702" s="50" t="str">
        <x:f>IF(R702="No","No finance data",IF(AB702&gt;=10%,"Severe",IF(AB702&gt;=5%,"High",IF(AB702&gt;=2%,"Moderate","Low"))))</x:f>
        <x:v>No finance data</x:v>
      </x:c>
      <x:c r="AF702" s="60"/>
      <x:c r="AG702" s="60"/>
      <x:c r="AH702" s="44" t="str">
        <x:v>Undergraduate tuition-contribution proxy only; not an audited total institutional budget.</x:v>
      </x:c>
    </x:row>
    <x:row r="703">
      <x:c r="A703" s="16" t="n">
        <x:v>163295</x:v>
      </x:c>
      <x:c r="B703" s="16" t="str">
        <x:v>Maryland Institute College of Art</x:v>
      </x:c>
      <x:c r="C703" s="16" t="str">
        <x:v>MD</x:v>
      </x:c>
      <x:c r="D703" s="16" t="str">
        <x:v>Private nonprofit</x:v>
      </x:c>
      <x:c r="E703" s="34" t="n">
        <x:v>1814</x:v>
      </x:c>
      <x:c r="F703" s="21" t="n">
        <x:v>0.8575</x:v>
      </x:c>
      <x:c r="G703" s="16" t="str">
        <x:v>Regional</x:v>
      </x:c>
      <x:c r="H703" s="36" t="n">
        <x:f>IF(G703="National",Assumptions!$B$11,IF(G703="Statewide",Assumptions!$B$12,Assumptions!$B$13))</x:f>
        <x:v>0.85</x:v>
      </x:c>
      <x:c r="I703" s="21" t="n">
        <x:v>-0.07190865657138235</x:v>
      </x:c>
      <x:c r="J703" s="21" t="n">
        <x:v>-0.06900693713391093</x:v>
      </x:c>
      <x:c r="K703" s="21" t="n">
        <x:v>-0.15307582260371955</x:v>
      </x:c>
      <x:c r="L703" s="36" t="n">
        <x:f>IF(Assumptions!$B$4=2030,I703,IF(Assumptions!$B$4=2035,J703,K703))</x:f>
        <x:v>-0.06900693713391093</x:v>
      </x:c>
      <x:c r="M703" s="36" t="n">
        <x:f>Assumptions!$B$19</x:f>
        <x:v>-0.04739891965741583</x:v>
      </x:c>
      <x:c r="N703" s="52" t="n">
        <x:f>H703*L703+(1-H703)*M703+O703</x:f>
        <x:v>-0.06576573451243665</x:v>
      </x:c>
      <x:c r="O703" s="36" t="n">
        <x:f>Assumptions!$B$10</x:f>
        <x:v>0</x:v>
      </x:c>
      <x:c r="P703" s="54" t="n">
        <x:f>E703*(1+N703)</x:f>
        <x:v>1694.70095759444</x:v>
      </x:c>
      <x:c r="Q703" s="54" t="n">
        <x:f>P703-E703</x:f>
        <x:v>-119.29904240555993</x:v>
      </x:c>
      <x:c r="R703" s="16" t="str">
        <x:v>Yes</x:v>
      </x:c>
      <x:c r="S703" s="56" t="n">
        <x:v>28417</x:v>
      </x:c>
      <x:c r="T703" s="56" t="n">
        <x:v>17351</x:v>
      </x:c>
      <x:c r="U703" s="40" t="n">
        <x:f>E703*Assumptions!$B$8</x:f>
        <x:v>1541.8999999999999</x:v>
      </x:c>
      <x:c r="V703" s="40" t="n">
        <x:f>P703*Assumptions!$B$8</x:f>
        <x:v>1440.4958139552741</x:v>
      </x:c>
      <x:c r="W703" s="54" t="n">
        <x:f>V703-U703</x:f>
        <x:v>-101.40418604472575</x:v>
      </x:c>
      <x:c r="X703" s="58" t="n">
        <x:f>IF(R703="No","",W703*S703)</x:f>
        <x:v>-2881602.7548329714</x:v>
      </x:c>
      <x:c r="Y703" s="58" t="n">
        <x:f>IF(R703="No","",W703*T703*Assumptions!$B$9)</x:f>
        <x:v>-527839.2096186109</x:v>
      </x:c>
      <x:c r="Z703" s="58" t="n">
        <x:f>IF(R703="No","",X703-Y703)</x:f>
        <x:v>-2353763.5452143606</x:v>
      </x:c>
      <x:c r="AA703" s="58" t="n">
        <x:f>IF(R703="No","",MAX(0,-Z703))</x:f>
        <x:v>2353763.5452143606</x:v>
      </x:c>
      <x:c r="AB703" s="52" t="n">
        <x:f>IF(OR(R703="No",U703*S703=0),"",AA703/(U703*S703))</x:f>
        <x:v>0.05371905900631034</x:v>
      </x:c>
      <x:c r="AC703" s="54" t="n">
        <x:f>IF(OR(R703="No",S703-T703*Assumptions!$B$9&lt;=0),"",AA703/(Assumptions!$B$8*(S703-T703*Assumptions!$B$9)))</x:f>
        <x:v>119.2990424055597</x:v>
      </x:c>
      <x:c r="AD703" s="52" t="n">
        <x:f>IF(OR(R703="No",U703*S703=0),"",AA703/(U703*S703))</x:f>
        <x:v>0.05371905900631034</x:v>
      </x:c>
      <x:c r="AE703" s="50" t="str">
        <x:f>IF(R703="No","No finance data",IF(AB703&gt;=10%,"Severe",IF(AB703&gt;=5%,"High",IF(AB703&gt;=2%,"Moderate","Low"))))</x:f>
        <x:v>High</x:v>
      </x:c>
      <x:c r="AF703" s="60" t="n">
        <x:v>39.308792</x:v>
      </x:c>
      <x:c r="AG703" s="60" t="n">
        <x:v>-76.621033</x:v>
      </x:c>
      <x:c r="AH703" s="44" t="str">
        <x:v>Undergraduate tuition-contribution proxy only; not an audited total institutional budget.</x:v>
      </x:c>
    </x:row>
    <x:row r="704">
      <x:c r="A704" s="16" t="n">
        <x:v>164270</x:v>
      </x:c>
      <x:c r="B704" s="16" t="str">
        <x:v>McDaniel College</x:v>
      </x:c>
      <x:c r="C704" s="16" t="str">
        <x:v>MD</x:v>
      </x:c>
      <x:c r="D704" s="16" t="str">
        <x:v>Private nonprofit</x:v>
      </x:c>
      <x:c r="E704" s="34" t="n">
        <x:v>1613</x:v>
      </x:c>
      <x:c r="F704" s="21" t="n">
        <x:v>0.8668</x:v>
      </x:c>
      <x:c r="G704" s="16" t="str">
        <x:v>Regional</x:v>
      </x:c>
      <x:c r="H704" s="36" t="n">
        <x:f>IF(G704="National",Assumptions!$B$11,IF(G704="Statewide",Assumptions!$B$12,Assumptions!$B$13))</x:f>
        <x:v>0.85</x:v>
      </x:c>
      <x:c r="I704" s="21" t="n">
        <x:v>-0.07190865657138235</x:v>
      </x:c>
      <x:c r="J704" s="21" t="n">
        <x:v>-0.06900693713391093</x:v>
      </x:c>
      <x:c r="K704" s="21" t="n">
        <x:v>-0.15307582260371955</x:v>
      </x:c>
      <x:c r="L704" s="36" t="n">
        <x:f>IF(Assumptions!$B$4=2030,I704,IF(Assumptions!$B$4=2035,J704,K704))</x:f>
        <x:v>-0.06900693713391093</x:v>
      </x:c>
      <x:c r="M704" s="36" t="n">
        <x:f>Assumptions!$B$19</x:f>
        <x:v>-0.04739891965741583</x:v>
      </x:c>
      <x:c r="N704" s="52" t="n">
        <x:f>H704*L704+(1-H704)*M704+O704</x:f>
        <x:v>-0.06576573451243665</x:v>
      </x:c>
      <x:c r="O704" s="36" t="n">
        <x:f>Assumptions!$B$10</x:f>
        <x:v>0</x:v>
      </x:c>
      <x:c r="P704" s="54" t="n">
        <x:f>E704*(1+N704)</x:f>
        <x:v>1506.9198702314397</x:v>
      </x:c>
      <x:c r="Q704" s="54" t="n">
        <x:f>P704-E704</x:f>
        <x:v>-106.08012976856025</x:v>
      </x:c>
      <x:c r="R704" s="16" t="str">
        <x:v>Yes</x:v>
      </x:c>
      <x:c r="S704" s="56" t="n">
        <x:v>13815</x:v>
      </x:c>
      <x:c r="T704" s="56" t="n">
        <x:v>9669</x:v>
      </x:c>
      <x:c r="U704" s="40" t="n">
        <x:f>E704*Assumptions!$B$8</x:f>
        <x:v>1371.05</x:v>
      </x:c>
      <x:c r="V704" s="40" t="n">
        <x:f>P704*Assumptions!$B$8</x:f>
        <x:v>1280.8818896967236</x:v>
      </x:c>
      <x:c r="W704" s="54" t="n">
        <x:f>V704-U704</x:f>
        <x:v>-90.16811030327631</x:v>
      </x:c>
      <x:c r="X704" s="58" t="n">
        <x:f>IF(R704="No","",W704*S704)</x:f>
        <x:v>-1245672.4438397621</x:v>
      </x:c>
      <x:c r="Y704" s="58" t="n">
        <x:f>IF(R704="No","",W704*T704*Assumptions!$B$9)</x:f>
        <x:v>-261550.63755671357</x:v>
      </x:c>
      <x:c r="Z704" s="58" t="n">
        <x:f>IF(R704="No","",X704-Y704)</x:f>
        <x:v>-984121.8062830486</x:v>
      </x:c>
      <x:c r="AA704" s="58" t="n">
        <x:f>IF(R704="No","",MAX(0,-Z704))</x:f>
        <x:v>984121.8062830486</x:v>
      </x:c>
      <x:c r="AB704" s="52" t="n">
        <x:f>IF(OR(R704="No",U704*S704=0),"",AA704/(U704*S704))</x:f>
        <x:v>0.05195707247116089</x:v>
      </x:c>
      <x:c r="AC704" s="54" t="n">
        <x:f>IF(OR(R704="No",S704-T704*Assumptions!$B$9&lt;=0),"",AA704/(Assumptions!$B$8*(S704-T704*Assumptions!$B$9)))</x:f>
        <x:v>106.08012976856037</x:v>
      </x:c>
      <x:c r="AD704" s="52" t="n">
        <x:f>IF(OR(R704="No",U704*S704=0),"",AA704/(U704*S704))</x:f>
        <x:v>0.05195707247116089</x:v>
      </x:c>
      <x:c r="AE704" s="50" t="str">
        <x:f>IF(R704="No","No finance data",IF(AB704&gt;=10%,"Severe",IF(AB704&gt;=5%,"High",IF(AB704&gt;=2%,"Moderate","Low"))))</x:f>
        <x:v>High</x:v>
      </x:c>
      <x:c r="AF704" s="60" t="n">
        <x:v>39.584231</x:v>
      </x:c>
      <x:c r="AG704" s="60" t="n">
        <x:v>-77.001992</x:v>
      </x:c>
      <x:c r="AH704" s="44" t="str">
        <x:v>Undergraduate tuition-contribution proxy only; not an audited total institutional budget.</x:v>
      </x:c>
    </x:row>
    <x:row r="705">
      <x:c r="A705" s="16" t="n">
        <x:v>163453</x:v>
      </x:c>
      <x:c r="B705" s="16" t="str">
        <x:v>Morgan State University</x:v>
      </x:c>
      <x:c r="C705" s="16" t="str">
        <x:v>MD</x:v>
      </x:c>
      <x:c r="D705" s="16" t="str">
        <x:v>Public</x:v>
      </x:c>
      <x:c r="E705" s="34" t="n">
        <x:v>6294</x:v>
      </x:c>
      <x:c r="F705" s="21" t="n">
        <x:v>0.871</x:v>
      </x:c>
      <x:c r="G705" s="16" t="str">
        <x:v>Statewide</x:v>
      </x:c>
      <x:c r="H705" s="36" t="n">
        <x:f>IF(G705="National",Assumptions!$B$11,IF(G705="Statewide",Assumptions!$B$12,Assumptions!$B$13))</x:f>
        <x:v>0.6</x:v>
      </x:c>
      <x:c r="I705" s="21" t="n">
        <x:v>-0.07190865657138235</x:v>
      </x:c>
      <x:c r="J705" s="21" t="n">
        <x:v>-0.06900693713391093</x:v>
      </x:c>
      <x:c r="K705" s="21" t="n">
        <x:v>-0.15307582260371955</x:v>
      </x:c>
      <x:c r="L705" s="36" t="n">
        <x:f>IF(Assumptions!$B$4=2030,I705,IF(Assumptions!$B$4=2035,J705,K705))</x:f>
        <x:v>-0.06900693713391093</x:v>
      </x:c>
      <x:c r="M705" s="36" t="n">
        <x:f>Assumptions!$B$19</x:f>
        <x:v>-0.04739891965741583</x:v>
      </x:c>
      <x:c r="N705" s="52" t="n">
        <x:f>H705*L705+(1-H705)*M705+O705</x:f>
        <x:v>-0.06036373014331289</x:v>
      </x:c>
      <x:c r="O705" s="36" t="n">
        <x:f>Assumptions!$B$10</x:f>
        <x:v>0</x:v>
      </x:c>
      <x:c r="P705" s="54" t="n">
        <x:f>E705*(1+N705)</x:f>
        <x:v>5914.070682477989</x:v>
      </x:c>
      <x:c r="Q705" s="54" t="n">
        <x:f>P705-E705</x:f>
        <x:v>-379.92931752201093</x:v>
      </x:c>
      <x:c r="R705" s="16" t="str">
        <x:v>Yes</x:v>
      </x:c>
      <x:c r="S705" s="56" t="n">
        <x:v>6648</x:v>
      </x:c>
      <x:c r="T705" s="56" t="n">
        <x:v>8630</x:v>
      </x:c>
      <x:c r="U705" s="40" t="n">
        <x:f>E705*Assumptions!$B$8</x:f>
        <x:v>5349.9</x:v>
      </x:c>
      <x:c r="V705" s="40" t="n">
        <x:f>P705*Assumptions!$B$8</x:f>
        <x:v>5026.960080106291</x:v>
      </x:c>
      <x:c r="W705" s="54" t="n">
        <x:f>V705-U705</x:f>
        <x:v>-322.939919893709</x:v>
      </x:c>
      <x:c r="X705" s="58" t="n">
        <x:f>IF(R705="No","",W705*S705)</x:f>
        <x:v>-2146904.5874533774</x:v>
      </x:c>
      <x:c r="Y705" s="58" t="n">
        <x:f>IF(R705="No","",W705*T705*Assumptions!$B$9)</x:f>
        <x:v>-836091.4526048125</x:v>
      </x:c>
      <x:c r="Z705" s="58" t="n">
        <x:f>IF(R705="No","",X705-Y705)</x:f>
        <x:v>-1310813.1348485649</x:v>
      </x:c>
      <x:c r="AA705" s="58" t="n">
        <x:f>IF(R705="No","",MAX(0,-Z705))</x:f>
        <x:v>1310813.1348485649</x:v>
      </x:c>
      <x:c r="AB705" s="52" t="n">
        <x:f>IF(OR(R705="No",U705*S705=0),"",AA705/(U705*S705))</x:f>
        <x:v>0.03685565292594864</x:v>
      </x:c>
      <x:c r="AC705" s="54" t="n">
        <x:f>IF(OR(R705="No",S705-T705*Assumptions!$B$9&lt;=0),"",AA705/(Assumptions!$B$8*(S705-T705*Assumptions!$B$9)))</x:f>
        <x:v>379.9293175220106</x:v>
      </x:c>
      <x:c r="AD705" s="52" t="n">
        <x:f>IF(OR(R705="No",U705*S705=0),"",AA705/(U705*S705))</x:f>
        <x:v>0.03685565292594864</x:v>
      </x:c>
      <x:c r="AE705" s="50" t="str">
        <x:f>IF(R705="No","No finance data",IF(AB705&gt;=10%,"Severe",IF(AB705&gt;=5%,"High",IF(AB705&gt;=2%,"Moderate","Low"))))</x:f>
        <x:v>Moderate</x:v>
      </x:c>
      <x:c r="AF705" s="60" t="n">
        <x:v>39.344161</x:v>
      </x:c>
      <x:c r="AG705" s="60" t="n">
        <x:v>-76.585565</x:v>
      </x:c>
      <x:c r="AH705" s="44" t="str">
        <x:v>Undergraduate tuition-contribution proxy only; not an audited total institutional budget.</x:v>
      </x:c>
    </x:row>
    <x:row r="706">
      <x:c r="A706" s="16" t="n">
        <x:v>163462</x:v>
      </x:c>
      <x:c r="B706" s="16" t="str">
        <x:v>Mount St Mary's University</x:v>
      </x:c>
      <x:c r="C706" s="16" t="str">
        <x:v>MD</x:v>
      </x:c>
      <x:c r="D706" s="16" t="str">
        <x:v>Private nonprofit</x:v>
      </x:c>
      <x:c r="E706" s="34" t="n">
        <x:v>1787</x:v>
      </x:c>
      <x:c r="F706" s="21" t="n">
        <x:v>0.8175</x:v>
      </x:c>
      <x:c r="G706" s="16" t="str">
        <x:v>Regional</x:v>
      </x:c>
      <x:c r="H706" s="36" t="n">
        <x:f>IF(G706="National",Assumptions!$B$11,IF(G706="Statewide",Assumptions!$B$12,Assumptions!$B$13))</x:f>
        <x:v>0.85</x:v>
      </x:c>
      <x:c r="I706" s="21" t="n">
        <x:v>-0.07190865657138235</x:v>
      </x:c>
      <x:c r="J706" s="21" t="n">
        <x:v>-0.06900693713391093</x:v>
      </x:c>
      <x:c r="K706" s="21" t="n">
        <x:v>-0.15307582260371955</x:v>
      </x:c>
      <x:c r="L706" s="36" t="n">
        <x:f>IF(Assumptions!$B$4=2030,I706,IF(Assumptions!$B$4=2035,J706,K706))</x:f>
        <x:v>-0.06900693713391093</x:v>
      </x:c>
      <x:c r="M706" s="36" t="n">
        <x:f>Assumptions!$B$19</x:f>
        <x:v>-0.04739891965741583</x:v>
      </x:c>
      <x:c r="N706" s="52" t="n">
        <x:f>H706*L706+(1-H706)*M706+O706</x:f>
        <x:v>-0.06576573451243665</x:v>
      </x:c>
      <x:c r="O706" s="36" t="n">
        <x:f>Assumptions!$B$10</x:f>
        <x:v>0</x:v>
      </x:c>
      <x:c r="P706" s="54" t="n">
        <x:f>E706*(1+N706)</x:f>
        <x:v>1669.4766324262757</x:v>
      </x:c>
      <x:c r="Q706" s="54" t="n">
        <x:f>P706-E706</x:f>
        <x:v>-117.52336757372427</x:v>
      </x:c>
      <x:c r="R706" s="16" t="str">
        <x:v>Yes</x:v>
      </x:c>
      <x:c r="S706" s="56" t="n">
        <x:v>14947</x:v>
      </x:c>
      <x:c r="T706" s="56" t="n">
        <x:v>7922</x:v>
      </x:c>
      <x:c r="U706" s="40" t="n">
        <x:f>E706*Assumptions!$B$8</x:f>
        <x:v>1518.95</x:v>
      </x:c>
      <x:c r="V706" s="40" t="n">
        <x:f>P706*Assumptions!$B$8</x:f>
        <x:v>1419.0551375623343</x:v>
      </x:c>
      <x:c r="W706" s="54" t="n">
        <x:f>V706-U706</x:f>
        <x:v>-99.89486243766578</x:v>
      </x:c>
      <x:c r="X706" s="58" t="n">
        <x:f>IF(R706="No","",W706*S706)</x:f>
        <x:v>-1493128.5088557904</x:v>
      </x:c>
      <x:c r="Y706" s="58" t="n">
        <x:f>IF(R706="No","",W706*T706*Assumptions!$B$9)</x:f>
        <x:v>-237410.1300693565</x:v>
      </x:c>
      <x:c r="Z706" s="58" t="n">
        <x:f>IF(R706="No","",X706-Y706)</x:f>
        <x:v>-1255718.378786434</x:v>
      </x:c>
      <x:c r="AA706" s="58" t="n">
        <x:f>IF(R706="No","",MAX(0,-Z706))</x:f>
        <x:v>1255718.378786434</x:v>
      </x:c>
      <x:c r="AB706" s="52" t="n">
        <x:f>IF(OR(R706="No",U706*S706=0),"",AA706/(U706*S706))</x:f>
        <x:v>0.05530886392688397</x:v>
      </x:c>
      <x:c r="AC706" s="54" t="n">
        <x:f>IF(OR(R706="No",S706-T706*Assumptions!$B$9&lt;=0),"",AA706/(Assumptions!$B$8*(S706-T706*Assumptions!$B$9)))</x:f>
        <x:v>117.52336757372444</x:v>
      </x:c>
      <x:c r="AD706" s="52" t="n">
        <x:f>IF(OR(R706="No",U706*S706=0),"",AA706/(U706*S706))</x:f>
        <x:v>0.05530886392688397</x:v>
      </x:c>
      <x:c r="AE706" s="50" t="str">
        <x:f>IF(R706="No","No finance data",IF(AB706&gt;=10%,"Severe",IF(AB706&gt;=5%,"High",IF(AB706&gt;=2%,"Moderate","Low"))))</x:f>
        <x:v>High</x:v>
      </x:c>
      <x:c r="AF706" s="60" t="n">
        <x:v>39.681705</x:v>
      </x:c>
      <x:c r="AG706" s="60" t="n">
        <x:v>-77.351887</x:v>
      </x:c>
      <x:c r="AH706" s="44" t="str">
        <x:v>Undergraduate tuition-contribution proxy only; not an audited total institutional budget.</x:v>
      </x:c>
    </x:row>
    <x:row r="707">
      <x:c r="A707" s="16" t="n">
        <x:v>163532</x:v>
      </x:c>
      <x:c r="B707" s="16" t="str">
        <x:v>Ner Israel Rabbinical College</x:v>
      </x:c>
      <x:c r="C707" s="16" t="str">
        <x:v>MD</x:v>
      </x:c>
      <x:c r="D707" s="16" t="str">
        <x:v>Private nonprofit</x:v>
      </x:c>
      <x:c r="E707" s="34" t="n">
        <x:v>300</x:v>
      </x:c>
      <x:c r="F707" s="21"/>
      <x:c r="G707" s="16" t="str">
        <x:v>Regional</x:v>
      </x:c>
      <x:c r="H707" s="36" t="n">
        <x:f>IF(G707="National",Assumptions!$B$11,IF(G707="Statewide",Assumptions!$B$12,Assumptions!$B$13))</x:f>
        <x:v>0.85</x:v>
      </x:c>
      <x:c r="I707" s="21" t="n">
        <x:v>-0.07190865657138235</x:v>
      </x:c>
      <x:c r="J707" s="21" t="n">
        <x:v>-0.06900693713391093</x:v>
      </x:c>
      <x:c r="K707" s="21" t="n">
        <x:v>-0.15307582260371955</x:v>
      </x:c>
      <x:c r="L707" s="36" t="n">
        <x:f>IF(Assumptions!$B$4=2030,I707,IF(Assumptions!$B$4=2035,J707,K707))</x:f>
        <x:v>-0.06900693713391093</x:v>
      </x:c>
      <x:c r="M707" s="36" t="n">
        <x:f>Assumptions!$B$19</x:f>
        <x:v>-0.04739891965741583</x:v>
      </x:c>
      <x:c r="N707" s="52" t="n">
        <x:f>H707*L707+(1-H707)*M707+O707</x:f>
        <x:v>-0.06576573451243665</x:v>
      </x:c>
      <x:c r="O707" s="36" t="n">
        <x:f>Assumptions!$B$10</x:f>
        <x:v>0</x:v>
      </x:c>
      <x:c r="P707" s="54" t="n">
        <x:f>E707*(1+N707)</x:f>
        <x:v>280.270279646269</x:v>
      </x:c>
      <x:c r="Q707" s="54" t="n">
        <x:f>P707-E707</x:f>
        <x:v>-19.72972035373101</x:v>
      </x:c>
      <x:c r="R707" s="16" t="str">
        <x:v>No</x:v>
      </x:c>
      <x:c r="S707" s="56"/>
      <x:c r="T707" s="56"/>
      <x:c r="U707" s="40" t="n">
        <x:f>E707*Assumptions!$B$8</x:f>
        <x:v>255</x:v>
      </x:c>
      <x:c r="V707" s="40" t="n">
        <x:f>P707*Assumptions!$B$8</x:f>
        <x:v>238.22973769932864</x:v>
      </x:c>
      <x:c r="W707" s="54" t="n">
        <x:f>V707-U707</x:f>
        <x:v>-16.770262300671362</x:v>
      </x:c>
      <x:c r="X707" s="58" t="str">
        <x:f>IF(R707="No","",W707*S707)</x:f>
      </x:c>
      <x:c r="Y707" s="58" t="str">
        <x:f>IF(R707="No","",W707*T707*Assumptions!$B$9)</x:f>
      </x:c>
      <x:c r="Z707" s="58" t="str">
        <x:f>IF(R707="No","",X707-Y707)</x:f>
      </x:c>
      <x:c r="AA707" s="58" t="str">
        <x:f>IF(R707="No","",MAX(0,-Z707))</x:f>
      </x:c>
      <x:c r="AB707" s="52" t="str">
        <x:f>IF(OR(R707="No",U707*S707=0),"",AA707/(U707*S707))</x:f>
      </x:c>
      <x:c r="AC707" s="54" t="str">
        <x:f>IF(OR(R707="No",S707-T707*Assumptions!$B$9&lt;=0),"",AA707/(Assumptions!$B$8*(S707-T707*Assumptions!$B$9)))</x:f>
      </x:c>
      <x:c r="AD707" s="52" t="str">
        <x:f>IF(OR(R707="No",U707*S707=0),"",AA707/(U707*S707))</x:f>
      </x:c>
      <x:c r="AE707" s="50" t="str">
        <x:f>IF(R707="No","No finance data",IF(AB707&gt;=10%,"Severe",IF(AB707&gt;=5%,"High",IF(AB707&gt;=2%,"Moderate","Low"))))</x:f>
        <x:v>No finance data</x:v>
      </x:c>
      <x:c r="AF707" s="60"/>
      <x:c r="AG707" s="60"/>
      <x:c r="AH707" s="44" t="str">
        <x:v>Undergraduate tuition-contribution proxy only; not an audited total institutional budget.</x:v>
      </x:c>
    </x:row>
    <x:row r="708">
      <x:c r="A708" s="16" t="n">
        <x:v>163578</x:v>
      </x:c>
      <x:c r="B708" s="16" t="str">
        <x:v>Notre Dame of Maryland University</x:v>
      </x:c>
      <x:c r="C708" s="16" t="str">
        <x:v>MD</x:v>
      </x:c>
      <x:c r="D708" s="16" t="str">
        <x:v>Private nonprofit</x:v>
      </x:c>
      <x:c r="E708" s="34" t="n">
        <x:v>1001</x:v>
      </x:c>
      <x:c r="F708" s="21" t="n">
        <x:v>0.6509</x:v>
      </x:c>
      <x:c r="G708" s="16" t="str">
        <x:v>Regional</x:v>
      </x:c>
      <x:c r="H708" s="36" t="n">
        <x:f>IF(G708="National",Assumptions!$B$11,IF(G708="Statewide",Assumptions!$B$12,Assumptions!$B$13))</x:f>
        <x:v>0.85</x:v>
      </x:c>
      <x:c r="I708" s="21" t="n">
        <x:v>-0.07190865657138235</x:v>
      </x:c>
      <x:c r="J708" s="21" t="n">
        <x:v>-0.06900693713391093</x:v>
      </x:c>
      <x:c r="K708" s="21" t="n">
        <x:v>-0.15307582260371955</x:v>
      </x:c>
      <x:c r="L708" s="36" t="n">
        <x:f>IF(Assumptions!$B$4=2030,I708,IF(Assumptions!$B$4=2035,J708,K708))</x:f>
        <x:v>-0.06900693713391093</x:v>
      </x:c>
      <x:c r="M708" s="36" t="n">
        <x:f>Assumptions!$B$19</x:f>
        <x:v>-0.04739891965741583</x:v>
      </x:c>
      <x:c r="N708" s="52" t="n">
        <x:f>H708*L708+(1-H708)*M708+O708</x:f>
        <x:v>-0.06576573451243665</x:v>
      </x:c>
      <x:c r="O708" s="36" t="n">
        <x:f>Assumptions!$B$10</x:f>
        <x:v>0</x:v>
      </x:c>
      <x:c r="P708" s="54" t="n">
        <x:f>E708*(1+N708)</x:f>
        <x:v>935.1684997530509</x:v>
      </x:c>
      <x:c r="Q708" s="54" t="n">
        <x:f>P708-E708</x:f>
        <x:v>-65.83150024694908</x:v>
      </x:c>
      <x:c r="R708" s="16" t="str">
        <x:v>Yes</x:v>
      </x:c>
      <x:c r="S708" s="56" t="n">
        <x:v>18076</x:v>
      </x:c>
      <x:c r="T708" s="56" t="n">
        <x:v>12419</x:v>
      </x:c>
      <x:c r="U708" s="40" t="n">
        <x:f>E708*Assumptions!$B$8</x:f>
        <x:v>850.85</x:v>
      </x:c>
      <x:c r="V708" s="40" t="n">
        <x:f>P708*Assumptions!$B$8</x:f>
        <x:v>794.8932247900933</x:v>
      </x:c>
      <x:c r="W708" s="54" t="n">
        <x:f>V708-U708</x:f>
        <x:v>-55.95677520990671</x:v>
      </x:c>
      <x:c r="X708" s="58" t="n">
        <x:f>IF(R708="No","",W708*S708)</x:f>
        <x:v>-1011474.6686942737</x:v>
      </x:c>
      <x:c r="Y708" s="58" t="n">
        <x:f>IF(R708="No","",W708*T708*Assumptions!$B$9)</x:f>
        <x:v>-208478.1573995494</x:v>
      </x:c>
      <x:c r="Z708" s="58" t="n">
        <x:f>IF(R708="No","",X708-Y708)</x:f>
        <x:v>-802996.5112947243</x:v>
      </x:c>
      <x:c r="AA708" s="58" t="n">
        <x:f>IF(R708="No","",MAX(0,-Z708))</x:f>
        <x:v>802996.5112947243</x:v>
      </x:c>
      <x:c r="AB708" s="52" t="n">
        <x:f>IF(OR(R708="No",U708*S708=0),"",AA708/(U708*S708))</x:f>
        <x:v>0.052210556537608956</x:v>
      </x:c>
      <x:c r="AC708" s="54" t="n">
        <x:f>IF(OR(R708="No",S708-T708*Assumptions!$B$9&lt;=0),"",AA708/(Assumptions!$B$8*(S708-T708*Assumptions!$B$9)))</x:f>
        <x:v>65.83150024694908</x:v>
      </x:c>
      <x:c r="AD708" s="52" t="n">
        <x:f>IF(OR(R708="No",U708*S708=0),"",AA708/(U708*S708))</x:f>
        <x:v>0.052210556537608956</x:v>
      </x:c>
      <x:c r="AE708" s="50" t="str">
        <x:f>IF(R708="No","No finance data",IF(AB708&gt;=10%,"Severe",IF(AB708&gt;=5%,"High",IF(AB708&gt;=2%,"Moderate","Low"))))</x:f>
        <x:v>High</x:v>
      </x:c>
      <x:c r="AF708" s="60" t="n">
        <x:v>39.350612</x:v>
      </x:c>
      <x:c r="AG708" s="60" t="n">
        <x:v>-76.619739</x:v>
      </x:c>
      <x:c r="AH708" s="44" t="str">
        <x:v>Undergraduate tuition-contribution proxy only; not an audited total institutional budget.</x:v>
      </x:c>
    </x:row>
    <x:row r="709">
      <x:c r="A709" s="16" t="n">
        <x:v>163851</x:v>
      </x:c>
      <x:c r="B709" s="16" t="str">
        <x:v>Salisbury University</x:v>
      </x:c>
      <x:c r="C709" s="16" t="str">
        <x:v>MD</x:v>
      </x:c>
      <x:c r="D709" s="16" t="str">
        <x:v>Public</x:v>
      </x:c>
      <x:c r="E709" s="34" t="n">
        <x:v>7612</x:v>
      </x:c>
      <x:c r="F709" s="21" t="n">
        <x:v>0.8646</x:v>
      </x:c>
      <x:c r="G709" s="16" t="str">
        <x:v>Statewide</x:v>
      </x:c>
      <x:c r="H709" s="36" t="n">
        <x:f>IF(G709="National",Assumptions!$B$11,IF(G709="Statewide",Assumptions!$B$12,Assumptions!$B$13))</x:f>
        <x:v>0.6</x:v>
      </x:c>
      <x:c r="I709" s="21" t="n">
        <x:v>-0.07190865657138235</x:v>
      </x:c>
      <x:c r="J709" s="21" t="n">
        <x:v>-0.06900693713391093</x:v>
      </x:c>
      <x:c r="K709" s="21" t="n">
        <x:v>-0.15307582260371955</x:v>
      </x:c>
      <x:c r="L709" s="36" t="n">
        <x:f>IF(Assumptions!$B$4=2030,I709,IF(Assumptions!$B$4=2035,J709,K709))</x:f>
        <x:v>-0.06900693713391093</x:v>
      </x:c>
      <x:c r="M709" s="36" t="n">
        <x:f>Assumptions!$B$19</x:f>
        <x:v>-0.04739891965741583</x:v>
      </x:c>
      <x:c r="N709" s="52" t="n">
        <x:f>H709*L709+(1-H709)*M709+O709</x:f>
        <x:v>-0.06036373014331289</x:v>
      </x:c>
      <x:c r="O709" s="36" t="n">
        <x:f>Assumptions!$B$10</x:f>
        <x:v>0</x:v>
      </x:c>
      <x:c r="P709" s="54" t="n">
        <x:f>E709*(1+N709)</x:f>
        <x:v>7152.5112861491025</x:v>
      </x:c>
      <x:c r="Q709" s="54" t="n">
        <x:f>P709-E709</x:f>
        <x:v>-459.4887138508975</x:v>
      </x:c>
      <x:c r="R709" s="16" t="str">
        <x:v>Yes</x:v>
      </x:c>
      <x:c r="S709" s="56" t="n">
        <x:v>6803</x:v>
      </x:c>
      <x:c r="T709" s="56" t="n">
        <x:v>8481</x:v>
      </x:c>
      <x:c r="U709" s="40" t="n">
        <x:f>E709*Assumptions!$B$8</x:f>
        <x:v>6470.2</x:v>
      </x:c>
      <x:c r="V709" s="40" t="n">
        <x:f>P709*Assumptions!$B$8</x:f>
        <x:v>6079.634593226737</x:v>
      </x:c>
      <x:c r="W709" s="54" t="n">
        <x:f>V709-U709</x:f>
        <x:v>-390.565406773263</x:v>
      </x:c>
      <x:c r="X709" s="58" t="n">
        <x:f>IF(R709="No","",W709*S709)</x:f>
        <x:v>-2657016.462278508</x:v>
      </x:c>
      <x:c r="Y709" s="58" t="n">
        <x:f>IF(R709="No","",W709*T709*Assumptions!$B$9)</x:f>
        <x:v>-993715.5644532131</x:v>
      </x:c>
      <x:c r="Z709" s="58" t="n">
        <x:f>IF(R709="No","",X709-Y709)</x:f>
        <x:v>-1663300.897825295</x:v>
      </x:c>
      <x:c r="AA709" s="58" t="n">
        <x:f>IF(R709="No","",MAX(0,-Z709))</x:f>
        <x:v>1663300.897825295</x:v>
      </x:c>
      <x:c r="AB709" s="52" t="n">
        <x:f>IF(OR(R709="No",U709*S709=0),"",AA709/(U709*S709))</x:f>
        <x:v>0.0377878902780136</x:v>
      </x:c>
      <x:c r="AC709" s="54" t="n">
        <x:f>IF(OR(R709="No",S709-T709*Assumptions!$B$9&lt;=0),"",AA709/(Assumptions!$B$8*(S709-T709*Assumptions!$B$9)))</x:f>
        <x:v>459.48871385089757</x:v>
      </x:c>
      <x:c r="AD709" s="52" t="n">
        <x:f>IF(OR(R709="No",U709*S709=0),"",AA709/(U709*S709))</x:f>
        <x:v>0.0377878902780136</x:v>
      </x:c>
      <x:c r="AE709" s="50" t="str">
        <x:f>IF(R709="No","No finance data",IF(AB709&gt;=10%,"Severe",IF(AB709&gt;=5%,"High",IF(AB709&gt;=2%,"Moderate","Low"))))</x:f>
        <x:v>Moderate</x:v>
      </x:c>
      <x:c r="AF709" s="60" t="n">
        <x:v>38.34648</x:v>
      </x:c>
      <x:c r="AG709" s="60" t="n">
        <x:v>-75.604815</x:v>
      </x:c>
      <x:c r="AH709" s="44" t="str">
        <x:v>Undergraduate tuition-contribution proxy only; not an audited total institutional budget.</x:v>
      </x:c>
    </x:row>
    <x:row r="710">
      <x:c r="A710" s="16" t="n">
        <x:v>163976</x:v>
      </x:c>
      <x:c r="B710" s="16" t="str">
        <x:v>St John's College</x:v>
      </x:c>
      <x:c r="C710" s="16" t="str">
        <x:v>MD</x:v>
      </x:c>
      <x:c r="D710" s="16" t="str">
        <x:v>Private nonprofit</x:v>
      </x:c>
      <x:c r="E710" s="34" t="n">
        <x:v>406</x:v>
      </x:c>
      <x:c r="F710" s="21"/>
      <x:c r="G710" s="16" t="str">
        <x:v>Regional</x:v>
      </x:c>
      <x:c r="H710" s="36" t="n">
        <x:f>IF(G710="National",Assumptions!$B$11,IF(G710="Statewide",Assumptions!$B$12,Assumptions!$B$13))</x:f>
        <x:v>0.85</x:v>
      </x:c>
      <x:c r="I710" s="21" t="n">
        <x:v>-0.07190865657138235</x:v>
      </x:c>
      <x:c r="J710" s="21" t="n">
        <x:v>-0.06900693713391093</x:v>
      </x:c>
      <x:c r="K710" s="21" t="n">
        <x:v>-0.15307582260371955</x:v>
      </x:c>
      <x:c r="L710" s="36" t="n">
        <x:f>IF(Assumptions!$B$4=2030,I710,IF(Assumptions!$B$4=2035,J710,K710))</x:f>
        <x:v>-0.06900693713391093</x:v>
      </x:c>
      <x:c r="M710" s="36" t="n">
        <x:f>Assumptions!$B$19</x:f>
        <x:v>-0.04739891965741583</x:v>
      </x:c>
      <x:c r="N710" s="52" t="n">
        <x:f>H710*L710+(1-H710)*M710+O710</x:f>
        <x:v>-0.06576573451243665</x:v>
      </x:c>
      <x:c r="O710" s="36" t="n">
        <x:f>Assumptions!$B$10</x:f>
        <x:v>0</x:v>
      </x:c>
      <x:c r="P710" s="54" t="n">
        <x:f>E710*(1+N710)</x:f>
        <x:v>379.2991117879507</x:v>
      </x:c>
      <x:c r="Q710" s="54" t="n">
        <x:f>P710-E710</x:f>
        <x:v>-26.70088821204928</x:v>
      </x:c>
      <x:c r="R710" s="16" t="str">
        <x:v>No</x:v>
      </x:c>
      <x:c r="S710" s="56"/>
      <x:c r="T710" s="56"/>
      <x:c r="U710" s="40" t="n">
        <x:f>E710*Assumptions!$B$8</x:f>
        <x:v>345.09999999999997</x:v>
      </x:c>
      <x:c r="V710" s="40" t="n">
        <x:f>P710*Assumptions!$B$8</x:f>
        <x:v>322.4042450197581</x:v>
      </x:c>
      <x:c r="W710" s="54" t="n">
        <x:f>V710-U710</x:f>
        <x:v>-22.695754980241873</x:v>
      </x:c>
      <x:c r="X710" s="58" t="str">
        <x:f>IF(R710="No","",W710*S710)</x:f>
      </x:c>
      <x:c r="Y710" s="58" t="str">
        <x:f>IF(R710="No","",W710*T710*Assumptions!$B$9)</x:f>
      </x:c>
      <x:c r="Z710" s="58" t="str">
        <x:f>IF(R710="No","",X710-Y710)</x:f>
      </x:c>
      <x:c r="AA710" s="58" t="str">
        <x:f>IF(R710="No","",MAX(0,-Z710))</x:f>
      </x:c>
      <x:c r="AB710" s="52" t="str">
        <x:f>IF(OR(R710="No",U710*S710=0),"",AA710/(U710*S710))</x:f>
      </x:c>
      <x:c r="AC710" s="54" t="str">
        <x:f>IF(OR(R710="No",S710-T710*Assumptions!$B$9&lt;=0),"",AA710/(Assumptions!$B$8*(S710-T710*Assumptions!$B$9)))</x:f>
      </x:c>
      <x:c r="AD710" s="52" t="str">
        <x:f>IF(OR(R710="No",U710*S710=0),"",AA710/(U710*S710))</x:f>
      </x:c>
      <x:c r="AE710" s="50" t="str">
        <x:f>IF(R710="No","No finance data",IF(AB710&gt;=10%,"Severe",IF(AB710&gt;=5%,"High",IF(AB710&gt;=2%,"Moderate","Low"))))</x:f>
        <x:v>No finance data</x:v>
      </x:c>
      <x:c r="AF710" s="60"/>
      <x:c r="AG710" s="60"/>
      <x:c r="AH710" s="44" t="str">
        <x:v>Undergraduate tuition-contribution proxy only; not an audited total institutional budget.</x:v>
      </x:c>
    </x:row>
    <x:row r="711">
      <x:c r="A711" s="16" t="n">
        <x:v>163912</x:v>
      </x:c>
      <x:c r="B711" s="16" t="str">
        <x:v>St Mary's College of Maryland</x:v>
      </x:c>
      <x:c r="C711" s="16" t="str">
        <x:v>MD</x:v>
      </x:c>
      <x:c r="D711" s="16" t="str">
        <x:v>Public</x:v>
      </x:c>
      <x:c r="E711" s="34" t="n">
        <x:v>1684</x:v>
      </x:c>
      <x:c r="F711" s="21" t="n">
        <x:v>0.7733</x:v>
      </x:c>
      <x:c r="G711" s="16" t="str">
        <x:v>Regional</x:v>
      </x:c>
      <x:c r="H711" s="36" t="n">
        <x:f>IF(G711="National",Assumptions!$B$11,IF(G711="Statewide",Assumptions!$B$12,Assumptions!$B$13))</x:f>
        <x:v>0.85</x:v>
      </x:c>
      <x:c r="I711" s="21" t="n">
        <x:v>-0.07190865657138235</x:v>
      </x:c>
      <x:c r="J711" s="21" t="n">
        <x:v>-0.06900693713391093</x:v>
      </x:c>
      <x:c r="K711" s="21" t="n">
        <x:v>-0.15307582260371955</x:v>
      </x:c>
      <x:c r="L711" s="36" t="n">
        <x:f>IF(Assumptions!$B$4=2030,I711,IF(Assumptions!$B$4=2035,J711,K711))</x:f>
        <x:v>-0.06900693713391093</x:v>
      </x:c>
      <x:c r="M711" s="36" t="n">
        <x:f>Assumptions!$B$19</x:f>
        <x:v>-0.04739891965741583</x:v>
      </x:c>
      <x:c r="N711" s="52" t="n">
        <x:f>H711*L711+(1-H711)*M711+O711</x:f>
        <x:v>-0.06576573451243665</x:v>
      </x:c>
      <x:c r="O711" s="36" t="n">
        <x:f>Assumptions!$B$10</x:f>
        <x:v>0</x:v>
      </x:c>
      <x:c r="P711" s="54" t="n">
        <x:f>E711*(1+N711)</x:f>
        <x:v>1573.2505030810566</x:v>
      </x:c>
      <x:c r="Q711" s="54" t="n">
        <x:f>P711-E711</x:f>
        <x:v>-110.74949691894335</x:v>
      </x:c>
      <x:c r="R711" s="16" t="str">
        <x:v>Yes</x:v>
      </x:c>
      <x:c r="S711" s="56" t="n">
        <x:v>10541</x:v>
      </x:c>
      <x:c r="T711" s="56" t="n">
        <x:v>15969</x:v>
      </x:c>
      <x:c r="U711" s="40" t="n">
        <x:f>E711*Assumptions!$B$8</x:f>
        <x:v>1431.3999999999999</x:v>
      </x:c>
      <x:c r="V711" s="40" t="n">
        <x:f>P711*Assumptions!$B$8</x:f>
        <x:v>1337.2629276188982</x:v>
      </x:c>
      <x:c r="W711" s="54" t="n">
        <x:f>V711-U711</x:f>
        <x:v>-94.13707238110169</x:v>
      </x:c>
      <x:c r="X711" s="58" t="n">
        <x:f>IF(R711="No","",W711*S711)</x:f>
        <x:v>-992298.8799691929</x:v>
      </x:c>
      <x:c r="Y711" s="58" t="n">
        <x:f>IF(R711="No","",W711*T711*Assumptions!$B$9)</x:f>
        <x:v>-450982.47265614383</x:v>
      </x:c>
      <x:c r="Z711" s="58" t="n">
        <x:f>IF(R711="No","",X711-Y711)</x:f>
        <x:v>-541316.4073130491</x:v>
      </x:c>
      <x:c r="AA711" s="58" t="n">
        <x:f>IF(R711="No","",MAX(0,-Z711))</x:f>
        <x:v>541316.4073130491</x:v>
      </x:c>
      <x:c r="AB711" s="52" t="n">
        <x:f>IF(OR(R711="No",U711*S711=0),"",AA711/(U711*S711))</x:f>
        <x:v>0.03587635927965696</x:v>
      </x:c>
      <x:c r="AC711" s="54" t="n">
        <x:f>IF(OR(R711="No",S711-T711*Assumptions!$B$9&lt;=0),"",AA711/(Assumptions!$B$8*(S711-T711*Assumptions!$B$9)))</x:f>
        <x:v>110.74949691894317</x:v>
      </x:c>
      <x:c r="AD711" s="52" t="n">
        <x:f>IF(OR(R711="No",U711*S711=0),"",AA711/(U711*S711))</x:f>
        <x:v>0.03587635927965696</x:v>
      </x:c>
      <x:c r="AE711" s="50" t="str">
        <x:f>IF(R711="No","No finance data",IF(AB711&gt;=10%,"Severe",IF(AB711&gt;=5%,"High",IF(AB711&gt;=2%,"Moderate","Low"))))</x:f>
        <x:v>Moderate</x:v>
      </x:c>
      <x:c r="AF711" s="60" t="n">
        <x:v>38.188047</x:v>
      </x:c>
      <x:c r="AG711" s="60" t="n">
        <x:v>-76.430994</x:v>
      </x:c>
      <x:c r="AH711" s="44" t="str">
        <x:v>Undergraduate tuition-contribution proxy only; not an audited total institutional budget.</x:v>
      </x:c>
    </x:row>
    <x:row r="712">
      <x:c r="A712" s="16" t="n">
        <x:v>164173</x:v>
      </x:c>
      <x:c r="B712" s="16" t="str">
        <x:v>Stevenson University</x:v>
      </x:c>
      <x:c r="C712" s="16" t="str">
        <x:v>MD</x:v>
      </x:c>
      <x:c r="D712" s="16" t="str">
        <x:v>Private nonprofit</x:v>
      </x:c>
      <x:c r="E712" s="34" t="n">
        <x:v>3667</x:v>
      </x:c>
      <x:c r="F712" s="21" t="n">
        <x:v>0.9088</x:v>
      </x:c>
      <x:c r="G712" s="16" t="str">
        <x:v>Regional</x:v>
      </x:c>
      <x:c r="H712" s="36" t="n">
        <x:f>IF(G712="National",Assumptions!$B$11,IF(G712="Statewide",Assumptions!$B$12,Assumptions!$B$13))</x:f>
        <x:v>0.85</x:v>
      </x:c>
      <x:c r="I712" s="21" t="n">
        <x:v>-0.07190865657138235</x:v>
      </x:c>
      <x:c r="J712" s="21" t="n">
        <x:v>-0.06900693713391093</x:v>
      </x:c>
      <x:c r="K712" s="21" t="n">
        <x:v>-0.15307582260371955</x:v>
      </x:c>
      <x:c r="L712" s="36" t="n">
        <x:f>IF(Assumptions!$B$4=2030,I712,IF(Assumptions!$B$4=2035,J712,K712))</x:f>
        <x:v>-0.06900693713391093</x:v>
      </x:c>
      <x:c r="M712" s="36" t="n">
        <x:f>Assumptions!$B$19</x:f>
        <x:v>-0.04739891965741583</x:v>
      </x:c>
      <x:c r="N712" s="52" t="n">
        <x:f>H712*L712+(1-H712)*M712+O712</x:f>
        <x:v>-0.06576573451243665</x:v>
      </x:c>
      <x:c r="O712" s="36" t="n">
        <x:f>Assumptions!$B$10</x:f>
        <x:v>0</x:v>
      </x:c>
      <x:c r="P712" s="54" t="n">
        <x:f>E712*(1+N712)</x:f>
        <x:v>3425.837051542895</x:v>
      </x:c>
      <x:c r="Q712" s="54" t="n">
        <x:f>P712-E712</x:f>
        <x:v>-241.1629484571049</x:v>
      </x:c>
      <x:c r="R712" s="16" t="str">
        <x:v>Yes</x:v>
      </x:c>
      <x:c r="S712" s="56" t="n">
        <x:v>13764</x:v>
      </x:c>
      <x:c r="T712" s="56" t="n">
        <x:v>9134</x:v>
      </x:c>
      <x:c r="U712" s="40" t="n">
        <x:f>E712*Assumptions!$B$8</x:f>
        <x:v>3116.95</x:v>
      </x:c>
      <x:c r="V712" s="40" t="n">
        <x:f>P712*Assumptions!$B$8</x:f>
        <x:v>2911.961493811461</x:v>
      </x:c>
      <x:c r="W712" s="54" t="n">
        <x:f>V712-U712</x:f>
        <x:v>-204.98850618853885</x:v>
      </x:c>
      <x:c r="X712" s="58" t="n">
        <x:f>IF(R712="No","",W712*S712)</x:f>
        <x:v>-2821461.7991790487</x:v>
      </x:c>
      <x:c r="Y712" s="58" t="n">
        <x:f>IF(R712="No","",W712*T712*Assumptions!$B$9)</x:f>
        <x:v>-561709.5046578341</x:v>
      </x:c>
      <x:c r="Z712" s="58" t="n">
        <x:f>IF(R712="No","",X712-Y712)</x:f>
        <x:v>-2259752.2945212144</x:v>
      </x:c>
      <x:c r="AA712" s="58" t="n">
        <x:f>IF(R712="No","",MAX(0,-Z712))</x:f>
        <x:v>2259752.2945212144</x:v>
      </x:c>
      <x:c r="AB712" s="52" t="n">
        <x:f>IF(OR(R712="No",U712*S712=0),"",AA712/(U712*S712))</x:f>
        <x:v>0.05267279163892743</x:v>
      </x:c>
      <x:c r="AC712" s="54" t="n">
        <x:f>IF(OR(R712="No",S712-T712*Assumptions!$B$9&lt;=0),"",AA712/(Assumptions!$B$8*(S712-T712*Assumptions!$B$9)))</x:f>
        <x:v>241.16294845710453</x:v>
      </x:c>
      <x:c r="AD712" s="52" t="n">
        <x:f>IF(OR(R712="No",U712*S712=0),"",AA712/(U712*S712))</x:f>
        <x:v>0.05267279163892743</x:v>
      </x:c>
      <x:c r="AE712" s="50" t="str">
        <x:f>IF(R712="No","No finance data",IF(AB712&gt;=10%,"Severe",IF(AB712&gt;=5%,"High",IF(AB712&gt;=2%,"Moderate","Low"))))</x:f>
        <x:v>High</x:v>
      </x:c>
      <x:c r="AF712" s="60" t="n">
        <x:v>39.426413</x:v>
      </x:c>
      <x:c r="AG712" s="60" t="n">
        <x:v>-76.775809</x:v>
      </x:c>
      <x:c r="AH712" s="44" t="str">
        <x:v>Undergraduate tuition-contribution proxy only; not an audited total institutional budget.</x:v>
      </x:c>
    </x:row>
    <x:row r="713">
      <x:c r="A713" s="16" t="n">
        <x:v>164076</x:v>
      </x:c>
      <x:c r="B713" s="16" t="str">
        <x:v>Towson University</x:v>
      </x:c>
      <x:c r="C713" s="16" t="str">
        <x:v>MD</x:v>
      </x:c>
      <x:c r="D713" s="16" t="str">
        <x:v>Public</x:v>
      </x:c>
      <x:c r="E713" s="34" t="n">
        <x:v>18806</x:v>
      </x:c>
      <x:c r="F713" s="21" t="n">
        <x:v>0.8792</x:v>
      </x:c>
      <x:c r="G713" s="16" t="str">
        <x:v>Statewide</x:v>
      </x:c>
      <x:c r="H713" s="36" t="n">
        <x:f>IF(G713="National",Assumptions!$B$11,IF(G713="Statewide",Assumptions!$B$12,Assumptions!$B$13))</x:f>
        <x:v>0.6</x:v>
      </x:c>
      <x:c r="I713" s="21" t="n">
        <x:v>-0.07190865657138235</x:v>
      </x:c>
      <x:c r="J713" s="21" t="n">
        <x:v>-0.06900693713391093</x:v>
      </x:c>
      <x:c r="K713" s="21" t="n">
        <x:v>-0.15307582260371955</x:v>
      </x:c>
      <x:c r="L713" s="36" t="n">
        <x:f>IF(Assumptions!$B$4=2030,I713,IF(Assumptions!$B$4=2035,J713,K713))</x:f>
        <x:v>-0.06900693713391093</x:v>
      </x:c>
      <x:c r="M713" s="36" t="n">
        <x:f>Assumptions!$B$19</x:f>
        <x:v>-0.04739891965741583</x:v>
      </x:c>
      <x:c r="N713" s="52" t="n">
        <x:f>H713*L713+(1-H713)*M713+O713</x:f>
        <x:v>-0.06036373014331289</x:v>
      </x:c>
      <x:c r="O713" s="36" t="n">
        <x:f>Assumptions!$B$10</x:f>
        <x:v>0</x:v>
      </x:c>
      <x:c r="P713" s="54" t="n">
        <x:f>E713*(1+N713)</x:f>
        <x:v>17670.799690924858</x:v>
      </x:c>
      <x:c r="Q713" s="54" t="n">
        <x:f>P713-E713</x:f>
        <x:v>-1135.2003090751423</x:v>
      </x:c>
      <x:c r="R713" s="16" t="str">
        <x:v>Yes</x:v>
      </x:c>
      <x:c r="S713" s="56" t="n">
        <x:v>6893</x:v>
      </x:c>
      <x:c r="T713" s="56" t="n">
        <x:v>7495</x:v>
      </x:c>
      <x:c r="U713" s="40" t="n">
        <x:f>E713*Assumptions!$B$8</x:f>
        <x:v>15985.1</x:v>
      </x:c>
      <x:c r="V713" s="40" t="n">
        <x:f>P713*Assumptions!$B$8</x:f>
        <x:v>15020.17973728613</x:v>
      </x:c>
      <x:c r="W713" s="54" t="n">
        <x:f>V713-U713</x:f>
        <x:v>-964.9202627138711</x:v>
      </x:c>
      <x:c r="X713" s="58" t="n">
        <x:f>IF(R713="No","",W713*S713)</x:f>
        <x:v>-6651195.370886713</x:v>
      </x:c>
      <x:c r="Y713" s="58" t="n">
        <x:f>IF(R713="No","",W713*T713*Assumptions!$B$9)</x:f>
        <x:v>-2169623.210712139</x:v>
      </x:c>
      <x:c r="Z713" s="58" t="n">
        <x:f>IF(R713="No","",X713-Y713)</x:f>
        <x:v>-4481572.160174575</x:v>
      </x:c>
      <x:c r="AA713" s="58" t="n">
        <x:f>IF(R713="No","",MAX(0,-Z713))</x:f>
        <x:v>4481572.160174575</x:v>
      </x:c>
      <x:c r="AB713" s="52" t="n">
        <x:f>IF(OR(R713="No",U713*S713=0),"",AA713/(U713*S713))</x:f>
        <x:v>0.04067305159591133</x:v>
      </x:c>
      <x:c r="AC713" s="54" t="n">
        <x:f>IF(OR(R713="No",S713-T713*Assumptions!$B$9&lt;=0),"",AA713/(Assumptions!$B$8*(S713-T713*Assumptions!$B$9)))</x:f>
        <x:v>1135.2003090751425</x:v>
      </x:c>
      <x:c r="AD713" s="52" t="n">
        <x:f>IF(OR(R713="No",U713*S713=0),"",AA713/(U713*S713))</x:f>
        <x:v>0.04067305159591133</x:v>
      </x:c>
      <x:c r="AE713" s="50" t="str">
        <x:f>IF(R713="No","No finance data",IF(AB713&gt;=10%,"Severe",IF(AB713&gt;=5%,"High",IF(AB713&gt;=2%,"Moderate","Low"))))</x:f>
        <x:v>Moderate</x:v>
      </x:c>
      <x:c r="AF713" s="60" t="n">
        <x:v>39.393622</x:v>
      </x:c>
      <x:c r="AG713" s="60" t="n">
        <x:v>-76.611164</x:v>
      </x:c>
      <x:c r="AH713" s="44" t="str">
        <x:v>Undergraduate tuition-contribution proxy only; not an audited total institutional budget.</x:v>
      </x:c>
    </x:row>
    <x:row r="714">
      <x:c r="A714" s="16" t="n">
        <x:v>161873</x:v>
      </x:c>
      <x:c r="B714" s="16" t="str">
        <x:v>University of Baltimore</x:v>
      </x:c>
      <x:c r="C714" s="16" t="str">
        <x:v>MD</x:v>
      </x:c>
      <x:c r="D714" s="16" t="str">
        <x:v>Public</x:v>
      </x:c>
      <x:c r="E714" s="34" t="n">
        <x:v>3307</x:v>
      </x:c>
      <x:c r="F714" s="21" t="n">
        <x:v>0.8943</x:v>
      </x:c>
      <x:c r="G714" s="16" t="str">
        <x:v>Regional</x:v>
      </x:c>
      <x:c r="H714" s="36" t="n">
        <x:f>IF(G714="National",Assumptions!$B$11,IF(G714="Statewide",Assumptions!$B$12,Assumptions!$B$13))</x:f>
        <x:v>0.85</x:v>
      </x:c>
      <x:c r="I714" s="21" t="n">
        <x:v>-0.07190865657138235</x:v>
      </x:c>
      <x:c r="J714" s="21" t="n">
        <x:v>-0.06900693713391093</x:v>
      </x:c>
      <x:c r="K714" s="21" t="n">
        <x:v>-0.15307582260371955</x:v>
      </x:c>
      <x:c r="L714" s="36" t="n">
        <x:f>IF(Assumptions!$B$4=2030,I714,IF(Assumptions!$B$4=2035,J714,K714))</x:f>
        <x:v>-0.06900693713391093</x:v>
      </x:c>
      <x:c r="M714" s="36" t="n">
        <x:f>Assumptions!$B$19</x:f>
        <x:v>-0.04739891965741583</x:v>
      </x:c>
      <x:c r="N714" s="52" t="n">
        <x:f>H714*L714+(1-H714)*M714+O714</x:f>
        <x:v>-0.06576573451243665</x:v>
      </x:c>
      <x:c r="O714" s="36" t="n">
        <x:f>Assumptions!$B$10</x:f>
        <x:v>0</x:v>
      </x:c>
      <x:c r="P714" s="54" t="n">
        <x:f>E714*(1+N714)</x:f>
        <x:v>3089.512715967372</x:v>
      </x:c>
      <x:c r="Q714" s="54" t="n">
        <x:f>P714-E714</x:f>
        <x:v>-217.48728403262794</x:v>
      </x:c>
      <x:c r="R714" s="16" t="str">
        <x:v>Yes</x:v>
      </x:c>
      <x:c r="S714" s="56" t="n">
        <x:v>13023</x:v>
      </x:c>
      <x:c r="T714" s="56" t="n">
        <x:v>13946</x:v>
      </x:c>
      <x:c r="U714" s="40" t="n">
        <x:f>E714*Assumptions!$B$8</x:f>
        <x:v>2810.95</x:v>
      </x:c>
      <x:c r="V714" s="40" t="n">
        <x:f>P714*Assumptions!$B$8</x:f>
        <x:v>2626.085808572266</x:v>
      </x:c>
      <x:c r="W714" s="54" t="n">
        <x:f>V714-U714</x:f>
        <x:v>-184.86419142773366</x:v>
      </x:c>
      <x:c r="X714" s="58" t="n">
        <x:f>IF(R714="No","",W714*S714)</x:f>
        <x:v>-2407486.3649633755</x:v>
      </x:c>
      <x:c r="Y714" s="58" t="n">
        <x:f>IF(R714="No","",W714*T714*Assumptions!$B$9)</x:f>
        <x:v>-773434.8040953521</x:v>
      </x:c>
      <x:c r="Z714" s="58" t="n">
        <x:f>IF(R714="No","",X714-Y714)</x:f>
        <x:v>-1634051.5608680234</x:v>
      </x:c>
      <x:c r="AA714" s="58" t="n">
        <x:f>IF(R714="No","",MAX(0,-Z714))</x:f>
        <x:v>1634051.5608680234</x:v>
      </x:c>
      <x:c r="AB714" s="52" t="n">
        <x:f>IF(OR(R714="No",U714*S714=0),"",AA714/(U714*S714))</x:f>
        <x:v>0.044637677992960895</x:v>
      </x:c>
      <x:c r="AC714" s="54" t="n">
        <x:f>IF(OR(R714="No",S714-T714*Assumptions!$B$9&lt;=0),"",AA714/(Assumptions!$B$8*(S714-T714*Assumptions!$B$9)))</x:f>
        <x:v>217.48728403262783</x:v>
      </x:c>
      <x:c r="AD714" s="52" t="n">
        <x:f>IF(OR(R714="No",U714*S714=0),"",AA714/(U714*S714))</x:f>
        <x:v>0.044637677992960895</x:v>
      </x:c>
      <x:c r="AE714" s="50" t="str">
        <x:f>IF(R714="No","No finance data",IF(AB714&gt;=10%,"Severe",IF(AB714&gt;=5%,"High",IF(AB714&gt;=2%,"Moderate","Low"))))</x:f>
        <x:v>Moderate</x:v>
      </x:c>
      <x:c r="AF714" s="60" t="n">
        <x:v>39.305834</x:v>
      </x:c>
      <x:c r="AG714" s="60" t="n">
        <x:v>-76.616591</x:v>
      </x:c>
      <x:c r="AH714" s="44" t="str">
        <x:v>Undergraduate tuition-contribution proxy only; not an audited total institutional budget.</x:v>
      </x:c>
    </x:row>
    <x:row r="715">
      <x:c r="A715" s="16" t="n">
        <x:v>163259</x:v>
      </x:c>
      <x:c r="B715" s="16" t="str">
        <x:v>University of Maryland Baltimore</x:v>
      </x:c>
      <x:c r="C715" s="16" t="str">
        <x:v>MD</x:v>
      </x:c>
      <x:c r="D715" s="16" t="str">
        <x:v>Public</x:v>
      </x:c>
      <x:c r="E715" s="34" t="n">
        <x:v>860</x:v>
      </x:c>
      <x:c r="F715" s="21"/>
      <x:c r="G715" s="16" t="str">
        <x:v>Regional</x:v>
      </x:c>
      <x:c r="H715" s="36" t="n">
        <x:f>IF(G715="National",Assumptions!$B$11,IF(G715="Statewide",Assumptions!$B$12,Assumptions!$B$13))</x:f>
        <x:v>0.85</x:v>
      </x:c>
      <x:c r="I715" s="21" t="n">
        <x:v>-0.07190865657138235</x:v>
      </x:c>
      <x:c r="J715" s="21" t="n">
        <x:v>-0.06900693713391093</x:v>
      </x:c>
      <x:c r="K715" s="21" t="n">
        <x:v>-0.15307582260371955</x:v>
      </x:c>
      <x:c r="L715" s="36" t="n">
        <x:f>IF(Assumptions!$B$4=2030,I715,IF(Assumptions!$B$4=2035,J715,K715))</x:f>
        <x:v>-0.06900693713391093</x:v>
      </x:c>
      <x:c r="M715" s="36" t="n">
        <x:f>Assumptions!$B$19</x:f>
        <x:v>-0.04739891965741583</x:v>
      </x:c>
      <x:c r="N715" s="52" t="n">
        <x:f>H715*L715+(1-H715)*M715+O715</x:f>
        <x:v>-0.06576573451243665</x:v>
      </x:c>
      <x:c r="O715" s="36" t="n">
        <x:f>Assumptions!$B$10</x:f>
        <x:v>0</x:v>
      </x:c>
      <x:c r="P715" s="54" t="n">
        <x:f>E715*(1+N715)</x:f>
        <x:v>803.4414683193045</x:v>
      </x:c>
      <x:c r="Q715" s="54" t="n">
        <x:f>P715-E715</x:f>
        <x:v>-56.55853168069552</x:v>
      </x:c>
      <x:c r="R715" s="16" t="str">
        <x:v>Yes</x:v>
      </x:c>
      <x:c r="S715" s="56" t="n">
        <x:v>18535</x:v>
      </x:c>
      <x:c r="T715" s="56" t="n">
        <x:v>28372</x:v>
      </x:c>
      <x:c r="U715" s="40" t="n">
        <x:f>E715*Assumptions!$B$8</x:f>
        <x:v>731</x:v>
      </x:c>
      <x:c r="V715" s="40" t="n">
        <x:f>P715*Assumptions!$B$8</x:f>
        <x:v>682.9252480714088</x:v>
      </x:c>
      <x:c r="W715" s="54" t="n">
        <x:f>V715-U715</x:f>
        <x:v>-48.07475192859124</x:v>
      </x:c>
      <x:c r="X715" s="58" t="n">
        <x:f>IF(R715="No","",W715*S715)</x:f>
        <x:v>-891065.5269964386</x:v>
      </x:c>
      <x:c r="Y715" s="58" t="n">
        <x:f>IF(R715="No","",W715*T715*Assumptions!$B$9)</x:f>
        <x:v>-409193.0585153972</x:v>
      </x:c>
      <x:c r="Z715" s="58" t="n">
        <x:f>IF(R715="No","",X715-Y715)</x:f>
        <x:v>-481872.46848104143</x:v>
      </x:c>
      <x:c r="AA715" s="58" t="n">
        <x:f>IF(R715="No","",MAX(0,-Z715))</x:f>
        <x:v>481872.46848104143</x:v>
      </x:c>
      <x:c r="AB715" s="52" t="n">
        <x:f>IF(OR(R715="No",U715*S715=0),"",AA715/(U715*S715))</x:f>
        <x:v>0.035564945417424235</x:v>
      </x:c>
      <x:c r="AC715" s="54" t="n">
        <x:f>IF(OR(R715="No",S715-T715*Assumptions!$B$9&lt;=0),"",AA715/(Assumptions!$B$8*(S715-T715*Assumptions!$B$9)))</x:f>
        <x:v>56.55853168069558</x:v>
      </x:c>
      <x:c r="AD715" s="52" t="n">
        <x:f>IF(OR(R715="No",U715*S715=0),"",AA715/(U715*S715))</x:f>
        <x:v>0.035564945417424235</x:v>
      </x:c>
      <x:c r="AE715" s="50" t="str">
        <x:f>IF(R715="No","No finance data",IF(AB715&gt;=10%,"Severe",IF(AB715&gt;=5%,"High",IF(AB715&gt;=2%,"Moderate","Low"))))</x:f>
        <x:v>Moderate</x:v>
      </x:c>
      <x:c r="AF715" s="60" t="n">
        <x:v>39.286864</x:v>
      </x:c>
      <x:c r="AG715" s="60" t="n">
        <x:v>-76.623983</x:v>
      </x:c>
      <x:c r="AH715" s="44" t="str">
        <x:v>Undergraduate tuition-contribution proxy only; not an audited total institutional budget.</x:v>
      </x:c>
    </x:row>
    <x:row r="716">
      <x:c r="A716" s="16" t="n">
        <x:v>163338</x:v>
      </x:c>
      <x:c r="B716" s="16" t="str">
        <x:v>University of Maryland Eastern Shore</x:v>
      </x:c>
      <x:c r="C716" s="16" t="str">
        <x:v>MD</x:v>
      </x:c>
      <x:c r="D716" s="16" t="str">
        <x:v>Public</x:v>
      </x:c>
      <x:c r="E716" s="34" t="n">
        <x:v>3572</x:v>
      </x:c>
      <x:c r="F716" s="21" t="n">
        <x:v>0.819</x:v>
      </x:c>
      <x:c r="G716" s="16" t="str">
        <x:v>Regional</x:v>
      </x:c>
      <x:c r="H716" s="36" t="n">
        <x:f>IF(G716="National",Assumptions!$B$11,IF(G716="Statewide",Assumptions!$B$12,Assumptions!$B$13))</x:f>
        <x:v>0.85</x:v>
      </x:c>
      <x:c r="I716" s="21" t="n">
        <x:v>-0.07190865657138235</x:v>
      </x:c>
      <x:c r="J716" s="21" t="n">
        <x:v>-0.06900693713391093</x:v>
      </x:c>
      <x:c r="K716" s="21" t="n">
        <x:v>-0.15307582260371955</x:v>
      </x:c>
      <x:c r="L716" s="36" t="n">
        <x:f>IF(Assumptions!$B$4=2030,I716,IF(Assumptions!$B$4=2035,J716,K716))</x:f>
        <x:v>-0.06900693713391093</x:v>
      </x:c>
      <x:c r="M716" s="36" t="n">
        <x:f>Assumptions!$B$19</x:f>
        <x:v>-0.04739891965741583</x:v>
      </x:c>
      <x:c r="N716" s="52" t="n">
        <x:f>H716*L716+(1-H716)*M716+O716</x:f>
        <x:v>-0.06576573451243665</x:v>
      </x:c>
      <x:c r="O716" s="36" t="n">
        <x:f>Assumptions!$B$10</x:f>
        <x:v>0</x:v>
      </x:c>
      <x:c r="P716" s="54" t="n">
        <x:f>E716*(1+N716)</x:f>
        <x:v>3337.0847963215765</x:v>
      </x:c>
      <x:c r="Q716" s="54" t="n">
        <x:f>P716-E716</x:f>
        <x:v>-234.9152036784235</x:v>
      </x:c>
      <x:c r="R716" s="16" t="str">
        <x:v>Yes</x:v>
      </x:c>
      <x:c r="S716" s="56" t="n">
        <x:v>4547</x:v>
      </x:c>
      <x:c r="T716" s="56" t="n">
        <x:v>16732</x:v>
      </x:c>
      <x:c r="U716" s="40" t="n">
        <x:f>E716*Assumptions!$B$8</x:f>
        <x:v>3036.2</x:v>
      </x:c>
      <x:c r="V716" s="40" t="n">
        <x:f>P716*Assumptions!$B$8</x:f>
        <x:v>2836.5220768733398</x:v>
      </x:c>
      <x:c r="W716" s="54" t="n">
        <x:f>V716-U716</x:f>
        <x:v>-199.67792312666006</x:v>
      </x:c>
      <x:c r="X716" s="58" t="n">
        <x:f>IF(R716="No","",W716*S716)</x:f>
        <x:v>-907935.5164569233</x:v>
      </x:c>
      <x:c r="Y716" s="58" t="n">
        <x:f>IF(R716="No","",W716*T716*Assumptions!$B$9)</x:f>
        <x:v>-1002303.3029265827</x:v>
      </x:c>
      <x:c r="Z716" s="58" t="n">
        <x:f>IF(R716="No","",X716-Y716)</x:f>
        <x:v>94367.78646965942</x:v>
      </x:c>
      <x:c r="AA716" s="58" t="n">
        <x:f>IF(R716="No","",MAX(0,-Z716))</x:f>
        <x:v>0</x:v>
      </x:c>
      <x:c r="AB716" s="52" t="n">
        <x:f>IF(OR(R716="No",U716*S716=0),"",AA716/(U716*S716))</x:f>
        <x:v>0</x:v>
      </x:c>
      <x:c r="AC716" s="54" t="str">
        <x:f>IF(OR(R716="No",S716-T716*Assumptions!$B$9&lt;=0),"",AA716/(Assumptions!$B$8*(S716-T716*Assumptions!$B$9)))</x:f>
      </x:c>
      <x:c r="AD716" s="52" t="n">
        <x:f>IF(OR(R716="No",U716*S716=0),"",AA716/(U716*S716))</x:f>
        <x:v>0</x:v>
      </x:c>
      <x:c r="AE716" s="50" t="str">
        <x:f>IF(R716="No","No finance data",IF(AB716&gt;=10%,"Severe",IF(AB716&gt;=5%,"High",IF(AB716&gt;=2%,"Moderate","Low"))))</x:f>
        <x:v>Low</x:v>
      </x:c>
      <x:c r="AF716" s="60" t="n">
        <x:v>38.207386</x:v>
      </x:c>
      <x:c r="AG716" s="60" t="n">
        <x:v>-75.686852</x:v>
      </x:c>
      <x:c r="AH716" s="44" t="str">
        <x:v>Undergraduate tuition-contribution proxy only; not an audited total institutional budget.</x:v>
      </x:c>
    </x:row>
    <x:row r="717">
      <x:c r="A717" s="16" t="n">
        <x:v>163268</x:v>
      </x:c>
      <x:c r="B717" s="16" t="str">
        <x:v>University of Maryland-Baltimore County</x:v>
      </x:c>
      <x:c r="C717" s="16" t="str">
        <x:v>MD</x:v>
      </x:c>
      <x:c r="D717" s="16" t="str">
        <x:v>Public</x:v>
      </x:c>
      <x:c r="E717" s="34" t="n">
        <x:v>11144</x:v>
      </x:c>
      <x:c r="F717" s="21" t="n">
        <x:v>0.812</x:v>
      </x:c>
      <x:c r="G717" s="16" t="str">
        <x:v>Statewide</x:v>
      </x:c>
      <x:c r="H717" s="36" t="n">
        <x:f>IF(G717="National",Assumptions!$B$11,IF(G717="Statewide",Assumptions!$B$12,Assumptions!$B$13))</x:f>
        <x:v>0.6</x:v>
      </x:c>
      <x:c r="I717" s="21" t="n">
        <x:v>-0.07190865657138235</x:v>
      </x:c>
      <x:c r="J717" s="21" t="n">
        <x:v>-0.06900693713391093</x:v>
      </x:c>
      <x:c r="K717" s="21" t="n">
        <x:v>-0.15307582260371955</x:v>
      </x:c>
      <x:c r="L717" s="36" t="n">
        <x:f>IF(Assumptions!$B$4=2030,I717,IF(Assumptions!$B$4=2035,J717,K717))</x:f>
        <x:v>-0.06900693713391093</x:v>
      </x:c>
      <x:c r="M717" s="36" t="n">
        <x:f>Assumptions!$B$19</x:f>
        <x:v>-0.04739891965741583</x:v>
      </x:c>
      <x:c r="N717" s="52" t="n">
        <x:f>H717*L717+(1-H717)*M717+O717</x:f>
        <x:v>-0.06036373014331289</x:v>
      </x:c>
      <x:c r="O717" s="36" t="n">
        <x:f>Assumptions!$B$10</x:f>
        <x:v>0</x:v>
      </x:c>
      <x:c r="P717" s="54" t="n">
        <x:f>E717*(1+N717)</x:f>
        <x:v>10471.30659128292</x:v>
      </x:c>
      <x:c r="Q717" s="54" t="n">
        <x:f>P717-E717</x:f>
        <x:v>-672.6934087170794</x:v>
      </x:c>
      <x:c r="R717" s="16" t="str">
        <x:v>Yes</x:v>
      </x:c>
      <x:c r="S717" s="56" t="n">
        <x:v>9398</x:v>
      </x:c>
      <x:c r="T717" s="56" t="n">
        <x:v>11753</x:v>
      </x:c>
      <x:c r="U717" s="40" t="n">
        <x:f>E717*Assumptions!$B$8</x:f>
        <x:v>9472.4</x:v>
      </x:c>
      <x:c r="V717" s="40" t="n">
        <x:f>P717*Assumptions!$B$8</x:f>
        <x:v>8900.610602590483</x:v>
      </x:c>
      <x:c r="W717" s="54" t="n">
        <x:f>V717-U717</x:f>
        <x:v>-571.7893974095168</x:v>
      </x:c>
      <x:c r="X717" s="58" t="n">
        <x:f>IF(R717="No","",W717*S717)</x:f>
        <x:v>-5373676.756854639</x:v>
      </x:c>
      <x:c r="Y717" s="58" t="n">
        <x:f>IF(R717="No","",W717*T717*Assumptions!$B$9)</x:f>
        <x:v>-2016072.2363262153</x:v>
      </x:c>
      <x:c r="Z717" s="58" t="n">
        <x:f>IF(R717="No","",X717-Y717)</x:f>
        <x:v>-3357604.520528424</x:v>
      </x:c>
      <x:c r="AA717" s="58" t="n">
        <x:f>IF(R717="No","",MAX(0,-Z717))</x:f>
        <x:v>3357604.520528424</x:v>
      </x:c>
      <x:c r="AB717" s="52" t="n">
        <x:f>IF(OR(R717="No",U717*S717=0),"",AA717/(U717*S717))</x:f>
        <x:v>0.037716733323531336</x:v>
      </x:c>
      <x:c r="AC717" s="54" t="n">
        <x:f>IF(OR(R717="No",S717-T717*Assumptions!$B$9&lt;=0),"",AA717/(Assumptions!$B$8*(S717-T717*Assumptions!$B$9)))</x:f>
        <x:v>672.6934087170787</x:v>
      </x:c>
      <x:c r="AD717" s="52" t="n">
        <x:f>IF(OR(R717="No",U717*S717=0),"",AA717/(U717*S717))</x:f>
        <x:v>0.037716733323531336</x:v>
      </x:c>
      <x:c r="AE717" s="50" t="str">
        <x:f>IF(R717="No","No finance data",IF(AB717&gt;=10%,"Severe",IF(AB717&gt;=5%,"High",IF(AB717&gt;=2%,"Moderate","Low"))))</x:f>
        <x:v>Moderate</x:v>
      </x:c>
      <x:c r="AF717" s="60" t="n">
        <x:v>39.256686</x:v>
      </x:c>
      <x:c r="AG717" s="60" t="n">
        <x:v>-76.711607</x:v>
      </x:c>
      <x:c r="AH717" s="44" t="str">
        <x:v>Undergraduate tuition-contribution proxy only; not an audited total institutional budget.</x:v>
      </x:c>
    </x:row>
    <x:row r="718">
      <x:c r="A718" s="16" t="n">
        <x:v>163286</x:v>
      </x:c>
      <x:c r="B718" s="16" t="str">
        <x:v>University of Maryland-College Park</x:v>
      </x:c>
      <x:c r="C718" s="16" t="str">
        <x:v>MD</x:v>
      </x:c>
      <x:c r="D718" s="16" t="str">
        <x:v>Public</x:v>
      </x:c>
      <x:c r="E718" s="34" t="n">
        <x:v>26889</x:v>
      </x:c>
      <x:c r="F718" s="21" t="n">
        <x:v>0.5203</x:v>
      </x:c>
      <x:c r="G718" s="16" t="str">
        <x:v>National</x:v>
      </x:c>
      <x:c r="H718" s="36" t="n">
        <x:f>IF(G718="National",Assumptions!$B$11,IF(G718="Statewide",Assumptions!$B$12,Assumptions!$B$13))</x:f>
        <x:v>0.25</x:v>
      </x:c>
      <x:c r="I718" s="21" t="n">
        <x:v>-0.07190865657138235</x:v>
      </x:c>
      <x:c r="J718" s="21" t="n">
        <x:v>-0.06900693713391093</x:v>
      </x:c>
      <x:c r="K718" s="21" t="n">
        <x:v>-0.15307582260371955</x:v>
      </x:c>
      <x:c r="L718" s="36" t="n">
        <x:f>IF(Assumptions!$B$4=2030,I718,IF(Assumptions!$B$4=2035,J718,K718))</x:f>
        <x:v>-0.06900693713391093</x:v>
      </x:c>
      <x:c r="M718" s="36" t="n">
        <x:f>Assumptions!$B$19</x:f>
        <x:v>-0.04739891965741583</x:v>
      </x:c>
      <x:c r="N718" s="52" t="n">
        <x:f>H718*L718+(1-H718)*M718+O718</x:f>
        <x:v>-0.0528009240265396</x:v>
      </x:c>
      <x:c r="O718" s="36" t="n">
        <x:f>Assumptions!$B$10</x:f>
        <x:v>0</x:v>
      </x:c>
      <x:c r="P718" s="54" t="n">
        <x:f>E718*(1+N718)</x:f>
        <x:v>25469.235953850377</x:v>
      </x:c>
      <x:c r="Q718" s="54" t="n">
        <x:f>P718-E718</x:f>
        <x:v>-1419.764046149623</x:v>
      </x:c>
      <x:c r="R718" s="16" t="str">
        <x:v>Yes</x:v>
      </x:c>
      <x:c r="S718" s="56" t="n">
        <x:v>14217</x:v>
      </x:c>
      <x:c r="T718" s="56" t="n">
        <x:v>16273</x:v>
      </x:c>
      <x:c r="U718" s="40" t="n">
        <x:f>E718*Assumptions!$B$8</x:f>
        <x:v>22855.649999999998</x:v>
      </x:c>
      <x:c r="V718" s="40" t="n">
        <x:f>P718*Assumptions!$B$8</x:f>
        <x:v>21648.85056077282</x:v>
      </x:c>
      <x:c r="W718" s="54" t="n">
        <x:f>V718-U718</x:f>
        <x:v>-1206.7994392271794</x:v>
      </x:c>
      <x:c r="X718" s="58" t="n">
        <x:f>IF(R718="No","",W718*S718)</x:f>
        <x:v>-17157067.627492808</x:v>
      </x:c>
      <x:c r="Y718" s="58" t="n">
        <x:f>IF(R718="No","",W718*T718*Assumptions!$B$9)</x:f>
        <x:v>-5891474.1823631665</x:v>
      </x:c>
      <x:c r="Z718" s="58" t="n">
        <x:f>IF(R718="No","",X718-Y718)</x:f>
        <x:v>-11265593.44512964</x:v>
      </x:c>
      <x:c r="AA718" s="58" t="n">
        <x:f>IF(R718="No","",MAX(0,-Z718))</x:f>
        <x:v>11265593.44512964</x:v>
      </x:c>
      <x:c r="AB718" s="52" t="n">
        <x:f>IF(OR(R718="No",U718*S718=0),"",AA718/(U718*S718))</x:f>
        <x:v>0.03466989560949213</x:v>
      </x:c>
      <x:c r="AC718" s="54" t="n">
        <x:f>IF(OR(R718="No",S718-T718*Assumptions!$B$9&lt;=0),"",AA718/(Assumptions!$B$8*(S718-T718*Assumptions!$B$9)))</x:f>
        <x:v>1419.7640461496226</x:v>
      </x:c>
      <x:c r="AD718" s="52" t="n">
        <x:f>IF(OR(R718="No",U718*S718=0),"",AA718/(U718*S718))</x:f>
        <x:v>0.03466989560949213</x:v>
      </x:c>
      <x:c r="AE718" s="50" t="str">
        <x:f>IF(R718="No","No finance data",IF(AB718&gt;=10%,"Severe",IF(AB718&gt;=5%,"High",IF(AB718&gt;=2%,"Moderate","Low"))))</x:f>
        <x:v>Moderate</x:v>
      </x:c>
      <x:c r="AF718" s="60" t="n">
        <x:v>38.988178</x:v>
      </x:c>
      <x:c r="AG718" s="60" t="n">
        <x:v>-76.944721</x:v>
      </x:c>
      <x:c r="AH718" s="44" t="str">
        <x:v>Undergraduate tuition-contribution proxy only; not an audited total institutional budget.</x:v>
      </x:c>
    </x:row>
    <x:row r="719">
      <x:c r="A719" s="16" t="n">
        <x:v>163204</x:v>
      </x:c>
      <x:c r="B719" s="16" t="str">
        <x:v>University of Maryland-University College</x:v>
      </x:c>
      <x:c r="C719" s="16" t="str">
        <x:v>MD</x:v>
      </x:c>
      <x:c r="D719" s="16" t="str">
        <x:v>Public</x:v>
      </x:c>
      <x:c r="E719" s="34" t="n">
        <x:v>36119</x:v>
      </x:c>
      <x:c r="F719" s="21"/>
      <x:c r="G719" s="16" t="str">
        <x:v>National</x:v>
      </x:c>
      <x:c r="H719" s="36" t="n">
        <x:f>IF(G719="National",Assumptions!$B$11,IF(G719="Statewide",Assumptions!$B$12,Assumptions!$B$13))</x:f>
        <x:v>0.25</x:v>
      </x:c>
      <x:c r="I719" s="21" t="n">
        <x:v>-0.07190865657138235</x:v>
      </x:c>
      <x:c r="J719" s="21" t="n">
        <x:v>-0.06900693713391093</x:v>
      </x:c>
      <x:c r="K719" s="21" t="n">
        <x:v>-0.15307582260371955</x:v>
      </x:c>
      <x:c r="L719" s="36" t="n">
        <x:f>IF(Assumptions!$B$4=2030,I719,IF(Assumptions!$B$4=2035,J719,K719))</x:f>
        <x:v>-0.06900693713391093</x:v>
      </x:c>
      <x:c r="M719" s="36" t="n">
        <x:f>Assumptions!$B$19</x:f>
        <x:v>-0.04739891965741583</x:v>
      </x:c>
      <x:c r="N719" s="52" t="n">
        <x:f>H719*L719+(1-H719)*M719+O719</x:f>
        <x:v>-0.0528009240265396</x:v>
      </x:c>
      <x:c r="O719" s="36" t="n">
        <x:f>Assumptions!$B$10</x:f>
        <x:v>0</x:v>
      </x:c>
      <x:c r="P719" s="54" t="n">
        <x:f>E719*(1+N719)</x:f>
        <x:v>34211.88342508542</x:v>
      </x:c>
      <x:c r="Q719" s="54" t="n">
        <x:f>P719-E719</x:f>
        <x:v>-1907.1165749145803</x:v>
      </x:c>
      <x:c r="R719" s="16" t="str">
        <x:v>Yes</x:v>
      </x:c>
      <x:c r="S719" s="56" t="n">
        <x:v>8577</x:v>
      </x:c>
      <x:c r="T719" s="56" t="n">
        <x:v>2758</x:v>
      </x:c>
      <x:c r="U719" s="40" t="n">
        <x:f>E719*Assumptions!$B$8</x:f>
        <x:v>30701.149999999998</x:v>
      </x:c>
      <x:c r="V719" s="40" t="n">
        <x:f>P719*Assumptions!$B$8</x:f>
        <x:v>29080.100911322606</x:v>
      </x:c>
      <x:c r="W719" s="54" t="n">
        <x:f>V719-U719</x:f>
        <x:v>-1621.0490886773914</x:v>
      </x:c>
      <x:c r="X719" s="58" t="n">
        <x:f>IF(R719="No","",W719*S719)</x:f>
        <x:v>-13903738.033585986</x:v>
      </x:c>
      <x:c r="Y719" s="58" t="n">
        <x:f>IF(R719="No","",W719*T719*Assumptions!$B$9)</x:f>
        <x:v>-1341256.0159716737</x:v>
      </x:c>
      <x:c r="Z719" s="58" t="n">
        <x:f>IF(R719="No","",X719-Y719)</x:f>
        <x:v>-12562482.017614312</x:v>
      </x:c>
      <x:c r="AA719" s="58" t="n">
        <x:f>IF(R719="No","",MAX(0,-Z719))</x:f>
        <x:v>12562482.017614312</x:v>
      </x:c>
      <x:c r="AB719" s="52" t="n">
        <x:f>IF(OR(R719="No",U719*S719=0),"",AA719/(U719*S719))</x:f>
        <x:v>0.04770736164580507</x:v>
      </x:c>
      <x:c r="AC719" s="54" t="n">
        <x:f>IF(OR(R719="No",S719-T719*Assumptions!$B$9&lt;=0),"",AA719/(Assumptions!$B$8*(S719-T719*Assumptions!$B$9)))</x:f>
        <x:v>1907.1165749145782</x:v>
      </x:c>
      <x:c r="AD719" s="52" t="n">
        <x:f>IF(OR(R719="No",U719*S719=0),"",AA719/(U719*S719))</x:f>
        <x:v>0.04770736164580507</x:v>
      </x:c>
      <x:c r="AE719" s="50" t="str">
        <x:f>IF(R719="No","No finance data",IF(AB719&gt;=10%,"Severe",IF(AB719&gt;=5%,"High",IF(AB719&gt;=2%,"Moderate","Low"))))</x:f>
        <x:v>Moderate</x:v>
      </x:c>
      <x:c r="AF719" s="60" t="n">
        <x:v>38.912706</x:v>
      </x:c>
      <x:c r="AG719" s="60" t="n">
        <x:v>-76.847584</x:v>
      </x:c>
      <x:c r="AH719" s="44" t="str">
        <x:v>Undergraduate tuition-contribution proxy only; not an audited total institutional budget.</x:v>
      </x:c>
    </x:row>
    <x:row r="720">
      <x:c r="A720" s="16" t="n">
        <x:v>162210</x:v>
      </x:c>
      <x:c r="B720" s="16" t="str">
        <x:v>Washington Adventist University</x:v>
      </x:c>
      <x:c r="C720" s="16" t="str">
        <x:v>MD</x:v>
      </x:c>
      <x:c r="D720" s="16" t="str">
        <x:v>Private nonprofit</x:v>
      </x:c>
      <x:c r="E720" s="34" t="n">
        <x:v>765</x:v>
      </x:c>
      <x:c r="F720" s="21" t="n">
        <x:v>0.6175</x:v>
      </x:c>
      <x:c r="G720" s="16" t="str">
        <x:v>Regional</x:v>
      </x:c>
      <x:c r="H720" s="36" t="n">
        <x:f>IF(G720="National",Assumptions!$B$11,IF(G720="Statewide",Assumptions!$B$12,Assumptions!$B$13))</x:f>
        <x:v>0.85</x:v>
      </x:c>
      <x:c r="I720" s="21" t="n">
        <x:v>-0.07190865657138235</x:v>
      </x:c>
      <x:c r="J720" s="21" t="n">
        <x:v>-0.06900693713391093</x:v>
      </x:c>
      <x:c r="K720" s="21" t="n">
        <x:v>-0.15307582260371955</x:v>
      </x:c>
      <x:c r="L720" s="36" t="n">
        <x:f>IF(Assumptions!$B$4=2030,I720,IF(Assumptions!$B$4=2035,J720,K720))</x:f>
        <x:v>-0.06900693713391093</x:v>
      </x:c>
      <x:c r="M720" s="36" t="n">
        <x:f>Assumptions!$B$19</x:f>
        <x:v>-0.04739891965741583</x:v>
      </x:c>
      <x:c r="N720" s="52" t="n">
        <x:f>H720*L720+(1-H720)*M720+O720</x:f>
        <x:v>-0.06576573451243665</x:v>
      </x:c>
      <x:c r="O720" s="36" t="n">
        <x:f>Assumptions!$B$10</x:f>
        <x:v>0</x:v>
      </x:c>
      <x:c r="P720" s="54" t="n">
        <x:f>E720*(1+N720)</x:f>
        <x:v>714.689213097986</x:v>
      </x:c>
      <x:c r="Q720" s="54" t="n">
        <x:f>P720-E720</x:f>
        <x:v>-50.310786902014</x:v>
      </x:c>
      <x:c r="R720" s="16" t="str">
        <x:v>Yes</x:v>
      </x:c>
      <x:c r="S720" s="56" t="n">
        <x:v>17014</x:v>
      </x:c>
      <x:c r="T720" s="56" t="n">
        <x:v>13095</x:v>
      </x:c>
      <x:c r="U720" s="40" t="n">
        <x:f>E720*Assumptions!$B$8</x:f>
        <x:v>650.25</x:v>
      </x:c>
      <x:c r="V720" s="40" t="n">
        <x:f>P720*Assumptions!$B$8</x:f>
        <x:v>607.4858311332881</x:v>
      </x:c>
      <x:c r="W720" s="54" t="n">
        <x:f>V720-U720</x:f>
        <x:v>-42.764168866711884</x:v>
      </x:c>
      <x:c r="X720" s="58" t="n">
        <x:f>IF(R720="No","",W720*S720)</x:f>
        <x:v>-727589.569098236</x:v>
      </x:c>
      <x:c r="Y720" s="58" t="n">
        <x:f>IF(R720="No","",W720*T720*Assumptions!$B$9)</x:f>
        <x:v>-167999.03739287762</x:v>
      </x:c>
      <x:c r="Z720" s="58" t="n">
        <x:f>IF(R720="No","",X720-Y720)</x:f>
        <x:v>-559590.5317053584</x:v>
      </x:c>
      <x:c r="AA720" s="58" t="n">
        <x:f>IF(R720="No","",MAX(0,-Z720))</x:f>
        <x:v>559590.5317053584</x:v>
      </x:c>
      <x:c r="AB720" s="52" t="n">
        <x:f>IF(OR(R720="No",U720*S720=0),"",AA720/(U720*S720))</x:f>
        <x:v>0.050580552425208</x:v>
      </x:c>
      <x:c r="AC720" s="54" t="n">
        <x:f>IF(OR(R720="No",S720-T720*Assumptions!$B$9&lt;=0),"",AA720/(Assumptions!$B$8*(S720-T720*Assumptions!$B$9)))</x:f>
        <x:v>50.31078690201399</x:v>
      </x:c>
      <x:c r="AD720" s="52" t="n">
        <x:f>IF(OR(R720="No",U720*S720=0),"",AA720/(U720*S720))</x:f>
        <x:v>0.050580552425208</x:v>
      </x:c>
      <x:c r="AE720" s="50" t="str">
        <x:f>IF(R720="No","No finance data",IF(AB720&gt;=10%,"Severe",IF(AB720&gt;=5%,"High",IF(AB720&gt;=2%,"Moderate","Low"))))</x:f>
        <x:v>High</x:v>
      </x:c>
      <x:c r="AF720" s="60" t="n">
        <x:v>38.986349</x:v>
      </x:c>
      <x:c r="AG720" s="60" t="n">
        <x:v>-77.000608</x:v>
      </x:c>
      <x:c r="AH720" s="44" t="str">
        <x:v>Undergraduate tuition-contribution proxy only; not an audited total institutional budget.</x:v>
      </x:c>
    </x:row>
    <x:row r="721">
      <x:c r="A721" s="16" t="n">
        <x:v>164216</x:v>
      </x:c>
      <x:c r="B721" s="16" t="str">
        <x:v>Washington College</x:v>
      </x:c>
      <x:c r="C721" s="16" t="str">
        <x:v>MD</x:v>
      </x:c>
      <x:c r="D721" s="16" t="str">
        <x:v>Private nonprofit</x:v>
      </x:c>
      <x:c r="E721" s="34" t="n">
        <x:v>1386</x:v>
      </x:c>
      <x:c r="F721" s="21" t="n">
        <x:v>0.6986</x:v>
      </x:c>
      <x:c r="G721" s="16" t="str">
        <x:v>Regional</x:v>
      </x:c>
      <x:c r="H721" s="36" t="n">
        <x:f>IF(G721="National",Assumptions!$B$11,IF(G721="Statewide",Assumptions!$B$12,Assumptions!$B$13))</x:f>
        <x:v>0.85</x:v>
      </x:c>
      <x:c r="I721" s="21" t="n">
        <x:v>-0.07190865657138235</x:v>
      </x:c>
      <x:c r="J721" s="21" t="n">
        <x:v>-0.06900693713391093</x:v>
      </x:c>
      <x:c r="K721" s="21" t="n">
        <x:v>-0.15307582260371955</x:v>
      </x:c>
      <x:c r="L721" s="36" t="n">
        <x:f>IF(Assumptions!$B$4=2030,I721,IF(Assumptions!$B$4=2035,J721,K721))</x:f>
        <x:v>-0.06900693713391093</x:v>
      </x:c>
      <x:c r="M721" s="36" t="n">
        <x:f>Assumptions!$B$19</x:f>
        <x:v>-0.04739891965741583</x:v>
      </x:c>
      <x:c r="N721" s="52" t="n">
        <x:f>H721*L721+(1-H721)*M721+O721</x:f>
        <x:v>-0.06576573451243665</x:v>
      </x:c>
      <x:c r="O721" s="36" t="n">
        <x:f>Assumptions!$B$10</x:f>
        <x:v>0</x:v>
      </x:c>
      <x:c r="P721" s="54" t="n">
        <x:f>E721*(1+N721)</x:f>
        <x:v>1294.8486919657628</x:v>
      </x:c>
      <x:c r="Q721" s="54" t="n">
        <x:f>P721-E721</x:f>
        <x:v>-91.15130803423722</x:v>
      </x:c>
      <x:c r="R721" s="16" t="str">
        <x:v>Yes</x:v>
      </x:c>
      <x:c r="S721" s="56" t="n">
        <x:v>17474</x:v>
      </x:c>
      <x:c r="T721" s="56" t="n">
        <x:v>18876</x:v>
      </x:c>
      <x:c r="U721" s="40" t="n">
        <x:f>E721*Assumptions!$B$8</x:f>
        <x:v>1178.1</x:v>
      </x:c>
      <x:c r="V721" s="40" t="n">
        <x:f>P721*Assumptions!$B$8</x:f>
        <x:v>1100.6213881708984</x:v>
      </x:c>
      <x:c r="W721" s="54" t="n">
        <x:f>V721-U721</x:f>
        <x:v>-77.47861182910151</x:v>
      </x:c>
      <x:c r="X721" s="58" t="n">
        <x:f>IF(R721="No","",W721*S721)</x:f>
        <x:v>-1353861.2631017198</x:v>
      </x:c>
      <x:c r="Y721" s="58" t="n">
        <x:f>IF(R721="No","",W721*T721*Assumptions!$B$9)</x:f>
        <x:v>-438745.88306583604</x:v>
      </x:c>
      <x:c r="Z721" s="58" t="n">
        <x:f>IF(R721="No","",X721-Y721)</x:f>
        <x:v>-915115.3800358837</x:v>
      </x:c>
      <x:c r="AA721" s="58" t="n">
        <x:f>IF(R721="No","",MAX(0,-Z721))</x:f>
        <x:v>915115.3800358837</x:v>
      </x:c>
      <x:c r="AB721" s="52" t="n">
        <x:f>IF(OR(R721="No",U721*S721=0),"",AA721/(U721*S721))</x:f>
        <x:v>0.044453029842811645</x:v>
      </x:c>
      <x:c r="AC721" s="54" t="n">
        <x:f>IF(OR(R721="No",S721-T721*Assumptions!$B$9&lt;=0),"",AA721/(Assumptions!$B$8*(S721-T721*Assumptions!$B$9)))</x:f>
        <x:v>91.15130803423706</x:v>
      </x:c>
      <x:c r="AD721" s="52" t="n">
        <x:f>IF(OR(R721="No",U721*S721=0),"",AA721/(U721*S721))</x:f>
        <x:v>0.044453029842811645</x:v>
      </x:c>
      <x:c r="AE721" s="50" t="str">
        <x:f>IF(R721="No","No finance data",IF(AB721&gt;=10%,"Severe",IF(AB721&gt;=5%,"High",IF(AB721&gt;=2%,"Moderate","Low"))))</x:f>
        <x:v>Moderate</x:v>
      </x:c>
      <x:c r="AF721" s="60" t="n">
        <x:v>39.217329</x:v>
      </x:c>
      <x:c r="AG721" s="60" t="n">
        <x:v>-76.06878</x:v>
      </x:c>
      <x:c r="AH721" s="44" t="str">
        <x:v>Undergraduate tuition-contribution proxy only; not an audited total institutional budget.</x:v>
      </x:c>
    </x:row>
    <x:row r="722">
      <x:c r="A722" s="16" t="n">
        <x:v>434937</x:v>
      </x:c>
      <x:c r="B722" s="16" t="str">
        <x:v>Yeshiva College of the Nations Capital</x:v>
      </x:c>
      <x:c r="C722" s="16" t="str">
        <x:v>MD</x:v>
      </x:c>
      <x:c r="D722" s="16" t="str">
        <x:v>Private nonprofit</x:v>
      </x:c>
      <x:c r="E722" s="34" t="n">
        <x:v>24</x:v>
      </x:c>
      <x:c r="F722" s="21"/>
      <x:c r="G722" s="16" t="str">
        <x:v>Regional</x:v>
      </x:c>
      <x:c r="H722" s="36" t="n">
        <x:f>IF(G722="National",Assumptions!$B$11,IF(G722="Statewide",Assumptions!$B$12,Assumptions!$B$13))</x:f>
        <x:v>0.85</x:v>
      </x:c>
      <x:c r="I722" s="21" t="n">
        <x:v>-0.07190865657138235</x:v>
      </x:c>
      <x:c r="J722" s="21" t="n">
        <x:v>-0.06900693713391093</x:v>
      </x:c>
      <x:c r="K722" s="21" t="n">
        <x:v>-0.15307582260371955</x:v>
      </x:c>
      <x:c r="L722" s="36" t="n">
        <x:f>IF(Assumptions!$B$4=2030,I722,IF(Assumptions!$B$4=2035,J722,K722))</x:f>
        <x:v>-0.06900693713391093</x:v>
      </x:c>
      <x:c r="M722" s="36" t="n">
        <x:f>Assumptions!$B$19</x:f>
        <x:v>-0.04739891965741583</x:v>
      </x:c>
      <x:c r="N722" s="52" t="n">
        <x:f>H722*L722+(1-H722)*M722+O722</x:f>
        <x:v>-0.06576573451243665</x:v>
      </x:c>
      <x:c r="O722" s="36" t="n">
        <x:f>Assumptions!$B$10</x:f>
        <x:v>0</x:v>
      </x:c>
      <x:c r="P722" s="54" t="n">
        <x:f>E722*(1+N722)</x:f>
        <x:v>22.42162237170152</x:v>
      </x:c>
      <x:c r="Q722" s="54" t="n">
        <x:f>P722-E722</x:f>
        <x:v>-1.5783776282984796</x:v>
      </x:c>
      <x:c r="R722" s="16" t="str">
        <x:v>No</x:v>
      </x:c>
      <x:c r="S722" s="56"/>
      <x:c r="T722" s="56"/>
      <x:c r="U722" s="40" t="n">
        <x:f>E722*Assumptions!$B$8</x:f>
        <x:v>20.4</x:v>
      </x:c>
      <x:c r="V722" s="40" t="n">
        <x:f>P722*Assumptions!$B$8</x:f>
        <x:v>19.058379015946294</x:v>
      </x:c>
      <x:c r="W722" s="54" t="n">
        <x:f>V722-U722</x:f>
        <x:v>-1.341620984053705</x:v>
      </x:c>
      <x:c r="X722" s="58" t="str">
        <x:f>IF(R722="No","",W722*S722)</x:f>
      </x:c>
      <x:c r="Y722" s="58" t="str">
        <x:f>IF(R722="No","",W722*T722*Assumptions!$B$9)</x:f>
      </x:c>
      <x:c r="Z722" s="58" t="str">
        <x:f>IF(R722="No","",X722-Y722)</x:f>
      </x:c>
      <x:c r="AA722" s="58" t="str">
        <x:f>IF(R722="No","",MAX(0,-Z722))</x:f>
      </x:c>
      <x:c r="AB722" s="52" t="str">
        <x:f>IF(OR(R722="No",U722*S722=0),"",AA722/(U722*S722))</x:f>
      </x:c>
      <x:c r="AC722" s="54" t="str">
        <x:f>IF(OR(R722="No",S722-T722*Assumptions!$B$9&lt;=0),"",AA722/(Assumptions!$B$8*(S722-T722*Assumptions!$B$9)))</x:f>
      </x:c>
      <x:c r="AD722" s="52" t="str">
        <x:f>IF(OR(R722="No",U722*S722=0),"",AA722/(U722*S722))</x:f>
      </x:c>
      <x:c r="AE722" s="50" t="str">
        <x:f>IF(R722="No","No finance data",IF(AB722&gt;=10%,"Severe",IF(AB722&gt;=5%,"High",IF(AB722&gt;=2%,"Moderate","Low"))))</x:f>
        <x:v>No finance data</x:v>
      </x:c>
      <x:c r="AF722" s="60"/>
      <x:c r="AG722" s="60"/>
      <x:c r="AH722" s="44" t="str">
        <x:v>Undergraduate tuition-contribution proxy only; not an audited total institutional budget.</x:v>
      </x:c>
    </x:row>
    <x:row r="723">
      <x:c r="A723" s="16" t="n">
        <x:v>160977</x:v>
      </x:c>
      <x:c r="B723" s="16" t="str">
        <x:v>Bates College</x:v>
      </x:c>
      <x:c r="C723" s="16" t="str">
        <x:v>ME</x:v>
      </x:c>
      <x:c r="D723" s="16" t="str">
        <x:v>Private nonprofit</x:v>
      </x:c>
      <x:c r="E723" s="34" t="n">
        <x:v>1792</x:v>
      </x:c>
      <x:c r="F723" s="21" t="n">
        <x:v>0.1731</x:v>
      </x:c>
      <x:c r="G723" s="16" t="str">
        <x:v>National</x:v>
      </x:c>
      <x:c r="H723" s="36" t="n">
        <x:f>IF(G723="National",Assumptions!$B$11,IF(G723="Statewide",Assumptions!$B$12,Assumptions!$B$13))</x:f>
        <x:v>0.25</x:v>
      </x:c>
      <x:c r="I723" s="21" t="n">
        <x:v>-0.05548255219740106</x:v>
      </x:c>
      <x:c r="J723" s="21" t="n">
        <x:v>-0.018396846254927768</x:v>
      </x:c>
      <x:c r="K723" s="21" t="n">
        <x:v>-0.07154329099138557</x:v>
      </x:c>
      <x:c r="L723" s="36" t="n">
        <x:f>IF(Assumptions!$B$4=2030,I723,IF(Assumptions!$B$4=2035,J723,K723))</x:f>
        <x:v>-0.018396846254927768</x:v>
      </x:c>
      <x:c r="M723" s="36" t="n">
        <x:f>Assumptions!$B$19</x:f>
        <x:v>-0.04739891965741583</x:v>
      </x:c>
      <x:c r="N723" s="52" t="n">
        <x:f>H723*L723+(1-H723)*M723+O723</x:f>
        <x:v>-0.04014840130679381</x:v>
      </x:c>
      <x:c r="O723" s="36" t="n">
        <x:f>Assumptions!$B$10</x:f>
        <x:v>0</x:v>
      </x:c>
      <x:c r="P723" s="54" t="n">
        <x:f>E723*(1+N723)</x:f>
        <x:v>1720.0540648582255</x:v>
      </x:c>
      <x:c r="Q723" s="54" t="n">
        <x:f>P723-E723</x:f>
        <x:v>-71.9459351417745</x:v>
      </x:c>
      <x:c r="R723" s="16" t="str">
        <x:v>Yes</x:v>
      </x:c>
      <x:c r="S723" s="56" t="n">
        <x:v>50431</x:v>
      </x:c>
      <x:c r="T723" s="56" t="n">
        <x:v>20905</x:v>
      </x:c>
      <x:c r="U723" s="40" t="n">
        <x:f>E723*Assumptions!$B$8</x:f>
        <x:v>1523.2</x:v>
      </x:c>
      <x:c r="V723" s="40" t="n">
        <x:f>P723*Assumptions!$B$8</x:f>
        <x:v>1462.0459551294916</x:v>
      </x:c>
      <x:c r="W723" s="54" t="n">
        <x:f>V723-U723</x:f>
        <x:v>-61.154044870508415</x:v>
      </x:c>
      <x:c r="X723" s="58" t="n">
        <x:f>IF(R723="No","",W723*S723)</x:f>
        <x:v>-3084059.63686461</x:v>
      </x:c>
      <x:c r="Y723" s="58" t="n">
        <x:f>IF(R723="No","",W723*T723*Assumptions!$B$9)</x:f>
        <x:v>-383527.59240539355</x:v>
      </x:c>
      <x:c r="Z723" s="58" t="n">
        <x:f>IF(R723="No","",X723-Y723)</x:f>
        <x:v>-2700532.0444592163</x:v>
      </x:c>
      <x:c r="AA723" s="58" t="n">
        <x:f>IF(R723="No","",MAX(0,-Z723))</x:f>
        <x:v>2700532.0444592163</x:v>
      </x:c>
      <x:c r="AB723" s="52" t="n">
        <x:f>IF(OR(R723="No",U723*S723=0),"",AA723/(U723*S723))</x:f>
        <x:v>0.03515562506211187</x:v>
      </x:c>
      <x:c r="AC723" s="54" t="n">
        <x:f>IF(OR(R723="No",S723-T723*Assumptions!$B$9&lt;=0),"",AA723/(Assumptions!$B$8*(S723-T723*Assumptions!$B$9)))</x:f>
        <x:v>71.94593514177461</x:v>
      </x:c>
      <x:c r="AD723" s="52" t="n">
        <x:f>IF(OR(R723="No",U723*S723=0),"",AA723/(U723*S723))</x:f>
        <x:v>0.03515562506211187</x:v>
      </x:c>
      <x:c r="AE723" s="50" t="str">
        <x:f>IF(R723="No","No finance data",IF(AB723&gt;=10%,"Severe",IF(AB723&gt;=5%,"High",IF(AB723&gt;=2%,"Moderate","Low"))))</x:f>
        <x:v>Moderate</x:v>
      </x:c>
      <x:c r="AF723" s="60" t="n">
        <x:v>44.105299</x:v>
      </x:c>
      <x:c r="AG723" s="60" t="n">
        <x:v>-70.203333</x:v>
      </x:c>
      <x:c r="AH723" s="44" t="str">
        <x:v>Undergraduate tuition-contribution proxy only; not an audited total institutional budget.</x:v>
      </x:c>
    </x:row>
    <x:row r="724">
      <x:c r="A724" s="16" t="n">
        <x:v>161004</x:v>
      </x:c>
      <x:c r="B724" s="16" t="str">
        <x:v>Bowdoin College</x:v>
      </x:c>
      <x:c r="C724" s="16" t="str">
        <x:v>ME</x:v>
      </x:c>
      <x:c r="D724" s="16" t="str">
        <x:v>Private nonprofit</x:v>
      </x:c>
      <x:c r="E724" s="34" t="n">
        <x:v>1794</x:v>
      </x:c>
      <x:c r="F724" s="21" t="n">
        <x:v>0.0882</x:v>
      </x:c>
      <x:c r="G724" s="16" t="str">
        <x:v>National</x:v>
      </x:c>
      <x:c r="H724" s="36" t="n">
        <x:f>IF(G724="National",Assumptions!$B$11,IF(G724="Statewide",Assumptions!$B$12,Assumptions!$B$13))</x:f>
        <x:v>0.25</x:v>
      </x:c>
      <x:c r="I724" s="21" t="n">
        <x:v>-0.05548255219740106</x:v>
      </x:c>
      <x:c r="J724" s="21" t="n">
        <x:v>-0.018396846254927768</x:v>
      </x:c>
      <x:c r="K724" s="21" t="n">
        <x:v>-0.07154329099138557</x:v>
      </x:c>
      <x:c r="L724" s="36" t="n">
        <x:f>IF(Assumptions!$B$4=2030,I724,IF(Assumptions!$B$4=2035,J724,K724))</x:f>
        <x:v>-0.018396846254927768</x:v>
      </x:c>
      <x:c r="M724" s="36" t="n">
        <x:f>Assumptions!$B$19</x:f>
        <x:v>-0.04739891965741583</x:v>
      </x:c>
      <x:c r="N724" s="52" t="n">
        <x:f>H724*L724+(1-H724)*M724+O724</x:f>
        <x:v>-0.04014840130679381</x:v>
      </x:c>
      <x:c r="O724" s="36" t="n">
        <x:f>Assumptions!$B$10</x:f>
        <x:v>0</x:v>
      </x:c>
      <x:c r="P724" s="54" t="n">
        <x:f>E724*(1+N724)</x:f>
        <x:v>1721.9737680556118</x:v>
      </x:c>
      <x:c r="Q724" s="54" t="n">
        <x:f>P724-E724</x:f>
        <x:v>-72.0262319443882</x:v>
      </x:c>
      <x:c r="R724" s="16" t="str">
        <x:v>Yes</x:v>
      </x:c>
      <x:c r="S724" s="56" t="n">
        <x:v>33065</x:v>
      </x:c>
      <x:c r="T724" s="56" t="n">
        <x:v>36667</x:v>
      </x:c>
      <x:c r="U724" s="40" t="n">
        <x:f>E724*Assumptions!$B$8</x:f>
        <x:v>1524.8999999999999</x:v>
      </x:c>
      <x:c r="V724" s="40" t="n">
        <x:f>P724*Assumptions!$B$8</x:f>
        <x:v>1463.67770284727</x:v>
      </x:c>
      <x:c r="W724" s="54" t="n">
        <x:f>V724-U724</x:f>
        <x:v>-61.22229715272988</x:v>
      </x:c>
      <x:c r="X724" s="58" t="n">
        <x:f>IF(R724="No","",W724*S724)</x:f>
        <x:v>-2024315.2553550135</x:v>
      </x:c>
      <x:c r="Y724" s="58" t="n">
        <x:f>IF(R724="No","",W724*T724*Assumptions!$B$9)</x:f>
        <x:v>-673451.390909744</x:v>
      </x:c>
      <x:c r="Z724" s="58" t="n">
        <x:f>IF(R724="No","",X724-Y724)</x:f>
        <x:v>-1350863.8644452696</x:v>
      </x:c>
      <x:c r="AA724" s="58" t="n">
        <x:f>IF(R724="No","",MAX(0,-Z724))</x:f>
        <x:v>1350863.8644452696</x:v>
      </x:c>
      <x:c r="AB724" s="52" t="n">
        <x:f>IF(OR(R724="No",U724*S724=0),"",AA724/(U724*S724))</x:f>
        <x:v>0.026791787690738693</x:v>
      </x:c>
      <x:c r="AC724" s="54" t="n">
        <x:f>IF(OR(R724="No",S724-T724*Assumptions!$B$9&lt;=0),"",AA724/(Assumptions!$B$8*(S724-T724*Assumptions!$B$9)))</x:f>
        <x:v>72.02623194438809</x:v>
      </x:c>
      <x:c r="AD724" s="52" t="n">
        <x:f>IF(OR(R724="No",U724*S724=0),"",AA724/(U724*S724))</x:f>
        <x:v>0.026791787690738693</x:v>
      </x:c>
      <x:c r="AE724" s="50" t="str">
        <x:f>IF(R724="No","No finance data",IF(AB724&gt;=10%,"Severe",IF(AB724&gt;=5%,"High",IF(AB724&gt;=2%,"Moderate","Low"))))</x:f>
        <x:v>Moderate</x:v>
      </x:c>
      <x:c r="AF724" s="60" t="n">
        <x:v>43.907134</x:v>
      </x:c>
      <x:c r="AG724" s="60" t="n">
        <x:v>-69.963942</x:v>
      </x:c>
      <x:c r="AH724" s="44" t="str">
        <x:v>Undergraduate tuition-contribution proxy only; not an audited total institutional budget.</x:v>
      </x:c>
    </x:row>
    <x:row r="725">
      <x:c r="A725" s="16" t="n">
        <x:v>161086</x:v>
      </x:c>
      <x:c r="B725" s="16" t="str">
        <x:v>Colby College</x:v>
      </x:c>
      <x:c r="C725" s="16" t="str">
        <x:v>ME</x:v>
      </x:c>
      <x:c r="D725" s="16" t="str">
        <x:v>Private nonprofit</x:v>
      </x:c>
      <x:c r="E725" s="34" t="n">
        <x:v>1857</x:v>
      </x:c>
      <x:c r="F725" s="21" t="n">
        <x:v>0.0887</x:v>
      </x:c>
      <x:c r="G725" s="16" t="str">
        <x:v>National</x:v>
      </x:c>
      <x:c r="H725" s="36" t="n">
        <x:f>IF(G725="National",Assumptions!$B$11,IF(G725="Statewide",Assumptions!$B$12,Assumptions!$B$13))</x:f>
        <x:v>0.25</x:v>
      </x:c>
      <x:c r="I725" s="21" t="n">
        <x:v>-0.05548255219740106</x:v>
      </x:c>
      <x:c r="J725" s="21" t="n">
        <x:v>-0.018396846254927768</x:v>
      </x:c>
      <x:c r="K725" s="21" t="n">
        <x:v>-0.07154329099138557</x:v>
      </x:c>
      <x:c r="L725" s="36" t="n">
        <x:f>IF(Assumptions!$B$4=2030,I725,IF(Assumptions!$B$4=2035,J725,K725))</x:f>
        <x:v>-0.018396846254927768</x:v>
      </x:c>
      <x:c r="M725" s="36" t="n">
        <x:f>Assumptions!$B$19</x:f>
        <x:v>-0.04739891965741583</x:v>
      </x:c>
      <x:c r="N725" s="52" t="n">
        <x:f>H725*L725+(1-H725)*M725+O725</x:f>
        <x:v>-0.04014840130679381</x:v>
      </x:c>
      <x:c r="O725" s="36" t="n">
        <x:f>Assumptions!$B$10</x:f>
        <x:v>0</x:v>
      </x:c>
      <x:c r="P725" s="54" t="n">
        <x:f>E725*(1+N725)</x:f>
        <x:v>1782.4444187732838</x:v>
      </x:c>
      <x:c r="Q725" s="54" t="n">
        <x:f>P725-E725</x:f>
        <x:v>-74.55558122671619</x:v>
      </x:c>
      <x:c r="R725" s="16" t="str">
        <x:v>Yes</x:v>
      </x:c>
      <x:c r="S725" s="56" t="n">
        <x:v>28857</x:v>
      </x:c>
      <x:c r="T725" s="56" t="n">
        <x:v>20915</x:v>
      </x:c>
      <x:c r="U725" s="40" t="n">
        <x:f>E725*Assumptions!$B$8</x:f>
        <x:v>1578.45</x:v>
      </x:c>
      <x:c r="V725" s="40" t="n">
        <x:f>P725*Assumptions!$B$8</x:f>
        <x:v>1515.0777559572912</x:v>
      </x:c>
      <x:c r="W725" s="54" t="n">
        <x:f>V725-U725</x:f>
        <x:v>-63.37224404270887</x:v>
      </x:c>
      <x:c r="X725" s="58" t="n">
        <x:f>IF(R725="No","",W725*S725)</x:f>
        <x:v>-1828732.84634045</x:v>
      </x:c>
      <x:c r="Y725" s="58" t="n">
        <x:f>IF(R725="No","",W725*T725*Assumptions!$B$9)</x:f>
        <x:v>-397629.1452459768</x:v>
      </x:c>
      <x:c r="Z725" s="58" t="n">
        <x:f>IF(R725="No","",X725-Y725)</x:f>
        <x:v>-1431103.7010944732</x:v>
      </x:c>
      <x:c r="AA725" s="58" t="n">
        <x:f>IF(R725="No","",MAX(0,-Z725))</x:f>
        <x:v>1431103.7010944732</x:v>
      </x:c>
      <x:c r="AB725" s="52" t="n">
        <x:f>IF(OR(R725="No",U725*S725=0),"",AA725/(U725*S725))</x:f>
        <x:v>0.03141876399177579</x:v>
      </x:c>
      <x:c r="AC725" s="54" t="n">
        <x:f>IF(OR(R725="No",S725-T725*Assumptions!$B$9&lt;=0),"",AA725/(Assumptions!$B$8*(S725-T725*Assumptions!$B$9)))</x:f>
        <x:v>74.55558122671633</x:v>
      </x:c>
      <x:c r="AD725" s="52" t="n">
        <x:f>IF(OR(R725="No",U725*S725=0),"",AA725/(U725*S725))</x:f>
        <x:v>0.03141876399177579</x:v>
      </x:c>
      <x:c r="AE725" s="50" t="str">
        <x:f>IF(R725="No","No finance data",IF(AB725&gt;=10%,"Severe",IF(AB725&gt;=5%,"High",IF(AB725&gt;=2%,"Moderate","Low"))))</x:f>
        <x:v>Moderate</x:v>
      </x:c>
      <x:c r="AF725" s="60" t="n">
        <x:v>44.564211</x:v>
      </x:c>
      <x:c r="AG725" s="60" t="n">
        <x:v>-69.66337</x:v>
      </x:c>
      <x:c r="AH725" s="44" t="str">
        <x:v>Undergraduate tuition-contribution proxy only; not an audited total institutional budget.</x:v>
      </x:c>
    </x:row>
    <x:row r="726">
      <x:c r="A726" s="16" t="n">
        <x:v>160959</x:v>
      </x:c>
      <x:c r="B726" s="16" t="str">
        <x:v>College of the Atlantic</x:v>
      </x:c>
      <x:c r="C726" s="16" t="str">
        <x:v>ME</x:v>
      </x:c>
      <x:c r="D726" s="16" t="str">
        <x:v>Private nonprofit</x:v>
      </x:c>
      <x:c r="E726" s="34" t="n">
        <x:v>333</x:v>
      </x:c>
      <x:c r="F726" s="21"/>
      <x:c r="G726" s="16" t="str">
        <x:v>Regional</x:v>
      </x:c>
      <x:c r="H726" s="36" t="n">
        <x:f>IF(G726="National",Assumptions!$B$11,IF(G726="Statewide",Assumptions!$B$12,Assumptions!$B$13))</x:f>
        <x:v>0.85</x:v>
      </x:c>
      <x:c r="I726" s="21" t="n">
        <x:v>-0.05548255219740106</x:v>
      </x:c>
      <x:c r="J726" s="21" t="n">
        <x:v>-0.018396846254927768</x:v>
      </x:c>
      <x:c r="K726" s="21" t="n">
        <x:v>-0.07154329099138557</x:v>
      </x:c>
      <x:c r="L726" s="36" t="n">
        <x:f>IF(Assumptions!$B$4=2030,I726,IF(Assumptions!$B$4=2035,J726,K726))</x:f>
        <x:v>-0.018396846254927768</x:v>
      </x:c>
      <x:c r="M726" s="36" t="n">
        <x:f>Assumptions!$B$19</x:f>
        <x:v>-0.04739891965741583</x:v>
      </x:c>
      <x:c r="N726" s="52" t="n">
        <x:f>H726*L726+(1-H726)*M726+O726</x:f>
        <x:v>-0.02274715726530098</x:v>
      </x:c>
      <x:c r="O726" s="36" t="n">
        <x:f>Assumptions!$B$10</x:f>
        <x:v>0</x:v>
      </x:c>
      <x:c r="P726" s="54" t="n">
        <x:f>E726*(1+N726)</x:f>
        <x:v>325.4251966306548</x:v>
      </x:c>
      <x:c r="Q726" s="54" t="n">
        <x:f>P726-E726</x:f>
        <x:v>-7.574803369345204</x:v>
      </x:c>
      <x:c r="R726" s="16" t="str">
        <x:v>No</x:v>
      </x:c>
      <x:c r="S726" s="56"/>
      <x:c r="T726" s="56"/>
      <x:c r="U726" s="40" t="n">
        <x:f>E726*Assumptions!$B$8</x:f>
        <x:v>283.05</x:v>
      </x:c>
      <x:c r="V726" s="40" t="n">
        <x:f>P726*Assumptions!$B$8</x:f>
        <x:v>276.61141713605656</x:v>
      </x:c>
      <x:c r="W726" s="54" t="n">
        <x:f>V726-U726</x:f>
        <x:v>-6.438582863943452</x:v>
      </x:c>
      <x:c r="X726" s="58" t="str">
        <x:f>IF(R726="No","",W726*S726)</x:f>
      </x:c>
      <x:c r="Y726" s="58" t="str">
        <x:f>IF(R726="No","",W726*T726*Assumptions!$B$9)</x:f>
      </x:c>
      <x:c r="Z726" s="58" t="str">
        <x:f>IF(R726="No","",X726-Y726)</x:f>
      </x:c>
      <x:c r="AA726" s="58" t="str">
        <x:f>IF(R726="No","",MAX(0,-Z726))</x:f>
      </x:c>
      <x:c r="AB726" s="52" t="str">
        <x:f>IF(OR(R726="No",U726*S726=0),"",AA726/(U726*S726))</x:f>
      </x:c>
      <x:c r="AC726" s="54" t="str">
        <x:f>IF(OR(R726="No",S726-T726*Assumptions!$B$9&lt;=0),"",AA726/(Assumptions!$B$8*(S726-T726*Assumptions!$B$9)))</x:f>
      </x:c>
      <x:c r="AD726" s="52" t="str">
        <x:f>IF(OR(R726="No",U726*S726=0),"",AA726/(U726*S726))</x:f>
      </x:c>
      <x:c r="AE726" s="50" t="str">
        <x:f>IF(R726="No","No finance data",IF(AB726&gt;=10%,"Severe",IF(AB726&gt;=5%,"High",IF(AB726&gt;=2%,"Moderate","Low"))))</x:f>
        <x:v>No finance data</x:v>
      </x:c>
      <x:c r="AF726" s="60"/>
      <x:c r="AG726" s="60"/>
      <x:c r="AH726" s="44" t="str">
        <x:v>Undergraduate tuition-contribution proxy only; not an audited total institutional budget.</x:v>
      </x:c>
    </x:row>
    <x:row r="727">
      <x:c r="A727" s="16" t="n">
        <x:v>487524</x:v>
      </x:c>
      <x:c r="B727" s="16" t="str">
        <x:v>Husson University</x:v>
      </x:c>
      <x:c r="C727" s="16" t="str">
        <x:v>ME</x:v>
      </x:c>
      <x:c r="D727" s="16" t="str">
        <x:v>Private nonprofit</x:v>
      </x:c>
      <x:c r="E727" s="34" t="n">
        <x:v>2588</x:v>
      </x:c>
      <x:c r="F727" s="21" t="n">
        <x:v>0.8555</x:v>
      </x:c>
      <x:c r="G727" s="16" t="str">
        <x:v>Regional</x:v>
      </x:c>
      <x:c r="H727" s="36" t="n">
        <x:f>IF(G727="National",Assumptions!$B$11,IF(G727="Statewide",Assumptions!$B$12,Assumptions!$B$13))</x:f>
        <x:v>0.85</x:v>
      </x:c>
      <x:c r="I727" s="21" t="n">
        <x:v>-0.05548255219740106</x:v>
      </x:c>
      <x:c r="J727" s="21" t="n">
        <x:v>-0.018396846254927768</x:v>
      </x:c>
      <x:c r="K727" s="21" t="n">
        <x:v>-0.07154329099138557</x:v>
      </x:c>
      <x:c r="L727" s="36" t="n">
        <x:f>IF(Assumptions!$B$4=2030,I727,IF(Assumptions!$B$4=2035,J727,K727))</x:f>
        <x:v>-0.018396846254927768</x:v>
      </x:c>
      <x:c r="M727" s="36" t="n">
        <x:f>Assumptions!$B$19</x:f>
        <x:v>-0.04739891965741583</x:v>
      </x:c>
      <x:c r="N727" s="52" t="n">
        <x:f>H727*L727+(1-H727)*M727+O727</x:f>
        <x:v>-0.02274715726530098</x:v>
      </x:c>
      <x:c r="O727" s="36" t="n">
        <x:f>Assumptions!$B$10</x:f>
        <x:v>0</x:v>
      </x:c>
      <x:c r="P727" s="54" t="n">
        <x:f>E727*(1+N727)</x:f>
        <x:v>2529.130356997401</x:v>
      </x:c>
      <x:c r="Q727" s="54" t="n">
        <x:f>P727-E727</x:f>
        <x:v>-58.86964300259888</x:v>
      </x:c>
      <x:c r="R727" s="16" t="str">
        <x:v>Yes</x:v>
      </x:c>
      <x:c r="S727" s="56" t="n">
        <x:v>12058</x:v>
      </x:c>
      <x:c r="T727" s="56" t="n">
        <x:v>6099</x:v>
      </x:c>
      <x:c r="U727" s="40" t="n">
        <x:f>E727*Assumptions!$B$8</x:f>
        <x:v>2199.7999999999997</x:v>
      </x:c>
      <x:c r="V727" s="40" t="n">
        <x:f>P727*Assumptions!$B$8</x:f>
        <x:v>2149.7608034477907</x:v>
      </x:c>
      <x:c r="W727" s="54" t="n">
        <x:f>V727-U727</x:f>
        <x:v>-50.03919655220898</x:v>
      </x:c>
      <x:c r="X727" s="58" t="n">
        <x:f>IF(R727="No","",W727*S727)</x:f>
        <x:v>-603372.6320265358</x:v>
      </x:c>
      <x:c r="Y727" s="58" t="n">
        <x:f>IF(R727="No","",W727*T727*Assumptions!$B$9)</x:f>
        <x:v>-91556.71793157676</x:v>
      </x:c>
      <x:c r="Z727" s="58" t="n">
        <x:f>IF(R727="No","",X727-Y727)</x:f>
        <x:v>-511815.91409495904</x:v>
      </x:c>
      <x:c r="AA727" s="58" t="n">
        <x:f>IF(R727="No","",MAX(0,-Z727))</x:f>
        <x:v>511815.91409495904</x:v>
      </x:c>
      <x:c r="AB727" s="52" t="n">
        <x:f>IF(OR(R727="No",U727*S727=0),"",AA727/(U727*S727))</x:f>
        <x:v>0.019295467627855153</x:v>
      </x:c>
      <x:c r="AC727" s="54" t="n">
        <x:f>IF(OR(R727="No",S727-T727*Assumptions!$B$9&lt;=0),"",AA727/(Assumptions!$B$8*(S727-T727*Assumptions!$B$9)))</x:f>
        <x:v>58.8696430025988</x:v>
      </x:c>
      <x:c r="AD727" s="52" t="n">
        <x:f>IF(OR(R727="No",U727*S727=0),"",AA727/(U727*S727))</x:f>
        <x:v>0.019295467627855153</x:v>
      </x:c>
      <x:c r="AE727" s="50" t="str">
        <x:f>IF(R727="No","No finance data",IF(AB727&gt;=10%,"Severe",IF(AB727&gt;=5%,"High",IF(AB727&gt;=2%,"Moderate","Low"))))</x:f>
        <x:v>Low</x:v>
      </x:c>
      <x:c r="AF727" s="60" t="n">
        <x:v>44.829002</x:v>
      </x:c>
      <x:c r="AG727" s="60" t="n">
        <x:v>-68.791476</x:v>
      </x:c>
      <x:c r="AH727" s="44" t="str">
        <x:v>Undergraduate tuition-contribution proxy only; not an audited total institutional budget.</x:v>
      </x:c>
    </x:row>
    <x:row r="728">
      <x:c r="A728" s="16" t="n">
        <x:v>161509</x:v>
      </x:c>
      <x:c r="B728" s="16" t="str">
        <x:v>Maine College of Art</x:v>
      </x:c>
      <x:c r="C728" s="16" t="str">
        <x:v>ME</x:v>
      </x:c>
      <x:c r="D728" s="16" t="str">
        <x:v>Private nonprofit</x:v>
      </x:c>
      <x:c r="E728" s="34" t="n">
        <x:v>430</x:v>
      </x:c>
      <x:c r="F728" s="21"/>
      <x:c r="G728" s="16" t="str">
        <x:v>Regional</x:v>
      </x:c>
      <x:c r="H728" s="36" t="n">
        <x:f>IF(G728="National",Assumptions!$B$11,IF(G728="Statewide",Assumptions!$B$12,Assumptions!$B$13))</x:f>
        <x:v>0.85</x:v>
      </x:c>
      <x:c r="I728" s="21" t="n">
        <x:v>-0.05548255219740106</x:v>
      </x:c>
      <x:c r="J728" s="21" t="n">
        <x:v>-0.018396846254927768</x:v>
      </x:c>
      <x:c r="K728" s="21" t="n">
        <x:v>-0.07154329099138557</x:v>
      </x:c>
      <x:c r="L728" s="36" t="n">
        <x:f>IF(Assumptions!$B$4=2030,I728,IF(Assumptions!$B$4=2035,J728,K728))</x:f>
        <x:v>-0.018396846254927768</x:v>
      </x:c>
      <x:c r="M728" s="36" t="n">
        <x:f>Assumptions!$B$19</x:f>
        <x:v>-0.04739891965741583</x:v>
      </x:c>
      <x:c r="N728" s="52" t="n">
        <x:f>H728*L728+(1-H728)*M728+O728</x:f>
        <x:v>-0.02274715726530098</x:v>
      </x:c>
      <x:c r="O728" s="36" t="n">
        <x:f>Assumptions!$B$10</x:f>
        <x:v>0</x:v>
      </x:c>
      <x:c r="P728" s="54" t="n">
        <x:f>E728*(1+N728)</x:f>
        <x:v>420.2187223759206</x:v>
      </x:c>
      <x:c r="Q728" s="54" t="n">
        <x:f>P728-E728</x:f>
        <x:v>-9.781277624079394</x:v>
      </x:c>
      <x:c r="R728" s="16" t="str">
        <x:v>No</x:v>
      </x:c>
      <x:c r="S728" s="56"/>
      <x:c r="T728" s="56"/>
      <x:c r="U728" s="40" t="n">
        <x:f>E728*Assumptions!$B$8</x:f>
        <x:v>365.5</x:v>
      </x:c>
      <x:c r="V728" s="40" t="n">
        <x:f>P728*Assumptions!$B$8</x:f>
        <x:v>357.1859140195325</x:v>
      </x:c>
      <x:c r="W728" s="54" t="n">
        <x:f>V728-U728</x:f>
        <x:v>-8.314085980467496</x:v>
      </x:c>
      <x:c r="X728" s="58" t="str">
        <x:f>IF(R728="No","",W728*S728)</x:f>
      </x:c>
      <x:c r="Y728" s="58" t="str">
        <x:f>IF(R728="No","",W728*T728*Assumptions!$B$9)</x:f>
      </x:c>
      <x:c r="Z728" s="58" t="str">
        <x:f>IF(R728="No","",X728-Y728)</x:f>
      </x:c>
      <x:c r="AA728" s="58" t="str">
        <x:f>IF(R728="No","",MAX(0,-Z728))</x:f>
      </x:c>
      <x:c r="AB728" s="52" t="str">
        <x:f>IF(OR(R728="No",U728*S728=0),"",AA728/(U728*S728))</x:f>
      </x:c>
      <x:c r="AC728" s="54" t="str">
        <x:f>IF(OR(R728="No",S728-T728*Assumptions!$B$9&lt;=0),"",AA728/(Assumptions!$B$8*(S728-T728*Assumptions!$B$9)))</x:f>
      </x:c>
      <x:c r="AD728" s="52" t="str">
        <x:f>IF(OR(R728="No",U728*S728=0),"",AA728/(U728*S728))</x:f>
      </x:c>
      <x:c r="AE728" s="50" t="str">
        <x:f>IF(R728="No","No finance data",IF(AB728&gt;=10%,"Severe",IF(AB728&gt;=5%,"High",IF(AB728&gt;=2%,"Moderate","Low"))))</x:f>
        <x:v>No finance data</x:v>
      </x:c>
      <x:c r="AF728" s="60"/>
      <x:c r="AG728" s="60"/>
      <x:c r="AH728" s="44" t="str">
        <x:v>Undergraduate tuition-contribution proxy only; not an audited total institutional budget.</x:v>
      </x:c>
    </x:row>
    <x:row r="729">
      <x:c r="A729" s="16" t="n">
        <x:v>161299</x:v>
      </x:c>
      <x:c r="B729" s="16" t="str">
        <x:v>Maine Maritime Academy</x:v>
      </x:c>
      <x:c r="C729" s="16" t="str">
        <x:v>ME</x:v>
      </x:c>
      <x:c r="D729" s="16" t="str">
        <x:v>Public</x:v>
      </x:c>
      <x:c r="E729" s="34" t="n">
        <x:v>991</x:v>
      </x:c>
      <x:c r="F729" s="21" t="n">
        <x:v>0.5771</x:v>
      </x:c>
      <x:c r="G729" s="16" t="str">
        <x:v>Regional</x:v>
      </x:c>
      <x:c r="H729" s="36" t="n">
        <x:f>IF(G729="National",Assumptions!$B$11,IF(G729="Statewide",Assumptions!$B$12,Assumptions!$B$13))</x:f>
        <x:v>0.85</x:v>
      </x:c>
      <x:c r="I729" s="21" t="n">
        <x:v>-0.05548255219740106</x:v>
      </x:c>
      <x:c r="J729" s="21" t="n">
        <x:v>-0.018396846254927768</x:v>
      </x:c>
      <x:c r="K729" s="21" t="n">
        <x:v>-0.07154329099138557</x:v>
      </x:c>
      <x:c r="L729" s="36" t="n">
        <x:f>IF(Assumptions!$B$4=2030,I729,IF(Assumptions!$B$4=2035,J729,K729))</x:f>
        <x:v>-0.018396846254927768</x:v>
      </x:c>
      <x:c r="M729" s="36" t="n">
        <x:f>Assumptions!$B$19</x:f>
        <x:v>-0.04739891965741583</x:v>
      </x:c>
      <x:c r="N729" s="52" t="n">
        <x:f>H729*L729+(1-H729)*M729+O729</x:f>
        <x:v>-0.02274715726530098</x:v>
      </x:c>
      <x:c r="O729" s="36" t="n">
        <x:f>Assumptions!$B$10</x:f>
        <x:v>0</x:v>
      </x:c>
      <x:c r="P729" s="54" t="n">
        <x:f>E729*(1+N729)</x:f>
        <x:v>968.4575671500868</x:v>
      </x:c>
      <x:c r="Q729" s="54" t="n">
        <x:f>P729-E729</x:f>
        <x:v>-22.54243284991321</x:v>
      </x:c>
      <x:c r="R729" s="16" t="str">
        <x:v>Yes</x:v>
      </x:c>
      <x:c r="S729" s="56" t="n">
        <x:v>18610</x:v>
      </x:c>
      <x:c r="T729" s="56" t="n">
        <x:v>10495</x:v>
      </x:c>
      <x:c r="U729" s="40" t="n">
        <x:f>E729*Assumptions!$B$8</x:f>
        <x:v>842.35</x:v>
      </x:c>
      <x:c r="V729" s="40" t="n">
        <x:f>P729*Assumptions!$B$8</x:f>
        <x:v>823.1889320775738</x:v>
      </x:c>
      <x:c r="W729" s="54" t="n">
        <x:f>V729-U729</x:f>
        <x:v>-19.16106792242624</x:v>
      </x:c>
      <x:c r="X729" s="58" t="n">
        <x:f>IF(R729="No","",W729*S729)</x:f>
        <x:v>-356587.47403635236</x:v>
      </x:c>
      <x:c r="Y729" s="58" t="n">
        <x:f>IF(R729="No","",W729*T729*Assumptions!$B$9)</x:f>
        <x:v>-60328.62235375902</x:v>
      </x:c>
      <x:c r="Z729" s="58" t="n">
        <x:f>IF(R729="No","",X729-Y729)</x:f>
        <x:v>-296258.85168259335</x:v>
      </x:c>
      <x:c r="AA729" s="58" t="n">
        <x:f>IF(R729="No","",MAX(0,-Z729))</x:f>
        <x:v>296258.85168259335</x:v>
      </x:c>
      <x:c r="AB729" s="52" t="n">
        <x:f>IF(OR(R729="No",U729*S729=0),"",AA729/(U729*S729))</x:f>
        <x:v>0.018898719616198302</x:v>
      </x:c>
      <x:c r="AC729" s="54" t="n">
        <x:f>IF(OR(R729="No",S729-T729*Assumptions!$B$9&lt;=0),"",AA729/(Assumptions!$B$8*(S729-T729*Assumptions!$B$9)))</x:f>
        <x:v>22.542432849913226</x:v>
      </x:c>
      <x:c r="AD729" s="52" t="n">
        <x:f>IF(OR(R729="No",U729*S729=0),"",AA729/(U729*S729))</x:f>
        <x:v>0.018898719616198302</x:v>
      </x:c>
      <x:c r="AE729" s="50" t="str">
        <x:f>IF(R729="No","No finance data",IF(AB729&gt;=10%,"Severe",IF(AB729&gt;=5%,"High",IF(AB729&gt;=2%,"Moderate","Low"))))</x:f>
        <x:v>Low</x:v>
      </x:c>
      <x:c r="AF729" s="60" t="n">
        <x:v>44.389654</x:v>
      </x:c>
      <x:c r="AG729" s="60" t="n">
        <x:v>-68.804347</x:v>
      </x:c>
      <x:c r="AH729" s="44" t="str">
        <x:v>Undergraduate tuition-contribution proxy only; not an audited total institutional budget.</x:v>
      </x:c>
    </x:row>
    <x:row r="730">
      <x:c r="A730" s="16" t="n">
        <x:v>161518</x:v>
      </x:c>
      <x:c r="B730" s="16" t="str">
        <x:v>Saint Joseph's College of Maine</x:v>
      </x:c>
      <x:c r="C730" s="16" t="str">
        <x:v>ME</x:v>
      </x:c>
      <x:c r="D730" s="16" t="str">
        <x:v>Private nonprofit</x:v>
      </x:c>
      <x:c r="E730" s="34" t="n">
        <x:v>1634</x:v>
      </x:c>
      <x:c r="F730" s="21" t="n">
        <x:v>0.8058</x:v>
      </x:c>
      <x:c r="G730" s="16" t="str">
        <x:v>Regional</x:v>
      </x:c>
      <x:c r="H730" s="36" t="n">
        <x:f>IF(G730="National",Assumptions!$B$11,IF(G730="Statewide",Assumptions!$B$12,Assumptions!$B$13))</x:f>
        <x:v>0.85</x:v>
      </x:c>
      <x:c r="I730" s="21" t="n">
        <x:v>-0.05548255219740106</x:v>
      </x:c>
      <x:c r="J730" s="21" t="n">
        <x:v>-0.018396846254927768</x:v>
      </x:c>
      <x:c r="K730" s="21" t="n">
        <x:v>-0.07154329099138557</x:v>
      </x:c>
      <x:c r="L730" s="36" t="n">
        <x:f>IF(Assumptions!$B$4=2030,I730,IF(Assumptions!$B$4=2035,J730,K730))</x:f>
        <x:v>-0.018396846254927768</x:v>
      </x:c>
      <x:c r="M730" s="36" t="n">
        <x:f>Assumptions!$B$19</x:f>
        <x:v>-0.04739891965741583</x:v>
      </x:c>
      <x:c r="N730" s="52" t="n">
        <x:f>H730*L730+(1-H730)*M730+O730</x:f>
        <x:v>-0.02274715726530098</x:v>
      </x:c>
      <x:c r="O730" s="36" t="n">
        <x:f>Assumptions!$B$10</x:f>
        <x:v>0</x:v>
      </x:c>
      <x:c r="P730" s="54" t="n">
        <x:f>E730*(1+N730)</x:f>
        <x:v>1596.8311450284982</x:v>
      </x:c>
      <x:c r="Q730" s="54" t="n">
        <x:f>P730-E730</x:f>
        <x:v>-37.16885497150179</x:v>
      </x:c>
      <x:c r="R730" s="16" t="str">
        <x:v>Yes</x:v>
      </x:c>
      <x:c r="S730" s="56" t="n">
        <x:v>13746</x:v>
      </x:c>
      <x:c r="T730" s="56" t="n">
        <x:v>7497</x:v>
      </x:c>
      <x:c r="U730" s="40" t="n">
        <x:f>E730*Assumptions!$B$8</x:f>
        <x:v>1388.8999999999999</x:v>
      </x:c>
      <x:c r="V730" s="40" t="n">
        <x:f>P730*Assumptions!$B$8</x:f>
        <x:v>1357.3064732742234</x:v>
      </x:c>
      <x:c r="W730" s="54" t="n">
        <x:f>V730-U730</x:f>
        <x:v>-31.593526725776428</x:v>
      </x:c>
      <x:c r="X730" s="58" t="n">
        <x:f>IF(R730="No","",W730*S730)</x:f>
        <x:v>-434284.61837252276</x:v>
      </x:c>
      <x:c r="Y730" s="58" t="n">
        <x:f>IF(R730="No","",W730*T730*Assumptions!$B$9)</x:f>
        <x:v>-71057.00095894377</x:v>
      </x:c>
      <x:c r="Z730" s="58" t="n">
        <x:f>IF(R730="No","",X730-Y730)</x:f>
        <x:v>-363227.617413579</x:v>
      </x:c>
      <x:c r="AA730" s="58" t="n">
        <x:f>IF(R730="No","",MAX(0,-Z730))</x:f>
        <x:v>363227.617413579</x:v>
      </x:c>
      <x:c r="AB730" s="52" t="n">
        <x:f>IF(OR(R730="No",U730*S730=0),"",AA730/(U730*S730))</x:f>
        <x:v>0.01902530135046108</x:v>
      </x:c>
      <x:c r="AC730" s="54" t="n">
        <x:f>IF(OR(R730="No",S730-T730*Assumptions!$B$9&lt;=0),"",AA730/(Assumptions!$B$8*(S730-T730*Assumptions!$B$9)))</x:f>
        <x:v>37.16885497150168</x:v>
      </x:c>
      <x:c r="AD730" s="52" t="n">
        <x:f>IF(OR(R730="No",U730*S730=0),"",AA730/(U730*S730))</x:f>
        <x:v>0.01902530135046108</x:v>
      </x:c>
      <x:c r="AE730" s="50" t="str">
        <x:f>IF(R730="No","No finance data",IF(AB730&gt;=10%,"Severe",IF(AB730&gt;=5%,"High",IF(AB730&gt;=2%,"Moderate","Low"))))</x:f>
        <x:v>Low</x:v>
      </x:c>
      <x:c r="AF730" s="60" t="n">
        <x:v>43.826314</x:v>
      </x:c>
      <x:c r="AG730" s="60" t="n">
        <x:v>-70.483373</x:v>
      </x:c>
      <x:c r="AH730" s="44" t="str">
        <x:v>Undergraduate tuition-contribution proxy only; not an audited total institutional budget.</x:v>
      </x:c>
    </x:row>
    <x:row r="731">
      <x:c r="A731" s="16" t="n">
        <x:v>161563</x:v>
      </x:c>
      <x:c r="B731" s="16" t="str">
        <x:v>Thomas College</x:v>
      </x:c>
      <x:c r="C731" s="16" t="str">
        <x:v>ME</x:v>
      </x:c>
      <x:c r="D731" s="16" t="str">
        <x:v>Private nonprofit</x:v>
      </x:c>
      <x:c r="E731" s="34" t="n">
        <x:v>861</x:v>
      </x:c>
      <x:c r="F731" s="21"/>
      <x:c r="G731" s="16" t="str">
        <x:v>Regional</x:v>
      </x:c>
      <x:c r="H731" s="36" t="n">
        <x:f>IF(G731="National",Assumptions!$B$11,IF(G731="Statewide",Assumptions!$B$12,Assumptions!$B$13))</x:f>
        <x:v>0.85</x:v>
      </x:c>
      <x:c r="I731" s="21" t="n">
        <x:v>-0.05548255219740106</x:v>
      </x:c>
      <x:c r="J731" s="21" t="n">
        <x:v>-0.018396846254927768</x:v>
      </x:c>
      <x:c r="K731" s="21" t="n">
        <x:v>-0.07154329099138557</x:v>
      </x:c>
      <x:c r="L731" s="36" t="n">
        <x:f>IF(Assumptions!$B$4=2030,I731,IF(Assumptions!$B$4=2035,J731,K731))</x:f>
        <x:v>-0.018396846254927768</x:v>
      </x:c>
      <x:c r="M731" s="36" t="n">
        <x:f>Assumptions!$B$19</x:f>
        <x:v>-0.04739891965741583</x:v>
      </x:c>
      <x:c r="N731" s="52" t="n">
        <x:f>H731*L731+(1-H731)*M731+O731</x:f>
        <x:v>-0.02274715726530098</x:v>
      </x:c>
      <x:c r="O731" s="36" t="n">
        <x:f>Assumptions!$B$10</x:f>
        <x:v>0</x:v>
      </x:c>
      <x:c r="P731" s="54" t="n">
        <x:f>E731*(1+N731)</x:f>
        <x:v>841.4146975945758</x:v>
      </x:c>
      <x:c r="Q731" s="54" t="n">
        <x:f>P731-E731</x:f>
        <x:v>-19.58530240542416</x:v>
      </x:c>
      <x:c r="R731" s="16" t="str">
        <x:v>Yes</x:v>
      </x:c>
      <x:c r="S731" s="56" t="n">
        <x:v>8750</x:v>
      </x:c>
      <x:c r="T731" s="56" t="n">
        <x:v>4217</x:v>
      </x:c>
      <x:c r="U731" s="40" t="n">
        <x:f>E731*Assumptions!$B$8</x:f>
        <x:v>731.85</x:v>
      </x:c>
      <x:c r="V731" s="40" t="n">
        <x:f>P731*Assumptions!$B$8</x:f>
        <x:v>715.2024929553894</x:v>
      </x:c>
      <x:c r="W731" s="54" t="n">
        <x:f>V731-U731</x:f>
        <x:v>-16.64750704461062</x:v>
      </x:c>
      <x:c r="X731" s="58" t="n">
        <x:f>IF(R731="No","",W731*S731)</x:f>
        <x:v>-145665.68664034293</x:v>
      </x:c>
      <x:c r="Y731" s="58" t="n">
        <x:f>IF(R731="No","",W731*T731*Assumptions!$B$9)</x:f>
        <x:v>-21060.761162136892</x:v>
      </x:c>
      <x:c r="Z731" s="58" t="n">
        <x:f>IF(R731="No","",X731-Y731)</x:f>
        <x:v>-124604.92547820605</x:v>
      </x:c>
      <x:c r="AA731" s="58" t="n">
        <x:f>IF(R731="No","",MAX(0,-Z731))</x:f>
        <x:v>124604.92547820605</x:v>
      </x:c>
      <x:c r="AB731" s="52" t="n">
        <x:f>IF(OR(R731="No",U731*S731=0),"",AA731/(U731*S731))</x:f>
        <x:v>0.01945830827600598</x:v>
      </x:c>
      <x:c r="AC731" s="54" t="n">
        <x:f>IF(OR(R731="No",S731-T731*Assumptions!$B$9&lt;=0),"",AA731/(Assumptions!$B$8*(S731-T731*Assumptions!$B$9)))</x:f>
        <x:v>19.58530240542426</x:v>
      </x:c>
      <x:c r="AD731" s="52" t="n">
        <x:f>IF(OR(R731="No",U731*S731=0),"",AA731/(U731*S731))</x:f>
        <x:v>0.01945830827600598</x:v>
      </x:c>
      <x:c r="AE731" s="50" t="str">
        <x:f>IF(R731="No","No finance data",IF(AB731&gt;=10%,"Severe",IF(AB731&gt;=5%,"High",IF(AB731&gt;=2%,"Moderate","Low"))))</x:f>
        <x:v>Low</x:v>
      </x:c>
      <x:c r="AF731" s="60" t="n">
        <x:v>44.524909</x:v>
      </x:c>
      <x:c r="AG731" s="60" t="n">
        <x:v>-69.664734</x:v>
      </x:c>
      <x:c r="AH731" s="44" t="str">
        <x:v>Undergraduate tuition-contribution proxy only; not an audited total institutional budget.</x:v>
      </x:c>
    </x:row>
    <x:row r="732">
      <x:c r="A732" s="16" t="n">
        <x:v>161572</x:v>
      </x:c>
      <x:c r="B732" s="16" t="str">
        <x:v>Unity College</x:v>
      </x:c>
      <x:c r="C732" s="16" t="str">
        <x:v>ME</x:v>
      </x:c>
      <x:c r="D732" s="16" t="str">
        <x:v>Private nonprofit</x:v>
      </x:c>
      <x:c r="E732" s="34" t="n">
        <x:v>643</x:v>
      </x:c>
      <x:c r="F732" s="21" t="n">
        <x:v>0.9142</x:v>
      </x:c>
      <x:c r="G732" s="16" t="str">
        <x:v>Regional</x:v>
      </x:c>
      <x:c r="H732" s="36" t="n">
        <x:f>IF(G732="National",Assumptions!$B$11,IF(G732="Statewide",Assumptions!$B$12,Assumptions!$B$13))</x:f>
        <x:v>0.85</x:v>
      </x:c>
      <x:c r="I732" s="21" t="n">
        <x:v>-0.05548255219740106</x:v>
      </x:c>
      <x:c r="J732" s="21" t="n">
        <x:v>-0.018396846254927768</x:v>
      </x:c>
      <x:c r="K732" s="21" t="n">
        <x:v>-0.07154329099138557</x:v>
      </x:c>
      <x:c r="L732" s="36" t="n">
        <x:f>IF(Assumptions!$B$4=2030,I732,IF(Assumptions!$B$4=2035,J732,K732))</x:f>
        <x:v>-0.018396846254927768</x:v>
      </x:c>
      <x:c r="M732" s="36" t="n">
        <x:f>Assumptions!$B$19</x:f>
        <x:v>-0.04739891965741583</x:v>
      </x:c>
      <x:c r="N732" s="52" t="n">
        <x:f>H732*L732+(1-H732)*M732+O732</x:f>
        <x:v>-0.02274715726530098</x:v>
      </x:c>
      <x:c r="O732" s="36" t="n">
        <x:f>Assumptions!$B$10</x:f>
        <x:v>0</x:v>
      </x:c>
      <x:c r="P732" s="54" t="n">
        <x:f>E732*(1+N732)</x:f>
        <x:v>628.3735778784114</x:v>
      </x:c>
      <x:c r="Q732" s="54" t="n">
        <x:f>P732-E732</x:f>
        <x:v>-14.626422121588575</x:v>
      </x:c>
      <x:c r="R732" s="16" t="str">
        <x:v>Yes</x:v>
      </x:c>
      <x:c r="S732" s="56" t="n">
        <x:v>13742</x:v>
      </x:c>
      <x:c r="T732" s="56" t="n">
        <x:v>3732</x:v>
      </x:c>
      <x:c r="U732" s="40" t="n">
        <x:f>E732*Assumptions!$B$8</x:f>
        <x:v>546.55</x:v>
      </x:c>
      <x:c r="V732" s="40" t="n">
        <x:f>P732*Assumptions!$B$8</x:f>
        <x:v>534.1175411966497</x:v>
      </x:c>
      <x:c r="W732" s="54" t="n">
        <x:f>V732-U732</x:f>
        <x:v>-12.4324588033503</x:v>
      </x:c>
      <x:c r="X732" s="58" t="n">
        <x:f>IF(R732="No","",W732*S732)</x:f>
        <x:v>-170846.84887563984</x:v>
      </x:c>
      <x:c r="Y732" s="58" t="n">
        <x:f>IF(R732="No","",W732*T732*Assumptions!$B$9)</x:f>
        <x:v>-13919.380876230995</x:v>
      </x:c>
      <x:c r="Z732" s="58" t="n">
        <x:f>IF(R732="No","",X732-Y732)</x:f>
        <x:v>-156927.46799940884</x:v>
      </x:c>
      <x:c r="AA732" s="58" t="n">
        <x:f>IF(R732="No","",MAX(0,-Z732))</x:f>
        <x:v>156927.46799940884</x:v>
      </x:c>
      <x:c r="AB732" s="52" t="n">
        <x:f>IF(OR(R732="No",U732*S732=0),"",AA732/(U732*S732))</x:f>
        <x:v>0.020893881375748526</x:v>
      </x:c>
      <x:c r="AC732" s="54" t="n">
        <x:f>IF(OR(R732="No",S732-T732*Assumptions!$B$9&lt;=0),"",AA732/(Assumptions!$B$8*(S732-T732*Assumptions!$B$9)))</x:f>
        <x:v>14.62642212158859</x:v>
      </x:c>
      <x:c r="AD732" s="52" t="n">
        <x:f>IF(OR(R732="No",U732*S732=0),"",AA732/(U732*S732))</x:f>
        <x:v>0.020893881375748526</x:v>
      </x:c>
      <x:c r="AE732" s="50" t="str">
        <x:f>IF(R732="No","No finance data",IF(AB732&gt;=10%,"Severe",IF(AB732&gt;=5%,"High",IF(AB732&gt;=2%,"Moderate","Low"))))</x:f>
        <x:v>Moderate</x:v>
      </x:c>
      <x:c r="AF732" s="60" t="n">
        <x:v>43.905745</x:v>
      </x:c>
      <x:c r="AG732" s="60" t="n">
        <x:v>-70.257277</x:v>
      </x:c>
      <x:c r="AH732" s="44" t="str">
        <x:v>Undergraduate tuition-contribution proxy only; not an audited total institutional budget.</x:v>
      </x:c>
    </x:row>
    <x:row r="733">
      <x:c r="A733" s="16" t="n">
        <x:v>161253</x:v>
      </x:c>
      <x:c r="B733" s="16" t="str">
        <x:v>University of Maine</x:v>
      </x:c>
      <x:c r="C733" s="16" t="str">
        <x:v>ME</x:v>
      </x:c>
      <x:c r="D733" s="16" t="str">
        <x:v>Public</x:v>
      </x:c>
      <x:c r="E733" s="34" t="n">
        <x:v>8677</x:v>
      </x:c>
      <x:c r="F733" s="21" t="n">
        <x:v>0.9646</x:v>
      </x:c>
      <x:c r="G733" s="16" t="str">
        <x:v>Statewide</x:v>
      </x:c>
      <x:c r="H733" s="36" t="n">
        <x:f>IF(G733="National",Assumptions!$B$11,IF(G733="Statewide",Assumptions!$B$12,Assumptions!$B$13))</x:f>
        <x:v>0.6</x:v>
      </x:c>
      <x:c r="I733" s="21" t="n">
        <x:v>-0.05548255219740106</x:v>
      </x:c>
      <x:c r="J733" s="21" t="n">
        <x:v>-0.018396846254927768</x:v>
      </x:c>
      <x:c r="K733" s="21" t="n">
        <x:v>-0.07154329099138557</x:v>
      </x:c>
      <x:c r="L733" s="36" t="n">
        <x:f>IF(Assumptions!$B$4=2030,I733,IF(Assumptions!$B$4=2035,J733,K733))</x:f>
        <x:v>-0.018396846254927768</x:v>
      </x:c>
      <x:c r="M733" s="36" t="n">
        <x:f>Assumptions!$B$19</x:f>
        <x:v>-0.04739891965741583</x:v>
      </x:c>
      <x:c r="N733" s="52" t="n">
        <x:f>H733*L733+(1-H733)*M733+O733</x:f>
        <x:v>-0.029997675615922995</x:v>
      </x:c>
      <x:c r="O733" s="36" t="n">
        <x:f>Assumptions!$B$10</x:f>
        <x:v>0</x:v>
      </x:c>
      <x:c r="P733" s="54" t="n">
        <x:f>E733*(1+N733)</x:f>
        <x:v>8416.710168680636</x:v>
      </x:c>
      <x:c r="Q733" s="54" t="n">
        <x:f>P733-E733</x:f>
        <x:v>-260.28983131936366</x:v>
      </x:c>
      <x:c r="R733" s="16" t="str">
        <x:v>Yes</x:v>
      </x:c>
      <x:c r="S733" s="56" t="n">
        <x:v>11350</x:v>
      </x:c>
      <x:c r="T733" s="56" t="n">
        <x:v>10283</x:v>
      </x:c>
      <x:c r="U733" s="40" t="n">
        <x:f>E733*Assumptions!$B$8</x:f>
        <x:v>7375.45</x:v>
      </x:c>
      <x:c r="V733" s="40" t="n">
        <x:f>P733*Assumptions!$B$8</x:f>
        <x:v>7154.203643378541</x:v>
      </x:c>
      <x:c r="W733" s="54" t="n">
        <x:f>V733-U733</x:f>
        <x:v>-221.2463566214592</x:v>
      </x:c>
      <x:c r="X733" s="58" t="n">
        <x:f>IF(R733="No","",W733*S733)</x:f>
        <x:v>-2511146.147653562</x:v>
      </x:c>
      <x:c r="Y733" s="58" t="n">
        <x:f>IF(R733="No","",W733*T733*Assumptions!$B$9)</x:f>
        <x:v>-682522.8855415395</x:v>
      </x:c>
      <x:c r="Z733" s="58" t="n">
        <x:f>IF(R733="No","",X733-Y733)</x:f>
        <x:v>-1828623.2621120224</x:v>
      </x:c>
      <x:c r="AA733" s="58" t="n">
        <x:f>IF(R733="No","",MAX(0,-Z733))</x:f>
        <x:v>1828623.2621120224</x:v>
      </x:c>
      <x:c r="AB733" s="52" t="n">
        <x:f>IF(OR(R733="No",U733*S733=0),"",AA733/(U733*S733))</x:f>
        <x:v>0.021844386672525556</x:v>
      </x:c>
      <x:c r="AC733" s="54" t="n">
        <x:f>IF(OR(R733="No",S733-T733*Assumptions!$B$9&lt;=0),"",AA733/(Assumptions!$B$8*(S733-T733*Assumptions!$B$9)))</x:f>
        <x:v>260.28983131936377</x:v>
      </x:c>
      <x:c r="AD733" s="52" t="n">
        <x:f>IF(OR(R733="No",U733*S733=0),"",AA733/(U733*S733))</x:f>
        <x:v>0.021844386672525556</x:v>
      </x:c>
      <x:c r="AE733" s="50" t="str">
        <x:f>IF(R733="No","No finance data",IF(AB733&gt;=10%,"Severe",IF(AB733&gt;=5%,"High",IF(AB733&gt;=2%,"Moderate","Low"))))</x:f>
        <x:v>Moderate</x:v>
      </x:c>
      <x:c r="AF733" s="60" t="n">
        <x:v>44.899257</x:v>
      </x:c>
      <x:c r="AG733" s="60" t="n">
        <x:v>-68.669332</x:v>
      </x:c>
      <x:c r="AH733" s="44" t="str">
        <x:v>Undergraduate tuition-contribution proxy only; not an audited total institutional budget.</x:v>
      </x:c>
    </x:row>
    <x:row r="734">
      <x:c r="A734" s="16" t="n">
        <x:v>161217</x:v>
      </x:c>
      <x:c r="B734" s="16" t="str">
        <x:v>University of Maine at Augusta</x:v>
      </x:c>
      <x:c r="C734" s="16" t="str">
        <x:v>ME</x:v>
      </x:c>
      <x:c r="D734" s="16" t="str">
        <x:v>Public</x:v>
      </x:c>
      <x:c r="E734" s="34" t="n">
        <x:v>3964</x:v>
      </x:c>
      <x:c r="F734" s="21"/>
      <x:c r="G734" s="16" t="str">
        <x:v>Regional</x:v>
      </x:c>
      <x:c r="H734" s="36" t="n">
        <x:f>IF(G734="National",Assumptions!$B$11,IF(G734="Statewide",Assumptions!$B$12,Assumptions!$B$13))</x:f>
        <x:v>0.85</x:v>
      </x:c>
      <x:c r="I734" s="21" t="n">
        <x:v>-0.05548255219740106</x:v>
      </x:c>
      <x:c r="J734" s="21" t="n">
        <x:v>-0.018396846254927768</x:v>
      </x:c>
      <x:c r="K734" s="21" t="n">
        <x:v>-0.07154329099138557</x:v>
      </x:c>
      <x:c r="L734" s="36" t="n">
        <x:f>IF(Assumptions!$B$4=2030,I734,IF(Assumptions!$B$4=2035,J734,K734))</x:f>
        <x:v>-0.018396846254927768</x:v>
      </x:c>
      <x:c r="M734" s="36" t="n">
        <x:f>Assumptions!$B$19</x:f>
        <x:v>-0.04739891965741583</x:v>
      </x:c>
      <x:c r="N734" s="52" t="n">
        <x:f>H734*L734+(1-H734)*M734+O734</x:f>
        <x:v>-0.02274715726530098</x:v>
      </x:c>
      <x:c r="O734" s="36" t="n">
        <x:f>Assumptions!$B$10</x:f>
        <x:v>0</x:v>
      </x:c>
      <x:c r="P734" s="54" t="n">
        <x:f>E734*(1+N734)</x:f>
        <x:v>3873.830268600347</x:v>
      </x:c>
      <x:c r="Q734" s="54" t="n">
        <x:f>P734-E734</x:f>
        <x:v>-90.16973139965285</x:v>
      </x:c>
      <x:c r="R734" s="16" t="str">
        <x:v>Yes</x:v>
      </x:c>
      <x:c r="S734" s="56" t="n">
        <x:v>5823</x:v>
      </x:c>
      <x:c r="T734" s="56" t="n">
        <x:v>8365</x:v>
      </x:c>
      <x:c r="U734" s="40" t="n">
        <x:f>E734*Assumptions!$B$8</x:f>
        <x:v>3369.4</x:v>
      </x:c>
      <x:c r="V734" s="40" t="n">
        <x:f>P734*Assumptions!$B$8</x:f>
        <x:v>3292.755728310295</x:v>
      </x:c>
      <x:c r="W734" s="54" t="n">
        <x:f>V734-U734</x:f>
        <x:v>-76.64427168970496</x:v>
      </x:c>
      <x:c r="X734" s="58" t="n">
        <x:f>IF(R734="No","",W734*S734)</x:f>
        <x:v>-446299.594049152</x:v>
      </x:c>
      <x:c r="Y734" s="58" t="n">
        <x:f>IF(R734="No","",W734*T734*Assumptions!$B$9)</x:f>
        <x:v>-192338.7998053146</x:v>
      </x:c>
      <x:c r="Z734" s="58" t="n">
        <x:f>IF(R734="No","",X734-Y734)</x:f>
        <x:v>-253960.7942438374</x:v>
      </x:c>
      <x:c r="AA734" s="58" t="n">
        <x:f>IF(R734="No","",MAX(0,-Z734))</x:f>
        <x:v>253960.7942438374</x:v>
      </x:c>
      <x:c r="AB734" s="52" t="n">
        <x:f>IF(OR(R734="No",U734*S734=0),"",AA734/(U734*S734))</x:f>
        <x:v>0.012943964554108645</x:v>
      </x:c>
      <x:c r="AC734" s="54" t="n">
        <x:f>IF(OR(R734="No",S734-T734*Assumptions!$B$9&lt;=0),"",AA734/(Assumptions!$B$8*(S734-T734*Assumptions!$B$9)))</x:f>
        <x:v>90.1697313996529</x:v>
      </x:c>
      <x:c r="AD734" s="52" t="n">
        <x:f>IF(OR(R734="No",U734*S734=0),"",AA734/(U734*S734))</x:f>
        <x:v>0.012943964554108645</x:v>
      </x:c>
      <x:c r="AE734" s="50" t="str">
        <x:f>IF(R734="No","No finance data",IF(AB734&gt;=10%,"Severe",IF(AB734&gt;=5%,"High",IF(AB734&gt;=2%,"Moderate","Low"))))</x:f>
        <x:v>Low</x:v>
      </x:c>
      <x:c r="AF734" s="60" t="n">
        <x:v>44.337746</x:v>
      </x:c>
      <x:c r="AG734" s="60" t="n">
        <x:v>-69.796396</x:v>
      </x:c>
      <x:c r="AH734" s="44" t="str">
        <x:v>Undergraduate tuition-contribution proxy only; not an audited total institutional budget.</x:v>
      </x:c>
    </x:row>
    <x:row r="735">
      <x:c r="A735" s="16" t="n">
        <x:v>161226</x:v>
      </x:c>
      <x:c r="B735" s="16" t="str">
        <x:v>University of Maine at Farmington</x:v>
      </x:c>
      <x:c r="C735" s="16" t="str">
        <x:v>ME</x:v>
      </x:c>
      <x:c r="D735" s="16" t="str">
        <x:v>Public</x:v>
      </x:c>
      <x:c r="E735" s="34" t="n">
        <x:v>1766</x:v>
      </x:c>
      <x:c r="F735" s="21" t="n">
        <x:v>0.9669</x:v>
      </x:c>
      <x:c r="G735" s="16" t="str">
        <x:v>Regional</x:v>
      </x:c>
      <x:c r="H735" s="36" t="n">
        <x:f>IF(G735="National",Assumptions!$B$11,IF(G735="Statewide",Assumptions!$B$12,Assumptions!$B$13))</x:f>
        <x:v>0.85</x:v>
      </x:c>
      <x:c r="I735" s="21" t="n">
        <x:v>-0.05548255219740106</x:v>
      </x:c>
      <x:c r="J735" s="21" t="n">
        <x:v>-0.018396846254927768</x:v>
      </x:c>
      <x:c r="K735" s="21" t="n">
        <x:v>-0.07154329099138557</x:v>
      </x:c>
      <x:c r="L735" s="36" t="n">
        <x:f>IF(Assumptions!$B$4=2030,I735,IF(Assumptions!$B$4=2035,J735,K735))</x:f>
        <x:v>-0.018396846254927768</x:v>
      </x:c>
      <x:c r="M735" s="36" t="n">
        <x:f>Assumptions!$B$19</x:f>
        <x:v>-0.04739891965741583</x:v>
      </x:c>
      <x:c r="N735" s="52" t="n">
        <x:f>H735*L735+(1-H735)*M735+O735</x:f>
        <x:v>-0.02274715726530098</x:v>
      </x:c>
      <x:c r="O735" s="36" t="n">
        <x:f>Assumptions!$B$10</x:f>
        <x:v>0</x:v>
      </x:c>
      <x:c r="P735" s="54" t="n">
        <x:f>E735*(1+N735)</x:f>
        <x:v>1725.8285202694785</x:v>
      </x:c>
      <x:c r="Q735" s="54" t="n">
        <x:f>P735-E735</x:f>
        <x:v>-40.17147973052147</x:v>
      </x:c>
      <x:c r="R735" s="16" t="str">
        <x:v>Yes</x:v>
      </x:c>
      <x:c r="S735" s="56" t="n">
        <x:v>6103</x:v>
      </x:c>
      <x:c r="T735" s="56" t="n">
        <x:v>13288</x:v>
      </x:c>
      <x:c r="U735" s="40" t="n">
        <x:f>E735*Assumptions!$B$8</x:f>
        <x:v>1501.1</x:v>
      </x:c>
      <x:c r="V735" s="40" t="n">
        <x:f>P735*Assumptions!$B$8</x:f>
        <x:v>1466.9542422290567</x:v>
      </x:c>
      <x:c r="W735" s="54" t="n">
        <x:f>V735-U735</x:f>
        <x:v>-34.14575777094319</x:v>
      </x:c>
      <x:c r="X735" s="58" t="n">
        <x:f>IF(R735="No","",W735*S735)</x:f>
        <x:v>-208391.5596760663</x:v>
      </x:c>
      <x:c r="Y735" s="58" t="n">
        <x:f>IF(R735="No","",W735*T735*Assumptions!$B$9)</x:f>
        <x:v>-136118.64877808793</x:v>
      </x:c>
      <x:c r="Z735" s="58" t="n">
        <x:f>IF(R735="No","",X735-Y735)</x:f>
        <x:v>-72272.91089797838</x:v>
      </x:c>
      <x:c r="AA735" s="58" t="n">
        <x:f>IF(R735="No","",MAX(0,-Z735))</x:f>
        <x:v>72272.91089797838</x:v>
      </x:c>
      <x:c r="AB735" s="52" t="n">
        <x:f>IF(OR(R735="No",U735*S735=0),"",AA735/(U735*S735))</x:f>
        <x:v>0.007889010825452387</x:v>
      </x:c>
      <x:c r="AC735" s="54" t="n">
        <x:f>IF(OR(R735="No",S735-T735*Assumptions!$B$9&lt;=0),"",AA735/(Assumptions!$B$8*(S735-T735*Assumptions!$B$9)))</x:f>
        <x:v>40.171479730521405</x:v>
      </x:c>
      <x:c r="AD735" s="52" t="n">
        <x:f>IF(OR(R735="No",U735*S735=0),"",AA735/(U735*S735))</x:f>
        <x:v>0.007889010825452387</x:v>
      </x:c>
      <x:c r="AE735" s="50" t="str">
        <x:f>IF(R735="No","No finance data",IF(AB735&gt;=10%,"Severe",IF(AB735&gt;=5%,"High",IF(AB735&gt;=2%,"Moderate","Low"))))</x:f>
        <x:v>Low</x:v>
      </x:c>
      <x:c r="AF735" s="60" t="n">
        <x:v>44.666911</x:v>
      </x:c>
      <x:c r="AG735" s="60" t="n">
        <x:v>-70.147121</x:v>
      </x:c>
      <x:c r="AH735" s="44" t="str">
        <x:v>Undergraduate tuition-contribution proxy only; not an audited total institutional budget.</x:v>
      </x:c>
    </x:row>
    <x:row r="736">
      <x:c r="A736" s="16" t="n">
        <x:v>161235</x:v>
      </x:c>
      <x:c r="B736" s="16" t="str">
        <x:v>University of Maine at Fort Kent</x:v>
      </x:c>
      <x:c r="C736" s="16" t="str">
        <x:v>ME</x:v>
      </x:c>
      <x:c r="D736" s="16" t="str">
        <x:v>Public</x:v>
      </x:c>
      <x:c r="E736" s="34" t="n">
        <x:v>990</x:v>
      </x:c>
      <x:c r="F736" s="21" t="n">
        <x:v>0.9988</x:v>
      </x:c>
      <x:c r="G736" s="16" t="str">
        <x:v>Regional</x:v>
      </x:c>
      <x:c r="H736" s="36" t="n">
        <x:f>IF(G736="National",Assumptions!$B$11,IF(G736="Statewide",Assumptions!$B$12,Assumptions!$B$13))</x:f>
        <x:v>0.85</x:v>
      </x:c>
      <x:c r="I736" s="21" t="n">
        <x:v>-0.05548255219740106</x:v>
      </x:c>
      <x:c r="J736" s="21" t="n">
        <x:v>-0.018396846254927768</x:v>
      </x:c>
      <x:c r="K736" s="21" t="n">
        <x:v>-0.07154329099138557</x:v>
      </x:c>
      <x:c r="L736" s="36" t="n">
        <x:f>IF(Assumptions!$B$4=2030,I736,IF(Assumptions!$B$4=2035,J736,K736))</x:f>
        <x:v>-0.018396846254927768</x:v>
      </x:c>
      <x:c r="M736" s="36" t="n">
        <x:f>Assumptions!$B$19</x:f>
        <x:v>-0.04739891965741583</x:v>
      </x:c>
      <x:c r="N736" s="52" t="n">
        <x:f>H736*L736+(1-H736)*M736+O736</x:f>
        <x:v>-0.02274715726530098</x:v>
      </x:c>
      <x:c r="O736" s="36" t="n">
        <x:f>Assumptions!$B$10</x:f>
        <x:v>0</x:v>
      </x:c>
      <x:c r="P736" s="54" t="n">
        <x:f>E736*(1+N736)</x:f>
        <x:v>967.480314307352</x:v>
      </x:c>
      <x:c r="Q736" s="54" t="n">
        <x:f>P736-E736</x:f>
        <x:v>-22.519685692647954</x:v>
      </x:c>
      <x:c r="R736" s="16" t="str">
        <x:v>Yes</x:v>
      </x:c>
      <x:c r="S736" s="56" t="n">
        <x:v>6099</x:v>
      </x:c>
      <x:c r="T736" s="56" t="n">
        <x:v>7165</x:v>
      </x:c>
      <x:c r="U736" s="40" t="n">
        <x:f>E736*Assumptions!$B$8</x:f>
        <x:v>841.5</x:v>
      </x:c>
      <x:c r="V736" s="40" t="n">
        <x:f>P736*Assumptions!$B$8</x:f>
        <x:v>822.3582671612493</x:v>
      </x:c>
      <x:c r="W736" s="54" t="n">
        <x:f>V736-U736</x:f>
        <x:v>-19.141732838750727</x:v>
      </x:c>
      <x:c r="X736" s="58" t="n">
        <x:f>IF(R736="No","",W736*S736)</x:f>
        <x:v>-116745.42858354068</x:v>
      </x:c>
      <x:c r="Y736" s="58" t="n">
        <x:f>IF(R736="No","",W736*T736*Assumptions!$B$9)</x:f>
        <x:v>-41145.154736894685</x:v>
      </x:c>
      <x:c r="Z736" s="58" t="n">
        <x:f>IF(R736="No","",X736-Y736)</x:f>
        <x:v>-75600.27384664599</x:v>
      </x:c>
      <x:c r="AA736" s="58" t="n">
        <x:f>IF(R736="No","",MAX(0,-Z736))</x:f>
        <x:v>75600.27384664599</x:v>
      </x:c>
      <x:c r="AB736" s="52" t="n">
        <x:f>IF(OR(R736="No",U736*S736=0),"",AA736/(U736*S736))</x:f>
        <x:v>0.014730266866585667</x:v>
      </x:c>
      <x:c r="AC736" s="54" t="n">
        <x:f>IF(OR(R736="No",S736-T736*Assumptions!$B$9&lt;=0),"",AA736/(Assumptions!$B$8*(S736-T736*Assumptions!$B$9)))</x:f>
        <x:v>22.51968569264791</x:v>
      </x:c>
      <x:c r="AD736" s="52" t="n">
        <x:f>IF(OR(R736="No",U736*S736=0),"",AA736/(U736*S736))</x:f>
        <x:v>0.014730266866585667</x:v>
      </x:c>
      <x:c r="AE736" s="50" t="str">
        <x:f>IF(R736="No","No finance data",IF(AB736&gt;=10%,"Severe",IF(AB736&gt;=5%,"High",IF(AB736&gt;=2%,"Moderate","Low"))))</x:f>
        <x:v>Low</x:v>
      </x:c>
      <x:c r="AF736" s="60" t="n">
        <x:v>47.250389</x:v>
      </x:c>
      <x:c r="AG736" s="60" t="n">
        <x:v>-68.589319</x:v>
      </x:c>
      <x:c r="AH736" s="44" t="str">
        <x:v>Undergraduate tuition-contribution proxy only; not an audited total institutional budget.</x:v>
      </x:c>
    </x:row>
    <x:row r="737">
      <x:c r="A737" s="16" t="n">
        <x:v>161244</x:v>
      </x:c>
      <x:c r="B737" s="16" t="str">
        <x:v>University of Maine at Machias</x:v>
      </x:c>
      <x:c r="C737" s="16" t="str">
        <x:v>ME</x:v>
      </x:c>
      <x:c r="D737" s="16" t="str">
        <x:v>Public</x:v>
      </x:c>
      <x:c r="E737" s="34" t="n">
        <x:v>546</x:v>
      </x:c>
      <x:c r="F737" s="21"/>
      <x:c r="G737" s="16" t="str">
        <x:v>Regional</x:v>
      </x:c>
      <x:c r="H737" s="36" t="n">
        <x:f>IF(G737="National",Assumptions!$B$11,IF(G737="Statewide",Assumptions!$B$12,Assumptions!$B$13))</x:f>
        <x:v>0.85</x:v>
      </x:c>
      <x:c r="I737" s="21" t="n">
        <x:v>-0.05548255219740106</x:v>
      </x:c>
      <x:c r="J737" s="21" t="n">
        <x:v>-0.018396846254927768</x:v>
      </x:c>
      <x:c r="K737" s="21" t="n">
        <x:v>-0.07154329099138557</x:v>
      </x:c>
      <x:c r="L737" s="36" t="n">
        <x:f>IF(Assumptions!$B$4=2030,I737,IF(Assumptions!$B$4=2035,J737,K737))</x:f>
        <x:v>-0.018396846254927768</x:v>
      </x:c>
      <x:c r="M737" s="36" t="n">
        <x:f>Assumptions!$B$19</x:f>
        <x:v>-0.04739891965741583</x:v>
      </x:c>
      <x:c r="N737" s="52" t="n">
        <x:f>H737*L737+(1-H737)*M737+O737</x:f>
        <x:v>-0.02274715726530098</x:v>
      </x:c>
      <x:c r="O737" s="36" t="n">
        <x:f>Assumptions!$B$10</x:f>
        <x:v>0</x:v>
      </x:c>
      <x:c r="P737" s="54" t="n">
        <x:f>E737*(1+N737)</x:f>
        <x:v>533.5800521331457</x:v>
      </x:c>
      <x:c r="Q737" s="54" t="n">
        <x:f>P737-E737</x:f>
        <x:v>-12.419947866854272</x:v>
      </x:c>
      <x:c r="R737" s="16" t="str">
        <x:v>No</x:v>
      </x:c>
      <x:c r="S737" s="56"/>
      <x:c r="T737" s="56"/>
      <x:c r="U737" s="40" t="n">
        <x:f>E737*Assumptions!$B$8</x:f>
        <x:v>464.09999999999997</x:v>
      </x:c>
      <x:c r="V737" s="40" t="n">
        <x:f>P737*Assumptions!$B$8</x:f>
        <x:v>453.5430443131739</x:v>
      </x:c>
      <x:c r="W737" s="54" t="n">
        <x:f>V737-U737</x:f>
        <x:v>-10.556955686826086</x:v>
      </x:c>
      <x:c r="X737" s="58" t="str">
        <x:f>IF(R737="No","",W737*S737)</x:f>
      </x:c>
      <x:c r="Y737" s="58" t="str">
        <x:f>IF(R737="No","",W737*T737*Assumptions!$B$9)</x:f>
      </x:c>
      <x:c r="Z737" s="58" t="str">
        <x:f>IF(R737="No","",X737-Y737)</x:f>
      </x:c>
      <x:c r="AA737" s="58" t="str">
        <x:f>IF(R737="No","",MAX(0,-Z737))</x:f>
      </x:c>
      <x:c r="AB737" s="52" t="str">
        <x:f>IF(OR(R737="No",U737*S737=0),"",AA737/(U737*S737))</x:f>
      </x:c>
      <x:c r="AC737" s="54" t="str">
        <x:f>IF(OR(R737="No",S737-T737*Assumptions!$B$9&lt;=0),"",AA737/(Assumptions!$B$8*(S737-T737*Assumptions!$B$9)))</x:f>
      </x:c>
      <x:c r="AD737" s="52" t="str">
        <x:f>IF(OR(R737="No",U737*S737=0),"",AA737/(U737*S737))</x:f>
      </x:c>
      <x:c r="AE737" s="50" t="str">
        <x:f>IF(R737="No","No finance data",IF(AB737&gt;=10%,"Severe",IF(AB737&gt;=5%,"High",IF(AB737&gt;=2%,"Moderate","Low"))))</x:f>
        <x:v>No finance data</x:v>
      </x:c>
      <x:c r="AF737" s="60"/>
      <x:c r="AG737" s="60"/>
      <x:c r="AH737" s="44" t="str">
        <x:v>Undergraduate tuition-contribution proxy only; not an audited total institutional budget.</x:v>
      </x:c>
    </x:row>
    <x:row r="738">
      <x:c r="A738" s="16" t="n">
        <x:v>161341</x:v>
      </x:c>
      <x:c r="B738" s="16" t="str">
        <x:v>University of Maine at Presque Isle</x:v>
      </x:c>
      <x:c r="C738" s="16" t="str">
        <x:v>ME</x:v>
      </x:c>
      <x:c r="D738" s="16" t="str">
        <x:v>Public</x:v>
      </x:c>
      <x:c r="E738" s="34" t="n">
        <x:v>833</x:v>
      </x:c>
      <x:c r="F738" s="21" t="n">
        <x:v>0.9988</x:v>
      </x:c>
      <x:c r="G738" s="16" t="str">
        <x:v>Regional</x:v>
      </x:c>
      <x:c r="H738" s="36" t="n">
        <x:f>IF(G738="National",Assumptions!$B$11,IF(G738="Statewide",Assumptions!$B$12,Assumptions!$B$13))</x:f>
        <x:v>0.85</x:v>
      </x:c>
      <x:c r="I738" s="21" t="n">
        <x:v>-0.05548255219740106</x:v>
      </x:c>
      <x:c r="J738" s="21" t="n">
        <x:v>-0.018396846254927768</x:v>
      </x:c>
      <x:c r="K738" s="21" t="n">
        <x:v>-0.07154329099138557</x:v>
      </x:c>
      <x:c r="L738" s="36" t="n">
        <x:f>IF(Assumptions!$B$4=2030,I738,IF(Assumptions!$B$4=2035,J738,K738))</x:f>
        <x:v>-0.018396846254927768</x:v>
      </x:c>
      <x:c r="M738" s="36" t="n">
        <x:f>Assumptions!$B$19</x:f>
        <x:v>-0.04739891965741583</x:v>
      </x:c>
      <x:c r="N738" s="52" t="n">
        <x:f>H738*L738+(1-H738)*M738+O738</x:f>
        <x:v>-0.02274715726530098</x:v>
      </x:c>
      <x:c r="O738" s="36" t="n">
        <x:f>Assumptions!$B$10</x:f>
        <x:v>0</x:v>
      </x:c>
      <x:c r="P738" s="54" t="n">
        <x:f>E738*(1+N738)</x:f>
        <x:v>814.0516179980043</x:v>
      </x:c>
      <x:c r="Q738" s="54" t="n">
        <x:f>P738-E738</x:f>
        <x:v>-18.948382001995697</x:v>
      </x:c>
      <x:c r="R738" s="16" t="str">
        <x:v>Yes</x:v>
      </x:c>
      <x:c r="S738" s="56" t="n">
        <x:v>4348</x:v>
      </x:c>
      <x:c r="T738" s="56" t="n">
        <x:v>7682</x:v>
      </x:c>
      <x:c r="U738" s="40" t="n">
        <x:f>E738*Assumptions!$B$8</x:f>
        <x:v>708.05</x:v>
      </x:c>
      <x:c r="V738" s="40" t="n">
        <x:f>P738*Assumptions!$B$8</x:f>
        <x:v>691.9438752983036</x:v>
      </x:c>
      <x:c r="W738" s="54" t="n">
        <x:f>V738-U738</x:f>
        <x:v>-16.10612470169633</x:v>
      </x:c>
      <x:c r="X738" s="58" t="n">
        <x:f>IF(R738="No","",W738*S738)</x:f>
        <x:v>-70029.43020297565</x:v>
      </x:c>
      <x:c r="Y738" s="58" t="n">
        <x:f>IF(R738="No","",W738*T738*Assumptions!$B$9)</x:f>
        <x:v>-37118.17498752936</x:v>
      </x:c>
      <x:c r="Z738" s="58" t="n">
        <x:f>IF(R738="No","",X738-Y738)</x:f>
        <x:v>-32911.25521544629</x:v>
      </x:c>
      <x:c r="AA738" s="58" t="n">
        <x:f>IF(R738="No","",MAX(0,-Z738))</x:f>
        <x:v>32911.25521544629</x:v>
      </x:c>
      <x:c r="AB738" s="52" t="n">
        <x:f>IF(OR(R738="No",U738*S738=0),"",AA738/(U738*S738))</x:f>
        <x:v>0.010690326852786558</x:v>
      </x:c>
      <x:c r="AC738" s="54" t="n">
        <x:f>IF(OR(R738="No",S738-T738*Assumptions!$B$9&lt;=0),"",AA738/(Assumptions!$B$8*(S738-T738*Assumptions!$B$9)))</x:f>
        <x:v>18.948382001995686</x:v>
      </x:c>
      <x:c r="AD738" s="52" t="n">
        <x:f>IF(OR(R738="No",U738*S738=0),"",AA738/(U738*S738))</x:f>
        <x:v>0.010690326852786558</x:v>
      </x:c>
      <x:c r="AE738" s="50" t="str">
        <x:f>IF(R738="No","No finance data",IF(AB738&gt;=10%,"Severe",IF(AB738&gt;=5%,"High",IF(AB738&gt;=2%,"Moderate","Low"))))</x:f>
        <x:v>Low</x:v>
      </x:c>
      <x:c r="AF738" s="60" t="n">
        <x:v>46.672285</x:v>
      </x:c>
      <x:c r="AG738" s="60" t="n">
        <x:v>-68.016343</x:v>
      </x:c>
      <x:c r="AH738" s="44" t="str">
        <x:v>Undergraduate tuition-contribution proxy only; not an audited total institutional budget.</x:v>
      </x:c>
    </x:row>
    <x:row r="739">
      <x:c r="A739" s="16" t="n">
        <x:v>161457</x:v>
      </x:c>
      <x:c r="B739" s="16" t="str">
        <x:v>University of New England</x:v>
      </x:c>
      <x:c r="C739" s="16" t="str">
        <x:v>ME</x:v>
      </x:c>
      <x:c r="D739" s="16" t="str">
        <x:v>Private nonprofit</x:v>
      </x:c>
      <x:c r="E739" s="34" t="n">
        <x:v>2271</x:v>
      </x:c>
      <x:c r="F739" s="21" t="n">
        <x:v>0.8999</x:v>
      </x:c>
      <x:c r="G739" s="16" t="str">
        <x:v>Regional</x:v>
      </x:c>
      <x:c r="H739" s="36" t="n">
        <x:f>IF(G739="National",Assumptions!$B$11,IF(G739="Statewide",Assumptions!$B$12,Assumptions!$B$13))</x:f>
        <x:v>0.85</x:v>
      </x:c>
      <x:c r="I739" s="21" t="n">
        <x:v>-0.05548255219740106</x:v>
      </x:c>
      <x:c r="J739" s="21" t="n">
        <x:v>-0.018396846254927768</x:v>
      </x:c>
      <x:c r="K739" s="21" t="n">
        <x:v>-0.07154329099138557</x:v>
      </x:c>
      <x:c r="L739" s="36" t="n">
        <x:f>IF(Assumptions!$B$4=2030,I739,IF(Assumptions!$B$4=2035,J739,K739))</x:f>
        <x:v>-0.018396846254927768</x:v>
      </x:c>
      <x:c r="M739" s="36" t="n">
        <x:f>Assumptions!$B$19</x:f>
        <x:v>-0.04739891965741583</x:v>
      </x:c>
      <x:c r="N739" s="52" t="n">
        <x:f>H739*L739+(1-H739)*M739+O739</x:f>
        <x:v>-0.02274715726530098</x:v>
      </x:c>
      <x:c r="O739" s="36" t="n">
        <x:f>Assumptions!$B$10</x:f>
        <x:v>0</x:v>
      </x:c>
      <x:c r="P739" s="54" t="n">
        <x:f>E739*(1+N739)</x:f>
        <x:v>2219.3412058505014</x:v>
      </x:c>
      <x:c r="Q739" s="54" t="n">
        <x:f>P739-E739</x:f>
        <x:v>-51.65879414949859</x:v>
      </x:c>
      <x:c r="R739" s="16" t="str">
        <x:v>Yes</x:v>
      </x:c>
      <x:c r="S739" s="56" t="n">
        <x:v>24230</x:v>
      </x:c>
      <x:c r="T739" s="56" t="n">
        <x:v>11013</x:v>
      </x:c>
      <x:c r="U739" s="40" t="n">
        <x:f>E739*Assumptions!$B$8</x:f>
        <x:v>1930.35</x:v>
      </x:c>
      <x:c r="V739" s="40" t="n">
        <x:f>P739*Assumptions!$B$8</x:f>
        <x:v>1886.440024972926</x:v>
      </x:c>
      <x:c r="W739" s="54" t="n">
        <x:f>V739-U739</x:f>
        <x:v>-43.90997502707387</x:v>
      </x:c>
      <x:c r="X739" s="58" t="n">
        <x:f>IF(R739="No","",W739*S739)</x:f>
        <x:v>-1063938.6949059998</x:v>
      </x:c>
      <x:c r="Y739" s="58" t="n">
        <x:f>IF(R739="No","",W739*T739*Assumptions!$B$9)</x:f>
        <x:v>-145074.16649194935</x:v>
      </x:c>
      <x:c r="Z739" s="58" t="n">
        <x:f>IF(R739="No","",X739-Y739)</x:f>
        <x:v>-918864.5284140505</x:v>
      </x:c>
      <x:c r="AA739" s="58" t="n">
        <x:f>IF(R739="No","",MAX(0,-Z739))</x:f>
        <x:v>918864.5284140505</x:v>
      </x:c>
      <x:c r="AB739" s="52" t="n">
        <x:f>IF(OR(R739="No",U739*S739=0),"",AA739/(U739*S739))</x:f>
        <x:v>0.019645451409385728</x:v>
      </x:c>
      <x:c r="AC739" s="54" t="n">
        <x:f>IF(OR(R739="No",S739-T739*Assumptions!$B$9&lt;=0),"",AA739/(Assumptions!$B$8*(S739-T739*Assumptions!$B$9)))</x:f>
        <x:v>51.658794149498675</x:v>
      </x:c>
      <x:c r="AD739" s="52" t="n">
        <x:f>IF(OR(R739="No",U739*S739=0),"",AA739/(U739*S739))</x:f>
        <x:v>0.019645451409385728</x:v>
      </x:c>
      <x:c r="AE739" s="50" t="str">
        <x:f>IF(R739="No","No finance data",IF(AB739&gt;=10%,"Severe",IF(AB739&gt;=5%,"High",IF(AB739&gt;=2%,"Moderate","Low"))))</x:f>
        <x:v>Low</x:v>
      </x:c>
      <x:c r="AF739" s="60" t="n">
        <x:v>43.458591</x:v>
      </x:c>
      <x:c r="AG739" s="60" t="n">
        <x:v>-70.38535</x:v>
      </x:c>
      <x:c r="AH739" s="44" t="str">
        <x:v>Undergraduate tuition-contribution proxy only; not an audited total institutional budget.</x:v>
      </x:c>
    </x:row>
    <x:row r="740">
      <x:c r="A740" s="16" t="n">
        <x:v>161554</x:v>
      </x:c>
      <x:c r="B740" s="16" t="str">
        <x:v>University of Southern Maine</x:v>
      </x:c>
      <x:c r="C740" s="16" t="str">
        <x:v>ME</x:v>
      </x:c>
      <x:c r="D740" s="16" t="str">
        <x:v>Public</x:v>
      </x:c>
      <x:c r="E740" s="34" t="n">
        <x:v>5359</x:v>
      </x:c>
      <x:c r="F740" s="21" t="n">
        <x:v>0.8699</x:v>
      </x:c>
      <x:c r="G740" s="16" t="str">
        <x:v>Statewide</x:v>
      </x:c>
      <x:c r="H740" s="36" t="n">
        <x:f>IF(G740="National",Assumptions!$B$11,IF(G740="Statewide",Assumptions!$B$12,Assumptions!$B$13))</x:f>
        <x:v>0.6</x:v>
      </x:c>
      <x:c r="I740" s="21" t="n">
        <x:v>-0.05548255219740106</x:v>
      </x:c>
      <x:c r="J740" s="21" t="n">
        <x:v>-0.018396846254927768</x:v>
      </x:c>
      <x:c r="K740" s="21" t="n">
        <x:v>-0.07154329099138557</x:v>
      </x:c>
      <x:c r="L740" s="36" t="n">
        <x:f>IF(Assumptions!$B$4=2030,I740,IF(Assumptions!$B$4=2035,J740,K740))</x:f>
        <x:v>-0.018396846254927768</x:v>
      </x:c>
      <x:c r="M740" s="36" t="n">
        <x:f>Assumptions!$B$19</x:f>
        <x:v>-0.04739891965741583</x:v>
      </x:c>
      <x:c r="N740" s="52" t="n">
        <x:f>H740*L740+(1-H740)*M740+O740</x:f>
        <x:v>-0.029997675615922995</x:v>
      </x:c>
      <x:c r="O740" s="36" t="n">
        <x:f>Assumptions!$B$10</x:f>
        <x:v>0</x:v>
      </x:c>
      <x:c r="P740" s="54" t="n">
        <x:f>E740*(1+N740)</x:f>
        <x:v>5198.242456374269</x:v>
      </x:c>
      <x:c r="Q740" s="54" t="n">
        <x:f>P740-E740</x:f>
        <x:v>-160.75754362573116</x:v>
      </x:c>
      <x:c r="R740" s="16" t="str">
        <x:v>Yes</x:v>
      </x:c>
      <x:c r="S740" s="56" t="n">
        <x:v>8278</x:v>
      </x:c>
      <x:c r="T740" s="56" t="n">
        <x:v>9091</x:v>
      </x:c>
      <x:c r="U740" s="40" t="n">
        <x:f>E740*Assumptions!$B$8</x:f>
        <x:v>4555.15</x:v>
      </x:c>
      <x:c r="V740" s="40" t="n">
        <x:f>P740*Assumptions!$B$8</x:f>
        <x:v>4418.506087918128</x:v>
      </x:c>
      <x:c r="W740" s="54" t="n">
        <x:f>V740-U740</x:f>
        <x:v>-136.64391208187135</x:v>
      </x:c>
      <x:c r="X740" s="58" t="n">
        <x:f>IF(R740="No","",W740*S740)</x:f>
        <x:v>-1131138.304213731</x:v>
      </x:c>
      <x:c r="Y740" s="58" t="n">
        <x:f>IF(R740="No","",W740*T740*Assumptions!$B$9)</x:f>
        <x:v>-372668.9414208877</x:v>
      </x:c>
      <x:c r="Z740" s="58" t="n">
        <x:f>IF(R740="No","",X740-Y740)</x:f>
        <x:v>-758469.3627928434</x:v>
      </x:c>
      <x:c r="AA740" s="58" t="n">
        <x:f>IF(R740="No","",MAX(0,-Z740))</x:f>
        <x:v>758469.3627928434</x:v>
      </x:c>
      <x:c r="AB740" s="52" t="n">
        <x:f>IF(OR(R740="No",U740*S740=0),"",AA740/(U740*S740))</x:f>
        <x:v>0.02011453225915722</x:v>
      </x:c>
      <x:c r="AC740" s="54" t="n">
        <x:f>IF(OR(R740="No",S740-T740*Assumptions!$B$9&lt;=0),"",AA740/(Assumptions!$B$8*(S740-T740*Assumptions!$B$9)))</x:f>
        <x:v>160.75754362573102</x:v>
      </x:c>
      <x:c r="AD740" s="52" t="n">
        <x:f>IF(OR(R740="No",U740*S740=0),"",AA740/(U740*S740))</x:f>
        <x:v>0.02011453225915722</x:v>
      </x:c>
      <x:c r="AE740" s="50" t="str">
        <x:f>IF(R740="No","No finance data",IF(AB740&gt;=10%,"Severe",IF(AB740&gt;=5%,"High",IF(AB740&gt;=2%,"Moderate","Low"))))</x:f>
        <x:v>Moderate</x:v>
      </x:c>
      <x:c r="AF740" s="60" t="n">
        <x:v>43.662863</x:v>
      </x:c>
      <x:c r="AG740" s="60" t="n">
        <x:v>-70.274247</x:v>
      </x:c>
      <x:c r="AH740" s="44" t="str">
        <x:v>Undergraduate tuition-contribution proxy only; not an audited total institutional budget.</x:v>
      </x:c>
    </x:row>
    <x:row r="741">
      <x:c r="A741" s="16" t="n">
        <x:v>168528</x:v>
      </x:c>
      <x:c r="B741" s="16" t="str">
        <x:v>Adrian College</x:v>
      </x:c>
      <x:c r="C741" s="16" t="str">
        <x:v>MI</x:v>
      </x:c>
      <x:c r="D741" s="16" t="str">
        <x:v>Private nonprofit</x:v>
      </x:c>
      <x:c r="E741" s="34" t="n">
        <x:v>1622</x:v>
      </x:c>
      <x:c r="F741" s="21" t="n">
        <x:v>0.7599</x:v>
      </x:c>
      <x:c r="G741" s="16" t="str">
        <x:v>Regional</x:v>
      </x:c>
      <x:c r="H741" s="36" t="n">
        <x:f>IF(G741="National",Assumptions!$B$11,IF(G741="Statewide",Assumptions!$B$12,Assumptions!$B$13))</x:f>
        <x:v>0.85</x:v>
      </x:c>
      <x:c r="I741" s="21" t="n">
        <x:v>-0.04799498871466501</x:v>
      </x:c>
      <x:c r="J741" s="21" t="n">
        <x:v>-0.043649886152347106</x:v>
      </x:c>
      <x:c r="K741" s="21" t="n">
        <x:v>-0.15354021457051092</x:v>
      </x:c>
      <x:c r="L741" s="36" t="n">
        <x:f>IF(Assumptions!$B$4=2030,I741,IF(Assumptions!$B$4=2035,J741,K741))</x:f>
        <x:v>-0.043649886152347106</x:v>
      </x:c>
      <x:c r="M741" s="36" t="n">
        <x:f>Assumptions!$B$19</x:f>
        <x:v>-0.04739891965741583</x:v>
      </x:c>
      <x:c r="N741" s="52" t="n">
        <x:f>H741*L741+(1-H741)*M741+O741</x:f>
        <x:v>-0.04421224117810742</x:v>
      </x:c>
      <x:c r="O741" s="36" t="n">
        <x:f>Assumptions!$B$10</x:f>
        <x:v>0</x:v>
      </x:c>
      <x:c r="P741" s="54" t="n">
        <x:f>E741*(1+N741)</x:f>
        <x:v>1550.2877448091099</x:v>
      </x:c>
      <x:c r="Q741" s="54" t="n">
        <x:f>P741-E741</x:f>
        <x:v>-71.71225519089012</x:v>
      </x:c>
      <x:c r="R741" s="16" t="str">
        <x:v>Yes</x:v>
      </x:c>
      <x:c r="S741" s="56" t="n">
        <x:v>12410</x:v>
      </x:c>
      <x:c r="T741" s="56" t="n">
        <x:v>8323</x:v>
      </x:c>
      <x:c r="U741" s="40" t="n">
        <x:f>E741*Assumptions!$B$8</x:f>
        <x:v>1378.7</x:v>
      </x:c>
      <x:c r="V741" s="40" t="n">
        <x:f>P741*Assumptions!$B$8</x:f>
        <x:v>1317.7445830877434</x:v>
      </x:c>
      <x:c r="W741" s="54" t="n">
        <x:f>V741-U741</x:f>
        <x:v>-60.955416912256624</x:v>
      </x:c>
      <x:c r="X741" s="58" t="n">
        <x:f>IF(R741="No","",W741*S741)</x:f>
        <x:v>-756456.7238811047</x:v>
      </x:c>
      <x:c r="Y741" s="58" t="n">
        <x:f>IF(R741="No","",W741*T741*Assumptions!$B$9)</x:f>
        <x:v>-152199.58048821354</x:v>
      </x:c>
      <x:c r="Z741" s="58" t="n">
        <x:f>IF(R741="No","",X741-Y741)</x:f>
        <x:v>-604257.1433928912</x:v>
      </x:c>
      <x:c r="AA741" s="58" t="n">
        <x:f>IF(R741="No","",MAX(0,-Z741))</x:f>
        <x:v>604257.1433928912</x:v>
      </x:c>
      <x:c r="AB741" s="52" t="n">
        <x:f>IF(OR(R741="No",U741*S741=0),"",AA741/(U741*S741))</x:f>
        <x:v>0.03531670975203031</x:v>
      </x:c>
      <x:c r="AC741" s="54" t="n">
        <x:f>IF(OR(R741="No",S741-T741*Assumptions!$B$9&lt;=0),"",AA741/(Assumptions!$B$8*(S741-T741*Assumptions!$B$9)))</x:f>
        <x:v>71.71225519089015</x:v>
      </x:c>
      <x:c r="AD741" s="52" t="n">
        <x:f>IF(OR(R741="No",U741*S741=0),"",AA741/(U741*S741))</x:f>
        <x:v>0.03531670975203031</x:v>
      </x:c>
      <x:c r="AE741" s="50" t="str">
        <x:f>IF(R741="No","No finance data",IF(AB741&gt;=10%,"Severe",IF(AB741&gt;=5%,"High",IF(AB741&gt;=2%,"Moderate","Low"))))</x:f>
        <x:v>Moderate</x:v>
      </x:c>
      <x:c r="AF741" s="60" t="n">
        <x:v>41.898591</x:v>
      </x:c>
      <x:c r="AG741" s="60" t="n">
        <x:v>-84.061481</x:v>
      </x:c>
      <x:c r="AH741" s="44" t="str">
        <x:v>Undergraduate tuition-contribution proxy only; not an audited total institutional budget.</x:v>
      </x:c>
    </x:row>
    <x:row r="742">
      <x:c r="A742" s="16" t="n">
        <x:v>168546</x:v>
      </x:c>
      <x:c r="B742" s="16" t="str">
        <x:v>Albion College</x:v>
      </x:c>
      <x:c r="C742" s="16" t="str">
        <x:v>MI</x:v>
      </x:c>
      <x:c r="D742" s="16" t="str">
        <x:v>Private nonprofit</x:v>
      </x:c>
      <x:c r="E742" s="34" t="n">
        <x:v>1360</x:v>
      </x:c>
      <x:c r="F742" s="21" t="n">
        <x:v>0.6928</x:v>
      </x:c>
      <x:c r="G742" s="16" t="str">
        <x:v>Regional</x:v>
      </x:c>
      <x:c r="H742" s="36" t="n">
        <x:f>IF(G742="National",Assumptions!$B$11,IF(G742="Statewide",Assumptions!$B$12,Assumptions!$B$13))</x:f>
        <x:v>0.85</x:v>
      </x:c>
      <x:c r="I742" s="21" t="n">
        <x:v>-0.04799498871466501</x:v>
      </x:c>
      <x:c r="J742" s="21" t="n">
        <x:v>-0.043649886152347106</x:v>
      </x:c>
      <x:c r="K742" s="21" t="n">
        <x:v>-0.15354021457051092</x:v>
      </x:c>
      <x:c r="L742" s="36" t="n">
        <x:f>IF(Assumptions!$B$4=2030,I742,IF(Assumptions!$B$4=2035,J742,K742))</x:f>
        <x:v>-0.043649886152347106</x:v>
      </x:c>
      <x:c r="M742" s="36" t="n">
        <x:f>Assumptions!$B$19</x:f>
        <x:v>-0.04739891965741583</x:v>
      </x:c>
      <x:c r="N742" s="52" t="n">
        <x:f>H742*L742+(1-H742)*M742+O742</x:f>
        <x:v>-0.04421224117810742</x:v>
      </x:c>
      <x:c r="O742" s="36" t="n">
        <x:f>Assumptions!$B$10</x:f>
        <x:v>0</x:v>
      </x:c>
      <x:c r="P742" s="54" t="n">
        <x:f>E742*(1+N742)</x:f>
        <x:v>1299.871351997774</x:v>
      </x:c>
      <x:c r="Q742" s="54" t="n">
        <x:f>P742-E742</x:f>
        <x:v>-60.1286480022261</x:v>
      </x:c>
      <x:c r="R742" s="16" t="str">
        <x:v>Yes</x:v>
      </x:c>
      <x:c r="S742" s="56" t="n">
        <x:v>11030</x:v>
      </x:c>
      <x:c r="T742" s="56" t="n">
        <x:v>14265</x:v>
      </x:c>
      <x:c r="U742" s="40" t="n">
        <x:f>E742*Assumptions!$B$8</x:f>
        <x:v>1156</x:v>
      </x:c>
      <x:c r="V742" s="40" t="n">
        <x:f>P742*Assumptions!$B$8</x:f>
        <x:v>1104.890649198108</x:v>
      </x:c>
      <x:c r="W742" s="54" t="n">
        <x:f>V742-U742</x:f>
        <x:v>-51.109350801892106</x:v>
      </x:c>
      <x:c r="X742" s="58" t="n">
        <x:f>IF(R742="No","",W742*S742)</x:f>
        <x:v>-563736.1393448699</x:v>
      </x:c>
      <x:c r="Y742" s="58" t="n">
        <x:f>IF(R742="No","",W742*T742*Assumptions!$B$9)</x:f>
        <x:v>-218722.46675669728</x:v>
      </x:c>
      <x:c r="Z742" s="58" t="n">
        <x:f>IF(R742="No","",X742-Y742)</x:f>
        <x:v>-345013.6725881726</x:v>
      </x:c>
      <x:c r="AA742" s="58" t="n">
        <x:f>IF(R742="No","",MAX(0,-Z742))</x:f>
        <x:v>345013.6725881726</x:v>
      </x:c>
      <x:c r="AB742" s="52" t="n">
        <x:f>IF(OR(R742="No",U742*S742=0),"",AA742/(U742*S742))</x:f>
        <x:v>0.027058452771787277</x:v>
      </x:c>
      <x:c r="AC742" s="54" t="n">
        <x:f>IF(OR(R742="No",S742-T742*Assumptions!$B$9&lt;=0),"",AA742/(Assumptions!$B$8*(S742-T742*Assumptions!$B$9)))</x:f>
        <x:v>60.128648002225994</x:v>
      </x:c>
      <x:c r="AD742" s="52" t="n">
        <x:f>IF(OR(R742="No",U742*S742=0),"",AA742/(U742*S742))</x:f>
        <x:v>0.027058452771787277</x:v>
      </x:c>
      <x:c r="AE742" s="50" t="str">
        <x:f>IF(R742="No","No finance data",IF(AB742&gt;=10%,"Severe",IF(AB742&gt;=5%,"High",IF(AB742&gt;=2%,"Moderate","Low"))))</x:f>
        <x:v>Moderate</x:v>
      </x:c>
      <x:c r="AF742" s="60" t="n">
        <x:v>42.245049</x:v>
      </x:c>
      <x:c r="AG742" s="60" t="n">
        <x:v>-84.745639</x:v>
      </x:c>
      <x:c r="AH742" s="44" t="str">
        <x:v>Undergraduate tuition-contribution proxy only; not an audited total institutional budget.</x:v>
      </x:c>
    </x:row>
    <x:row r="743">
      <x:c r="A743" s="16" t="n">
        <x:v>168591</x:v>
      </x:c>
      <x:c r="B743" s="16" t="str">
        <x:v>Alma College</x:v>
      </x:c>
      <x:c r="C743" s="16" t="str">
        <x:v>MI</x:v>
      </x:c>
      <x:c r="D743" s="16" t="str">
        <x:v>Private nonprofit</x:v>
      </x:c>
      <x:c r="E743" s="34" t="n">
        <x:v>1345</x:v>
      </x:c>
      <x:c r="F743" s="21" t="n">
        <x:v>0.6878</x:v>
      </x:c>
      <x:c r="G743" s="16" t="str">
        <x:v>Regional</x:v>
      </x:c>
      <x:c r="H743" s="36" t="n">
        <x:f>IF(G743="National",Assumptions!$B$11,IF(G743="Statewide",Assumptions!$B$12,Assumptions!$B$13))</x:f>
        <x:v>0.85</x:v>
      </x:c>
      <x:c r="I743" s="21" t="n">
        <x:v>-0.04799498871466501</x:v>
      </x:c>
      <x:c r="J743" s="21" t="n">
        <x:v>-0.043649886152347106</x:v>
      </x:c>
      <x:c r="K743" s="21" t="n">
        <x:v>-0.15354021457051092</x:v>
      </x:c>
      <x:c r="L743" s="36" t="n">
        <x:f>IF(Assumptions!$B$4=2030,I743,IF(Assumptions!$B$4=2035,J743,K743))</x:f>
        <x:v>-0.043649886152347106</x:v>
      </x:c>
      <x:c r="M743" s="36" t="n">
        <x:f>Assumptions!$B$19</x:f>
        <x:v>-0.04739891965741583</x:v>
      </x:c>
      <x:c r="N743" s="52" t="n">
        <x:f>H743*L743+(1-H743)*M743+O743</x:f>
        <x:v>-0.04421224117810742</x:v>
      </x:c>
      <x:c r="O743" s="36" t="n">
        <x:f>Assumptions!$B$10</x:f>
        <x:v>0</x:v>
      </x:c>
      <x:c r="P743" s="54" t="n">
        <x:f>E743*(1+N743)</x:f>
        <x:v>1285.5345356154455</x:v>
      </x:c>
      <x:c r="Q743" s="54" t="n">
        <x:f>P743-E743</x:f>
        <x:v>-59.46546438455448</x:v>
      </x:c>
      <x:c r="R743" s="16" t="str">
        <x:v>Yes</x:v>
      </x:c>
      <x:c r="S743" s="56" t="n">
        <x:v>13487</x:v>
      </x:c>
      <x:c r="T743" s="56" t="n">
        <x:v>10315</x:v>
      </x:c>
      <x:c r="U743" s="40" t="n">
        <x:f>E743*Assumptions!$B$8</x:f>
        <x:v>1143.25</x:v>
      </x:c>
      <x:c r="V743" s="40" t="n">
        <x:f>P743*Assumptions!$B$8</x:f>
        <x:v>1092.7043552731286</x:v>
      </x:c>
      <x:c r="W743" s="54" t="n">
        <x:f>V743-U743</x:f>
        <x:v>-50.54564472687139</x:v>
      </x:c>
      <x:c r="X743" s="58" t="n">
        <x:f>IF(R743="No","",W743*S743)</x:f>
        <x:v>-681709.1104313144</x:v>
      </x:c>
      <x:c r="Y743" s="58" t="n">
        <x:f>IF(R743="No","",W743*T743*Assumptions!$B$9)</x:f>
        <x:v>-156413.4976073035</x:v>
      </x:c>
      <x:c r="Z743" s="58" t="n">
        <x:f>IF(R743="No","",X743-Y743)</x:f>
        <x:v>-525295.6128240109</x:v>
      </x:c>
      <x:c r="AA743" s="58" t="n">
        <x:f>IF(R743="No","",MAX(0,-Z743))</x:f>
        <x:v>525295.6128240109</x:v>
      </x:c>
      <x:c r="AB743" s="52" t="n">
        <x:f>IF(OR(R743="No",U743*S743=0),"",AA743/(U743*S743))</x:f>
        <x:v>0.03406804452016624</x:v>
      </x:c>
      <x:c r="AC743" s="54" t="n">
        <x:f>IF(OR(R743="No",S743-T743*Assumptions!$B$9&lt;=0),"",AA743/(Assumptions!$B$8*(S743-T743*Assumptions!$B$9)))</x:f>
        <x:v>59.46546438455457</x:v>
      </x:c>
      <x:c r="AD743" s="52" t="n">
        <x:f>IF(OR(R743="No",U743*S743=0),"",AA743/(U743*S743))</x:f>
        <x:v>0.03406804452016624</x:v>
      </x:c>
      <x:c r="AE743" s="50" t="str">
        <x:f>IF(R743="No","No finance data",IF(AB743&gt;=10%,"Severe",IF(AB743&gt;=5%,"High",IF(AB743&gt;=2%,"Moderate","Low"))))</x:f>
        <x:v>Moderate</x:v>
      </x:c>
      <x:c r="AF743" s="60" t="n">
        <x:v>43.38004</x:v>
      </x:c>
      <x:c r="AG743" s="60" t="n">
        <x:v>-84.672053</x:v>
      </x:c>
      <x:c r="AH743" s="44" t="str">
        <x:v>Undergraduate tuition-contribution proxy only; not an audited total institutional budget.</x:v>
      </x:c>
    </x:row>
    <x:row r="744">
      <x:c r="A744" s="16" t="n">
        <x:v>168740</x:v>
      </x:c>
      <x:c r="B744" s="16" t="str">
        <x:v>Andrews University</x:v>
      </x:c>
      <x:c r="C744" s="16" t="str">
        <x:v>MI</x:v>
      </x:c>
      <x:c r="D744" s="16" t="str">
        <x:v>Private nonprofit</x:v>
      </x:c>
      <x:c r="E744" s="34" t="n">
        <x:v>1513</x:v>
      </x:c>
      <x:c r="F744" s="21" t="n">
        <x:v>0.8151</x:v>
      </x:c>
      <x:c r="G744" s="16" t="str">
        <x:v>Regional</x:v>
      </x:c>
      <x:c r="H744" s="36" t="n">
        <x:f>IF(G744="National",Assumptions!$B$11,IF(G744="Statewide",Assumptions!$B$12,Assumptions!$B$13))</x:f>
        <x:v>0.85</x:v>
      </x:c>
      <x:c r="I744" s="21" t="n">
        <x:v>-0.04799498871466501</x:v>
      </x:c>
      <x:c r="J744" s="21" t="n">
        <x:v>-0.043649886152347106</x:v>
      </x:c>
      <x:c r="K744" s="21" t="n">
        <x:v>-0.15354021457051092</x:v>
      </x:c>
      <x:c r="L744" s="36" t="n">
        <x:f>IF(Assumptions!$B$4=2030,I744,IF(Assumptions!$B$4=2035,J744,K744))</x:f>
        <x:v>-0.043649886152347106</x:v>
      </x:c>
      <x:c r="M744" s="36" t="n">
        <x:f>Assumptions!$B$19</x:f>
        <x:v>-0.04739891965741583</x:v>
      </x:c>
      <x:c r="N744" s="52" t="n">
        <x:f>H744*L744+(1-H744)*M744+O744</x:f>
        <x:v>-0.04421224117810742</x:v>
      </x:c>
      <x:c r="O744" s="36" t="n">
        <x:f>Assumptions!$B$10</x:f>
        <x:v>0</x:v>
      </x:c>
      <x:c r="P744" s="54" t="n">
        <x:f>E744*(1+N744)</x:f>
        <x:v>1446.1068790975235</x:v>
      </x:c>
      <x:c r="Q744" s="54" t="n">
        <x:f>P744-E744</x:f>
        <x:v>-66.89312090247654</x:v>
      </x:c>
      <x:c r="R744" s="16" t="str">
        <x:v>Yes</x:v>
      </x:c>
      <x:c r="S744" s="56" t="n">
        <x:v>15426</x:v>
      </x:c>
      <x:c r="T744" s="56" t="n">
        <x:v>11594</x:v>
      </x:c>
      <x:c r="U744" s="40" t="n">
        <x:f>E744*Assumptions!$B$8</x:f>
        <x:v>1286.05</x:v>
      </x:c>
      <x:c r="V744" s="40" t="n">
        <x:f>P744*Assumptions!$B$8</x:f>
        <x:v>1229.1908472328948</x:v>
      </x:c>
      <x:c r="W744" s="54" t="n">
        <x:f>V744-U744</x:f>
        <x:v>-56.859152767105115</x:v>
      </x:c>
      <x:c r="X744" s="58" t="n">
        <x:f>IF(R744="No","",W744*S744)</x:f>
        <x:v>-877109.2905853635</x:v>
      </x:c>
      <x:c r="Y744" s="58" t="n">
        <x:f>IF(R744="No","",W744*T744*Assumptions!$B$9)</x:f>
        <x:v>-197767.505154545</x:v>
      </x:c>
      <x:c r="Z744" s="58" t="n">
        <x:f>IF(R744="No","",X744-Y744)</x:f>
        <x:v>-679341.7854308186</x:v>
      </x:c>
      <x:c r="AA744" s="58" t="n">
        <x:f>IF(R744="No","",MAX(0,-Z744))</x:f>
        <x:v>679341.7854308186</x:v>
      </x:c>
      <x:c r="AB744" s="52" t="n">
        <x:f>IF(OR(R744="No",U744*S744=0),"",AA744/(U744*S744))</x:f>
        <x:v>0.03424342118162793</x:v>
      </x:c>
      <x:c r="AC744" s="54" t="n">
        <x:f>IF(OR(R744="No",S744-T744*Assumptions!$B$9&lt;=0),"",AA744/(Assumptions!$B$8*(S744-T744*Assumptions!$B$9)))</x:f>
        <x:v>66.89312090247662</x:v>
      </x:c>
      <x:c r="AD744" s="52" t="n">
        <x:f>IF(OR(R744="No",U744*S744=0),"",AA744/(U744*S744))</x:f>
        <x:v>0.03424342118162793</x:v>
      </x:c>
      <x:c r="AE744" s="50" t="str">
        <x:f>IF(R744="No","No finance data",IF(AB744&gt;=10%,"Severe",IF(AB744&gt;=5%,"High",IF(AB744&gt;=2%,"Moderate","Low"))))</x:f>
        <x:v>Moderate</x:v>
      </x:c>
      <x:c r="AF744" s="60" t="n">
        <x:v>41.963859</x:v>
      </x:c>
      <x:c r="AG744" s="60" t="n">
        <x:v>-86.355815</x:v>
      </x:c>
      <x:c r="AH744" s="44" t="str">
        <x:v>Undergraduate tuition-contribution proxy only; not an audited total institutional budget.</x:v>
      </x:c>
    </x:row>
    <x:row r="745">
      <x:c r="A745" s="16" t="n">
        <x:v>168786</x:v>
      </x:c>
      <x:c r="B745" s="16" t="str">
        <x:v>Aquinas College</x:v>
      </x:c>
      <x:c r="C745" s="16" t="str">
        <x:v>MI</x:v>
      </x:c>
      <x:c r="D745" s="16" t="str">
        <x:v>Private nonprofit</x:v>
      </x:c>
      <x:c r="E745" s="34" t="n">
        <x:v>1692</x:v>
      </x:c>
      <x:c r="F745" s="21" t="n">
        <x:v>0.8904</x:v>
      </x:c>
      <x:c r="G745" s="16" t="str">
        <x:v>Regional</x:v>
      </x:c>
      <x:c r="H745" s="36" t="n">
        <x:f>IF(G745="National",Assumptions!$B$11,IF(G745="Statewide",Assumptions!$B$12,Assumptions!$B$13))</x:f>
        <x:v>0.85</x:v>
      </x:c>
      <x:c r="I745" s="21" t="n">
        <x:v>-0.04799498871466501</x:v>
      </x:c>
      <x:c r="J745" s="21" t="n">
        <x:v>-0.043649886152347106</x:v>
      </x:c>
      <x:c r="K745" s="21" t="n">
        <x:v>-0.15354021457051092</x:v>
      </x:c>
      <x:c r="L745" s="36" t="n">
        <x:f>IF(Assumptions!$B$4=2030,I745,IF(Assumptions!$B$4=2035,J745,K745))</x:f>
        <x:v>-0.043649886152347106</x:v>
      </x:c>
      <x:c r="M745" s="36" t="n">
        <x:f>Assumptions!$B$19</x:f>
        <x:v>-0.04739891965741583</x:v>
      </x:c>
      <x:c r="N745" s="52" t="n">
        <x:f>H745*L745+(1-H745)*M745+O745</x:f>
        <x:v>-0.04421224117810742</x:v>
      </x:c>
      <x:c r="O745" s="36" t="n">
        <x:f>Assumptions!$B$10</x:f>
        <x:v>0</x:v>
      </x:c>
      <x:c r="P745" s="54" t="n">
        <x:f>E745*(1+N745)</x:f>
        <x:v>1617.1928879266422</x:v>
      </x:c>
      <x:c r="Q745" s="54" t="n">
        <x:f>P745-E745</x:f>
        <x:v>-74.80711207335776</x:v>
      </x:c>
      <x:c r="R745" s="16" t="str">
        <x:v>Yes</x:v>
      </x:c>
      <x:c r="S745" s="56" t="n">
        <x:v>14234</x:v>
      </x:c>
      <x:c r="T745" s="56" t="n">
        <x:v>8349</x:v>
      </x:c>
      <x:c r="U745" s="40" t="n">
        <x:f>E745*Assumptions!$B$8</x:f>
        <x:v>1438.2</x:v>
      </x:c>
      <x:c r="V745" s="40" t="n">
        <x:f>P745*Assumptions!$B$8</x:f>
        <x:v>1374.6139547376458</x:v>
      </x:c>
      <x:c r="W745" s="54" t="n">
        <x:f>V745-U745</x:f>
        <x:v>-63.58604526235422</x:v>
      </x:c>
      <x:c r="X745" s="58" t="n">
        <x:f>IF(R745="No","",W745*S745)</x:f>
        <x:v>-905083.7682643499</x:v>
      </x:c>
      <x:c r="Y745" s="58" t="n">
        <x:f>IF(R745="No","",W745*T745*Assumptions!$B$9)</x:f>
        <x:v>-159263.9675686186</x:v>
      </x:c>
      <x:c r="Z745" s="58" t="n">
        <x:f>IF(R745="No","",X745-Y745)</x:f>
        <x:v>-745819.8006957313</x:v>
      </x:c>
      <x:c r="AA745" s="58" t="n">
        <x:f>IF(R745="No","",MAX(0,-Z745))</x:f>
        <x:v>745819.8006957313</x:v>
      </x:c>
      <x:c r="AB745" s="52" t="n">
        <x:f>IF(OR(R745="No",U745*S745=0),"",AA745/(U745*S745))</x:f>
        <x:v>0.036432390083629085</x:v>
      </x:c>
      <x:c r="AC745" s="54" t="n">
        <x:f>IF(OR(R745="No",S745-T745*Assumptions!$B$9&lt;=0),"",AA745/(Assumptions!$B$8*(S745-T745*Assumptions!$B$9)))</x:f>
        <x:v>74.80711207335791</x:v>
      </x:c>
      <x:c r="AD745" s="52" t="n">
        <x:f>IF(OR(R745="No",U745*S745=0),"",AA745/(U745*S745))</x:f>
        <x:v>0.036432390083629085</x:v>
      </x:c>
      <x:c r="AE745" s="50" t="str">
        <x:f>IF(R745="No","No finance data",IF(AB745&gt;=10%,"Severe",IF(AB745&gt;=5%,"High",IF(AB745&gt;=2%,"Moderate","Low"))))</x:f>
        <x:v>Moderate</x:v>
      </x:c>
      <x:c r="AF745" s="60" t="n">
        <x:v>42.96019</x:v>
      </x:c>
      <x:c r="AG745" s="60" t="n">
        <x:v>-85.628785</x:v>
      </x:c>
      <x:c r="AH745" s="44" t="str">
        <x:v>Undergraduate tuition-contribution proxy only; not an audited total institutional budget.</x:v>
      </x:c>
    </x:row>
    <x:row r="746">
      <x:c r="A746" s="16" t="n">
        <x:v>169080</x:v>
      </x:c>
      <x:c r="B746" s="16" t="str">
        <x:v>Calvin College</x:v>
      </x:c>
      <x:c r="C746" s="16" t="str">
        <x:v>MI</x:v>
      </x:c>
      <x:c r="D746" s="16" t="str">
        <x:v>Private nonprofit</x:v>
      </x:c>
      <x:c r="E746" s="34" t="n">
        <x:v>3788</x:v>
      </x:c>
      <x:c r="F746" s="21" t="n">
        <x:v>0.7506</x:v>
      </x:c>
      <x:c r="G746" s="16" t="str">
        <x:v>Regional</x:v>
      </x:c>
      <x:c r="H746" s="36" t="n">
        <x:f>IF(G746="National",Assumptions!$B$11,IF(G746="Statewide",Assumptions!$B$12,Assumptions!$B$13))</x:f>
        <x:v>0.85</x:v>
      </x:c>
      <x:c r="I746" s="21" t="n">
        <x:v>-0.04799498871466501</x:v>
      </x:c>
      <x:c r="J746" s="21" t="n">
        <x:v>-0.043649886152347106</x:v>
      </x:c>
      <x:c r="K746" s="21" t="n">
        <x:v>-0.15354021457051092</x:v>
      </x:c>
      <x:c r="L746" s="36" t="n">
        <x:f>IF(Assumptions!$B$4=2030,I746,IF(Assumptions!$B$4=2035,J746,K746))</x:f>
        <x:v>-0.043649886152347106</x:v>
      </x:c>
      <x:c r="M746" s="36" t="n">
        <x:f>Assumptions!$B$19</x:f>
        <x:v>-0.04739891965741583</x:v>
      </x:c>
      <x:c r="N746" s="52" t="n">
        <x:f>H746*L746+(1-H746)*M746+O746</x:f>
        <x:v>-0.04421224117810742</x:v>
      </x:c>
      <x:c r="O746" s="36" t="n">
        <x:f>Assumptions!$B$10</x:f>
        <x:v>0</x:v>
      </x:c>
      <x:c r="P746" s="54" t="n">
        <x:f>E746*(1+N746)</x:f>
        <x:v>3620.524030417329</x:v>
      </x:c>
      <x:c r="Q746" s="54" t="n">
        <x:f>P746-E746</x:f>
        <x:v>-167.47596958267104</x:v>
      </x:c>
      <x:c r="R746" s="16" t="str">
        <x:v>Yes</x:v>
      </x:c>
      <x:c r="S746" s="56" t="n">
        <x:v>16400</x:v>
      </x:c>
      <x:c r="T746" s="56" t="n">
        <x:v>9976</x:v>
      </x:c>
      <x:c r="U746" s="40" t="n">
        <x:f>E746*Assumptions!$B$8</x:f>
        <x:v>3219.7999999999997</x:v>
      </x:c>
      <x:c r="V746" s="40" t="n">
        <x:f>P746*Assumptions!$B$8</x:f>
        <x:v>3077.4454258547294</x:v>
      </x:c>
      <x:c r="W746" s="54" t="n">
        <x:f>V746-U746</x:f>
        <x:v>-142.35457414527036</x:v>
      </x:c>
      <x:c r="X746" s="58" t="n">
        <x:f>IF(R746="No","",W746*S746)</x:f>
        <x:v>-2334615.015982434</x:v>
      </x:c>
      <x:c r="Y746" s="58" t="n">
        <x:f>IF(R746="No","",W746*T746*Assumptions!$B$9)</x:f>
        <x:v>-426038.76950196514</x:v>
      </x:c>
      <x:c r="Z746" s="58" t="n">
        <x:f>IF(R746="No","",X746-Y746)</x:f>
        <x:v>-1908576.2464804691</x:v>
      </x:c>
      <x:c r="AA746" s="58" t="n">
        <x:f>IF(R746="No","",MAX(0,-Z746))</x:f>
        <x:v>1908576.2464804691</x:v>
      </x:c>
      <x:c r="AB746" s="52" t="n">
        <x:f>IF(OR(R746="No",U746*S746=0),"",AA746/(U746*S746))</x:f>
        <x:v>0.03614404633677575</x:v>
      </x:c>
      <x:c r="AC746" s="54" t="n">
        <x:f>IF(OR(R746="No",S746-T746*Assumptions!$B$9&lt;=0),"",AA746/(Assumptions!$B$8*(S746-T746*Assumptions!$B$9)))</x:f>
        <x:v>167.47596958267104</x:v>
      </x:c>
      <x:c r="AD746" s="52" t="n">
        <x:f>IF(OR(R746="No",U746*S746=0),"",AA746/(U746*S746))</x:f>
        <x:v>0.03614404633677575</x:v>
      </x:c>
      <x:c r="AE746" s="50" t="str">
        <x:f>IF(R746="No","No finance data",IF(AB746&gt;=10%,"Severe",IF(AB746&gt;=5%,"High",IF(AB746&gt;=2%,"Moderate","Low"))))</x:f>
        <x:v>Moderate</x:v>
      </x:c>
      <x:c r="AF746" s="60" t="n">
        <x:v>42.929916</x:v>
      </x:c>
      <x:c r="AG746" s="60" t="n">
        <x:v>-85.587548</x:v>
      </x:c>
      <x:c r="AH746" s="44" t="str">
        <x:v>Undergraduate tuition-contribution proxy only; not an audited total institutional budget.</x:v>
      </x:c>
    </x:row>
    <x:row r="747">
      <x:c r="A747" s="16" t="n">
        <x:v>169248</x:v>
      </x:c>
      <x:c r="B747" s="16" t="str">
        <x:v>Central Michigan University</x:v>
      </x:c>
      <x:c r="C747" s="16" t="str">
        <x:v>MI</x:v>
      </x:c>
      <x:c r="D747" s="16" t="str">
        <x:v>Public</x:v>
      </x:c>
      <x:c r="E747" s="34" t="n">
        <x:v>19954</x:v>
      </x:c>
      <x:c r="F747" s="21" t="n">
        <x:v>0.7708</x:v>
      </x:c>
      <x:c r="G747" s="16" t="str">
        <x:v>Statewide</x:v>
      </x:c>
      <x:c r="H747" s="36" t="n">
        <x:f>IF(G747="National",Assumptions!$B$11,IF(G747="Statewide",Assumptions!$B$12,Assumptions!$B$13))</x:f>
        <x:v>0.6</x:v>
      </x:c>
      <x:c r="I747" s="21" t="n">
        <x:v>-0.04799498871466501</x:v>
      </x:c>
      <x:c r="J747" s="21" t="n">
        <x:v>-0.043649886152347106</x:v>
      </x:c>
      <x:c r="K747" s="21" t="n">
        <x:v>-0.15354021457051092</x:v>
      </x:c>
      <x:c r="L747" s="36" t="n">
        <x:f>IF(Assumptions!$B$4=2030,I747,IF(Assumptions!$B$4=2035,J747,K747))</x:f>
        <x:v>-0.043649886152347106</x:v>
      </x:c>
      <x:c r="M747" s="36" t="n">
        <x:f>Assumptions!$B$19</x:f>
        <x:v>-0.04739891965741583</x:v>
      </x:c>
      <x:c r="N747" s="52" t="n">
        <x:f>H747*L747+(1-H747)*M747+O747</x:f>
        <x:v>-0.0451494995543746</x:v>
      </x:c>
      <x:c r="O747" s="36" t="n">
        <x:f>Assumptions!$B$10</x:f>
        <x:v>0</x:v>
      </x:c>
      <x:c r="P747" s="54" t="n">
        <x:f>E747*(1+N747)</x:f>
        <x:v>19053.086885892008</x:v>
      </x:c>
      <x:c r="Q747" s="54" t="n">
        <x:f>P747-E747</x:f>
        <x:v>-900.9131141079924</x:v>
      </x:c>
      <x:c r="R747" s="16" t="str">
        <x:v>Yes</x:v>
      </x:c>
      <x:c r="S747" s="56" t="n">
        <x:v>11162</x:v>
      </x:c>
      <x:c r="T747" s="56" t="n">
        <x:v>9471</x:v>
      </x:c>
      <x:c r="U747" s="40" t="n">
        <x:f>E747*Assumptions!$B$8</x:f>
        <x:v>16960.899999999998</x:v>
      </x:c>
      <x:c r="V747" s="40" t="n">
        <x:f>P747*Assumptions!$B$8</x:f>
        <x:v>16195.123853008206</x:v>
      </x:c>
      <x:c r="W747" s="54" t="n">
        <x:f>V747-U747</x:f>
        <x:v>-765.7761469917914</x:v>
      </x:c>
      <x:c r="X747" s="58" t="n">
        <x:f>IF(R747="No","",W747*S747)</x:f>
        <x:v>-8547593.352722375</x:v>
      </x:c>
      <x:c r="Y747" s="58" t="n">
        <x:f>IF(R747="No","",W747*T747*Assumptions!$B$9)</x:f>
        <x:v>-2175799.766447777</x:v>
      </x:c>
      <x:c r="Z747" s="58" t="n">
        <x:f>IF(R747="No","",X747-Y747)</x:f>
        <x:v>-6371793.586274598</x:v>
      </x:c>
      <x:c r="AA747" s="58" t="n">
        <x:f>IF(R747="No","",MAX(0,-Z747))</x:f>
        <x:v>6371793.586274598</x:v>
      </x:c>
      <x:c r="AB747" s="52" t="n">
        <x:f>IF(OR(R747="No",U747*S747=0),"",AA747/(U747*S747))</x:f>
        <x:v>0.033656642263222035</x:v>
      </x:c>
      <x:c r="AC747" s="54" t="n">
        <x:f>IF(OR(R747="No",S747-T747*Assumptions!$B$9&lt;=0),"",AA747/(Assumptions!$B$8*(S747-T747*Assumptions!$B$9)))</x:f>
        <x:v>900.9131141079897</x:v>
      </x:c>
      <x:c r="AD747" s="52" t="n">
        <x:f>IF(OR(R747="No",U747*S747=0),"",AA747/(U747*S747))</x:f>
        <x:v>0.033656642263222035</x:v>
      </x:c>
      <x:c r="AE747" s="50" t="str">
        <x:f>IF(R747="No","No finance data",IF(AB747&gt;=10%,"Severe",IF(AB747&gt;=5%,"High",IF(AB747&gt;=2%,"Moderate","Low"))))</x:f>
        <x:v>Moderate</x:v>
      </x:c>
      <x:c r="AF747" s="60" t="n">
        <x:v>43.591203</x:v>
      </x:c>
      <x:c r="AG747" s="60" t="n">
        <x:v>-84.77525</x:v>
      </x:c>
      <x:c r="AH747" s="44" t="str">
        <x:v>Undergraduate tuition-contribution proxy only; not an audited total institutional budget.</x:v>
      </x:c>
    </x:row>
    <x:row r="748">
      <x:c r="A748" s="16" t="n">
        <x:v>169327</x:v>
      </x:c>
      <x:c r="B748" s="16" t="str">
        <x:v>Cleary University</x:v>
      </x:c>
      <x:c r="C748" s="16" t="str">
        <x:v>MI</x:v>
      </x:c>
      <x:c r="D748" s="16" t="str">
        <x:v>Private nonprofit</x:v>
      </x:c>
      <x:c r="E748" s="34" t="n">
        <x:v>455</x:v>
      </x:c>
      <x:c r="F748" s="21" t="n">
        <x:v>0.7587</x:v>
      </x:c>
      <x:c r="G748" s="16" t="str">
        <x:v>Regional</x:v>
      </x:c>
      <x:c r="H748" s="36" t="n">
        <x:f>IF(G748="National",Assumptions!$B$11,IF(G748="Statewide",Assumptions!$B$12,Assumptions!$B$13))</x:f>
        <x:v>0.85</x:v>
      </x:c>
      <x:c r="I748" s="21" t="n">
        <x:v>-0.04799498871466501</x:v>
      </x:c>
      <x:c r="J748" s="21" t="n">
        <x:v>-0.043649886152347106</x:v>
      </x:c>
      <x:c r="K748" s="21" t="n">
        <x:v>-0.15354021457051092</x:v>
      </x:c>
      <x:c r="L748" s="36" t="n">
        <x:f>IF(Assumptions!$B$4=2030,I748,IF(Assumptions!$B$4=2035,J748,K748))</x:f>
        <x:v>-0.043649886152347106</x:v>
      </x:c>
      <x:c r="M748" s="36" t="n">
        <x:f>Assumptions!$B$19</x:f>
        <x:v>-0.04739891965741583</x:v>
      </x:c>
      <x:c r="N748" s="52" t="n">
        <x:f>H748*L748+(1-H748)*M748+O748</x:f>
        <x:v>-0.04421224117810742</x:v>
      </x:c>
      <x:c r="O748" s="36" t="n">
        <x:f>Assumptions!$B$10</x:f>
        <x:v>0</x:v>
      </x:c>
      <x:c r="P748" s="54" t="n">
        <x:f>E748*(1+N748)</x:f>
        <x:v>434.88343026396115</x:v>
      </x:c>
      <x:c r="Q748" s="54" t="n">
        <x:f>P748-E748</x:f>
        <x:v>-20.116569736038855</x:v>
      </x:c>
      <x:c r="R748" s="16" t="str">
        <x:v>Yes</x:v>
      </x:c>
      <x:c r="S748" s="56" t="n">
        <x:v>10538</x:v>
      </x:c>
      <x:c r="T748" s="56" t="n">
        <x:v>3099</x:v>
      </x:c>
      <x:c r="U748" s="40" t="n">
        <x:f>E748*Assumptions!$B$8</x:f>
        <x:v>386.75</x:v>
      </x:c>
      <x:c r="V748" s="40" t="n">
        <x:f>P748*Assumptions!$B$8</x:f>
        <x:v>369.65091572436694</x:v>
      </x:c>
      <x:c r="W748" s="54" t="n">
        <x:f>V748-U748</x:f>
        <x:v>-17.09908427563306</x:v>
      </x:c>
      <x:c r="X748" s="58" t="n">
        <x:f>IF(R748="No","",W748*S748)</x:f>
        <x:v>-180190.1500966212</x:v>
      </x:c>
      <x:c r="Y748" s="58" t="n">
        <x:f>IF(R748="No","",W748*T748*Assumptions!$B$9)</x:f>
        <x:v>-15897.018651056056</x:v>
      </x:c>
      <x:c r="Z748" s="58" t="n">
        <x:f>IF(R748="No","",X748-Y748)</x:f>
        <x:v>-164293.13144556514</x:v>
      </x:c>
      <x:c r="AA748" s="58" t="n">
        <x:f>IF(R748="No","",MAX(0,-Z748))</x:f>
        <x:v>164293.13144556514</x:v>
      </x:c>
      <x:c r="AB748" s="52" t="n">
        <x:f>IF(OR(R748="No",U748*S748=0),"",AA748/(U748*S748))</x:f>
        <x:v>0.040311679342532734</x:v>
      </x:c>
      <x:c r="AC748" s="54" t="n">
        <x:f>IF(OR(R748="No",S748-T748*Assumptions!$B$9&lt;=0),"",AA748/(Assumptions!$B$8*(S748-T748*Assumptions!$B$9)))</x:f>
        <x:v>20.116569736038898</x:v>
      </x:c>
      <x:c r="AD748" s="52" t="n">
        <x:f>IF(OR(R748="No",U748*S748=0),"",AA748/(U748*S748))</x:f>
        <x:v>0.040311679342532734</x:v>
      </x:c>
      <x:c r="AE748" s="50" t="str">
        <x:f>IF(R748="No","No finance data",IF(AB748&gt;=10%,"Severe",IF(AB748&gt;=5%,"High",IF(AB748&gt;=2%,"Moderate","Low"))))</x:f>
        <x:v>Moderate</x:v>
      </x:c>
      <x:c r="AF748" s="60" t="n">
        <x:v>42.586638</x:v>
      </x:c>
      <x:c r="AG748" s="60" t="n">
        <x:v>-83.879987</x:v>
      </x:c>
      <x:c r="AH748" s="44" t="str">
        <x:v>Undergraduate tuition-contribution proxy only; not an audited total institutional budget.</x:v>
      </x:c>
    </x:row>
    <x:row r="749">
      <x:c r="A749" s="16" t="n">
        <x:v>169442</x:v>
      </x:c>
      <x:c r="B749" s="16" t="str">
        <x:v>College for Creative Studies</x:v>
      </x:c>
      <x:c r="C749" s="16" t="str">
        <x:v>MI</x:v>
      </x:c>
      <x:c r="D749" s="16" t="str">
        <x:v>Private nonprofit</x:v>
      </x:c>
      <x:c r="E749" s="34" t="n">
        <x:v>1394</x:v>
      </x:c>
      <x:c r="F749" s="21" t="n">
        <x:v>0.538</x:v>
      </x:c>
      <x:c r="G749" s="16" t="str">
        <x:v>Regional</x:v>
      </x:c>
      <x:c r="H749" s="36" t="n">
        <x:f>IF(G749="National",Assumptions!$B$11,IF(G749="Statewide",Assumptions!$B$12,Assumptions!$B$13))</x:f>
        <x:v>0.85</x:v>
      </x:c>
      <x:c r="I749" s="21" t="n">
        <x:v>-0.04799498871466501</x:v>
      </x:c>
      <x:c r="J749" s="21" t="n">
        <x:v>-0.043649886152347106</x:v>
      </x:c>
      <x:c r="K749" s="21" t="n">
        <x:v>-0.15354021457051092</x:v>
      </x:c>
      <x:c r="L749" s="36" t="n">
        <x:f>IF(Assumptions!$B$4=2030,I749,IF(Assumptions!$B$4=2035,J749,K749))</x:f>
        <x:v>-0.043649886152347106</x:v>
      </x:c>
      <x:c r="M749" s="36" t="n">
        <x:f>Assumptions!$B$19</x:f>
        <x:v>-0.04739891965741583</x:v>
      </x:c>
      <x:c r="N749" s="52" t="n">
        <x:f>H749*L749+(1-H749)*M749+O749</x:f>
        <x:v>-0.04421224117810742</x:v>
      </x:c>
      <x:c r="O749" s="36" t="n">
        <x:f>Assumptions!$B$10</x:f>
        <x:v>0</x:v>
      </x:c>
      <x:c r="P749" s="54" t="n">
        <x:f>E749*(1+N749)</x:f>
        <x:v>1332.3681357977182</x:v>
      </x:c>
      <x:c r="Q749" s="54" t="n">
        <x:f>P749-E749</x:f>
        <x:v>-61.631864202281804</x:v>
      </x:c>
      <x:c r="R749" s="16" t="str">
        <x:v>Yes</x:v>
      </x:c>
      <x:c r="S749" s="56" t="n">
        <x:v>27388</x:v>
      </x:c>
      <x:c r="T749" s="56" t="n">
        <x:v>13176</x:v>
      </x:c>
      <x:c r="U749" s="40" t="n">
        <x:f>E749*Assumptions!$B$8</x:f>
        <x:v>1184.8999999999999</x:v>
      </x:c>
      <x:c r="V749" s="40" t="n">
        <x:f>P749*Assumptions!$B$8</x:f>
        <x:v>1132.5129154280605</x:v>
      </x:c>
      <x:c r="W749" s="54" t="n">
        <x:f>V749-U749</x:f>
        <x:v>-52.38708457193934</x:v>
      </x:c>
      <x:c r="X749" s="58" t="n">
        <x:f>IF(R749="No","",W749*S749)</x:f>
        <x:v>-1434777.4722562747</x:v>
      </x:c>
      <x:c r="Y749" s="58" t="n">
        <x:f>IF(R749="No","",W749*T749*Assumptions!$B$9)</x:f>
        <x:v>-207075.66789596181</x:v>
      </x:c>
      <x:c r="Z749" s="58" t="n">
        <x:f>IF(R749="No","",X749-Y749)</x:f>
        <x:v>-1227701.8043603129</x:v>
      </x:c>
      <x:c r="AA749" s="58" t="n">
        <x:f>IF(R749="No","",MAX(0,-Z749))</x:f>
        <x:v>1227701.8043603129</x:v>
      </x:c>
      <x:c r="AB749" s="52" t="n">
        <x:f>IF(OR(R749="No",U749*S749=0),"",AA749/(U749*S749))</x:f>
        <x:v>0.037831266045610504</x:v>
      </x:c>
      <x:c r="AC749" s="54" t="n">
        <x:f>IF(OR(R749="No",S749-T749*Assumptions!$B$9&lt;=0),"",AA749/(Assumptions!$B$8*(S749-T749*Assumptions!$B$9)))</x:f>
        <x:v>61.63186420228158</x:v>
      </x:c>
      <x:c r="AD749" s="52" t="n">
        <x:f>IF(OR(R749="No",U749*S749=0),"",AA749/(U749*S749))</x:f>
        <x:v>0.037831266045610504</x:v>
      </x:c>
      <x:c r="AE749" s="50" t="str">
        <x:f>IF(R749="No","No finance data",IF(AB749&gt;=10%,"Severe",IF(AB749&gt;=5%,"High",IF(AB749&gt;=2%,"Moderate","Low"))))</x:f>
        <x:v>Moderate</x:v>
      </x:c>
      <x:c r="AF749" s="60" t="n">
        <x:v>42.361839</x:v>
      </x:c>
      <x:c r="AG749" s="60" t="n">
        <x:v>-83.062352</x:v>
      </x:c>
      <x:c r="AH749" s="44" t="str">
        <x:v>Undergraduate tuition-contribution proxy only; not an audited total institutional budget.</x:v>
      </x:c>
    </x:row>
    <x:row r="750">
      <x:c r="A750" s="16" t="n">
        <x:v>169363</x:v>
      </x:c>
      <x:c r="B750" s="16" t="str">
        <x:v>Concordia University-Ann Arbor</x:v>
      </x:c>
      <x:c r="C750" s="16" t="str">
        <x:v>MI</x:v>
      </x:c>
      <x:c r="D750" s="16" t="str">
        <x:v>Private nonprofit</x:v>
      </x:c>
      <x:c r="E750" s="34" t="n">
        <x:v>637</x:v>
      </x:c>
      <x:c r="F750" s="21" t="n">
        <x:v>0.6281</x:v>
      </x:c>
      <x:c r="G750" s="16" t="str">
        <x:v>Regional</x:v>
      </x:c>
      <x:c r="H750" s="36" t="n">
        <x:f>IF(G750="National",Assumptions!$B$11,IF(G750="Statewide",Assumptions!$B$12,Assumptions!$B$13))</x:f>
        <x:v>0.85</x:v>
      </x:c>
      <x:c r="I750" s="21" t="n">
        <x:v>-0.04799498871466501</x:v>
      </x:c>
      <x:c r="J750" s="21" t="n">
        <x:v>-0.043649886152347106</x:v>
      </x:c>
      <x:c r="K750" s="21" t="n">
        <x:v>-0.15354021457051092</x:v>
      </x:c>
      <x:c r="L750" s="36" t="n">
        <x:f>IF(Assumptions!$B$4=2030,I750,IF(Assumptions!$B$4=2035,J750,K750))</x:f>
        <x:v>-0.043649886152347106</x:v>
      </x:c>
      <x:c r="M750" s="36" t="n">
        <x:f>Assumptions!$B$19</x:f>
        <x:v>-0.04739891965741583</x:v>
      </x:c>
      <x:c r="N750" s="52" t="n">
        <x:f>H750*L750+(1-H750)*M750+O750</x:f>
        <x:v>-0.04421224117810742</x:v>
      </x:c>
      <x:c r="O750" s="36" t="n">
        <x:f>Assumptions!$B$10</x:f>
        <x:v>0</x:v>
      </x:c>
      <x:c r="P750" s="54" t="n">
        <x:f>E750*(1+N750)</x:f>
        <x:v>608.8368023695456</x:v>
      </x:c>
      <x:c r="Q750" s="54" t="n">
        <x:f>P750-E750</x:f>
        <x:v>-28.16319763045442</x:v>
      </x:c>
      <x:c r="R750" s="16" t="str">
        <x:v>Yes</x:v>
      </x:c>
      <x:c r="S750" s="56" t="n">
        <x:v>17247</x:v>
      </x:c>
      <x:c r="T750" s="56" t="n">
        <x:v>11192</x:v>
      </x:c>
      <x:c r="U750" s="40" t="n">
        <x:f>E750*Assumptions!$B$8</x:f>
        <x:v>541.4499999999999</x:v>
      </x:c>
      <x:c r="V750" s="40" t="n">
        <x:f>P750*Assumptions!$B$8</x:f>
        <x:v>517.5112820141137</x:v>
      </x:c>
      <x:c r="W750" s="54" t="n">
        <x:f>V750-U750</x:f>
        <x:v>-23.93871798588623</x:v>
      </x:c>
      <x:c r="X750" s="58" t="n">
        <x:f>IF(R750="No","",W750*S750)</x:f>
        <x:v>-412871.0691025798</x:v>
      </x:c>
      <x:c r="Y750" s="58" t="n">
        <x:f>IF(R750="No","",W750*T750*Assumptions!$B$9)</x:f>
        <x:v>-80376.6395094116</x:v>
      </x:c>
      <x:c r="Z750" s="58" t="n">
        <x:f>IF(R750="No","",X750-Y750)</x:f>
        <x:v>-332494.4295931682</x:v>
      </x:c>
      <x:c r="AA750" s="58" t="n">
        <x:f>IF(R750="No","",MAX(0,-Z750))</x:f>
        <x:v>332494.4295931682</x:v>
      </x:c>
      <x:c r="AB750" s="52" t="n">
        <x:f>IF(OR(R750="No",U750*S750=0),"",AA750/(U750*S750))</x:f>
        <x:v>0.035605119882832055</x:v>
      </x:c>
      <x:c r="AC750" s="54" t="n">
        <x:f>IF(OR(R750="No",S750-T750*Assumptions!$B$9&lt;=0),"",AA750/(Assumptions!$B$8*(S750-T750*Assumptions!$B$9)))</x:f>
        <x:v>28.163197630454388</x:v>
      </x:c>
      <x:c r="AD750" s="52" t="n">
        <x:f>IF(OR(R750="No",U750*S750=0),"",AA750/(U750*S750))</x:f>
        <x:v>0.035605119882832055</x:v>
      </x:c>
      <x:c r="AE750" s="50" t="str">
        <x:f>IF(R750="No","No finance data",IF(AB750&gt;=10%,"Severe",IF(AB750&gt;=5%,"High",IF(AB750&gt;=2%,"Moderate","Low"))))</x:f>
        <x:v>Moderate</x:v>
      </x:c>
      <x:c r="AF750" s="60" t="n">
        <x:v>42.273157</x:v>
      </x:c>
      <x:c r="AG750" s="60" t="n">
        <x:v>-83.68268</x:v>
      </x:c>
      <x:c r="AH750" s="44" t="str">
        <x:v>Undergraduate tuition-contribution proxy only; not an audited total institutional budget.</x:v>
      </x:c>
    </x:row>
    <x:row r="751">
      <x:c r="A751" s="16" t="n">
        <x:v>170037</x:v>
      </x:c>
      <x:c r="B751" s="16" t="str">
        <x:v>Cornerstone University</x:v>
      </x:c>
      <x:c r="C751" s="16" t="str">
        <x:v>MI</x:v>
      </x:c>
      <x:c r="D751" s="16" t="str">
        <x:v>Private nonprofit</x:v>
      </x:c>
      <x:c r="E751" s="34" t="n">
        <x:v>1912</x:v>
      </x:c>
      <x:c r="F751" s="21" t="n">
        <x:v>0.9132</x:v>
      </x:c>
      <x:c r="G751" s="16" t="str">
        <x:v>Regional</x:v>
      </x:c>
      <x:c r="H751" s="36" t="n">
        <x:f>IF(G751="National",Assumptions!$B$11,IF(G751="Statewide",Assumptions!$B$12,Assumptions!$B$13))</x:f>
        <x:v>0.85</x:v>
      </x:c>
      <x:c r="I751" s="21" t="n">
        <x:v>-0.04799498871466501</x:v>
      </x:c>
      <x:c r="J751" s="21" t="n">
        <x:v>-0.043649886152347106</x:v>
      </x:c>
      <x:c r="K751" s="21" t="n">
        <x:v>-0.15354021457051092</x:v>
      </x:c>
      <x:c r="L751" s="36" t="n">
        <x:f>IF(Assumptions!$B$4=2030,I751,IF(Assumptions!$B$4=2035,J751,K751))</x:f>
        <x:v>-0.043649886152347106</x:v>
      </x:c>
      <x:c r="M751" s="36" t="n">
        <x:f>Assumptions!$B$19</x:f>
        <x:v>-0.04739891965741583</x:v>
      </x:c>
      <x:c r="N751" s="52" t="n">
        <x:f>H751*L751+(1-H751)*M751+O751</x:f>
        <x:v>-0.04421224117810742</x:v>
      </x:c>
      <x:c r="O751" s="36" t="n">
        <x:f>Assumptions!$B$10</x:f>
        <x:v>0</x:v>
      </x:c>
      <x:c r="P751" s="54" t="n">
        <x:f>E751*(1+N751)</x:f>
        <x:v>1827.4661948674586</x:v>
      </x:c>
      <x:c r="Q751" s="54" t="n">
        <x:f>P751-E751</x:f>
        <x:v>-84.53380513254137</x:v>
      </x:c>
      <x:c r="R751" s="16" t="str">
        <x:v>Yes</x:v>
      </x:c>
      <x:c r="S751" s="56" t="n">
        <x:v>13582</x:v>
      </x:c>
      <x:c r="T751" s="56" t="n">
        <x:v>6450</x:v>
      </x:c>
      <x:c r="U751" s="40" t="n">
        <x:f>E751*Assumptions!$B$8</x:f>
        <x:v>1625.2</x:v>
      </x:c>
      <x:c r="V751" s="40" t="n">
        <x:f>P751*Assumptions!$B$8</x:f>
        <x:v>1553.3462656373397</x:v>
      </x:c>
      <x:c r="W751" s="54" t="n">
        <x:f>V751-U751</x:f>
        <x:v>-71.85373436266036</x:v>
      </x:c>
      <x:c r="X751" s="58" t="n">
        <x:f>IF(R751="No","",W751*S751)</x:f>
        <x:v>-975917.4201136531</x:v>
      </x:c>
      <x:c r="Y751" s="58" t="n">
        <x:f>IF(R751="No","",W751*T751*Assumptions!$B$9)</x:f>
        <x:v>-139036.9759917478</x:v>
      </x:c>
      <x:c r="Z751" s="58" t="n">
        <x:f>IF(R751="No","",X751-Y751)</x:f>
        <x:v>-836880.4441219053</x:v>
      </x:c>
      <x:c r="AA751" s="58" t="n">
        <x:f>IF(R751="No","",MAX(0,-Z751))</x:f>
        <x:v>836880.4441219053</x:v>
      </x:c>
      <x:c r="AB751" s="52" t="n">
        <x:f>IF(OR(R751="No",U751*S751=0),"",AA751/(U751*S751))</x:f>
        <x:v>0.037913412825903284</x:v>
      </x:c>
      <x:c r="AC751" s="54" t="n">
        <x:f>IF(OR(R751="No",S751-T751*Assumptions!$B$9&lt;=0),"",AA751/(Assumptions!$B$8*(S751-T751*Assumptions!$B$9)))</x:f>
        <x:v>84.53380513254162</x:v>
      </x:c>
      <x:c r="AD751" s="52" t="n">
        <x:f>IF(OR(R751="No",U751*S751=0),"",AA751/(U751*S751))</x:f>
        <x:v>0.037913412825903284</x:v>
      </x:c>
      <x:c r="AE751" s="50" t="str">
        <x:f>IF(R751="No","No finance data",IF(AB751&gt;=10%,"Severe",IF(AB751&gt;=5%,"High",IF(AB751&gt;=2%,"Moderate","Low"))))</x:f>
        <x:v>Moderate</x:v>
      </x:c>
      <x:c r="AF751" s="60" t="n">
        <x:v>42.979966</x:v>
      </x:c>
      <x:c r="AG751" s="60" t="n">
        <x:v>-85.595328</x:v>
      </x:c>
      <x:c r="AH751" s="44" t="str">
        <x:v>Undergraduate tuition-contribution proxy only; not an audited total institutional budget.</x:v>
      </x:c>
    </x:row>
    <x:row r="752">
      <x:c r="A752" s="16" t="n">
        <x:v>169479</x:v>
      </x:c>
      <x:c r="B752" s="16" t="str">
        <x:v>Davenport University</x:v>
      </x:c>
      <x:c r="C752" s="16" t="str">
        <x:v>MI</x:v>
      </x:c>
      <x:c r="D752" s="16" t="str">
        <x:v>Private nonprofit</x:v>
      </x:c>
      <x:c r="E752" s="34" t="n">
        <x:v>5774</x:v>
      </x:c>
      <x:c r="F752" s="21" t="n">
        <x:v>0.9827</x:v>
      </x:c>
      <x:c r="G752" s="16" t="str">
        <x:v>Regional</x:v>
      </x:c>
      <x:c r="H752" s="36" t="n">
        <x:f>IF(G752="National",Assumptions!$B$11,IF(G752="Statewide",Assumptions!$B$12,Assumptions!$B$13))</x:f>
        <x:v>0.85</x:v>
      </x:c>
      <x:c r="I752" s="21" t="n">
        <x:v>-0.04799498871466501</x:v>
      </x:c>
      <x:c r="J752" s="21" t="n">
        <x:v>-0.043649886152347106</x:v>
      </x:c>
      <x:c r="K752" s="21" t="n">
        <x:v>-0.15354021457051092</x:v>
      </x:c>
      <x:c r="L752" s="36" t="n">
        <x:f>IF(Assumptions!$B$4=2030,I752,IF(Assumptions!$B$4=2035,J752,K752))</x:f>
        <x:v>-0.043649886152347106</x:v>
      </x:c>
      <x:c r="M752" s="36" t="n">
        <x:f>Assumptions!$B$19</x:f>
        <x:v>-0.04739891965741583</x:v>
      </x:c>
      <x:c r="N752" s="52" t="n">
        <x:f>H752*L752+(1-H752)*M752+O752</x:f>
        <x:v>-0.04421224117810742</x:v>
      </x:c>
      <x:c r="O752" s="36" t="n">
        <x:f>Assumptions!$B$10</x:f>
        <x:v>0</x:v>
      </x:c>
      <x:c r="P752" s="54" t="n">
        <x:f>E752*(1+N752)</x:f>
        <x:v>5518.718519437608</x:v>
      </x:c>
      <x:c r="Q752" s="54" t="n">
        <x:f>P752-E752</x:f>
        <x:v>-255.28148056239206</x:v>
      </x:c>
      <x:c r="R752" s="16" t="str">
        <x:v>Yes</x:v>
      </x:c>
      <x:c r="S752" s="56" t="n">
        <x:v>16895</x:v>
      </x:c>
      <x:c r="T752" s="56" t="n">
        <x:v>6219</x:v>
      </x:c>
      <x:c r="U752" s="40" t="n">
        <x:f>E752*Assumptions!$B$8</x:f>
        <x:v>4907.9</x:v>
      </x:c>
      <x:c r="V752" s="40" t="n">
        <x:f>P752*Assumptions!$B$8</x:f>
        <x:v>4690.910741521967</x:v>
      </x:c>
      <x:c r="W752" s="54" t="n">
        <x:f>V752-U752</x:f>
        <x:v>-216.98925847803275</x:v>
      </x:c>
      <x:c r="X752" s="58" t="n">
        <x:f>IF(R752="No","",W752*S752)</x:f>
        <x:v>-3666033.5219863635</x:v>
      </x:c>
      <x:c r="Y752" s="58" t="n">
        <x:f>IF(R752="No","",W752*T752*Assumptions!$B$9)</x:f>
        <x:v>-404836.8595424657</x:v>
      </x:c>
      <x:c r="Z752" s="58" t="n">
        <x:f>IF(R752="No","",X752-Y752)</x:f>
        <x:v>-3261196.6624438977</x:v>
      </x:c>
      <x:c r="AA752" s="58" t="n">
        <x:f>IF(R752="No","",MAX(0,-Z752))</x:f>
        <x:v>3261196.6624438977</x:v>
      </x:c>
      <x:c r="AB752" s="52" t="n">
        <x:f>IF(OR(R752="No",U752*S752=0),"",AA752/(U752*S752))</x:f>
        <x:v>0.03932992224552399</x:v>
      </x:c>
      <x:c r="AC752" s="54" t="n">
        <x:f>IF(OR(R752="No",S752-T752*Assumptions!$B$9&lt;=0),"",AA752/(Assumptions!$B$8*(S752-T752*Assumptions!$B$9)))</x:f>
        <x:v>255.2814805623915</x:v>
      </x:c>
      <x:c r="AD752" s="52" t="n">
        <x:f>IF(OR(R752="No",U752*S752=0),"",AA752/(U752*S752))</x:f>
        <x:v>0.03932992224552399</x:v>
      </x:c>
      <x:c r="AE752" s="50" t="str">
        <x:f>IF(R752="No","No finance data",IF(AB752&gt;=10%,"Severe",IF(AB752&gt;=5%,"High",IF(AB752&gt;=2%,"Moderate","Low"))))</x:f>
        <x:v>Moderate</x:v>
      </x:c>
      <x:c r="AF752" s="60" t="n">
        <x:v>42.850013</x:v>
      </x:c>
      <x:c r="AG752" s="60" t="n">
        <x:v>-85.533519</x:v>
      </x:c>
      <x:c r="AH752" s="44" t="str">
        <x:v>Undergraduate tuition-contribution proxy only; not an audited total institutional budget.</x:v>
      </x:c>
    </x:row>
    <x:row r="753">
      <x:c r="A753" s="16" t="n">
        <x:v>169798</x:v>
      </x:c>
      <x:c r="B753" s="16" t="str">
        <x:v>Eastern Michigan University</x:v>
      </x:c>
      <x:c r="C753" s="16" t="str">
        <x:v>MI</x:v>
      </x:c>
      <x:c r="D753" s="16" t="str">
        <x:v>Public</x:v>
      </x:c>
      <x:c r="E753" s="34" t="n">
        <x:v>17275</x:v>
      </x:c>
      <x:c r="F753" s="21" t="n">
        <x:v>0.8461</x:v>
      </x:c>
      <x:c r="G753" s="16" t="str">
        <x:v>Statewide</x:v>
      </x:c>
      <x:c r="H753" s="36" t="n">
        <x:f>IF(G753="National",Assumptions!$B$11,IF(G753="Statewide",Assumptions!$B$12,Assumptions!$B$13))</x:f>
        <x:v>0.6</x:v>
      </x:c>
      <x:c r="I753" s="21" t="n">
        <x:v>-0.04799498871466501</x:v>
      </x:c>
      <x:c r="J753" s="21" t="n">
        <x:v>-0.043649886152347106</x:v>
      </x:c>
      <x:c r="K753" s="21" t="n">
        <x:v>-0.15354021457051092</x:v>
      </x:c>
      <x:c r="L753" s="36" t="n">
        <x:f>IF(Assumptions!$B$4=2030,I753,IF(Assumptions!$B$4=2035,J753,K753))</x:f>
        <x:v>-0.043649886152347106</x:v>
      </x:c>
      <x:c r="M753" s="36" t="n">
        <x:f>Assumptions!$B$19</x:f>
        <x:v>-0.04739891965741583</x:v>
      </x:c>
      <x:c r="N753" s="52" t="n">
        <x:f>H753*L753+(1-H753)*M753+O753</x:f>
        <x:v>-0.0451494995543746</x:v>
      </x:c>
      <x:c r="O753" s="36" t="n">
        <x:f>Assumptions!$B$10</x:f>
        <x:v>0</x:v>
      </x:c>
      <x:c r="P753" s="54" t="n">
        <x:f>E753*(1+N753)</x:f>
        <x:v>16495.04239519818</x:v>
      </x:c>
      <x:c r="Q753" s="54" t="n">
        <x:f>P753-E753</x:f>
        <x:v>-779.9576048018207</x:v>
      </x:c>
      <x:c r="R753" s="16" t="str">
        <x:v>Yes</x:v>
      </x:c>
      <x:c r="S753" s="56" t="n">
        <x:v>11475</x:v>
      </x:c>
      <x:c r="T753" s="56" t="n">
        <x:v>8040</x:v>
      </x:c>
      <x:c r="U753" s="40" t="n">
        <x:f>E753*Assumptions!$B$8</x:f>
        <x:v>14683.75</x:v>
      </x:c>
      <x:c r="V753" s="40" t="n">
        <x:f>P753*Assumptions!$B$8</x:f>
        <x:v>14020.786035918452</x:v>
      </x:c>
      <x:c r="W753" s="54" t="n">
        <x:f>V753-U753</x:f>
        <x:v>-662.9639640815476</x:v>
      </x:c>
      <x:c r="X753" s="58" t="n">
        <x:f>IF(R753="No","",W753*S753)</x:f>
        <x:v>-7607511.487835758</x:v>
      </x:c>
      <x:c r="Y753" s="58" t="n">
        <x:f>IF(R753="No","",W753*T753*Assumptions!$B$9)</x:f>
        <x:v>-1599069.081364693</x:v>
      </x:c>
      <x:c r="Z753" s="58" t="n">
        <x:f>IF(R753="No","",X753-Y753)</x:f>
        <x:v>-6008442.406471065</x:v>
      </x:c>
      <x:c r="AA753" s="58" t="n">
        <x:f>IF(R753="No","",MAX(0,-Z753))</x:f>
        <x:v>6008442.406471065</x:v>
      </x:c>
      <x:c r="AB753" s="52" t="n">
        <x:f>IF(OR(R753="No",U753*S753=0),"",AA753/(U753*S753))</x:f>
        <x:v>0.03565925180490603</x:v>
      </x:c>
      <x:c r="AC753" s="54" t="n">
        <x:f>IF(OR(R753="No",S753-T753*Assumptions!$B$9&lt;=0),"",AA753/(Assumptions!$B$8*(S753-T753*Assumptions!$B$9)))</x:f>
        <x:v>779.9576048018206</x:v>
      </x:c>
      <x:c r="AD753" s="52" t="n">
        <x:f>IF(OR(R753="No",U753*S753=0),"",AA753/(U753*S753))</x:f>
        <x:v>0.03565925180490603</x:v>
      </x:c>
      <x:c r="AE753" s="50" t="str">
        <x:f>IF(R753="No","No finance data",IF(AB753&gt;=10%,"Severe",IF(AB753&gt;=5%,"High",IF(AB753&gt;=2%,"Moderate","Low"))))</x:f>
        <x:v>Moderate</x:v>
      </x:c>
      <x:c r="AF753" s="60" t="n">
        <x:v>42.251675</x:v>
      </x:c>
      <x:c r="AG753" s="60" t="n">
        <x:v>-83.627443</x:v>
      </x:c>
      <x:c r="AH753" s="44" t="str">
        <x:v>Undergraduate tuition-contribution proxy only; not an audited total institutional budget.</x:v>
      </x:c>
    </x:row>
    <x:row r="754">
      <x:c r="A754" s="16" t="n">
        <x:v>169910</x:v>
      </x:c>
      <x:c r="B754" s="16" t="str">
        <x:v>Ferris State University</x:v>
      </x:c>
      <x:c r="C754" s="16" t="str">
        <x:v>MI</x:v>
      </x:c>
      <x:c r="D754" s="16" t="str">
        <x:v>Public</x:v>
      </x:c>
      <x:c r="E754" s="34" t="n">
        <x:v>12571</x:v>
      </x:c>
      <x:c r="F754" s="21" t="n">
        <x:v>0.8477</x:v>
      </x:c>
      <x:c r="G754" s="16" t="str">
        <x:v>Statewide</x:v>
      </x:c>
      <x:c r="H754" s="36" t="n">
        <x:f>IF(G754="National",Assumptions!$B$11,IF(G754="Statewide",Assumptions!$B$12,Assumptions!$B$13))</x:f>
        <x:v>0.6</x:v>
      </x:c>
      <x:c r="I754" s="21" t="n">
        <x:v>-0.04799498871466501</x:v>
      </x:c>
      <x:c r="J754" s="21" t="n">
        <x:v>-0.043649886152347106</x:v>
      </x:c>
      <x:c r="K754" s="21" t="n">
        <x:v>-0.15354021457051092</x:v>
      </x:c>
      <x:c r="L754" s="36" t="n">
        <x:f>IF(Assumptions!$B$4=2030,I754,IF(Assumptions!$B$4=2035,J754,K754))</x:f>
        <x:v>-0.043649886152347106</x:v>
      </x:c>
      <x:c r="M754" s="36" t="n">
        <x:f>Assumptions!$B$19</x:f>
        <x:v>-0.04739891965741583</x:v>
      </x:c>
      <x:c r="N754" s="52" t="n">
        <x:f>H754*L754+(1-H754)*M754+O754</x:f>
        <x:v>-0.0451494995543746</x:v>
      </x:c>
      <x:c r="O754" s="36" t="n">
        <x:f>Assumptions!$B$10</x:f>
        <x:v>0</x:v>
      </x:c>
      <x:c r="P754" s="54" t="n">
        <x:f>E754*(1+N754)</x:f>
        <x:v>12003.425641101956</x:v>
      </x:c>
      <x:c r="Q754" s="54" t="n">
        <x:f>P754-E754</x:f>
        <x:v>-567.574358898044</x:v>
      </x:c>
      <x:c r="R754" s="16" t="str">
        <x:v>Yes</x:v>
      </x:c>
      <x:c r="S754" s="56" t="n">
        <x:v>12181</x:v>
      </x:c>
      <x:c r="T754" s="56" t="n">
        <x:v>9236</x:v>
      </x:c>
      <x:c r="U754" s="40" t="n">
        <x:f>E754*Assumptions!$B$8</x:f>
        <x:v>10685.35</x:v>
      </x:c>
      <x:c r="V754" s="40" t="n">
        <x:f>P754*Assumptions!$B$8</x:f>
        <x:v>10202.911794936663</x:v>
      </x:c>
      <x:c r="W754" s="54" t="n">
        <x:f>V754-U754</x:f>
        <x:v>-482.4382050633376</x:v>
      </x:c>
      <x:c r="X754" s="58" t="n">
        <x:f>IF(R754="No","",W754*S754)</x:f>
        <x:v>-5876579.775876516</x:v>
      </x:c>
      <x:c r="Y754" s="58" t="n">
        <x:f>IF(R754="No","",W754*T754*Assumptions!$B$9)</x:f>
        <x:v>-1336739.7785894957</x:v>
      </x:c>
      <x:c r="Z754" s="58" t="n">
        <x:f>IF(R754="No","",X754-Y754)</x:f>
        <x:v>-4539839.99728702</x:v>
      </x:c>
      <x:c r="AA754" s="58" t="n">
        <x:f>IF(R754="No","",MAX(0,-Z754))</x:f>
        <x:v>4539839.99728702</x:v>
      </x:c>
      <x:c r="AB754" s="52" t="n">
        <x:f>IF(OR(R754="No",U754*S754=0),"",AA754/(U754*S754))</x:f>
        <x:v>0.03487938762881346</x:v>
      </x:c>
      <x:c r="AC754" s="54" t="n">
        <x:f>IF(OR(R754="No",S754-T754*Assumptions!$B$9&lt;=0),"",AA754/(Assumptions!$B$8*(S754-T754*Assumptions!$B$9)))</x:f>
        <x:v>567.5743588980444</x:v>
      </x:c>
      <x:c r="AD754" s="52" t="n">
        <x:f>IF(OR(R754="No",U754*S754=0),"",AA754/(U754*S754))</x:f>
        <x:v>0.03487938762881346</x:v>
      </x:c>
      <x:c r="AE754" s="50" t="str">
        <x:f>IF(R754="No","No finance data",IF(AB754&gt;=10%,"Severe",IF(AB754&gt;=5%,"High",IF(AB754&gt;=2%,"Moderate","Low"))))</x:f>
        <x:v>Moderate</x:v>
      </x:c>
      <x:c r="AF754" s="60" t="n">
        <x:v>43.687724</x:v>
      </x:c>
      <x:c r="AG754" s="60" t="n">
        <x:v>-85.481925</x:v>
      </x:c>
      <x:c r="AH754" s="44" t="str">
        <x:v>Undergraduate tuition-contribution proxy only; not an audited total institutional budget.</x:v>
      </x:c>
    </x:row>
    <x:row r="755">
      <x:c r="A755" s="16" t="n">
        <x:v>172440</x:v>
      </x:c>
      <x:c r="B755" s="16" t="str">
        <x:v>Finlandia University</x:v>
      </x:c>
      <x:c r="C755" s="16" t="str">
        <x:v>MI</x:v>
      </x:c>
      <x:c r="D755" s="16" t="str">
        <x:v>Private nonprofit</x:v>
      </x:c>
      <x:c r="E755" s="34" t="n">
        <x:v>506</x:v>
      </x:c>
      <x:c r="F755" s="21"/>
      <x:c r="G755" s="16" t="str">
        <x:v>Regional</x:v>
      </x:c>
      <x:c r="H755" s="36" t="n">
        <x:f>IF(G755="National",Assumptions!$B$11,IF(G755="Statewide",Assumptions!$B$12,Assumptions!$B$13))</x:f>
        <x:v>0.85</x:v>
      </x:c>
      <x:c r="I755" s="21" t="n">
        <x:v>-0.04799498871466501</x:v>
      </x:c>
      <x:c r="J755" s="21" t="n">
        <x:v>-0.043649886152347106</x:v>
      </x:c>
      <x:c r="K755" s="21" t="n">
        <x:v>-0.15354021457051092</x:v>
      </x:c>
      <x:c r="L755" s="36" t="n">
        <x:f>IF(Assumptions!$B$4=2030,I755,IF(Assumptions!$B$4=2035,J755,K755))</x:f>
        <x:v>-0.043649886152347106</x:v>
      </x:c>
      <x:c r="M755" s="36" t="n">
        <x:f>Assumptions!$B$19</x:f>
        <x:v>-0.04739891965741583</x:v>
      </x:c>
      <x:c r="N755" s="52" t="n">
        <x:f>H755*L755+(1-H755)*M755+O755</x:f>
        <x:v>-0.04421224117810742</x:v>
      </x:c>
      <x:c r="O755" s="36" t="n">
        <x:f>Assumptions!$B$10</x:f>
        <x:v>0</x:v>
      </x:c>
      <x:c r="P755" s="54" t="n">
        <x:f>E755*(1+N755)</x:f>
        <x:v>483.62860596387765</x:v>
      </x:c>
      <x:c r="Q755" s="54" t="n">
        <x:f>P755-E755</x:f>
        <x:v>-22.371394036122354</x:v>
      </x:c>
      <x:c r="R755" s="16" t="str">
        <x:v>No</x:v>
      </x:c>
      <x:c r="S755" s="56"/>
      <x:c r="T755" s="56"/>
      <x:c r="U755" s="40" t="n">
        <x:f>E755*Assumptions!$B$8</x:f>
        <x:v>430.09999999999997</x:v>
      </x:c>
      <x:c r="V755" s="40" t="n">
        <x:f>P755*Assumptions!$B$8</x:f>
        <x:v>411.084315069296</x:v>
      </x:c>
      <x:c r="W755" s="54" t="n">
        <x:f>V755-U755</x:f>
        <x:v>-19.01568493070397</x:v>
      </x:c>
      <x:c r="X755" s="58" t="str">
        <x:f>IF(R755="No","",W755*S755)</x:f>
      </x:c>
      <x:c r="Y755" s="58" t="str">
        <x:f>IF(R755="No","",W755*T755*Assumptions!$B$9)</x:f>
      </x:c>
      <x:c r="Z755" s="58" t="str">
        <x:f>IF(R755="No","",X755-Y755)</x:f>
      </x:c>
      <x:c r="AA755" s="58" t="str">
        <x:f>IF(R755="No","",MAX(0,-Z755))</x:f>
      </x:c>
      <x:c r="AB755" s="52" t="str">
        <x:f>IF(OR(R755="No",U755*S755=0),"",AA755/(U755*S755))</x:f>
      </x:c>
      <x:c r="AC755" s="54" t="str">
        <x:f>IF(OR(R755="No",S755-T755*Assumptions!$B$9&lt;=0),"",AA755/(Assumptions!$B$8*(S755-T755*Assumptions!$B$9)))</x:f>
      </x:c>
      <x:c r="AD755" s="52" t="str">
        <x:f>IF(OR(R755="No",U755*S755=0),"",AA755/(U755*S755))</x:f>
      </x:c>
      <x:c r="AE755" s="50" t="str">
        <x:f>IF(R755="No","No finance data",IF(AB755&gt;=10%,"Severe",IF(AB755&gt;=5%,"High",IF(AB755&gt;=2%,"Moderate","Low"))))</x:f>
        <x:v>No finance data</x:v>
      </x:c>
      <x:c r="AF755" s="60"/>
      <x:c r="AG755" s="60"/>
      <x:c r="AH755" s="44" t="str">
        <x:v>Undergraduate tuition-contribution proxy only; not an audited total institutional budget.</x:v>
      </x:c>
    </x:row>
    <x:row r="756">
      <x:c r="A756" s="16" t="n">
        <x:v>170000</x:v>
      </x:c>
      <x:c r="B756" s="16" t="str">
        <x:v>Grace Bible College</x:v>
      </x:c>
      <x:c r="C756" s="16" t="str">
        <x:v>MI</x:v>
      </x:c>
      <x:c r="D756" s="16" t="str">
        <x:v>Private nonprofit</x:v>
      </x:c>
      <x:c r="E756" s="34" t="n">
        <x:v>789</x:v>
      </x:c>
      <x:c r="F756" s="21" t="n">
        <x:v>1</x:v>
      </x:c>
      <x:c r="G756" s="16" t="str">
        <x:v>Regional</x:v>
      </x:c>
      <x:c r="H756" s="36" t="n">
        <x:f>IF(G756="National",Assumptions!$B$11,IF(G756="Statewide",Assumptions!$B$12,Assumptions!$B$13))</x:f>
        <x:v>0.85</x:v>
      </x:c>
      <x:c r="I756" s="21" t="n">
        <x:v>-0.04799498871466501</x:v>
      </x:c>
      <x:c r="J756" s="21" t="n">
        <x:v>-0.043649886152347106</x:v>
      </x:c>
      <x:c r="K756" s="21" t="n">
        <x:v>-0.15354021457051092</x:v>
      </x:c>
      <x:c r="L756" s="36" t="n">
        <x:f>IF(Assumptions!$B$4=2030,I756,IF(Assumptions!$B$4=2035,J756,K756))</x:f>
        <x:v>-0.043649886152347106</x:v>
      </x:c>
      <x:c r="M756" s="36" t="n">
        <x:f>Assumptions!$B$19</x:f>
        <x:v>-0.04739891965741583</x:v>
      </x:c>
      <x:c r="N756" s="52" t="n">
        <x:f>H756*L756+(1-H756)*M756+O756</x:f>
        <x:v>-0.04421224117810742</x:v>
      </x:c>
      <x:c r="O756" s="36" t="n">
        <x:f>Assumptions!$B$10</x:f>
        <x:v>0</x:v>
      </x:c>
      <x:c r="P756" s="54" t="n">
        <x:f>E756*(1+N756)</x:f>
        <x:v>754.1165417104733</x:v>
      </x:c>
      <x:c r="Q756" s="54" t="n">
        <x:f>P756-E756</x:f>
        <x:v>-34.88345828952674</x:v>
      </x:c>
      <x:c r="R756" s="16" t="str">
        <x:v>Yes</x:v>
      </x:c>
      <x:c r="S756" s="56" t="n">
        <x:v>8195</x:v>
      </x:c>
      <x:c r="T756" s="56" t="n">
        <x:v>5912</x:v>
      </x:c>
      <x:c r="U756" s="40" t="n">
        <x:f>E756*Assumptions!$B$8</x:f>
        <x:v>670.65</x:v>
      </x:c>
      <x:c r="V756" s="40" t="n">
        <x:f>P756*Assumptions!$B$8</x:f>
        <x:v>640.9990604539023</x:v>
      </x:c>
      <x:c r="W756" s="54" t="n">
        <x:f>V756-U756</x:f>
        <x:v>-29.650939546097675</x:v>
      </x:c>
      <x:c r="X756" s="58" t="n">
        <x:f>IF(R756="No","",W756*S756)</x:f>
        <x:v>-242989.44958027045</x:v>
      </x:c>
      <x:c r="Y756" s="58" t="n">
        <x:f>IF(R756="No","",W756*T756*Assumptions!$B$9)</x:f>
        <x:v>-52588.90637895883</x:v>
      </x:c>
      <x:c r="Z756" s="58" t="n">
        <x:f>IF(R756="No","",X756-Y756)</x:f>
        <x:v>-190400.5432013116</x:v>
      </x:c>
      <x:c r="AA756" s="58" t="n">
        <x:f>IF(R756="No","",MAX(0,-Z756))</x:f>
        <x:v>190400.5432013116</x:v>
      </x:c>
      <x:c r="AB756" s="52" t="n">
        <x:f>IF(OR(R756="No",U756*S756=0),"",AA756/(U756*S756))</x:f>
        <x:v>0.034643622391836285</x:v>
      </x:c>
      <x:c r="AC756" s="54" t="n">
        <x:f>IF(OR(R756="No",S756-T756*Assumptions!$B$9&lt;=0),"",AA756/(Assumptions!$B$8*(S756-T756*Assumptions!$B$9)))</x:f>
        <x:v>34.88345828952668</x:v>
      </x:c>
      <x:c r="AD756" s="52" t="n">
        <x:f>IF(OR(R756="No",U756*S756=0),"",AA756/(U756*S756))</x:f>
        <x:v>0.034643622391836285</x:v>
      </x:c>
      <x:c r="AE756" s="50" t="str">
        <x:f>IF(R756="No","No finance data",IF(AB756&gt;=10%,"Severe",IF(AB756&gt;=5%,"High",IF(AB756&gt;=2%,"Moderate","Low"))))</x:f>
        <x:v>Moderate</x:v>
      </x:c>
      <x:c r="AF756" s="60" t="n">
        <x:v>42.919541</x:v>
      </x:c>
      <x:c r="AG756" s="60" t="n">
        <x:v>-85.692077</x:v>
      </x:c>
      <x:c r="AH756" s="44" t="str">
        <x:v>Undergraduate tuition-contribution proxy only; not an audited total institutional budget.</x:v>
      </x:c>
    </x:row>
    <x:row r="757">
      <x:c r="A757" s="16" t="n">
        <x:v>170082</x:v>
      </x:c>
      <x:c r="B757" s="16" t="str">
        <x:v>Grand Valley State University</x:v>
      </x:c>
      <x:c r="C757" s="16" t="str">
        <x:v>MI</x:v>
      </x:c>
      <x:c r="D757" s="16" t="str">
        <x:v>Public</x:v>
      </x:c>
      <x:c r="E757" s="34" t="n">
        <x:v>21889</x:v>
      </x:c>
      <x:c r="F757" s="21" t="n">
        <x:v>0.9165</x:v>
      </x:c>
      <x:c r="G757" s="16" t="str">
        <x:v>Statewide</x:v>
      </x:c>
      <x:c r="H757" s="36" t="n">
        <x:f>IF(G757="National",Assumptions!$B$11,IF(G757="Statewide",Assumptions!$B$12,Assumptions!$B$13))</x:f>
        <x:v>0.6</x:v>
      </x:c>
      <x:c r="I757" s="21" t="n">
        <x:v>-0.04799498871466501</x:v>
      </x:c>
      <x:c r="J757" s="21" t="n">
        <x:v>-0.043649886152347106</x:v>
      </x:c>
      <x:c r="K757" s="21" t="n">
        <x:v>-0.15354021457051092</x:v>
      </x:c>
      <x:c r="L757" s="36" t="n">
        <x:f>IF(Assumptions!$B$4=2030,I757,IF(Assumptions!$B$4=2035,J757,K757))</x:f>
        <x:v>-0.043649886152347106</x:v>
      </x:c>
      <x:c r="M757" s="36" t="n">
        <x:f>Assumptions!$B$19</x:f>
        <x:v>-0.04739891965741583</x:v>
      </x:c>
      <x:c r="N757" s="52" t="n">
        <x:f>H757*L757+(1-H757)*M757+O757</x:f>
        <x:v>-0.0451494995543746</x:v>
      </x:c>
      <x:c r="O757" s="36" t="n">
        <x:f>Assumptions!$B$10</x:f>
        <x:v>0</x:v>
      </x:c>
      <x:c r="P757" s="54" t="n">
        <x:f>E757*(1+N757)</x:f>
        <x:v>20900.722604254293</x:v>
      </x:c>
      <x:c r="Q757" s="54" t="n">
        <x:f>P757-E757</x:f>
        <x:v>-988.2773957457066</x:v>
      </x:c>
      <x:c r="R757" s="16" t="str">
        <x:v>Yes</x:v>
      </x:c>
      <x:c r="S757" s="56" t="n">
        <x:v>12228</x:v>
      </x:c>
      <x:c r="T757" s="56" t="n">
        <x:v>9296</x:v>
      </x:c>
      <x:c r="U757" s="40" t="n">
        <x:f>E757*Assumptions!$B$8</x:f>
        <x:v>18605.649999999998</x:v>
      </x:c>
      <x:c r="V757" s="40" t="n">
        <x:f>P757*Assumptions!$B$8</x:f>
        <x:v>17765.61421361615</x:v>
      </x:c>
      <x:c r="W757" s="54" t="n">
        <x:f>V757-U757</x:f>
        <x:v>-840.0357863838472</x:v>
      </x:c>
      <x:c r="X757" s="58" t="n">
        <x:f>IF(R757="No","",W757*S757)</x:f>
        <x:v>-10271957.595901683</x:v>
      </x:c>
      <x:c r="Y757" s="58" t="n">
        <x:f>IF(R757="No","",W757*T757*Assumptions!$B$9)</x:f>
        <x:v>-2342691.8010672727</x:v>
      </x:c>
      <x:c r="Z757" s="58" t="n">
        <x:f>IF(R757="No","",X757-Y757)</x:f>
        <x:v>-7929265.794834411</x:v>
      </x:c>
      <x:c r="AA757" s="58" t="n">
        <x:f>IF(R757="No","",MAX(0,-Z757))</x:f>
        <x:v>7929265.794834411</x:v>
      </x:c>
      <x:c r="AB757" s="52" t="n">
        <x:f>IF(OR(R757="No",U757*S757=0),"",AA757/(U757*S757))</x:f>
        <x:v>0.03485240073549652</x:v>
      </x:c>
      <x:c r="AC757" s="54" t="n">
        <x:f>IF(OR(R757="No",S757-T757*Assumptions!$B$9&lt;=0),"",AA757/(Assumptions!$B$8*(S757-T757*Assumptions!$B$9)))</x:f>
        <x:v>988.2773957457025</x:v>
      </x:c>
      <x:c r="AD757" s="52" t="n">
        <x:f>IF(OR(R757="No",U757*S757=0),"",AA757/(U757*S757))</x:f>
        <x:v>0.03485240073549652</x:v>
      </x:c>
      <x:c r="AE757" s="50" t="str">
        <x:f>IF(R757="No","No finance data",IF(AB757&gt;=10%,"Severe",IF(AB757&gt;=5%,"High",IF(AB757&gt;=2%,"Moderate","Low"))))</x:f>
        <x:v>Moderate</x:v>
      </x:c>
      <x:c r="AF757" s="60" t="n">
        <x:v>42.963001</x:v>
      </x:c>
      <x:c r="AG757" s="60" t="n">
        <x:v>-85.889826</x:v>
      </x:c>
      <x:c r="AH757" s="44" t="str">
        <x:v>Undergraduate tuition-contribution proxy only; not an audited total institutional budget.</x:v>
      </x:c>
    </x:row>
    <x:row r="758">
      <x:c r="A758" s="16" t="n">
        <x:v>170091</x:v>
      </x:c>
      <x:c r="B758" s="16" t="str">
        <x:v>Great Lakes Christian College</x:v>
      </x:c>
      <x:c r="C758" s="16" t="str">
        <x:v>MI</x:v>
      </x:c>
      <x:c r="D758" s="16" t="str">
        <x:v>Private nonprofit</x:v>
      </x:c>
      <x:c r="E758" s="34" t="n">
        <x:v>158</x:v>
      </x:c>
      <x:c r="F758" s="21"/>
      <x:c r="G758" s="16" t="str">
        <x:v>Regional</x:v>
      </x:c>
      <x:c r="H758" s="36" t="n">
        <x:f>IF(G758="National",Assumptions!$B$11,IF(G758="Statewide",Assumptions!$B$12,Assumptions!$B$13))</x:f>
        <x:v>0.85</x:v>
      </x:c>
      <x:c r="I758" s="21" t="n">
        <x:v>-0.04799498871466501</x:v>
      </x:c>
      <x:c r="J758" s="21" t="n">
        <x:v>-0.043649886152347106</x:v>
      </x:c>
      <x:c r="K758" s="21" t="n">
        <x:v>-0.15354021457051092</x:v>
      </x:c>
      <x:c r="L758" s="36" t="n">
        <x:f>IF(Assumptions!$B$4=2030,I758,IF(Assumptions!$B$4=2035,J758,K758))</x:f>
        <x:v>-0.043649886152347106</x:v>
      </x:c>
      <x:c r="M758" s="36" t="n">
        <x:f>Assumptions!$B$19</x:f>
        <x:v>-0.04739891965741583</x:v>
      </x:c>
      <x:c r="N758" s="52" t="n">
        <x:f>H758*L758+(1-H758)*M758+O758</x:f>
        <x:v>-0.04421224117810742</x:v>
      </x:c>
      <x:c r="O758" s="36" t="n">
        <x:f>Assumptions!$B$10</x:f>
        <x:v>0</x:v>
      </x:c>
      <x:c r="P758" s="54" t="n">
        <x:f>E758*(1+N758)</x:f>
        <x:v>151.01446589385904</x:v>
      </x:c>
      <x:c r="Q758" s="54" t="n">
        <x:f>P758-E758</x:f>
        <x:v>-6.98553410614096</x:v>
      </x:c>
      <x:c r="R758" s="16" t="str">
        <x:v>No</x:v>
      </x:c>
      <x:c r="S758" s="56"/>
      <x:c r="T758" s="56"/>
      <x:c r="U758" s="40" t="n">
        <x:f>E758*Assumptions!$B$8</x:f>
        <x:v>134.29999999999998</x:v>
      </x:c>
      <x:c r="V758" s="40" t="n">
        <x:f>P758*Assumptions!$B$8</x:f>
        <x:v>128.36229600978018</x:v>
      </x:c>
      <x:c r="W758" s="54" t="n">
        <x:f>V758-U758</x:f>
        <x:v>-5.937703990219802</x:v>
      </x:c>
      <x:c r="X758" s="58" t="str">
        <x:f>IF(R758="No","",W758*S758)</x:f>
      </x:c>
      <x:c r="Y758" s="58" t="str">
        <x:f>IF(R758="No","",W758*T758*Assumptions!$B$9)</x:f>
      </x:c>
      <x:c r="Z758" s="58" t="str">
        <x:f>IF(R758="No","",X758-Y758)</x:f>
      </x:c>
      <x:c r="AA758" s="58" t="str">
        <x:f>IF(R758="No","",MAX(0,-Z758))</x:f>
      </x:c>
      <x:c r="AB758" s="52" t="str">
        <x:f>IF(OR(R758="No",U758*S758=0),"",AA758/(U758*S758))</x:f>
      </x:c>
      <x:c r="AC758" s="54" t="str">
        <x:f>IF(OR(R758="No",S758-T758*Assumptions!$B$9&lt;=0),"",AA758/(Assumptions!$B$8*(S758-T758*Assumptions!$B$9)))</x:f>
      </x:c>
      <x:c r="AD758" s="52" t="str">
        <x:f>IF(OR(R758="No",U758*S758=0),"",AA758/(U758*S758))</x:f>
      </x:c>
      <x:c r="AE758" s="50" t="str">
        <x:f>IF(R758="No","No finance data",IF(AB758&gt;=10%,"Severe",IF(AB758&gt;=5%,"High",IF(AB758&gt;=2%,"Moderate","Low"))))</x:f>
        <x:v>No finance data</x:v>
      </x:c>
      <x:c r="AF758" s="60"/>
      <x:c r="AG758" s="60"/>
      <x:c r="AH758" s="44" t="str">
        <x:v>Undergraduate tuition-contribution proxy only; not an audited total institutional budget.</x:v>
      </x:c>
    </x:row>
    <x:row r="759">
      <x:c r="A759" s="16" t="n">
        <x:v>170301</x:v>
      </x:c>
      <x:c r="B759" s="16" t="str">
        <x:v>Hope College</x:v>
      </x:c>
      <x:c r="C759" s="16" t="str">
        <x:v>MI</x:v>
      </x:c>
      <x:c r="D759" s="16" t="str">
        <x:v>Private nonprofit</x:v>
      </x:c>
      <x:c r="E759" s="34" t="n">
        <x:v>3254</x:v>
      </x:c>
      <x:c r="F759" s="21" t="n">
        <x:v>0.9238</x:v>
      </x:c>
      <x:c r="G759" s="16" t="str">
        <x:v>Regional</x:v>
      </x:c>
      <x:c r="H759" s="36" t="n">
        <x:f>IF(G759="National",Assumptions!$B$11,IF(G759="Statewide",Assumptions!$B$12,Assumptions!$B$13))</x:f>
        <x:v>0.85</x:v>
      </x:c>
      <x:c r="I759" s="21" t="n">
        <x:v>-0.04799498871466501</x:v>
      </x:c>
      <x:c r="J759" s="21" t="n">
        <x:v>-0.043649886152347106</x:v>
      </x:c>
      <x:c r="K759" s="21" t="n">
        <x:v>-0.15354021457051092</x:v>
      </x:c>
      <x:c r="L759" s="36" t="n">
        <x:f>IF(Assumptions!$B$4=2030,I759,IF(Assumptions!$B$4=2035,J759,K759))</x:f>
        <x:v>-0.043649886152347106</x:v>
      </x:c>
      <x:c r="M759" s="36" t="n">
        <x:f>Assumptions!$B$19</x:f>
        <x:v>-0.04739891965741583</x:v>
      </x:c>
      <x:c r="N759" s="52" t="n">
        <x:f>H759*L759+(1-H759)*M759+O759</x:f>
        <x:v>-0.04421224117810742</x:v>
      </x:c>
      <x:c r="O759" s="36" t="n">
        <x:f>Assumptions!$B$10</x:f>
        <x:v>0</x:v>
      </x:c>
      <x:c r="P759" s="54" t="n">
        <x:f>E759*(1+N759)</x:f>
        <x:v>3110.1333672064384</x:v>
      </x:c>
      <x:c r="Q759" s="54" t="n">
        <x:f>P759-E759</x:f>
        <x:v>-143.86663279356162</x:v>
      </x:c>
      <x:c r="R759" s="16" t="str">
        <x:v>Yes</x:v>
      </x:c>
      <x:c r="S759" s="56" t="n">
        <x:v>20354</x:v>
      </x:c>
      <x:c r="T759" s="56" t="n">
        <x:v>11545</x:v>
      </x:c>
      <x:c r="U759" s="40" t="n">
        <x:f>E759*Assumptions!$B$8</x:f>
        <x:v>2765.9</x:v>
      </x:c>
      <x:c r="V759" s="40" t="n">
        <x:f>P759*Assumptions!$B$8</x:f>
        <x:v>2643.6133621254726</x:v>
      </x:c>
      <x:c r="W759" s="54" t="n">
        <x:f>V759-U759</x:f>
        <x:v>-122.28663787452751</x:v>
      </x:c>
      <x:c r="X759" s="58" t="n">
        <x:f>IF(R759="No","",W759*S759)</x:f>
        <x:v>-2489022.227298133</x:v>
      </x:c>
      <x:c r="Y759" s="58" t="n">
        <x:f>IF(R759="No","",W759*T759*Assumptions!$B$9)</x:f>
        <x:v>-423539.770278426</x:v>
      </x:c>
      <x:c r="Z759" s="58" t="n">
        <x:f>IF(R759="No","",X759-Y759)</x:f>
        <x:v>-2065482.4570197072</x:v>
      </x:c>
      <x:c r="AA759" s="58" t="n">
        <x:f>IF(R759="No","",MAX(0,-Z759))</x:f>
        <x:v>2065482.4570197072</x:v>
      </x:c>
      <x:c r="AB759" s="52" t="n">
        <x:f>IF(OR(R759="No",U759*S759=0),"",AA759/(U759*S759))</x:f>
        <x:v>0.03668894859088261</x:v>
      </x:c>
      <x:c r="AC759" s="54" t="n">
        <x:f>IF(OR(R759="No",S759-T759*Assumptions!$B$9&lt;=0),"",AA759/(Assumptions!$B$8*(S759-T759*Assumptions!$B$9)))</x:f>
        <x:v>143.8666327935618</x:v>
      </x:c>
      <x:c r="AD759" s="52" t="n">
        <x:f>IF(OR(R759="No",U759*S759=0),"",AA759/(U759*S759))</x:f>
        <x:v>0.03668894859088261</x:v>
      </x:c>
      <x:c r="AE759" s="50" t="str">
        <x:f>IF(R759="No","No finance data",IF(AB759&gt;=10%,"Severe",IF(AB759&gt;=5%,"High",IF(AB759&gt;=2%,"Moderate","Low"))))</x:f>
        <x:v>Moderate</x:v>
      </x:c>
      <x:c r="AF759" s="60" t="n">
        <x:v>42.787247</x:v>
      </x:c>
      <x:c r="AG759" s="60" t="n">
        <x:v>-86.100971</x:v>
      </x:c>
      <x:c r="AH759" s="44" t="str">
        <x:v>Undergraduate tuition-contribution proxy only; not an audited total institutional budget.</x:v>
      </x:c>
    </x:row>
    <x:row r="760">
      <x:c r="A760" s="16" t="n">
        <x:v>170532</x:v>
      </x:c>
      <x:c r="B760" s="16" t="str">
        <x:v>Kalamazoo College</x:v>
      </x:c>
      <x:c r="C760" s="16" t="str">
        <x:v>MI</x:v>
      </x:c>
      <x:c r="D760" s="16" t="str">
        <x:v>Private nonprofit</x:v>
      </x:c>
      <x:c r="E760" s="34" t="n">
        <x:v>1415</x:v>
      </x:c>
      <x:c r="F760" s="21" t="n">
        <x:v>0.7958</x:v>
      </x:c>
      <x:c r="G760" s="16" t="str">
        <x:v>Regional</x:v>
      </x:c>
      <x:c r="H760" s="36" t="n">
        <x:f>IF(G760="National",Assumptions!$B$11,IF(G760="Statewide",Assumptions!$B$12,Assumptions!$B$13))</x:f>
        <x:v>0.85</x:v>
      </x:c>
      <x:c r="I760" s="21" t="n">
        <x:v>-0.04799498871466501</x:v>
      </x:c>
      <x:c r="J760" s="21" t="n">
        <x:v>-0.043649886152347106</x:v>
      </x:c>
      <x:c r="K760" s="21" t="n">
        <x:v>-0.15354021457051092</x:v>
      </x:c>
      <x:c r="L760" s="36" t="n">
        <x:f>IF(Assumptions!$B$4=2030,I760,IF(Assumptions!$B$4=2035,J760,K760))</x:f>
        <x:v>-0.043649886152347106</x:v>
      </x:c>
      <x:c r="M760" s="36" t="n">
        <x:f>Assumptions!$B$19</x:f>
        <x:v>-0.04739891965741583</x:v>
      </x:c>
      <x:c r="N760" s="52" t="n">
        <x:f>H760*L760+(1-H760)*M760+O760</x:f>
        <x:v>-0.04421224117810742</x:v>
      </x:c>
      <x:c r="O760" s="36" t="n">
        <x:f>Assumptions!$B$10</x:f>
        <x:v>0</x:v>
      </x:c>
      <x:c r="P760" s="54" t="n">
        <x:f>E760*(1+N760)</x:f>
        <x:v>1352.439678732978</x:v>
      </x:c>
      <x:c r="Q760" s="54" t="n">
        <x:f>P760-E760</x:f>
        <x:v>-62.56032126702189</x:v>
      </x:c>
      <x:c r="R760" s="16" t="str">
        <x:v>Yes</x:v>
      </x:c>
      <x:c r="S760" s="56" t="n">
        <x:v>15442</x:v>
      </x:c>
      <x:c r="T760" s="56" t="n">
        <x:v>13803</x:v>
      </x:c>
      <x:c r="U760" s="40" t="n">
        <x:f>E760*Assumptions!$B$8</x:f>
        <x:v>1202.75</x:v>
      </x:c>
      <x:c r="V760" s="40" t="n">
        <x:f>P760*Assumptions!$B$8</x:f>
        <x:v>1149.5737269230315</x:v>
      </x:c>
      <x:c r="W760" s="54" t="n">
        <x:f>V760-U760</x:f>
        <x:v>-53.17627307696853</x:v>
      </x:c>
      <x:c r="X760" s="58" t="n">
        <x:f>IF(R760="No","",W760*S760)</x:f>
        <x:v>-821148.008854548</x:v>
      </x:c>
      <x:c r="Y760" s="58" t="n">
        <x:f>IF(R760="No","",W760*T760*Assumptions!$B$9)</x:f>
        <x:v>-220197.62918441897</x:v>
      </x:c>
      <x:c r="Z760" s="58" t="n">
        <x:f>IF(R760="No","",X760-Y760)</x:f>
        <x:v>-600950.379670129</x:v>
      </x:c>
      <x:c r="AA760" s="58" t="n">
        <x:f>IF(R760="No","",MAX(0,-Z760))</x:f>
        <x:v>600950.379670129</x:v>
      </x:c>
      <x:c r="AB760" s="52" t="n">
        <x:f>IF(OR(R760="No",U760*S760=0),"",AA760/(U760*S760))</x:f>
        <x:v>0.03235636308625231</x:v>
      </x:c>
      <x:c r="AC760" s="54" t="n">
        <x:f>IF(OR(R760="No",S760-T760*Assumptions!$B$9&lt;=0),"",AA760/(Assumptions!$B$8*(S760-T760*Assumptions!$B$9)))</x:f>
        <x:v>62.5603212670218</x:v>
      </x:c>
      <x:c r="AD760" s="52" t="n">
        <x:f>IF(OR(R760="No",U760*S760=0),"",AA760/(U760*S760))</x:f>
        <x:v>0.03235636308625231</x:v>
      </x:c>
      <x:c r="AE760" s="50" t="str">
        <x:f>IF(R760="No","No finance data",IF(AB760&gt;=10%,"Severe",IF(AB760&gt;=5%,"High",IF(AB760&gt;=2%,"Moderate","Low"))))</x:f>
        <x:v>Moderate</x:v>
      </x:c>
      <x:c r="AF760" s="60" t="n">
        <x:v>42.290789</x:v>
      </x:c>
      <x:c r="AG760" s="60" t="n">
        <x:v>-85.601857</x:v>
      </x:c>
      <x:c r="AH760" s="44" t="str">
        <x:v>Undergraduate tuition-contribution proxy only; not an audited total institutional budget.</x:v>
      </x:c>
    </x:row>
    <x:row r="761">
      <x:c r="A761" s="16" t="n">
        <x:v>169983</x:v>
      </x:c>
      <x:c r="B761" s="16" t="str">
        <x:v>Kettering University</x:v>
      </x:c>
      <x:c r="C761" s="16" t="str">
        <x:v>MI</x:v>
      </x:c>
      <x:c r="D761" s="16" t="str">
        <x:v>Private nonprofit</x:v>
      </x:c>
      <x:c r="E761" s="34" t="n">
        <x:v>1802</x:v>
      </x:c>
      <x:c r="F761" s="21" t="n">
        <x:v>0.8559</x:v>
      </x:c>
      <x:c r="G761" s="16" t="str">
        <x:v>Regional</x:v>
      </x:c>
      <x:c r="H761" s="36" t="n">
        <x:f>IF(G761="National",Assumptions!$B$11,IF(G761="Statewide",Assumptions!$B$12,Assumptions!$B$13))</x:f>
        <x:v>0.85</x:v>
      </x:c>
      <x:c r="I761" s="21" t="n">
        <x:v>-0.04799498871466501</x:v>
      </x:c>
      <x:c r="J761" s="21" t="n">
        <x:v>-0.043649886152347106</x:v>
      </x:c>
      <x:c r="K761" s="21" t="n">
        <x:v>-0.15354021457051092</x:v>
      </x:c>
      <x:c r="L761" s="36" t="n">
        <x:f>IF(Assumptions!$B$4=2030,I761,IF(Assumptions!$B$4=2035,J761,K761))</x:f>
        <x:v>-0.043649886152347106</x:v>
      </x:c>
      <x:c r="M761" s="36" t="n">
        <x:f>Assumptions!$B$19</x:f>
        <x:v>-0.04739891965741583</x:v>
      </x:c>
      <x:c r="N761" s="52" t="n">
        <x:f>H761*L761+(1-H761)*M761+O761</x:f>
        <x:v>-0.04421224117810742</x:v>
      </x:c>
      <x:c r="O761" s="36" t="n">
        <x:f>Assumptions!$B$10</x:f>
        <x:v>0</x:v>
      </x:c>
      <x:c r="P761" s="54" t="n">
        <x:f>E761*(1+N761)</x:f>
        <x:v>1722.3295413970504</x:v>
      </x:c>
      <x:c r="Q761" s="54" t="n">
        <x:f>P761-E761</x:f>
        <x:v>-79.67045860294957</x:v>
      </x:c>
      <x:c r="R761" s="16" t="str">
        <x:v>Yes</x:v>
      </x:c>
      <x:c r="S761" s="56" t="n">
        <x:v>20850</x:v>
      </x:c>
      <x:c r="T761" s="56" t="n">
        <x:v>10692</x:v>
      </x:c>
      <x:c r="U761" s="40" t="n">
        <x:f>E761*Assumptions!$B$8</x:f>
        <x:v>1531.7</x:v>
      </x:c>
      <x:c r="V761" s="40" t="n">
        <x:f>P761*Assumptions!$B$8</x:f>
        <x:v>1463.9801101874928</x:v>
      </x:c>
      <x:c r="W761" s="54" t="n">
        <x:f>V761-U761</x:f>
        <x:v>-67.71988981250729</x:v>
      </x:c>
      <x:c r="X761" s="58" t="n">
        <x:f>IF(R761="No","",W761*S761)</x:f>
        <x:v>-1411959.702590777</x:v>
      </x:c>
      <x:c r="Y761" s="58" t="n">
        <x:f>IF(R761="No","",W761*T761*Assumptions!$B$9)</x:f>
        <x:v>-217218.31856259838</x:v>
      </x:c>
      <x:c r="Z761" s="58" t="n">
        <x:f>IF(R761="No","",X761-Y761)</x:f>
        <x:v>-1194741.3840281786</x:v>
      </x:c>
      <x:c r="AA761" s="58" t="n">
        <x:f>IF(R761="No","",MAX(0,-Z761))</x:f>
        <x:v>1194741.3840281786</x:v>
      </x:c>
      <x:c r="AB761" s="52" t="n">
        <x:f>IF(OR(R761="No",U761*S761=0),"",AA761/(U761*S761))</x:f>
        <x:v>0.037410553657584854</x:v>
      </x:c>
      <x:c r="AC761" s="54" t="n">
        <x:f>IF(OR(R761="No",S761-T761*Assumptions!$B$9&lt;=0),"",AA761/(Assumptions!$B$8*(S761-T761*Assumptions!$B$9)))</x:f>
        <x:v>79.67045860294975</x:v>
      </x:c>
      <x:c r="AD761" s="52" t="n">
        <x:f>IF(OR(R761="No",U761*S761=0),"",AA761/(U761*S761))</x:f>
        <x:v>0.037410553657584854</x:v>
      </x:c>
      <x:c r="AE761" s="50" t="str">
        <x:f>IF(R761="No","No finance data",IF(AB761&gt;=10%,"Severe",IF(AB761&gt;=5%,"High",IF(AB761&gt;=2%,"Moderate","Low"))))</x:f>
        <x:v>Moderate</x:v>
      </x:c>
      <x:c r="AF761" s="60" t="n">
        <x:v>43.012468</x:v>
      </x:c>
      <x:c r="AG761" s="60" t="n">
        <x:v>-83.71282</x:v>
      </x:c>
      <x:c r="AH761" s="44" t="str">
        <x:v>Undergraduate tuition-contribution proxy only; not an audited total institutional budget.</x:v>
      </x:c>
    </x:row>
    <x:row r="762">
      <x:c r="A762" s="16" t="n">
        <x:v>171881</x:v>
      </x:c>
      <x:c r="B762" s="16" t="str">
        <x:v>Kuyper College</x:v>
      </x:c>
      <x:c r="C762" s="16" t="str">
        <x:v>MI</x:v>
      </x:c>
      <x:c r="D762" s="16" t="str">
        <x:v>Private nonprofit</x:v>
      </x:c>
      <x:c r="E762" s="34" t="n">
        <x:v>255</x:v>
      </x:c>
      <x:c r="F762" s="21"/>
      <x:c r="G762" s="16" t="str">
        <x:v>Regional</x:v>
      </x:c>
      <x:c r="H762" s="36" t="n">
        <x:f>IF(G762="National",Assumptions!$B$11,IF(G762="Statewide",Assumptions!$B$12,Assumptions!$B$13))</x:f>
        <x:v>0.85</x:v>
      </x:c>
      <x:c r="I762" s="21" t="n">
        <x:v>-0.04799498871466501</x:v>
      </x:c>
      <x:c r="J762" s="21" t="n">
        <x:v>-0.043649886152347106</x:v>
      </x:c>
      <x:c r="K762" s="21" t="n">
        <x:v>-0.15354021457051092</x:v>
      </x:c>
      <x:c r="L762" s="36" t="n">
        <x:f>IF(Assumptions!$B$4=2030,I762,IF(Assumptions!$B$4=2035,J762,K762))</x:f>
        <x:v>-0.043649886152347106</x:v>
      </x:c>
      <x:c r="M762" s="36" t="n">
        <x:f>Assumptions!$B$19</x:f>
        <x:v>-0.04739891965741583</x:v>
      </x:c>
      <x:c r="N762" s="52" t="n">
        <x:f>H762*L762+(1-H762)*M762+O762</x:f>
        <x:v>-0.04421224117810742</x:v>
      </x:c>
      <x:c r="O762" s="36" t="n">
        <x:f>Assumptions!$B$10</x:f>
        <x:v>0</x:v>
      </x:c>
      <x:c r="P762" s="54" t="n">
        <x:f>E762*(1+N762)</x:f>
        <x:v>243.72587849958262</x:v>
      </x:c>
      <x:c r="Q762" s="54" t="n">
        <x:f>P762-E762</x:f>
        <x:v>-11.27412150041738</x:v>
      </x:c>
      <x:c r="R762" s="16" t="str">
        <x:v>No</x:v>
      </x:c>
      <x:c r="S762" s="56"/>
      <x:c r="T762" s="56"/>
      <x:c r="U762" s="40" t="n">
        <x:f>E762*Assumptions!$B$8</x:f>
        <x:v>216.75</x:v>
      </x:c>
      <x:c r="V762" s="40" t="n">
        <x:f>P762*Assumptions!$B$8</x:f>
        <x:v>207.16699672464523</x:v>
      </x:c>
      <x:c r="W762" s="54" t="n">
        <x:f>V762-U762</x:f>
        <x:v>-9.58300327535477</x:v>
      </x:c>
      <x:c r="X762" s="58" t="str">
        <x:f>IF(R762="No","",W762*S762)</x:f>
      </x:c>
      <x:c r="Y762" s="58" t="str">
        <x:f>IF(R762="No","",W762*T762*Assumptions!$B$9)</x:f>
      </x:c>
      <x:c r="Z762" s="58" t="str">
        <x:f>IF(R762="No","",X762-Y762)</x:f>
      </x:c>
      <x:c r="AA762" s="58" t="str">
        <x:f>IF(R762="No","",MAX(0,-Z762))</x:f>
      </x:c>
      <x:c r="AB762" s="52" t="str">
        <x:f>IF(OR(R762="No",U762*S762=0),"",AA762/(U762*S762))</x:f>
      </x:c>
      <x:c r="AC762" s="54" t="str">
        <x:f>IF(OR(R762="No",S762-T762*Assumptions!$B$9&lt;=0),"",AA762/(Assumptions!$B$8*(S762-T762*Assumptions!$B$9)))</x:f>
      </x:c>
      <x:c r="AD762" s="52" t="str">
        <x:f>IF(OR(R762="No",U762*S762=0),"",AA762/(U762*S762))</x:f>
      </x:c>
      <x:c r="AE762" s="50" t="str">
        <x:f>IF(R762="No","No finance data",IF(AB762&gt;=10%,"Severe",IF(AB762&gt;=5%,"High",IF(AB762&gt;=2%,"Moderate","Low"))))</x:f>
        <x:v>No finance data</x:v>
      </x:c>
      <x:c r="AF762" s="60"/>
      <x:c r="AG762" s="60"/>
      <x:c r="AH762" s="44" t="str">
        <x:v>Undergraduate tuition-contribution proxy only; not an audited total institutional budget.</x:v>
      </x:c>
    </x:row>
    <x:row r="763">
      <x:c r="A763" s="16" t="n">
        <x:v>170639</x:v>
      </x:c>
      <x:c r="B763" s="16" t="str">
        <x:v>Lake Superior State University</x:v>
      </x:c>
      <x:c r="C763" s="16" t="str">
        <x:v>MI</x:v>
      </x:c>
      <x:c r="D763" s="16" t="str">
        <x:v>Public</x:v>
      </x:c>
      <x:c r="E763" s="34" t="n">
        <x:v>2095</x:v>
      </x:c>
      <x:c r="F763" s="21" t="n">
        <x:v>0.7329</x:v>
      </x:c>
      <x:c r="G763" s="16" t="str">
        <x:v>Regional</x:v>
      </x:c>
      <x:c r="H763" s="36" t="n">
        <x:f>IF(G763="National",Assumptions!$B$11,IF(G763="Statewide",Assumptions!$B$12,Assumptions!$B$13))</x:f>
        <x:v>0.85</x:v>
      </x:c>
      <x:c r="I763" s="21" t="n">
        <x:v>-0.04799498871466501</x:v>
      </x:c>
      <x:c r="J763" s="21" t="n">
        <x:v>-0.043649886152347106</x:v>
      </x:c>
      <x:c r="K763" s="21" t="n">
        <x:v>-0.15354021457051092</x:v>
      </x:c>
      <x:c r="L763" s="36" t="n">
        <x:f>IF(Assumptions!$B$4=2030,I763,IF(Assumptions!$B$4=2035,J763,K763))</x:f>
        <x:v>-0.043649886152347106</x:v>
      </x:c>
      <x:c r="M763" s="36" t="n">
        <x:f>Assumptions!$B$19</x:f>
        <x:v>-0.04739891965741583</x:v>
      </x:c>
      <x:c r="N763" s="52" t="n">
        <x:f>H763*L763+(1-H763)*M763+O763</x:f>
        <x:v>-0.04421224117810742</x:v>
      </x:c>
      <x:c r="O763" s="36" t="n">
        <x:f>Assumptions!$B$10</x:f>
        <x:v>0</x:v>
      </x:c>
      <x:c r="P763" s="54" t="n">
        <x:f>E763*(1+N763)</x:f>
        <x:v>2002.375354731865</x:v>
      </x:c>
      <x:c r="Q763" s="54" t="n">
        <x:f>P763-E763</x:f>
        <x:v>-92.62464526813505</x:v>
      </x:c>
      <x:c r="R763" s="16" t="str">
        <x:v>Yes</x:v>
      </x:c>
      <x:c r="S763" s="56" t="n">
        <x:v>7715</x:v>
      </x:c>
      <x:c r="T763" s="56" t="n">
        <x:v>9122</x:v>
      </x:c>
      <x:c r="U763" s="40" t="n">
        <x:f>E763*Assumptions!$B$8</x:f>
        <x:v>1780.75</x:v>
      </x:c>
      <x:c r="V763" s="40" t="n">
        <x:f>P763*Assumptions!$B$8</x:f>
        <x:v>1702.0190515220852</x:v>
      </x:c>
      <x:c r="W763" s="54" t="n">
        <x:f>V763-U763</x:f>
        <x:v>-78.73094847791481</x:v>
      </x:c>
      <x:c r="X763" s="58" t="n">
        <x:f>IF(R763="No","",W763*S763)</x:f>
        <x:v>-607409.2675071127</x:v>
      </x:c>
      <x:c r="Y763" s="58" t="n">
        <x:f>IF(R763="No","",W763*T763*Assumptions!$B$9)</x:f>
        <x:v>-215455.11360466163</x:v>
      </x:c>
      <x:c r="Z763" s="58" t="n">
        <x:f>IF(R763="No","",X763-Y763)</x:f>
        <x:v>-391954.15390245104</x:v>
      </x:c>
      <x:c r="AA763" s="58" t="n">
        <x:f>IF(R763="No","",MAX(0,-Z763))</x:f>
        <x:v>391954.15390245104</x:v>
      </x:c>
      <x:c r="AB763" s="52" t="n">
        <x:f>IF(OR(R763="No",U763*S763=0),"",AA763/(U763*S763))</x:f>
        <x:v>0.028529646335850943</x:v>
      </x:c>
      <x:c r="AC763" s="54" t="n">
        <x:f>IF(OR(R763="No",S763-T763*Assumptions!$B$9&lt;=0),"",AA763/(Assumptions!$B$8*(S763-T763*Assumptions!$B$9)))</x:f>
        <x:v>92.62464526813507</x:v>
      </x:c>
      <x:c r="AD763" s="52" t="n">
        <x:f>IF(OR(R763="No",U763*S763=0),"",AA763/(U763*S763))</x:f>
        <x:v>0.028529646335850943</x:v>
      </x:c>
      <x:c r="AE763" s="50" t="str">
        <x:f>IF(R763="No","No finance data",IF(AB763&gt;=10%,"Severe",IF(AB763&gt;=5%,"High",IF(AB763&gt;=2%,"Moderate","Low"))))</x:f>
        <x:v>Moderate</x:v>
      </x:c>
      <x:c r="AF763" s="60" t="n">
        <x:v>46.492849</x:v>
      </x:c>
      <x:c r="AG763" s="60" t="n">
        <x:v>-84.365573</x:v>
      </x:c>
      <x:c r="AH763" s="44" t="str">
        <x:v>Undergraduate tuition-contribution proxy only; not an audited total institutional budget.</x:v>
      </x:c>
    </x:row>
    <x:row r="764">
      <x:c r="A764" s="16" t="n">
        <x:v>170675</x:v>
      </x:c>
      <x:c r="B764" s="16" t="str">
        <x:v>Lawrence Technological University</x:v>
      </x:c>
      <x:c r="C764" s="16" t="str">
        <x:v>MI</x:v>
      </x:c>
      <x:c r="D764" s="16" t="str">
        <x:v>Private nonprofit</x:v>
      </x:c>
      <x:c r="E764" s="34" t="n">
        <x:v>2134</x:v>
      </x:c>
      <x:c r="F764" s="21" t="n">
        <x:v>0.8107</x:v>
      </x:c>
      <x:c r="G764" s="16" t="str">
        <x:v>Regional</x:v>
      </x:c>
      <x:c r="H764" s="36" t="n">
        <x:f>IF(G764="National",Assumptions!$B$11,IF(G764="Statewide",Assumptions!$B$12,Assumptions!$B$13))</x:f>
        <x:v>0.85</x:v>
      </x:c>
      <x:c r="I764" s="21" t="n">
        <x:v>-0.04799498871466501</x:v>
      </x:c>
      <x:c r="J764" s="21" t="n">
        <x:v>-0.043649886152347106</x:v>
      </x:c>
      <x:c r="K764" s="21" t="n">
        <x:v>-0.15354021457051092</x:v>
      </x:c>
      <x:c r="L764" s="36" t="n">
        <x:f>IF(Assumptions!$B$4=2030,I764,IF(Assumptions!$B$4=2035,J764,K764))</x:f>
        <x:v>-0.043649886152347106</x:v>
      </x:c>
      <x:c r="M764" s="36" t="n">
        <x:f>Assumptions!$B$19</x:f>
        <x:v>-0.04739891965741583</x:v>
      </x:c>
      <x:c r="N764" s="52" t="n">
        <x:f>H764*L764+(1-H764)*M764+O764</x:f>
        <x:v>-0.04421224117810742</x:v>
      </x:c>
      <x:c r="O764" s="36" t="n">
        <x:f>Assumptions!$B$10</x:f>
        <x:v>0</x:v>
      </x:c>
      <x:c r="P764" s="54" t="n">
        <x:f>E764*(1+N764)</x:f>
        <x:v>2039.6510773259188</x:v>
      </x:c>
      <x:c r="Q764" s="54" t="n">
        <x:f>P764-E764</x:f>
        <x:v>-94.34892267408122</x:v>
      </x:c>
      <x:c r="R764" s="16" t="str">
        <x:v>Yes</x:v>
      </x:c>
      <x:c r="S764" s="56" t="n">
        <x:v>24752</x:v>
      </x:c>
      <x:c r="T764" s="56" t="n">
        <x:v>11348</x:v>
      </x:c>
      <x:c r="U764" s="40" t="n">
        <x:f>E764*Assumptions!$B$8</x:f>
        <x:v>1813.8999999999999</x:v>
      </x:c>
      <x:c r="V764" s="40" t="n">
        <x:f>P764*Assumptions!$B$8</x:f>
        <x:v>1733.703415727031</x:v>
      </x:c>
      <x:c r="W764" s="54" t="n">
        <x:f>V764-U764</x:f>
        <x:v>-80.19658427296895</x:v>
      </x:c>
      <x:c r="X764" s="58" t="n">
        <x:f>IF(R764="No","",W764*S764)</x:f>
        <x:v>-1985025.8539245273</x:v>
      </x:c>
      <x:c r="Y764" s="58" t="n">
        <x:f>IF(R764="No","",W764*T764*Assumptions!$B$9)</x:f>
        <x:v>-273021.25149889546</x:v>
      </x:c>
      <x:c r="Z764" s="58" t="n">
        <x:f>IF(R764="No","",X764-Y764)</x:f>
        <x:v>-1712004.6024256318</x:v>
      </x:c>
      <x:c r="AA764" s="58" t="n">
        <x:f>IF(R764="No","",MAX(0,-Z764))</x:f>
        <x:v>1712004.6024256318</x:v>
      </x:c>
      <x:c r="AB764" s="52" t="n">
        <x:f>IF(OR(R764="No",U764*S764=0),"",AA764/(U764*S764))</x:f>
        <x:v>0.038131271807278794</x:v>
      </x:c>
      <x:c r="AC764" s="54" t="n">
        <x:f>IF(OR(R764="No",S764-T764*Assumptions!$B$9&lt;=0),"",AA764/(Assumptions!$B$8*(S764-T764*Assumptions!$B$9)))</x:f>
        <x:v>94.34892267408111</x:v>
      </x:c>
      <x:c r="AD764" s="52" t="n">
        <x:f>IF(OR(R764="No",U764*S764=0),"",AA764/(U764*S764))</x:f>
        <x:v>0.038131271807278794</x:v>
      </x:c>
      <x:c r="AE764" s="50" t="str">
        <x:f>IF(R764="No","No finance data",IF(AB764&gt;=10%,"Severe",IF(AB764&gt;=5%,"High",IF(AB764&gt;=2%,"Moderate","Low"))))</x:f>
        <x:v>Moderate</x:v>
      </x:c>
      <x:c r="AF764" s="60" t="n">
        <x:v>42.474072</x:v>
      </x:c>
      <x:c r="AG764" s="60" t="n">
        <x:v>-83.25003</x:v>
      </x:c>
      <x:c r="AH764" s="44" t="str">
        <x:v>Undergraduate tuition-contribution proxy only; not an audited total institutional budget.</x:v>
      </x:c>
    </x:row>
    <x:row r="765">
      <x:c r="A765" s="16" t="n">
        <x:v>170806</x:v>
      </x:c>
      <x:c r="B765" s="16" t="str">
        <x:v>Madonna University</x:v>
      </x:c>
      <x:c r="C765" s="16" t="str">
        <x:v>MI</x:v>
      </x:c>
      <x:c r="D765" s="16" t="str">
        <x:v>Private nonprofit</x:v>
      </x:c>
      <x:c r="E765" s="34" t="n">
        <x:v>2712</x:v>
      </x:c>
      <x:c r="F765" s="21" t="n">
        <x:v>0.5226</x:v>
      </x:c>
      <x:c r="G765" s="16" t="str">
        <x:v>Regional</x:v>
      </x:c>
      <x:c r="H765" s="36" t="n">
        <x:f>IF(G765="National",Assumptions!$B$11,IF(G765="Statewide",Assumptions!$B$12,Assumptions!$B$13))</x:f>
        <x:v>0.85</x:v>
      </x:c>
      <x:c r="I765" s="21" t="n">
        <x:v>-0.04799498871466501</x:v>
      </x:c>
      <x:c r="J765" s="21" t="n">
        <x:v>-0.043649886152347106</x:v>
      </x:c>
      <x:c r="K765" s="21" t="n">
        <x:v>-0.15354021457051092</x:v>
      </x:c>
      <x:c r="L765" s="36" t="n">
        <x:f>IF(Assumptions!$B$4=2030,I765,IF(Assumptions!$B$4=2035,J765,K765))</x:f>
        <x:v>-0.043649886152347106</x:v>
      </x:c>
      <x:c r="M765" s="36" t="n">
        <x:f>Assumptions!$B$19</x:f>
        <x:v>-0.04739891965741583</x:v>
      </x:c>
      <x:c r="N765" s="52" t="n">
        <x:f>H765*L765+(1-H765)*M765+O765</x:f>
        <x:v>-0.04421224117810742</x:v>
      </x:c>
      <x:c r="O765" s="36" t="n">
        <x:f>Assumptions!$B$10</x:f>
        <x:v>0</x:v>
      </x:c>
      <x:c r="P765" s="54" t="n">
        <x:f>E765*(1+N765)</x:f>
        <x:v>2592.0964019249727</x:v>
      </x:c>
      <x:c r="Q765" s="54" t="n">
        <x:f>P765-E765</x:f>
        <x:v>-119.90359807502728</x:v>
      </x:c>
      <x:c r="R765" s="16" t="str">
        <x:v>Yes</x:v>
      </x:c>
      <x:c r="S765" s="56" t="n">
        <x:v>17048</x:v>
      </x:c>
      <x:c r="T765" s="56" t="n">
        <x:v>9729</x:v>
      </x:c>
      <x:c r="U765" s="40" t="n">
        <x:f>E765*Assumptions!$B$8</x:f>
        <x:v>2305.2</x:v>
      </x:c>
      <x:c r="V765" s="40" t="n">
        <x:f>P765*Assumptions!$B$8</x:f>
        <x:v>2203.2819416362267</x:v>
      </x:c>
      <x:c r="W765" s="54" t="n">
        <x:f>V765-U765</x:f>
        <x:v>-101.91805836377307</x:v>
      </x:c>
      <x:c r="X765" s="58" t="n">
        <x:f>IF(R765="No","",W765*S765)</x:f>
        <x:v>-1737499.0589856033</x:v>
      </x:c>
      <x:c r="Y765" s="58" t="n">
        <x:f>IF(R765="No","",W765*T765*Assumptions!$B$9)</x:f>
        <x:v>-297468.23694634443</x:v>
      </x:c>
      <x:c r="Z765" s="58" t="n">
        <x:f>IF(R765="No","",X765-Y765)</x:f>
        <x:v>-1440030.822039259</x:v>
      </x:c>
      <x:c r="AA765" s="58" t="n">
        <x:f>IF(R765="No","",MAX(0,-Z765))</x:f>
        <x:v>1440030.822039259</x:v>
      </x:c>
      <x:c r="AB765" s="52" t="n">
        <x:f>IF(OR(R765="No",U765*S765=0),"",AA765/(U765*S765))</x:f>
        <x:v>0.03664289179245849</x:v>
      </x:c>
      <x:c r="AC765" s="54" t="n">
        <x:f>IF(OR(R765="No",S765-T765*Assumptions!$B$9&lt;=0),"",AA765/(Assumptions!$B$8*(S765-T765*Assumptions!$B$9)))</x:f>
        <x:v>119.90359807502716</x:v>
      </x:c>
      <x:c r="AD765" s="52" t="n">
        <x:f>IF(OR(R765="No",U765*S765=0),"",AA765/(U765*S765))</x:f>
        <x:v>0.03664289179245849</x:v>
      </x:c>
      <x:c r="AE765" s="50" t="str">
        <x:f>IF(R765="No","No finance data",IF(AB765&gt;=10%,"Severe",IF(AB765&gt;=5%,"High",IF(AB765&gt;=2%,"Moderate","Low"))))</x:f>
        <x:v>Moderate</x:v>
      </x:c>
      <x:c r="AF765" s="60" t="n">
        <x:v>42.384323</x:v>
      </x:c>
      <x:c r="AG765" s="60" t="n">
        <x:v>-83.404722</x:v>
      </x:c>
      <x:c r="AH765" s="44" t="str">
        <x:v>Undergraduate tuition-contribution proxy only; not an audited total institutional budget.</x:v>
      </x:c>
    </x:row>
    <x:row r="766">
      <x:c r="A766" s="16" t="n">
        <x:v>170842</x:v>
      </x:c>
      <x:c r="B766" s="16" t="str">
        <x:v>Marygrove College</x:v>
      </x:c>
      <x:c r="C766" s="16" t="str">
        <x:v>MI</x:v>
      </x:c>
      <x:c r="D766" s="16" t="str">
        <x:v>Private nonprofit</x:v>
      </x:c>
      <x:c r="E766" s="34" t="n">
        <x:v>676</x:v>
      </x:c>
      <x:c r="F766" s="21"/>
      <x:c r="G766" s="16" t="str">
        <x:v>Regional</x:v>
      </x:c>
      <x:c r="H766" s="36" t="n">
        <x:f>IF(G766="National",Assumptions!$B$11,IF(G766="Statewide",Assumptions!$B$12,Assumptions!$B$13))</x:f>
        <x:v>0.85</x:v>
      </x:c>
      <x:c r="I766" s="21" t="n">
        <x:v>-0.04799498871466501</x:v>
      </x:c>
      <x:c r="J766" s="21" t="n">
        <x:v>-0.043649886152347106</x:v>
      </x:c>
      <x:c r="K766" s="21" t="n">
        <x:v>-0.15354021457051092</x:v>
      </x:c>
      <x:c r="L766" s="36" t="n">
        <x:f>IF(Assumptions!$B$4=2030,I766,IF(Assumptions!$B$4=2035,J766,K766))</x:f>
        <x:v>-0.043649886152347106</x:v>
      </x:c>
      <x:c r="M766" s="36" t="n">
        <x:f>Assumptions!$B$19</x:f>
        <x:v>-0.04739891965741583</x:v>
      </x:c>
      <x:c r="N766" s="52" t="n">
        <x:f>H766*L766+(1-H766)*M766+O766</x:f>
        <x:v>-0.04421224117810742</x:v>
      </x:c>
      <x:c r="O766" s="36" t="n">
        <x:f>Assumptions!$B$10</x:f>
        <x:v>0</x:v>
      </x:c>
      <x:c r="P766" s="54" t="n">
        <x:f>E766*(1+N766)</x:f>
        <x:v>646.1125249635994</x:v>
      </x:c>
      <x:c r="Q766" s="54" t="n">
        <x:f>P766-E766</x:f>
        <x:v>-29.887475036400588</x:v>
      </x:c>
      <x:c r="R766" s="16" t="str">
        <x:v>No</x:v>
      </x:c>
      <x:c r="S766" s="56"/>
      <x:c r="T766" s="56"/>
      <x:c r="U766" s="40" t="n">
        <x:f>E766*Assumptions!$B$8</x:f>
        <x:v>574.6</x:v>
      </x:c>
      <x:c r="V766" s="40" t="n">
        <x:f>P766*Assumptions!$B$8</x:f>
        <x:v>549.1956462190595</x:v>
      </x:c>
      <x:c r="W766" s="54" t="n">
        <x:f>V766-U766</x:f>
        <x:v>-25.404353780940482</x:v>
      </x:c>
      <x:c r="X766" s="58" t="str">
        <x:f>IF(R766="No","",W766*S766)</x:f>
      </x:c>
      <x:c r="Y766" s="58" t="str">
        <x:f>IF(R766="No","",W766*T766*Assumptions!$B$9)</x:f>
      </x:c>
      <x:c r="Z766" s="58" t="str">
        <x:f>IF(R766="No","",X766-Y766)</x:f>
      </x:c>
      <x:c r="AA766" s="58" t="str">
        <x:f>IF(R766="No","",MAX(0,-Z766))</x:f>
      </x:c>
      <x:c r="AB766" s="52" t="str">
        <x:f>IF(OR(R766="No",U766*S766=0),"",AA766/(U766*S766))</x:f>
      </x:c>
      <x:c r="AC766" s="54" t="str">
        <x:f>IF(OR(R766="No",S766-T766*Assumptions!$B$9&lt;=0),"",AA766/(Assumptions!$B$8*(S766-T766*Assumptions!$B$9)))</x:f>
      </x:c>
      <x:c r="AD766" s="52" t="str">
        <x:f>IF(OR(R766="No",U766*S766=0),"",AA766/(U766*S766))</x:f>
      </x:c>
      <x:c r="AE766" s="50" t="str">
        <x:f>IF(R766="No","No finance data",IF(AB766&gt;=10%,"Severe",IF(AB766&gt;=5%,"High",IF(AB766&gt;=2%,"Moderate","Low"))))</x:f>
        <x:v>No finance data</x:v>
      </x:c>
      <x:c r="AF766" s="60"/>
      <x:c r="AG766" s="60"/>
      <x:c r="AH766" s="44" t="str">
        <x:v>Undergraduate tuition-contribution proxy only; not an audited total institutional budget.</x:v>
      </x:c>
    </x:row>
    <x:row r="767">
      <x:c r="A767" s="16" t="n">
        <x:v>434414</x:v>
      </x:c>
      <x:c r="B767" s="16" t="str">
        <x:v>Michigan Jewish Institute</x:v>
      </x:c>
      <x:c r="C767" s="16" t="str">
        <x:v>MI</x:v>
      </x:c>
      <x:c r="D767" s="16" t="str">
        <x:v>Private nonprofit</x:v>
      </x:c>
      <x:c r="E767" s="34" t="n">
        <x:v>965</x:v>
      </x:c>
      <x:c r="F767" s="21"/>
      <x:c r="G767" s="16" t="str">
        <x:v>Regional</x:v>
      </x:c>
      <x:c r="H767" s="36" t="n">
        <x:f>IF(G767="National",Assumptions!$B$11,IF(G767="Statewide",Assumptions!$B$12,Assumptions!$B$13))</x:f>
        <x:v>0.85</x:v>
      </x:c>
      <x:c r="I767" s="21" t="n">
        <x:v>-0.04799498871466501</x:v>
      </x:c>
      <x:c r="J767" s="21" t="n">
        <x:v>-0.043649886152347106</x:v>
      </x:c>
      <x:c r="K767" s="21" t="n">
        <x:v>-0.15354021457051092</x:v>
      </x:c>
      <x:c r="L767" s="36" t="n">
        <x:f>IF(Assumptions!$B$4=2030,I767,IF(Assumptions!$B$4=2035,J767,K767))</x:f>
        <x:v>-0.043649886152347106</x:v>
      </x:c>
      <x:c r="M767" s="36" t="n">
        <x:f>Assumptions!$B$19</x:f>
        <x:v>-0.04739891965741583</x:v>
      </x:c>
      <x:c r="N767" s="52" t="n">
        <x:f>H767*L767+(1-H767)*M767+O767</x:f>
        <x:v>-0.04421224117810742</x:v>
      </x:c>
      <x:c r="O767" s="36" t="n">
        <x:f>Assumptions!$B$10</x:f>
        <x:v>0</x:v>
      </x:c>
      <x:c r="P767" s="54" t="n">
        <x:f>E767*(1+N767)</x:f>
        <x:v>922.3351872631264</x:v>
      </x:c>
      <x:c r="Q767" s="54" t="n">
        <x:f>P767-E767</x:f>
        <x:v>-42.664812736873614</x:v>
      </x:c>
      <x:c r="R767" s="16" t="str">
        <x:v>No</x:v>
      </x:c>
      <x:c r="S767" s="56"/>
      <x:c r="T767" s="56"/>
      <x:c r="U767" s="40" t="n">
        <x:f>E767*Assumptions!$B$8</x:f>
        <x:v>820.25</x:v>
      </x:c>
      <x:c r="V767" s="40" t="n">
        <x:f>P767*Assumptions!$B$8</x:f>
        <x:v>783.9849091736575</x:v>
      </x:c>
      <x:c r="W767" s="54" t="n">
        <x:f>V767-U767</x:f>
        <x:v>-36.26509082634254</x:v>
      </x:c>
      <x:c r="X767" s="58" t="str">
        <x:f>IF(R767="No","",W767*S767)</x:f>
      </x:c>
      <x:c r="Y767" s="58" t="str">
        <x:f>IF(R767="No","",W767*T767*Assumptions!$B$9)</x:f>
      </x:c>
      <x:c r="Z767" s="58" t="str">
        <x:f>IF(R767="No","",X767-Y767)</x:f>
      </x:c>
      <x:c r="AA767" s="58" t="str">
        <x:f>IF(R767="No","",MAX(0,-Z767))</x:f>
      </x:c>
      <x:c r="AB767" s="52" t="str">
        <x:f>IF(OR(R767="No",U767*S767=0),"",AA767/(U767*S767))</x:f>
      </x:c>
      <x:c r="AC767" s="54" t="str">
        <x:f>IF(OR(R767="No",S767-T767*Assumptions!$B$9&lt;=0),"",AA767/(Assumptions!$B$8*(S767-T767*Assumptions!$B$9)))</x:f>
      </x:c>
      <x:c r="AD767" s="52" t="str">
        <x:f>IF(OR(R767="No",U767*S767=0),"",AA767/(U767*S767))</x:f>
      </x:c>
      <x:c r="AE767" s="50" t="str">
        <x:f>IF(R767="No","No finance data",IF(AB767&gt;=10%,"Severe",IF(AB767&gt;=5%,"High",IF(AB767&gt;=2%,"Moderate","Low"))))</x:f>
        <x:v>No finance data</x:v>
      </x:c>
      <x:c r="AF767" s="60"/>
      <x:c r="AG767" s="60"/>
      <x:c r="AH767" s="44" t="str">
        <x:v>Undergraduate tuition-contribution proxy only; not an audited total institutional budget.</x:v>
      </x:c>
    </x:row>
    <x:row r="768">
      <x:c r="A768" s="16" t="n">
        <x:v>171100</x:v>
      </x:c>
      <x:c r="B768" s="16" t="str">
        <x:v>Michigan State University</x:v>
      </x:c>
      <x:c r="C768" s="16" t="str">
        <x:v>MI</x:v>
      </x:c>
      <x:c r="D768" s="16" t="str">
        <x:v>Public</x:v>
      </x:c>
      <x:c r="E768" s="34" t="n">
        <x:v>38853</x:v>
      </x:c>
      <x:c r="F768" s="21" t="n">
        <x:v>0.8325</x:v>
      </x:c>
      <x:c r="G768" s="16" t="str">
        <x:v>National</x:v>
      </x:c>
      <x:c r="H768" s="36" t="n">
        <x:f>IF(G768="National",Assumptions!$B$11,IF(G768="Statewide",Assumptions!$B$12,Assumptions!$B$13))</x:f>
        <x:v>0.25</x:v>
      </x:c>
      <x:c r="I768" s="21" t="n">
        <x:v>-0.04799498871466501</x:v>
      </x:c>
      <x:c r="J768" s="21" t="n">
        <x:v>-0.043649886152347106</x:v>
      </x:c>
      <x:c r="K768" s="21" t="n">
        <x:v>-0.15354021457051092</x:v>
      </x:c>
      <x:c r="L768" s="36" t="n">
        <x:f>IF(Assumptions!$B$4=2030,I768,IF(Assumptions!$B$4=2035,J768,K768))</x:f>
        <x:v>-0.043649886152347106</x:v>
      </x:c>
      <x:c r="M768" s="36" t="n">
        <x:f>Assumptions!$B$19</x:f>
        <x:v>-0.04739891965741583</x:v>
      </x:c>
      <x:c r="N768" s="52" t="n">
        <x:f>H768*L768+(1-H768)*M768+O768</x:f>
        <x:v>-0.04646166128114865</x:v>
      </x:c>
      <x:c r="O768" s="36" t="n">
        <x:f>Assumptions!$B$10</x:f>
        <x:v>0</x:v>
      </x:c>
      <x:c r="P768" s="54" t="n">
        <x:f>E768*(1+N768)</x:f>
        <x:v>37047.825074243534</x:v>
      </x:c>
      <x:c r="Q768" s="54" t="n">
        <x:f>P768-E768</x:f>
        <x:v>-1805.174925756466</x:v>
      </x:c>
      <x:c r="R768" s="16" t="str">
        <x:v>Yes</x:v>
      </x:c>
      <x:c r="S768" s="56" t="n">
        <x:v>18434</x:v>
      </x:c>
      <x:c r="T768" s="56" t="n">
        <x:v>16111</x:v>
      </x:c>
      <x:c r="U768" s="40" t="n">
        <x:f>E768*Assumptions!$B$8</x:f>
        <x:v>33025.049999999996</x:v>
      </x:c>
      <x:c r="V768" s="40" t="n">
        <x:f>P768*Assumptions!$B$8</x:f>
        <x:v>31490.651313107002</x:v>
      </x:c>
      <x:c r="W768" s="54" t="n">
        <x:f>V768-U768</x:f>
        <x:v>-1534.3986868929933</x:v>
      </x:c>
      <x:c r="X768" s="58" t="n">
        <x:f>IF(R768="No","",W768*S768)</x:f>
        <x:v>-28285105.39418544</x:v>
      </x:c>
      <x:c r="Y768" s="58" t="n">
        <x:f>IF(R768="No","",W768*T768*Assumptions!$B$9)</x:f>
        <x:v>-7416209.1733599035</x:v>
      </x:c>
      <x:c r="Z768" s="58" t="n">
        <x:f>IF(R768="No","",X768-Y768)</x:f>
        <x:v>-20868896.220825534</x:v>
      </x:c>
      <x:c r="AA768" s="58" t="n">
        <x:f>IF(R768="No","",MAX(0,-Z768))</x:f>
        <x:v>20868896.220825534</x:v>
      </x:c>
      <x:c r="AB768" s="52" t="n">
        <x:f>IF(OR(R768="No",U768*S768=0),"",AA768/(U768*S768))</x:f>
        <x:v>0.03427965263027647</x:v>
      </x:c>
      <x:c r="AC768" s="54" t="n">
        <x:f>IF(OR(R768="No",S768-T768*Assumptions!$B$9&lt;=0),"",AA768/(Assumptions!$B$8*(S768-T768*Assumptions!$B$9)))</x:f>
        <x:v>1805.1749257564625</x:v>
      </x:c>
      <x:c r="AD768" s="52" t="n">
        <x:f>IF(OR(R768="No",U768*S768=0),"",AA768/(U768*S768))</x:f>
        <x:v>0.03427965263027647</x:v>
      </x:c>
      <x:c r="AE768" s="50" t="str">
        <x:f>IF(R768="No","No finance data",IF(AB768&gt;=10%,"Severe",IF(AB768&gt;=5%,"High",IF(AB768&gt;=2%,"Moderate","Low"))))</x:f>
        <x:v>Moderate</x:v>
      </x:c>
      <x:c r="AF768" s="60" t="n">
        <x:v>42.73212</x:v>
      </x:c>
      <x:c r="AG768" s="60" t="n">
        <x:v>-84.476111</x:v>
      </x:c>
      <x:c r="AH768" s="44" t="str">
        <x:v>Undergraduate tuition-contribution proxy only; not an audited total institutional budget.</x:v>
      </x:c>
    </x:row>
    <x:row r="769">
      <x:c r="A769" s="16" t="n">
        <x:v>171128</x:v>
      </x:c>
      <x:c r="B769" s="16" t="str">
        <x:v>Michigan Technological University</x:v>
      </x:c>
      <x:c r="C769" s="16" t="str">
        <x:v>MI</x:v>
      </x:c>
      <x:c r="D769" s="16" t="str">
        <x:v>Public</x:v>
      </x:c>
      <x:c r="E769" s="34" t="n">
        <x:v>5623</x:v>
      </x:c>
      <x:c r="F769" s="21" t="n">
        <x:v>0.8575</x:v>
      </x:c>
      <x:c r="G769" s="16" t="str">
        <x:v>Statewide</x:v>
      </x:c>
      <x:c r="H769" s="36" t="n">
        <x:f>IF(G769="National",Assumptions!$B$11,IF(G769="Statewide",Assumptions!$B$12,Assumptions!$B$13))</x:f>
        <x:v>0.6</x:v>
      </x:c>
      <x:c r="I769" s="21" t="n">
        <x:v>-0.04799498871466501</x:v>
      </x:c>
      <x:c r="J769" s="21" t="n">
        <x:v>-0.043649886152347106</x:v>
      </x:c>
      <x:c r="K769" s="21" t="n">
        <x:v>-0.15354021457051092</x:v>
      </x:c>
      <x:c r="L769" s="36" t="n">
        <x:f>IF(Assumptions!$B$4=2030,I769,IF(Assumptions!$B$4=2035,J769,K769))</x:f>
        <x:v>-0.043649886152347106</x:v>
      </x:c>
      <x:c r="M769" s="36" t="n">
        <x:f>Assumptions!$B$19</x:f>
        <x:v>-0.04739891965741583</x:v>
      </x:c>
      <x:c r="N769" s="52" t="n">
        <x:f>H769*L769+(1-H769)*M769+O769</x:f>
        <x:v>-0.0451494995543746</x:v>
      </x:c>
      <x:c r="O769" s="36" t="n">
        <x:f>Assumptions!$B$10</x:f>
        <x:v>0</x:v>
      </x:c>
      <x:c r="P769" s="54" t="n">
        <x:f>E769*(1+N769)</x:f>
        <x:v>5369.124364005751</x:v>
      </x:c>
      <x:c r="Q769" s="54" t="n">
        <x:f>P769-E769</x:f>
        <x:v>-253.87563599424902</x:v>
      </x:c>
      <x:c r="R769" s="16" t="str">
        <x:v>Yes</x:v>
      </x:c>
      <x:c r="S769" s="56" t="n">
        <x:v>15397</x:v>
      </x:c>
      <x:c r="T769" s="56" t="n">
        <x:v>11481</x:v>
      </x:c>
      <x:c r="U769" s="40" t="n">
        <x:f>E769*Assumptions!$B$8</x:f>
        <x:v>4779.55</x:v>
      </x:c>
      <x:c r="V769" s="40" t="n">
        <x:f>P769*Assumptions!$B$8</x:f>
        <x:v>4563.755709404888</x:v>
      </x:c>
      <x:c r="W769" s="54" t="n">
        <x:f>V769-U769</x:f>
        <x:v>-215.79429059511222</x:v>
      </x:c>
      <x:c r="X769" s="58" t="n">
        <x:f>IF(R769="No","",W769*S769)</x:f>
        <x:v>-3322584.6922929427</x:v>
      </x:c>
      <x:c r="Y769" s="58" t="n">
        <x:f>IF(R769="No","",W769*T769*Assumptions!$B$9)</x:f>
        <x:v>-743260.275096745</x:v>
      </x:c>
      <x:c r="Z769" s="58" t="n">
        <x:f>IF(R769="No","",X769-Y769)</x:f>
        <x:v>-2579324.4171961974</x:v>
      </x:c>
      <x:c r="AA769" s="58" t="n">
        <x:f>IF(R769="No","",MAX(0,-Z769))</x:f>
        <x:v>2579324.4171961974</x:v>
      </x:c>
      <x:c r="AB769" s="52" t="n">
        <x:f>IF(OR(R769="No",U769*S769=0),"",AA769/(U769*S769))</x:f>
        <x:v>0.03504958260203779</x:v>
      </x:c>
      <x:c r="AC769" s="54" t="n">
        <x:f>IF(OR(R769="No",S769-T769*Assumptions!$B$9&lt;=0),"",AA769/(Assumptions!$B$8*(S769-T769*Assumptions!$B$9)))</x:f>
        <x:v>253.87563599424962</x:v>
      </x:c>
      <x:c r="AD769" s="52" t="n">
        <x:f>IF(OR(R769="No",U769*S769=0),"",AA769/(U769*S769))</x:f>
        <x:v>0.03504958260203779</x:v>
      </x:c>
      <x:c r="AE769" s="50" t="str">
        <x:f>IF(R769="No","No finance data",IF(AB769&gt;=10%,"Severe",IF(AB769&gt;=5%,"High",IF(AB769&gt;=2%,"Moderate","Low"))))</x:f>
        <x:v>Moderate</x:v>
      </x:c>
      <x:c r="AF769" s="60" t="n">
        <x:v>47.11866</x:v>
      </x:c>
      <x:c r="AG769" s="60" t="n">
        <x:v>-88.548092</x:v>
      </x:c>
      <x:c r="AH769" s="44" t="str">
        <x:v>Undergraduate tuition-contribution proxy only; not an audited total institutional budget.</x:v>
      </x:c>
    </x:row>
    <x:row r="770">
      <x:c r="A770" s="16" t="n">
        <x:v>171456</x:v>
      </x:c>
      <x:c r="B770" s="16" t="str">
        <x:v>Northern Michigan University</x:v>
      </x:c>
      <x:c r="C770" s="16" t="str">
        <x:v>MI</x:v>
      </x:c>
      <x:c r="D770" s="16" t="str">
        <x:v>Public</x:v>
      </x:c>
      <x:c r="E770" s="34" t="n">
        <x:v>7278</x:v>
      </x:c>
      <x:c r="F770" s="21" t="n">
        <x:v>0.7127</x:v>
      </x:c>
      <x:c r="G770" s="16" t="str">
        <x:v>Statewide</x:v>
      </x:c>
      <x:c r="H770" s="36" t="n">
        <x:f>IF(G770="National",Assumptions!$B$11,IF(G770="Statewide",Assumptions!$B$12,Assumptions!$B$13))</x:f>
        <x:v>0.6</x:v>
      </x:c>
      <x:c r="I770" s="21" t="n">
        <x:v>-0.04799498871466501</x:v>
      </x:c>
      <x:c r="J770" s="21" t="n">
        <x:v>-0.043649886152347106</x:v>
      </x:c>
      <x:c r="K770" s="21" t="n">
        <x:v>-0.15354021457051092</x:v>
      </x:c>
      <x:c r="L770" s="36" t="n">
        <x:f>IF(Assumptions!$B$4=2030,I770,IF(Assumptions!$B$4=2035,J770,K770))</x:f>
        <x:v>-0.043649886152347106</x:v>
      </x:c>
      <x:c r="M770" s="36" t="n">
        <x:f>Assumptions!$B$19</x:f>
        <x:v>-0.04739891965741583</x:v>
      </x:c>
      <x:c r="N770" s="52" t="n">
        <x:f>H770*L770+(1-H770)*M770+O770</x:f>
        <x:v>-0.0451494995543746</x:v>
      </x:c>
      <x:c r="O770" s="36" t="n">
        <x:f>Assumptions!$B$10</x:f>
        <x:v>0</x:v>
      </x:c>
      <x:c r="P770" s="54" t="n">
        <x:f>E770*(1+N770)</x:f>
        <x:v>6949.401942243261</x:v>
      </x:c>
      <x:c r="Q770" s="54" t="n">
        <x:f>P770-E770</x:f>
        <x:v>-328.59805775673885</x:v>
      </x:c>
      <x:c r="R770" s="16" t="str">
        <x:v>Yes</x:v>
      </x:c>
      <x:c r="S770" s="56" t="n">
        <x:v>10480</x:v>
      </x:c>
      <x:c r="T770" s="56" t="n">
        <x:v>7703</x:v>
      </x:c>
      <x:c r="U770" s="40" t="n">
        <x:f>E770*Assumptions!$B$8</x:f>
        <x:v>6186.3</x:v>
      </x:c>
      <x:c r="V770" s="40" t="n">
        <x:f>P770*Assumptions!$B$8</x:f>
        <x:v>5906.991650906772</x:v>
      </x:c>
      <x:c r="W770" s="54" t="n">
        <x:f>V770-U770</x:f>
        <x:v>-279.30834909322857</x:v>
      </x:c>
      <x:c r="X770" s="58" t="n">
        <x:f>IF(R770="No","",W770*S770)</x:f>
        <x:v>-2927151.4984970354</x:v>
      </x:c>
      <x:c r="Y770" s="58" t="n">
        <x:f>IF(R770="No","",W770*T770*Assumptions!$B$9)</x:f>
        <x:v>-645453.6639195419</x:v>
      </x:c>
      <x:c r="Z770" s="58" t="n">
        <x:f>IF(R770="No","",X770-Y770)</x:f>
        <x:v>-2281697.8345774934</x:v>
      </x:c>
      <x:c r="AA770" s="58" t="n">
        <x:f>IF(R770="No","",MAX(0,-Z770))</x:f>
        <x:v>2281697.8345774934</x:v>
      </x:c>
      <x:c r="AB770" s="52" t="n">
        <x:f>IF(OR(R770="No",U770*S770=0),"",AA770/(U770*S770))</x:f>
        <x:v>0.035193776413133857</x:v>
      </x:c>
      <x:c r="AC770" s="54" t="n">
        <x:f>IF(OR(R770="No",S770-T770*Assumptions!$B$9&lt;=0),"",AA770/(Assumptions!$B$8*(S770-T770*Assumptions!$B$9)))</x:f>
        <x:v>328.5980577567394</x:v>
      </x:c>
      <x:c r="AD770" s="52" t="n">
        <x:f>IF(OR(R770="No",U770*S770=0),"",AA770/(U770*S770))</x:f>
        <x:v>0.035193776413133857</x:v>
      </x:c>
      <x:c r="AE770" s="50" t="str">
        <x:f>IF(R770="No","No finance data",IF(AB770&gt;=10%,"Severe",IF(AB770&gt;=5%,"High",IF(AB770&gt;=2%,"Moderate","Low"))))</x:f>
        <x:v>Moderate</x:v>
      </x:c>
      <x:c r="AF770" s="60" t="n">
        <x:v>46.559751</x:v>
      </x:c>
      <x:c r="AG770" s="60" t="n">
        <x:v>-87.406568</x:v>
      </x:c>
      <x:c r="AH770" s="44" t="str">
        <x:v>Undergraduate tuition-contribution proxy only; not an audited total institutional budget.</x:v>
      </x:c>
    </x:row>
    <x:row r="771">
      <x:c r="A771" s="16" t="n">
        <x:v>171492</x:v>
      </x:c>
      <x:c r="B771" s="16" t="str">
        <x:v>Northwood University</x:v>
      </x:c>
      <x:c r="C771" s="16" t="str">
        <x:v>MI</x:v>
      </x:c>
      <x:c r="D771" s="16" t="str">
        <x:v>Private nonprofit</x:v>
      </x:c>
      <x:c r="E771" s="34" t="n">
        <x:v>2904</x:v>
      </x:c>
      <x:c r="F771" s="21" t="n">
        <x:v>0.8335</x:v>
      </x:c>
      <x:c r="G771" s="16" t="str">
        <x:v>Regional</x:v>
      </x:c>
      <x:c r="H771" s="36" t="n">
        <x:f>IF(G771="National",Assumptions!$B$11,IF(G771="Statewide",Assumptions!$B$12,Assumptions!$B$13))</x:f>
        <x:v>0.85</x:v>
      </x:c>
      <x:c r="I771" s="21" t="n">
        <x:v>-0.04799498871466501</x:v>
      </x:c>
      <x:c r="J771" s="21" t="n">
        <x:v>-0.043649886152347106</x:v>
      </x:c>
      <x:c r="K771" s="21" t="n">
        <x:v>-0.15354021457051092</x:v>
      </x:c>
      <x:c r="L771" s="36" t="n">
        <x:f>IF(Assumptions!$B$4=2030,I771,IF(Assumptions!$B$4=2035,J771,K771))</x:f>
        <x:v>-0.043649886152347106</x:v>
      </x:c>
      <x:c r="M771" s="36" t="n">
        <x:f>Assumptions!$B$19</x:f>
        <x:v>-0.04739891965741583</x:v>
      </x:c>
      <x:c r="N771" s="52" t="n">
        <x:f>H771*L771+(1-H771)*M771+O771</x:f>
        <x:v>-0.04421224117810742</x:v>
      </x:c>
      <x:c r="O771" s="36" t="n">
        <x:f>Assumptions!$B$10</x:f>
        <x:v>0</x:v>
      </x:c>
      <x:c r="P771" s="54" t="n">
        <x:f>E771*(1+N771)</x:f>
        <x:v>2775.607651618776</x:v>
      </x:c>
      <x:c r="Q771" s="54" t="n">
        <x:f>P771-E771</x:f>
        <x:v>-128.3923483812241</x:v>
      </x:c>
      <x:c r="R771" s="16" t="str">
        <x:v>Yes</x:v>
      </x:c>
      <x:c r="S771" s="56" t="n">
        <x:v>14461</x:v>
      </x:c>
      <x:c r="T771" s="56" t="n">
        <x:v>6751</x:v>
      </x:c>
      <x:c r="U771" s="40" t="n">
        <x:f>E771*Assumptions!$B$8</x:f>
        <x:v>2468.4</x:v>
      </x:c>
      <x:c r="V771" s="40" t="n">
        <x:f>P771*Assumptions!$B$8</x:f>
        <x:v>2359.2665038759596</x:v>
      </x:c>
      <x:c r="W771" s="54" t="n">
        <x:f>V771-U771</x:f>
        <x:v>-109.13349612404045</x:v>
      </x:c>
      <x:c r="X771" s="58" t="n">
        <x:f>IF(R771="No","",W771*S771)</x:f>
        <x:v>-1578179.487449749</x:v>
      </x:c>
      <x:c r="Y771" s="58" t="n">
        <x:f>IF(R771="No","",W771*T771*Assumptions!$B$9)</x:f>
        <x:v>-221028.0697000191</x:v>
      </x:c>
      <x:c r="Z771" s="58" t="n">
        <x:f>IF(R771="No","",X771-Y771)</x:f>
        <x:v>-1357151.4177497297</x:v>
      </x:c>
      <x:c r="AA771" s="58" t="n">
        <x:f>IF(R771="No","",MAX(0,-Z771))</x:f>
        <x:v>1357151.4177497297</x:v>
      </x:c>
      <x:c r="AB771" s="52" t="n">
        <x:f>IF(OR(R771="No",U771*S771=0),"",AA771/(U771*S771))</x:f>
        <x:v>0.038020203832279297</x:v>
      </x:c>
      <x:c r="AC771" s="54" t="n">
        <x:f>IF(OR(R771="No",S771-T771*Assumptions!$B$9&lt;=0),"",AA771/(Assumptions!$B$8*(S771-T771*Assumptions!$B$9)))</x:f>
        <x:v>128.39234838122402</x:v>
      </x:c>
      <x:c r="AD771" s="52" t="n">
        <x:f>IF(OR(R771="No",U771*S771=0),"",AA771/(U771*S771))</x:f>
        <x:v>0.038020203832279297</x:v>
      </x:c>
      <x:c r="AE771" s="50" t="str">
        <x:f>IF(R771="No","No finance data",IF(AB771&gt;=10%,"Severe",IF(AB771&gt;=5%,"High",IF(AB771&gt;=2%,"Moderate","Low"))))</x:f>
        <x:v>Moderate</x:v>
      </x:c>
      <x:c r="AF771" s="60" t="n">
        <x:v>43.628717</x:v>
      </x:c>
      <x:c r="AG771" s="60" t="n">
        <x:v>-84.27682</x:v>
      </x:c>
      <x:c r="AH771" s="44" t="str">
        <x:v>Undergraduate tuition-contribution proxy only; not an audited total institutional budget.</x:v>
      </x:c>
    </x:row>
    <x:row r="772">
      <x:c r="A772" s="16" t="n">
        <x:v>171571</x:v>
      </x:c>
      <x:c r="B772" s="16" t="str">
        <x:v>Oakland University</x:v>
      </x:c>
      <x:c r="C772" s="16" t="str">
        <x:v>MI</x:v>
      </x:c>
      <x:c r="D772" s="16" t="str">
        <x:v>Public</x:v>
      </x:c>
      <x:c r="E772" s="34" t="n">
        <x:v>16392</x:v>
      </x:c>
      <x:c r="F772" s="21" t="n">
        <x:v>0.9209</x:v>
      </x:c>
      <x:c r="G772" s="16" t="str">
        <x:v>Statewide</x:v>
      </x:c>
      <x:c r="H772" s="36" t="n">
        <x:f>IF(G772="National",Assumptions!$B$11,IF(G772="Statewide",Assumptions!$B$12,Assumptions!$B$13))</x:f>
        <x:v>0.6</x:v>
      </x:c>
      <x:c r="I772" s="21" t="n">
        <x:v>-0.04799498871466501</x:v>
      </x:c>
      <x:c r="J772" s="21" t="n">
        <x:v>-0.043649886152347106</x:v>
      </x:c>
      <x:c r="K772" s="21" t="n">
        <x:v>-0.15354021457051092</x:v>
      </x:c>
      <x:c r="L772" s="36" t="n">
        <x:f>IF(Assumptions!$B$4=2030,I772,IF(Assumptions!$B$4=2035,J772,K772))</x:f>
        <x:v>-0.043649886152347106</x:v>
      </x:c>
      <x:c r="M772" s="36" t="n">
        <x:f>Assumptions!$B$19</x:f>
        <x:v>-0.04739891965741583</x:v>
      </x:c>
      <x:c r="N772" s="52" t="n">
        <x:f>H772*L772+(1-H772)*M772+O772</x:f>
        <x:v>-0.0451494995543746</x:v>
      </x:c>
      <x:c r="O772" s="36" t="n">
        <x:f>Assumptions!$B$10</x:f>
        <x:v>0</x:v>
      </x:c>
      <x:c r="P772" s="54" t="n">
        <x:f>E772*(1+N772)</x:f>
        <x:v>15651.909403304691</x:v>
      </x:c>
      <x:c r="Q772" s="54" t="n">
        <x:f>P772-E772</x:f>
        <x:v>-740.0905966953087</x:v>
      </x:c>
      <x:c r="R772" s="16" t="str">
        <x:v>Yes</x:v>
      </x:c>
      <x:c r="S772" s="56" t="n">
        <x:v>12808</x:v>
      </x:c>
      <x:c r="T772" s="56" t="n">
        <x:v>9383</x:v>
      </x:c>
      <x:c r="U772" s="40" t="n">
        <x:f>E772*Assumptions!$B$8</x:f>
        <x:v>13933.199999999999</x:v>
      </x:c>
      <x:c r="V772" s="40" t="n">
        <x:f>P772*Assumptions!$B$8</x:f>
        <x:v>13304.122992808987</x:v>
      </x:c>
      <x:c r="W772" s="54" t="n">
        <x:f>V772-U772</x:f>
        <x:v>-629.077007191012</x:v>
      </x:c>
      <x:c r="X772" s="58" t="n">
        <x:f>IF(R772="No","",W772*S772)</x:f>
        <x:v>-8057218.308102481</x:v>
      </x:c>
      <x:c r="Y772" s="58" t="n">
        <x:f>IF(R772="No","",W772*T772*Assumptions!$B$9)</x:f>
        <x:v>-1770788.8675419793</x:v>
      </x:c>
      <x:c r="Z772" s="58" t="n">
        <x:f>IF(R772="No","",X772-Y772)</x:f>
        <x:v>-6286429.440560502</x:v>
      </x:c>
      <x:c r="AA772" s="58" t="n">
        <x:f>IF(R772="No","",MAX(0,-Z772))</x:f>
        <x:v>6286429.440560502</x:v>
      </x:c>
      <x:c r="AB772" s="52" t="n">
        <x:f>IF(OR(R772="No",U772*S772=0),"",AA772/(U772*S772))</x:f>
        <x:v>0.035226691442599996</x:v>
      </x:c>
      <x:c r="AC772" s="54" t="n">
        <x:f>IF(OR(R772="No",S772-T772*Assumptions!$B$9&lt;=0),"",AA772/(Assumptions!$B$8*(S772-T772*Assumptions!$B$9)))</x:f>
        <x:v>740.0905966953082</x:v>
      </x:c>
      <x:c r="AD772" s="52" t="n">
        <x:f>IF(OR(R772="No",U772*S772=0),"",AA772/(U772*S772))</x:f>
        <x:v>0.035226691442599996</x:v>
      </x:c>
      <x:c r="AE772" s="50" t="str">
        <x:f>IF(R772="No","No finance data",IF(AB772&gt;=10%,"Severe",IF(AB772&gt;=5%,"High",IF(AB772&gt;=2%,"Moderate","Low"))))</x:f>
        <x:v>Moderate</x:v>
      </x:c>
      <x:c r="AF772" s="60" t="n">
        <x:v>42.674573</x:v>
      </x:c>
      <x:c r="AG772" s="60" t="n">
        <x:v>-83.216418</x:v>
      </x:c>
      <x:c r="AH772" s="44" t="str">
        <x:v>Undergraduate tuition-contribution proxy only; not an audited total institutional budget.</x:v>
      </x:c>
    </x:row>
    <x:row r="773">
      <x:c r="A773" s="16" t="n">
        <x:v>171599</x:v>
      </x:c>
      <x:c r="B773" s="16" t="str">
        <x:v>Olivet College</x:v>
      </x:c>
      <x:c r="C773" s="16" t="str">
        <x:v>MI</x:v>
      </x:c>
      <x:c r="D773" s="16" t="str">
        <x:v>Private nonprofit</x:v>
      </x:c>
      <x:c r="E773" s="34" t="n">
        <x:v>917</x:v>
      </x:c>
      <x:c r="F773" s="21" t="n">
        <x:v>0.885</x:v>
      </x:c>
      <x:c r="G773" s="16" t="str">
        <x:v>Regional</x:v>
      </x:c>
      <x:c r="H773" s="36" t="n">
        <x:f>IF(G773="National",Assumptions!$B$11,IF(G773="Statewide",Assumptions!$B$12,Assumptions!$B$13))</x:f>
        <x:v>0.85</x:v>
      </x:c>
      <x:c r="I773" s="21" t="n">
        <x:v>-0.04799498871466501</x:v>
      </x:c>
      <x:c r="J773" s="21" t="n">
        <x:v>-0.043649886152347106</x:v>
      </x:c>
      <x:c r="K773" s="21" t="n">
        <x:v>-0.15354021457051092</x:v>
      </x:c>
      <x:c r="L773" s="36" t="n">
        <x:f>IF(Assumptions!$B$4=2030,I773,IF(Assumptions!$B$4=2035,J773,K773))</x:f>
        <x:v>-0.043649886152347106</x:v>
      </x:c>
      <x:c r="M773" s="36" t="n">
        <x:f>Assumptions!$B$19</x:f>
        <x:v>-0.04739891965741583</x:v>
      </x:c>
      <x:c r="N773" s="52" t="n">
        <x:f>H773*L773+(1-H773)*M773+O773</x:f>
        <x:v>-0.04421224117810742</x:v>
      </x:c>
      <x:c r="O773" s="36" t="n">
        <x:f>Assumptions!$B$10</x:f>
        <x:v>0</x:v>
      </x:c>
      <x:c r="P773" s="54" t="n">
        <x:f>E773*(1+N773)</x:f>
        <x:v>876.4573748396755</x:v>
      </x:c>
      <x:c r="Q773" s="54" t="n">
        <x:f>P773-E773</x:f>
        <x:v>-40.54262516032452</x:v>
      </x:c>
      <x:c r="R773" s="16" t="str">
        <x:v>Yes</x:v>
      </x:c>
      <x:c r="S773" s="56" t="n">
        <x:v>12815</x:v>
      </x:c>
      <x:c r="T773" s="56" t="n">
        <x:v>7909</x:v>
      </x:c>
      <x:c r="U773" s="40" t="n">
        <x:f>E773*Assumptions!$B$8</x:f>
        <x:v>779.4499999999999</x:v>
      </x:c>
      <x:c r="V773" s="40" t="n">
        <x:f>P773*Assumptions!$B$8</x:f>
        <x:v>744.9887686137241</x:v>
      </x:c>
      <x:c r="W773" s="54" t="n">
        <x:f>V773-U773</x:f>
        <x:v>-34.46123138627581</x:v>
      </x:c>
      <x:c r="X773" s="58" t="n">
        <x:f>IF(R773="No","",W773*S773)</x:f>
        <x:v>-441620.68021512456</x:v>
      </x:c>
      <x:c r="Y773" s="58" t="n">
        <x:f>IF(R773="No","",W773*T773*Assumptions!$B$9)</x:f>
        <x:v>-81766.16371021661</x:v>
      </x:c>
      <x:c r="Z773" s="58" t="n">
        <x:f>IF(R773="No","",X773-Y773)</x:f>
        <x:v>-359854.516504908</x:v>
      </x:c>
      <x:c r="AA773" s="58" t="n">
        <x:f>IF(R773="No","",MAX(0,-Z773))</x:f>
        <x:v>359854.516504908</x:v>
      </x:c>
      <x:c r="AB773" s="52" t="n">
        <x:f>IF(OR(R773="No",U773*S773=0),"",AA773/(U773*S773))</x:f>
        <x:v>0.03602633523637542</x:v>
      </x:c>
      <x:c r="AC773" s="54" t="n">
        <x:f>IF(OR(R773="No",S773-T773*Assumptions!$B$9&lt;=0),"",AA773/(Assumptions!$B$8*(S773-T773*Assumptions!$B$9)))</x:f>
        <x:v>40.54262516032449</x:v>
      </x:c>
      <x:c r="AD773" s="52" t="n">
        <x:f>IF(OR(R773="No",U773*S773=0),"",AA773/(U773*S773))</x:f>
        <x:v>0.03602633523637542</x:v>
      </x:c>
      <x:c r="AE773" s="50" t="str">
        <x:f>IF(R773="No","No finance data",IF(AB773&gt;=10%,"Severe",IF(AB773&gt;=5%,"High",IF(AB773&gt;=2%,"Moderate","Low"))))</x:f>
        <x:v>Moderate</x:v>
      </x:c>
      <x:c r="AF773" s="60" t="n">
        <x:v>42.442891</x:v>
      </x:c>
      <x:c r="AG773" s="60" t="n">
        <x:v>-84.923891</x:v>
      </x:c>
      <x:c r="AH773" s="44" t="str">
        <x:v>Undergraduate tuition-contribution proxy only; not an audited total institutional budget.</x:v>
      </x:c>
    </x:row>
    <x:row r="774">
      <x:c r="A774" s="16" t="n">
        <x:v>170967</x:v>
      </x:c>
      <x:c r="B774" s="16" t="str">
        <x:v>Rochester College</x:v>
      </x:c>
      <x:c r="C774" s="16" t="str">
        <x:v>MI</x:v>
      </x:c>
      <x:c r="D774" s="16" t="str">
        <x:v>Private nonprofit</x:v>
      </x:c>
      <x:c r="E774" s="34" t="n">
        <x:v>995</x:v>
      </x:c>
      <x:c r="F774" s="21" t="n">
        <x:v>0.9809</x:v>
      </x:c>
      <x:c r="G774" s="16" t="str">
        <x:v>Regional</x:v>
      </x:c>
      <x:c r="H774" s="36" t="n">
        <x:f>IF(G774="National",Assumptions!$B$11,IF(G774="Statewide",Assumptions!$B$12,Assumptions!$B$13))</x:f>
        <x:v>0.85</x:v>
      </x:c>
      <x:c r="I774" s="21" t="n">
        <x:v>-0.04799498871466501</x:v>
      </x:c>
      <x:c r="J774" s="21" t="n">
        <x:v>-0.043649886152347106</x:v>
      </x:c>
      <x:c r="K774" s="21" t="n">
        <x:v>-0.15354021457051092</x:v>
      </x:c>
      <x:c r="L774" s="36" t="n">
        <x:f>IF(Assumptions!$B$4=2030,I774,IF(Assumptions!$B$4=2035,J774,K774))</x:f>
        <x:v>-0.043649886152347106</x:v>
      </x:c>
      <x:c r="M774" s="36" t="n">
        <x:f>Assumptions!$B$19</x:f>
        <x:v>-0.04739891965741583</x:v>
      </x:c>
      <x:c r="N774" s="52" t="n">
        <x:f>H774*L774+(1-H774)*M774+O774</x:f>
        <x:v>-0.04421224117810742</x:v>
      </x:c>
      <x:c r="O774" s="36" t="n">
        <x:f>Assumptions!$B$10</x:f>
        <x:v>0</x:v>
      </x:c>
      <x:c r="P774" s="54" t="n">
        <x:f>E774*(1+N774)</x:f>
        <x:v>951.0088200277831</x:v>
      </x:c>
      <x:c r="Q774" s="54" t="n">
        <x:f>P774-E774</x:f>
        <x:v>-43.991179972216855</x:v>
      </x:c>
      <x:c r="R774" s="16" t="str">
        <x:v>Yes</x:v>
      </x:c>
      <x:c r="S774" s="56" t="n">
        <x:v>11947</x:v>
      </x:c>
      <x:c r="T774" s="56" t="n">
        <x:v>7029</x:v>
      </x:c>
      <x:c r="U774" s="40" t="n">
        <x:f>E774*Assumptions!$B$8</x:f>
        <x:v>845.75</x:v>
      </x:c>
      <x:c r="V774" s="40" t="n">
        <x:f>P774*Assumptions!$B$8</x:f>
        <x:v>808.3574970236157</x:v>
      </x:c>
      <x:c r="W774" s="54" t="n">
        <x:f>V774-U774</x:f>
        <x:v>-37.39250297638432</x:v>
      </x:c>
      <x:c r="X774" s="58" t="n">
        <x:f>IF(R774="No","",W774*S774)</x:f>
        <x:v>-446728.2330588635</x:v>
      </x:c>
      <x:c r="Y774" s="58" t="n">
        <x:f>IF(R774="No","",W774*T774*Assumptions!$B$9)</x:f>
        <x:v>-78849.57102630162</x:v>
      </x:c>
      <x:c r="Z774" s="58" t="n">
        <x:f>IF(R774="No","",X774-Y774)</x:f>
        <x:v>-367878.66203256184</x:v>
      </x:c>
      <x:c r="AA774" s="58" t="n">
        <x:f>IF(R774="No","",MAX(0,-Z774))</x:f>
        <x:v>367878.66203256184</x:v>
      </x:c>
      <x:c r="AB774" s="52" t="n">
        <x:f>IF(OR(R774="No",U774*S774=0),"",AA774/(U774*S774))</x:f>
        <x:v>0.03640857892212052</x:v>
      </x:c>
      <x:c r="AC774" s="54" t="n">
        <x:f>IF(OR(R774="No",S774-T774*Assumptions!$B$9&lt;=0),"",AA774/(Assumptions!$B$8*(S774-T774*Assumptions!$B$9)))</x:f>
        <x:v>43.991179972216855</x:v>
      </x:c>
      <x:c r="AD774" s="52" t="n">
        <x:f>IF(OR(R774="No",U774*S774=0),"",AA774/(U774*S774))</x:f>
        <x:v>0.03640857892212052</x:v>
      </x:c>
      <x:c r="AE774" s="50" t="str">
        <x:f>IF(R774="No","No finance data",IF(AB774&gt;=10%,"Severe",IF(AB774&gt;=5%,"High",IF(AB774&gt;=2%,"Moderate","Low"))))</x:f>
        <x:v>Moderate</x:v>
      </x:c>
      <x:c r="AF774" s="60" t="n">
        <x:v>42.667521</x:v>
      </x:c>
      <x:c r="AG774" s="60" t="n">
        <x:v>-83.144959</x:v>
      </x:c>
      <x:c r="AH774" s="44" t="str">
        <x:v>Undergraduate tuition-contribution proxy only; not an audited total institutional budget.</x:v>
      </x:c>
    </x:row>
    <x:row r="775">
      <x:c r="A775" s="16" t="n">
        <x:v>172033</x:v>
      </x:c>
      <x:c r="B775" s="16" t="str">
        <x:v>Sacred Heart Major Seminary</x:v>
      </x:c>
      <x:c r="C775" s="16" t="str">
        <x:v>MI</x:v>
      </x:c>
      <x:c r="D775" s="16" t="str">
        <x:v>Private nonprofit</x:v>
      </x:c>
      <x:c r="E775" s="34" t="n">
        <x:v>216</x:v>
      </x:c>
      <x:c r="F775" s="21"/>
      <x:c r="G775" s="16" t="str">
        <x:v>Regional</x:v>
      </x:c>
      <x:c r="H775" s="36" t="n">
        <x:f>IF(G775="National",Assumptions!$B$11,IF(G775="Statewide",Assumptions!$B$12,Assumptions!$B$13))</x:f>
        <x:v>0.85</x:v>
      </x:c>
      <x:c r="I775" s="21" t="n">
        <x:v>-0.04799498871466501</x:v>
      </x:c>
      <x:c r="J775" s="21" t="n">
        <x:v>-0.043649886152347106</x:v>
      </x:c>
      <x:c r="K775" s="21" t="n">
        <x:v>-0.15354021457051092</x:v>
      </x:c>
      <x:c r="L775" s="36" t="n">
        <x:f>IF(Assumptions!$B$4=2030,I775,IF(Assumptions!$B$4=2035,J775,K775))</x:f>
        <x:v>-0.043649886152347106</x:v>
      </x:c>
      <x:c r="M775" s="36" t="n">
        <x:f>Assumptions!$B$19</x:f>
        <x:v>-0.04739891965741583</x:v>
      </x:c>
      <x:c r="N775" s="52" t="n">
        <x:f>H775*L775+(1-H775)*M775+O775</x:f>
        <x:v>-0.04421224117810742</x:v>
      </x:c>
      <x:c r="O775" s="36" t="n">
        <x:f>Assumptions!$B$10</x:f>
        <x:v>0</x:v>
      </x:c>
      <x:c r="P775" s="54" t="n">
        <x:f>E775*(1+N775)</x:f>
        <x:v>206.4501559055288</x:v>
      </x:c>
      <x:c r="Q775" s="54" t="n">
        <x:f>P775-E775</x:f>
        <x:v>-9.549844094471212</x:v>
      </x:c>
      <x:c r="R775" s="16" t="str">
        <x:v>No</x:v>
      </x:c>
      <x:c r="S775" s="56"/>
      <x:c r="T775" s="56"/>
      <x:c r="U775" s="40" t="n">
        <x:f>E775*Assumptions!$B$8</x:f>
        <x:v>183.6</x:v>
      </x:c>
      <x:c r="V775" s="40" t="n">
        <x:f>P775*Assumptions!$B$8</x:f>
        <x:v>175.48263251969948</x:v>
      </x:c>
      <x:c r="W775" s="54" t="n">
        <x:f>V775-U775</x:f>
        <x:v>-8.117367480300516</x:v>
      </x:c>
      <x:c r="X775" s="58" t="str">
        <x:f>IF(R775="No","",W775*S775)</x:f>
      </x:c>
      <x:c r="Y775" s="58" t="str">
        <x:f>IF(R775="No","",W775*T775*Assumptions!$B$9)</x:f>
      </x:c>
      <x:c r="Z775" s="58" t="str">
        <x:f>IF(R775="No","",X775-Y775)</x:f>
      </x:c>
      <x:c r="AA775" s="58" t="str">
        <x:f>IF(R775="No","",MAX(0,-Z775))</x:f>
      </x:c>
      <x:c r="AB775" s="52" t="str">
        <x:f>IF(OR(R775="No",U775*S775=0),"",AA775/(U775*S775))</x:f>
      </x:c>
      <x:c r="AC775" s="54" t="str">
        <x:f>IF(OR(R775="No",S775-T775*Assumptions!$B$9&lt;=0),"",AA775/(Assumptions!$B$8*(S775-T775*Assumptions!$B$9)))</x:f>
      </x:c>
      <x:c r="AD775" s="52" t="str">
        <x:f>IF(OR(R775="No",U775*S775=0),"",AA775/(U775*S775))</x:f>
      </x:c>
      <x:c r="AE775" s="50" t="str">
        <x:f>IF(R775="No","No finance data",IF(AB775&gt;=10%,"Severe",IF(AB775&gt;=5%,"High",IF(AB775&gt;=2%,"Moderate","Low"))))</x:f>
        <x:v>No finance data</x:v>
      </x:c>
      <x:c r="AF775" s="60"/>
      <x:c r="AG775" s="60"/>
      <x:c r="AH775" s="44" t="str">
        <x:v>Undergraduate tuition-contribution proxy only; not an audited total institutional budget.</x:v>
      </x:c>
    </x:row>
    <x:row r="776">
      <x:c r="A776" s="16" t="n">
        <x:v>172051</x:v>
      </x:c>
      <x:c r="B776" s="16" t="str">
        <x:v>Saginaw Valley State University</x:v>
      </x:c>
      <x:c r="C776" s="16" t="str">
        <x:v>MI</x:v>
      </x:c>
      <x:c r="D776" s="16" t="str">
        <x:v>Public</x:v>
      </x:c>
      <x:c r="E776" s="34" t="n">
        <x:v>8434</x:v>
      </x:c>
      <x:c r="F776" s="21" t="n">
        <x:v>0.7781</x:v>
      </x:c>
      <x:c r="G776" s="16" t="str">
        <x:v>Statewide</x:v>
      </x:c>
      <x:c r="H776" s="36" t="n">
        <x:f>IF(G776="National",Assumptions!$B$11,IF(G776="Statewide",Assumptions!$B$12,Assumptions!$B$13))</x:f>
        <x:v>0.6</x:v>
      </x:c>
      <x:c r="I776" s="21" t="n">
        <x:v>-0.04799498871466501</x:v>
      </x:c>
      <x:c r="J776" s="21" t="n">
        <x:v>-0.043649886152347106</x:v>
      </x:c>
      <x:c r="K776" s="21" t="n">
        <x:v>-0.15354021457051092</x:v>
      </x:c>
      <x:c r="L776" s="36" t="n">
        <x:f>IF(Assumptions!$B$4=2030,I776,IF(Assumptions!$B$4=2035,J776,K776))</x:f>
        <x:v>-0.043649886152347106</x:v>
      </x:c>
      <x:c r="M776" s="36" t="n">
        <x:f>Assumptions!$B$19</x:f>
        <x:v>-0.04739891965741583</x:v>
      </x:c>
      <x:c r="N776" s="52" t="n">
        <x:f>H776*L776+(1-H776)*M776+O776</x:f>
        <x:v>-0.0451494995543746</x:v>
      </x:c>
      <x:c r="O776" s="36" t="n">
        <x:f>Assumptions!$B$10</x:f>
        <x:v>0</x:v>
      </x:c>
      <x:c r="P776" s="54" t="n">
        <x:f>E776*(1+N776)</x:f>
        <x:v>8053.209120758404</x:v>
      </x:c>
      <x:c r="Q776" s="54" t="n">
        <x:f>P776-E776</x:f>
        <x:v>-380.7908792415956</x:v>
      </x:c>
      <x:c r="R776" s="16" t="str">
        <x:v>Yes</x:v>
      </x:c>
      <x:c r="S776" s="56" t="n">
        <x:v>9144</x:v>
      </x:c>
      <x:c r="T776" s="56" t="n">
        <x:v>7945</x:v>
      </x:c>
      <x:c r="U776" s="40" t="n">
        <x:f>E776*Assumptions!$B$8</x:f>
        <x:v>7168.9</x:v>
      </x:c>
      <x:c r="V776" s="40" t="n">
        <x:f>P776*Assumptions!$B$8</x:f>
        <x:v>6845.227752644643</x:v>
      </x:c>
      <x:c r="W776" s="54" t="n">
        <x:f>V776-U776</x:f>
        <x:v>-323.6722473553564</x:v>
      </x:c>
      <x:c r="X776" s="58" t="n">
        <x:f>IF(R776="No","",W776*S776)</x:f>
        <x:v>-2959659.0298173786</x:v>
      </x:c>
      <x:c r="Y776" s="58" t="n">
        <x:f>IF(R776="No","",W776*T776*Assumptions!$B$9)</x:f>
        <x:v>-771472.8015714919</x:v>
      </x:c>
      <x:c r="Z776" s="58" t="n">
        <x:f>IF(R776="No","",X776-Y776)</x:f>
        <x:v>-2188186.228245887</x:v>
      </x:c>
      <x:c r="AA776" s="58" t="n">
        <x:f>IF(R776="No","",MAX(0,-Z776))</x:f>
        <x:v>2188186.228245887</x:v>
      </x:c>
      <x:c r="AB776" s="52" t="n">
        <x:f>IF(OR(R776="No",U776*S776=0),"",AA776/(U776*S776))</x:f>
        <x:v>0.03338070775780291</x:v>
      </x:c>
      <x:c r="AC776" s="54" t="n">
        <x:f>IF(OR(R776="No",S776-T776*Assumptions!$B$9&lt;=0),"",AA776/(Assumptions!$B$8*(S776-T776*Assumptions!$B$9)))</x:f>
        <x:v>380.79087924159575</x:v>
      </x:c>
      <x:c r="AD776" s="52" t="n">
        <x:f>IF(OR(R776="No",U776*S776=0),"",AA776/(U776*S776))</x:f>
        <x:v>0.03338070775780291</x:v>
      </x:c>
      <x:c r="AE776" s="50" t="str">
        <x:f>IF(R776="No","No finance data",IF(AB776&gt;=10%,"Severe",IF(AB776&gt;=5%,"High",IF(AB776&gt;=2%,"Moderate","Low"))))</x:f>
        <x:v>Moderate</x:v>
      </x:c>
      <x:c r="AF776" s="60" t="n">
        <x:v>43.51176</x:v>
      </x:c>
      <x:c r="AG776" s="60" t="n">
        <x:v>-83.964273</x:v>
      </x:c>
      <x:c r="AH776" s="44" t="str">
        <x:v>Undergraduate tuition-contribution proxy only; not an audited total institutional budget.</x:v>
      </x:c>
    </x:row>
    <x:row r="777">
      <x:c r="A777" s="16" t="n">
        <x:v>172264</x:v>
      </x:c>
      <x:c r="B777" s="16" t="str">
        <x:v>Siena Heights University</x:v>
      </x:c>
      <x:c r="C777" s="16" t="str">
        <x:v>MI</x:v>
      </x:c>
      <x:c r="D777" s="16" t="str">
        <x:v>Private nonprofit</x:v>
      </x:c>
      <x:c r="E777" s="34" t="n">
        <x:v>2378</x:v>
      </x:c>
      <x:c r="F777" s="21" t="n">
        <x:v>0.6844</x:v>
      </x:c>
      <x:c r="G777" s="16" t="str">
        <x:v>Regional</x:v>
      </x:c>
      <x:c r="H777" s="36" t="n">
        <x:f>IF(G777="National",Assumptions!$B$11,IF(G777="Statewide",Assumptions!$B$12,Assumptions!$B$13))</x:f>
        <x:v>0.85</x:v>
      </x:c>
      <x:c r="I777" s="21" t="n">
        <x:v>-0.04799498871466501</x:v>
      </x:c>
      <x:c r="J777" s="21" t="n">
        <x:v>-0.043649886152347106</x:v>
      </x:c>
      <x:c r="K777" s="21" t="n">
        <x:v>-0.15354021457051092</x:v>
      </x:c>
      <x:c r="L777" s="36" t="n">
        <x:f>IF(Assumptions!$B$4=2030,I777,IF(Assumptions!$B$4=2035,J777,K777))</x:f>
        <x:v>-0.043649886152347106</x:v>
      </x:c>
      <x:c r="M777" s="36" t="n">
        <x:f>Assumptions!$B$19</x:f>
        <x:v>-0.04739891965741583</x:v>
      </x:c>
      <x:c r="N777" s="52" t="n">
        <x:f>H777*L777+(1-H777)*M777+O777</x:f>
        <x:v>-0.04421224117810742</x:v>
      </x:c>
      <x:c r="O777" s="36" t="n">
        <x:f>Assumptions!$B$10</x:f>
        <x:v>0</x:v>
      </x:c>
      <x:c r="P777" s="54" t="n">
        <x:f>E777*(1+N777)</x:f>
        <x:v>2272.8632904784604</x:v>
      </x:c>
      <x:c r="Q777" s="54" t="n">
        <x:f>P777-E777</x:f>
        <x:v>-105.13670952153961</x:v>
      </x:c>
      <x:c r="R777" s="16" t="str">
        <x:v>Yes</x:v>
      </x:c>
      <x:c r="S777" s="56" t="n">
        <x:v>10497</x:v>
      </x:c>
      <x:c r="T777" s="56" t="n">
        <x:v>6749</x:v>
      </x:c>
      <x:c r="U777" s="40" t="n">
        <x:f>E777*Assumptions!$B$8</x:f>
        <x:v>2021.3</x:v>
      </x:c>
      <x:c r="V777" s="40" t="n">
        <x:f>P777*Assumptions!$B$8</x:f>
        <x:v>1931.9337969066912</x:v>
      </x:c>
      <x:c r="W777" s="54" t="n">
        <x:f>V777-U777</x:f>
        <x:v>-89.36620309330874</x:v>
      </x:c>
      <x:c r="X777" s="58" t="n">
        <x:f>IF(R777="No","",W777*S777)</x:f>
        <x:v>-938077.0338704619</x:v>
      </x:c>
      <x:c r="Y777" s="58" t="n">
        <x:f>IF(R777="No","",W777*T777*Assumptions!$B$9)</x:f>
        <x:v>-180939.7514030222</x:v>
      </x:c>
      <x:c r="Z777" s="58" t="n">
        <x:f>IF(R777="No","",X777-Y777)</x:f>
        <x:v>-757137.2824674397</x:v>
      </x:c>
      <x:c r="AA777" s="58" t="n">
        <x:f>IF(R777="No","",MAX(0,-Z777))</x:f>
        <x:v>757137.2824674397</x:v>
      </x:c>
      <x:c r="AB777" s="52" t="n">
        <x:f>IF(OR(R777="No",U777*S777=0),"",AA777/(U777*S777))</x:f>
        <x:v>0.035684421352127314</x:v>
      </x:c>
      <x:c r="AC777" s="54" t="n">
        <x:f>IF(OR(R777="No",S777-T777*Assumptions!$B$9&lt;=0),"",AA777/(Assumptions!$B$8*(S777-T777*Assumptions!$B$9)))</x:f>
        <x:v>105.13670952153971</x:v>
      </x:c>
      <x:c r="AD777" s="52" t="n">
        <x:f>IF(OR(R777="No",U777*S777=0),"",AA777/(U777*S777))</x:f>
        <x:v>0.035684421352127314</x:v>
      </x:c>
      <x:c r="AE777" s="50" t="str">
        <x:f>IF(R777="No","No finance data",IF(AB777&gt;=10%,"Severe",IF(AB777&gt;=5%,"High",IF(AB777&gt;=2%,"Moderate","Low"))))</x:f>
        <x:v>Moderate</x:v>
      </x:c>
      <x:c r="AF777" s="60" t="n">
        <x:v>41.905624</x:v>
      </x:c>
      <x:c r="AG777" s="60" t="n">
        <x:v>-84.018841</x:v>
      </x:c>
      <x:c r="AH777" s="44" t="str">
        <x:v>Undergraduate tuition-contribution proxy only; not an audited total institutional budget.</x:v>
      </x:c>
    </x:row>
    <x:row r="778">
      <x:c r="A778" s="16" t="n">
        <x:v>172334</x:v>
      </x:c>
      <x:c r="B778" s="16" t="str">
        <x:v>Spring Arbor University</x:v>
      </x:c>
      <x:c r="C778" s="16" t="str">
        <x:v>MI</x:v>
      </x:c>
      <x:c r="D778" s="16" t="str">
        <x:v>Private nonprofit</x:v>
      </x:c>
      <x:c r="E778" s="34" t="n">
        <x:v>2310</x:v>
      </x:c>
      <x:c r="F778" s="21" t="n">
        <x:v>0.5994</x:v>
      </x:c>
      <x:c r="G778" s="16" t="str">
        <x:v>Regional</x:v>
      </x:c>
      <x:c r="H778" s="36" t="n">
        <x:f>IF(G778="National",Assumptions!$B$11,IF(G778="Statewide",Assumptions!$B$12,Assumptions!$B$13))</x:f>
        <x:v>0.85</x:v>
      </x:c>
      <x:c r="I778" s="21" t="n">
        <x:v>-0.04799498871466501</x:v>
      </x:c>
      <x:c r="J778" s="21" t="n">
        <x:v>-0.043649886152347106</x:v>
      </x:c>
      <x:c r="K778" s="21" t="n">
        <x:v>-0.15354021457051092</x:v>
      </x:c>
      <x:c r="L778" s="36" t="n">
        <x:f>IF(Assumptions!$B$4=2030,I778,IF(Assumptions!$B$4=2035,J778,K778))</x:f>
        <x:v>-0.043649886152347106</x:v>
      </x:c>
      <x:c r="M778" s="36" t="n">
        <x:f>Assumptions!$B$19</x:f>
        <x:v>-0.04739891965741583</x:v>
      </x:c>
      <x:c r="N778" s="52" t="n">
        <x:f>H778*L778+(1-H778)*M778+O778</x:f>
        <x:v>-0.04421224117810742</x:v>
      </x:c>
      <x:c r="O778" s="36" t="n">
        <x:f>Assumptions!$B$10</x:f>
        <x:v>0</x:v>
      </x:c>
      <x:c r="P778" s="54" t="n">
        <x:f>E778*(1+N778)</x:f>
        <x:v>2207.869722878572</x:v>
      </x:c>
      <x:c r="Q778" s="54" t="n">
        <x:f>P778-E778</x:f>
        <x:v>-102.13027712142821</x:v>
      </x:c>
      <x:c r="R778" s="16" t="str">
        <x:v>Yes</x:v>
      </x:c>
      <x:c r="S778" s="56" t="n">
        <x:v>13110</x:v>
      </x:c>
      <x:c r="T778" s="56" t="n">
        <x:v>5753</x:v>
      </x:c>
      <x:c r="U778" s="40" t="n">
        <x:f>E778*Assumptions!$B$8</x:f>
        <x:v>1963.5</x:v>
      </x:c>
      <x:c r="V778" s="40" t="n">
        <x:f>P778*Assumptions!$B$8</x:f>
        <x:v>1876.689264446786</x:v>
      </x:c>
      <x:c r="W778" s="54" t="n">
        <x:f>V778-U778</x:f>
        <x:v>-86.81073555321404</x:v>
      </x:c>
      <x:c r="X778" s="58" t="n">
        <x:f>IF(R778="No","",W778*S778)</x:f>
        <x:v>-1138088.7431026362</x:v>
      </x:c>
      <x:c r="Y778" s="58" t="n">
        <x:f>IF(R778="No","",W778*T778*Assumptions!$B$9)</x:f>
        <x:v>-149826.64849129212</x:v>
      </x:c>
      <x:c r="Z778" s="58" t="n">
        <x:f>IF(R778="No","",X778-Y778)</x:f>
        <x:v>-988262.094611344</x:v>
      </x:c>
      <x:c r="AA778" s="58" t="n">
        <x:f>IF(R778="No","",MAX(0,-Z778))</x:f>
        <x:v>988262.094611344</x:v>
      </x:c>
      <x:c r="AB778" s="52" t="n">
        <x:f>IF(OR(R778="No",U778*S778=0),"",AA778/(U778*S778))</x:f>
        <x:v>0.03839180585779507</x:v>
      </x:c>
      <x:c r="AC778" s="54" t="n">
        <x:f>IF(OR(R778="No",S778-T778*Assumptions!$B$9&lt;=0),"",AA778/(Assumptions!$B$8*(S778-T778*Assumptions!$B$9)))</x:f>
        <x:v>102.13027712142829</x:v>
      </x:c>
      <x:c r="AD778" s="52" t="n">
        <x:f>IF(OR(R778="No",U778*S778=0),"",AA778/(U778*S778))</x:f>
        <x:v>0.03839180585779507</x:v>
      </x:c>
      <x:c r="AE778" s="50" t="str">
        <x:f>IF(R778="No","No finance data",IF(AB778&gt;=10%,"Severe",IF(AB778&gt;=5%,"High",IF(AB778&gt;=2%,"Moderate","Low"))))</x:f>
        <x:v>Moderate</x:v>
      </x:c>
      <x:c r="AF778" s="60" t="n">
        <x:v>42.206568</x:v>
      </x:c>
      <x:c r="AG778" s="60" t="n">
        <x:v>-84.556074</x:v>
      </x:c>
      <x:c r="AH778" s="44" t="str">
        <x:v>Undergraduate tuition-contribution proxy only; not an audited total institutional budget.</x:v>
      </x:c>
    </x:row>
    <x:row r="779">
      <x:c r="A779" s="16" t="n">
        <x:v>448804</x:v>
      </x:c>
      <x:c r="B779" s="16" t="str">
        <x:v>The Robert B Miller College</x:v>
      </x:c>
      <x:c r="C779" s="16" t="str">
        <x:v>MI</x:v>
      </x:c>
      <x:c r="D779" s="16" t="str">
        <x:v>Private nonprofit</x:v>
      </x:c>
      <x:c r="E779" s="34" t="n">
        <x:v>218</x:v>
      </x:c>
      <x:c r="F779" s="21"/>
      <x:c r="G779" s="16" t="str">
        <x:v>Regional</x:v>
      </x:c>
      <x:c r="H779" s="36" t="n">
        <x:f>IF(G779="National",Assumptions!$B$11,IF(G779="Statewide",Assumptions!$B$12,Assumptions!$B$13))</x:f>
        <x:v>0.85</x:v>
      </x:c>
      <x:c r="I779" s="21" t="n">
        <x:v>-0.04799498871466501</x:v>
      </x:c>
      <x:c r="J779" s="21" t="n">
        <x:v>-0.043649886152347106</x:v>
      </x:c>
      <x:c r="K779" s="21" t="n">
        <x:v>-0.15354021457051092</x:v>
      </x:c>
      <x:c r="L779" s="36" t="n">
        <x:f>IF(Assumptions!$B$4=2030,I779,IF(Assumptions!$B$4=2035,J779,K779))</x:f>
        <x:v>-0.043649886152347106</x:v>
      </x:c>
      <x:c r="M779" s="36" t="n">
        <x:f>Assumptions!$B$19</x:f>
        <x:v>-0.04739891965741583</x:v>
      </x:c>
      <x:c r="N779" s="52" t="n">
        <x:f>H779*L779+(1-H779)*M779+O779</x:f>
        <x:v>-0.04421224117810742</x:v>
      </x:c>
      <x:c r="O779" s="36" t="n">
        <x:f>Assumptions!$B$10</x:f>
        <x:v>0</x:v>
      </x:c>
      <x:c r="P779" s="54" t="n">
        <x:f>E779*(1+N779)</x:f>
        <x:v>208.36173142317259</x:v>
      </x:c>
      <x:c r="Q779" s="54" t="n">
        <x:f>P779-E779</x:f>
        <x:v>-9.638268576827414</x:v>
      </x:c>
      <x:c r="R779" s="16" t="str">
        <x:v>No</x:v>
      </x:c>
      <x:c r="S779" s="56"/>
      <x:c r="T779" s="56"/>
      <x:c r="U779" s="40" t="n">
        <x:f>E779*Assumptions!$B$8</x:f>
        <x:v>185.29999999999998</x:v>
      </x:c>
      <x:c r="V779" s="40" t="n">
        <x:f>P779*Assumptions!$B$8</x:f>
        <x:v>177.10747170969668</x:v>
      </x:c>
      <x:c r="W779" s="54" t="n">
        <x:f>V779-U779</x:f>
        <x:v>-8.1925282903033</x:v>
      </x:c>
      <x:c r="X779" s="58" t="str">
        <x:f>IF(R779="No","",W779*S779)</x:f>
      </x:c>
      <x:c r="Y779" s="58" t="str">
        <x:f>IF(R779="No","",W779*T779*Assumptions!$B$9)</x:f>
      </x:c>
      <x:c r="Z779" s="58" t="str">
        <x:f>IF(R779="No","",X779-Y779)</x:f>
      </x:c>
      <x:c r="AA779" s="58" t="str">
        <x:f>IF(R779="No","",MAX(0,-Z779))</x:f>
      </x:c>
      <x:c r="AB779" s="52" t="str">
        <x:f>IF(OR(R779="No",U779*S779=0),"",AA779/(U779*S779))</x:f>
      </x:c>
      <x:c r="AC779" s="54" t="str">
        <x:f>IF(OR(R779="No",S779-T779*Assumptions!$B$9&lt;=0),"",AA779/(Assumptions!$B$8*(S779-T779*Assumptions!$B$9)))</x:f>
      </x:c>
      <x:c r="AD779" s="52" t="str">
        <x:f>IF(OR(R779="No",U779*S779=0),"",AA779/(U779*S779))</x:f>
      </x:c>
      <x:c r="AE779" s="50" t="str">
        <x:f>IF(R779="No","No finance data",IF(AB779&gt;=10%,"Severe",IF(AB779&gt;=5%,"High",IF(AB779&gt;=2%,"Moderate","Low"))))</x:f>
        <x:v>No finance data</x:v>
      </x:c>
      <x:c r="AF779" s="60"/>
      <x:c r="AG779" s="60"/>
      <x:c r="AH779" s="44" t="str">
        <x:v>Undergraduate tuition-contribution proxy only; not an audited total institutional budget.</x:v>
      </x:c>
    </x:row>
    <x:row r="780">
      <x:c r="A780" s="16" t="n">
        <x:v>169716</x:v>
      </x:c>
      <x:c r="B780" s="16" t="str">
        <x:v>University of Detroit Mercy</x:v>
      </x:c>
      <x:c r="C780" s="16" t="str">
        <x:v>MI</x:v>
      </x:c>
      <x:c r="D780" s="16" t="str">
        <x:v>Private nonprofit</x:v>
      </x:c>
      <x:c r="E780" s="34" t="n">
        <x:v>2586</x:v>
      </x:c>
      <x:c r="F780" s="21" t="n">
        <x:v>0.9324</x:v>
      </x:c>
      <x:c r="G780" s="16" t="str">
        <x:v>Regional</x:v>
      </x:c>
      <x:c r="H780" s="36" t="n">
        <x:f>IF(G780="National",Assumptions!$B$11,IF(G780="Statewide",Assumptions!$B$12,Assumptions!$B$13))</x:f>
        <x:v>0.85</x:v>
      </x:c>
      <x:c r="I780" s="21" t="n">
        <x:v>-0.04799498871466501</x:v>
      </x:c>
      <x:c r="J780" s="21" t="n">
        <x:v>-0.043649886152347106</x:v>
      </x:c>
      <x:c r="K780" s="21" t="n">
        <x:v>-0.15354021457051092</x:v>
      </x:c>
      <x:c r="L780" s="36" t="n">
        <x:f>IF(Assumptions!$B$4=2030,I780,IF(Assumptions!$B$4=2035,J780,K780))</x:f>
        <x:v>-0.043649886152347106</x:v>
      </x:c>
      <x:c r="M780" s="36" t="n">
        <x:f>Assumptions!$B$19</x:f>
        <x:v>-0.04739891965741583</x:v>
      </x:c>
      <x:c r="N780" s="52" t="n">
        <x:f>H780*L780+(1-H780)*M780+O780</x:f>
        <x:v>-0.04421224117810742</x:v>
      </x:c>
      <x:c r="O780" s="36" t="n">
        <x:f>Assumptions!$B$10</x:f>
        <x:v>0</x:v>
      </x:c>
      <x:c r="P780" s="54" t="n">
        <x:f>E780*(1+N780)</x:f>
        <x:v>2471.667144313414</x:v>
      </x:c>
      <x:c r="Q780" s="54" t="n">
        <x:f>P780-E780</x:f>
        <x:v>-114.33285568658584</x:v>
      </x:c>
      <x:c r="R780" s="16" t="str">
        <x:v>Yes</x:v>
      </x:c>
      <x:c r="S780" s="56" t="n">
        <x:v>25540</x:v>
      </x:c>
      <x:c r="T780" s="56" t="n">
        <x:v>13579</x:v>
      </x:c>
      <x:c r="U780" s="40" t="n">
        <x:f>E780*Assumptions!$B$8</x:f>
        <x:v>2198.1</x:v>
      </x:c>
      <x:c r="V780" s="40" t="n">
        <x:f>P780*Assumptions!$B$8</x:f>
        <x:v>2100.917072666402</x:v>
      </x:c>
      <x:c r="W780" s="54" t="n">
        <x:f>V780-U780</x:f>
        <x:v>-97.18292733359795</x:v>
      </x:c>
      <x:c r="X780" s="58" t="n">
        <x:f>IF(R780="No","",W780*S780)</x:f>
        <x:v>-2482051.9641000917</x:v>
      </x:c>
      <x:c r="Y780" s="58" t="n">
        <x:f>IF(R780="No","",W780*T780*Assumptions!$B$9)</x:f>
        <x:v>-395894.091078878</x:v>
      </x:c>
      <x:c r="Z780" s="58" t="n">
        <x:f>IF(R780="No","",X780-Y780)</x:f>
        <x:v>-2086157.8730212138</x:v>
      </x:c>
      <x:c r="AA780" s="58" t="n">
        <x:f>IF(R780="No","",MAX(0,-Z780))</x:f>
        <x:v>2086157.8730212138</x:v>
      </x:c>
      <x:c r="AB780" s="52" t="n">
        <x:f>IF(OR(R780="No",U780*S780=0),"",AA780/(U780*S780))</x:f>
        <x:v>0.037160267533344074</x:v>
      </x:c>
      <x:c r="AC780" s="54" t="n">
        <x:f>IF(OR(R780="No",S780-T780*Assumptions!$B$9&lt;=0),"",AA780/(Assumptions!$B$8*(S780-T780*Assumptions!$B$9)))</x:f>
        <x:v>114.33285568658583</x:v>
      </x:c>
      <x:c r="AD780" s="52" t="n">
        <x:f>IF(OR(R780="No",U780*S780=0),"",AA780/(U780*S780))</x:f>
        <x:v>0.037160267533344074</x:v>
      </x:c>
      <x:c r="AE780" s="50" t="str">
        <x:f>IF(R780="No","No finance data",IF(AB780&gt;=10%,"Severe",IF(AB780&gt;=5%,"High",IF(AB780&gt;=2%,"Moderate","Low"))))</x:f>
        <x:v>Moderate</x:v>
      </x:c>
      <x:c r="AF780" s="60" t="n">
        <x:v>42.414222</x:v>
      </x:c>
      <x:c r="AG780" s="60" t="n">
        <x:v>-83.139158</x:v>
      </x:c>
      <x:c r="AH780" s="44" t="str">
        <x:v>Undergraduate tuition-contribution proxy only; not an audited total institutional budget.</x:v>
      </x:c>
    </x:row>
    <x:row r="781">
      <x:c r="A781" s="16" t="n">
        <x:v>170976</x:v>
      </x:c>
      <x:c r="B781" s="16" t="str">
        <x:v>University of Michigan-Ann Arbor</x:v>
      </x:c>
      <x:c r="C781" s="16" t="str">
        <x:v>MI</x:v>
      </x:c>
      <x:c r="D781" s="16" t="str">
        <x:v>Public</x:v>
      </x:c>
      <x:c r="E781" s="34" t="n">
        <x:v>28120</x:v>
      </x:c>
      <x:c r="F781" s="21" t="n">
        <x:v>0.2015</x:v>
      </x:c>
      <x:c r="G781" s="16" t="str">
        <x:v>National</x:v>
      </x:c>
      <x:c r="H781" s="36" t="n">
        <x:f>IF(G781="National",Assumptions!$B$11,IF(G781="Statewide",Assumptions!$B$12,Assumptions!$B$13))</x:f>
        <x:v>0.25</x:v>
      </x:c>
      <x:c r="I781" s="21" t="n">
        <x:v>-0.04799498871466501</x:v>
      </x:c>
      <x:c r="J781" s="21" t="n">
        <x:v>-0.043649886152347106</x:v>
      </x:c>
      <x:c r="K781" s="21" t="n">
        <x:v>-0.15354021457051092</x:v>
      </x:c>
      <x:c r="L781" s="36" t="n">
        <x:f>IF(Assumptions!$B$4=2030,I781,IF(Assumptions!$B$4=2035,J781,K781))</x:f>
        <x:v>-0.043649886152347106</x:v>
      </x:c>
      <x:c r="M781" s="36" t="n">
        <x:f>Assumptions!$B$19</x:f>
        <x:v>-0.04739891965741583</x:v>
      </x:c>
      <x:c r="N781" s="52" t="n">
        <x:f>H781*L781+(1-H781)*M781+O781</x:f>
        <x:v>-0.04646166128114865</x:v>
      </x:c>
      <x:c r="O781" s="36" t="n">
        <x:f>Assumptions!$B$10</x:f>
        <x:v>0</x:v>
      </x:c>
      <x:c r="P781" s="54" t="n">
        <x:f>E781*(1+N781)</x:f>
        <x:v>26813.498084774103</x:v>
      </x:c>
      <x:c r="Q781" s="54" t="n">
        <x:f>P781-E781</x:f>
        <x:v>-1306.5019152258974</x:v>
      </x:c>
      <x:c r="R781" s="16" t="str">
        <x:v>Yes</x:v>
      </x:c>
      <x:c r="S781" s="56" t="n">
        <x:v>26644</x:v>
      </x:c>
      <x:c r="T781" s="56" t="n">
        <x:v>23959</x:v>
      </x:c>
      <x:c r="U781" s="40" t="n">
        <x:f>E781*Assumptions!$B$8</x:f>
        <x:v>23902</x:v>
      </x:c>
      <x:c r="V781" s="40" t="n">
        <x:f>P781*Assumptions!$B$8</x:f>
        <x:v>22791.473372057986</x:v>
      </x:c>
      <x:c r="W781" s="54" t="n">
        <x:f>V781-U781</x:f>
        <x:v>-1110.5266279420139</x:v>
      </x:c>
      <x:c r="X781" s="58" t="n">
        <x:f>IF(R781="No","",W781*S781)</x:f>
        <x:v>-29588871.474887017</x:v>
      </x:c>
      <x:c r="Y781" s="58" t="n">
        <x:f>IF(R781="No","",W781*T781*Assumptions!$B$9)</x:f>
        <x:v>-7982132.243658813</x:v>
      </x:c>
      <x:c r="Z781" s="58" t="n">
        <x:f>IF(R781="No","",X781-Y781)</x:f>
        <x:v>-21606739.231228203</x:v>
      </x:c>
      <x:c r="AA781" s="58" t="n">
        <x:f>IF(R781="No","",MAX(0,-Z781))</x:f>
        <x:v>21606739.231228203</x:v>
      </x:c>
      <x:c r="AB781" s="52" t="n">
        <x:f>IF(OR(R781="No",U781*S781=0),"",AA781/(U781*S781))</x:f>
        <x:v>0.033927789385393016</x:v>
      </x:c>
      <x:c r="AC781" s="54" t="n">
        <x:f>IF(OR(R781="No",S781-T781*Assumptions!$B$9&lt;=0),"",AA781/(Assumptions!$B$8*(S781-T781*Assumptions!$B$9)))</x:f>
        <x:v>1306.5019152258985</x:v>
      </x:c>
      <x:c r="AD781" s="52" t="n">
        <x:f>IF(OR(R781="No",U781*S781=0),"",AA781/(U781*S781))</x:f>
        <x:v>0.033927789385393016</x:v>
      </x:c>
      <x:c r="AE781" s="50" t="str">
        <x:f>IF(R781="No","No finance data",IF(AB781&gt;=10%,"Severe",IF(AB781&gt;=5%,"High",IF(AB781&gt;=2%,"Moderate","Low"))))</x:f>
        <x:v>Moderate</x:v>
      </x:c>
      <x:c r="AF781" s="60" t="n">
        <x:v>42.275921</x:v>
      </x:c>
      <x:c r="AG781" s="60" t="n">
        <x:v>-83.742769</x:v>
      </x:c>
      <x:c r="AH781" s="44" t="str">
        <x:v>Undergraduate tuition-contribution proxy only; not an audited total institutional budget.</x:v>
      </x:c>
    </x:row>
    <x:row r="782">
      <x:c r="A782" s="16" t="n">
        <x:v>171137</x:v>
      </x:c>
      <x:c r="B782" s="16" t="str">
        <x:v>University of Michigan-Dearborn</x:v>
      </x:c>
      <x:c r="C782" s="16" t="str">
        <x:v>MI</x:v>
      </x:c>
      <x:c r="D782" s="16" t="str">
        <x:v>Public</x:v>
      </x:c>
      <x:c r="E782" s="34" t="n">
        <x:v>6845</x:v>
      </x:c>
      <x:c r="F782" s="21" t="n">
        <x:v>0.6877</x:v>
      </x:c>
      <x:c r="G782" s="16" t="str">
        <x:v>Statewide</x:v>
      </x:c>
      <x:c r="H782" s="36" t="n">
        <x:f>IF(G782="National",Assumptions!$B$11,IF(G782="Statewide",Assumptions!$B$12,Assumptions!$B$13))</x:f>
        <x:v>0.6</x:v>
      </x:c>
      <x:c r="I782" s="21" t="n">
        <x:v>-0.04799498871466501</x:v>
      </x:c>
      <x:c r="J782" s="21" t="n">
        <x:v>-0.043649886152347106</x:v>
      </x:c>
      <x:c r="K782" s="21" t="n">
        <x:v>-0.15354021457051092</x:v>
      </x:c>
      <x:c r="L782" s="36" t="n">
        <x:f>IF(Assumptions!$B$4=2030,I782,IF(Assumptions!$B$4=2035,J782,K782))</x:f>
        <x:v>-0.043649886152347106</x:v>
      </x:c>
      <x:c r="M782" s="36" t="n">
        <x:f>Assumptions!$B$19</x:f>
        <x:v>-0.04739891965741583</x:v>
      </x:c>
      <x:c r="N782" s="52" t="n">
        <x:f>H782*L782+(1-H782)*M782+O782</x:f>
        <x:v>-0.0451494995543746</x:v>
      </x:c>
      <x:c r="O782" s="36" t="n">
        <x:f>Assumptions!$B$10</x:f>
        <x:v>0</x:v>
      </x:c>
      <x:c r="P782" s="54" t="n">
        <x:f>E782*(1+N782)</x:f>
        <x:v>6535.9516755503055</x:v>
      </x:c>
      <x:c r="Q782" s="54" t="n">
        <x:f>P782-E782</x:f>
        <x:v>-309.0483244496945</x:v>
      </x:c>
      <x:c r="R782" s="16" t="str">
        <x:v>Yes</x:v>
      </x:c>
      <x:c r="S782" s="56" t="n">
        <x:v>12619</x:v>
      </x:c>
      <x:c r="T782" s="56" t="n">
        <x:v>10417</x:v>
      </x:c>
      <x:c r="U782" s="40" t="n">
        <x:f>E782*Assumptions!$B$8</x:f>
        <x:v>5818.25</x:v>
      </x:c>
      <x:c r="V782" s="40" t="n">
        <x:f>P782*Assumptions!$B$8</x:f>
        <x:v>5555.558924217759</x:v>
      </x:c>
      <x:c r="W782" s="54" t="n">
        <x:f>V782-U782</x:f>
        <x:v>-262.69107578224066</x:v>
      </x:c>
      <x:c r="X782" s="58" t="n">
        <x:f>IF(R782="No","",W782*S782)</x:f>
        <x:v>-3314898.685296095</x:v>
      </x:c>
      <x:c r="Y782" s="58" t="n">
        <x:f>IF(R782="No","",W782*T782*Assumptions!$B$9)</x:f>
        <x:v>-820935.8809270803</x:v>
      </x:c>
      <x:c r="Z782" s="58" t="n">
        <x:f>IF(R782="No","",X782-Y782)</x:f>
        <x:v>-2493962.8043690147</x:v>
      </x:c>
      <x:c r="AA782" s="58" t="n">
        <x:f>IF(R782="No","",MAX(0,-Z782))</x:f>
        <x:v>2493962.8043690147</x:v>
      </x:c>
      <x:c r="AB782" s="52" t="n">
        <x:f>IF(OR(R782="No",U782*S782=0),"",AA782/(U782*S782))</x:f>
        <x:v>0.033968209352506384</x:v>
      </x:c>
      <x:c r="AC782" s="54" t="n">
        <x:f>IF(OR(R782="No",S782-T782*Assumptions!$B$9&lt;=0),"",AA782/(Assumptions!$B$8*(S782-T782*Assumptions!$B$9)))</x:f>
        <x:v>309.0483244496949</x:v>
      </x:c>
      <x:c r="AD782" s="52" t="n">
        <x:f>IF(OR(R782="No",U782*S782=0),"",AA782/(U782*S782))</x:f>
        <x:v>0.033968209352506384</x:v>
      </x:c>
      <x:c r="AE782" s="50" t="str">
        <x:f>IF(R782="No","No finance data",IF(AB782&gt;=10%,"Severe",IF(AB782&gt;=5%,"High",IF(AB782&gt;=2%,"Moderate","Low"))))</x:f>
        <x:v>Moderate</x:v>
      </x:c>
      <x:c r="AF782" s="60" t="n">
        <x:v>42.317287</x:v>
      </x:c>
      <x:c r="AG782" s="60" t="n">
        <x:v>-83.231417</x:v>
      </x:c>
      <x:c r="AH782" s="44" t="str">
        <x:v>Undergraduate tuition-contribution proxy only; not an audited total institutional budget.</x:v>
      </x:c>
    </x:row>
    <x:row r="783">
      <x:c r="A783" s="16" t="n">
        <x:v>171146</x:v>
      </x:c>
      <x:c r="B783" s="16" t="str">
        <x:v>University of Michigan-Flint</x:v>
      </x:c>
      <x:c r="C783" s="16" t="str">
        <x:v>MI</x:v>
      </x:c>
      <x:c r="D783" s="16" t="str">
        <x:v>Public</x:v>
      </x:c>
      <x:c r="E783" s="34" t="n">
        <x:v>6255</x:v>
      </x:c>
      <x:c r="F783" s="21" t="n">
        <x:v>0.7386</x:v>
      </x:c>
      <x:c r="G783" s="16" t="str">
        <x:v>Statewide</x:v>
      </x:c>
      <x:c r="H783" s="36" t="n">
        <x:f>IF(G783="National",Assumptions!$B$11,IF(G783="Statewide",Assumptions!$B$12,Assumptions!$B$13))</x:f>
        <x:v>0.6</x:v>
      </x:c>
      <x:c r="I783" s="21" t="n">
        <x:v>-0.04799498871466501</x:v>
      </x:c>
      <x:c r="J783" s="21" t="n">
        <x:v>-0.043649886152347106</x:v>
      </x:c>
      <x:c r="K783" s="21" t="n">
        <x:v>-0.15354021457051092</x:v>
      </x:c>
      <x:c r="L783" s="36" t="n">
        <x:f>IF(Assumptions!$B$4=2030,I783,IF(Assumptions!$B$4=2035,J783,K783))</x:f>
        <x:v>-0.043649886152347106</x:v>
      </x:c>
      <x:c r="M783" s="36" t="n">
        <x:f>Assumptions!$B$19</x:f>
        <x:v>-0.04739891965741583</x:v>
      </x:c>
      <x:c r="N783" s="52" t="n">
        <x:f>H783*L783+(1-H783)*M783+O783</x:f>
        <x:v>-0.0451494995543746</x:v>
      </x:c>
      <x:c r="O783" s="36" t="n">
        <x:f>Assumptions!$B$10</x:f>
        <x:v>0</x:v>
      </x:c>
      <x:c r="P783" s="54" t="n">
        <x:f>E783*(1+N783)</x:f>
        <x:v>5972.589880287386</x:v>
      </x:c>
      <x:c r="Q783" s="54" t="n">
        <x:f>P783-E783</x:f>
        <x:v>-282.4101197126138</x:v>
      </x:c>
      <x:c r="R783" s="16" t="str">
        <x:v>Yes</x:v>
      </x:c>
      <x:c r="S783" s="56" t="n">
        <x:v>12631</x:v>
      </x:c>
      <x:c r="T783" s="56" t="n">
        <x:v>9915</x:v>
      </x:c>
      <x:c r="U783" s="40" t="n">
        <x:f>E783*Assumptions!$B$8</x:f>
        <x:v>5316.75</x:v>
      </x:c>
      <x:c r="V783" s="40" t="n">
        <x:f>P783*Assumptions!$B$8</x:f>
        <x:v>5076.701398244279</x:v>
      </x:c>
      <x:c r="W783" s="54" t="n">
        <x:f>V783-U783</x:f>
        <x:v>-240.0486017557214</x:v>
      </x:c>
      <x:c r="X783" s="58" t="n">
        <x:f>IF(R783="No","",W783*S783)</x:f>
        <x:v>-3032053.888776517</x:v>
      </x:c>
      <x:c r="Y783" s="58" t="n">
        <x:f>IF(R783="No","",W783*T783*Assumptions!$B$9)</x:f>
        <x:v>-714024.5659223932</x:v>
      </x:c>
      <x:c r="Z783" s="58" t="n">
        <x:f>IF(R783="No","",X783-Y783)</x:f>
        <x:v>-2318029.322854124</x:v>
      </x:c>
      <x:c r="AA783" s="58" t="n">
        <x:f>IF(R783="No","",MAX(0,-Z783))</x:f>
        <x:v>2318029.322854124</x:v>
      </x:c>
      <x:c r="AB783" s="52" t="n">
        <x:f>IF(OR(R783="No",U783*S783=0),"",AA783/(U783*S783))</x:f>
        <x:v>0.03451715164649029</x:v>
      </x:c>
      <x:c r="AC783" s="54" t="n">
        <x:f>IF(OR(R783="No",S783-T783*Assumptions!$B$9&lt;=0),"",AA783/(Assumptions!$B$8*(S783-T783*Assumptions!$B$9)))</x:f>
        <x:v>282.41011971261344</x:v>
      </x:c>
      <x:c r="AD783" s="52" t="n">
        <x:f>IF(OR(R783="No",U783*S783=0),"",AA783/(U783*S783))</x:f>
        <x:v>0.03451715164649029</x:v>
      </x:c>
      <x:c r="AE783" s="50" t="str">
        <x:f>IF(R783="No","No finance data",IF(AB783&gt;=10%,"Severe",IF(AB783&gt;=5%,"High",IF(AB783&gt;=2%,"Moderate","Low"))))</x:f>
        <x:v>Moderate</x:v>
      </x:c>
      <x:c r="AF783" s="60" t="n">
        <x:v>43.01875</x:v>
      </x:c>
      <x:c r="AG783" s="60" t="n">
        <x:v>-83.690276</x:v>
      </x:c>
      <x:c r="AH783" s="44" t="str">
        <x:v>Undergraduate tuition-contribution proxy only; not an audited total institutional budget.</x:v>
      </x:c>
    </x:row>
    <x:row r="784">
      <x:c r="A784" s="16" t="n">
        <x:v>172608</x:v>
      </x:c>
      <x:c r="B784" s="16" t="str">
        <x:v>Walsh College of Accountancy and Business Administration</x:v>
      </x:c>
      <x:c r="C784" s="16" t="str">
        <x:v>MI</x:v>
      </x:c>
      <x:c r="D784" s="16" t="str">
        <x:v>Private nonprofit</x:v>
      </x:c>
      <x:c r="E784" s="34" t="n">
        <x:v>939</x:v>
      </x:c>
      <x:c r="F784" s="21"/>
      <x:c r="G784" s="16" t="str">
        <x:v>Regional</x:v>
      </x:c>
      <x:c r="H784" s="36" t="n">
        <x:f>IF(G784="National",Assumptions!$B$11,IF(G784="Statewide",Assumptions!$B$12,Assumptions!$B$13))</x:f>
        <x:v>0.85</x:v>
      </x:c>
      <x:c r="I784" s="21" t="n">
        <x:v>-0.04799498871466501</x:v>
      </x:c>
      <x:c r="J784" s="21" t="n">
        <x:v>-0.043649886152347106</x:v>
      </x:c>
      <x:c r="K784" s="21" t="n">
        <x:v>-0.15354021457051092</x:v>
      </x:c>
      <x:c r="L784" s="36" t="n">
        <x:f>IF(Assumptions!$B$4=2030,I784,IF(Assumptions!$B$4=2035,J784,K784))</x:f>
        <x:v>-0.043649886152347106</x:v>
      </x:c>
      <x:c r="M784" s="36" t="n">
        <x:f>Assumptions!$B$19</x:f>
        <x:v>-0.04739891965741583</x:v>
      </x:c>
      <x:c r="N784" s="52" t="n">
        <x:f>H784*L784+(1-H784)*M784+O784</x:f>
        <x:v>-0.04421224117810742</x:v>
      </x:c>
      <x:c r="O784" s="36" t="n">
        <x:f>Assumptions!$B$10</x:f>
        <x:v>0</x:v>
      </x:c>
      <x:c r="P784" s="54" t="n">
        <x:f>E784*(1+N784)</x:f>
        <x:v>897.4847055337572</x:v>
      </x:c>
      <x:c r="Q784" s="54" t="n">
        <x:f>P784-E784</x:f>
        <x:v>-41.515294466242835</x:v>
      </x:c>
      <x:c r="R784" s="16" t="str">
        <x:v>Yes</x:v>
      </x:c>
      <x:c r="S784" s="56" t="n">
        <x:v>18016</x:v>
      </x:c>
      <x:c r="T784" s="56" t="n">
        <x:v>5719</x:v>
      </x:c>
      <x:c r="U784" s="40" t="n">
        <x:f>E784*Assumptions!$B$8</x:f>
        <x:v>798.15</x:v>
      </x:c>
      <x:c r="V784" s="40" t="n">
        <x:f>P784*Assumptions!$B$8</x:f>
        <x:v>762.8619997036935</x:v>
      </x:c>
      <x:c r="W784" s="54" t="n">
        <x:f>V784-U784</x:f>
        <x:v>-35.28800029630645</x:v>
      </x:c>
      <x:c r="X784" s="58" t="n">
        <x:f>IF(R784="No","",W784*S784)</x:f>
        <x:v>-635748.613338257</x:v>
      </x:c>
      <x:c r="Y784" s="58" t="n">
        <x:f>IF(R784="No","",W784*T784*Assumptions!$B$9)</x:f>
        <x:v>-60543.622108372976</x:v>
      </x:c>
      <x:c r="Z784" s="58" t="n">
        <x:f>IF(R784="No","",X784-Y784)</x:f>
        <x:v>-575204.991229884</x:v>
      </x:c>
      <x:c r="AA784" s="58" t="n">
        <x:f>IF(R784="No","",MAX(0,-Z784))</x:f>
        <x:v>575204.991229884</x:v>
      </x:c>
      <x:c r="AB784" s="52" t="n">
        <x:f>IF(OR(R784="No",U784*S784=0),"",AA784/(U784*S784))</x:f>
        <x:v>0.04000182031946628</x:v>
      </x:c>
      <x:c r="AC784" s="54" t="n">
        <x:f>IF(OR(R784="No",S784-T784*Assumptions!$B$9&lt;=0),"",AA784/(Assumptions!$B$8*(S784-T784*Assumptions!$B$9)))</x:f>
        <x:v>41.51529446624288</x:v>
      </x:c>
      <x:c r="AD784" s="52" t="n">
        <x:f>IF(OR(R784="No",U784*S784=0),"",AA784/(U784*S784))</x:f>
        <x:v>0.04000182031946628</x:v>
      </x:c>
      <x:c r="AE784" s="50" t="str">
        <x:f>IF(R784="No","No finance data",IF(AB784&gt;=10%,"Severe",IF(AB784&gt;=5%,"High",IF(AB784&gt;=2%,"Moderate","Low"))))</x:f>
        <x:v>Moderate</x:v>
      </x:c>
      <x:c r="AF784" s="60" t="n">
        <x:v>42.573888</x:v>
      </x:c>
      <x:c r="AG784" s="60" t="n">
        <x:v>-83.147197</x:v>
      </x:c>
      <x:c r="AH784" s="44" t="str">
        <x:v>Undergraduate tuition-contribution proxy only; not an audited total institutional budget.</x:v>
      </x:c>
    </x:row>
    <x:row r="785">
      <x:c r="A785" s="16" t="n">
        <x:v>172644</x:v>
      </x:c>
      <x:c r="B785" s="16" t="str">
        <x:v>Wayne State University</x:v>
      </x:c>
      <x:c r="C785" s="16" t="str">
        <x:v>MI</x:v>
      </x:c>
      <x:c r="D785" s="16" t="str">
        <x:v>Public</x:v>
      </x:c>
      <x:c r="E785" s="34" t="n">
        <x:v>16728</x:v>
      </x:c>
      <x:c r="F785" s="21" t="n">
        <x:v>0.6326</x:v>
      </x:c>
      <x:c r="G785" s="16" t="str">
        <x:v>Statewide</x:v>
      </x:c>
      <x:c r="H785" s="36" t="n">
        <x:f>IF(G785="National",Assumptions!$B$11,IF(G785="Statewide",Assumptions!$B$12,Assumptions!$B$13))</x:f>
        <x:v>0.6</x:v>
      </x:c>
      <x:c r="I785" s="21" t="n">
        <x:v>-0.04799498871466501</x:v>
      </x:c>
      <x:c r="J785" s="21" t="n">
        <x:v>-0.043649886152347106</x:v>
      </x:c>
      <x:c r="K785" s="21" t="n">
        <x:v>-0.15354021457051092</x:v>
      </x:c>
      <x:c r="L785" s="36" t="n">
        <x:f>IF(Assumptions!$B$4=2030,I785,IF(Assumptions!$B$4=2035,J785,K785))</x:f>
        <x:v>-0.043649886152347106</x:v>
      </x:c>
      <x:c r="M785" s="36" t="n">
        <x:f>Assumptions!$B$19</x:f>
        <x:v>-0.04739891965741583</x:v>
      </x:c>
      <x:c r="N785" s="52" t="n">
        <x:f>H785*L785+(1-H785)*M785+O785</x:f>
        <x:v>-0.0451494995543746</x:v>
      </x:c>
      <x:c r="O785" s="36" t="n">
        <x:f>Assumptions!$B$10</x:f>
        <x:v>0</x:v>
      </x:c>
      <x:c r="P785" s="54" t="n">
        <x:f>E785*(1+N785)</x:f>
        <x:v>15972.739171454421</x:v>
      </x:c>
      <x:c r="Q785" s="54" t="n">
        <x:f>P785-E785</x:f>
        <x:v>-755.260828545579</x:v>
      </x:c>
      <x:c r="R785" s="16" t="str">
        <x:v>Yes</x:v>
      </x:c>
      <x:c r="S785" s="56" t="n">
        <x:v>10911</x:v>
      </x:c>
      <x:c r="T785" s="56" t="n">
        <x:v>12359</x:v>
      </x:c>
      <x:c r="U785" s="40" t="n">
        <x:f>E785*Assumptions!$B$8</x:f>
        <x:v>14218.8</x:v>
      </x:c>
      <x:c r="V785" s="40" t="n">
        <x:f>P785*Assumptions!$B$8</x:f>
        <x:v>13576.828295736257</x:v>
      </x:c>
      <x:c r="W785" s="54" t="n">
        <x:f>V785-U785</x:f>
        <x:v>-641.9717042637421</x:v>
      </x:c>
      <x:c r="X785" s="58" t="n">
        <x:f>IF(R785="No","",W785*S785)</x:f>
        <x:v>-7004553.265221691</x:v>
      </x:c>
      <x:c r="Y785" s="58" t="n">
        <x:f>IF(R785="No","",W785*T785*Assumptions!$B$9)</x:f>
        <x:v>-2380238.4878986767</x:v>
      </x:c>
      <x:c r="Z785" s="58" t="n">
        <x:f>IF(R785="No","",X785-Y785)</x:f>
        <x:v>-4624314.777323014</x:v>
      </x:c>
      <x:c r="AA785" s="58" t="n">
        <x:f>IF(R785="No","",MAX(0,-Z785))</x:f>
        <x:v>4624314.777323014</x:v>
      </x:c>
      <x:c r="AB785" s="52" t="n">
        <x:f>IF(OR(R785="No",U785*S785=0),"",AA785/(U785*S785))</x:f>
        <x:v>0.029807111185045084</x:v>
      </x:c>
      <x:c r="AC785" s="54" t="n">
        <x:f>IF(OR(R785="No",S785-T785*Assumptions!$B$9&lt;=0),"",AA785/(Assumptions!$B$8*(S785-T785*Assumptions!$B$9)))</x:f>
        <x:v>755.260828545579</x:v>
      </x:c>
      <x:c r="AD785" s="52" t="n">
        <x:f>IF(OR(R785="No",U785*S785=0),"",AA785/(U785*S785))</x:f>
        <x:v>0.029807111185045084</x:v>
      </x:c>
      <x:c r="AE785" s="50" t="str">
        <x:f>IF(R785="No","No finance data",IF(AB785&gt;=10%,"Severe",IF(AB785&gt;=5%,"High",IF(AB785&gt;=2%,"Moderate","Low"))))</x:f>
        <x:v>Moderate</x:v>
      </x:c>
      <x:c r="AF785" s="60" t="n">
        <x:v>42.358994</x:v>
      </x:c>
      <x:c r="AG785" s="60" t="n">
        <x:v>-83.068998</x:v>
      </x:c>
      <x:c r="AH785" s="44" t="str">
        <x:v>Undergraduate tuition-contribution proxy only; not an audited total institutional budget.</x:v>
      </x:c>
    </x:row>
    <x:row r="786">
      <x:c r="A786" s="16" t="n">
        <x:v>172699</x:v>
      </x:c>
      <x:c r="B786" s="16" t="str">
        <x:v>Western Michigan University</x:v>
      </x:c>
      <x:c r="C786" s="16" t="str">
        <x:v>MI</x:v>
      </x:c>
      <x:c r="D786" s="16" t="str">
        <x:v>Public</x:v>
      </x:c>
      <x:c r="E786" s="34" t="n">
        <x:v>18179</x:v>
      </x:c>
      <x:c r="F786" s="21" t="n">
        <x:v>0.8281</x:v>
      </x:c>
      <x:c r="G786" s="16" t="str">
        <x:v>Statewide</x:v>
      </x:c>
      <x:c r="H786" s="36" t="n">
        <x:f>IF(G786="National",Assumptions!$B$11,IF(G786="Statewide",Assumptions!$B$12,Assumptions!$B$13))</x:f>
        <x:v>0.6</x:v>
      </x:c>
      <x:c r="I786" s="21" t="n">
        <x:v>-0.04799498871466501</x:v>
      </x:c>
      <x:c r="J786" s="21" t="n">
        <x:v>-0.043649886152347106</x:v>
      </x:c>
      <x:c r="K786" s="21" t="n">
        <x:v>-0.15354021457051092</x:v>
      </x:c>
      <x:c r="L786" s="36" t="n">
        <x:f>IF(Assumptions!$B$4=2030,I786,IF(Assumptions!$B$4=2035,J786,K786))</x:f>
        <x:v>-0.043649886152347106</x:v>
      </x:c>
      <x:c r="M786" s="36" t="n">
        <x:f>Assumptions!$B$19</x:f>
        <x:v>-0.04739891965741583</x:v>
      </x:c>
      <x:c r="N786" s="52" t="n">
        <x:f>H786*L786+(1-H786)*M786+O786</x:f>
        <x:v>-0.0451494995543746</x:v>
      </x:c>
      <x:c r="O786" s="36" t="n">
        <x:f>Assumptions!$B$10</x:f>
        <x:v>0</x:v>
      </x:c>
      <x:c r="P786" s="54" t="n">
        <x:f>E786*(1+N786)</x:f>
        <x:v>17358.227247601022</x:v>
      </x:c>
      <x:c r="Q786" s="54" t="n">
        <x:f>P786-E786</x:f>
        <x:v>-820.7727523989779</x:v>
      </x:c>
      <x:c r="R786" s="16" t="str">
        <x:v>Yes</x:v>
      </x:c>
      <x:c r="S786" s="56" t="n">
        <x:v>13423</x:v>
      </x:c>
      <x:c r="T786" s="56" t="n">
        <x:v>10983</x:v>
      </x:c>
      <x:c r="U786" s="40" t="n">
        <x:f>E786*Assumptions!$B$8</x:f>
        <x:v>15452.15</x:v>
      </x:c>
      <x:c r="V786" s="40" t="n">
        <x:f>P786*Assumptions!$B$8</x:f>
        <x:v>14754.493160460868</x:v>
      </x:c>
      <x:c r="W786" s="54" t="n">
        <x:f>V786-U786</x:f>
        <x:v>-697.6568395391314</x:v>
      </x:c>
      <x:c r="X786" s="58" t="n">
        <x:f>IF(R786="No","",W786*S786)</x:f>
        <x:v>-9364647.757133761</x:v>
      </x:c>
      <x:c r="Y786" s="58" t="n">
        <x:f>IF(R786="No","",W786*T786*Assumptions!$B$9)</x:f>
        <x:v>-2298709.520597484</x:v>
      </x:c>
      <x:c r="Z786" s="58" t="n">
        <x:f>IF(R786="No","",X786-Y786)</x:f>
        <x:v>-7065938.236536277</x:v>
      </x:c>
      <x:c r="AA786" s="58" t="n">
        <x:f>IF(R786="No","",MAX(0,-Z786))</x:f>
        <x:v>7065938.236536277</x:v>
      </x:c>
      <x:c r="AB786" s="52" t="n">
        <x:f>IF(OR(R786="No",U786*S786=0),"",AA786/(U786*S786))</x:f>
        <x:v>0.03406679925774139</x:v>
      </x:c>
      <x:c r="AC786" s="54" t="n">
        <x:f>IF(OR(R786="No",S786-T786*Assumptions!$B$9&lt;=0),"",AA786/(Assumptions!$B$8*(S786-T786*Assumptions!$B$9)))</x:f>
        <x:v>820.7727523989781</x:v>
      </x:c>
      <x:c r="AD786" s="52" t="n">
        <x:f>IF(OR(R786="No",U786*S786=0),"",AA786/(U786*S786))</x:f>
        <x:v>0.03406679925774139</x:v>
      </x:c>
      <x:c r="AE786" s="50" t="str">
        <x:f>IF(R786="No","No finance data",IF(AB786&gt;=10%,"Severe",IF(AB786&gt;=5%,"High",IF(AB786&gt;=2%,"Moderate","Low"))))</x:f>
        <x:v>Moderate</x:v>
      </x:c>
      <x:c r="AF786" s="60" t="n">
        <x:v>42.282194</x:v>
      </x:c>
      <x:c r="AG786" s="60" t="n">
        <x:v>-85.613759</x:v>
      </x:c>
      <x:c r="AH786" s="44" t="str">
        <x:v>Undergraduate tuition-contribution proxy only; not an audited total institutional budget.</x:v>
      </x:c>
    </x:row>
    <x:row r="787">
      <x:c r="A787" s="16" t="n">
        <x:v>247773</x:v>
      </x:c>
      <x:c r="B787" s="16" t="str">
        <x:v>Yeshiva Gedolah of Greater Detroit</x:v>
      </x:c>
      <x:c r="C787" s="16" t="str">
        <x:v>MI</x:v>
      </x:c>
      <x:c r="D787" s="16" t="str">
        <x:v>Private nonprofit</x:v>
      </x:c>
      <x:c r="E787" s="34" t="n">
        <x:v>62</x:v>
      </x:c>
      <x:c r="F787" s="21"/>
      <x:c r="G787" s="16" t="str">
        <x:v>Regional</x:v>
      </x:c>
      <x:c r="H787" s="36" t="n">
        <x:f>IF(G787="National",Assumptions!$B$11,IF(G787="Statewide",Assumptions!$B$12,Assumptions!$B$13))</x:f>
        <x:v>0.85</x:v>
      </x:c>
      <x:c r="I787" s="21" t="n">
        <x:v>-0.04799498871466501</x:v>
      </x:c>
      <x:c r="J787" s="21" t="n">
        <x:v>-0.043649886152347106</x:v>
      </x:c>
      <x:c r="K787" s="21" t="n">
        <x:v>-0.15354021457051092</x:v>
      </x:c>
      <x:c r="L787" s="36" t="n">
        <x:f>IF(Assumptions!$B$4=2030,I787,IF(Assumptions!$B$4=2035,J787,K787))</x:f>
        <x:v>-0.043649886152347106</x:v>
      </x:c>
      <x:c r="M787" s="36" t="n">
        <x:f>Assumptions!$B$19</x:f>
        <x:v>-0.04739891965741583</x:v>
      </x:c>
      <x:c r="N787" s="52" t="n">
        <x:f>H787*L787+(1-H787)*M787+O787</x:f>
        <x:v>-0.04421224117810742</x:v>
      </x:c>
      <x:c r="O787" s="36" t="n">
        <x:f>Assumptions!$B$10</x:f>
        <x:v>0</x:v>
      </x:c>
      <x:c r="P787" s="54" t="n">
        <x:f>E787*(1+N787)</x:f>
        <x:v>59.25884104695734</x:v>
      </x:c>
      <x:c r="Q787" s="54" t="n">
        <x:f>P787-E787</x:f>
        <x:v>-2.7411589530426568</x:v>
      </x:c>
      <x:c r="R787" s="16" t="str">
        <x:v>No</x:v>
      </x:c>
      <x:c r="S787" s="56"/>
      <x:c r="T787" s="56"/>
      <x:c r="U787" s="40" t="n">
        <x:f>E787*Assumptions!$B$8</x:f>
        <x:v>52.699999999999996</x:v>
      </x:c>
      <x:c r="V787" s="40" t="n">
        <x:f>P787*Assumptions!$B$8</x:f>
        <x:v>50.37001488991374</x:v>
      </x:c>
      <x:c r="W787" s="54" t="n">
        <x:f>V787-U787</x:f>
        <x:v>-2.3299851100862554</x:v>
      </x:c>
      <x:c r="X787" s="58" t="str">
        <x:f>IF(R787="No","",W787*S787)</x:f>
      </x:c>
      <x:c r="Y787" s="58" t="str">
        <x:f>IF(R787="No","",W787*T787*Assumptions!$B$9)</x:f>
      </x:c>
      <x:c r="Z787" s="58" t="str">
        <x:f>IF(R787="No","",X787-Y787)</x:f>
      </x:c>
      <x:c r="AA787" s="58" t="str">
        <x:f>IF(R787="No","",MAX(0,-Z787))</x:f>
      </x:c>
      <x:c r="AB787" s="52" t="str">
        <x:f>IF(OR(R787="No",U787*S787=0),"",AA787/(U787*S787))</x:f>
      </x:c>
      <x:c r="AC787" s="54" t="str">
        <x:f>IF(OR(R787="No",S787-T787*Assumptions!$B$9&lt;=0),"",AA787/(Assumptions!$B$8*(S787-T787*Assumptions!$B$9)))</x:f>
      </x:c>
      <x:c r="AD787" s="52" t="str">
        <x:f>IF(OR(R787="No",U787*S787=0),"",AA787/(U787*S787))</x:f>
      </x:c>
      <x:c r="AE787" s="50" t="str">
        <x:f>IF(R787="No","No finance data",IF(AB787&gt;=10%,"Severe",IF(AB787&gt;=5%,"High",IF(AB787&gt;=2%,"Moderate","Low"))))</x:f>
        <x:v>No finance data</x:v>
      </x:c>
      <x:c r="AF787" s="60"/>
      <x:c r="AG787" s="60"/>
      <x:c r="AH787" s="44" t="str">
        <x:v>Undergraduate tuition-contribution proxy only; not an audited total institutional budget.</x:v>
      </x:c>
    </x:row>
    <x:row r="788">
      <x:c r="A788" s="16" t="n">
        <x:v>173045</x:v>
      </x:c>
      <x:c r="B788" s="16" t="str">
        <x:v>Augsburg College</x:v>
      </x:c>
      <x:c r="C788" s="16" t="str">
        <x:v>MN</x:v>
      </x:c>
      <x:c r="D788" s="16" t="str">
        <x:v>Private nonprofit</x:v>
      </x:c>
      <x:c r="E788" s="34" t="n">
        <x:v>2430</x:v>
      </x:c>
      <x:c r="F788" s="21" t="n">
        <x:v>0.7637</x:v>
      </x:c>
      <x:c r="G788" s="16" t="str">
        <x:v>Regional</x:v>
      </x:c>
      <x:c r="H788" s="36" t="n">
        <x:f>IF(G788="National",Assumptions!$B$11,IF(G788="Statewide",Assumptions!$B$12,Assumptions!$B$13))</x:f>
        <x:v>0.85</x:v>
      </x:c>
      <x:c r="I788" s="21" t="n">
        <x:v>-0.04284695181761433</x:v>
      </x:c>
      <x:c r="J788" s="21" t="n">
        <x:v>-0.03168564040067767</x:v>
      </x:c>
      <x:c r="K788" s="21" t="n">
        <x:v>-0.13362363641767971</x:v>
      </x:c>
      <x:c r="L788" s="36" t="n">
        <x:f>IF(Assumptions!$B$4=2030,I788,IF(Assumptions!$B$4=2035,J788,K788))</x:f>
        <x:v>-0.03168564040067767</x:v>
      </x:c>
      <x:c r="M788" s="36" t="n">
        <x:f>Assumptions!$B$19</x:f>
        <x:v>-0.04739891965741583</x:v>
      </x:c>
      <x:c r="N788" s="52" t="n">
        <x:f>H788*L788+(1-H788)*M788+O788</x:f>
        <x:v>-0.0340426322891884</x:v>
      </x:c>
      <x:c r="O788" s="36" t="n">
        <x:f>Assumptions!$B$10</x:f>
        <x:v>0</x:v>
      </x:c>
      <x:c r="P788" s="54" t="n">
        <x:f>E788*(1+N788)</x:f>
        <x:v>2347.2764035372725</x:v>
      </x:c>
      <x:c r="Q788" s="54" t="n">
        <x:f>P788-E788</x:f>
        <x:v>-82.72359646272753</x:v>
      </x:c>
      <x:c r="R788" s="16" t="str">
        <x:v>Yes</x:v>
      </x:c>
      <x:c r="S788" s="56" t="n">
        <x:v>14305</x:v>
      </x:c>
      <x:c r="T788" s="56" t="n">
        <x:v>9677</x:v>
      </x:c>
      <x:c r="U788" s="40" t="n">
        <x:f>E788*Assumptions!$B$8</x:f>
        <x:v>2065.5</x:v>
      </x:c>
      <x:c r="V788" s="40" t="n">
        <x:f>P788*Assumptions!$B$8</x:f>
        <x:v>1995.1849430066816</x:v>
      </x:c>
      <x:c r="W788" s="54" t="n">
        <x:f>V788-U788</x:f>
        <x:v>-70.31505699331842</x:v>
      </x:c>
      <x:c r="X788" s="58" t="n">
        <x:f>IF(R788="No","",W788*S788)</x:f>
        <x:v>-1005856.89028942</x:v>
      </x:c>
      <x:c r="Y788" s="58" t="n">
        <x:f>IF(R788="No","",W788*T788*Assumptions!$B$9)</x:f>
        <x:v>-204131.64195730272</x:v>
      </x:c>
      <x:c r="Z788" s="58" t="n">
        <x:f>IF(R788="No","",X788-Y788)</x:f>
        <x:v>-801725.2483321173</x:v>
      </x:c>
      <x:c r="AA788" s="58" t="n">
        <x:f>IF(R788="No","",MAX(0,-Z788))</x:f>
        <x:v>801725.2483321173</x:v>
      </x:c>
      <x:c r="AB788" s="52" t="n">
        <x:f>IF(OR(R788="No",U788*S788=0),"",AA788/(U788*S788))</x:f>
        <x:v>0.0271339174483115</x:v>
      </x:c>
      <x:c r="AC788" s="54" t="n">
        <x:f>IF(OR(R788="No",S788-T788*Assumptions!$B$9&lt;=0),"",AA788/(Assumptions!$B$8*(S788-T788*Assumptions!$B$9)))</x:f>
        <x:v>82.72359646272756</x:v>
      </x:c>
      <x:c r="AD788" s="52" t="n">
        <x:f>IF(OR(R788="No",U788*S788=0),"",AA788/(U788*S788))</x:f>
        <x:v>0.0271339174483115</x:v>
      </x:c>
      <x:c r="AE788" s="50" t="str">
        <x:f>IF(R788="No","No finance data",IF(AB788&gt;=10%,"Severe",IF(AB788&gt;=5%,"High",IF(AB788&gt;=2%,"Moderate","Low"))))</x:f>
        <x:v>Moderate</x:v>
      </x:c>
      <x:c r="AF788" s="60" t="n">
        <x:v>44.966307</x:v>
      </x:c>
      <x:c r="AG788" s="60" t="n">
        <x:v>-93.240436</x:v>
      </x:c>
      <x:c r="AH788" s="44" t="str">
        <x:v>Undergraduate tuition-contribution proxy only; not an audited total institutional budget.</x:v>
      </x:c>
    </x:row>
    <x:row r="789">
      <x:c r="A789" s="16" t="n">
        <x:v>173124</x:v>
      </x:c>
      <x:c r="B789" s="16" t="str">
        <x:v>Bemidji State University</x:v>
      </x:c>
      <x:c r="C789" s="16" t="str">
        <x:v>MN</x:v>
      </x:c>
      <x:c r="D789" s="16" t="str">
        <x:v>Public</x:v>
      </x:c>
      <x:c r="E789" s="34" t="n">
        <x:v>4380</x:v>
      </x:c>
      <x:c r="F789" s="21" t="n">
        <x:v>0.7495</x:v>
      </x:c>
      <x:c r="G789" s="16" t="str">
        <x:v>Regional</x:v>
      </x:c>
      <x:c r="H789" s="36" t="n">
        <x:f>IF(G789="National",Assumptions!$B$11,IF(G789="Statewide",Assumptions!$B$12,Assumptions!$B$13))</x:f>
        <x:v>0.85</x:v>
      </x:c>
      <x:c r="I789" s="21" t="n">
        <x:v>-0.04284695181761433</x:v>
      </x:c>
      <x:c r="J789" s="21" t="n">
        <x:v>-0.03168564040067767</x:v>
      </x:c>
      <x:c r="K789" s="21" t="n">
        <x:v>-0.13362363641767971</x:v>
      </x:c>
      <x:c r="L789" s="36" t="n">
        <x:f>IF(Assumptions!$B$4=2030,I789,IF(Assumptions!$B$4=2035,J789,K789))</x:f>
        <x:v>-0.03168564040067767</x:v>
      </x:c>
      <x:c r="M789" s="36" t="n">
        <x:f>Assumptions!$B$19</x:f>
        <x:v>-0.04739891965741583</x:v>
      </x:c>
      <x:c r="N789" s="52" t="n">
        <x:f>H789*L789+(1-H789)*M789+O789</x:f>
        <x:v>-0.0340426322891884</x:v>
      </x:c>
      <x:c r="O789" s="36" t="n">
        <x:f>Assumptions!$B$10</x:f>
        <x:v>0</x:v>
      </x:c>
      <x:c r="P789" s="54" t="n">
        <x:f>E789*(1+N789)</x:f>
        <x:v>4230.893270573355</x:v>
      </x:c>
      <x:c r="Q789" s="54" t="n">
        <x:f>P789-E789</x:f>
        <x:v>-149.10672942664496</x:v>
      </x:c>
      <x:c r="R789" s="16" t="str">
        <x:v>Yes</x:v>
      </x:c>
      <x:c r="S789" s="56" t="n">
        <x:v>5507</x:v>
      </x:c>
      <x:c r="T789" s="56" t="n">
        <x:v>8071</x:v>
      </x:c>
      <x:c r="U789" s="40" t="n">
        <x:f>E789*Assumptions!$B$8</x:f>
        <x:v>3723</x:v>
      </x:c>
      <x:c r="V789" s="40" t="n">
        <x:f>P789*Assumptions!$B$8</x:f>
        <x:v>3596.259279987352</x:v>
      </x:c>
      <x:c r="W789" s="54" t="n">
        <x:f>V789-U789</x:f>
        <x:v>-126.74072001264813</x:v>
      </x:c>
      <x:c r="X789" s="58" t="n">
        <x:f>IF(R789="No","",W789*S789)</x:f>
        <x:v>-697961.1451096532</x:v>
      </x:c>
      <x:c r="Y789" s="58" t="n">
        <x:f>IF(R789="No","",W789*T789*Assumptions!$B$9)</x:f>
        <x:v>-306877.3053666249</x:v>
      </x:c>
      <x:c r="Z789" s="58" t="n">
        <x:f>IF(R789="No","",X789-Y789)</x:f>
        <x:v>-391083.83974302834</x:v>
      </x:c>
      <x:c r="AA789" s="58" t="n">
        <x:f>IF(R789="No","",MAX(0,-Z789))</x:f>
        <x:v>391083.83974302834</x:v>
      </x:c>
      <x:c r="AB789" s="52" t="n">
        <x:f>IF(OR(R789="No",U789*S789=0),"",AA789/(U789*S789))</x:f>
        <x:v>0.019074877511303507</x:v>
      </x:c>
      <x:c r="AC789" s="54" t="n">
        <x:f>IF(OR(R789="No",S789-T789*Assumptions!$B$9&lt;=0),"",AA789/(Assumptions!$B$8*(S789-T789*Assumptions!$B$9)))</x:f>
        <x:v>149.10672942664485</x:v>
      </x:c>
      <x:c r="AD789" s="52" t="n">
        <x:f>IF(OR(R789="No",U789*S789=0),"",AA789/(U789*S789))</x:f>
        <x:v>0.019074877511303507</x:v>
      </x:c>
      <x:c r="AE789" s="50" t="str">
        <x:f>IF(R789="No","No finance data",IF(AB789&gt;=10%,"Severe",IF(AB789&gt;=5%,"High",IF(AB789&gt;=2%,"Moderate","Low"))))</x:f>
        <x:v>Low</x:v>
      </x:c>
      <x:c r="AF789" s="60" t="n">
        <x:v>47.482341</x:v>
      </x:c>
      <x:c r="AG789" s="60" t="n">
        <x:v>-94.874119</x:v>
      </x:c>
      <x:c r="AH789" s="44" t="str">
        <x:v>Undergraduate tuition-contribution proxy only; not an audited total institutional budget.</x:v>
      </x:c>
    </x:row>
    <x:row r="790">
      <x:c r="A790" s="16" t="n">
        <x:v>486284</x:v>
      </x:c>
      <x:c r="B790" s="16" t="str">
        <x:v>Bethany Global University</x:v>
      </x:c>
      <x:c r="C790" s="16" t="str">
        <x:v>MN</x:v>
      </x:c>
      <x:c r="D790" s="16" t="str">
        <x:v>Private nonprofit</x:v>
      </x:c>
      <x:c r="E790" s="34" t="n">
        <x:v>136</x:v>
      </x:c>
      <x:c r="F790" s="21"/>
      <x:c r="G790" s="16" t="str">
        <x:v>Regional</x:v>
      </x:c>
      <x:c r="H790" s="36" t="n">
        <x:f>IF(G790="National",Assumptions!$B$11,IF(G790="Statewide",Assumptions!$B$12,Assumptions!$B$13))</x:f>
        <x:v>0.85</x:v>
      </x:c>
      <x:c r="I790" s="21" t="n">
        <x:v>-0.04284695181761433</x:v>
      </x:c>
      <x:c r="J790" s="21" t="n">
        <x:v>-0.03168564040067767</x:v>
      </x:c>
      <x:c r="K790" s="21" t="n">
        <x:v>-0.13362363641767971</x:v>
      </x:c>
      <x:c r="L790" s="36" t="n">
        <x:f>IF(Assumptions!$B$4=2030,I790,IF(Assumptions!$B$4=2035,J790,K790))</x:f>
        <x:v>-0.03168564040067767</x:v>
      </x:c>
      <x:c r="M790" s="36" t="n">
        <x:f>Assumptions!$B$19</x:f>
        <x:v>-0.04739891965741583</x:v>
      </x:c>
      <x:c r="N790" s="52" t="n">
        <x:f>H790*L790+(1-H790)*M790+O790</x:f>
        <x:v>-0.0340426322891884</x:v>
      </x:c>
      <x:c r="O790" s="36" t="n">
        <x:f>Assumptions!$B$10</x:f>
        <x:v>0</x:v>
      </x:c>
      <x:c r="P790" s="54" t="n">
        <x:f>E790*(1+N790)</x:f>
        <x:v>131.3702020086704</x:v>
      </x:c>
      <x:c r="Q790" s="54" t="n">
        <x:f>P790-E790</x:f>
        <x:v>-4.62979799132961</x:v>
      </x:c>
      <x:c r="R790" s="16" t="str">
        <x:v>No</x:v>
      </x:c>
      <x:c r="S790" s="56"/>
      <x:c r="T790" s="56"/>
      <x:c r="U790" s="40" t="n">
        <x:f>E790*Assumptions!$B$8</x:f>
        <x:v>115.6</x:v>
      </x:c>
      <x:c r="V790" s="40" t="n">
        <x:f>P790*Assumptions!$B$8</x:f>
        <x:v>111.66467170736983</x:v>
      </x:c>
      <x:c r="W790" s="54" t="n">
        <x:f>V790-U790</x:f>
        <x:v>-3.9353282926301603</x:v>
      </x:c>
      <x:c r="X790" s="58" t="str">
        <x:f>IF(R790="No","",W790*S790)</x:f>
      </x:c>
      <x:c r="Y790" s="58" t="str">
        <x:f>IF(R790="No","",W790*T790*Assumptions!$B$9)</x:f>
      </x:c>
      <x:c r="Z790" s="58" t="str">
        <x:f>IF(R790="No","",X790-Y790)</x:f>
      </x:c>
      <x:c r="AA790" s="58" t="str">
        <x:f>IF(R790="No","",MAX(0,-Z790))</x:f>
      </x:c>
      <x:c r="AB790" s="52" t="str">
        <x:f>IF(OR(R790="No",U790*S790=0),"",AA790/(U790*S790))</x:f>
      </x:c>
      <x:c r="AC790" s="54" t="str">
        <x:f>IF(OR(R790="No",S790-T790*Assumptions!$B$9&lt;=0),"",AA790/(Assumptions!$B$8*(S790-T790*Assumptions!$B$9)))</x:f>
      </x:c>
      <x:c r="AD790" s="52" t="str">
        <x:f>IF(OR(R790="No",U790*S790=0),"",AA790/(U790*S790))</x:f>
      </x:c>
      <x:c r="AE790" s="50" t="str">
        <x:f>IF(R790="No","No finance data",IF(AB790&gt;=10%,"Severe",IF(AB790&gt;=5%,"High",IF(AB790&gt;=2%,"Moderate","Low"))))</x:f>
        <x:v>No finance data</x:v>
      </x:c>
      <x:c r="AF790" s="60"/>
      <x:c r="AG790" s="60"/>
      <x:c r="AH790" s="44" t="str">
        <x:v>Undergraduate tuition-contribution proxy only; not an audited total institutional budget.</x:v>
      </x:c>
    </x:row>
    <x:row r="791">
      <x:c r="A791" s="16" t="n">
        <x:v>173142</x:v>
      </x:c>
      <x:c r="B791" s="16" t="str">
        <x:v>Bethany Lutheran College</x:v>
      </x:c>
      <x:c r="C791" s="16" t="str">
        <x:v>MN</x:v>
      </x:c>
      <x:c r="D791" s="16" t="str">
        <x:v>Private nonprofit</x:v>
      </x:c>
      <x:c r="E791" s="34" t="n">
        <x:v>492</x:v>
      </x:c>
      <x:c r="F791" s="21" t="n">
        <x:v>0.6148</x:v>
      </x:c>
      <x:c r="G791" s="16" t="str">
        <x:v>Regional</x:v>
      </x:c>
      <x:c r="H791" s="36" t="n">
        <x:f>IF(G791="National",Assumptions!$B$11,IF(G791="Statewide",Assumptions!$B$12,Assumptions!$B$13))</x:f>
        <x:v>0.85</x:v>
      </x:c>
      <x:c r="I791" s="21" t="n">
        <x:v>-0.04284695181761433</x:v>
      </x:c>
      <x:c r="J791" s="21" t="n">
        <x:v>-0.03168564040067767</x:v>
      </x:c>
      <x:c r="K791" s="21" t="n">
        <x:v>-0.13362363641767971</x:v>
      </x:c>
      <x:c r="L791" s="36" t="n">
        <x:f>IF(Assumptions!$B$4=2030,I791,IF(Assumptions!$B$4=2035,J791,K791))</x:f>
        <x:v>-0.03168564040067767</x:v>
      </x:c>
      <x:c r="M791" s="36" t="n">
        <x:f>Assumptions!$B$19</x:f>
        <x:v>-0.04739891965741583</x:v>
      </x:c>
      <x:c r="N791" s="52" t="n">
        <x:f>H791*L791+(1-H791)*M791+O791</x:f>
        <x:v>-0.0340426322891884</x:v>
      </x:c>
      <x:c r="O791" s="36" t="n">
        <x:f>Assumptions!$B$10</x:f>
        <x:v>0</x:v>
      </x:c>
      <x:c r="P791" s="54" t="n">
        <x:f>E791*(1+N791)</x:f>
        <x:v>475.25102491371933</x:v>
      </x:c>
      <x:c r="Q791" s="54" t="n">
        <x:f>P791-E791</x:f>
        <x:v>-16.748975086280666</x:v>
      </x:c>
      <x:c r="R791" s="16" t="str">
        <x:v>Yes</x:v>
      </x:c>
      <x:c r="S791" s="56" t="n">
        <x:v>9958</x:v>
      </x:c>
      <x:c r="T791" s="56" t="n">
        <x:v>10552</x:v>
      </x:c>
      <x:c r="U791" s="40" t="n">
        <x:f>E791*Assumptions!$B$8</x:f>
        <x:v>418.2</x:v>
      </x:c>
      <x:c r="V791" s="40" t="n">
        <x:f>P791*Assumptions!$B$8</x:f>
        <x:v>403.96337117666144</x:v>
      </x:c>
      <x:c r="W791" s="54" t="n">
        <x:f>V791-U791</x:f>
        <x:v>-14.236628823338549</x:v>
      </x:c>
      <x:c r="X791" s="58" t="n">
        <x:f>IF(R791="No","",W791*S791)</x:f>
        <x:v>-141768.34982280526</x:v>
      </x:c>
      <x:c r="Y791" s="58" t="n">
        <x:f>IF(R791="No","",W791*T791*Assumptions!$B$9)</x:f>
        <x:v>-45067.47220316051</x:v>
      </x:c>
      <x:c r="Z791" s="58" t="n">
        <x:f>IF(R791="No","",X791-Y791)</x:f>
        <x:v>-96700.87761964474</x:v>
      </x:c>
      <x:c r="AA791" s="58" t="n">
        <x:f>IF(R791="No","",MAX(0,-Z791))</x:f>
        <x:v>96700.87761964474</x:v>
      </x:c>
      <x:c r="AB791" s="52" t="n">
        <x:f>IF(OR(R791="No",U791*S791=0),"",AA791/(U791*S791))</x:f>
        <x:v>0.023220644262008695</x:v>
      </x:c>
      <x:c r="AC791" s="54" t="n">
        <x:f>IF(OR(R791="No",S791-T791*Assumptions!$B$9&lt;=0),"",AA791/(Assumptions!$B$8*(S791-T791*Assumptions!$B$9)))</x:f>
        <x:v>16.748975086280645</x:v>
      </x:c>
      <x:c r="AD791" s="52" t="n">
        <x:f>IF(OR(R791="No",U791*S791=0),"",AA791/(U791*S791))</x:f>
        <x:v>0.023220644262008695</x:v>
      </x:c>
      <x:c r="AE791" s="50" t="str">
        <x:f>IF(R791="No","No finance data",IF(AB791&gt;=10%,"Severe",IF(AB791&gt;=5%,"High",IF(AB791&gt;=2%,"Moderate","Low"))))</x:f>
        <x:v>Moderate</x:v>
      </x:c>
      <x:c r="AF791" s="60" t="n">
        <x:v>44.166649</x:v>
      </x:c>
      <x:c r="AG791" s="60" t="n">
        <x:v>-93.990805</x:v>
      </x:c>
      <x:c r="AH791" s="44" t="str">
        <x:v>Undergraduate tuition-contribution proxy only; not an audited total institutional budget.</x:v>
      </x:c>
    </x:row>
    <x:row r="792">
      <x:c r="A792" s="16" t="n">
        <x:v>173160</x:v>
      </x:c>
      <x:c r="B792" s="16" t="str">
        <x:v>Bethel University</x:v>
      </x:c>
      <x:c r="C792" s="16" t="str">
        <x:v>MN</x:v>
      </x:c>
      <x:c r="D792" s="16" t="str">
        <x:v>Private nonprofit</x:v>
      </x:c>
      <x:c r="E792" s="34" t="n">
        <x:v>2875</x:v>
      </x:c>
      <x:c r="F792" s="21" t="n">
        <x:v>0.8868</x:v>
      </x:c>
      <x:c r="G792" s="16" t="str">
        <x:v>Regional</x:v>
      </x:c>
      <x:c r="H792" s="36" t="n">
        <x:f>IF(G792="National",Assumptions!$B$11,IF(G792="Statewide",Assumptions!$B$12,Assumptions!$B$13))</x:f>
        <x:v>0.85</x:v>
      </x:c>
      <x:c r="I792" s="21" t="n">
        <x:v>-0.04284695181761433</x:v>
      </x:c>
      <x:c r="J792" s="21" t="n">
        <x:v>-0.03168564040067767</x:v>
      </x:c>
      <x:c r="K792" s="21" t="n">
        <x:v>-0.13362363641767971</x:v>
      </x:c>
      <x:c r="L792" s="36" t="n">
        <x:f>IF(Assumptions!$B$4=2030,I792,IF(Assumptions!$B$4=2035,J792,K792))</x:f>
        <x:v>-0.03168564040067767</x:v>
      </x:c>
      <x:c r="M792" s="36" t="n">
        <x:f>Assumptions!$B$19</x:f>
        <x:v>-0.04739891965741583</x:v>
      </x:c>
      <x:c r="N792" s="52" t="n">
        <x:f>H792*L792+(1-H792)*M792+O792</x:f>
        <x:v>-0.0340426322891884</x:v>
      </x:c>
      <x:c r="O792" s="36" t="n">
        <x:f>Assumptions!$B$10</x:f>
        <x:v>0</x:v>
      </x:c>
      <x:c r="P792" s="54" t="n">
        <x:f>E792*(1+N792)</x:f>
        <x:v>2777.1274321685833</x:v>
      </x:c>
      <x:c r="Q792" s="54" t="n">
        <x:f>P792-E792</x:f>
        <x:v>-97.87256783141675</x:v>
      </x:c>
      <x:c r="R792" s="16" t="str">
        <x:v>Yes</x:v>
      </x:c>
      <x:c r="S792" s="56" t="n">
        <x:v>16302</x:v>
      </x:c>
      <x:c r="T792" s="56" t="n">
        <x:v>8662</x:v>
      </x:c>
      <x:c r="U792" s="40" t="n">
        <x:f>E792*Assumptions!$B$8</x:f>
        <x:v>2443.75</x:v>
      </x:c>
      <x:c r="V792" s="40" t="n">
        <x:f>P792*Assumptions!$B$8</x:f>
        <x:v>2360.5583173432956</x:v>
      </x:c>
      <x:c r="W792" s="54" t="n">
        <x:f>V792-U792</x:f>
        <x:v>-83.19168265670442</x:v>
      </x:c>
      <x:c r="X792" s="58" t="n">
        <x:f>IF(R792="No","",W792*S792)</x:f>
        <x:v>-1356190.8106695954</x:v>
      </x:c>
      <x:c r="Y792" s="58" t="n">
        <x:f>IF(R792="No","",W792*T792*Assumptions!$B$9)</x:f>
        <x:v>-216181.9065517121</x:v>
      </x:c>
      <x:c r="Z792" s="58" t="n">
        <x:f>IF(R792="No","",X792-Y792)</x:f>
        <x:v>-1140008.9041178832</x:v>
      </x:c>
      <x:c r="AA792" s="58" t="n">
        <x:f>IF(R792="No","",MAX(0,-Z792))</x:f>
        <x:v>1140008.9041178832</x:v>
      </x:c>
      <x:c r="AB792" s="52" t="n">
        <x:f>IF(OR(R792="No",U792*S792=0),"",AA792/(U792*S792))</x:f>
        <x:v>0.028616108901463978</x:v>
      </x:c>
      <x:c r="AC792" s="54" t="n">
        <x:f>IF(OR(R792="No",S792-T792*Assumptions!$B$9&lt;=0),"",AA792/(Assumptions!$B$8*(S792-T792*Assumptions!$B$9)))</x:f>
        <x:v>97.87256783141696</x:v>
      </x:c>
      <x:c r="AD792" s="52" t="n">
        <x:f>IF(OR(R792="No",U792*S792=0),"",AA792/(U792*S792))</x:f>
        <x:v>0.028616108901463978</x:v>
      </x:c>
      <x:c r="AE792" s="50" t="str">
        <x:f>IF(R792="No","No finance data",IF(AB792&gt;=10%,"Severe",IF(AB792&gt;=5%,"High",IF(AB792&gt;=2%,"Moderate","Low"))))</x:f>
        <x:v>Moderate</x:v>
      </x:c>
      <x:c r="AF792" s="60" t="n">
        <x:v>45.057655</x:v>
      </x:c>
      <x:c r="AG792" s="60" t="n">
        <x:v>-93.161663</x:v>
      </x:c>
      <x:c r="AH792" s="44" t="str">
        <x:v>Undergraduate tuition-contribution proxy only; not an audited total institutional budget.</x:v>
      </x:c>
    </x:row>
    <x:row r="793">
      <x:c r="A793" s="16" t="n">
        <x:v>173258</x:v>
      </x:c>
      <x:c r="B793" s="16" t="str">
        <x:v>Carleton College</x:v>
      </x:c>
      <x:c r="C793" s="16" t="str">
        <x:v>MN</x:v>
      </x:c>
      <x:c r="D793" s="16" t="str">
        <x:v>Private nonprofit</x:v>
      </x:c>
      <x:c r="E793" s="34" t="n">
        <x:v>1995</x:v>
      </x:c>
      <x:c r="F793" s="21" t="n">
        <x:v>0.1755</x:v>
      </x:c>
      <x:c r="G793" s="16" t="str">
        <x:v>National</x:v>
      </x:c>
      <x:c r="H793" s="36" t="n">
        <x:f>IF(G793="National",Assumptions!$B$11,IF(G793="Statewide",Assumptions!$B$12,Assumptions!$B$13))</x:f>
        <x:v>0.25</x:v>
      </x:c>
      <x:c r="I793" s="21" t="n">
        <x:v>-0.04284695181761433</x:v>
      </x:c>
      <x:c r="J793" s="21" t="n">
        <x:v>-0.03168564040067767</x:v>
      </x:c>
      <x:c r="K793" s="21" t="n">
        <x:v>-0.13362363641767971</x:v>
      </x:c>
      <x:c r="L793" s="36" t="n">
        <x:f>IF(Assumptions!$B$4=2030,I793,IF(Assumptions!$B$4=2035,J793,K793))</x:f>
        <x:v>-0.03168564040067767</x:v>
      </x:c>
      <x:c r="M793" s="36" t="n">
        <x:f>Assumptions!$B$19</x:f>
        <x:v>-0.04739891965741583</x:v>
      </x:c>
      <x:c r="N793" s="52" t="n">
        <x:f>H793*L793+(1-H793)*M793+O793</x:f>
        <x:v>-0.04347059984323129</x:v>
      </x:c>
      <x:c r="O793" s="36" t="n">
        <x:f>Assumptions!$B$10</x:f>
        <x:v>0</x:v>
      </x:c>
      <x:c r="P793" s="54" t="n">
        <x:f>E793*(1+N793)</x:f>
        <x:v>1908.2761533127534</x:v>
      </x:c>
      <x:c r="Q793" s="54" t="n">
        <x:f>P793-E793</x:f>
        <x:v>-86.72384668724658</x:v>
      </x:c>
      <x:c r="R793" s="16" t="str">
        <x:v>Yes</x:v>
      </x:c>
      <x:c r="S793" s="56" t="n">
        <x:v>34062</x:v>
      </x:c>
      <x:c r="T793" s="56" t="n">
        <x:v>34119</x:v>
      </x:c>
      <x:c r="U793" s="40" t="n">
        <x:f>E793*Assumptions!$B$8</x:f>
        <x:v>1695.75</x:v>
      </x:c>
      <x:c r="V793" s="40" t="n">
        <x:f>P793*Assumptions!$B$8</x:f>
        <x:v>1622.0347303158403</x:v>
      </x:c>
      <x:c r="W793" s="54" t="n">
        <x:f>V793-U793</x:f>
        <x:v>-73.7152696841597</x:v>
      </x:c>
      <x:c r="X793" s="58" t="n">
        <x:f>IF(R793="No","",W793*S793)</x:f>
        <x:v>-2510889.5159818474</x:v>
      </x:c>
      <x:c r="Y793" s="58" t="n">
        <x:f>IF(R793="No","",W793*T793*Assumptions!$B$9)</x:f>
        <x:v>-754527.3859061534</x:v>
      </x:c>
      <x:c r="Z793" s="58" t="n">
        <x:f>IF(R793="No","",X793-Y793)</x:f>
        <x:v>-1756362.130075694</x:v>
      </x:c>
      <x:c r="AA793" s="58" t="n">
        <x:f>IF(R793="No","",MAX(0,-Z793))</x:f>
        <x:v>1756362.130075694</x:v>
      </x:c>
      <x:c r="AB793" s="52" t="n">
        <x:f>IF(OR(R793="No",U793*S793=0),"",AA793/(U793*S793))</x:f>
        <x:v>0.030407596531172126</x:v>
      </x:c>
      <x:c r="AC793" s="54" t="n">
        <x:f>IF(OR(R793="No",S793-T793*Assumptions!$B$9&lt;=0),"",AA793/(Assumptions!$B$8*(S793-T793*Assumptions!$B$9)))</x:f>
        <x:v>86.72384668724668</x:v>
      </x:c>
      <x:c r="AD793" s="52" t="n">
        <x:f>IF(OR(R793="No",U793*S793=0),"",AA793/(U793*S793))</x:f>
        <x:v>0.030407596531172126</x:v>
      </x:c>
      <x:c r="AE793" s="50" t="str">
        <x:f>IF(R793="No","No finance data",IF(AB793&gt;=10%,"Severe",IF(AB793&gt;=5%,"High",IF(AB793&gt;=2%,"Moderate","Low"))))</x:f>
        <x:v>Moderate</x:v>
      </x:c>
      <x:c r="AF793" s="60" t="n">
        <x:v>44.462318</x:v>
      </x:c>
      <x:c r="AG793" s="60" t="n">
        <x:v>-93.154666</x:v>
      </x:c>
      <x:c r="AH793" s="44" t="str">
        <x:v>Undergraduate tuition-contribution proxy only; not an audited total institutional budget.</x:v>
      </x:c>
    </x:row>
    <x:row r="794">
      <x:c r="A794" s="16" t="n">
        <x:v>174747</x:v>
      </x:c>
      <x:c r="B794" s="16" t="str">
        <x:v>College of Saint Benedict</x:v>
      </x:c>
      <x:c r="C794" s="16" t="str">
        <x:v>MN</x:v>
      </x:c>
      <x:c r="D794" s="16" t="str">
        <x:v>Private nonprofit</x:v>
      </x:c>
      <x:c r="E794" s="34" t="n">
        <x:v>1943</x:v>
      </x:c>
      <x:c r="F794" s="21" t="n">
        <x:v>0.9179</x:v>
      </x:c>
      <x:c r="G794" s="16" t="str">
        <x:v>Regional</x:v>
      </x:c>
      <x:c r="H794" s="36" t="n">
        <x:f>IF(G794="National",Assumptions!$B$11,IF(G794="Statewide",Assumptions!$B$12,Assumptions!$B$13))</x:f>
        <x:v>0.85</x:v>
      </x:c>
      <x:c r="I794" s="21" t="n">
        <x:v>-0.04284695181761433</x:v>
      </x:c>
      <x:c r="J794" s="21" t="n">
        <x:v>-0.03168564040067767</x:v>
      </x:c>
      <x:c r="K794" s="21" t="n">
        <x:v>-0.13362363641767971</x:v>
      </x:c>
      <x:c r="L794" s="36" t="n">
        <x:f>IF(Assumptions!$B$4=2030,I794,IF(Assumptions!$B$4=2035,J794,K794))</x:f>
        <x:v>-0.03168564040067767</x:v>
      </x:c>
      <x:c r="M794" s="36" t="n">
        <x:f>Assumptions!$B$19</x:f>
        <x:v>-0.04739891965741583</x:v>
      </x:c>
      <x:c r="N794" s="52" t="n">
        <x:f>H794*L794+(1-H794)*M794+O794</x:f>
        <x:v>-0.0340426322891884</x:v>
      </x:c>
      <x:c r="O794" s="36" t="n">
        <x:f>Assumptions!$B$10</x:f>
        <x:v>0</x:v>
      </x:c>
      <x:c r="P794" s="54" t="n">
        <x:f>E794*(1+N794)</x:f>
        <x:v>1876.855165462107</x:v>
      </x:c>
      <x:c r="Q794" s="54" t="n">
        <x:f>P794-E794</x:f>
        <x:v>-66.14483453789308</x:v>
      </x:c>
      <x:c r="R794" s="16" t="str">
        <x:v>Yes</x:v>
      </x:c>
      <x:c r="S794" s="56" t="n">
        <x:v>19208</x:v>
      </x:c>
      <x:c r="T794" s="56" t="n">
        <x:v>12330</x:v>
      </x:c>
      <x:c r="U794" s="40" t="n">
        <x:f>E794*Assumptions!$B$8</x:f>
        <x:v>1651.55</x:v>
      </x:c>
      <x:c r="V794" s="40" t="n">
        <x:f>P794*Assumptions!$B$8</x:f>
        <x:v>1595.3268906427909</x:v>
      </x:c>
      <x:c r="W794" s="54" t="n">
        <x:f>V794-U794</x:f>
        <x:v>-56.22310935720907</x:v>
      </x:c>
      <x:c r="X794" s="58" t="n">
        <x:f>IF(R794="No","",W794*S794)</x:f>
        <x:v>-1079933.4845332718</x:v>
      </x:c>
      <x:c r="Y794" s="58" t="n">
        <x:f>IF(R794="No","",W794*T794*Assumptions!$B$9)</x:f>
        <x:v>-207969.28151231635</x:v>
      </x:c>
      <x:c r="Z794" s="58" t="n">
        <x:f>IF(R794="No","",X794-Y794)</x:f>
        <x:v>-871964.2030209554</x:v>
      </x:c>
      <x:c r="AA794" s="58" t="n">
        <x:f>IF(R794="No","",MAX(0,-Z794))</x:f>
        <x:v>871964.2030209554</x:v>
      </x:c>
      <x:c r="AB794" s="52" t="n">
        <x:f>IF(OR(R794="No",U794*S794=0),"",AA794/(U794*S794))</x:f>
        <x:v>0.027486837993181103</x:v>
      </x:c>
      <x:c r="AC794" s="54" t="n">
        <x:f>IF(OR(R794="No",S794-T794*Assumptions!$B$9&lt;=0),"",AA794/(Assumptions!$B$8*(S794-T794*Assumptions!$B$9)))</x:f>
        <x:v>66.14483453789302</x:v>
      </x:c>
      <x:c r="AD794" s="52" t="n">
        <x:f>IF(OR(R794="No",U794*S794=0),"",AA794/(U794*S794))</x:f>
        <x:v>0.027486837993181103</x:v>
      </x:c>
      <x:c r="AE794" s="50" t="str">
        <x:f>IF(R794="No","No finance data",IF(AB794&gt;=10%,"Severe",IF(AB794&gt;=5%,"High",IF(AB794&gt;=2%,"Moderate","Low"))))</x:f>
        <x:v>Moderate</x:v>
      </x:c>
      <x:c r="AF794" s="60" t="n">
        <x:v>45.561792</x:v>
      </x:c>
      <x:c r="AG794" s="60" t="n">
        <x:v>-94.319888</x:v>
      </x:c>
      <x:c r="AH794" s="44" t="str">
        <x:v>Undergraduate tuition-contribution proxy only; not an audited total institutional budget.</x:v>
      </x:c>
    </x:row>
    <x:row r="795">
      <x:c r="A795" s="16" t="n">
        <x:v>173300</x:v>
      </x:c>
      <x:c r="B795" s="16" t="str">
        <x:v>Concordia College at Moorhead</x:v>
      </x:c>
      <x:c r="C795" s="16" t="str">
        <x:v>MN</x:v>
      </x:c>
      <x:c r="D795" s="16" t="str">
        <x:v>Private nonprofit</x:v>
      </x:c>
      <x:c r="E795" s="34" t="n">
        <x:v>2104</x:v>
      </x:c>
      <x:c r="F795" s="21" t="n">
        <x:v>0.72</x:v>
      </x:c>
      <x:c r="G795" s="16" t="str">
        <x:v>Regional</x:v>
      </x:c>
      <x:c r="H795" s="36" t="n">
        <x:f>IF(G795="National",Assumptions!$B$11,IF(G795="Statewide",Assumptions!$B$12,Assumptions!$B$13))</x:f>
        <x:v>0.85</x:v>
      </x:c>
      <x:c r="I795" s="21" t="n">
        <x:v>-0.04284695181761433</x:v>
      </x:c>
      <x:c r="J795" s="21" t="n">
        <x:v>-0.03168564040067767</x:v>
      </x:c>
      <x:c r="K795" s="21" t="n">
        <x:v>-0.13362363641767971</x:v>
      </x:c>
      <x:c r="L795" s="36" t="n">
        <x:f>IF(Assumptions!$B$4=2030,I795,IF(Assumptions!$B$4=2035,J795,K795))</x:f>
        <x:v>-0.03168564040067767</x:v>
      </x:c>
      <x:c r="M795" s="36" t="n">
        <x:f>Assumptions!$B$19</x:f>
        <x:v>-0.04739891965741583</x:v>
      </x:c>
      <x:c r="N795" s="52" t="n">
        <x:f>H795*L795+(1-H795)*M795+O795</x:f>
        <x:v>-0.0340426322891884</x:v>
      </x:c>
      <x:c r="O795" s="36" t="n">
        <x:f>Assumptions!$B$10</x:f>
        <x:v>0</x:v>
      </x:c>
      <x:c r="P795" s="54" t="n">
        <x:f>E795*(1+N795)</x:f>
        <x:v>2032.3743016635476</x:v>
      </x:c>
      <x:c r="Q795" s="54" t="n">
        <x:f>P795-E795</x:f>
        <x:v>-71.62569833645239</x:v>
      </x:c>
      <x:c r="R795" s="16" t="str">
        <x:v>Yes</x:v>
      </x:c>
      <x:c r="S795" s="56" t="n">
        <x:v>16557</x:v>
      </x:c>
      <x:c r="T795" s="56" t="n">
        <x:v>10933</x:v>
      </x:c>
      <x:c r="U795" s="40" t="n">
        <x:f>E795*Assumptions!$B$8</x:f>
        <x:v>1788.3999999999999</x:v>
      </x:c>
      <x:c r="V795" s="40" t="n">
        <x:f>P795*Assumptions!$B$8</x:f>
        <x:v>1727.5181564140155</x:v>
      </x:c>
      <x:c r="W795" s="54" t="n">
        <x:f>V795-U795</x:f>
        <x:v>-60.88184358598437</x:v>
      </x:c>
      <x:c r="X795" s="58" t="n">
        <x:f>IF(R795="No","",W795*S795)</x:f>
        <x:v>-1008020.6842531433</x:v>
      </x:c>
      <x:c r="Y795" s="58" t="n">
        <x:f>IF(R795="No","",W795*T795*Assumptions!$B$9)</x:f>
        <x:v>-199686.3587776701</x:v>
      </x:c>
      <x:c r="Z795" s="58" t="n">
        <x:f>IF(R795="No","",X795-Y795)</x:f>
        <x:v>-808334.3254754732</x:v>
      </x:c>
      <x:c r="AA795" s="58" t="n">
        <x:f>IF(R795="No","",MAX(0,-Z795))</x:f>
        <x:v>808334.3254754732</x:v>
      </x:c>
      <x:c r="AB795" s="52" t="n">
        <x:f>IF(OR(R795="No",U795*S795=0),"",AA795/(U795*S795))</x:f>
        <x:v>0.027298872571527584</x:v>
      </x:c>
      <x:c r="AC795" s="54" t="n">
        <x:f>IF(OR(R795="No",S795-T795*Assumptions!$B$9&lt;=0),"",AA795/(Assumptions!$B$8*(S795-T795*Assumptions!$B$9)))</x:f>
        <x:v>71.62569833645222</x:v>
      </x:c>
      <x:c r="AD795" s="52" t="n">
        <x:f>IF(OR(R795="No",U795*S795=0),"",AA795/(U795*S795))</x:f>
        <x:v>0.027298872571527584</x:v>
      </x:c>
      <x:c r="AE795" s="50" t="str">
        <x:f>IF(R795="No","No finance data",IF(AB795&gt;=10%,"Severe",IF(AB795&gt;=5%,"High",IF(AB795&gt;=2%,"Moderate","Low"))))</x:f>
        <x:v>Moderate</x:v>
      </x:c>
      <x:c r="AF795" s="60" t="n">
        <x:v>46.862482</x:v>
      </x:c>
      <x:c r="AG795" s="60" t="n">
        <x:v>-96.76749</x:v>
      </x:c>
      <x:c r="AH795" s="44" t="str">
        <x:v>Undergraduate tuition-contribution proxy only; not an audited total institutional budget.</x:v>
      </x:c>
    </x:row>
    <x:row r="796">
      <x:c r="A796" s="16" t="n">
        <x:v>173328</x:v>
      </x:c>
      <x:c r="B796" s="16" t="str">
        <x:v>Concordia University-Saint Paul</x:v>
      </x:c>
      <x:c r="C796" s="16" t="str">
        <x:v>MN</x:v>
      </x:c>
      <x:c r="D796" s="16" t="str">
        <x:v>Private nonprofit</x:v>
      </x:c>
      <x:c r="E796" s="34" t="n">
        <x:v>2289</x:v>
      </x:c>
      <x:c r="F796" s="21" t="n">
        <x:v>0.6789</x:v>
      </x:c>
      <x:c r="G796" s="16" t="str">
        <x:v>Regional</x:v>
      </x:c>
      <x:c r="H796" s="36" t="n">
        <x:f>IF(G796="National",Assumptions!$B$11,IF(G796="Statewide",Assumptions!$B$12,Assumptions!$B$13))</x:f>
        <x:v>0.85</x:v>
      </x:c>
      <x:c r="I796" s="21" t="n">
        <x:v>-0.04284695181761433</x:v>
      </x:c>
      <x:c r="J796" s="21" t="n">
        <x:v>-0.03168564040067767</x:v>
      </x:c>
      <x:c r="K796" s="21" t="n">
        <x:v>-0.13362363641767971</x:v>
      </x:c>
      <x:c r="L796" s="36" t="n">
        <x:f>IF(Assumptions!$B$4=2030,I796,IF(Assumptions!$B$4=2035,J796,K796))</x:f>
        <x:v>-0.03168564040067767</x:v>
      </x:c>
      <x:c r="M796" s="36" t="n">
        <x:f>Assumptions!$B$19</x:f>
        <x:v>-0.04739891965741583</x:v>
      </x:c>
      <x:c r="N796" s="52" t="n">
        <x:f>H796*L796+(1-H796)*M796+O796</x:f>
        <x:v>-0.0340426322891884</x:v>
      </x:c>
      <x:c r="O796" s="36" t="n">
        <x:f>Assumptions!$B$10</x:f>
        <x:v>0</x:v>
      </x:c>
      <x:c r="P796" s="54" t="n">
        <x:f>E796*(1+N796)</x:f>
        <x:v>2211.076414690048</x:v>
      </x:c>
      <x:c r="Q796" s="54" t="n">
        <x:f>P796-E796</x:f>
        <x:v>-77.92358530995216</x:v>
      </x:c>
      <x:c r="R796" s="16" t="str">
        <x:v>Yes</x:v>
      </x:c>
      <x:c r="S796" s="56" t="n">
        <x:v>13869</x:v>
      </x:c>
      <x:c r="T796" s="56" t="n">
        <x:v>4009</x:v>
      </x:c>
      <x:c r="U796" s="40" t="n">
        <x:f>E796*Assumptions!$B$8</x:f>
        <x:v>1945.6499999999999</x:v>
      </x:c>
      <x:c r="V796" s="40" t="n">
        <x:f>P796*Assumptions!$B$8</x:f>
        <x:v>1879.4149524865406</x:v>
      </x:c>
      <x:c r="W796" s="54" t="n">
        <x:f>V796-U796</x:f>
        <x:v>-66.23504751345922</x:v>
      </x:c>
      <x:c r="X796" s="58" t="n">
        <x:f>IF(R796="No","",W796*S796)</x:f>
        <x:v>-918613.8739641659</x:v>
      </x:c>
      <x:c r="Y796" s="58" t="n">
        <x:f>IF(R796="No","",W796*T796*Assumptions!$B$9)</x:f>
        <x:v>-79660.8916444374</x:v>
      </x:c>
      <x:c r="Z796" s="58" t="n">
        <x:f>IF(R796="No","",X796-Y796)</x:f>
        <x:v>-838952.9823197285</x:v>
      </x:c>
      <x:c r="AA796" s="58" t="n">
        <x:f>IF(R796="No","",MAX(0,-Z796))</x:f>
        <x:v>838952.9823197285</x:v>
      </x:c>
      <x:c r="AB796" s="52" t="n">
        <x:f>IF(OR(R796="No",U796*S796=0),"",AA796/(U796*S796))</x:f>
        <x:v>0.031090503523292654</x:v>
      </x:c>
      <x:c r="AC796" s="54" t="n">
        <x:f>IF(OR(R796="No",S796-T796*Assumptions!$B$9&lt;=0),"",AA796/(Assumptions!$B$8*(S796-T796*Assumptions!$B$9)))</x:f>
        <x:v>77.92358530995202</x:v>
      </x:c>
      <x:c r="AD796" s="52" t="n">
        <x:f>IF(OR(R796="No",U796*S796=0),"",AA796/(U796*S796))</x:f>
        <x:v>0.031090503523292654</x:v>
      </x:c>
      <x:c r="AE796" s="50" t="str">
        <x:f>IF(R796="No","No finance data",IF(AB796&gt;=10%,"Severe",IF(AB796&gt;=5%,"High",IF(AB796&gt;=2%,"Moderate","Low"))))</x:f>
        <x:v>Moderate</x:v>
      </x:c>
      <x:c r="AF796" s="60" t="n">
        <x:v>44.949759</x:v>
      </x:c>
      <x:c r="AG796" s="60" t="n">
        <x:v>-93.154861</x:v>
      </x:c>
      <x:c r="AH796" s="44" t="str">
        <x:v>Undergraduate tuition-contribution proxy only; not an audited total institutional budget.</x:v>
      </x:c>
    </x:row>
    <x:row r="797">
      <x:c r="A797" s="16" t="n">
        <x:v>174206</x:v>
      </x:c>
      <x:c r="B797" s="16" t="str">
        <x:v>Crossroads College</x:v>
      </x:c>
      <x:c r="C797" s="16" t="str">
        <x:v>MN</x:v>
      </x:c>
      <x:c r="D797" s="16" t="str">
        <x:v>Private nonprofit</x:v>
      </x:c>
      <x:c r="E797" s="34" t="n">
        <x:v>80</x:v>
      </x:c>
      <x:c r="F797" s="21"/>
      <x:c r="G797" s="16" t="str">
        <x:v>Regional</x:v>
      </x:c>
      <x:c r="H797" s="36" t="n">
        <x:f>IF(G797="National",Assumptions!$B$11,IF(G797="Statewide",Assumptions!$B$12,Assumptions!$B$13))</x:f>
        <x:v>0.85</x:v>
      </x:c>
      <x:c r="I797" s="21" t="n">
        <x:v>-0.04284695181761433</x:v>
      </x:c>
      <x:c r="J797" s="21" t="n">
        <x:v>-0.03168564040067767</x:v>
      </x:c>
      <x:c r="K797" s="21" t="n">
        <x:v>-0.13362363641767971</x:v>
      </x:c>
      <x:c r="L797" s="36" t="n">
        <x:f>IF(Assumptions!$B$4=2030,I797,IF(Assumptions!$B$4=2035,J797,K797))</x:f>
        <x:v>-0.03168564040067767</x:v>
      </x:c>
      <x:c r="M797" s="36" t="n">
        <x:f>Assumptions!$B$19</x:f>
        <x:v>-0.04739891965741583</x:v>
      </x:c>
      <x:c r="N797" s="52" t="n">
        <x:f>H797*L797+(1-H797)*M797+O797</x:f>
        <x:v>-0.0340426322891884</x:v>
      </x:c>
      <x:c r="O797" s="36" t="n">
        <x:f>Assumptions!$B$10</x:f>
        <x:v>0</x:v>
      </x:c>
      <x:c r="P797" s="54" t="n">
        <x:f>E797*(1+N797)</x:f>
        <x:v>77.27658941686494</x:v>
      </x:c>
      <x:c r="Q797" s="54" t="n">
        <x:f>P797-E797</x:f>
        <x:v>-2.7234105831350632</x:v>
      </x:c>
      <x:c r="R797" s="16" t="str">
        <x:v>No</x:v>
      </x:c>
      <x:c r="S797" s="56"/>
      <x:c r="T797" s="56"/>
      <x:c r="U797" s="40" t="n">
        <x:f>E797*Assumptions!$B$8</x:f>
        <x:v>68</x:v>
      </x:c>
      <x:c r="V797" s="40" t="n">
        <x:f>P797*Assumptions!$B$8</x:f>
        <x:v>65.6851010043352</x:v>
      </x:c>
      <x:c r="W797" s="54" t="n">
        <x:f>V797-U797</x:f>
        <x:v>-2.314898995664805</x:v>
      </x:c>
      <x:c r="X797" s="58" t="str">
        <x:f>IF(R797="No","",W797*S797)</x:f>
      </x:c>
      <x:c r="Y797" s="58" t="str">
        <x:f>IF(R797="No","",W797*T797*Assumptions!$B$9)</x:f>
      </x:c>
      <x:c r="Z797" s="58" t="str">
        <x:f>IF(R797="No","",X797-Y797)</x:f>
      </x:c>
      <x:c r="AA797" s="58" t="str">
        <x:f>IF(R797="No","",MAX(0,-Z797))</x:f>
      </x:c>
      <x:c r="AB797" s="52" t="str">
        <x:f>IF(OR(R797="No",U797*S797=0),"",AA797/(U797*S797))</x:f>
      </x:c>
      <x:c r="AC797" s="54" t="str">
        <x:f>IF(OR(R797="No",S797-T797*Assumptions!$B$9&lt;=0),"",AA797/(Assumptions!$B$8*(S797-T797*Assumptions!$B$9)))</x:f>
      </x:c>
      <x:c r="AD797" s="52" t="str">
        <x:f>IF(OR(R797="No",U797*S797=0),"",AA797/(U797*S797))</x:f>
      </x:c>
      <x:c r="AE797" s="50" t="str">
        <x:f>IF(R797="No","No finance data",IF(AB797&gt;=10%,"Severe",IF(AB797&gt;=5%,"High",IF(AB797&gt;=2%,"Moderate","Low"))))</x:f>
        <x:v>No finance data</x:v>
      </x:c>
      <x:c r="AF797" s="60"/>
      <x:c r="AG797" s="60"/>
      <x:c r="AH797" s="44" t="str">
        <x:v>Undergraduate tuition-contribution proxy only; not an audited total institutional budget.</x:v>
      </x:c>
    </x:row>
    <x:row r="798">
      <x:c r="A798" s="16" t="n">
        <x:v>174862</x:v>
      </x:c>
      <x:c r="B798" s="16" t="str">
        <x:v>Crown College</x:v>
      </x:c>
      <x:c r="C798" s="16" t="str">
        <x:v>MN</x:v>
      </x:c>
      <x:c r="D798" s="16" t="str">
        <x:v>Private nonprofit</x:v>
      </x:c>
      <x:c r="E798" s="34" t="n">
        <x:v>912</x:v>
      </x:c>
      <x:c r="F798" s="21" t="n">
        <x:v>0.6509</x:v>
      </x:c>
      <x:c r="G798" s="16" t="str">
        <x:v>Regional</x:v>
      </x:c>
      <x:c r="H798" s="36" t="n">
        <x:f>IF(G798="National",Assumptions!$B$11,IF(G798="Statewide",Assumptions!$B$12,Assumptions!$B$13))</x:f>
        <x:v>0.85</x:v>
      </x:c>
      <x:c r="I798" s="21" t="n">
        <x:v>-0.04284695181761433</x:v>
      </x:c>
      <x:c r="J798" s="21" t="n">
        <x:v>-0.03168564040067767</x:v>
      </x:c>
      <x:c r="K798" s="21" t="n">
        <x:v>-0.13362363641767971</x:v>
      </x:c>
      <x:c r="L798" s="36" t="n">
        <x:f>IF(Assumptions!$B$4=2030,I798,IF(Assumptions!$B$4=2035,J798,K798))</x:f>
        <x:v>-0.03168564040067767</x:v>
      </x:c>
      <x:c r="M798" s="36" t="n">
        <x:f>Assumptions!$B$19</x:f>
        <x:v>-0.04739891965741583</x:v>
      </x:c>
      <x:c r="N798" s="52" t="n">
        <x:f>H798*L798+(1-H798)*M798+O798</x:f>
        <x:v>-0.0340426322891884</x:v>
      </x:c>
      <x:c r="O798" s="36" t="n">
        <x:f>Assumptions!$B$10</x:f>
        <x:v>0</x:v>
      </x:c>
      <x:c r="P798" s="54" t="n">
        <x:f>E798*(1+N798)</x:f>
        <x:v>880.9531193522603</x:v>
      </x:c>
      <x:c r="Q798" s="54" t="n">
        <x:f>P798-E798</x:f>
        <x:v>-31.046880647739727</x:v>
      </x:c>
      <x:c r="R798" s="16" t="str">
        <x:v>Yes</x:v>
      </x:c>
      <x:c r="S798" s="56" t="n">
        <x:v>12149</x:v>
      </x:c>
      <x:c r="T798" s="56" t="n">
        <x:v>2974</x:v>
      </x:c>
      <x:c r="U798" s="40" t="n">
        <x:f>E798*Assumptions!$B$8</x:f>
        <x:v>775.1999999999999</x:v>
      </x:c>
      <x:c r="V798" s="40" t="n">
        <x:f>P798*Assumptions!$B$8</x:f>
        <x:v>748.8101514494213</x:v>
      </x:c>
      <x:c r="W798" s="54" t="n">
        <x:f>V798-U798</x:f>
        <x:v>-26.389848550578677</x:v>
      </x:c>
      <x:c r="X798" s="58" t="n">
        <x:f>IF(R798="No","",W798*S798)</x:f>
        <x:v>-320610.27004098037</x:v>
      </x:c>
      <x:c r="Y798" s="58" t="n">
        <x:f>IF(R798="No","",W798*T798*Assumptions!$B$9)</x:f>
        <x:v>-23545.022876826297</x:v>
      </x:c>
      <x:c r="Z798" s="58" t="n">
        <x:f>IF(R798="No","",X798-Y798)</x:f>
        <x:v>-297065.2471641541</x:v>
      </x:c>
      <x:c r="AA798" s="58" t="n">
        <x:f>IF(R798="No","",MAX(0,-Z798))</x:f>
        <x:v>297065.2471641541</x:v>
      </x:c>
      <x:c r="AB798" s="52" t="n">
        <x:f>IF(OR(R798="No",U798*S798=0),"",AA798/(U798*S798))</x:f>
        <x:v>0.031542604589096516</x:v>
      </x:c>
      <x:c r="AC798" s="54" t="n">
        <x:f>IF(OR(R798="No",S798-T798*Assumptions!$B$9&lt;=0),"",AA798/(Assumptions!$B$8*(S798-T798*Assumptions!$B$9)))</x:f>
        <x:v>31.046880647739627</x:v>
      </x:c>
      <x:c r="AD798" s="52" t="n">
        <x:f>IF(OR(R798="No",U798*S798=0),"",AA798/(U798*S798))</x:f>
        <x:v>0.031542604589096516</x:v>
      </x:c>
      <x:c r="AE798" s="50" t="str">
        <x:f>IF(R798="No","No finance data",IF(AB798&gt;=10%,"Severe",IF(AB798&gt;=5%,"High",IF(AB798&gt;=2%,"Moderate","Low"))))</x:f>
        <x:v>Moderate</x:v>
      </x:c>
      <x:c r="AF798" s="60" t="n">
        <x:v>44.885393</x:v>
      </x:c>
      <x:c r="AG798" s="60" t="n">
        <x:v>-93.743019</x:v>
      </x:c>
      <x:c r="AH798" s="44" t="str">
        <x:v>Undergraduate tuition-contribution proxy only; not an audited total institutional budget.</x:v>
      </x:c>
    </x:row>
    <x:row r="799">
      <x:c r="A799" s="16" t="n">
        <x:v>173647</x:v>
      </x:c>
      <x:c r="B799" s="16" t="str">
        <x:v>Gustavus Adolphus College</x:v>
      </x:c>
      <x:c r="C799" s="16" t="str">
        <x:v>MN</x:v>
      </x:c>
      <x:c r="D799" s="16" t="str">
        <x:v>Private nonprofit</x:v>
      </x:c>
      <x:c r="E799" s="34" t="n">
        <x:v>2369</x:v>
      </x:c>
      <x:c r="F799" s="21" t="n">
        <x:v>0.7257</x:v>
      </x:c>
      <x:c r="G799" s="16" t="str">
        <x:v>Regional</x:v>
      </x:c>
      <x:c r="H799" s="36" t="n">
        <x:f>IF(G799="National",Assumptions!$B$11,IF(G799="Statewide",Assumptions!$B$12,Assumptions!$B$13))</x:f>
        <x:v>0.85</x:v>
      </x:c>
      <x:c r="I799" s="21" t="n">
        <x:v>-0.04284695181761433</x:v>
      </x:c>
      <x:c r="J799" s="21" t="n">
        <x:v>-0.03168564040067767</x:v>
      </x:c>
      <x:c r="K799" s="21" t="n">
        <x:v>-0.13362363641767971</x:v>
      </x:c>
      <x:c r="L799" s="36" t="n">
        <x:f>IF(Assumptions!$B$4=2030,I799,IF(Assumptions!$B$4=2035,J799,K799))</x:f>
        <x:v>-0.03168564040067767</x:v>
      </x:c>
      <x:c r="M799" s="36" t="n">
        <x:f>Assumptions!$B$19</x:f>
        <x:v>-0.04739891965741583</x:v>
      </x:c>
      <x:c r="N799" s="52" t="n">
        <x:f>H799*L799+(1-H799)*M799+O799</x:f>
        <x:v>-0.0340426322891884</x:v>
      </x:c>
      <x:c r="O799" s="36" t="n">
        <x:f>Assumptions!$B$10</x:f>
        <x:v>0</x:v>
      </x:c>
      <x:c r="P799" s="54" t="n">
        <x:f>E799*(1+N799)</x:f>
        <x:v>2288.353004106913</x:v>
      </x:c>
      <x:c r="Q799" s="54" t="n">
        <x:f>P799-E799</x:f>
        <x:v>-80.64699589308702</x:v>
      </x:c>
      <x:c r="R799" s="16" t="str">
        <x:v>Yes</x:v>
      </x:c>
      <x:c r="S799" s="56" t="n">
        <x:v>18362</x:v>
      </x:c>
      <x:c r="T799" s="56" t="n">
        <x:v>16847</x:v>
      </x:c>
      <x:c r="U799" s="40" t="n">
        <x:f>E799*Assumptions!$B$8</x:f>
        <x:v>2013.6499999999999</x:v>
      </x:c>
      <x:c r="V799" s="40" t="n">
        <x:f>P799*Assumptions!$B$8</x:f>
        <x:v>1945.100053490876</x:v>
      </x:c>
      <x:c r="W799" s="54" t="n">
        <x:f>V799-U799</x:f>
        <x:v>-68.54994650912386</x:v>
      </x:c>
      <x:c r="X799" s="58" t="n">
        <x:f>IF(R799="No","",W799*S799)</x:f>
        <x:v>-1258714.1178005321</x:v>
      </x:c>
      <x:c r="Y799" s="58" t="n">
        <x:f>IF(R799="No","",W799*T799*Assumptions!$B$9)</x:f>
        <x:v>-346458.28465176286</x:v>
      </x:c>
      <x:c r="Z799" s="58" t="n">
        <x:f>IF(R799="No","",X799-Y799)</x:f>
        <x:v>-912255.8331487693</x:v>
      </x:c>
      <x:c r="AA799" s="58" t="n">
        <x:f>IF(R799="No","",MAX(0,-Z799))</x:f>
        <x:v>912255.8331487693</x:v>
      </x:c>
      <x:c r="AB799" s="52" t="n">
        <x:f>IF(OR(R799="No",U799*S799=0),"",AA799/(U799*S799))</x:f>
        <x:v>0.02467247283745169</x:v>
      </x:c>
      <x:c r="AC799" s="54" t="n">
        <x:f>IF(OR(R799="No",S799-T799*Assumptions!$B$9&lt;=0),"",AA799/(Assumptions!$B$8*(S799-T799*Assumptions!$B$9)))</x:f>
        <x:v>80.64699589308688</x:v>
      </x:c>
      <x:c r="AD799" s="52" t="n">
        <x:f>IF(OR(R799="No",U799*S799=0),"",AA799/(U799*S799))</x:f>
        <x:v>0.02467247283745169</x:v>
      </x:c>
      <x:c r="AE799" s="50" t="str">
        <x:f>IF(R799="No","No finance data",IF(AB799&gt;=10%,"Severe",IF(AB799&gt;=5%,"High",IF(AB799&gt;=2%,"Moderate","Low"))))</x:f>
        <x:v>Moderate</x:v>
      </x:c>
      <x:c r="AF799" s="60" t="n">
        <x:v>44.323626</x:v>
      </x:c>
      <x:c r="AG799" s="60" t="n">
        <x:v>-93.972196</x:v>
      </x:c>
      <x:c r="AH799" s="44" t="str">
        <x:v>Undergraduate tuition-contribution proxy only; not an audited total institutional budget.</x:v>
      </x:c>
    </x:row>
    <x:row r="800">
      <x:c r="A800" s="16" t="n">
        <x:v>173665</x:v>
      </x:c>
      <x:c r="B800" s="16" t="str">
        <x:v>Hamline University</x:v>
      </x:c>
      <x:c r="C800" s="16" t="str">
        <x:v>MN</x:v>
      </x:c>
      <x:c r="D800" s="16" t="str">
        <x:v>Private nonprofit</x:v>
      </x:c>
      <x:c r="E800" s="34" t="n">
        <x:v>2167</x:v>
      </x:c>
      <x:c r="F800" s="21" t="n">
        <x:v>0.7643</x:v>
      </x:c>
      <x:c r="G800" s="16" t="str">
        <x:v>Regional</x:v>
      </x:c>
      <x:c r="H800" s="36" t="n">
        <x:f>IF(G800="National",Assumptions!$B$11,IF(G800="Statewide",Assumptions!$B$12,Assumptions!$B$13))</x:f>
        <x:v>0.85</x:v>
      </x:c>
      <x:c r="I800" s="21" t="n">
        <x:v>-0.04284695181761433</x:v>
      </x:c>
      <x:c r="J800" s="21" t="n">
        <x:v>-0.03168564040067767</x:v>
      </x:c>
      <x:c r="K800" s="21" t="n">
        <x:v>-0.13362363641767971</x:v>
      </x:c>
      <x:c r="L800" s="36" t="n">
        <x:f>IF(Assumptions!$B$4=2030,I800,IF(Assumptions!$B$4=2035,J800,K800))</x:f>
        <x:v>-0.03168564040067767</x:v>
      </x:c>
      <x:c r="M800" s="36" t="n">
        <x:f>Assumptions!$B$19</x:f>
        <x:v>-0.04739891965741583</x:v>
      </x:c>
      <x:c r="N800" s="52" t="n">
        <x:f>H800*L800+(1-H800)*M800+O800</x:f>
        <x:v>-0.0340426322891884</x:v>
      </x:c>
      <x:c r="O800" s="36" t="n">
        <x:f>Assumptions!$B$10</x:f>
        <x:v>0</x:v>
      </x:c>
      <x:c r="P800" s="54" t="n">
        <x:f>E800*(1+N800)</x:f>
        <x:v>2093.229615829329</x:v>
      </x:c>
      <x:c r="Q800" s="54" t="n">
        <x:f>P800-E800</x:f>
        <x:v>-73.77038417067115</x:v>
      </x:c>
      <x:c r="R800" s="16" t="str">
        <x:v>Yes</x:v>
      </x:c>
      <x:c r="S800" s="56" t="n">
        <x:v>18137</x:v>
      </x:c>
      <x:c r="T800" s="56" t="n">
        <x:v>8751</x:v>
      </x:c>
      <x:c r="U800" s="40" t="n">
        <x:f>E800*Assumptions!$B$8</x:f>
        <x:v>1841.95</x:v>
      </x:c>
      <x:c r="V800" s="40" t="n">
        <x:f>P800*Assumptions!$B$8</x:f>
        <x:v>1779.2451734549295</x:v>
      </x:c>
      <x:c r="W800" s="54" t="n">
        <x:f>V800-U800</x:f>
        <x:v>-62.704826545070546</x:v>
      </x:c>
      <x:c r="X800" s="58" t="n">
        <x:f>IF(R800="No","",W800*S800)</x:f>
        <x:v>-1137277.4390479445</x:v>
      </x:c>
      <x:c r="Y800" s="58" t="n">
        <x:f>IF(R800="No","",W800*T800*Assumptions!$B$9)</x:f>
        <x:v>-164618.98112877368</x:v>
      </x:c>
      <x:c r="Z800" s="58" t="n">
        <x:f>IF(R800="No","",X800-Y800)</x:f>
        <x:v>-972658.4579191708</x:v>
      </x:c>
      <x:c r="AA800" s="58" t="n">
        <x:f>IF(R800="No","",MAX(0,-Z800))</x:f>
        <x:v>972658.4579191708</x:v>
      </x:c>
      <x:c r="AB800" s="52" t="n">
        <x:f>IF(OR(R800="No",U800*S800=0),"",AA800/(U800*S800))</x:f>
        <x:v>0.02911501898220232</x:v>
      </x:c>
      <x:c r="AC800" s="54" t="n">
        <x:f>IF(OR(R800="No",S800-T800*Assumptions!$B$9&lt;=0),"",AA800/(Assumptions!$B$8*(S800-T800*Assumptions!$B$9)))</x:f>
        <x:v>73.77038417067124</x:v>
      </x:c>
      <x:c r="AD800" s="52" t="n">
        <x:f>IF(OR(R800="No",U800*S800=0),"",AA800/(U800*S800))</x:f>
        <x:v>0.02911501898220232</x:v>
      </x:c>
      <x:c r="AE800" s="50" t="str">
        <x:f>IF(R800="No","No finance data",IF(AB800&gt;=10%,"Severe",IF(AB800&gt;=5%,"High",IF(AB800&gt;=2%,"Moderate","Low"))))</x:f>
        <x:v>Moderate</x:v>
      </x:c>
      <x:c r="AF800" s="60" t="n">
        <x:v>44.966246</x:v>
      </x:c>
      <x:c r="AG800" s="60" t="n">
        <x:v>-93.164479</x:v>
      </x:c>
      <x:c r="AH800" s="44" t="str">
        <x:v>Undergraduate tuition-contribution proxy only; not an audited total institutional budget.</x:v>
      </x:c>
    </x:row>
    <x:row r="801">
      <x:c r="A801" s="16" t="n">
        <x:v>173902</x:v>
      </x:c>
      <x:c r="B801" s="16" t="str">
        <x:v>Macalester College</x:v>
      </x:c>
      <x:c r="C801" s="16" t="str">
        <x:v>MN</x:v>
      </x:c>
      <x:c r="D801" s="16" t="str">
        <x:v>Private nonprofit</x:v>
      </x:c>
      <x:c r="E801" s="34" t="n">
        <x:v>2149</x:v>
      </x:c>
      <x:c r="F801" s="21" t="n">
        <x:v>0.3126</x:v>
      </x:c>
      <x:c r="G801" s="16" t="str">
        <x:v>National</x:v>
      </x:c>
      <x:c r="H801" s="36" t="n">
        <x:f>IF(G801="National",Assumptions!$B$11,IF(G801="Statewide",Assumptions!$B$12,Assumptions!$B$13))</x:f>
        <x:v>0.25</x:v>
      </x:c>
      <x:c r="I801" s="21" t="n">
        <x:v>-0.04284695181761433</x:v>
      </x:c>
      <x:c r="J801" s="21" t="n">
        <x:v>-0.03168564040067767</x:v>
      </x:c>
      <x:c r="K801" s="21" t="n">
        <x:v>-0.13362363641767971</x:v>
      </x:c>
      <x:c r="L801" s="36" t="n">
        <x:f>IF(Assumptions!$B$4=2030,I801,IF(Assumptions!$B$4=2035,J801,K801))</x:f>
        <x:v>-0.03168564040067767</x:v>
      </x:c>
      <x:c r="M801" s="36" t="n">
        <x:f>Assumptions!$B$19</x:f>
        <x:v>-0.04739891965741583</x:v>
      </x:c>
      <x:c r="N801" s="52" t="n">
        <x:f>H801*L801+(1-H801)*M801+O801</x:f>
        <x:v>-0.04347059984323129</x:v>
      </x:c>
      <x:c r="O801" s="36" t="n">
        <x:f>Assumptions!$B$10</x:f>
        <x:v>0</x:v>
      </x:c>
      <x:c r="P801" s="54" t="n">
        <x:f>E801*(1+N801)</x:f>
        <x:v>2055.5816809368957</x:v>
      </x:c>
      <x:c r="Q801" s="54" t="n">
        <x:f>P801-E801</x:f>
        <x:v>-93.41831906310426</x:v>
      </x:c>
      <x:c r="R801" s="16" t="str">
        <x:v>Yes</x:v>
      </x:c>
      <x:c r="S801" s="56" t="n">
        <x:v>22600</x:v>
      </x:c>
      <x:c r="T801" s="56" t="n">
        <x:v>19281</x:v>
      </x:c>
      <x:c r="U801" s="40" t="n">
        <x:f>E801*Assumptions!$B$8</x:f>
        <x:v>1826.6499999999999</x:v>
      </x:c>
      <x:c r="V801" s="40" t="n">
        <x:f>P801*Assumptions!$B$8</x:f>
        <x:v>1747.2444287963613</x:v>
      </x:c>
      <x:c r="W801" s="54" t="n">
        <x:f>V801-U801</x:f>
        <x:v>-79.4055712036386</x:v>
      </x:c>
      <x:c r="X801" s="58" t="n">
        <x:f>IF(R801="No","",W801*S801)</x:f>
        <x:v>-1794565.9092022325</x:v>
      </x:c>
      <x:c r="Y801" s="58" t="n">
        <x:f>IF(R801="No","",W801*T801*Assumptions!$B$9)</x:f>
        <x:v>-459305.6455132067</x:v>
      </x:c>
      <x:c r="Z801" s="58" t="n">
        <x:f>IF(R801="No","",X801-Y801)</x:f>
        <x:v>-1335260.2636890258</x:v>
      </x:c>
      <x:c r="AA801" s="58" t="n">
        <x:f>IF(R801="No","",MAX(0,-Z801))</x:f>
        <x:v>1335260.2636890258</x:v>
      </x:c>
      <x:c r="AB801" s="52" t="n">
        <x:f>IF(OR(R801="No",U801*S801=0),"",AA801/(U801*S801))</x:f>
        <x:v>0.03234462680459407</x:v>
      </x:c>
      <x:c r="AC801" s="54" t="n">
        <x:f>IF(OR(R801="No",S801-T801*Assumptions!$B$9&lt;=0),"",AA801/(Assumptions!$B$8*(S801-T801*Assumptions!$B$9)))</x:f>
        <x:v>93.41831906310425</x:v>
      </x:c>
      <x:c r="AD801" s="52" t="n">
        <x:f>IF(OR(R801="No",U801*S801=0),"",AA801/(U801*S801))</x:f>
        <x:v>0.03234462680459407</x:v>
      </x:c>
      <x:c r="AE801" s="50" t="str">
        <x:f>IF(R801="No","No finance data",IF(AB801&gt;=10%,"Severe",IF(AB801&gt;=5%,"High",IF(AB801&gt;=2%,"Moderate","Low"))))</x:f>
        <x:v>Moderate</x:v>
      </x:c>
      <x:c r="AF801" s="60" t="n">
        <x:v>44.938565</x:v>
      </x:c>
      <x:c r="AG801" s="60" t="n">
        <x:v>-93.168053</x:v>
      </x:c>
      <x:c r="AH801" s="44" t="str">
        <x:v>Undergraduate tuition-contribution proxy only; not an audited total institutional budget.</x:v>
      </x:c>
    </x:row>
    <x:row r="802">
      <x:c r="A802" s="16" t="n">
        <x:v>173452</x:v>
      </x:c>
      <x:c r="B802" s="16" t="str">
        <x:v>Martin Luther College</x:v>
      </x:c>
      <x:c r="C802" s="16" t="str">
        <x:v>MN</x:v>
      </x:c>
      <x:c r="D802" s="16" t="str">
        <x:v>Private nonprofit</x:v>
      </x:c>
      <x:c r="E802" s="34" t="n">
        <x:v>747</x:v>
      </x:c>
      <x:c r="F802" s="21" t="n">
        <x:v>0.9137</x:v>
      </x:c>
      <x:c r="G802" s="16" t="str">
        <x:v>Regional</x:v>
      </x:c>
      <x:c r="H802" s="36" t="n">
        <x:f>IF(G802="National",Assumptions!$B$11,IF(G802="Statewide",Assumptions!$B$12,Assumptions!$B$13))</x:f>
        <x:v>0.85</x:v>
      </x:c>
      <x:c r="I802" s="21" t="n">
        <x:v>-0.04284695181761433</x:v>
      </x:c>
      <x:c r="J802" s="21" t="n">
        <x:v>-0.03168564040067767</x:v>
      </x:c>
      <x:c r="K802" s="21" t="n">
        <x:v>-0.13362363641767971</x:v>
      </x:c>
      <x:c r="L802" s="36" t="n">
        <x:f>IF(Assumptions!$B$4=2030,I802,IF(Assumptions!$B$4=2035,J802,K802))</x:f>
        <x:v>-0.03168564040067767</x:v>
      </x:c>
      <x:c r="M802" s="36" t="n">
        <x:f>Assumptions!$B$19</x:f>
        <x:v>-0.04739891965741583</x:v>
      </x:c>
      <x:c r="N802" s="52" t="n">
        <x:f>H802*L802+(1-H802)*M802+O802</x:f>
        <x:v>-0.0340426322891884</x:v>
      </x:c>
      <x:c r="O802" s="36" t="n">
        <x:f>Assumptions!$B$10</x:f>
        <x:v>0</x:v>
      </x:c>
      <x:c r="P802" s="54" t="n">
        <x:f>E802*(1+N802)</x:f>
        <x:v>721.5701536799763</x:v>
      </x:c>
      <x:c r="Q802" s="54" t="n">
        <x:f>P802-E802</x:f>
        <x:v>-25.42984632002367</x:v>
      </x:c>
      <x:c r="R802" s="16" t="str">
        <x:v>Yes</x:v>
      </x:c>
      <x:c r="S802" s="56" t="n">
        <x:v>13520</x:v>
      </x:c>
      <x:c r="T802" s="56" t="n">
        <x:v>9127</x:v>
      </x:c>
      <x:c r="U802" s="40" t="n">
        <x:f>E802*Assumptions!$B$8</x:f>
        <x:v>634.9499999999999</x:v>
      </x:c>
      <x:c r="V802" s="40" t="n">
        <x:f>P802*Assumptions!$B$8</x:f>
        <x:v>613.3346306279799</x:v>
      </x:c>
      <x:c r="W802" s="54" t="n">
        <x:f>V802-U802</x:f>
        <x:v>-21.61536937202004</x:v>
      </x:c>
      <x:c r="X802" s="58" t="n">
        <x:f>IF(R802="No","",W802*S802)</x:f>
        <x:v>-292239.79390971095</x:v>
      </x:c>
      <x:c r="Y802" s="58" t="n">
        <x:f>IF(R802="No","",W802*T802*Assumptions!$B$9)</x:f>
        <x:v>-59185.04287752807</x:v>
      </x:c>
      <x:c r="Z802" s="58" t="n">
        <x:f>IF(R802="No","",X802-Y802)</x:f>
        <x:v>-233054.7510321829</x:v>
      </x:c>
      <x:c r="AA802" s="58" t="n">
        <x:f>IF(R802="No","",MAX(0,-Z802))</x:f>
        <x:v>233054.7510321829</x:v>
      </x:c>
      <x:c r="AB802" s="52" t="n">
        <x:f>IF(OR(R802="No",U802*S802=0),"",AA802/(U802*S802))</x:f>
        <x:v>0.027148243866775012</x:v>
      </x:c>
      <x:c r="AC802" s="54" t="n">
        <x:f>IF(OR(R802="No",S802-T802*Assumptions!$B$9&lt;=0),"",AA802/(Assumptions!$B$8*(S802-T802*Assumptions!$B$9)))</x:f>
        <x:v>25.42984632002358</x:v>
      </x:c>
      <x:c r="AD802" s="52" t="n">
        <x:f>IF(OR(R802="No",U802*S802=0),"",AA802/(U802*S802))</x:f>
        <x:v>0.027148243866775012</x:v>
      </x:c>
      <x:c r="AE802" s="50" t="str">
        <x:f>IF(R802="No","No finance data",IF(AB802&gt;=10%,"Severe",IF(AB802&gt;=5%,"High",IF(AB802&gt;=2%,"Moderate","Low"))))</x:f>
        <x:v>Moderate</x:v>
      </x:c>
      <x:c r="AF802" s="60" t="n">
        <x:v>44.30526</x:v>
      </x:c>
      <x:c r="AG802" s="60" t="n">
        <x:v>-94.472326</x:v>
      </x:c>
      <x:c r="AH802" s="44" t="str">
        <x:v>Undergraduate tuition-contribution proxy only; not an audited total institutional budget.</x:v>
      </x:c>
    </x:row>
    <x:row r="803">
      <x:c r="A803" s="16" t="n">
        <x:v>174020</x:v>
      </x:c>
      <x:c r="B803" s="16" t="str">
        <x:v>Metropolitan State University</x:v>
      </x:c>
      <x:c r="C803" s="16" t="str">
        <x:v>MN</x:v>
      </x:c>
      <x:c r="D803" s="16" t="str">
        <x:v>Public</x:v>
      </x:c>
      <x:c r="E803" s="34" t="n">
        <x:v>7244</x:v>
      </x:c>
      <x:c r="F803" s="21" t="n">
        <x:v>0.6662</x:v>
      </x:c>
      <x:c r="G803" s="16" t="str">
        <x:v>Statewide</x:v>
      </x:c>
      <x:c r="H803" s="36" t="n">
        <x:f>IF(G803="National",Assumptions!$B$11,IF(G803="Statewide",Assumptions!$B$12,Assumptions!$B$13))</x:f>
        <x:v>0.6</x:v>
      </x:c>
      <x:c r="I803" s="21" t="n">
        <x:v>-0.04284695181761433</x:v>
      </x:c>
      <x:c r="J803" s="21" t="n">
        <x:v>-0.03168564040067767</x:v>
      </x:c>
      <x:c r="K803" s="21" t="n">
        <x:v>-0.13362363641767971</x:v>
      </x:c>
      <x:c r="L803" s="36" t="n">
        <x:f>IF(Assumptions!$B$4=2030,I803,IF(Assumptions!$B$4=2035,J803,K803))</x:f>
        <x:v>-0.03168564040067767</x:v>
      </x:c>
      <x:c r="M803" s="36" t="n">
        <x:f>Assumptions!$B$19</x:f>
        <x:v>-0.04739891965741583</x:v>
      </x:c>
      <x:c r="N803" s="52" t="n">
        <x:f>H803*L803+(1-H803)*M803+O803</x:f>
        <x:v>-0.03797095210337294</x:v>
      </x:c>
      <x:c r="O803" s="36" t="n">
        <x:f>Assumptions!$B$10</x:f>
        <x:v>0</x:v>
      </x:c>
      <x:c r="P803" s="54" t="n">
        <x:f>E803*(1+N803)</x:f>
        <x:v>6968.938422963166</x:v>
      </x:c>
      <x:c r="Q803" s="54" t="n">
        <x:f>P803-E803</x:f>
        <x:v>-275.061577036834</x:v>
      </x:c>
      <x:c r="R803" s="16" t="str">
        <x:v>Yes</x:v>
      </x:c>
      <x:c r="S803" s="56" t="n">
        <x:v>5244</x:v>
      </x:c>
      <x:c r="T803" s="56" t="n">
        <x:v>5819</x:v>
      </x:c>
      <x:c r="U803" s="40" t="n">
        <x:f>E803*Assumptions!$B$8</x:f>
        <x:v>6157.4</x:v>
      </x:c>
      <x:c r="V803" s="40" t="n">
        <x:f>P803*Assumptions!$B$8</x:f>
        <x:v>5923.597659518691</x:v>
      </x:c>
      <x:c r="W803" s="54" t="n">
        <x:f>V803-U803</x:f>
        <x:v>-233.80234048130842</x:v>
      </x:c>
      <x:c r="X803" s="58" t="n">
        <x:f>IF(R803="No","",W803*S803)</x:f>
        <x:v>-1226059.4734839813</x:v>
      </x:c>
      <x:c r="Y803" s="58" t="n">
        <x:f>IF(R803="No","",W803*T803*Assumptions!$B$9)</x:f>
        <x:v>-408148.74577822007</x:v>
      </x:c>
      <x:c r="Z803" s="58" t="n">
        <x:f>IF(R803="No","",X803-Y803)</x:f>
        <x:v>-817910.7277057613</x:v>
      </x:c>
      <x:c r="AA803" s="58" t="n">
        <x:f>IF(R803="No","",MAX(0,-Z803))</x:f>
        <x:v>817910.7277057613</x:v>
      </x:c>
      <x:c r="AB803" s="52" t="n">
        <x:f>IF(OR(R803="No",U803*S803=0),"",AA803/(U803*S803))</x:f>
        <x:v>0.025330621995276414</x:v>
      </x:c>
      <x:c r="AC803" s="54" t="n">
        <x:f>IF(OR(R803="No",S803-T803*Assumptions!$B$9&lt;=0),"",AA803/(Assumptions!$B$8*(S803-T803*Assumptions!$B$9)))</x:f>
        <x:v>275.06157703683346</x:v>
      </x:c>
      <x:c r="AD803" s="52" t="n">
        <x:f>IF(OR(R803="No",U803*S803=0),"",AA803/(U803*S803))</x:f>
        <x:v>0.025330621995276414</x:v>
      </x:c>
      <x:c r="AE803" s="50" t="str">
        <x:f>IF(R803="No","No finance data",IF(AB803&gt;=10%,"Severe",IF(AB803&gt;=5%,"High",IF(AB803&gt;=2%,"Moderate","Low"))))</x:f>
        <x:v>Moderate</x:v>
      </x:c>
      <x:c r="AF803" s="60" t="n">
        <x:v>44.957256</x:v>
      </x:c>
      <x:c r="AG803" s="60" t="n">
        <x:v>-93.074361</x:v>
      </x:c>
      <x:c r="AH803" s="44" t="str">
        <x:v>Undergraduate tuition-contribution proxy only; not an audited total institutional budget.</x:v>
      </x:c>
    </x:row>
    <x:row r="804">
      <x:c r="A804" s="16" t="n">
        <x:v>174127</x:v>
      </x:c>
      <x:c r="B804" s="16" t="str">
        <x:v>Minneapolis College of Art and Design</x:v>
      </x:c>
      <x:c r="C804" s="16" t="str">
        <x:v>MN</x:v>
      </x:c>
      <x:c r="D804" s="16" t="str">
        <x:v>Private nonprofit</x:v>
      </x:c>
      <x:c r="E804" s="34" t="n">
        <x:v>668</x:v>
      </x:c>
      <x:c r="F804" s="21" t="n">
        <x:v>0.6552</x:v>
      </x:c>
      <x:c r="G804" s="16" t="str">
        <x:v>Regional</x:v>
      </x:c>
      <x:c r="H804" s="36" t="n">
        <x:f>IF(G804="National",Assumptions!$B$11,IF(G804="Statewide",Assumptions!$B$12,Assumptions!$B$13))</x:f>
        <x:v>0.85</x:v>
      </x:c>
      <x:c r="I804" s="21" t="n">
        <x:v>-0.04284695181761433</x:v>
      </x:c>
      <x:c r="J804" s="21" t="n">
        <x:v>-0.03168564040067767</x:v>
      </x:c>
      <x:c r="K804" s="21" t="n">
        <x:v>-0.13362363641767971</x:v>
      </x:c>
      <x:c r="L804" s="36" t="n">
        <x:f>IF(Assumptions!$B$4=2030,I804,IF(Assumptions!$B$4=2035,J804,K804))</x:f>
        <x:v>-0.03168564040067767</x:v>
      </x:c>
      <x:c r="M804" s="36" t="n">
        <x:f>Assumptions!$B$19</x:f>
        <x:v>-0.04739891965741583</x:v>
      </x:c>
      <x:c r="N804" s="52" t="n">
        <x:f>H804*L804+(1-H804)*M804+O804</x:f>
        <x:v>-0.0340426322891884</x:v>
      </x:c>
      <x:c r="O804" s="36" t="n">
        <x:f>Assumptions!$B$10</x:f>
        <x:v>0</x:v>
      </x:c>
      <x:c r="P804" s="54" t="n">
        <x:f>E804*(1+N804)</x:f>
        <x:v>645.2595216308222</x:v>
      </x:c>
      <x:c r="Q804" s="54" t="n">
        <x:f>P804-E804</x:f>
        <x:v>-22.740478369177822</x:v>
      </x:c>
      <x:c r="R804" s="16" t="str">
        <x:v>Yes</x:v>
      </x:c>
      <x:c r="S804" s="56" t="n">
        <x:v>20598</x:v>
      </x:c>
      <x:c r="T804" s="56" t="n">
        <x:v>16077</x:v>
      </x:c>
      <x:c r="U804" s="40" t="n">
        <x:f>E804*Assumptions!$B$8</x:f>
        <x:v>567.8</x:v>
      </x:c>
      <x:c r="V804" s="40" t="n">
        <x:f>P804*Assumptions!$B$8</x:f>
        <x:v>548.4705933861989</x:v>
      </x:c>
      <x:c r="W804" s="54" t="n">
        <x:f>V804-U804</x:f>
        <x:v>-19.329406613801098</x:v>
      </x:c>
      <x:c r="X804" s="58" t="n">
        <x:f>IF(R804="No","",W804*S804)</x:f>
        <x:v>-398147.117431075</x:v>
      </x:c>
      <x:c r="Y804" s="58" t="n">
        <x:f>IF(R804="No","",W804*T804*Assumptions!$B$9)</x:f>
        <x:v>-93227.66103902408</x:v>
      </x:c>
      <x:c r="Z804" s="58" t="n">
        <x:f>IF(R804="No","",X804-Y804)</x:f>
        <x:v>-304919.45639205095</x:v>
      </x:c>
      <x:c r="AA804" s="58" t="n">
        <x:f>IF(R804="No","",MAX(0,-Z804))</x:f>
        <x:v>304919.45639205095</x:v>
      </x:c>
      <x:c r="AB804" s="52" t="n">
        <x:f>IF(OR(R804="No",U804*S804=0),"",AA804/(U804*S804))</x:f>
        <x:v>0.026071420531057193</x:v>
      </x:c>
      <x:c r="AC804" s="54" t="n">
        <x:f>IF(OR(R804="No",S804-T804*Assumptions!$B$9&lt;=0),"",AA804/(Assumptions!$B$8*(S804-T804*Assumptions!$B$9)))</x:f>
        <x:v>22.74047836917776</x:v>
      </x:c>
      <x:c r="AD804" s="52" t="n">
        <x:f>IF(OR(R804="No",U804*S804=0),"",AA804/(U804*S804))</x:f>
        <x:v>0.026071420531057193</x:v>
      </x:c>
      <x:c r="AE804" s="50" t="str">
        <x:f>IF(R804="No","No finance data",IF(AB804&gt;=10%,"Severe",IF(AB804&gt;=5%,"High",IF(AB804&gt;=2%,"Moderate","Low"))))</x:f>
        <x:v>Moderate</x:v>
      </x:c>
      <x:c r="AF804" s="60" t="n">
        <x:v>44.956988</x:v>
      </x:c>
      <x:c r="AG804" s="60" t="n">
        <x:v>-93.274705</x:v>
      </x:c>
      <x:c r="AH804" s="44" t="str">
        <x:v>Undergraduate tuition-contribution proxy only; not an audited total institutional budget.</x:v>
      </x:c>
    </x:row>
    <x:row r="805">
      <x:c r="A805" s="16" t="n">
        <x:v>174358</x:v>
      </x:c>
      <x:c r="B805" s="16" t="str">
        <x:v>Minnesota State University Moorhead</x:v>
      </x:c>
      <x:c r="C805" s="16" t="str">
        <x:v>MN</x:v>
      </x:c>
      <x:c r="D805" s="16" t="str">
        <x:v>Public</x:v>
      </x:c>
      <x:c r="E805" s="34" t="n">
        <x:v>5045</x:v>
      </x:c>
      <x:c r="F805" s="21" t="n">
        <x:v>0.7171</x:v>
      </x:c>
      <x:c r="G805" s="16" t="str">
        <x:v>Statewide</x:v>
      </x:c>
      <x:c r="H805" s="36" t="n">
        <x:f>IF(G805="National",Assumptions!$B$11,IF(G805="Statewide",Assumptions!$B$12,Assumptions!$B$13))</x:f>
        <x:v>0.6</x:v>
      </x:c>
      <x:c r="I805" s="21" t="n">
        <x:v>-0.04284695181761433</x:v>
      </x:c>
      <x:c r="J805" s="21" t="n">
        <x:v>-0.03168564040067767</x:v>
      </x:c>
      <x:c r="K805" s="21" t="n">
        <x:v>-0.13362363641767971</x:v>
      </x:c>
      <x:c r="L805" s="36" t="n">
        <x:f>IF(Assumptions!$B$4=2030,I805,IF(Assumptions!$B$4=2035,J805,K805))</x:f>
        <x:v>-0.03168564040067767</x:v>
      </x:c>
      <x:c r="M805" s="36" t="n">
        <x:f>Assumptions!$B$19</x:f>
        <x:v>-0.04739891965741583</x:v>
      </x:c>
      <x:c r="N805" s="52" t="n">
        <x:f>H805*L805+(1-H805)*M805+O805</x:f>
        <x:v>-0.03797095210337294</x:v>
      </x:c>
      <x:c r="O805" s="36" t="n">
        <x:f>Assumptions!$B$10</x:f>
        <x:v>0</x:v>
      </x:c>
      <x:c r="P805" s="54" t="n">
        <x:f>E805*(1+N805)</x:f>
        <x:v>4853.436546638483</x:v>
      </x:c>
      <x:c r="Q805" s="54" t="n">
        <x:f>P805-E805</x:f>
        <x:v>-191.56345336151662</x:v>
      </x:c>
      <x:c r="R805" s="16" t="str">
        <x:v>Yes</x:v>
      </x:c>
      <x:c r="S805" s="56" t="n">
        <x:v>6461</x:v>
      </x:c>
      <x:c r="T805" s="56" t="n">
        <x:v>8508</x:v>
      </x:c>
      <x:c r="U805" s="40" t="n">
        <x:f>E805*Assumptions!$B$8</x:f>
        <x:v>4288.25</x:v>
      </x:c>
      <x:c r="V805" s="40" t="n">
        <x:f>P805*Assumptions!$B$8</x:f>
        <x:v>4125.421064642711</x:v>
      </x:c>
      <x:c r="W805" s="54" t="n">
        <x:f>V805-U805</x:f>
        <x:v>-162.82893535728908</x:v>
      </x:c>
      <x:c r="X805" s="58" t="n">
        <x:f>IF(R805="No","",W805*S805)</x:f>
        <x:v>-1052037.7513434447</x:v>
      </x:c>
      <x:c r="Y805" s="58" t="n">
        <x:f>IF(R805="No","",W805*T805*Assumptions!$B$9)</x:f>
        <x:v>-415604.5746059446</x:v>
      </x:c>
      <x:c r="Z805" s="58" t="n">
        <x:f>IF(R805="No","",X805-Y805)</x:f>
        <x:v>-636433.1767375001</x:v>
      </x:c>
      <x:c r="AA805" s="58" t="n">
        <x:f>IF(R805="No","",MAX(0,-Z805))</x:f>
        <x:v>636433.1767375001</x:v>
      </x:c>
      <x:c r="AB805" s="52" t="n">
        <x:f>IF(OR(R805="No",U805*S805=0),"",AA805/(U805*S805))</x:f>
        <x:v>0.022970633553821937</x:v>
      </x:c>
      <x:c r="AC805" s="54" t="n">
        <x:f>IF(OR(R805="No",S805-T805*Assumptions!$B$9&lt;=0),"",AA805/(Assumptions!$B$8*(S805-T805*Assumptions!$B$9)))</x:f>
        <x:v>191.56345336151657</x:v>
      </x:c>
      <x:c r="AD805" s="52" t="n">
        <x:f>IF(OR(R805="No",U805*S805=0),"",AA805/(U805*S805))</x:f>
        <x:v>0.022970633553821937</x:v>
      </x:c>
      <x:c r="AE805" s="50" t="str">
        <x:f>IF(R805="No","No finance data",IF(AB805&gt;=10%,"Severe",IF(AB805&gt;=5%,"High",IF(AB805&gt;=2%,"Moderate","Low"))))</x:f>
        <x:v>Moderate</x:v>
      </x:c>
      <x:c r="AF805" s="60" t="n">
        <x:v>46.867153</x:v>
      </x:c>
      <x:c r="AG805" s="60" t="n">
        <x:v>-96.759532</x:v>
      </x:c>
      <x:c r="AH805" s="44" t="str">
        <x:v>Undergraduate tuition-contribution proxy only; not an audited total institutional budget.</x:v>
      </x:c>
    </x:row>
    <x:row r="806">
      <x:c r="A806" s="16" t="n">
        <x:v>173920</x:v>
      </x:c>
      <x:c r="B806" s="16" t="str">
        <x:v>Minnesota State University-Mankato</x:v>
      </x:c>
      <x:c r="C806" s="16" t="str">
        <x:v>MN</x:v>
      </x:c>
      <x:c r="D806" s="16" t="str">
        <x:v>Public</x:v>
      </x:c>
      <x:c r="E806" s="34" t="n">
        <x:v>12259</x:v>
      </x:c>
      <x:c r="F806" s="21" t="n">
        <x:v>0.6948</x:v>
      </x:c>
      <x:c r="G806" s="16" t="str">
        <x:v>Statewide</x:v>
      </x:c>
      <x:c r="H806" s="36" t="n">
        <x:f>IF(G806="National",Assumptions!$B$11,IF(G806="Statewide",Assumptions!$B$12,Assumptions!$B$13))</x:f>
        <x:v>0.6</x:v>
      </x:c>
      <x:c r="I806" s="21" t="n">
        <x:v>-0.04284695181761433</x:v>
      </x:c>
      <x:c r="J806" s="21" t="n">
        <x:v>-0.03168564040067767</x:v>
      </x:c>
      <x:c r="K806" s="21" t="n">
        <x:v>-0.13362363641767971</x:v>
      </x:c>
      <x:c r="L806" s="36" t="n">
        <x:f>IF(Assumptions!$B$4=2030,I806,IF(Assumptions!$B$4=2035,J806,K806))</x:f>
        <x:v>-0.03168564040067767</x:v>
      </x:c>
      <x:c r="M806" s="36" t="n">
        <x:f>Assumptions!$B$19</x:f>
        <x:v>-0.04739891965741583</x:v>
      </x:c>
      <x:c r="N806" s="52" t="n">
        <x:f>H806*L806+(1-H806)*M806+O806</x:f>
        <x:v>-0.03797095210337294</x:v>
      </x:c>
      <x:c r="O806" s="36" t="n">
        <x:f>Assumptions!$B$10</x:f>
        <x:v>0</x:v>
      </x:c>
      <x:c r="P806" s="54" t="n">
        <x:f>E806*(1+N806)</x:f>
        <x:v>11793.514098164751</x:v>
      </x:c>
      <x:c r="Q806" s="54" t="n">
        <x:f>P806-E806</x:f>
        <x:v>-465.485901835249</x:v>
      </x:c>
      <x:c r="R806" s="16" t="str">
        <x:v>Yes</x:v>
      </x:c>
      <x:c r="S806" s="56" t="n">
        <x:v>8058</x:v>
      </x:c>
      <x:c r="T806" s="56" t="n">
        <x:v>8253</x:v>
      </x:c>
      <x:c r="U806" s="40" t="n">
        <x:f>E806*Assumptions!$B$8</x:f>
        <x:v>10420.15</x:v>
      </x:c>
      <x:c r="V806" s="40" t="n">
        <x:f>P806*Assumptions!$B$8</x:f>
        <x:v>10024.486983440038</x:v>
      </x:c>
      <x:c r="W806" s="54" t="n">
        <x:f>V806-U806</x:f>
        <x:v>-395.66301655996176</x:v>
      </x:c>
      <x:c r="X806" s="58" t="n">
        <x:f>IF(R806="No","",W806*S806)</x:f>
        <x:v>-3188252.5874401717</x:v>
      </x:c>
      <x:c r="Y806" s="58" t="n">
        <x:f>IF(R806="No","",W806*T806*Assumptions!$B$9)</x:f>
        <x:v>-979622.0627008092</x:v>
      </x:c>
      <x:c r="Z806" s="58" t="n">
        <x:f>IF(R806="No","",X806-Y806)</x:f>
        <x:v>-2208630.5247393623</x:v>
      </x:c>
      <x:c r="AA806" s="58" t="n">
        <x:f>IF(R806="No","",MAX(0,-Z806))</x:f>
        <x:v>2208630.5247393623</x:v>
      </x:c>
      <x:c r="AB806" s="52" t="n">
        <x:f>IF(OR(R806="No",U806*S806=0),"",AA806/(U806*S806))</x:f>
        <x:v>0.026304002449272546</x:v>
      </x:c>
      <x:c r="AC806" s="54" t="n">
        <x:f>IF(OR(R806="No",S806-T806*Assumptions!$B$9&lt;=0),"",AA806/(Assumptions!$B$8*(S806-T806*Assumptions!$B$9)))</x:f>
        <x:v>465.4859018352491</x:v>
      </x:c>
      <x:c r="AD806" s="52" t="n">
        <x:f>IF(OR(R806="No",U806*S806=0),"",AA806/(U806*S806))</x:f>
        <x:v>0.026304002449272546</x:v>
      </x:c>
      <x:c r="AE806" s="50" t="str">
        <x:f>IF(R806="No","No finance data",IF(AB806&gt;=10%,"Severe",IF(AB806&gt;=5%,"High",IF(AB806&gt;=2%,"Moderate","Low"))))</x:f>
        <x:v>Moderate</x:v>
      </x:c>
      <x:c r="AF806" s="60" t="n">
        <x:v>44.146712</x:v>
      </x:c>
      <x:c r="AG806" s="60" t="n">
        <x:v>-93.99945</x:v>
      </x:c>
      <x:c r="AH806" s="44" t="str">
        <x:v>Undergraduate tuition-contribution proxy only; not an audited total institutional budget.</x:v>
      </x:c>
    </x:row>
    <x:row r="807">
      <x:c r="A807" s="16" t="n">
        <x:v>174437</x:v>
      </x:c>
      <x:c r="B807" s="16" t="str">
        <x:v>North Central University</x:v>
      </x:c>
      <x:c r="C807" s="16" t="str">
        <x:v>MN</x:v>
      </x:c>
      <x:c r="D807" s="16" t="str">
        <x:v>Private nonprofit</x:v>
      </x:c>
      <x:c r="E807" s="34" t="n">
        <x:v>1008</x:v>
      </x:c>
      <x:c r="F807" s="21" t="n">
        <x:v>0.9403</x:v>
      </x:c>
      <x:c r="G807" s="16" t="str">
        <x:v>Regional</x:v>
      </x:c>
      <x:c r="H807" s="36" t="n">
        <x:f>IF(G807="National",Assumptions!$B$11,IF(G807="Statewide",Assumptions!$B$12,Assumptions!$B$13))</x:f>
        <x:v>0.85</x:v>
      </x:c>
      <x:c r="I807" s="21" t="n">
        <x:v>-0.04284695181761433</x:v>
      </x:c>
      <x:c r="J807" s="21" t="n">
        <x:v>-0.03168564040067767</x:v>
      </x:c>
      <x:c r="K807" s="21" t="n">
        <x:v>-0.13362363641767971</x:v>
      </x:c>
      <x:c r="L807" s="36" t="n">
        <x:f>IF(Assumptions!$B$4=2030,I807,IF(Assumptions!$B$4=2035,J807,K807))</x:f>
        <x:v>-0.03168564040067767</x:v>
      </x:c>
      <x:c r="M807" s="36" t="n">
        <x:f>Assumptions!$B$19</x:f>
        <x:v>-0.04739891965741583</x:v>
      </x:c>
      <x:c r="N807" s="52" t="n">
        <x:f>H807*L807+(1-H807)*M807+O807</x:f>
        <x:v>-0.0340426322891884</x:v>
      </x:c>
      <x:c r="O807" s="36" t="n">
        <x:f>Assumptions!$B$10</x:f>
        <x:v>0</x:v>
      </x:c>
      <x:c r="P807" s="54" t="n">
        <x:f>E807*(1+N807)</x:f>
        <x:v>973.6850266524981</x:v>
      </x:c>
      <x:c r="Q807" s="54" t="n">
        <x:f>P807-E807</x:f>
        <x:v>-34.314973347501905</x:v>
      </x:c>
      <x:c r="R807" s="16" t="str">
        <x:v>Yes</x:v>
      </x:c>
      <x:c r="S807" s="56" t="n">
        <x:v>12914</x:v>
      </x:c>
      <x:c r="T807" s="56" t="n">
        <x:v>7298</x:v>
      </x:c>
      <x:c r="U807" s="40" t="n">
        <x:f>E807*Assumptions!$B$8</x:f>
        <x:v>856.8</x:v>
      </x:c>
      <x:c r="V807" s="40" t="n">
        <x:f>P807*Assumptions!$B$8</x:f>
        <x:v>827.6322726546233</x:v>
      </x:c>
      <x:c r="W807" s="54" t="n">
        <x:f>V807-U807</x:f>
        <x:v>-29.167727345376647</x:v>
      </x:c>
      <x:c r="X807" s="58" t="n">
        <x:f>IF(R807="No","",W807*S807)</x:f>
        <x:v>-376672.030938194</x:v>
      </x:c>
      <x:c r="Y807" s="58" t="n">
        <x:f>IF(R807="No","",W807*T807*Assumptions!$B$9)</x:f>
        <x:v>-63859.82224996763</x:v>
      </x:c>
      <x:c r="Z807" s="58" t="n">
        <x:f>IF(R807="No","",X807-Y807)</x:f>
        <x:v>-312812.2086882264</x:v>
      </x:c>
      <x:c r="AA807" s="58" t="n">
        <x:f>IF(R807="No","",MAX(0,-Z807))</x:f>
        <x:v>312812.2086882264</x:v>
      </x:c>
      <x:c r="AB807" s="52" t="n">
        <x:f>IF(OR(R807="No",U807*S807=0),"",AA807/(U807*S807))</x:f>
        <x:v>0.028271148695108432</x:v>
      </x:c>
      <x:c r="AC807" s="54" t="n">
        <x:f>IF(OR(R807="No",S807-T807*Assumptions!$B$9&lt;=0),"",AA807/(Assumptions!$B$8*(S807-T807*Assumptions!$B$9)))</x:f>
        <x:v>34.31497334750194</x:v>
      </x:c>
      <x:c r="AD807" s="52" t="n">
        <x:f>IF(OR(R807="No",U807*S807=0),"",AA807/(U807*S807))</x:f>
        <x:v>0.028271148695108432</x:v>
      </x:c>
      <x:c r="AE807" s="50" t="str">
        <x:f>IF(R807="No","No finance data",IF(AB807&gt;=10%,"Severe",IF(AB807&gt;=5%,"High",IF(AB807&gt;=2%,"Moderate","Low"))))</x:f>
        <x:v>Moderate</x:v>
      </x:c>
      <x:c r="AF807" s="60" t="n">
        <x:v>44.968625</x:v>
      </x:c>
      <x:c r="AG807" s="60" t="n">
        <x:v>-93.261511</x:v>
      </x:c>
      <x:c r="AH807" s="44" t="str">
        <x:v>Undergraduate tuition-contribution proxy only; not an audited total institutional budget.</x:v>
      </x:c>
    </x:row>
    <x:row r="808">
      <x:c r="A808" s="16" t="n">
        <x:v>174507</x:v>
      </x:c>
      <x:c r="B808" s="16" t="str">
        <x:v>Northwestern Health Sciences University</x:v>
      </x:c>
      <x:c r="C808" s="16" t="str">
        <x:v>MN</x:v>
      </x:c>
      <x:c r="D808" s="16" t="str">
        <x:v>Private nonprofit</x:v>
      </x:c>
      <x:c r="E808" s="34" t="n">
        <x:v>163</x:v>
      </x:c>
      <x:c r="F808" s="21"/>
      <x:c r="G808" s="16" t="str">
        <x:v>Regional</x:v>
      </x:c>
      <x:c r="H808" s="36" t="n">
        <x:f>IF(G808="National",Assumptions!$B$11,IF(G808="Statewide",Assumptions!$B$12,Assumptions!$B$13))</x:f>
        <x:v>0.85</x:v>
      </x:c>
      <x:c r="I808" s="21" t="n">
        <x:v>-0.04284695181761433</x:v>
      </x:c>
      <x:c r="J808" s="21" t="n">
        <x:v>-0.03168564040067767</x:v>
      </x:c>
      <x:c r="K808" s="21" t="n">
        <x:v>-0.13362363641767971</x:v>
      </x:c>
      <x:c r="L808" s="36" t="n">
        <x:f>IF(Assumptions!$B$4=2030,I808,IF(Assumptions!$B$4=2035,J808,K808))</x:f>
        <x:v>-0.03168564040067767</x:v>
      </x:c>
      <x:c r="M808" s="36" t="n">
        <x:f>Assumptions!$B$19</x:f>
        <x:v>-0.04739891965741583</x:v>
      </x:c>
      <x:c r="N808" s="52" t="n">
        <x:f>H808*L808+(1-H808)*M808+O808</x:f>
        <x:v>-0.0340426322891884</x:v>
      </x:c>
      <x:c r="O808" s="36" t="n">
        <x:f>Assumptions!$B$10</x:f>
        <x:v>0</x:v>
      </x:c>
      <x:c r="P808" s="54" t="n">
        <x:f>E808*(1+N808)</x:f>
        <x:v>157.4510509368623</x:v>
      </x:c>
      <x:c r="Q808" s="54" t="n">
        <x:f>P808-E808</x:f>
        <x:v>-5.548949063137712</x:v>
      </x:c>
      <x:c r="R808" s="16" t="str">
        <x:v>No</x:v>
      </x:c>
      <x:c r="S808" s="56"/>
      <x:c r="T808" s="56"/>
      <x:c r="U808" s="40" t="n">
        <x:f>E808*Assumptions!$B$8</x:f>
        <x:v>138.54999999999998</x:v>
      </x:c>
      <x:c r="V808" s="40" t="n">
        <x:f>P808*Assumptions!$B$8</x:f>
        <x:v>133.83339329633293</x:v>
      </x:c>
      <x:c r="W808" s="54" t="n">
        <x:f>V808-U808</x:f>
        <x:v>-4.716606703667054</x:v>
      </x:c>
      <x:c r="X808" s="58" t="str">
        <x:f>IF(R808="No","",W808*S808)</x:f>
      </x:c>
      <x:c r="Y808" s="58" t="str">
        <x:f>IF(R808="No","",W808*T808*Assumptions!$B$9)</x:f>
      </x:c>
      <x:c r="Z808" s="58" t="str">
        <x:f>IF(R808="No","",X808-Y808)</x:f>
      </x:c>
      <x:c r="AA808" s="58" t="str">
        <x:f>IF(R808="No","",MAX(0,-Z808))</x:f>
      </x:c>
      <x:c r="AB808" s="52" t="str">
        <x:f>IF(OR(R808="No",U808*S808=0),"",AA808/(U808*S808))</x:f>
      </x:c>
      <x:c r="AC808" s="54" t="str">
        <x:f>IF(OR(R808="No",S808-T808*Assumptions!$B$9&lt;=0),"",AA808/(Assumptions!$B$8*(S808-T808*Assumptions!$B$9)))</x:f>
      </x:c>
      <x:c r="AD808" s="52" t="str">
        <x:f>IF(OR(R808="No",U808*S808=0),"",AA808/(U808*S808))</x:f>
      </x:c>
      <x:c r="AE808" s="50" t="str">
        <x:f>IF(R808="No","No finance data",IF(AB808&gt;=10%,"Severe",IF(AB808&gt;=5%,"High",IF(AB808&gt;=2%,"Moderate","Low"))))</x:f>
        <x:v>No finance data</x:v>
      </x:c>
      <x:c r="AF808" s="60"/>
      <x:c r="AG808" s="60"/>
      <x:c r="AH808" s="44" t="str">
        <x:v>Undergraduate tuition-contribution proxy only; not an audited total institutional budget.</x:v>
      </x:c>
    </x:row>
    <x:row r="809">
      <x:c r="A809" s="16" t="n">
        <x:v>174525</x:v>
      </x:c>
      <x:c r="B809" s="16" t="str">
        <x:v>Oak Hills Christian College</x:v>
      </x:c>
      <x:c r="C809" s="16" t="str">
        <x:v>MN</x:v>
      </x:c>
      <x:c r="D809" s="16" t="str">
        <x:v>Private nonprofit</x:v>
      </x:c>
      <x:c r="E809" s="34" t="n">
        <x:v>113</x:v>
      </x:c>
      <x:c r="F809" s="21"/>
      <x:c r="G809" s="16" t="str">
        <x:v>Regional</x:v>
      </x:c>
      <x:c r="H809" s="36" t="n">
        <x:f>IF(G809="National",Assumptions!$B$11,IF(G809="Statewide",Assumptions!$B$12,Assumptions!$B$13))</x:f>
        <x:v>0.85</x:v>
      </x:c>
      <x:c r="I809" s="21" t="n">
        <x:v>-0.04284695181761433</x:v>
      </x:c>
      <x:c r="J809" s="21" t="n">
        <x:v>-0.03168564040067767</x:v>
      </x:c>
      <x:c r="K809" s="21" t="n">
        <x:v>-0.13362363641767971</x:v>
      </x:c>
      <x:c r="L809" s="36" t="n">
        <x:f>IF(Assumptions!$B$4=2030,I809,IF(Assumptions!$B$4=2035,J809,K809))</x:f>
        <x:v>-0.03168564040067767</x:v>
      </x:c>
      <x:c r="M809" s="36" t="n">
        <x:f>Assumptions!$B$19</x:f>
        <x:v>-0.04739891965741583</x:v>
      </x:c>
      <x:c r="N809" s="52" t="n">
        <x:f>H809*L809+(1-H809)*M809+O809</x:f>
        <x:v>-0.0340426322891884</x:v>
      </x:c>
      <x:c r="O809" s="36" t="n">
        <x:f>Assumptions!$B$10</x:f>
        <x:v>0</x:v>
      </x:c>
      <x:c r="P809" s="54" t="n">
        <x:f>E809*(1+N809)</x:f>
        <x:v>109.15318255132172</x:v>
      </x:c>
      <x:c r="Q809" s="54" t="n">
        <x:f>P809-E809</x:f>
        <x:v>-3.84681744867828</x:v>
      </x:c>
      <x:c r="R809" s="16" t="str">
        <x:v>No</x:v>
      </x:c>
      <x:c r="S809" s="56"/>
      <x:c r="T809" s="56"/>
      <x:c r="U809" s="40" t="n">
        <x:f>E809*Assumptions!$B$8</x:f>
        <x:v>96.05</x:v>
      </x:c>
      <x:c r="V809" s="40" t="n">
        <x:f>P809*Assumptions!$B$8</x:f>
        <x:v>92.78020516862345</x:v>
      </x:c>
      <x:c r="W809" s="54" t="n">
        <x:f>V809-U809</x:f>
        <x:v>-3.2697948313765437</x:v>
      </x:c>
      <x:c r="X809" s="58" t="str">
        <x:f>IF(R809="No","",W809*S809)</x:f>
      </x:c>
      <x:c r="Y809" s="58" t="str">
        <x:f>IF(R809="No","",W809*T809*Assumptions!$B$9)</x:f>
      </x:c>
      <x:c r="Z809" s="58" t="str">
        <x:f>IF(R809="No","",X809-Y809)</x:f>
      </x:c>
      <x:c r="AA809" s="58" t="str">
        <x:f>IF(R809="No","",MAX(0,-Z809))</x:f>
      </x:c>
      <x:c r="AB809" s="52" t="str">
        <x:f>IF(OR(R809="No",U809*S809=0),"",AA809/(U809*S809))</x:f>
      </x:c>
      <x:c r="AC809" s="54" t="str">
        <x:f>IF(OR(R809="No",S809-T809*Assumptions!$B$9&lt;=0),"",AA809/(Assumptions!$B$8*(S809-T809*Assumptions!$B$9)))</x:f>
      </x:c>
      <x:c r="AD809" s="52" t="str">
        <x:f>IF(OR(R809="No",U809*S809=0),"",AA809/(U809*S809))</x:f>
      </x:c>
      <x:c r="AE809" s="50" t="str">
        <x:f>IF(R809="No","No finance data",IF(AB809&gt;=10%,"Severe",IF(AB809&gt;=5%,"High",IF(AB809&gt;=2%,"Moderate","Low"))))</x:f>
        <x:v>No finance data</x:v>
      </x:c>
      <x:c r="AF809" s="60"/>
      <x:c r="AG809" s="60"/>
      <x:c r="AH809" s="44" t="str">
        <x:v>Undergraduate tuition-contribution proxy only; not an audited total institutional budget.</x:v>
      </x:c>
    </x:row>
    <x:row r="810">
      <x:c r="A810" s="16" t="n">
        <x:v>174783</x:v>
      </x:c>
      <x:c r="B810" s="16" t="str">
        <x:v>Saint Cloud State University</x:v>
      </x:c>
      <x:c r="C810" s="16" t="str">
        <x:v>MN</x:v>
      </x:c>
      <x:c r="D810" s="16" t="str">
        <x:v>Public</x:v>
      </x:c>
      <x:c r="E810" s="34" t="n">
        <x:v>10610</x:v>
      </x:c>
      <x:c r="F810" s="21" t="n">
        <x:v>0.9432</x:v>
      </x:c>
      <x:c r="G810" s="16" t="str">
        <x:v>Statewide</x:v>
      </x:c>
      <x:c r="H810" s="36" t="n">
        <x:f>IF(G810="National",Assumptions!$B$11,IF(G810="Statewide",Assumptions!$B$12,Assumptions!$B$13))</x:f>
        <x:v>0.6</x:v>
      </x:c>
      <x:c r="I810" s="21" t="n">
        <x:v>-0.04284695181761433</x:v>
      </x:c>
      <x:c r="J810" s="21" t="n">
        <x:v>-0.03168564040067767</x:v>
      </x:c>
      <x:c r="K810" s="21" t="n">
        <x:v>-0.13362363641767971</x:v>
      </x:c>
      <x:c r="L810" s="36" t="n">
        <x:f>IF(Assumptions!$B$4=2030,I810,IF(Assumptions!$B$4=2035,J810,K810))</x:f>
        <x:v>-0.03168564040067767</x:v>
      </x:c>
      <x:c r="M810" s="36" t="n">
        <x:f>Assumptions!$B$19</x:f>
        <x:v>-0.04739891965741583</x:v>
      </x:c>
      <x:c r="N810" s="52" t="n">
        <x:f>H810*L810+(1-H810)*M810+O810</x:f>
        <x:v>-0.03797095210337294</x:v>
      </x:c>
      <x:c r="O810" s="36" t="n">
        <x:f>Assumptions!$B$10</x:f>
        <x:v>0</x:v>
      </x:c>
      <x:c r="P810" s="54" t="n">
        <x:f>E810*(1+N810)</x:f>
        <x:v>10207.128198183213</x:v>
      </x:c>
      <x:c r="Q810" s="54" t="n">
        <x:f>P810-E810</x:f>
        <x:v>-402.8718018167874</x:v>
      </x:c>
      <x:c r="R810" s="16" t="str">
        <x:v>Yes</x:v>
      </x:c>
      <x:c r="S810" s="56" t="n">
        <x:v>6096</x:v>
      </x:c>
      <x:c r="T810" s="56" t="n">
        <x:v>9690</x:v>
      </x:c>
      <x:c r="U810" s="40" t="n">
        <x:f>E810*Assumptions!$B$8</x:f>
        <x:v>9018.5</x:v>
      </x:c>
      <x:c r="V810" s="40" t="n">
        <x:f>P810*Assumptions!$B$8</x:f>
        <x:v>8676.05896845573</x:v>
      </x:c>
      <x:c r="W810" s="54" t="n">
        <x:f>V810-U810</x:f>
        <x:v>-342.4410315442692</x:v>
      </x:c>
      <x:c r="X810" s="58" t="n">
        <x:f>IF(R810="No","",W810*S810)</x:f>
        <x:v>-2087520.528293865</x:v>
      </x:c>
      <x:c r="Y810" s="58" t="n">
        <x:f>IF(R810="No","",W810*T810*Assumptions!$B$9)</x:f>
        <x:v>-995476.0786991905</x:v>
      </x:c>
      <x:c r="Z810" s="58" t="n">
        <x:f>IF(R810="No","",X810-Y810)</x:f>
        <x:v>-1092044.4495946746</x:v>
      </x:c>
      <x:c r="AA810" s="58" t="n">
        <x:f>IF(R810="No","",MAX(0,-Z810))</x:f>
        <x:v>1092044.4495946746</x:v>
      </x:c>
      <x:c r="AB810" s="52" t="n">
        <x:f>IF(OR(R810="No",U810*S810=0),"",AA810/(U810*S810))</x:f>
        <x:v>0.01986374118399876</x:v>
      </x:c>
      <x:c r="AC810" s="54" t="n">
        <x:f>IF(OR(R810="No",S810-T810*Assumptions!$B$9&lt;=0),"",AA810/(Assumptions!$B$8*(S810-T810*Assumptions!$B$9)))</x:f>
        <x:v>402.87180181678735</x:v>
      </x:c>
      <x:c r="AD810" s="52" t="n">
        <x:f>IF(OR(R810="No",U810*S810=0),"",AA810/(U810*S810))</x:f>
        <x:v>0.01986374118399876</x:v>
      </x:c>
      <x:c r="AE810" s="50" t="str">
        <x:f>IF(R810="No","No finance data",IF(AB810&gt;=10%,"Severe",IF(AB810&gt;=5%,"High",IF(AB810&gt;=2%,"Moderate","Low"))))</x:f>
        <x:v>Low</x:v>
      </x:c>
      <x:c r="AF810" s="60" t="n">
        <x:v>45.553227</x:v>
      </x:c>
      <x:c r="AG810" s="60" t="n">
        <x:v>-94.152657</x:v>
      </x:c>
      <x:c r="AH810" s="44" t="str">
        <x:v>Undergraduate tuition-contribution proxy only; not an audited total institutional budget.</x:v>
      </x:c>
    </x:row>
    <x:row r="811">
      <x:c r="A811" s="16" t="n">
        <x:v>174792</x:v>
      </x:c>
      <x:c r="B811" s="16" t="str">
        <x:v>Saint Johns University</x:v>
      </x:c>
      <x:c r="C811" s="16" t="str">
        <x:v>MN</x:v>
      </x:c>
      <x:c r="D811" s="16" t="str">
        <x:v>Private nonprofit</x:v>
      </x:c>
      <x:c r="E811" s="34" t="n">
        <x:v>1742</x:v>
      </x:c>
      <x:c r="F811" s="21" t="n">
        <x:v>0.8865</x:v>
      </x:c>
      <x:c r="G811" s="16" t="str">
        <x:v>Regional</x:v>
      </x:c>
      <x:c r="H811" s="36" t="n">
        <x:f>IF(G811="National",Assumptions!$B$11,IF(G811="Statewide",Assumptions!$B$12,Assumptions!$B$13))</x:f>
        <x:v>0.85</x:v>
      </x:c>
      <x:c r="I811" s="21" t="n">
        <x:v>-0.04284695181761433</x:v>
      </x:c>
      <x:c r="J811" s="21" t="n">
        <x:v>-0.03168564040067767</x:v>
      </x:c>
      <x:c r="K811" s="21" t="n">
        <x:v>-0.13362363641767971</x:v>
      </x:c>
      <x:c r="L811" s="36" t="n">
        <x:f>IF(Assumptions!$B$4=2030,I811,IF(Assumptions!$B$4=2035,J811,K811))</x:f>
        <x:v>-0.03168564040067767</x:v>
      </x:c>
      <x:c r="M811" s="36" t="n">
        <x:f>Assumptions!$B$19</x:f>
        <x:v>-0.04739891965741583</x:v>
      </x:c>
      <x:c r="N811" s="52" t="n">
        <x:f>H811*L811+(1-H811)*M811+O811</x:f>
        <x:v>-0.0340426322891884</x:v>
      </x:c>
      <x:c r="O811" s="36" t="n">
        <x:f>Assumptions!$B$10</x:f>
        <x:v>0</x:v>
      </x:c>
      <x:c r="P811" s="54" t="n">
        <x:f>E811*(1+N811)</x:f>
        <x:v>1682.697734552234</x:v>
      </x:c>
      <x:c r="Q811" s="54" t="n">
        <x:f>P811-E811</x:f>
        <x:v>-59.3022654477661</x:v>
      </x:c>
      <x:c r="R811" s="16" t="str">
        <x:v>Yes</x:v>
      </x:c>
      <x:c r="S811" s="56" t="n">
        <x:v>17734</x:v>
      </x:c>
      <x:c r="T811" s="56" t="n">
        <x:v>12684</x:v>
      </x:c>
      <x:c r="U811" s="40" t="n">
        <x:f>E811*Assumptions!$B$8</x:f>
        <x:v>1480.7</x:v>
      </x:c>
      <x:c r="V811" s="40" t="n">
        <x:f>P811*Assumptions!$B$8</x:f>
        <x:v>1430.2930743693987</x:v>
      </x:c>
      <x:c r="W811" s="54" t="n">
        <x:f>V811-U811</x:f>
        <x:v>-50.406925630601336</x:v>
      </x:c>
      <x:c r="X811" s="58" t="n">
        <x:f>IF(R811="No","",W811*S811)</x:f>
        <x:v>-893916.4191330841</x:v>
      </x:c>
      <x:c r="Y811" s="58" t="n">
        <x:f>IF(R811="No","",W811*T811*Assumptions!$B$9)</x:f>
        <x:v>-191808.4334095642</x:v>
      </x:c>
      <x:c r="Z811" s="58" t="n">
        <x:f>IF(R811="No","",X811-Y811)</x:f>
        <x:v>-702107.9857235199</x:v>
      </x:c>
      <x:c r="AA811" s="58" t="n">
        <x:f>IF(R811="No","",MAX(0,-Z811))</x:f>
        <x:v>702107.9857235199</x:v>
      </x:c>
      <x:c r="AB811" s="52" t="n">
        <x:f>IF(OR(R811="No",U811*S811=0),"",AA811/(U811*S811))</x:f>
        <x:v>0.026738074694352548</x:v>
      </x:c>
      <x:c r="AC811" s="54" t="n">
        <x:f>IF(OR(R811="No",S811-T811*Assumptions!$B$9&lt;=0),"",AA811/(Assumptions!$B$8*(S811-T811*Assumptions!$B$9)))</x:f>
        <x:v>59.30226544776628</x:v>
      </x:c>
      <x:c r="AD811" s="52" t="n">
        <x:f>IF(OR(R811="No",U811*S811=0),"",AA811/(U811*S811))</x:f>
        <x:v>0.026738074694352548</x:v>
      </x:c>
      <x:c r="AE811" s="50" t="str">
        <x:f>IF(R811="No","No finance data",IF(AB811&gt;=10%,"Severe",IF(AB811&gt;=5%,"High",IF(AB811&gt;=2%,"Moderate","Low"))))</x:f>
        <x:v>Moderate</x:v>
      </x:c>
      <x:c r="AF811" s="60" t="n">
        <x:v>45.580075</x:v>
      </x:c>
      <x:c r="AG811" s="60" t="n">
        <x:v>-94.393621</x:v>
      </x:c>
      <x:c r="AH811" s="44" t="str">
        <x:v>Undergraduate tuition-contribution proxy only; not an audited total institutional budget.</x:v>
      </x:c>
    </x:row>
    <x:row r="812">
      <x:c r="A812" s="16" t="n">
        <x:v>174817</x:v>
      </x:c>
      <x:c r="B812" s="16" t="str">
        <x:v>Saint Mary's University of Minnesota</x:v>
      </x:c>
      <x:c r="C812" s="16" t="str">
        <x:v>MN</x:v>
      </x:c>
      <x:c r="D812" s="16" t="str">
        <x:v>Private nonprofit</x:v>
      </x:c>
      <x:c r="E812" s="34" t="n">
        <x:v>1719</x:v>
      </x:c>
      <x:c r="F812" s="21" t="n">
        <x:v>0.9779</x:v>
      </x:c>
      <x:c r="G812" s="16" t="str">
        <x:v>Regional</x:v>
      </x:c>
      <x:c r="H812" s="36" t="n">
        <x:f>IF(G812="National",Assumptions!$B$11,IF(G812="Statewide",Assumptions!$B$12,Assumptions!$B$13))</x:f>
        <x:v>0.85</x:v>
      </x:c>
      <x:c r="I812" s="21" t="n">
        <x:v>-0.04284695181761433</x:v>
      </x:c>
      <x:c r="J812" s="21" t="n">
        <x:v>-0.03168564040067767</x:v>
      </x:c>
      <x:c r="K812" s="21" t="n">
        <x:v>-0.13362363641767971</x:v>
      </x:c>
      <x:c r="L812" s="36" t="n">
        <x:f>IF(Assumptions!$B$4=2030,I812,IF(Assumptions!$B$4=2035,J812,K812))</x:f>
        <x:v>-0.03168564040067767</x:v>
      </x:c>
      <x:c r="M812" s="36" t="n">
        <x:f>Assumptions!$B$19</x:f>
        <x:v>-0.04739891965741583</x:v>
      </x:c>
      <x:c r="N812" s="52" t="n">
        <x:f>H812*L812+(1-H812)*M812+O812</x:f>
        <x:v>-0.0340426322891884</x:v>
      </x:c>
      <x:c r="O812" s="36" t="n">
        <x:f>Assumptions!$B$10</x:f>
        <x:v>0</x:v>
      </x:c>
      <x:c r="P812" s="54" t="n">
        <x:f>E812*(1+N812)</x:f>
        <x:v>1660.4807150948852</x:v>
      </x:c>
      <x:c r="Q812" s="54" t="n">
        <x:f>P812-E812</x:f>
        <x:v>-58.51928490511477</x:v>
      </x:c>
      <x:c r="R812" s="16" t="str">
        <x:v>Yes</x:v>
      </x:c>
      <x:c r="S812" s="56" t="n">
        <x:v>14079</x:v>
      </x:c>
      <x:c r="T812" s="56" t="n">
        <x:v>7389</x:v>
      </x:c>
      <x:c r="U812" s="40" t="n">
        <x:f>E812*Assumptions!$B$8</x:f>
        <x:v>1461.1499999999999</x:v>
      </x:c>
      <x:c r="V812" s="40" t="n">
        <x:f>P812*Assumptions!$B$8</x:f>
        <x:v>1411.4086078306525</x:v>
      </x:c>
      <x:c r="W812" s="54" t="n">
        <x:f>V812-U812</x:f>
        <x:v>-49.741392169347364</x:v>
      </x:c>
      <x:c r="X812" s="58" t="n">
        <x:f>IF(R812="No","",W812*S812)</x:f>
        <x:v>-700309.0603522415</x:v>
      </x:c>
      <x:c r="Y812" s="58" t="n">
        <x:f>IF(R812="No","",W812*T812*Assumptions!$B$9)</x:f>
        <x:v>-110261.7440217923</x:v>
      </x:c>
      <x:c r="Z812" s="58" t="n">
        <x:f>IF(R812="No","",X812-Y812)</x:f>
        <x:v>-590047.3163304492</x:v>
      </x:c>
      <x:c r="AA812" s="58" t="n">
        <x:f>IF(R812="No","",MAX(0,-Z812))</x:f>
        <x:v>590047.3163304492</x:v>
      </x:c>
      <x:c r="AB812" s="52" t="n">
        <x:f>IF(OR(R812="No",U812*S812=0),"",AA812/(U812*S812))</x:f>
        <x:v>0.02868271304808846</x:v>
      </x:c>
      <x:c r="AC812" s="54" t="n">
        <x:f>IF(OR(R812="No",S812-T812*Assumptions!$B$9&lt;=0),"",AA812/(Assumptions!$B$8*(S812-T812*Assumptions!$B$9)))</x:f>
        <x:v>58.51928490511454</x:v>
      </x:c>
      <x:c r="AD812" s="52" t="n">
        <x:f>IF(OR(R812="No",U812*S812=0),"",AA812/(U812*S812))</x:f>
        <x:v>0.02868271304808846</x:v>
      </x:c>
      <x:c r="AE812" s="50" t="str">
        <x:f>IF(R812="No","No finance data",IF(AB812&gt;=10%,"Severe",IF(AB812&gt;=5%,"High",IF(AB812&gt;=2%,"Moderate","Low"))))</x:f>
        <x:v>Moderate</x:v>
      </x:c>
      <x:c r="AF812" s="60" t="n">
        <x:v>44.044736</x:v>
      </x:c>
      <x:c r="AG812" s="60" t="n">
        <x:v>-91.695449</x:v>
      </x:c>
      <x:c r="AH812" s="44" t="str">
        <x:v>Undergraduate tuition-contribution proxy only; not an audited total institutional budget.</x:v>
      </x:c>
    </x:row>
    <x:row r="813">
      <x:c r="A813" s="16" t="n">
        <x:v>175078</x:v>
      </x:c>
      <x:c r="B813" s="16" t="str">
        <x:v>Southwest Minnesota State University</x:v>
      </x:c>
      <x:c r="C813" s="16" t="str">
        <x:v>MN</x:v>
      </x:c>
      <x:c r="D813" s="16" t="str">
        <x:v>Public</x:v>
      </x:c>
      <x:c r="E813" s="34" t="n">
        <x:v>2300</x:v>
      </x:c>
      <x:c r="F813" s="21" t="n">
        <x:v>0.9103</x:v>
      </x:c>
      <x:c r="G813" s="16" t="str">
        <x:v>Regional</x:v>
      </x:c>
      <x:c r="H813" s="36" t="n">
        <x:f>IF(G813="National",Assumptions!$B$11,IF(G813="Statewide",Assumptions!$B$12,Assumptions!$B$13))</x:f>
        <x:v>0.85</x:v>
      </x:c>
      <x:c r="I813" s="21" t="n">
        <x:v>-0.04284695181761433</x:v>
      </x:c>
      <x:c r="J813" s="21" t="n">
        <x:v>-0.03168564040067767</x:v>
      </x:c>
      <x:c r="K813" s="21" t="n">
        <x:v>-0.13362363641767971</x:v>
      </x:c>
      <x:c r="L813" s="36" t="n">
        <x:f>IF(Assumptions!$B$4=2030,I813,IF(Assumptions!$B$4=2035,J813,K813))</x:f>
        <x:v>-0.03168564040067767</x:v>
      </x:c>
      <x:c r="M813" s="36" t="n">
        <x:f>Assumptions!$B$19</x:f>
        <x:v>-0.04739891965741583</x:v>
      </x:c>
      <x:c r="N813" s="52" t="n">
        <x:f>H813*L813+(1-H813)*M813+O813</x:f>
        <x:v>-0.0340426322891884</x:v>
      </x:c>
      <x:c r="O813" s="36" t="n">
        <x:f>Assumptions!$B$10</x:f>
        <x:v>0</x:v>
      </x:c>
      <x:c r="P813" s="54" t="n">
        <x:f>E813*(1+N813)</x:f>
        <x:v>2221.701945734867</x:v>
      </x:c>
      <x:c r="Q813" s="54" t="n">
        <x:f>P813-E813</x:f>
        <x:v>-78.29805426513303</x:v>
      </x:c>
      <x:c r="R813" s="16" t="str">
        <x:v>Yes</x:v>
      </x:c>
      <x:c r="S813" s="56" t="n">
        <x:v>3968</x:v>
      </x:c>
      <x:c r="T813" s="56" t="n">
        <x:v>6314</x:v>
      </x:c>
      <x:c r="U813" s="40" t="n">
        <x:f>E813*Assumptions!$B$8</x:f>
        <x:v>1955</x:v>
      </x:c>
      <x:c r="V813" s="40" t="n">
        <x:f>P813*Assumptions!$B$8</x:f>
        <x:v>1888.446653874637</x:v>
      </x:c>
      <x:c r="W813" s="54" t="n">
        <x:f>V813-U813</x:f>
        <x:v>-66.55334612536308</x:v>
      </x:c>
      <x:c r="X813" s="58" t="n">
        <x:f>IF(R813="No","",W813*S813)</x:f>
        <x:v>-264083.6774254407</x:v>
      </x:c>
      <x:c r="Y813" s="58" t="n">
        <x:f>IF(R813="No","",W813*T813*Assumptions!$B$9)</x:f>
        <x:v>-126065.34823066274</x:v>
      </x:c>
      <x:c r="Z813" s="58" t="n">
        <x:f>IF(R813="No","",X813-Y813)</x:f>
        <x:v>-138018.32919477794</x:v>
      </x:c>
      <x:c r="AA813" s="58" t="n">
        <x:f>IF(R813="No","",MAX(0,-Z813))</x:f>
        <x:v>138018.32919477794</x:v>
      </x:c>
      <x:c r="AB813" s="52" t="n">
        <x:f>IF(OR(R813="No",U813*S813=0),"",AA813/(U813*S813))</x:f>
        <x:v>0.0177917366031549</x:v>
      </x:c>
      <x:c r="AC813" s="54" t="n">
        <x:f>IF(OR(R813="No",S813-T813*Assumptions!$B$9&lt;=0),"",AA813/(Assumptions!$B$8*(S813-T813*Assumptions!$B$9)))</x:f>
        <x:v>78.29805426513302</x:v>
      </x:c>
      <x:c r="AD813" s="52" t="n">
        <x:f>IF(OR(R813="No",U813*S813=0),"",AA813/(U813*S813))</x:f>
        <x:v>0.0177917366031549</x:v>
      </x:c>
      <x:c r="AE813" s="50" t="str">
        <x:f>IF(R813="No","No finance data",IF(AB813&gt;=10%,"Severe",IF(AB813&gt;=5%,"High",IF(AB813&gt;=2%,"Moderate","Low"))))</x:f>
        <x:v>Low</x:v>
      </x:c>
      <x:c r="AF813" s="60" t="n">
        <x:v>44.45373</x:v>
      </x:c>
      <x:c r="AG813" s="60" t="n">
        <x:v>-95.759548</x:v>
      </x:c>
      <x:c r="AH813" s="44" t="str">
        <x:v>Undergraduate tuition-contribution proxy only; not an audited total institutional budget.</x:v>
      </x:c>
    </x:row>
    <x:row r="814">
      <x:c r="A814" s="16" t="n">
        <x:v>175005</x:v>
      </x:c>
      <x:c r="B814" s="16" t="str">
        <x:v>St Catherine University</x:v>
      </x:c>
      <x:c r="C814" s="16" t="str">
        <x:v>MN</x:v>
      </x:c>
      <x:c r="D814" s="16" t="str">
        <x:v>Private nonprofit</x:v>
      </x:c>
      <x:c r="E814" s="34" t="n">
        <x:v>3265</x:v>
      </x:c>
      <x:c r="F814" s="21" t="n">
        <x:v>0.7489</x:v>
      </x:c>
      <x:c r="G814" s="16" t="str">
        <x:v>Regional</x:v>
      </x:c>
      <x:c r="H814" s="36" t="n">
        <x:f>IF(G814="National",Assumptions!$B$11,IF(G814="Statewide",Assumptions!$B$12,Assumptions!$B$13))</x:f>
        <x:v>0.85</x:v>
      </x:c>
      <x:c r="I814" s="21" t="n">
        <x:v>-0.04284695181761433</x:v>
      </x:c>
      <x:c r="J814" s="21" t="n">
        <x:v>-0.03168564040067767</x:v>
      </x:c>
      <x:c r="K814" s="21" t="n">
        <x:v>-0.13362363641767971</x:v>
      </x:c>
      <x:c r="L814" s="36" t="n">
        <x:f>IF(Assumptions!$B$4=2030,I814,IF(Assumptions!$B$4=2035,J814,K814))</x:f>
        <x:v>-0.03168564040067767</x:v>
      </x:c>
      <x:c r="M814" s="36" t="n">
        <x:f>Assumptions!$B$19</x:f>
        <x:v>-0.04739891965741583</x:v>
      </x:c>
      <x:c r="N814" s="52" t="n">
        <x:f>H814*L814+(1-H814)*M814+O814</x:f>
        <x:v>-0.0340426322891884</x:v>
      </x:c>
      <x:c r="O814" s="36" t="n">
        <x:f>Assumptions!$B$10</x:f>
        <x:v>0</x:v>
      </x:c>
      <x:c r="P814" s="54" t="n">
        <x:f>E814*(1+N814)</x:f>
        <x:v>3153.8508055758</x:v>
      </x:c>
      <x:c r="Q814" s="54" t="n">
        <x:f>P814-E814</x:f>
        <x:v>-111.14919442419978</x:v>
      </x:c>
      <x:c r="R814" s="16" t="str">
        <x:v>Yes</x:v>
      </x:c>
      <x:c r="S814" s="56" t="n">
        <x:v>19246</x:v>
      </x:c>
      <x:c r="T814" s="56" t="n">
        <x:v>11362</x:v>
      </x:c>
      <x:c r="U814" s="40" t="n">
        <x:f>E814*Assumptions!$B$8</x:f>
        <x:v>2775.25</x:v>
      </x:c>
      <x:c r="V814" s="40" t="n">
        <x:f>P814*Assumptions!$B$8</x:f>
        <x:v>2680.7731847394302</x:v>
      </x:c>
      <x:c r="W814" s="54" t="n">
        <x:f>V814-U814</x:f>
        <x:v>-94.47681526056977</x:v>
      </x:c>
      <x:c r="X814" s="58" t="n">
        <x:f>IF(R814="No","",W814*S814)</x:f>
        <x:v>-1818300.7865049257</x:v>
      </x:c>
      <x:c r="Y814" s="58" t="n">
        <x:f>IF(R814="No","",W814*T814*Assumptions!$B$9)</x:f>
        <x:v>-322033.6724971781</x:v>
      </x:c>
      <x:c r="Z814" s="58" t="n">
        <x:f>IF(R814="No","",X814-Y814)</x:f>
        <x:v>-1496267.1140077477</x:v>
      </x:c>
      <x:c r="AA814" s="58" t="n">
        <x:f>IF(R814="No","",MAX(0,-Z814))</x:f>
        <x:v>1496267.1140077477</x:v>
      </x:c>
      <x:c r="AB814" s="52" t="n">
        <x:f>IF(OR(R814="No",U814*S814=0),"",AA814/(U814*S814))</x:f>
        <x:v>0.02801344615072173</x:v>
      </x:c>
      <x:c r="AC814" s="54" t="n">
        <x:f>IF(OR(R814="No",S814-T814*Assumptions!$B$9&lt;=0),"",AA814/(Assumptions!$B$8*(S814-T814*Assumptions!$B$9)))</x:f>
        <x:v>111.14919442419973</x:v>
      </x:c>
      <x:c r="AD814" s="52" t="n">
        <x:f>IF(OR(R814="No",U814*S814=0),"",AA814/(U814*S814))</x:f>
        <x:v>0.02801344615072173</x:v>
      </x:c>
      <x:c r="AE814" s="50" t="str">
        <x:f>IF(R814="No","No finance data",IF(AB814&gt;=10%,"Severe",IF(AB814&gt;=5%,"High",IF(AB814&gt;=2%,"Moderate","Low"))))</x:f>
        <x:v>Moderate</x:v>
      </x:c>
      <x:c r="AF814" s="60" t="n">
        <x:v>44.924926</x:v>
      </x:c>
      <x:c r="AG814" s="60" t="n">
        <x:v>-93.183761</x:v>
      </x:c>
      <x:c r="AH814" s="44" t="str">
        <x:v>Undergraduate tuition-contribution proxy only; not an audited total institutional budget.</x:v>
      </x:c>
    </x:row>
    <x:row r="815">
      <x:c r="A815" s="16" t="n">
        <x:v>174844</x:v>
      </x:c>
      <x:c r="B815" s="16" t="str">
        <x:v>St Olaf College</x:v>
      </x:c>
      <x:c r="C815" s="16" t="str">
        <x:v>MN</x:v>
      </x:c>
      <x:c r="D815" s="16" t="str">
        <x:v>Private nonprofit</x:v>
      </x:c>
      <x:c r="E815" s="34" t="n">
        <x:v>3005</x:v>
      </x:c>
      <x:c r="F815" s="21" t="n">
        <x:v>0.4743</x:v>
      </x:c>
      <x:c r="G815" s="16" t="str">
        <x:v>Regional</x:v>
      </x:c>
      <x:c r="H815" s="36" t="n">
        <x:f>IF(G815="National",Assumptions!$B$11,IF(G815="Statewide",Assumptions!$B$12,Assumptions!$B$13))</x:f>
        <x:v>0.85</x:v>
      </x:c>
      <x:c r="I815" s="21" t="n">
        <x:v>-0.04284695181761433</x:v>
      </x:c>
      <x:c r="J815" s="21" t="n">
        <x:v>-0.03168564040067767</x:v>
      </x:c>
      <x:c r="K815" s="21" t="n">
        <x:v>-0.13362363641767971</x:v>
      </x:c>
      <x:c r="L815" s="36" t="n">
        <x:f>IF(Assumptions!$B$4=2030,I815,IF(Assumptions!$B$4=2035,J815,K815))</x:f>
        <x:v>-0.03168564040067767</x:v>
      </x:c>
      <x:c r="M815" s="36" t="n">
        <x:f>Assumptions!$B$19</x:f>
        <x:v>-0.04739891965741583</x:v>
      </x:c>
      <x:c r="N815" s="52" t="n">
        <x:f>H815*L815+(1-H815)*M815+O815</x:f>
        <x:v>-0.0340426322891884</x:v>
      </x:c>
      <x:c r="O815" s="36" t="n">
        <x:f>Assumptions!$B$10</x:f>
        <x:v>0</x:v>
      </x:c>
      <x:c r="P815" s="54" t="n">
        <x:f>E815*(1+N815)</x:f>
        <x:v>2902.701889970989</x:v>
      </x:c>
      <x:c r="Q815" s="54" t="n">
        <x:f>P815-E815</x:f>
        <x:v>-102.29811002901079</x:v>
      </x:c>
      <x:c r="R815" s="16" t="str">
        <x:v>Yes</x:v>
      </x:c>
      <x:c r="S815" s="56" t="n">
        <x:v>18756</x:v>
      </x:c>
      <x:c r="T815" s="56" t="n">
        <x:v>16136</x:v>
      </x:c>
      <x:c r="U815" s="40" t="n">
        <x:f>E815*Assumptions!$B$8</x:f>
        <x:v>2554.25</x:v>
      </x:c>
      <x:c r="V815" s="40" t="n">
        <x:f>P815*Assumptions!$B$8</x:f>
        <x:v>2467.296606475341</x:v>
      </x:c>
      <x:c r="W815" s="54" t="n">
        <x:f>V815-U815</x:f>
        <x:v>-86.95339352465908</x:v>
      </x:c>
      <x:c r="X815" s="58" t="n">
        <x:f>IF(R815="No","",W815*S815)</x:f>
        <x:v>-1630897.8489485057</x:v>
      </x:c>
      <x:c r="Y815" s="58" t="n">
        <x:f>IF(R815="No","",W815*T815*Assumptions!$B$9)</x:f>
        <x:v>-420923.98737416964</x:v>
      </x:c>
      <x:c r="Z815" s="58" t="n">
        <x:f>IF(R815="No","",X815-Y815)</x:f>
        <x:v>-1209973.861574336</x:v>
      </x:c>
      <x:c r="AA815" s="58" t="n">
        <x:f>IF(R815="No","",MAX(0,-Z815))</x:f>
        <x:v>1209973.861574336</x:v>
      </x:c>
      <x:c r="AB815" s="52" t="n">
        <x:f>IF(OR(R815="No",U815*S815=0),"",AA815/(U815*S815))</x:f>
        <x:v>0.02525645323259289</x:v>
      </x:c>
      <x:c r="AC815" s="54" t="n">
        <x:f>IF(OR(R815="No",S815-T815*Assumptions!$B$9&lt;=0),"",AA815/(Assumptions!$B$8*(S815-T815*Assumptions!$B$9)))</x:f>
        <x:v>102.29811002901067</x:v>
      </x:c>
      <x:c r="AD815" s="52" t="n">
        <x:f>IF(OR(R815="No",U815*S815=0),"",AA815/(U815*S815))</x:f>
        <x:v>0.02525645323259289</x:v>
      </x:c>
      <x:c r="AE815" s="50" t="str">
        <x:f>IF(R815="No","No finance data",IF(AB815&gt;=10%,"Severe",IF(AB815&gt;=5%,"High",IF(AB815&gt;=2%,"Moderate","Low"))))</x:f>
        <x:v>Moderate</x:v>
      </x:c>
      <x:c r="AF815" s="60" t="n">
        <x:v>44.461529</x:v>
      </x:c>
      <x:c r="AG815" s="60" t="n">
        <x:v>-93.182039</x:v>
      </x:c>
      <x:c r="AH815" s="44" t="str">
        <x:v>Undergraduate tuition-contribution proxy only; not an audited total institutional budget.</x:v>
      </x:c>
    </x:row>
    <x:row r="816">
      <x:c r="A816" s="16" t="n">
        <x:v>174899</x:v>
      </x:c>
      <x:c r="B816" s="16" t="str">
        <x:v>The College of Saint Scholastica</x:v>
      </x:c>
      <x:c r="C816" s="16" t="str">
        <x:v>MN</x:v>
      </x:c>
      <x:c r="D816" s="16" t="str">
        <x:v>Private nonprofit</x:v>
      </x:c>
      <x:c r="E816" s="34" t="n">
        <x:v>2757</x:v>
      </x:c>
      <x:c r="F816" s="21" t="n">
        <x:v>0.7369</x:v>
      </x:c>
      <x:c r="G816" s="16" t="str">
        <x:v>Regional</x:v>
      </x:c>
      <x:c r="H816" s="36" t="n">
        <x:f>IF(G816="National",Assumptions!$B$11,IF(G816="Statewide",Assumptions!$B$12,Assumptions!$B$13))</x:f>
        <x:v>0.85</x:v>
      </x:c>
      <x:c r="I816" s="21" t="n">
        <x:v>-0.04284695181761433</x:v>
      </x:c>
      <x:c r="J816" s="21" t="n">
        <x:v>-0.03168564040067767</x:v>
      </x:c>
      <x:c r="K816" s="21" t="n">
        <x:v>-0.13362363641767971</x:v>
      </x:c>
      <x:c r="L816" s="36" t="n">
        <x:f>IF(Assumptions!$B$4=2030,I816,IF(Assumptions!$B$4=2035,J816,K816))</x:f>
        <x:v>-0.03168564040067767</x:v>
      </x:c>
      <x:c r="M816" s="36" t="n">
        <x:f>Assumptions!$B$19</x:f>
        <x:v>-0.04739891965741583</x:v>
      </x:c>
      <x:c r="N816" s="52" t="n">
        <x:f>H816*L816+(1-H816)*M816+O816</x:f>
        <x:v>-0.0340426322891884</x:v>
      </x:c>
      <x:c r="O816" s="36" t="n">
        <x:f>Assumptions!$B$10</x:f>
        <x:v>0</x:v>
      </x:c>
      <x:c r="P816" s="54" t="n">
        <x:f>E816*(1+N816)</x:f>
        <x:v>2663.1444627787077</x:v>
      </x:c>
      <x:c r="Q816" s="54" t="n">
        <x:f>P816-E816</x:f>
        <x:v>-93.85553722129225</x:v>
      </x:c>
      <x:c r="R816" s="16" t="str">
        <x:v>Yes</x:v>
      </x:c>
      <x:c r="S816" s="56" t="n">
        <x:v>14698</x:v>
      </x:c>
      <x:c r="T816" s="56" t="n">
        <x:v>8925</x:v>
      </x:c>
      <x:c r="U816" s="40" t="n">
        <x:f>E816*Assumptions!$B$8</x:f>
        <x:v>2343.45</x:v>
      </x:c>
      <x:c r="V816" s="40" t="n">
        <x:f>P816*Assumptions!$B$8</x:f>
        <x:v>2263.6727933619013</x:v>
      </x:c>
      <x:c r="W816" s="54" t="n">
        <x:f>V816-U816</x:f>
        <x:v>-79.7772066380985</x:v>
      </x:c>
      <x:c r="X816" s="58" t="n">
        <x:f>IF(R816="No","",W816*S816)</x:f>
        <x:v>-1172565.3831667718</x:v>
      </x:c>
      <x:c r="Y816" s="58" t="n">
        <x:f>IF(R816="No","",W816*T816*Assumptions!$B$9)</x:f>
        <x:v>-213603.47077350874</x:v>
      </x:c>
      <x:c r="Z816" s="58" t="n">
        <x:f>IF(R816="No","",X816-Y816)</x:f>
        <x:v>-958961.9123932631</x:v>
      </x:c>
      <x:c r="AA816" s="58" t="n">
        <x:f>IF(R816="No","",MAX(0,-Z816))</x:f>
        <x:v>958961.9123932631</x:v>
      </x:c>
      <x:c r="AB816" s="52" t="n">
        <x:f>IF(OR(R816="No",U816*S816=0),"",AA816/(U816*S816))</x:f>
        <x:v>0.027841166242494827</x:v>
      </x:c>
      <x:c r="AC816" s="54" t="n">
        <x:f>IF(OR(R816="No",S816-T816*Assumptions!$B$9&lt;=0),"",AA816/(Assumptions!$B$8*(S816-T816*Assumptions!$B$9)))</x:f>
        <x:v>93.85553722129237</x:v>
      </x:c>
      <x:c r="AD816" s="52" t="n">
        <x:f>IF(OR(R816="No",U816*S816=0),"",AA816/(U816*S816))</x:f>
        <x:v>0.027841166242494827</x:v>
      </x:c>
      <x:c r="AE816" s="50" t="str">
        <x:f>IF(R816="No","No finance data",IF(AB816&gt;=10%,"Severe",IF(AB816&gt;=5%,"High",IF(AB816&gt;=2%,"Moderate","Low"))))</x:f>
        <x:v>Moderate</x:v>
      </x:c>
      <x:c r="AF816" s="60" t="n">
        <x:v>46.816082</x:v>
      </x:c>
      <x:c r="AG816" s="60" t="n">
        <x:v>-92.106134</x:v>
      </x:c>
      <x:c r="AH816" s="44" t="str">
        <x:v>Undergraduate tuition-contribution proxy only; not an audited total institutional budget.</x:v>
      </x:c>
    </x:row>
    <x:row r="817">
      <x:c r="A817" s="16" t="n">
        <x:v>174075</x:v>
      </x:c>
      <x:c r="B817" s="16" t="str">
        <x:v>University of Minnesota-Crookston</x:v>
      </x:c>
      <x:c r="C817" s="16" t="str">
        <x:v>MN</x:v>
      </x:c>
      <x:c r="D817" s="16" t="str">
        <x:v>Public</x:v>
      </x:c>
      <x:c r="E817" s="34" t="n">
        <x:v>1874</x:v>
      </x:c>
      <x:c r="F817" s="21" t="n">
        <x:v>0.4816</x:v>
      </x:c>
      <x:c r="G817" s="16" t="str">
        <x:v>Regional</x:v>
      </x:c>
      <x:c r="H817" s="36" t="n">
        <x:f>IF(G817="National",Assumptions!$B$11,IF(G817="Statewide",Assumptions!$B$12,Assumptions!$B$13))</x:f>
        <x:v>0.85</x:v>
      </x:c>
      <x:c r="I817" s="21" t="n">
        <x:v>-0.04284695181761433</x:v>
      </x:c>
      <x:c r="J817" s="21" t="n">
        <x:v>-0.03168564040067767</x:v>
      </x:c>
      <x:c r="K817" s="21" t="n">
        <x:v>-0.13362363641767971</x:v>
      </x:c>
      <x:c r="L817" s="36" t="n">
        <x:f>IF(Assumptions!$B$4=2030,I817,IF(Assumptions!$B$4=2035,J817,K817))</x:f>
        <x:v>-0.03168564040067767</x:v>
      </x:c>
      <x:c r="M817" s="36" t="n">
        <x:f>Assumptions!$B$19</x:f>
        <x:v>-0.04739891965741583</x:v>
      </x:c>
      <x:c r="N817" s="52" t="n">
        <x:f>H817*L817+(1-H817)*M817+O817</x:f>
        <x:v>-0.0340426322891884</x:v>
      </x:c>
      <x:c r="O817" s="36" t="n">
        <x:f>Assumptions!$B$10</x:f>
        <x:v>0</x:v>
      </x:c>
      <x:c r="P817" s="54" t="n">
        <x:f>E817*(1+N817)</x:f>
        <x:v>1810.204107090061</x:v>
      </x:c>
      <x:c r="Q817" s="54" t="n">
        <x:f>P817-E817</x:f>
        <x:v>-63.795892909939084</x:v>
      </x:c>
      <x:c r="R817" s="16" t="str">
        <x:v>Yes</x:v>
      </x:c>
      <x:c r="S817" s="56" t="n">
        <x:v>6498</x:v>
      </x:c>
      <x:c r="T817" s="56" t="n">
        <x:v>7185</x:v>
      </x:c>
      <x:c r="U817" s="40" t="n">
        <x:f>E817*Assumptions!$B$8</x:f>
        <x:v>1592.8999999999999</x:v>
      </x:c>
      <x:c r="V817" s="40" t="n">
        <x:f>P817*Assumptions!$B$8</x:f>
        <x:v>1538.6734910265518</x:v>
      </x:c>
      <x:c r="W817" s="54" t="n">
        <x:f>V817-U817</x:f>
        <x:v>-54.22650897344806</x:v>
      </x:c>
      <x:c r="X817" s="58" t="n">
        <x:f>IF(R817="No","",W817*S817)</x:f>
        <x:v>-352363.8553094655</x:v>
      </x:c>
      <x:c r="Y817" s="58" t="n">
        <x:f>IF(R817="No","",W817*T817*Assumptions!$B$9)</x:f>
        <x:v>-116885.2400922673</x:v>
      </x:c>
      <x:c r="Z817" s="58" t="n">
        <x:f>IF(R817="No","",X817-Y817)</x:f>
        <x:v>-235478.6152171982</x:v>
      </x:c>
      <x:c r="AA817" s="58" t="n">
        <x:f>IF(R817="No","",MAX(0,-Z817))</x:f>
        <x:v>235478.6152171982</x:v>
      </x:c>
      <x:c r="AB817" s="52" t="n">
        <x:f>IF(OR(R817="No",U817*S817=0),"",AA817/(U817*S817))</x:f>
        <x:v>0.022750097063065598</x:v>
      </x:c>
      <x:c r="AC817" s="54" t="n">
        <x:f>IF(OR(R817="No",S817-T817*Assumptions!$B$9&lt;=0),"",AA817/(Assumptions!$B$8*(S817-T817*Assumptions!$B$9)))</x:f>
        <x:v>63.7958929099389</x:v>
      </x:c>
      <x:c r="AD817" s="52" t="n">
        <x:f>IF(OR(R817="No",U817*S817=0),"",AA817/(U817*S817))</x:f>
        <x:v>0.022750097063065598</x:v>
      </x:c>
      <x:c r="AE817" s="50" t="str">
        <x:f>IF(R817="No","No finance data",IF(AB817&gt;=10%,"Severe",IF(AB817&gt;=5%,"High",IF(AB817&gt;=2%,"Moderate","Low"))))</x:f>
        <x:v>Moderate</x:v>
      </x:c>
      <x:c r="AF817" s="60" t="n">
        <x:v>47.802536</x:v>
      </x:c>
      <x:c r="AG817" s="60" t="n">
        <x:v>-96.606188</x:v>
      </x:c>
      <x:c r="AH817" s="44" t="str">
        <x:v>Undergraduate tuition-contribution proxy only; not an audited total institutional budget.</x:v>
      </x:c>
    </x:row>
    <x:row r="818">
      <x:c r="A818" s="16" t="n">
        <x:v>174233</x:v>
      </x:c>
      <x:c r="B818" s="16" t="str">
        <x:v>University of Minnesota-Duluth</x:v>
      </x:c>
      <x:c r="C818" s="16" t="str">
        <x:v>MN</x:v>
      </x:c>
      <x:c r="D818" s="16" t="str">
        <x:v>Public</x:v>
      </x:c>
      <x:c r="E818" s="34" t="n">
        <x:v>8929</x:v>
      </x:c>
      <x:c r="F818" s="21" t="n">
        <x:v>0.7954</x:v>
      </x:c>
      <x:c r="G818" s="16" t="str">
        <x:v>Statewide</x:v>
      </x:c>
      <x:c r="H818" s="36" t="n">
        <x:f>IF(G818="National",Assumptions!$B$11,IF(G818="Statewide",Assumptions!$B$12,Assumptions!$B$13))</x:f>
        <x:v>0.6</x:v>
      </x:c>
      <x:c r="I818" s="21" t="n">
        <x:v>-0.04284695181761433</x:v>
      </x:c>
      <x:c r="J818" s="21" t="n">
        <x:v>-0.03168564040067767</x:v>
      </x:c>
      <x:c r="K818" s="21" t="n">
        <x:v>-0.13362363641767971</x:v>
      </x:c>
      <x:c r="L818" s="36" t="n">
        <x:f>IF(Assumptions!$B$4=2030,I818,IF(Assumptions!$B$4=2035,J818,K818))</x:f>
        <x:v>-0.03168564040067767</x:v>
      </x:c>
      <x:c r="M818" s="36" t="n">
        <x:f>Assumptions!$B$19</x:f>
        <x:v>-0.04739891965741583</x:v>
      </x:c>
      <x:c r="N818" s="52" t="n">
        <x:f>H818*L818+(1-H818)*M818+O818</x:f>
        <x:v>-0.03797095210337294</x:v>
      </x:c>
      <x:c r="O818" s="36" t="n">
        <x:f>Assumptions!$B$10</x:f>
        <x:v>0</x:v>
      </x:c>
      <x:c r="P818" s="54" t="n">
        <x:f>E818*(1+N818)</x:f>
        <x:v>8589.957368668982</x:v>
      </x:c>
      <x:c r="Q818" s="54" t="n">
        <x:f>P818-E818</x:f>
        <x:v>-339.04263133101813</x:v>
      </x:c>
      <x:c r="R818" s="16" t="str">
        <x:v>Yes</x:v>
      </x:c>
      <x:c r="S818" s="56" t="n">
        <x:v>8693</x:v>
      </x:c>
      <x:c r="T818" s="56" t="n">
        <x:v>7769</x:v>
      </x:c>
      <x:c r="U818" s="40" t="n">
        <x:f>E818*Assumptions!$B$8</x:f>
        <x:v>7589.65</x:v>
      </x:c>
      <x:c r="V818" s="40" t="n">
        <x:f>P818*Assumptions!$B$8</x:f>
        <x:v>7301.463763368634</x:v>
      </x:c>
      <x:c r="W818" s="54" t="n">
        <x:f>V818-U818</x:f>
        <x:v>-288.1862366313653</x:v>
      </x:c>
      <x:c r="X818" s="58" t="n">
        <x:f>IF(R818="No","",W818*S818)</x:f>
        <x:v>-2505202.9550364586</x:v>
      </x:c>
      <x:c r="Y818" s="58" t="n">
        <x:f>IF(R818="No","",W818*T818*Assumptions!$B$9)</x:f>
        <x:v>-671675.6617167231</x:v>
      </x:c>
      <x:c r="Z818" s="58" t="n">
        <x:f>IF(R818="No","",X818-Y818)</x:f>
        <x:v>-1833527.2933197354</x:v>
      </x:c>
      <x:c r="AA818" s="58" t="n">
        <x:f>IF(R818="No","",MAX(0,-Z818))</x:f>
        <x:v>1833527.2933197354</x:v>
      </x:c>
      <x:c r="AB818" s="52" t="n">
        <x:f>IF(OR(R818="No",U818*S818=0),"",AA818/(U818*S818))</x:f>
        <x:v>0.027790473779741216</x:v>
      </x:c>
      <x:c r="AC818" s="54" t="n">
        <x:f>IF(OR(R818="No",S818-T818*Assumptions!$B$9&lt;=0),"",AA818/(Assumptions!$B$8*(S818-T818*Assumptions!$B$9)))</x:f>
        <x:v>339.042631331018</x:v>
      </x:c>
      <x:c r="AD818" s="52" t="n">
        <x:f>IF(OR(R818="No",U818*S818=0),"",AA818/(U818*S818))</x:f>
        <x:v>0.027790473779741216</x:v>
      </x:c>
      <x:c r="AE818" s="50" t="str">
        <x:f>IF(R818="No","No finance data",IF(AB818&gt;=10%,"Severe",IF(AB818&gt;=5%,"High",IF(AB818&gt;=2%,"Moderate","Low"))))</x:f>
        <x:v>Moderate</x:v>
      </x:c>
      <x:c r="AF818" s="60" t="n">
        <x:v>46.817126</x:v>
      </x:c>
      <x:c r="AG818" s="60" t="n">
        <x:v>-92.084385</x:v>
      </x:c>
      <x:c r="AH818" s="44" t="str">
        <x:v>Undergraduate tuition-contribution proxy only; not an audited total institutional budget.</x:v>
      </x:c>
    </x:row>
    <x:row r="819">
      <x:c r="A819" s="16" t="n">
        <x:v>174251</x:v>
      </x:c>
      <x:c r="B819" s="16" t="str">
        <x:v>University of Minnesota-Morris</x:v>
      </x:c>
      <x:c r="C819" s="16" t="str">
        <x:v>MN</x:v>
      </x:c>
      <x:c r="D819" s="16" t="str">
        <x:v>Public</x:v>
      </x:c>
      <x:c r="E819" s="34" t="n">
        <x:v>1741</x:v>
      </x:c>
      <x:c r="F819" s="21" t="n">
        <x:v>0.7606</x:v>
      </x:c>
      <x:c r="G819" s="16" t="str">
        <x:v>Regional</x:v>
      </x:c>
      <x:c r="H819" s="36" t="n">
        <x:f>IF(G819="National",Assumptions!$B$11,IF(G819="Statewide",Assumptions!$B$12,Assumptions!$B$13))</x:f>
        <x:v>0.85</x:v>
      </x:c>
      <x:c r="I819" s="21" t="n">
        <x:v>-0.04284695181761433</x:v>
      </x:c>
      <x:c r="J819" s="21" t="n">
        <x:v>-0.03168564040067767</x:v>
      </x:c>
      <x:c r="K819" s="21" t="n">
        <x:v>-0.13362363641767971</x:v>
      </x:c>
      <x:c r="L819" s="36" t="n">
        <x:f>IF(Assumptions!$B$4=2030,I819,IF(Assumptions!$B$4=2035,J819,K819))</x:f>
        <x:v>-0.03168564040067767</x:v>
      </x:c>
      <x:c r="M819" s="36" t="n">
        <x:f>Assumptions!$B$19</x:f>
        <x:v>-0.04739891965741583</x:v>
      </x:c>
      <x:c r="N819" s="52" t="n">
        <x:f>H819*L819+(1-H819)*M819+O819</x:f>
        <x:v>-0.0340426322891884</x:v>
      </x:c>
      <x:c r="O819" s="36" t="n">
        <x:f>Assumptions!$B$10</x:f>
        <x:v>0</x:v>
      </x:c>
      <x:c r="P819" s="54" t="n">
        <x:f>E819*(1+N819)</x:f>
        <x:v>1681.731777184523</x:v>
      </x:c>
      <x:c r="Q819" s="54" t="n">
        <x:f>P819-E819</x:f>
        <x:v>-59.268222815476975</x:v>
      </x:c>
      <x:c r="R819" s="16" t="str">
        <x:v>Yes</x:v>
      </x:c>
      <x:c r="S819" s="56" t="n">
        <x:v>4686</x:v>
      </x:c>
      <x:c r="T819" s="56" t="n">
        <x:v>11967</x:v>
      </x:c>
      <x:c r="U819" s="40" t="n">
        <x:f>E819*Assumptions!$B$8</x:f>
        <x:v>1479.85</x:v>
      </x:c>
      <x:c r="V819" s="40" t="n">
        <x:f>P819*Assumptions!$B$8</x:f>
        <x:v>1429.4720106068446</x:v>
      </x:c>
      <x:c r="W819" s="54" t="n">
        <x:f>V819-U819</x:f>
        <x:v>-50.3779893931553</x:v>
      </x:c>
      <x:c r="X819" s="58" t="n">
        <x:f>IF(R819="No","",W819*S819)</x:f>
        <x:v>-236071.25829632574</x:v>
      </x:c>
      <x:c r="Y819" s="58" t="n">
        <x:f>IF(R819="No","",W819*T819*Assumptions!$B$9)</x:f>
        <x:v>-180862.01972036686</x:v>
      </x:c>
      <x:c r="Z819" s="58" t="n">
        <x:f>IF(R819="No","",X819-Y819)</x:f>
        <x:v>-55209.23857595888</x:v>
      </x:c>
      <x:c r="AA819" s="58" t="n">
        <x:f>IF(R819="No","",MAX(0,-Z819))</x:f>
        <x:v>55209.23857595888</x:v>
      </x:c>
      <x:c r="AB819" s="52" t="n">
        <x:f>IF(OR(R819="No",U819*S819=0),"",AA819/(U819*S819))</x:f>
        <x:v>0.007961442749833856</x:v>
      </x:c>
      <x:c r="AC819" s="54" t="n">
        <x:f>IF(OR(R819="No",S819-T819*Assumptions!$B$9&lt;=0),"",AA819/(Assumptions!$B$8*(S819-T819*Assumptions!$B$9)))</x:f>
        <x:v>59.268222815476804</x:v>
      </x:c>
      <x:c r="AD819" s="52" t="n">
        <x:f>IF(OR(R819="No",U819*S819=0),"",AA819/(U819*S819))</x:f>
        <x:v>0.007961442749833856</x:v>
      </x:c>
      <x:c r="AE819" s="50" t="str">
        <x:f>IF(R819="No","No finance data",IF(AB819&gt;=10%,"Severe",IF(AB819&gt;=5%,"High",IF(AB819&gt;=2%,"Moderate","Low"))))</x:f>
        <x:v>Low</x:v>
      </x:c>
      <x:c r="AF819" s="60" t="n">
        <x:v>45.589775</x:v>
      </x:c>
      <x:c r="AG819" s="60" t="n">
        <x:v>-95.899729</x:v>
      </x:c>
      <x:c r="AH819" s="44" t="str">
        <x:v>Undergraduate tuition-contribution proxy only; not an audited total institutional budget.</x:v>
      </x:c>
    </x:row>
    <x:row r="820">
      <x:c r="A820" s="16" t="n">
        <x:v>456959</x:v>
      </x:c>
      <x:c r="B820" s="16" t="str">
        <x:v>University of Minnesota-Rochester</x:v>
      </x:c>
      <x:c r="C820" s="16" t="str">
        <x:v>MN</x:v>
      </x:c>
      <x:c r="D820" s="16" t="str">
        <x:v>Public</x:v>
      </x:c>
      <x:c r="E820" s="34" t="n">
        <x:v>402</x:v>
      </x:c>
      <x:c r="F820" s="21" t="n">
        <x:v>0.8023</x:v>
      </x:c>
      <x:c r="G820" s="16" t="str">
        <x:v>Regional</x:v>
      </x:c>
      <x:c r="H820" s="36" t="n">
        <x:f>IF(G820="National",Assumptions!$B$11,IF(G820="Statewide",Assumptions!$B$12,Assumptions!$B$13))</x:f>
        <x:v>0.85</x:v>
      </x:c>
      <x:c r="I820" s="21" t="n">
        <x:v>-0.04284695181761433</x:v>
      </x:c>
      <x:c r="J820" s="21" t="n">
        <x:v>-0.03168564040067767</x:v>
      </x:c>
      <x:c r="K820" s="21" t="n">
        <x:v>-0.13362363641767971</x:v>
      </x:c>
      <x:c r="L820" s="36" t="n">
        <x:f>IF(Assumptions!$B$4=2030,I820,IF(Assumptions!$B$4=2035,J820,K820))</x:f>
        <x:v>-0.03168564040067767</x:v>
      </x:c>
      <x:c r="M820" s="36" t="n">
        <x:f>Assumptions!$B$19</x:f>
        <x:v>-0.04739891965741583</x:v>
      </x:c>
      <x:c r="N820" s="52" t="n">
        <x:f>H820*L820+(1-H820)*M820+O820</x:f>
        <x:v>-0.0340426322891884</x:v>
      </x:c>
      <x:c r="O820" s="36" t="n">
        <x:f>Assumptions!$B$10</x:f>
        <x:v>0</x:v>
      </x:c>
      <x:c r="P820" s="54" t="n">
        <x:f>E820*(1+N820)</x:f>
        <x:v>388.3148618197463</x:v>
      </x:c>
      <x:c r="Q820" s="54" t="n">
        <x:f>P820-E820</x:f>
        <x:v>-13.685138180253716</x:v>
      </x:c>
      <x:c r="R820" s="16" t="str">
        <x:v>Yes</x:v>
      </x:c>
      <x:c r="S820" s="56" t="n">
        <x:v>13099</x:v>
      </x:c>
      <x:c r="T820" s="56" t="n">
        <x:v>5726</x:v>
      </x:c>
      <x:c r="U820" s="40" t="n">
        <x:f>E820*Assumptions!$B$8</x:f>
        <x:v>341.7</x:v>
      </x:c>
      <x:c r="V820" s="40" t="n">
        <x:f>P820*Assumptions!$B$8</x:f>
        <x:v>330.06763254678435</x:v>
      </x:c>
      <x:c r="W820" s="54" t="n">
        <x:f>V820-U820</x:f>
        <x:v>-11.632367453215636</x:v>
      </x:c>
      <x:c r="X820" s="58" t="n">
        <x:f>IF(R820="No","",W820*S820)</x:f>
        <x:v>-152372.3812696716</x:v>
      </x:c>
      <x:c r="Y820" s="58" t="n">
        <x:f>IF(R820="No","",W820*T820*Assumptions!$B$9)</x:f>
        <x:v>-19982.080811133816</x:v>
      </x:c>
      <x:c r="Z820" s="58" t="n">
        <x:f>IF(R820="No","",X820-Y820)</x:f>
        <x:v>-132390.3004585378</x:v>
      </x:c>
      <x:c r="AA820" s="58" t="n">
        <x:f>IF(R820="No","",MAX(0,-Z820))</x:f>
        <x:v>132390.3004585378</x:v>
      </x:c>
      <x:c r="AB820" s="52" t="n">
        <x:f>IF(OR(R820="No",U820*S820=0),"",AA820/(U820*S820))</x:f>
        <x:v>0.02957828892355979</x:v>
      </x:c>
      <x:c r="AC820" s="54" t="n">
        <x:f>IF(OR(R820="No",S820-T820*Assumptions!$B$9&lt;=0),"",AA820/(Assumptions!$B$8*(S820-T820*Assumptions!$B$9)))</x:f>
        <x:v>13.685138180253688</x:v>
      </x:c>
      <x:c r="AD820" s="52" t="n">
        <x:f>IF(OR(R820="No",U820*S820=0),"",AA820/(U820*S820))</x:f>
        <x:v>0.02957828892355979</x:v>
      </x:c>
      <x:c r="AE820" s="50" t="str">
        <x:f>IF(R820="No","No finance data",IF(AB820&gt;=10%,"Severe",IF(AB820&gt;=5%,"High",IF(AB820&gt;=2%,"Moderate","Low"))))</x:f>
        <x:v>Moderate</x:v>
      </x:c>
      <x:c r="AF820" s="60" t="n">
        <x:v>44.022339</x:v>
      </x:c>
      <x:c r="AG820" s="60" t="n">
        <x:v>-92.463471</x:v>
      </x:c>
      <x:c r="AH820" s="44" t="str">
        <x:v>Undergraduate tuition-contribution proxy only; not an audited total institutional budget.</x:v>
      </x:c>
    </x:row>
    <x:row r="821">
      <x:c r="A821" s="16" t="n">
        <x:v>174066</x:v>
      </x:c>
      <x:c r="B821" s="16" t="str">
        <x:v>University of Minnesota-Twin Cities</x:v>
      </x:c>
      <x:c r="C821" s="16" t="str">
        <x:v>MN</x:v>
      </x:c>
      <x:c r="D821" s="16" t="str">
        <x:v>Public</x:v>
      </x:c>
      <x:c r="E821" s="34" t="n">
        <x:v>30511</x:v>
      </x:c>
      <x:c r="F821" s="21" t="n">
        <x:v>0.7323</x:v>
      </x:c>
      <x:c r="G821" s="16" t="str">
        <x:v>National</x:v>
      </x:c>
      <x:c r="H821" s="36" t="n">
        <x:f>IF(G821="National",Assumptions!$B$11,IF(G821="Statewide",Assumptions!$B$12,Assumptions!$B$13))</x:f>
        <x:v>0.25</x:v>
      </x:c>
      <x:c r="I821" s="21" t="n">
        <x:v>-0.04284695181761433</x:v>
      </x:c>
      <x:c r="J821" s="21" t="n">
        <x:v>-0.03168564040067767</x:v>
      </x:c>
      <x:c r="K821" s="21" t="n">
        <x:v>-0.13362363641767971</x:v>
      </x:c>
      <x:c r="L821" s="36" t="n">
        <x:f>IF(Assumptions!$B$4=2030,I821,IF(Assumptions!$B$4=2035,J821,K821))</x:f>
        <x:v>-0.03168564040067767</x:v>
      </x:c>
      <x:c r="M821" s="36" t="n">
        <x:f>Assumptions!$B$19</x:f>
        <x:v>-0.04739891965741583</x:v>
      </x:c>
      <x:c r="N821" s="52" t="n">
        <x:f>H821*L821+(1-H821)*M821+O821</x:f>
        <x:v>-0.04347059984323129</x:v>
      </x:c>
      <x:c r="O821" s="36" t="n">
        <x:f>Assumptions!$B$10</x:f>
        <x:v>0</x:v>
      </x:c>
      <x:c r="P821" s="54" t="n">
        <x:f>E821*(1+N821)</x:f>
        <x:v>29184.66852818317</x:v>
      </x:c>
      <x:c r="Q821" s="54" t="n">
        <x:f>P821-E821</x:f>
        <x:v>-1326.3314718168294</x:v>
      </x:c>
      <x:c r="R821" s="16" t="str">
        <x:v>Yes</x:v>
      </x:c>
      <x:c r="S821" s="56" t="n">
        <x:v>13965</x:v>
      </x:c>
      <x:c r="T821" s="56" t="n">
        <x:v>15808</x:v>
      </x:c>
      <x:c r="U821" s="40" t="n">
        <x:f>E821*Assumptions!$B$8</x:f>
        <x:v>25934.35</x:v>
      </x:c>
      <x:c r="V821" s="40" t="n">
        <x:f>P821*Assumptions!$B$8</x:f>
        <x:v>24806.968248955694</x:v>
      </x:c>
      <x:c r="W821" s="54" t="n">
        <x:f>V821-U821</x:f>
        <x:v>-1127.381751044304</x:v>
      </x:c>
      <x:c r="X821" s="58" t="n">
        <x:f>IF(R821="No","",W821*S821)</x:f>
        <x:v>-15743886.153333707</x:v>
      </x:c>
      <x:c r="Y821" s="58" t="n">
        <x:f>IF(R821="No","",W821*T821*Assumptions!$B$9)</x:f>
        <x:v>-5346495.216152508</x:v>
      </x:c>
      <x:c r="Z821" s="58" t="n">
        <x:f>IF(R821="No","",X821-Y821)</x:f>
        <x:v>-10397390.937181199</x:v>
      </x:c>
      <x:c r="AA821" s="58" t="n">
        <x:f>IF(R821="No","",MAX(0,-Z821))</x:f>
        <x:v>10397390.937181199</x:v>
      </x:c>
      <x:c r="AB821" s="52" t="n">
        <x:f>IF(OR(R821="No",U821*S821=0),"",AA821/(U821*S821))</x:f>
        <x:v>0.02870833899850945</x:v>
      </x:c>
      <x:c r="AC821" s="54" t="n">
        <x:f>IF(OR(R821="No",S821-T821*Assumptions!$B$9&lt;=0),"",AA821/(Assumptions!$B$8*(S821-T821*Assumptions!$B$9)))</x:f>
        <x:v>1326.3314718168283</x:v>
      </x:c>
      <x:c r="AD821" s="52" t="n">
        <x:f>IF(OR(R821="No",U821*S821=0),"",AA821/(U821*S821))</x:f>
        <x:v>0.02870833899850945</x:v>
      </x:c>
      <x:c r="AE821" s="50" t="str">
        <x:f>IF(R821="No","No finance data",IF(AB821&gt;=10%,"Severe",IF(AB821&gt;=5%,"High",IF(AB821&gt;=2%,"Moderate","Low"))))</x:f>
        <x:v>Moderate</x:v>
      </x:c>
      <x:c r="AF821" s="60" t="n">
        <x:v>44.972851</x:v>
      </x:c>
      <x:c r="AG821" s="60" t="n">
        <x:v>-93.235464</x:v>
      </x:c>
      <x:c r="AH821" s="44" t="str">
        <x:v>Undergraduate tuition-contribution proxy only; not an audited total institutional budget.</x:v>
      </x:c>
    </x:row>
    <x:row r="822">
      <x:c r="A822" s="16" t="n">
        <x:v>174491</x:v>
      </x:c>
      <x:c r="B822" s="16" t="str">
        <x:v>University of Northwestern-St Paul</x:v>
      </x:c>
      <x:c r="C822" s="16" t="str">
        <x:v>MN</x:v>
      </x:c>
      <x:c r="D822" s="16" t="str">
        <x:v>Private nonprofit</x:v>
      </x:c>
      <x:c r="E822" s="34" t="n">
        <x:v>1954</x:v>
      </x:c>
      <x:c r="F822" s="21" t="n">
        <x:v>0.8233</x:v>
      </x:c>
      <x:c r="G822" s="16" t="str">
        <x:v>Regional</x:v>
      </x:c>
      <x:c r="H822" s="36" t="n">
        <x:f>IF(G822="National",Assumptions!$B$11,IF(G822="Statewide",Assumptions!$B$12,Assumptions!$B$13))</x:f>
        <x:v>0.85</x:v>
      </x:c>
      <x:c r="I822" s="21" t="n">
        <x:v>-0.04284695181761433</x:v>
      </x:c>
      <x:c r="J822" s="21" t="n">
        <x:v>-0.03168564040067767</x:v>
      </x:c>
      <x:c r="K822" s="21" t="n">
        <x:v>-0.13362363641767971</x:v>
      </x:c>
      <x:c r="L822" s="36" t="n">
        <x:f>IF(Assumptions!$B$4=2030,I822,IF(Assumptions!$B$4=2035,J822,K822))</x:f>
        <x:v>-0.03168564040067767</x:v>
      </x:c>
      <x:c r="M822" s="36" t="n">
        <x:f>Assumptions!$B$19</x:f>
        <x:v>-0.04739891965741583</x:v>
      </x:c>
      <x:c r="N822" s="52" t="n">
        <x:f>H822*L822+(1-H822)*M822+O822</x:f>
        <x:v>-0.0340426322891884</x:v>
      </x:c>
      <x:c r="O822" s="36" t="n">
        <x:f>Assumptions!$B$10</x:f>
        <x:v>0</x:v>
      </x:c>
      <x:c r="P822" s="54" t="n">
        <x:f>E822*(1+N822)</x:f>
        <x:v>1887.480696506926</x:v>
      </x:c>
      <x:c r="Q822" s="54" t="n">
        <x:f>P822-E822</x:f>
        <x:v>-66.51930349307395</x:v>
      </x:c>
      <x:c r="R822" s="16" t="str">
        <x:v>Yes</x:v>
      </x:c>
      <x:c r="S822" s="56" t="n">
        <x:v>14380</x:v>
      </x:c>
      <x:c r="T822" s="56" t="n">
        <x:v>7404</x:v>
      </x:c>
      <x:c r="U822" s="40" t="n">
        <x:f>E822*Assumptions!$B$8</x:f>
        <x:v>1660.8999999999999</x:v>
      </x:c>
      <x:c r="V822" s="40" t="n">
        <x:f>P822*Assumptions!$B$8</x:f>
        <x:v>1604.3585920308872</x:v>
      </x:c>
      <x:c r="W822" s="54" t="n">
        <x:f>V822-U822</x:f>
        <x:v>-56.5414079691127</x:v>
      </x:c>
      <x:c r="X822" s="58" t="n">
        <x:f>IF(R822="No","",W822*S822)</x:f>
        <x:v>-813065.4465958406</x:v>
      </x:c>
      <x:c r="Y822" s="58" t="n">
        <x:f>IF(R822="No","",W822*T822*Assumptions!$B$9)</x:f>
        <x:v>-125589.77538099312</x:v>
      </x:c>
      <x:c r="Z822" s="58" t="n">
        <x:f>IF(R822="No","",X822-Y822)</x:f>
        <x:v>-687475.6712148475</x:v>
      </x:c>
      <x:c r="AA822" s="58" t="n">
        <x:f>IF(R822="No","",MAX(0,-Z822))</x:f>
        <x:v>687475.6712148475</x:v>
      </x:c>
      <x:c r="AB822" s="52" t="n">
        <x:f>IF(OR(R822="No",U822*S822=0),"",AA822/(U822*S822))</x:f>
        <x:v>0.028784252953948656</x:v>
      </x:c>
      <x:c r="AC822" s="54" t="n">
        <x:f>IF(OR(R822="No",S822-T822*Assumptions!$B$9&lt;=0),"",AA822/(Assumptions!$B$8*(S822-T822*Assumptions!$B$9)))</x:f>
        <x:v>66.51930349307376</x:v>
      </x:c>
      <x:c r="AD822" s="52" t="n">
        <x:f>IF(OR(R822="No",U822*S822=0),"",AA822/(U822*S822))</x:f>
        <x:v>0.028784252953948656</x:v>
      </x:c>
      <x:c r="AE822" s="50" t="str">
        <x:f>IF(R822="No","No finance data",IF(AB822&gt;=10%,"Severe",IF(AB822&gt;=5%,"High",IF(AB822&gt;=2%,"Moderate","Low"))))</x:f>
        <x:v>Moderate</x:v>
      </x:c>
      <x:c r="AF822" s="60" t="n">
        <x:v>45.033703</x:v>
      </x:c>
      <x:c r="AG822" s="60" t="n">
        <x:v>-93.167822</x:v>
      </x:c>
      <x:c r="AH822" s="44" t="str">
        <x:v>Undergraduate tuition-contribution proxy only; not an audited total institutional budget.</x:v>
      </x:c>
    </x:row>
    <x:row r="823">
      <x:c r="A823" s="16" t="n">
        <x:v>174914</x:v>
      </x:c>
      <x:c r="B823" s="16" t="str">
        <x:v>University of St Thomas</x:v>
      </x:c>
      <x:c r="C823" s="16" t="str">
        <x:v>MN</x:v>
      </x:c>
      <x:c r="D823" s="16" t="str">
        <x:v>Private nonprofit</x:v>
      </x:c>
      <x:c r="E823" s="34" t="n">
        <x:v>6076</x:v>
      </x:c>
      <x:c r="F823" s="21" t="n">
        <x:v>0.7553</x:v>
      </x:c>
      <x:c r="G823" s="16" t="str">
        <x:v>Regional</x:v>
      </x:c>
      <x:c r="H823" s="36" t="n">
        <x:f>IF(G823="National",Assumptions!$B$11,IF(G823="Statewide",Assumptions!$B$12,Assumptions!$B$13))</x:f>
        <x:v>0.85</x:v>
      </x:c>
      <x:c r="I823" s="21" t="n">
        <x:v>-0.04284695181761433</x:v>
      </x:c>
      <x:c r="J823" s="21" t="n">
        <x:v>-0.03168564040067767</x:v>
      </x:c>
      <x:c r="K823" s="21" t="n">
        <x:v>-0.13362363641767971</x:v>
      </x:c>
      <x:c r="L823" s="36" t="n">
        <x:f>IF(Assumptions!$B$4=2030,I823,IF(Assumptions!$B$4=2035,J823,K823))</x:f>
        <x:v>-0.03168564040067767</x:v>
      </x:c>
      <x:c r="M823" s="36" t="n">
        <x:f>Assumptions!$B$19</x:f>
        <x:v>-0.04739891965741583</x:v>
      </x:c>
      <x:c r="N823" s="52" t="n">
        <x:f>H823*L823+(1-H823)*M823+O823</x:f>
        <x:v>-0.0340426322891884</x:v>
      </x:c>
      <x:c r="O823" s="36" t="n">
        <x:f>Assumptions!$B$10</x:f>
        <x:v>0</x:v>
      </x:c>
      <x:c r="P823" s="54" t="n">
        <x:f>E823*(1+N823)</x:f>
        <x:v>5869.156966210891</x:v>
      </x:c>
      <x:c r="Q823" s="54" t="n">
        <x:f>P823-E823</x:f>
        <x:v>-206.84303378910863</x:v>
      </x:c>
      <x:c r="R823" s="16" t="str">
        <x:v>Yes</x:v>
      </x:c>
      <x:c r="S823" s="56" t="n">
        <x:v>19785</x:v>
      </x:c>
      <x:c r="T823" s="56" t="n">
        <x:v>12778</x:v>
      </x:c>
      <x:c r="U823" s="40" t="n">
        <x:f>E823*Assumptions!$B$8</x:f>
        <x:v>5164.599999999999</x:v>
      </x:c>
      <x:c r="V823" s="40" t="n">
        <x:f>P823*Assumptions!$B$8</x:f>
        <x:v>4988.783421279258</x:v>
      </x:c>
      <x:c r="W823" s="54" t="n">
        <x:f>V823-U823</x:f>
        <x:v>-175.81657872074175</x:v>
      </x:c>
      <x:c r="X823" s="58" t="n">
        <x:f>IF(R823="No","",W823*S823)</x:f>
        <x:v>-3478531.0099898754</x:v>
      </x:c>
      <x:c r="Y823" s="58" t="n">
        <x:f>IF(R823="No","",W823*T823*Assumptions!$B$9)</x:f>
        <x:v>-673975.2728680914</x:v>
      </x:c>
      <x:c r="Z823" s="58" t="n">
        <x:f>IF(R823="No","",X823-Y823)</x:f>
        <x:v>-2804555.737121784</x:v>
      </x:c>
      <x:c r="AA823" s="58" t="n">
        <x:f>IF(R823="No","",MAX(0,-Z823))</x:f>
        <x:v>2804555.737121784</x:v>
      </x:c>
      <x:c r="AB823" s="52" t="n">
        <x:f>IF(OR(R823="No",U823*S823=0),"",AA823/(U823*S823))</x:f>
        <x:v>0.027446775497812267</x:v>
      </x:c>
      <x:c r="AC823" s="54" t="n">
        <x:f>IF(OR(R823="No",S823-T823*Assumptions!$B$9&lt;=0),"",AA823/(Assumptions!$B$8*(S823-T823*Assumptions!$B$9)))</x:f>
        <x:v>206.84303378910792</x:v>
      </x:c>
      <x:c r="AD823" s="52" t="n">
        <x:f>IF(OR(R823="No",U823*S823=0),"",AA823/(U823*S823))</x:f>
        <x:v>0.027446775497812267</x:v>
      </x:c>
      <x:c r="AE823" s="50" t="str">
        <x:f>IF(R823="No","No finance data",IF(AB823&gt;=10%,"Severe",IF(AB823&gt;=5%,"High",IF(AB823&gt;=2%,"Moderate","Low"))))</x:f>
        <x:v>Moderate</x:v>
      </x:c>
      <x:c r="AF823" s="60" t="n">
        <x:v>44.943439</x:v>
      </x:c>
      <x:c r="AG823" s="60" t="n">
        <x:v>-93.188986</x:v>
      </x:c>
      <x:c r="AH823" s="44" t="str">
        <x:v>Undergraduate tuition-contribution proxy only; not an audited total institutional budget.</x:v>
      </x:c>
    </x:row>
    <x:row r="824">
      <x:c r="A824" s="16" t="n">
        <x:v>175272</x:v>
      </x:c>
      <x:c r="B824" s="16" t="str">
        <x:v>Winona State University</x:v>
      </x:c>
      <x:c r="C824" s="16" t="str">
        <x:v>MN</x:v>
      </x:c>
      <x:c r="D824" s="16" t="str">
        <x:v>Public</x:v>
      </x:c>
      <x:c r="E824" s="34" t="n">
        <x:v>7833</x:v>
      </x:c>
      <x:c r="F824" s="21" t="n">
        <x:v>0.7691</x:v>
      </x:c>
      <x:c r="G824" s="16" t="str">
        <x:v>Statewide</x:v>
      </x:c>
      <x:c r="H824" s="36" t="n">
        <x:f>IF(G824="National",Assumptions!$B$11,IF(G824="Statewide",Assumptions!$B$12,Assumptions!$B$13))</x:f>
        <x:v>0.6</x:v>
      </x:c>
      <x:c r="I824" s="21" t="n">
        <x:v>-0.04284695181761433</x:v>
      </x:c>
      <x:c r="J824" s="21" t="n">
        <x:v>-0.03168564040067767</x:v>
      </x:c>
      <x:c r="K824" s="21" t="n">
        <x:v>-0.13362363641767971</x:v>
      </x:c>
      <x:c r="L824" s="36" t="n">
        <x:f>IF(Assumptions!$B$4=2030,I824,IF(Assumptions!$B$4=2035,J824,K824))</x:f>
        <x:v>-0.03168564040067767</x:v>
      </x:c>
      <x:c r="M824" s="36" t="n">
        <x:f>Assumptions!$B$19</x:f>
        <x:v>-0.04739891965741583</x:v>
      </x:c>
      <x:c r="N824" s="52" t="n">
        <x:f>H824*L824+(1-H824)*M824+O824</x:f>
        <x:v>-0.03797095210337294</x:v>
      </x:c>
      <x:c r="O824" s="36" t="n">
        <x:f>Assumptions!$B$10</x:f>
        <x:v>0</x:v>
      </x:c>
      <x:c r="P824" s="54" t="n">
        <x:f>E824*(1+N824)</x:f>
        <x:v>7535.5735321742795</x:v>
      </x:c>
      <x:c r="Q824" s="54" t="n">
        <x:f>P824-E824</x:f>
        <x:v>-297.42646782572047</x:v>
      </x:c>
      <x:c r="R824" s="16" t="str">
        <x:v>Yes</x:v>
      </x:c>
      <x:c r="S824" s="56" t="n">
        <x:v>6280</x:v>
      </x:c>
      <x:c r="T824" s="56" t="n">
        <x:v>8889</x:v>
      </x:c>
      <x:c r="U824" s="40" t="n">
        <x:f>E824*Assumptions!$B$8</x:f>
        <x:v>6658.05</x:v>
      </x:c>
      <x:c r="V824" s="40" t="n">
        <x:f>P824*Assumptions!$B$8</x:f>
        <x:v>6405.237502348137</x:v>
      </x:c>
      <x:c r="W824" s="54" t="n">
        <x:f>V824-U824</x:f>
        <x:v>-252.81249765186294</x:v>
      </x:c>
      <x:c r="X824" s="58" t="n">
        <x:f>IF(R824="No","",W824*S824)</x:f>
        <x:v>-1587662.4852536994</x:v>
      </x:c>
      <x:c r="Y824" s="58" t="n">
        <x:f>IF(R824="No","",W824*T824*Assumptions!$B$9)</x:f>
        <x:v>-674175.087488223</x:v>
      </x:c>
      <x:c r="Z824" s="58" t="n">
        <x:f>IF(R824="No","",X824-Y824)</x:f>
        <x:v>-913487.3977654764</x:v>
      </x:c>
      <x:c r="AA824" s="58" t="n">
        <x:f>IF(R824="No","",MAX(0,-Z824))</x:f>
        <x:v>913487.3977654764</x:v>
      </x:c>
      <x:c r="AB824" s="52" t="n">
        <x:f>IF(OR(R824="No",U824*S824=0),"",AA824/(U824*S824))</x:f>
        <x:v>0.021847204018330867</x:v>
      </x:c>
      <x:c r="AC824" s="54" t="n">
        <x:f>IF(OR(R824="No",S824-T824*Assumptions!$B$9&lt;=0),"",AA824/(Assumptions!$B$8*(S824-T824*Assumptions!$B$9)))</x:f>
        <x:v>297.4264678257211</x:v>
      </x:c>
      <x:c r="AD824" s="52" t="n">
        <x:f>IF(OR(R824="No",U824*S824=0),"",AA824/(U824*S824))</x:f>
        <x:v>0.021847204018330867</x:v>
      </x:c>
      <x:c r="AE824" s="50" t="str">
        <x:f>IF(R824="No","No finance data",IF(AB824&gt;=10%,"Severe",IF(AB824&gt;=5%,"High",IF(AB824&gt;=2%,"Moderate","Low"))))</x:f>
        <x:v>Moderate</x:v>
      </x:c>
      <x:c r="AF824" s="60" t="n">
        <x:v>44.046159</x:v>
      </x:c>
      <x:c r="AG824" s="60" t="n">
        <x:v>-91.643723</x:v>
      </x:c>
      <x:c r="AH824" s="44" t="str">
        <x:v>Undergraduate tuition-contribution proxy only; not an audited total institutional budget.</x:v>
      </x:c>
    </x:row>
    <x:row r="825">
      <x:c r="A825" s="16" t="n">
        <x:v>176628</x:v>
      </x:c>
      <x:c r="B825" s="16" t="str">
        <x:v>Avila University</x:v>
      </x:c>
      <x:c r="C825" s="16" t="str">
        <x:v>MO</x:v>
      </x:c>
      <x:c r="D825" s="16" t="str">
        <x:v>Private nonprofit</x:v>
      </x:c>
      <x:c r="E825" s="34" t="n">
        <x:v>1369</x:v>
      </x:c>
      <x:c r="F825" s="21" t="n">
        <x:v>0.68</x:v>
      </x:c>
      <x:c r="G825" s="16" t="str">
        <x:v>Regional</x:v>
      </x:c>
      <x:c r="H825" s="36" t="n">
        <x:f>IF(G825="National",Assumptions!$B$11,IF(G825="Statewide",Assumptions!$B$12,Assumptions!$B$13))</x:f>
        <x:v>0.85</x:v>
      </x:c>
      <x:c r="I825" s="21" t="n">
        <x:v>-0.06261144076466629</x:v>
      </x:c>
      <x:c r="J825" s="21" t="n">
        <x:v>-0.06049223933822456</x:v>
      </x:c>
      <x:c r="K825" s="21" t="n">
        <x:v>-0.139458069042121</x:v>
      </x:c>
      <x:c r="L825" s="36" t="n">
        <x:f>IF(Assumptions!$B$4=2030,I825,IF(Assumptions!$B$4=2035,J825,K825))</x:f>
        <x:v>-0.06049223933822456</x:v>
      </x:c>
      <x:c r="M825" s="36" t="n">
        <x:f>Assumptions!$B$19</x:f>
        <x:v>-0.04739891965741583</x:v>
      </x:c>
      <x:c r="N825" s="52" t="n">
        <x:f>H825*L825+(1-H825)*M825+O825</x:f>
        <x:v>-0.058528241386103255</x:v>
      </x:c>
      <x:c r="O825" s="36" t="n">
        <x:f>Assumptions!$B$10</x:f>
        <x:v>0</x:v>
      </x:c>
      <x:c r="P825" s="54" t="n">
        <x:f>E825*(1+N825)</x:f>
        <x:v>1288.8748375424248</x:v>
      </x:c>
      <x:c r="Q825" s="54" t="n">
        <x:f>P825-E825</x:f>
        <x:v>-80.12516245757524</x:v>
      </x:c>
      <x:c r="R825" s="16" t="str">
        <x:v>Yes</x:v>
      </x:c>
      <x:c r="S825" s="56" t="n">
        <x:v>12935</x:v>
      </x:c>
      <x:c r="T825" s="56" t="n">
        <x:v>7972</x:v>
      </x:c>
      <x:c r="U825" s="40" t="n">
        <x:f>E825*Assumptions!$B$8</x:f>
        <x:v>1163.6499999999999</x:v>
      </x:c>
      <x:c r="V825" s="40" t="n">
        <x:f>P825*Assumptions!$B$8</x:f>
        <x:v>1095.543611911061</x:v>
      </x:c>
      <x:c r="W825" s="54" t="n">
        <x:f>V825-U825</x:f>
        <x:v>-68.10638808893896</x:v>
      </x:c>
      <x:c r="X825" s="58" t="n">
        <x:f>IF(R825="No","",W825*S825)</x:f>
        <x:v>-880956.1299304254</x:v>
      </x:c>
      <x:c r="Y825" s="58" t="n">
        <x:f>IF(R825="No","",W825*T825*Assumptions!$B$9)</x:f>
        <x:v>-162883.2377535064</x:v>
      </x:c>
      <x:c r="Z825" s="58" t="n">
        <x:f>IF(R825="No","",X825-Y825)</x:f>
        <x:v>-718072.892176919</x:v>
      </x:c>
      <x:c r="AA825" s="58" t="n">
        <x:f>IF(R825="No","",MAX(0,-Z825))</x:f>
        <x:v>718072.892176919</x:v>
      </x:c>
      <x:c r="AB825" s="52" t="n">
        <x:f>IF(OR(R825="No",U825*S825=0),"",AA825/(U825*S825))</x:f>
        <x:v>0.047706738324719</x:v>
      </x:c>
      <x:c r="AC825" s="54" t="n">
        <x:f>IF(OR(R825="No",S825-T825*Assumptions!$B$9&lt;=0),"",AA825/(Assumptions!$B$8*(S825-T825*Assumptions!$B$9)))</x:f>
        <x:v>80.12516245757526</x:v>
      </x:c>
      <x:c r="AD825" s="52" t="n">
        <x:f>IF(OR(R825="No",U825*S825=0),"",AA825/(U825*S825))</x:f>
        <x:v>0.047706738324719</x:v>
      </x:c>
      <x:c r="AE825" s="50" t="str">
        <x:f>IF(R825="No","No finance data",IF(AB825&gt;=10%,"Severe",IF(AB825&gt;=5%,"High",IF(AB825&gt;=2%,"Moderate","Low"))))</x:f>
        <x:v>Moderate</x:v>
      </x:c>
      <x:c r="AF825" s="60" t="n">
        <x:v>38.91339</x:v>
      </x:c>
      <x:c r="AG825" s="60" t="n">
        <x:v>-94.591758</x:v>
      </x:c>
      <x:c r="AH825" s="44" t="str">
        <x:v>Undergraduate tuition-contribution proxy only; not an audited total institutional budget.</x:v>
      </x:c>
    </x:row>
    <x:row r="826">
      <x:c r="A826" s="16" t="n">
        <x:v>176664</x:v>
      </x:c>
      <x:c r="B826" s="16" t="str">
        <x:v>Baptist Bible College</x:v>
      </x:c>
      <x:c r="C826" s="16" t="str">
        <x:v>MO</x:v>
      </x:c>
      <x:c r="D826" s="16" t="str">
        <x:v>Private nonprofit</x:v>
      </x:c>
      <x:c r="E826" s="34" t="n">
        <x:v>348</x:v>
      </x:c>
      <x:c r="F826" s="21"/>
      <x:c r="G826" s="16" t="str">
        <x:v>Regional</x:v>
      </x:c>
      <x:c r="H826" s="36" t="n">
        <x:f>IF(G826="National",Assumptions!$B$11,IF(G826="Statewide",Assumptions!$B$12,Assumptions!$B$13))</x:f>
        <x:v>0.85</x:v>
      </x:c>
      <x:c r="I826" s="21" t="n">
        <x:v>-0.06261144076466629</x:v>
      </x:c>
      <x:c r="J826" s="21" t="n">
        <x:v>-0.06049223933822456</x:v>
      </x:c>
      <x:c r="K826" s="21" t="n">
        <x:v>-0.139458069042121</x:v>
      </x:c>
      <x:c r="L826" s="36" t="n">
        <x:f>IF(Assumptions!$B$4=2030,I826,IF(Assumptions!$B$4=2035,J826,K826))</x:f>
        <x:v>-0.06049223933822456</x:v>
      </x:c>
      <x:c r="M826" s="36" t="n">
        <x:f>Assumptions!$B$19</x:f>
        <x:v>-0.04739891965741583</x:v>
      </x:c>
      <x:c r="N826" s="52" t="n">
        <x:f>H826*L826+(1-H826)*M826+O826</x:f>
        <x:v>-0.058528241386103255</x:v>
      </x:c>
      <x:c r="O826" s="36" t="n">
        <x:f>Assumptions!$B$10</x:f>
        <x:v>0</x:v>
      </x:c>
      <x:c r="P826" s="54" t="n">
        <x:f>E826*(1+N826)</x:f>
        <x:v>327.6321719976361</x:v>
      </x:c>
      <x:c r="Q826" s="54" t="n">
        <x:f>P826-E826</x:f>
        <x:v>-20.36782800236392</x:v>
      </x:c>
      <x:c r="R826" s="16" t="str">
        <x:v>No</x:v>
      </x:c>
      <x:c r="S826" s="56"/>
      <x:c r="T826" s="56"/>
      <x:c r="U826" s="40" t="n">
        <x:f>E826*Assumptions!$B$8</x:f>
        <x:v>295.8</x:v>
      </x:c>
      <x:c r="V826" s="40" t="n">
        <x:f>P826*Assumptions!$B$8</x:f>
        <x:v>278.48734619799063</x:v>
      </x:c>
      <x:c r="W826" s="54" t="n">
        <x:f>V826-U826</x:f>
        <x:v>-17.31265380200938</x:v>
      </x:c>
      <x:c r="X826" s="58" t="str">
        <x:f>IF(R826="No","",W826*S826)</x:f>
      </x:c>
      <x:c r="Y826" s="58" t="str">
        <x:f>IF(R826="No","",W826*T826*Assumptions!$B$9)</x:f>
      </x:c>
      <x:c r="Z826" s="58" t="str">
        <x:f>IF(R826="No","",X826-Y826)</x:f>
      </x:c>
      <x:c r="AA826" s="58" t="str">
        <x:f>IF(R826="No","",MAX(0,-Z826))</x:f>
      </x:c>
      <x:c r="AB826" s="52" t="str">
        <x:f>IF(OR(R826="No",U826*S826=0),"",AA826/(U826*S826))</x:f>
      </x:c>
      <x:c r="AC826" s="54" t="str">
        <x:f>IF(OR(R826="No",S826-T826*Assumptions!$B$9&lt;=0),"",AA826/(Assumptions!$B$8*(S826-T826*Assumptions!$B$9)))</x:f>
      </x:c>
      <x:c r="AD826" s="52" t="str">
        <x:f>IF(OR(R826="No",U826*S826=0),"",AA826/(U826*S826))</x:f>
      </x:c>
      <x:c r="AE826" s="50" t="str">
        <x:f>IF(R826="No","No finance data",IF(AB826&gt;=10%,"Severe",IF(AB826&gt;=5%,"High",IF(AB826&gt;=2%,"Moderate","Low"))))</x:f>
        <x:v>No finance data</x:v>
      </x:c>
      <x:c r="AF826" s="60"/>
      <x:c r="AG826" s="60"/>
      <x:c r="AH826" s="44" t="str">
        <x:v>Undergraduate tuition-contribution proxy only; not an audited total institutional budget.</x:v>
      </x:c>
    </x:row>
    <x:row r="827">
      <x:c r="A827" s="16" t="n">
        <x:v>177719</x:v>
      </x:c>
      <x:c r="B827" s="16" t="str">
        <x:v>Barnes-Jewish College Goldfarb School of Nursing</x:v>
      </x:c>
      <x:c r="C827" s="16" t="str">
        <x:v>MO</x:v>
      </x:c>
      <x:c r="D827" s="16" t="str">
        <x:v>Private nonprofit</x:v>
      </x:c>
      <x:c r="E827" s="34" t="n">
        <x:v>565</x:v>
      </x:c>
      <x:c r="F827" s="21"/>
      <x:c r="G827" s="16" t="str">
        <x:v>Regional</x:v>
      </x:c>
      <x:c r="H827" s="36" t="n">
        <x:f>IF(G827="National",Assumptions!$B$11,IF(G827="Statewide",Assumptions!$B$12,Assumptions!$B$13))</x:f>
        <x:v>0.85</x:v>
      </x:c>
      <x:c r="I827" s="21" t="n">
        <x:v>-0.06261144076466629</x:v>
      </x:c>
      <x:c r="J827" s="21" t="n">
        <x:v>-0.06049223933822456</x:v>
      </x:c>
      <x:c r="K827" s="21" t="n">
        <x:v>-0.139458069042121</x:v>
      </x:c>
      <x:c r="L827" s="36" t="n">
        <x:f>IF(Assumptions!$B$4=2030,I827,IF(Assumptions!$B$4=2035,J827,K827))</x:f>
        <x:v>-0.06049223933822456</x:v>
      </x:c>
      <x:c r="M827" s="36" t="n">
        <x:f>Assumptions!$B$19</x:f>
        <x:v>-0.04739891965741583</x:v>
      </x:c>
      <x:c r="N827" s="52" t="n">
        <x:f>H827*L827+(1-H827)*M827+O827</x:f>
        <x:v>-0.058528241386103255</x:v>
      </x:c>
      <x:c r="O827" s="36" t="n">
        <x:f>Assumptions!$B$10</x:f>
        <x:v>0</x:v>
      </x:c>
      <x:c r="P827" s="54" t="n">
        <x:f>E827*(1+N827)</x:f>
        <x:v>531.9315436168516</x:v>
      </x:c>
      <x:c r="Q827" s="54" t="n">
        <x:f>P827-E827</x:f>
        <x:v>-33.06845638314837</x:v>
      </x:c>
      <x:c r="R827" s="16" t="str">
        <x:v>Yes</x:v>
      </x:c>
      <x:c r="S827" s="56" t="n">
        <x:v>21495</x:v>
      </x:c>
      <x:c r="T827" s="56" t="n">
        <x:v>9726</x:v>
      </x:c>
      <x:c r="U827" s="40" t="n">
        <x:f>E827*Assumptions!$B$8</x:f>
        <x:v>480.25</x:v>
      </x:c>
      <x:c r="V827" s="40" t="n">
        <x:f>P827*Assumptions!$B$8</x:f>
        <x:v>452.14181207432387</x:v>
      </x:c>
      <x:c r="W827" s="54" t="n">
        <x:f>V827-U827</x:f>
        <x:v>-28.108187925676134</x:v>
      </x:c>
      <x:c r="X827" s="58" t="n">
        <x:f>IF(R827="No","",W827*S827)</x:f>
        <x:v>-604185.4994624085</x:v>
      </x:c>
      <x:c r="Y827" s="58" t="n">
        <x:f>IF(R827="No","",W827*T827*Assumptions!$B$9)</x:f>
        <x:v>-82014.07072953782</x:v>
      </x:c>
      <x:c r="Z827" s="58" t="n">
        <x:f>IF(R827="No","",X827-Y827)</x:f>
        <x:v>-522171.42873287067</x:v>
      </x:c>
      <x:c r="AA827" s="58" t="n">
        <x:f>IF(R827="No","",MAX(0,-Z827))</x:f>
        <x:v>522171.42873287067</x:v>
      </x:c>
      <x:c r="AB827" s="52" t="n">
        <x:f>IF(OR(R827="No",U827*S827=0),"",AA827/(U827*S827))</x:f>
        <x:v>0.05058343083870291</x:v>
      </x:c>
      <x:c r="AC827" s="54" t="n">
        <x:f>IF(OR(R827="No",S827-T827*Assumptions!$B$9&lt;=0),"",AA827/(Assumptions!$B$8*(S827-T827*Assumptions!$B$9)))</x:f>
        <x:v>33.068456383148394</x:v>
      </x:c>
      <x:c r="AD827" s="52" t="n">
        <x:f>IF(OR(R827="No",U827*S827=0),"",AA827/(U827*S827))</x:f>
        <x:v>0.05058343083870291</x:v>
      </x:c>
      <x:c r="AE827" s="50" t="str">
        <x:f>IF(R827="No","No finance data",IF(AB827&gt;=10%,"Severe",IF(AB827&gt;=5%,"High",IF(AB827&gt;=2%,"Moderate","Low"))))</x:f>
        <x:v>High</x:v>
      </x:c>
      <x:c r="AF827" s="60" t="n">
        <x:v>38.637165</x:v>
      </x:c>
      <x:c r="AG827" s="60" t="n">
        <x:v>-90.258772</x:v>
      </x:c>
      <x:c r="AH827" s="44" t="str">
        <x:v>Undergraduate tuition-contribution proxy only; not an audited total institutional budget.</x:v>
      </x:c>
    </x:row>
    <x:row r="828">
      <x:c r="A828" s="16" t="n">
        <x:v>176789</x:v>
      </x:c>
      <x:c r="B828" s="16" t="str">
        <x:v>Calvary University</x:v>
      </x:c>
      <x:c r="C828" s="16" t="str">
        <x:v>MO</x:v>
      </x:c>
      <x:c r="D828" s="16" t="str">
        <x:v>Private nonprofit</x:v>
      </x:c>
      <x:c r="E828" s="34" t="n">
        <x:v>226</x:v>
      </x:c>
      <x:c r="F828" s="21"/>
      <x:c r="G828" s="16" t="str">
        <x:v>Regional</x:v>
      </x:c>
      <x:c r="H828" s="36" t="n">
        <x:f>IF(G828="National",Assumptions!$B$11,IF(G828="Statewide",Assumptions!$B$12,Assumptions!$B$13))</x:f>
        <x:v>0.85</x:v>
      </x:c>
      <x:c r="I828" s="21" t="n">
        <x:v>-0.06261144076466629</x:v>
      </x:c>
      <x:c r="J828" s="21" t="n">
        <x:v>-0.06049223933822456</x:v>
      </x:c>
      <x:c r="K828" s="21" t="n">
        <x:v>-0.139458069042121</x:v>
      </x:c>
      <x:c r="L828" s="36" t="n">
        <x:f>IF(Assumptions!$B$4=2030,I828,IF(Assumptions!$B$4=2035,J828,K828))</x:f>
        <x:v>-0.06049223933822456</x:v>
      </x:c>
      <x:c r="M828" s="36" t="n">
        <x:f>Assumptions!$B$19</x:f>
        <x:v>-0.04739891965741583</x:v>
      </x:c>
      <x:c r="N828" s="52" t="n">
        <x:f>H828*L828+(1-H828)*M828+O828</x:f>
        <x:v>-0.058528241386103255</x:v>
      </x:c>
      <x:c r="O828" s="36" t="n">
        <x:f>Assumptions!$B$10</x:f>
        <x:v>0</x:v>
      </x:c>
      <x:c r="P828" s="54" t="n">
        <x:f>E828*(1+N828)</x:f>
        <x:v>212.77261744674067</x:v>
      </x:c>
      <x:c r="Q828" s="54" t="n">
        <x:f>P828-E828</x:f>
        <x:v>-13.227382553259332</x:v>
      </x:c>
      <x:c r="R828" s="16" t="str">
        <x:v>No</x:v>
      </x:c>
      <x:c r="S828" s="56"/>
      <x:c r="T828" s="56"/>
      <x:c r="U828" s="40" t="n">
        <x:f>E828*Assumptions!$B$8</x:f>
        <x:v>192.1</x:v>
      </x:c>
      <x:c r="V828" s="40" t="n">
        <x:f>P828*Assumptions!$B$8</x:f>
        <x:v>180.85672482972956</x:v>
      </x:c>
      <x:c r="W828" s="54" t="n">
        <x:f>V828-U828</x:f>
        <x:v>-11.243275170270437</x:v>
      </x:c>
      <x:c r="X828" s="58" t="str">
        <x:f>IF(R828="No","",W828*S828)</x:f>
      </x:c>
      <x:c r="Y828" s="58" t="str">
        <x:f>IF(R828="No","",W828*T828*Assumptions!$B$9)</x:f>
      </x:c>
      <x:c r="Z828" s="58" t="str">
        <x:f>IF(R828="No","",X828-Y828)</x:f>
      </x:c>
      <x:c r="AA828" s="58" t="str">
        <x:f>IF(R828="No","",MAX(0,-Z828))</x:f>
      </x:c>
      <x:c r="AB828" s="52" t="str">
        <x:f>IF(OR(R828="No",U828*S828=0),"",AA828/(U828*S828))</x:f>
      </x:c>
      <x:c r="AC828" s="54" t="str">
        <x:f>IF(OR(R828="No",S828-T828*Assumptions!$B$9&lt;=0),"",AA828/(Assumptions!$B$8*(S828-T828*Assumptions!$B$9)))</x:f>
      </x:c>
      <x:c r="AD828" s="52" t="str">
        <x:f>IF(OR(R828="No",U828*S828=0),"",AA828/(U828*S828))</x:f>
      </x:c>
      <x:c r="AE828" s="50" t="str">
        <x:f>IF(R828="No","No finance data",IF(AB828&gt;=10%,"Severe",IF(AB828&gt;=5%,"High",IF(AB828&gt;=2%,"Moderate","Low"))))</x:f>
        <x:v>No finance data</x:v>
      </x:c>
      <x:c r="AF828" s="60"/>
      <x:c r="AG828" s="60"/>
      <x:c r="AH828" s="44" t="str">
        <x:v>Undergraduate tuition-contribution proxy only; not an audited total institutional budget.</x:v>
      </x:c>
    </x:row>
    <x:row r="829">
      <x:c r="A829" s="16" t="n">
        <x:v>176910</x:v>
      </x:c>
      <x:c r="B829" s="16" t="str">
        <x:v>Central Christian College of the Bible</x:v>
      </x:c>
      <x:c r="C829" s="16" t="str">
        <x:v>MO</x:v>
      </x:c>
      <x:c r="D829" s="16" t="str">
        <x:v>Private nonprofit</x:v>
      </x:c>
      <x:c r="E829" s="34" t="n">
        <x:v>271</x:v>
      </x:c>
      <x:c r="F829" s="21"/>
      <x:c r="G829" s="16" t="str">
        <x:v>Regional</x:v>
      </x:c>
      <x:c r="H829" s="36" t="n">
        <x:f>IF(G829="National",Assumptions!$B$11,IF(G829="Statewide",Assumptions!$B$12,Assumptions!$B$13))</x:f>
        <x:v>0.85</x:v>
      </x:c>
      <x:c r="I829" s="21" t="n">
        <x:v>-0.06261144076466629</x:v>
      </x:c>
      <x:c r="J829" s="21" t="n">
        <x:v>-0.06049223933822456</x:v>
      </x:c>
      <x:c r="K829" s="21" t="n">
        <x:v>-0.139458069042121</x:v>
      </x:c>
      <x:c r="L829" s="36" t="n">
        <x:f>IF(Assumptions!$B$4=2030,I829,IF(Assumptions!$B$4=2035,J829,K829))</x:f>
        <x:v>-0.06049223933822456</x:v>
      </x:c>
      <x:c r="M829" s="36" t="n">
        <x:f>Assumptions!$B$19</x:f>
        <x:v>-0.04739891965741583</x:v>
      </x:c>
      <x:c r="N829" s="52" t="n">
        <x:f>H829*L829+(1-H829)*M829+O829</x:f>
        <x:v>-0.058528241386103255</x:v>
      </x:c>
      <x:c r="O829" s="36" t="n">
        <x:f>Assumptions!$B$10</x:f>
        <x:v>0</x:v>
      </x:c>
      <x:c r="P829" s="54" t="n">
        <x:f>E829*(1+N829)</x:f>
        <x:v>255.13884658436604</x:v>
      </x:c>
      <x:c r="Q829" s="54" t="n">
        <x:f>P829-E829</x:f>
        <x:v>-15.861153415633964</x:v>
      </x:c>
      <x:c r="R829" s="16" t="str">
        <x:v>No</x:v>
      </x:c>
      <x:c r="S829" s="56"/>
      <x:c r="T829" s="56"/>
      <x:c r="U829" s="40" t="n">
        <x:f>E829*Assumptions!$B$8</x:f>
        <x:v>230.35</x:v>
      </x:c>
      <x:c r="V829" s="40" t="n">
        <x:f>P829*Assumptions!$B$8</x:f>
        <x:v>216.86801959671112</x:v>
      </x:c>
      <x:c r="W829" s="54" t="n">
        <x:f>V829-U829</x:f>
        <x:v>-13.481980403288873</x:v>
      </x:c>
      <x:c r="X829" s="58" t="str">
        <x:f>IF(R829="No","",W829*S829)</x:f>
      </x:c>
      <x:c r="Y829" s="58" t="str">
        <x:f>IF(R829="No","",W829*T829*Assumptions!$B$9)</x:f>
      </x:c>
      <x:c r="Z829" s="58" t="str">
        <x:f>IF(R829="No","",X829-Y829)</x:f>
      </x:c>
      <x:c r="AA829" s="58" t="str">
        <x:f>IF(R829="No","",MAX(0,-Z829))</x:f>
      </x:c>
      <x:c r="AB829" s="52" t="str">
        <x:f>IF(OR(R829="No",U829*S829=0),"",AA829/(U829*S829))</x:f>
      </x:c>
      <x:c r="AC829" s="54" t="str">
        <x:f>IF(OR(R829="No",S829-T829*Assumptions!$B$9&lt;=0),"",AA829/(Assumptions!$B$8*(S829-T829*Assumptions!$B$9)))</x:f>
      </x:c>
      <x:c r="AD829" s="52" t="str">
        <x:f>IF(OR(R829="No",U829*S829=0),"",AA829/(U829*S829))</x:f>
      </x:c>
      <x:c r="AE829" s="50" t="str">
        <x:f>IF(R829="No","No finance data",IF(AB829&gt;=10%,"Severe",IF(AB829&gt;=5%,"High",IF(AB829&gt;=2%,"Moderate","Low"))))</x:f>
        <x:v>No finance data</x:v>
      </x:c>
      <x:c r="AF829" s="60"/>
      <x:c r="AG829" s="60"/>
      <x:c r="AH829" s="44" t="str">
        <x:v>Undergraduate tuition-contribution proxy only; not an audited total institutional budget.</x:v>
      </x:c>
    </x:row>
    <x:row r="830">
      <x:c r="A830" s="16" t="n">
        <x:v>445267</x:v>
      </x:c>
      <x:c r="B830" s="16" t="str">
        <x:v>Central Methodist University-College of Graduate and Extended Studies</x:v>
      </x:c>
      <x:c r="C830" s="16" t="str">
        <x:v>MO</x:v>
      </x:c>
      <x:c r="D830" s="16" t="str">
        <x:v>Private nonprofit</x:v>
      </x:c>
      <x:c r="E830" s="34" t="n">
        <x:v>1821</x:v>
      </x:c>
      <x:c r="F830" s="21" t="n">
        <x:v>1</x:v>
      </x:c>
      <x:c r="G830" s="16" t="str">
        <x:v>Regional</x:v>
      </x:c>
      <x:c r="H830" s="36" t="n">
        <x:f>IF(G830="National",Assumptions!$B$11,IF(G830="Statewide",Assumptions!$B$12,Assumptions!$B$13))</x:f>
        <x:v>0.85</x:v>
      </x:c>
      <x:c r="I830" s="21" t="n">
        <x:v>-0.06261144076466629</x:v>
      </x:c>
      <x:c r="J830" s="21" t="n">
        <x:v>-0.06049223933822456</x:v>
      </x:c>
      <x:c r="K830" s="21" t="n">
        <x:v>-0.139458069042121</x:v>
      </x:c>
      <x:c r="L830" s="36" t="n">
        <x:f>IF(Assumptions!$B$4=2030,I830,IF(Assumptions!$B$4=2035,J830,K830))</x:f>
        <x:v>-0.06049223933822456</x:v>
      </x:c>
      <x:c r="M830" s="36" t="n">
        <x:f>Assumptions!$B$19</x:f>
        <x:v>-0.04739891965741583</x:v>
      </x:c>
      <x:c r="N830" s="52" t="n">
        <x:f>H830*L830+(1-H830)*M830+O830</x:f>
        <x:v>-0.058528241386103255</x:v>
      </x:c>
      <x:c r="O830" s="36" t="n">
        <x:f>Assumptions!$B$10</x:f>
        <x:v>0</x:v>
      </x:c>
      <x:c r="P830" s="54" t="n">
        <x:f>E830*(1+N830)</x:f>
        <x:v>1714.420072435906</x:v>
      </x:c>
      <x:c r="Q830" s="54" t="n">
        <x:f>P830-E830</x:f>
        <x:v>-106.57992756409408</x:v>
      </x:c>
      <x:c r="R830" s="16" t="str">
        <x:v>Yes</x:v>
      </x:c>
      <x:c r="S830" s="56" t="n">
        <x:v>3077</x:v>
      </x:c>
      <x:c r="T830" s="56" t="n">
        <x:v>2122</x:v>
      </x:c>
      <x:c r="U830" s="40" t="n">
        <x:f>E830*Assumptions!$B$8</x:f>
        <x:v>1547.85</x:v>
      </x:c>
      <x:c r="V830" s="40" t="n">
        <x:f>P830*Assumptions!$B$8</x:f>
        <x:v>1457.25706157052</x:v>
      </x:c>
      <x:c r="W830" s="54" t="n">
        <x:f>V830-U830</x:f>
        <x:v>-90.59293842948</x:v>
      </x:c>
      <x:c r="X830" s="58" t="n">
        <x:f>IF(R830="No","",W830*S830)</x:f>
        <x:v>-278754.47154750995</x:v>
      </x:c>
      <x:c r="Y830" s="58" t="n">
        <x:f>IF(R830="No","",W830*T830*Assumptions!$B$9)</x:f>
        <x:v>-57671.46460420697</x:v>
      </x:c>
      <x:c r="Z830" s="58" t="n">
        <x:f>IF(R830="No","",X830-Y830)</x:f>
        <x:v>-221083.006943303</x:v>
      </x:c>
      <x:c r="AA830" s="58" t="n">
        <x:f>IF(R830="No","",MAX(0,-Z830))</x:f>
        <x:v>221083.006943303</x:v>
      </x:c>
      <x:c r="AB830" s="52" t="n">
        <x:f>IF(OR(R830="No",U830*S830=0),"",AA830/(U830*S830))</x:f>
        <x:v>0.04641934360696995</x:v>
      </x:c>
      <x:c r="AC830" s="54" t="n">
        <x:f>IF(OR(R830="No",S830-T830*Assumptions!$B$9&lt;=0),"",AA830/(Assumptions!$B$8*(S830-T830*Assumptions!$B$9)))</x:f>
        <x:v>106.5799275640941</x:v>
      </x:c>
      <x:c r="AD830" s="52" t="n">
        <x:f>IF(OR(R830="No",U830*S830=0),"",AA830/(U830*S830))</x:f>
        <x:v>0.04641934360696995</x:v>
      </x:c>
      <x:c r="AE830" s="50" t="str">
        <x:f>IF(R830="No","No finance data",IF(AB830&gt;=10%,"Severe",IF(AB830&gt;=5%,"High",IF(AB830&gt;=2%,"Moderate","Low"))))</x:f>
        <x:v>Moderate</x:v>
      </x:c>
      <x:c r="AF830" s="60" t="n">
        <x:v>39.150497</x:v>
      </x:c>
      <x:c r="AG830" s="60" t="n">
        <x:v>-92.685253</x:v>
      </x:c>
      <x:c r="AH830" s="44" t="str">
        <x:v>Undergraduate tuition-contribution proxy only; not an audited total institutional budget.</x:v>
      </x:c>
    </x:row>
    <x:row r="831">
      <x:c r="A831" s="16" t="n">
        <x:v>176947</x:v>
      </x:c>
      <x:c r="B831" s="16" t="str">
        <x:v>Central Methodist University-College of Liberal Arts and Sciences</x:v>
      </x:c>
      <x:c r="C831" s="16" t="str">
        <x:v>MO</x:v>
      </x:c>
      <x:c r="D831" s="16" t="str">
        <x:v>Private nonprofit</x:v>
      </x:c>
      <x:c r="E831" s="34" t="n">
        <x:v>1091</x:v>
      </x:c>
      <x:c r="F831" s="21" t="n">
        <x:v>0.9896</x:v>
      </x:c>
      <x:c r="G831" s="16" t="str">
        <x:v>Regional</x:v>
      </x:c>
      <x:c r="H831" s="36" t="n">
        <x:f>IF(G831="National",Assumptions!$B$11,IF(G831="Statewide",Assumptions!$B$12,Assumptions!$B$13))</x:f>
        <x:v>0.85</x:v>
      </x:c>
      <x:c r="I831" s="21" t="n">
        <x:v>-0.06261144076466629</x:v>
      </x:c>
      <x:c r="J831" s="21" t="n">
        <x:v>-0.06049223933822456</x:v>
      </x:c>
      <x:c r="K831" s="21" t="n">
        <x:v>-0.139458069042121</x:v>
      </x:c>
      <x:c r="L831" s="36" t="n">
        <x:f>IF(Assumptions!$B$4=2030,I831,IF(Assumptions!$B$4=2035,J831,K831))</x:f>
        <x:v>-0.06049223933822456</x:v>
      </x:c>
      <x:c r="M831" s="36" t="n">
        <x:f>Assumptions!$B$19</x:f>
        <x:v>-0.04739891965741583</x:v>
      </x:c>
      <x:c r="N831" s="52" t="n">
        <x:f>H831*L831+(1-H831)*M831+O831</x:f>
        <x:v>-0.058528241386103255</x:v>
      </x:c>
      <x:c r="O831" s="36" t="n">
        <x:f>Assumptions!$B$10</x:f>
        <x:v>0</x:v>
      </x:c>
      <x:c r="P831" s="54" t="n">
        <x:f>E831*(1+N831)</x:f>
        <x:v>1027.1456886477613</x:v>
      </x:c>
      <x:c r="Q831" s="54" t="n">
        <x:f>P831-E831</x:f>
        <x:v>-63.85431135223871</x:v>
      </x:c>
      <x:c r="R831" s="16" t="str">
        <x:v>Yes</x:v>
      </x:c>
      <x:c r="S831" s="56" t="n">
        <x:v>15740</x:v>
      </x:c>
      <x:c r="T831" s="56" t="n">
        <x:v>10855</x:v>
      </x:c>
      <x:c r="U831" s="40" t="n">
        <x:f>E831*Assumptions!$B$8</x:f>
        <x:v>927.35</x:v>
      </x:c>
      <x:c r="V831" s="40" t="n">
        <x:f>P831*Assumptions!$B$8</x:f>
        <x:v>873.073835350597</x:v>
      </x:c>
      <x:c r="W831" s="54" t="n">
        <x:f>V831-U831</x:f>
        <x:v>-54.27616464940297</x:v>
      </x:c>
      <x:c r="X831" s="58" t="n">
        <x:f>IF(R831="No","",W831*S831)</x:f>
        <x:v>-854306.8315816028</x:v>
      </x:c>
      <x:c r="Y831" s="58" t="n">
        <x:f>IF(R831="No","",W831*T831*Assumptions!$B$9)</x:f>
        <x:v>-176750.33018078076</x:v>
      </x:c>
      <x:c r="Z831" s="58" t="n">
        <x:f>IF(R831="No","",X831-Y831)</x:f>
        <x:v>-677556.5014008221</x:v>
      </x:c>
      <x:c r="AA831" s="58" t="n">
        <x:f>IF(R831="No","",MAX(0,-Z831))</x:f>
        <x:v>677556.5014008221</x:v>
      </x:c>
      <x:c r="AB831" s="52" t="n">
        <x:f>IF(OR(R831="No",U831*S831=0),"",AA831/(U831*S831))</x:f>
        <x:v>0.04641914239793022</x:v>
      </x:c>
      <x:c r="AC831" s="54" t="n">
        <x:f>IF(OR(R831="No",S831-T831*Assumptions!$B$9&lt;=0),"",AA831/(Assumptions!$B$8*(S831-T831*Assumptions!$B$9)))</x:f>
        <x:v>63.854311352238796</x:v>
      </x:c>
      <x:c r="AD831" s="52" t="n">
        <x:f>IF(OR(R831="No",U831*S831=0),"",AA831/(U831*S831))</x:f>
        <x:v>0.04641914239793022</x:v>
      </x:c>
      <x:c r="AE831" s="50" t="str">
        <x:f>IF(R831="No","No finance data",IF(AB831&gt;=10%,"Severe",IF(AB831&gt;=5%,"High",IF(AB831&gt;=2%,"Moderate","Low"))))</x:f>
        <x:v>Moderate</x:v>
      </x:c>
      <x:c r="AF831" s="60" t="n">
        <x:v>39.150497</x:v>
      </x:c>
      <x:c r="AG831" s="60" t="n">
        <x:v>-92.685253</x:v>
      </x:c>
      <x:c r="AH831" s="44" t="str">
        <x:v>Undergraduate tuition-contribution proxy only; not an audited total institutional budget.</x:v>
      </x:c>
    </x:row>
    <x:row r="832">
      <x:c r="A832" s="16" t="n">
        <x:v>457697</x:v>
      </x:c>
      <x:c r="B832" s="16" t="str">
        <x:v>City Vision University</x:v>
      </x:c>
      <x:c r="C832" s="16" t="str">
        <x:v>MO</x:v>
      </x:c>
      <x:c r="D832" s="16" t="str">
        <x:v>Private nonprofit</x:v>
      </x:c>
      <x:c r="E832" s="34" t="n">
        <x:v>72</x:v>
      </x:c>
      <x:c r="F832" s="21"/>
      <x:c r="G832" s="16" t="str">
        <x:v>Regional</x:v>
      </x:c>
      <x:c r="H832" s="36" t="n">
        <x:f>IF(G832="National",Assumptions!$B$11,IF(G832="Statewide",Assumptions!$B$12,Assumptions!$B$13))</x:f>
        <x:v>0.85</x:v>
      </x:c>
      <x:c r="I832" s="21" t="n">
        <x:v>-0.06261144076466629</x:v>
      </x:c>
      <x:c r="J832" s="21" t="n">
        <x:v>-0.06049223933822456</x:v>
      </x:c>
      <x:c r="K832" s="21" t="n">
        <x:v>-0.139458069042121</x:v>
      </x:c>
      <x:c r="L832" s="36" t="n">
        <x:f>IF(Assumptions!$B$4=2030,I832,IF(Assumptions!$B$4=2035,J832,K832))</x:f>
        <x:v>-0.06049223933822456</x:v>
      </x:c>
      <x:c r="M832" s="36" t="n">
        <x:f>Assumptions!$B$19</x:f>
        <x:v>-0.04739891965741583</x:v>
      </x:c>
      <x:c r="N832" s="52" t="n">
        <x:f>H832*L832+(1-H832)*M832+O832</x:f>
        <x:v>-0.058528241386103255</x:v>
      </x:c>
      <x:c r="O832" s="36" t="n">
        <x:f>Assumptions!$B$10</x:f>
        <x:v>0</x:v>
      </x:c>
      <x:c r="P832" s="54" t="n">
        <x:f>E832*(1+N832)</x:f>
        <x:v>67.78596662020057</x:v>
      </x:c>
      <x:c r="Q832" s="54" t="n">
        <x:f>P832-E832</x:f>
        <x:v>-4.214033379799432</x:v>
      </x:c>
      <x:c r="R832" s="16" t="str">
        <x:v>No</x:v>
      </x:c>
      <x:c r="S832" s="56"/>
      <x:c r="T832" s="56"/>
      <x:c r="U832" s="40" t="n">
        <x:f>E832*Assumptions!$B$8</x:f>
        <x:v>61.199999999999996</x:v>
      </x:c>
      <x:c r="V832" s="40" t="n">
        <x:f>P832*Assumptions!$B$8</x:f>
        <x:v>57.61807162717048</x:v>
      </x:c>
      <x:c r="W832" s="54" t="n">
        <x:f>V832-U832</x:f>
        <x:v>-3.581928372829516</x:v>
      </x:c>
      <x:c r="X832" s="58" t="str">
        <x:f>IF(R832="No","",W832*S832)</x:f>
      </x:c>
      <x:c r="Y832" s="58" t="str">
        <x:f>IF(R832="No","",W832*T832*Assumptions!$B$9)</x:f>
      </x:c>
      <x:c r="Z832" s="58" t="str">
        <x:f>IF(R832="No","",X832-Y832)</x:f>
      </x:c>
      <x:c r="AA832" s="58" t="str">
        <x:f>IF(R832="No","",MAX(0,-Z832))</x:f>
      </x:c>
      <x:c r="AB832" s="52" t="str">
        <x:f>IF(OR(R832="No",U832*S832=0),"",AA832/(U832*S832))</x:f>
      </x:c>
      <x:c r="AC832" s="54" t="str">
        <x:f>IF(OR(R832="No",S832-T832*Assumptions!$B$9&lt;=0),"",AA832/(Assumptions!$B$8*(S832-T832*Assumptions!$B$9)))</x:f>
      </x:c>
      <x:c r="AD832" s="52" t="str">
        <x:f>IF(OR(R832="No",U832*S832=0),"",AA832/(U832*S832))</x:f>
      </x:c>
      <x:c r="AE832" s="50" t="str">
        <x:f>IF(R832="No","No finance data",IF(AB832&gt;=10%,"Severe",IF(AB832&gt;=5%,"High",IF(AB832&gt;=2%,"Moderate","Low"))))</x:f>
        <x:v>No finance data</x:v>
      </x:c>
      <x:c r="AF832" s="60"/>
      <x:c r="AG832" s="60"/>
      <x:c r="AH832" s="44" t="str">
        <x:v>Undergraduate tuition-contribution proxy only; not an audited total institutional budget.</x:v>
      </x:c>
    </x:row>
    <x:row r="833">
      <x:c r="A833" s="16" t="n">
        <x:v>178697</x:v>
      </x:c>
      <x:c r="B833" s="16" t="str">
        <x:v>College of the Ozarks</x:v>
      </x:c>
      <x:c r="C833" s="16" t="str">
        <x:v>MO</x:v>
      </x:c>
      <x:c r="D833" s="16" t="str">
        <x:v>Private nonprofit</x:v>
      </x:c>
      <x:c r="E833" s="34" t="n">
        <x:v>1441</x:v>
      </x:c>
      <x:c r="F833" s="21" t="n">
        <x:v>0.2051</x:v>
      </x:c>
      <x:c r="G833" s="16" t="str">
        <x:v>National</x:v>
      </x:c>
      <x:c r="H833" s="36" t="n">
        <x:f>IF(G833="National",Assumptions!$B$11,IF(G833="Statewide",Assumptions!$B$12,Assumptions!$B$13))</x:f>
        <x:v>0.25</x:v>
      </x:c>
      <x:c r="I833" s="21" t="n">
        <x:v>-0.06261144076466629</x:v>
      </x:c>
      <x:c r="J833" s="21" t="n">
        <x:v>-0.06049223933822456</x:v>
      </x:c>
      <x:c r="K833" s="21" t="n">
        <x:v>-0.139458069042121</x:v>
      </x:c>
      <x:c r="L833" s="36" t="n">
        <x:f>IF(Assumptions!$B$4=2030,I833,IF(Assumptions!$B$4=2035,J833,K833))</x:f>
        <x:v>-0.06049223933822456</x:v>
      </x:c>
      <x:c r="M833" s="36" t="n">
        <x:f>Assumptions!$B$19</x:f>
        <x:v>-0.04739891965741583</x:v>
      </x:c>
      <x:c r="N833" s="52" t="n">
        <x:f>H833*L833+(1-H833)*M833+O833</x:f>
        <x:v>-0.05067224957761801</x:v>
      </x:c>
      <x:c r="O833" s="36" t="n">
        <x:f>Assumptions!$B$10</x:f>
        <x:v>0</x:v>
      </x:c>
      <x:c r="P833" s="54" t="n">
        <x:f>E833*(1+N833)</x:f>
        <x:v>1367.9812883586526</x:v>
      </x:c>
      <x:c r="Q833" s="54" t="n">
        <x:f>P833-E833</x:f>
        <x:v>-73.01871164134741</x:v>
      </x:c>
      <x:c r="R833" s="16" t="str">
        <x:v>Yes</x:v>
      </x:c>
      <x:c r="S833" s="56" t="n">
        <x:v>4615</x:v>
      </x:c>
      <x:c r="T833" s="56" t="n">
        <x:v>9828</x:v>
      </x:c>
      <x:c r="U833" s="40" t="n">
        <x:f>E833*Assumptions!$B$8</x:f>
        <x:v>1224.85</x:v>
      </x:c>
      <x:c r="V833" s="40" t="n">
        <x:f>P833*Assumptions!$B$8</x:f>
        <x:v>1162.7840951048547</x:v>
      </x:c>
      <x:c r="W833" s="54" t="n">
        <x:f>V833-U833</x:f>
        <x:v>-62.065904895145195</x:v>
      </x:c>
      <x:c r="X833" s="58" t="n">
        <x:f>IF(R833="No","",W833*S833)</x:f>
        <x:v>-286434.15109109506</x:v>
      </x:c>
      <x:c r="Y833" s="58" t="n">
        <x:f>IF(R833="No","",W833*T833*Assumptions!$B$9)</x:f>
        <x:v>-182995.11399284608</x:v>
      </x:c>
      <x:c r="Z833" s="58" t="n">
        <x:f>IF(R833="No","",X833-Y833)</x:f>
        <x:v>-103439.03709824898</x:v>
      </x:c>
      <x:c r="AA833" s="58" t="n">
        <x:f>IF(R833="No","",MAX(0,-Z833))</x:f>
        <x:v>103439.03709824898</x:v>
      </x:c>
      <x:c r="AB833" s="52" t="n">
        <x:f>IF(OR(R833="No",U833*S833=0),"",AA833/(U833*S833))</x:f>
        <x:v>0.01829910534042424</x:v>
      </x:c>
      <x:c r="AC833" s="54" t="n">
        <x:f>IF(OR(R833="No",S833-T833*Assumptions!$B$9&lt;=0),"",AA833/(Assumptions!$B$8*(S833-T833*Assumptions!$B$9)))</x:f>
        <x:v>73.0187116413473</x:v>
      </x:c>
      <x:c r="AD833" s="52" t="n">
        <x:f>IF(OR(R833="No",U833*S833=0),"",AA833/(U833*S833))</x:f>
        <x:v>0.01829910534042424</x:v>
      </x:c>
      <x:c r="AE833" s="50" t="str">
        <x:f>IF(R833="No","No finance data",IF(AB833&gt;=10%,"Severe",IF(AB833&gt;=5%,"High",IF(AB833&gt;=2%,"Moderate","Low"))))</x:f>
        <x:v>Low</x:v>
      </x:c>
      <x:c r="AF833" s="60" t="n">
        <x:v>36.616019</x:v>
      </x:c>
      <x:c r="AG833" s="60" t="n">
        <x:v>-93.238174</x:v>
      </x:c>
      <x:c r="AH833" s="44" t="str">
        <x:v>Undergraduate tuition-contribution proxy only; not an audited total institutional budget.</x:v>
      </x:c>
    </x:row>
    <x:row r="834">
      <x:c r="A834" s="16" t="n">
        <x:v>177065</x:v>
      </x:c>
      <x:c r="B834" s="16" t="str">
        <x:v>Columbia College</x:v>
      </x:c>
      <x:c r="C834" s="16" t="str">
        <x:v>MO</x:v>
      </x:c>
      <x:c r="D834" s="16" t="str">
        <x:v>Private nonprofit</x:v>
      </x:c>
      <x:c r="E834" s="34" t="n">
        <x:v>13418</x:v>
      </x:c>
      <x:c r="F834" s="21"/>
      <x:c r="G834" s="16" t="str">
        <x:v>Statewide</x:v>
      </x:c>
      <x:c r="H834" s="36" t="n">
        <x:f>IF(G834="National",Assumptions!$B$11,IF(G834="Statewide",Assumptions!$B$12,Assumptions!$B$13))</x:f>
        <x:v>0.6</x:v>
      </x:c>
      <x:c r="I834" s="21" t="n">
        <x:v>-0.06261144076466629</x:v>
      </x:c>
      <x:c r="J834" s="21" t="n">
        <x:v>-0.06049223933822456</x:v>
      </x:c>
      <x:c r="K834" s="21" t="n">
        <x:v>-0.139458069042121</x:v>
      </x:c>
      <x:c r="L834" s="36" t="n">
        <x:f>IF(Assumptions!$B$4=2030,I834,IF(Assumptions!$B$4=2035,J834,K834))</x:f>
        <x:v>-0.06049223933822456</x:v>
      </x:c>
      <x:c r="M834" s="36" t="n">
        <x:f>Assumptions!$B$19</x:f>
        <x:v>-0.04739891965741583</x:v>
      </x:c>
      <x:c r="N834" s="52" t="n">
        <x:f>H834*L834+(1-H834)*M834+O834</x:f>
        <x:v>-0.05525491146590107</x:v>
      </x:c>
      <x:c r="O834" s="36" t="n">
        <x:f>Assumptions!$B$10</x:f>
        <x:v>0</x:v>
      </x:c>
      <x:c r="P834" s="54" t="n">
        <x:f>E834*(1+N834)</x:f>
        <x:v>12676.589597950539</x:v>
      </x:c>
      <x:c r="Q834" s="54" t="n">
        <x:f>P834-E834</x:f>
        <x:v>-741.4104020494615</x:v>
      </x:c>
      <x:c r="R834" s="16" t="str">
        <x:v>Yes</x:v>
      </x:c>
      <x:c r="S834" s="56" t="n">
        <x:v>10335</x:v>
      </x:c>
      <x:c r="T834" s="56" t="n">
        <x:v>6673</x:v>
      </x:c>
      <x:c r="U834" s="40" t="n">
        <x:f>E834*Assumptions!$B$8</x:f>
        <x:v>11405.3</x:v>
      </x:c>
      <x:c r="V834" s="40" t="n">
        <x:f>P834*Assumptions!$B$8</x:f>
        <x:v>10775.101158257958</x:v>
      </x:c>
      <x:c r="W834" s="54" t="n">
        <x:f>V834-U834</x:f>
        <x:v>-630.1988417420416</x:v>
      </x:c>
      <x:c r="X834" s="58" t="n">
        <x:f>IF(R834="No","",W834*S834)</x:f>
        <x:v>-6513105.029404</x:v>
      </x:c>
      <x:c r="Y834" s="58" t="n">
        <x:f>IF(R834="No","",W834*T834*Assumptions!$B$9)</x:f>
        <x:v>-1261595.061283393</x:v>
      </x:c>
      <x:c r="Z834" s="58" t="n">
        <x:f>IF(R834="No","",X834-Y834)</x:f>
        <x:v>-5251509.968120608</x:v>
      </x:c>
      <x:c r="AA834" s="58" t="n">
        <x:f>IF(R834="No","",MAX(0,-Z834))</x:f>
        <x:v>5251509.968120608</x:v>
      </x:c>
      <x:c r="AB834" s="52" t="n">
        <x:f>IF(OR(R834="No",U834*S834=0),"",AA834/(U834*S834))</x:f>
        <x:v>0.044551978977890705</x:v>
      </x:c>
      <x:c r="AC834" s="54" t="n">
        <x:f>IF(OR(R834="No",S834-T834*Assumptions!$B$9&lt;=0),"",AA834/(Assumptions!$B$8*(S834-T834*Assumptions!$B$9)))</x:f>
        <x:v>741.4104020494608</x:v>
      </x:c>
      <x:c r="AD834" s="52" t="n">
        <x:f>IF(OR(R834="No",U834*S834=0),"",AA834/(U834*S834))</x:f>
        <x:v>0.044551978977890705</x:v>
      </x:c>
      <x:c r="AE834" s="50" t="str">
        <x:f>IF(R834="No","No finance data",IF(AB834&gt;=10%,"Severe",IF(AB834&gt;=5%,"High",IF(AB834&gt;=2%,"Moderate","Low"))))</x:f>
        <x:v>Moderate</x:v>
      </x:c>
      <x:c r="AF834" s="60" t="n">
        <x:v>38.957388</x:v>
      </x:c>
      <x:c r="AG834" s="60" t="n">
        <x:v>-92.326354</x:v>
      </x:c>
      <x:c r="AH834" s="44" t="str">
        <x:v>Undergraduate tuition-contribution proxy only; not an audited total institutional budget.</x:v>
      </x:c>
    </x:row>
    <x:row r="835">
      <x:c r="A835" s="16" t="n">
        <x:v>177083</x:v>
      </x:c>
      <x:c r="B835" s="16" t="str">
        <x:v>Conception Seminary College</x:v>
      </x:c>
      <x:c r="C835" s="16" t="str">
        <x:v>MO</x:v>
      </x:c>
      <x:c r="D835" s="16" t="str">
        <x:v>Private nonprofit</x:v>
      </x:c>
      <x:c r="E835" s="34" t="n">
        <x:v>93</x:v>
      </x:c>
      <x:c r="F835" s="21"/>
      <x:c r="G835" s="16" t="str">
        <x:v>Regional</x:v>
      </x:c>
      <x:c r="H835" s="36" t="n">
        <x:f>IF(G835="National",Assumptions!$B$11,IF(G835="Statewide",Assumptions!$B$12,Assumptions!$B$13))</x:f>
        <x:v>0.85</x:v>
      </x:c>
      <x:c r="I835" s="21" t="n">
        <x:v>-0.06261144076466629</x:v>
      </x:c>
      <x:c r="J835" s="21" t="n">
        <x:v>-0.06049223933822456</x:v>
      </x:c>
      <x:c r="K835" s="21" t="n">
        <x:v>-0.139458069042121</x:v>
      </x:c>
      <x:c r="L835" s="36" t="n">
        <x:f>IF(Assumptions!$B$4=2030,I835,IF(Assumptions!$B$4=2035,J835,K835))</x:f>
        <x:v>-0.06049223933822456</x:v>
      </x:c>
      <x:c r="M835" s="36" t="n">
        <x:f>Assumptions!$B$19</x:f>
        <x:v>-0.04739891965741583</x:v>
      </x:c>
      <x:c r="N835" s="52" t="n">
        <x:f>H835*L835+(1-H835)*M835+O835</x:f>
        <x:v>-0.058528241386103255</x:v>
      </x:c>
      <x:c r="O835" s="36" t="n">
        <x:f>Assumptions!$B$10</x:f>
        <x:v>0</x:v>
      </x:c>
      <x:c r="P835" s="54" t="n">
        <x:f>E835*(1+N835)</x:f>
        <x:v>87.5568735510924</x:v>
      </x:c>
      <x:c r="Q835" s="54" t="n">
        <x:f>P835-E835</x:f>
        <x:v>-5.443126448907606</x:v>
      </x:c>
      <x:c r="R835" s="16" t="str">
        <x:v>No</x:v>
      </x:c>
      <x:c r="S835" s="56"/>
      <x:c r="T835" s="56"/>
      <x:c r="U835" s="40" t="n">
        <x:f>E835*Assumptions!$B$8</x:f>
        <x:v>79.05</x:v>
      </x:c>
      <x:c r="V835" s="40" t="n">
        <x:f>P835*Assumptions!$B$8</x:f>
        <x:v>74.42334251842853</x:v>
      </x:c>
      <x:c r="W835" s="54" t="n">
        <x:f>V835-U835</x:f>
        <x:v>-4.6266574815714705</x:v>
      </x:c>
      <x:c r="X835" s="58" t="str">
        <x:f>IF(R835="No","",W835*S835)</x:f>
      </x:c>
      <x:c r="Y835" s="58" t="str">
        <x:f>IF(R835="No","",W835*T835*Assumptions!$B$9)</x:f>
      </x:c>
      <x:c r="Z835" s="58" t="str">
        <x:f>IF(R835="No","",X835-Y835)</x:f>
      </x:c>
      <x:c r="AA835" s="58" t="str">
        <x:f>IF(R835="No","",MAX(0,-Z835))</x:f>
      </x:c>
      <x:c r="AB835" s="52" t="str">
        <x:f>IF(OR(R835="No",U835*S835=0),"",AA835/(U835*S835))</x:f>
      </x:c>
      <x:c r="AC835" s="54" t="str">
        <x:f>IF(OR(R835="No",S835-T835*Assumptions!$B$9&lt;=0),"",AA835/(Assumptions!$B$8*(S835-T835*Assumptions!$B$9)))</x:f>
      </x:c>
      <x:c r="AD835" s="52" t="str">
        <x:f>IF(OR(R835="No",U835*S835=0),"",AA835/(U835*S835))</x:f>
      </x:c>
      <x:c r="AE835" s="50" t="str">
        <x:f>IF(R835="No","No finance data",IF(AB835&gt;=10%,"Severe",IF(AB835&gt;=5%,"High",IF(AB835&gt;=2%,"Moderate","Low"))))</x:f>
        <x:v>No finance data</x:v>
      </x:c>
      <x:c r="AF835" s="60"/>
      <x:c r="AG835" s="60"/>
      <x:c r="AH835" s="44" t="str">
        <x:v>Undergraduate tuition-contribution proxy only; not an audited total institutional budget.</x:v>
      </x:c>
    </x:row>
    <x:row r="836">
      <x:c r="A836" s="16" t="n">
        <x:v>176770</x:v>
      </x:c>
      <x:c r="B836" s="16" t="str">
        <x:v>Cox College</x:v>
      </x:c>
      <x:c r="C836" s="16" t="str">
        <x:v>MO</x:v>
      </x:c>
      <x:c r="D836" s="16" t="str">
        <x:v>Private nonprofit</x:v>
      </x:c>
      <x:c r="E836" s="34" t="n">
        <x:v>773</x:v>
      </x:c>
      <x:c r="F836" s="21" t="n">
        <x:v>0.3939</x:v>
      </x:c>
      <x:c r="G836" s="16" t="str">
        <x:v>Regional</x:v>
      </x:c>
      <x:c r="H836" s="36" t="n">
        <x:f>IF(G836="National",Assumptions!$B$11,IF(G836="Statewide",Assumptions!$B$12,Assumptions!$B$13))</x:f>
        <x:v>0.85</x:v>
      </x:c>
      <x:c r="I836" s="21" t="n">
        <x:v>-0.06261144076466629</x:v>
      </x:c>
      <x:c r="J836" s="21" t="n">
        <x:v>-0.06049223933822456</x:v>
      </x:c>
      <x:c r="K836" s="21" t="n">
        <x:v>-0.139458069042121</x:v>
      </x:c>
      <x:c r="L836" s="36" t="n">
        <x:f>IF(Assumptions!$B$4=2030,I836,IF(Assumptions!$B$4=2035,J836,K836))</x:f>
        <x:v>-0.06049223933822456</x:v>
      </x:c>
      <x:c r="M836" s="36" t="n">
        <x:f>Assumptions!$B$19</x:f>
        <x:v>-0.04739891965741583</x:v>
      </x:c>
      <x:c r="N836" s="52" t="n">
        <x:f>H836*L836+(1-H836)*M836+O836</x:f>
        <x:v>-0.058528241386103255</x:v>
      </x:c>
      <x:c r="O836" s="36" t="n">
        <x:f>Assumptions!$B$10</x:f>
        <x:v>0</x:v>
      </x:c>
      <x:c r="P836" s="54" t="n">
        <x:f>E836*(1+N836)</x:f>
        <x:v>727.7576694085421</x:v>
      </x:c>
      <x:c r="Q836" s="54" t="n">
        <x:f>P836-E836</x:f>
        <x:v>-45.24233059145786</x:v>
      </x:c>
      <x:c r="R836" s="16" t="str">
        <x:v>Yes</x:v>
      </x:c>
      <x:c r="S836" s="56" t="n">
        <x:v>16969</x:v>
      </x:c>
      <x:c r="T836" s="56" t="n">
        <x:v>11698</x:v>
      </x:c>
      <x:c r="U836" s="40" t="n">
        <x:f>E836*Assumptions!$B$8</x:f>
        <x:v>657.05</x:v>
      </x:c>
      <x:c r="V836" s="40" t="n">
        <x:f>P836*Assumptions!$B$8</x:f>
        <x:v>618.5940189972608</x:v>
      </x:c>
      <x:c r="W836" s="54" t="n">
        <x:f>V836-U836</x:f>
        <x:v>-38.45598100273912</x:v>
      </x:c>
      <x:c r="X836" s="58" t="n">
        <x:f>IF(R836="No","",W836*S836)</x:f>
        <x:v>-652559.5416354801</x:v>
      </x:c>
      <x:c r="Y836" s="58" t="n">
        <x:f>IF(R836="No","",W836*T836*Assumptions!$B$9)</x:f>
        <x:v>-134957.41973101266</x:v>
      </x:c>
      <x:c r="Z836" s="58" t="n">
        <x:f>IF(R836="No","",X836-Y836)</x:f>
        <x:v>-517602.12190446747</x:v>
      </x:c>
      <x:c r="AA836" s="58" t="n">
        <x:f>IF(R836="No","",MAX(0,-Z836))</x:f>
        <x:v>517602.12190446747</x:v>
      </x:c>
      <x:c r="AB836" s="52" t="n">
        <x:f>IF(OR(R836="No",U836*S836=0),"",AA836/(U836*S836))</x:f>
        <x:v>0.04642387399141935</x:v>
      </x:c>
      <x:c r="AC836" s="54" t="n">
        <x:f>IF(OR(R836="No",S836-T836*Assumptions!$B$9&lt;=0),"",AA836/(Assumptions!$B$8*(S836-T836*Assumptions!$B$9)))</x:f>
        <x:v>45.24233059145779</x:v>
      </x:c>
      <x:c r="AD836" s="52" t="n">
        <x:f>IF(OR(R836="No",U836*S836=0),"",AA836/(U836*S836))</x:f>
        <x:v>0.04642387399141935</x:v>
      </x:c>
      <x:c r="AE836" s="50" t="str">
        <x:f>IF(R836="No","No finance data",IF(AB836&gt;=10%,"Severe",IF(AB836&gt;=5%,"High",IF(AB836&gt;=2%,"Moderate","Low"))))</x:f>
        <x:v>Moderate</x:v>
      </x:c>
      <x:c r="AF836" s="60" t="n">
        <x:v>37.225116</x:v>
      </x:c>
      <x:c r="AG836" s="60" t="n">
        <x:v>-93.290233</x:v>
      </x:c>
      <x:c r="AH836" s="44" t="str">
        <x:v>Undergraduate tuition-contribution proxy only; not an audited total institutional budget.</x:v>
      </x:c>
    </x:row>
    <x:row r="837">
      <x:c r="A837" s="16" t="n">
        <x:v>177144</x:v>
      </x:c>
      <x:c r="B837" s="16" t="str">
        <x:v>Culver-Stockton College</x:v>
      </x:c>
      <x:c r="C837" s="16" t="str">
        <x:v>MO</x:v>
      </x:c>
      <x:c r="D837" s="16" t="str">
        <x:v>Private nonprofit</x:v>
      </x:c>
      <x:c r="E837" s="34" t="n">
        <x:v>973</x:v>
      </x:c>
      <x:c r="F837" s="21" t="n">
        <x:v>0.9254</x:v>
      </x:c>
      <x:c r="G837" s="16" t="str">
        <x:v>Regional</x:v>
      </x:c>
      <x:c r="H837" s="36" t="n">
        <x:f>IF(G837="National",Assumptions!$B$11,IF(G837="Statewide",Assumptions!$B$12,Assumptions!$B$13))</x:f>
        <x:v>0.85</x:v>
      </x:c>
      <x:c r="I837" s="21" t="n">
        <x:v>-0.06261144076466629</x:v>
      </x:c>
      <x:c r="J837" s="21" t="n">
        <x:v>-0.06049223933822456</x:v>
      </x:c>
      <x:c r="K837" s="21" t="n">
        <x:v>-0.139458069042121</x:v>
      </x:c>
      <x:c r="L837" s="36" t="n">
        <x:f>IF(Assumptions!$B$4=2030,I837,IF(Assumptions!$B$4=2035,J837,K837))</x:f>
        <x:v>-0.06049223933822456</x:v>
      </x:c>
      <x:c r="M837" s="36" t="n">
        <x:f>Assumptions!$B$19</x:f>
        <x:v>-0.04739891965741583</x:v>
      </x:c>
      <x:c r="N837" s="52" t="n">
        <x:f>H837*L837+(1-H837)*M837+O837</x:f>
        <x:v>-0.058528241386103255</x:v>
      </x:c>
      <x:c r="O837" s="36" t="n">
        <x:f>Assumptions!$B$10</x:f>
        <x:v>0</x:v>
      </x:c>
      <x:c r="P837" s="54" t="n">
        <x:f>E837*(1+N837)</x:f>
        <x:v>916.0520211313216</x:v>
      </x:c>
      <x:c r="Q837" s="54" t="n">
        <x:f>P837-E837</x:f>
        <x:v>-56.94797886867843</x:v>
      </x:c>
      <x:c r="R837" s="16" t="str">
        <x:v>Yes</x:v>
      </x:c>
      <x:c r="S837" s="56" t="n">
        <x:v>10688</x:v>
      </x:c>
      <x:c r="T837" s="56" t="n">
        <x:v>4812</x:v>
      </x:c>
      <x:c r="U837" s="40" t="n">
        <x:f>E837*Assumptions!$B$8</x:f>
        <x:v>827.05</x:v>
      </x:c>
      <x:c r="V837" s="40" t="n">
        <x:f>P837*Assumptions!$B$8</x:f>
        <x:v>778.6442179616233</x:v>
      </x:c>
      <x:c r="W837" s="54" t="n">
        <x:f>V837-U837</x:f>
        <x:v>-48.40578203837663</x:v>
      </x:c>
      <x:c r="X837" s="58" t="n">
        <x:f>IF(R837="No","",W837*S837)</x:f>
        <x:v>-517360.9984261694</x:v>
      </x:c>
      <x:c r="Y837" s="58" t="n">
        <x:f>IF(R837="No","",W837*T837*Assumptions!$B$9)</x:f>
        <x:v>-69878.5869506005</x:v>
      </x:c>
      <x:c r="Z837" s="58" t="n">
        <x:f>IF(R837="No","",X837-Y837)</x:f>
        <x:v>-447482.4114755689</x:v>
      </x:c>
      <x:c r="AA837" s="58" t="n">
        <x:f>IF(R837="No","",MAX(0,-Z837))</x:f>
        <x:v>447482.4114755689</x:v>
      </x:c>
      <x:c r="AB837" s="52" t="n">
        <x:f>IF(OR(R837="No",U837*S837=0),"",AA837/(U837*S837))</x:f>
        <x:v>0.05062298602822718</x:v>
      </x:c>
      <x:c r="AC837" s="54" t="n">
        <x:f>IF(OR(R837="No",S837-T837*Assumptions!$B$9&lt;=0),"",AA837/(Assumptions!$B$8*(S837-T837*Assumptions!$B$9)))</x:f>
        <x:v>56.94797886867838</x:v>
      </x:c>
      <x:c r="AD837" s="52" t="n">
        <x:f>IF(OR(R837="No",U837*S837=0),"",AA837/(U837*S837))</x:f>
        <x:v>0.05062298602822718</x:v>
      </x:c>
      <x:c r="AE837" s="50" t="str">
        <x:f>IF(R837="No","No finance data",IF(AB837&gt;=10%,"Severe",IF(AB837&gt;=5%,"High",IF(AB837&gt;=2%,"Moderate","Low"))))</x:f>
        <x:v>High</x:v>
      </x:c>
      <x:c r="AF837" s="60" t="n">
        <x:v>40.128993</x:v>
      </x:c>
      <x:c r="AG837" s="60" t="n">
        <x:v>-91.529374</x:v>
      </x:c>
      <x:c r="AH837" s="44" t="str">
        <x:v>Undergraduate tuition-contribution proxy only; not an audited total institutional budget.</x:v>
      </x:c>
    </x:row>
    <x:row r="838">
      <x:c r="A838" s="16" t="n">
        <x:v>177214</x:v>
      </x:c>
      <x:c r="B838" s="16" t="str">
        <x:v>Drury University</x:v>
      </x:c>
      <x:c r="C838" s="16" t="str">
        <x:v>MO</x:v>
      </x:c>
      <x:c r="D838" s="16" t="str">
        <x:v>Private nonprofit</x:v>
      </x:c>
      <x:c r="E838" s="34" t="n">
        <x:v>3082</x:v>
      </x:c>
      <x:c r="F838" s="21" t="n">
        <x:v>0.6542</x:v>
      </x:c>
      <x:c r="G838" s="16" t="str">
        <x:v>Regional</x:v>
      </x:c>
      <x:c r="H838" s="36" t="n">
        <x:f>IF(G838="National",Assumptions!$B$11,IF(G838="Statewide",Assumptions!$B$12,Assumptions!$B$13))</x:f>
        <x:v>0.85</x:v>
      </x:c>
      <x:c r="I838" s="21" t="n">
        <x:v>-0.06261144076466629</x:v>
      </x:c>
      <x:c r="J838" s="21" t="n">
        <x:v>-0.06049223933822456</x:v>
      </x:c>
      <x:c r="K838" s="21" t="n">
        <x:v>-0.139458069042121</x:v>
      </x:c>
      <x:c r="L838" s="36" t="n">
        <x:f>IF(Assumptions!$B$4=2030,I838,IF(Assumptions!$B$4=2035,J838,K838))</x:f>
        <x:v>-0.06049223933822456</x:v>
      </x:c>
      <x:c r="M838" s="36" t="n">
        <x:f>Assumptions!$B$19</x:f>
        <x:v>-0.04739891965741583</x:v>
      </x:c>
      <x:c r="N838" s="52" t="n">
        <x:f>H838*L838+(1-H838)*M838+O838</x:f>
        <x:v>-0.058528241386103255</x:v>
      </x:c>
      <x:c r="O838" s="36" t="n">
        <x:f>Assumptions!$B$10</x:f>
        <x:v>0</x:v>
      </x:c>
      <x:c r="P838" s="54" t="n">
        <x:f>E838*(1+N838)</x:f>
        <x:v>2901.6159600480296</x:v>
      </x:c>
      <x:c r="Q838" s="54" t="n">
        <x:f>P838-E838</x:f>
        <x:v>-180.3840399519704</x:v>
      </x:c>
      <x:c r="R838" s="16" t="str">
        <x:v>Yes</x:v>
      </x:c>
      <x:c r="S838" s="56" t="n">
        <x:v>10894</x:v>
      </x:c>
      <x:c r="T838" s="56" t="n">
        <x:v>8693</x:v>
      </x:c>
      <x:c r="U838" s="40" t="n">
        <x:f>E838*Assumptions!$B$8</x:f>
        <x:v>2619.7</x:v>
      </x:c>
      <x:c r="V838" s="40" t="n">
        <x:f>P838*Assumptions!$B$8</x:f>
        <x:v>2466.373566040825</x:v>
      </x:c>
      <x:c r="W838" s="54" t="n">
        <x:f>V838-U838</x:f>
        <x:v>-153.32643395917466</x:v>
      </x:c>
      <x:c r="X838" s="58" t="n">
        <x:f>IF(R838="No","",W838*S838)</x:f>
        <x:v>-1670338.1715512488</x:v>
      </x:c>
      <x:c r="Y838" s="58" t="n">
        <x:f>IF(R838="No","",W838*T838*Assumptions!$B$9)</x:f>
        <x:v>-399860.0071221316</x:v>
      </x:c>
      <x:c r="Z838" s="58" t="n">
        <x:f>IF(R838="No","",X838-Y838)</x:f>
        <x:v>-1270478.1644291172</x:v>
      </x:c>
      <x:c r="AA838" s="58" t="n">
        <x:f>IF(R838="No","",MAX(0,-Z838))</x:f>
        <x:v>1270478.1644291172</x:v>
      </x:c>
      <x:c r="AB838" s="52" t="n">
        <x:f>IF(OR(R838="No",U838*S838=0),"",AA838/(U838*S838))</x:f>
        <x:v>0.04451724444183864</x:v>
      </x:c>
      <x:c r="AC838" s="54" t="n">
        <x:f>IF(OR(R838="No",S838-T838*Assumptions!$B$9&lt;=0),"",AA838/(Assumptions!$B$8*(S838-T838*Assumptions!$B$9)))</x:f>
        <x:v>180.38403995197018</x:v>
      </x:c>
      <x:c r="AD838" s="52" t="n">
        <x:f>IF(OR(R838="No",U838*S838=0),"",AA838/(U838*S838))</x:f>
        <x:v>0.04451724444183864</x:v>
      </x:c>
      <x:c r="AE838" s="50" t="str">
        <x:f>IF(R838="No","No finance data",IF(AB838&gt;=10%,"Severe",IF(AB838&gt;=5%,"High",IF(AB838&gt;=2%,"Moderate","Low"))))</x:f>
        <x:v>Moderate</x:v>
      </x:c>
      <x:c r="AF838" s="60" t="n">
        <x:v>37.219681</x:v>
      </x:c>
      <x:c r="AG838" s="60" t="n">
        <x:v>-93.286192</x:v>
      </x:c>
      <x:c r="AH838" s="44" t="str">
        <x:v>Undergraduate tuition-contribution proxy only; not an audited total institutional budget.</x:v>
      </x:c>
    </x:row>
    <x:row r="839">
      <x:c r="A839" s="16" t="n">
        <x:v>177339</x:v>
      </x:c>
      <x:c r="B839" s="16" t="str">
        <x:v>Evangel University</x:v>
      </x:c>
      <x:c r="C839" s="16" t="str">
        <x:v>MO</x:v>
      </x:c>
      <x:c r="D839" s="16" t="str">
        <x:v>Private nonprofit</x:v>
      </x:c>
      <x:c r="E839" s="34" t="n">
        <x:v>1723</x:v>
      </x:c>
      <x:c r="F839" s="21" t="n">
        <x:v>0.6364</x:v>
      </x:c>
      <x:c r="G839" s="16" t="str">
        <x:v>Regional</x:v>
      </x:c>
      <x:c r="H839" s="36" t="n">
        <x:f>IF(G839="National",Assumptions!$B$11,IF(G839="Statewide",Assumptions!$B$12,Assumptions!$B$13))</x:f>
        <x:v>0.85</x:v>
      </x:c>
      <x:c r="I839" s="21" t="n">
        <x:v>-0.06261144076466629</x:v>
      </x:c>
      <x:c r="J839" s="21" t="n">
        <x:v>-0.06049223933822456</x:v>
      </x:c>
      <x:c r="K839" s="21" t="n">
        <x:v>-0.139458069042121</x:v>
      </x:c>
      <x:c r="L839" s="36" t="n">
        <x:f>IF(Assumptions!$B$4=2030,I839,IF(Assumptions!$B$4=2035,J839,K839))</x:f>
        <x:v>-0.06049223933822456</x:v>
      </x:c>
      <x:c r="M839" s="36" t="n">
        <x:f>Assumptions!$B$19</x:f>
        <x:v>-0.04739891965741583</x:v>
      </x:c>
      <x:c r="N839" s="52" t="n">
        <x:f>H839*L839+(1-H839)*M839+O839</x:f>
        <x:v>-0.058528241386103255</x:v>
      </x:c>
      <x:c r="O839" s="36" t="n">
        <x:f>Assumptions!$B$10</x:f>
        <x:v>0</x:v>
      </x:c>
      <x:c r="P839" s="54" t="n">
        <x:f>E839*(1+N839)</x:f>
        <x:v>1622.155840091744</x:v>
      </x:c>
      <x:c r="Q839" s="54" t="n">
        <x:f>P839-E839</x:f>
        <x:v>-100.84415990825596</x:v>
      </x:c>
      <x:c r="R839" s="16" t="str">
        <x:v>Yes</x:v>
      </x:c>
      <x:c r="S839" s="56" t="n">
        <x:v>9216</x:v>
      </x:c>
      <x:c r="T839" s="56" t="n">
        <x:v>4152</x:v>
      </x:c>
      <x:c r="U839" s="40" t="n">
        <x:f>E839*Assumptions!$B$8</x:f>
        <x:v>1464.55</x:v>
      </x:c>
      <x:c r="V839" s="40" t="n">
        <x:f>P839*Assumptions!$B$8</x:f>
        <x:v>1378.8324640779824</x:v>
      </x:c>
      <x:c r="W839" s="54" t="n">
        <x:f>V839-U839</x:f>
        <x:v>-85.71753592201753</x:v>
      </x:c>
      <x:c r="X839" s="58" t="n">
        <x:f>IF(R839="No","",W839*S839)</x:f>
        <x:v>-789972.8110573136</x:v>
      </x:c>
      <x:c r="Y839" s="58" t="n">
        <x:f>IF(R839="No","",W839*T839*Assumptions!$B$9)</x:f>
        <x:v>-106769.76274446504</x:v>
      </x:c>
      <x:c r="Z839" s="58" t="n">
        <x:f>IF(R839="No","",X839-Y839)</x:f>
        <x:v>-683203.0483128486</x:v>
      </x:c>
      <x:c r="AA839" s="58" t="n">
        <x:f>IF(R839="No","",MAX(0,-Z839))</x:f>
        <x:v>683203.0483128486</x:v>
      </x:c>
      <x:c r="AB839" s="52" t="n">
        <x:f>IF(OR(R839="No",U839*S839=0),"",AA839/(U839*S839))</x:f>
        <x:v>0.05061778376126275</x:v>
      </x:c>
      <x:c r="AC839" s="54" t="n">
        <x:f>IF(OR(R839="No",S839-T839*Assumptions!$B$9&lt;=0),"",AA839/(Assumptions!$B$8*(S839-T839*Assumptions!$B$9)))</x:f>
        <x:v>100.84415990825593</x:v>
      </x:c>
      <x:c r="AD839" s="52" t="n">
        <x:f>IF(OR(R839="No",U839*S839=0),"",AA839/(U839*S839))</x:f>
        <x:v>0.05061778376126275</x:v>
      </x:c>
      <x:c r="AE839" s="50" t="str">
        <x:f>IF(R839="No","No finance data",IF(AB839&gt;=10%,"Severe",IF(AB839&gt;=5%,"High",IF(AB839&gt;=2%,"Moderate","Low"))))</x:f>
        <x:v>High</x:v>
      </x:c>
      <x:c r="AF839" s="60" t="n">
        <x:v>37.220956</x:v>
      </x:c>
      <x:c r="AG839" s="60" t="n">
        <x:v>-93.262614</x:v>
      </x:c>
      <x:c r="AH839" s="44" t="str">
        <x:v>Undergraduate tuition-contribution proxy only; not an audited total institutional budget.</x:v>
      </x:c>
    </x:row>
    <x:row r="840">
      <x:c r="A840" s="16" t="n">
        <x:v>177418</x:v>
      </x:c>
      <x:c r="B840" s="16" t="str">
        <x:v>Fontbonne University</x:v>
      </x:c>
      <x:c r="C840" s="16" t="str">
        <x:v>MO</x:v>
      </x:c>
      <x:c r="D840" s="16" t="str">
        <x:v>Private nonprofit</x:v>
      </x:c>
      <x:c r="E840" s="34" t="n">
        <x:v>1086</x:v>
      </x:c>
      <x:c r="F840" s="21" t="n">
        <x:v>0.7811</x:v>
      </x:c>
      <x:c r="G840" s="16" t="str">
        <x:v>Regional</x:v>
      </x:c>
      <x:c r="H840" s="36" t="n">
        <x:f>IF(G840="National",Assumptions!$B$11,IF(G840="Statewide",Assumptions!$B$12,Assumptions!$B$13))</x:f>
        <x:v>0.85</x:v>
      </x:c>
      <x:c r="I840" s="21" t="n">
        <x:v>-0.06261144076466629</x:v>
      </x:c>
      <x:c r="J840" s="21" t="n">
        <x:v>-0.06049223933822456</x:v>
      </x:c>
      <x:c r="K840" s="21" t="n">
        <x:v>-0.139458069042121</x:v>
      </x:c>
      <x:c r="L840" s="36" t="n">
        <x:f>IF(Assumptions!$B$4=2030,I840,IF(Assumptions!$B$4=2035,J840,K840))</x:f>
        <x:v>-0.06049223933822456</x:v>
      </x:c>
      <x:c r="M840" s="36" t="n">
        <x:f>Assumptions!$B$19</x:f>
        <x:v>-0.04739891965741583</x:v>
      </x:c>
      <x:c r="N840" s="52" t="n">
        <x:f>H840*L840+(1-H840)*M840+O840</x:f>
        <x:v>-0.058528241386103255</x:v>
      </x:c>
      <x:c r="O840" s="36" t="n">
        <x:f>Assumptions!$B$10</x:f>
        <x:v>0</x:v>
      </x:c>
      <x:c r="P840" s="54" t="n">
        <x:f>E840*(1+N840)</x:f>
        <x:v>1022.4383298546919</x:v>
      </x:c>
      <x:c r="Q840" s="54" t="n">
        <x:f>P840-E840</x:f>
        <x:v>-63.561670145308085</x:v>
      </x:c>
      <x:c r="R840" s="16" t="str">
        <x:v>Yes</x:v>
      </x:c>
      <x:c r="S840" s="56" t="n">
        <x:v>13636</x:v>
      </x:c>
      <x:c r="T840" s="56" t="n">
        <x:v>8638</x:v>
      </x:c>
      <x:c r="U840" s="40" t="n">
        <x:f>E840*Assumptions!$B$8</x:f>
        <x:v>923.1</x:v>
      </x:c>
      <x:c r="V840" s="40" t="n">
        <x:f>P840*Assumptions!$B$8</x:f>
        <x:v>869.0725803764881</x:v>
      </x:c>
      <x:c r="W840" s="54" t="n">
        <x:f>V840-U840</x:f>
        <x:v>-54.027419623511946</x:v>
      </x:c>
      <x:c r="X840" s="58" t="n">
        <x:f>IF(R840="No","",W840*S840)</x:f>
        <x:v>-736717.893986209</x:v>
      </x:c>
      <x:c r="Y840" s="58" t="n">
        <x:f>IF(R840="No","",W840*T840*Assumptions!$B$9)</x:f>
        <x:v>-140006.65521236885</x:v>
      </x:c>
      <x:c r="Z840" s="58" t="n">
        <x:f>IF(R840="No","",X840-Y840)</x:f>
        <x:v>-596711.2387738401</x:v>
      </x:c>
      <x:c r="AA840" s="58" t="n">
        <x:f>IF(R840="No","",MAX(0,-Z840))</x:f>
        <x:v>596711.2387738401</x:v>
      </x:c>
      <x:c r="AB840" s="52" t="n">
        <x:f>IF(OR(R840="No",U840*S840=0),"",AA840/(U840*S840))</x:f>
        <x:v>0.04740547189886744</x:v>
      </x:c>
      <x:c r="AC840" s="54" t="n">
        <x:f>IF(OR(R840="No",S840-T840*Assumptions!$B$9&lt;=0),"",AA840/(Assumptions!$B$8*(S840-T840*Assumptions!$B$9)))</x:f>
        <x:v>63.561670145308184</x:v>
      </x:c>
      <x:c r="AD840" s="52" t="n">
        <x:f>IF(OR(R840="No",U840*S840=0),"",AA840/(U840*S840))</x:f>
        <x:v>0.04740547189886744</x:v>
      </x:c>
      <x:c r="AE840" s="50" t="str">
        <x:f>IF(R840="No","No finance data",IF(AB840&gt;=10%,"Severe",IF(AB840&gt;=5%,"High",IF(AB840&gt;=2%,"Moderate","Low"))))</x:f>
        <x:v>Moderate</x:v>
      </x:c>
      <x:c r="AF840" s="60" t="n">
        <x:v>38.642697</x:v>
      </x:c>
      <x:c r="AG840" s="60" t="n">
        <x:v>-90.315712</x:v>
      </x:c>
      <x:c r="AH840" s="44" t="str">
        <x:v>Undergraduate tuition-contribution proxy only; not an audited total institutional budget.</x:v>
      </x:c>
    </x:row>
    <x:row r="841">
      <x:c r="A841" s="16" t="n">
        <x:v>177542</x:v>
      </x:c>
      <x:c r="B841" s="16" t="str">
        <x:v>Hannibal-LaGrange University</x:v>
      </x:c>
      <x:c r="C841" s="16" t="str">
        <x:v>MO</x:v>
      </x:c>
      <x:c r="D841" s="16" t="str">
        <x:v>Private nonprofit</x:v>
      </x:c>
      <x:c r="E841" s="34" t="n">
        <x:v>847</x:v>
      </x:c>
      <x:c r="F841" s="21" t="n">
        <x:v>0.6505</x:v>
      </x:c>
      <x:c r="G841" s="16" t="str">
        <x:v>Regional</x:v>
      </x:c>
      <x:c r="H841" s="36" t="n">
        <x:f>IF(G841="National",Assumptions!$B$11,IF(G841="Statewide",Assumptions!$B$12,Assumptions!$B$13))</x:f>
        <x:v>0.85</x:v>
      </x:c>
      <x:c r="I841" s="21" t="n">
        <x:v>-0.06261144076466629</x:v>
      </x:c>
      <x:c r="J841" s="21" t="n">
        <x:v>-0.06049223933822456</x:v>
      </x:c>
      <x:c r="K841" s="21" t="n">
        <x:v>-0.139458069042121</x:v>
      </x:c>
      <x:c r="L841" s="36" t="n">
        <x:f>IF(Assumptions!$B$4=2030,I841,IF(Assumptions!$B$4=2035,J841,K841))</x:f>
        <x:v>-0.06049223933822456</x:v>
      </x:c>
      <x:c r="M841" s="36" t="n">
        <x:f>Assumptions!$B$19</x:f>
        <x:v>-0.04739891965741583</x:v>
      </x:c>
      <x:c r="N841" s="52" t="n">
        <x:f>H841*L841+(1-H841)*M841+O841</x:f>
        <x:v>-0.058528241386103255</x:v>
      </x:c>
      <x:c r="O841" s="36" t="n">
        <x:f>Assumptions!$B$10</x:f>
        <x:v>0</x:v>
      </x:c>
      <x:c r="P841" s="54" t="n">
        <x:f>E841*(1+N841)</x:f>
        <x:v>797.4265795459705</x:v>
      </x:c>
      <x:c r="Q841" s="54" t="n">
        <x:f>P841-E841</x:f>
        <x:v>-49.573420454029474</x:v>
      </x:c>
      <x:c r="R841" s="16" t="str">
        <x:v>Yes</x:v>
      </x:c>
      <x:c r="S841" s="56" t="n">
        <x:v>8606</x:v>
      </x:c>
      <x:c r="T841" s="56" t="n">
        <x:v>5782</x:v>
      </x:c>
      <x:c r="U841" s="40" t="n">
        <x:f>E841*Assumptions!$B$8</x:f>
        <x:v>719.9499999999999</x:v>
      </x:c>
      <x:c r="V841" s="40" t="n">
        <x:f>P841*Assumptions!$B$8</x:f>
        <x:v>677.8125926140749</x:v>
      </x:c>
      <x:c r="W841" s="54" t="n">
        <x:f>V841-U841</x:f>
        <x:v>-42.13740738592503</x:v>
      </x:c>
      <x:c r="X841" s="58" t="n">
        <x:f>IF(R841="No","",W841*S841)</x:f>
        <x:v>-362634.5279632708</x:v>
      </x:c>
      <x:c r="Y841" s="58" t="n">
        <x:f>IF(R841="No","",W841*T841*Assumptions!$B$9)</x:f>
        <x:v>-73091.54685162555</x:v>
      </x:c>
      <x:c r="Z841" s="58" t="n">
        <x:f>IF(R841="No","",X841-Y841)</x:f>
        <x:v>-289542.98111164523</x:v>
      </x:c>
      <x:c r="AA841" s="58" t="n">
        <x:f>IF(R841="No","",MAX(0,-Z841))</x:f>
        <x:v>289542.98111164523</x:v>
      </x:c>
      <x:c r="AB841" s="52" t="n">
        <x:f>IF(OR(R841="No",U841*S841=0),"",AA841/(U841*S841))</x:f>
        <x:v>0.04673146152224841</x:v>
      </x:c>
      <x:c r="AC841" s="54" t="n">
        <x:f>IF(OR(R841="No",S841-T841*Assumptions!$B$9&lt;=0),"",AA841/(Assumptions!$B$8*(S841-T841*Assumptions!$B$9)))</x:f>
        <x:v>49.573420454029446</x:v>
      </x:c>
      <x:c r="AD841" s="52" t="n">
        <x:f>IF(OR(R841="No",U841*S841=0),"",AA841/(U841*S841))</x:f>
        <x:v>0.04673146152224841</x:v>
      </x:c>
      <x:c r="AE841" s="50" t="str">
        <x:f>IF(R841="No","No finance data",IF(AB841&gt;=10%,"Severe",IF(AB841&gt;=5%,"High",IF(AB841&gt;=2%,"Moderate","Low"))))</x:f>
        <x:v>Moderate</x:v>
      </x:c>
      <x:c r="AF841" s="60" t="n">
        <x:v>39.729015</x:v>
      </x:c>
      <x:c r="AG841" s="60" t="n">
        <x:v>-91.39094</x:v>
      </x:c>
      <x:c r="AH841" s="44" t="str">
        <x:v>Undergraduate tuition-contribution proxy only; not an audited total institutional budget.</x:v>
      </x:c>
    </x:row>
    <x:row r="842">
      <x:c r="A842" s="16" t="n">
        <x:v>177551</x:v>
      </x:c>
      <x:c r="B842" s="16" t="str">
        <x:v>Harris-Stowe State University</x:v>
      </x:c>
      <x:c r="C842" s="16" t="str">
        <x:v>MO</x:v>
      </x:c>
      <x:c r="D842" s="16" t="str">
        <x:v>Public</x:v>
      </x:c>
      <x:c r="E842" s="34" t="n">
        <x:v>1363</x:v>
      </x:c>
      <x:c r="F842" s="21"/>
      <x:c r="G842" s="16" t="str">
        <x:v>Regional</x:v>
      </x:c>
      <x:c r="H842" s="36" t="n">
        <x:f>IF(G842="National",Assumptions!$B$11,IF(G842="Statewide",Assumptions!$B$12,Assumptions!$B$13))</x:f>
        <x:v>0.85</x:v>
      </x:c>
      <x:c r="I842" s="21" t="n">
        <x:v>-0.06261144076466629</x:v>
      </x:c>
      <x:c r="J842" s="21" t="n">
        <x:v>-0.06049223933822456</x:v>
      </x:c>
      <x:c r="K842" s="21" t="n">
        <x:v>-0.139458069042121</x:v>
      </x:c>
      <x:c r="L842" s="36" t="n">
        <x:f>IF(Assumptions!$B$4=2030,I842,IF(Assumptions!$B$4=2035,J842,K842))</x:f>
        <x:v>-0.06049223933822456</x:v>
      </x:c>
      <x:c r="M842" s="36" t="n">
        <x:f>Assumptions!$B$19</x:f>
        <x:v>-0.04739891965741583</x:v>
      </x:c>
      <x:c r="N842" s="52" t="n">
        <x:f>H842*L842+(1-H842)*M842+O842</x:f>
        <x:v>-0.058528241386103255</x:v>
      </x:c>
      <x:c r="O842" s="36" t="n">
        <x:f>Assumptions!$B$10</x:f>
        <x:v>0</x:v>
      </x:c>
      <x:c r="P842" s="54" t="n">
        <x:f>E842*(1+N842)</x:f>
        <x:v>1283.2260069907413</x:v>
      </x:c>
      <x:c r="Q842" s="54" t="n">
        <x:f>P842-E842</x:f>
        <x:v>-79.77399300925867</x:v>
      </x:c>
      <x:c r="R842" s="16" t="str">
        <x:v>Yes</x:v>
      </x:c>
      <x:c r="S842" s="56" t="n">
        <x:v>3973</x:v>
      </x:c>
      <x:c r="T842" s="56" t="n">
        <x:v>9506</x:v>
      </x:c>
      <x:c r="U842" s="40" t="n">
        <x:f>E842*Assumptions!$B$8</x:f>
        <x:v>1158.55</x:v>
      </x:c>
      <x:c r="V842" s="40" t="n">
        <x:f>P842*Assumptions!$B$8</x:f>
        <x:v>1090.7421059421301</x:v>
      </x:c>
      <x:c r="W842" s="54" t="n">
        <x:f>V842-U842</x:f>
        <x:v>-67.80789405786982</x:v>
      </x:c>
      <x:c r="X842" s="58" t="n">
        <x:f>IF(R842="No","",W842*S842)</x:f>
        <x:v>-269400.7630919168</x:v>
      </x:c>
      <x:c r="Y842" s="58" t="n">
        <x:f>IF(R842="No","",W842*T842*Assumptions!$B$9)</x:f>
        <x:v>-193374.5522742331</x:v>
      </x:c>
      <x:c r="Z842" s="58" t="n">
        <x:f>IF(R842="No","",X842-Y842)</x:f>
        <x:v>-76026.21081768369</x:v>
      </x:c>
      <x:c r="AA842" s="58" t="n">
        <x:f>IF(R842="No","",MAX(0,-Z842))</x:f>
        <x:v>76026.21081768369</x:v>
      </x:c>
      <x:c r="AB842" s="52" t="n">
        <x:f>IF(OR(R842="No",U842*S842=0),"",AA842/(U842*S842))</x:f>
        <x:v>0.016516955510218707</x:v>
      </x:c>
      <x:c r="AC842" s="54" t="n">
        <x:f>IF(OR(R842="No",S842-T842*Assumptions!$B$9&lt;=0),"",AA842/(Assumptions!$B$8*(S842-T842*Assumptions!$B$9)))</x:f>
        <x:v>79.77399300925865</x:v>
      </x:c>
      <x:c r="AD842" s="52" t="n">
        <x:f>IF(OR(R842="No",U842*S842=0),"",AA842/(U842*S842))</x:f>
        <x:v>0.016516955510218707</x:v>
      </x:c>
      <x:c r="AE842" s="50" t="str">
        <x:f>IF(R842="No","No finance data",IF(AB842&gt;=10%,"Severe",IF(AB842&gt;=5%,"High",IF(AB842&gt;=2%,"Moderate","Low"))))</x:f>
        <x:v>Low</x:v>
      </x:c>
      <x:c r="AF842" s="60" t="n">
        <x:v>38.631744</x:v>
      </x:c>
      <x:c r="AG842" s="60" t="n">
        <x:v>-90.224288</x:v>
      </x:c>
      <x:c r="AH842" s="44" t="str">
        <x:v>Undergraduate tuition-contribution proxy only; not an audited total institutional budget.</x:v>
      </x:c>
    </x:row>
    <x:row r="843">
      <x:c r="A843" s="16" t="n">
        <x:v>177746</x:v>
      </x:c>
      <x:c r="B843" s="16" t="str">
        <x:v>Kansas City Art Institute</x:v>
      </x:c>
      <x:c r="C843" s="16" t="str">
        <x:v>MO</x:v>
      </x:c>
      <x:c r="D843" s="16" t="str">
        <x:v>Private nonprofit</x:v>
      </x:c>
      <x:c r="E843" s="34" t="n">
        <x:v>642</x:v>
      </x:c>
      <x:c r="F843" s="21" t="n">
        <x:v>0.5998</x:v>
      </x:c>
      <x:c r="G843" s="16" t="str">
        <x:v>Regional</x:v>
      </x:c>
      <x:c r="H843" s="36" t="n">
        <x:f>IF(G843="National",Assumptions!$B$11,IF(G843="Statewide",Assumptions!$B$12,Assumptions!$B$13))</x:f>
        <x:v>0.85</x:v>
      </x:c>
      <x:c r="I843" s="21" t="n">
        <x:v>-0.06261144076466629</x:v>
      </x:c>
      <x:c r="J843" s="21" t="n">
        <x:v>-0.06049223933822456</x:v>
      </x:c>
      <x:c r="K843" s="21" t="n">
        <x:v>-0.139458069042121</x:v>
      </x:c>
      <x:c r="L843" s="36" t="n">
        <x:f>IF(Assumptions!$B$4=2030,I843,IF(Assumptions!$B$4=2035,J843,K843))</x:f>
        <x:v>-0.06049223933822456</x:v>
      </x:c>
      <x:c r="M843" s="36" t="n">
        <x:f>Assumptions!$B$19</x:f>
        <x:v>-0.04739891965741583</x:v>
      </x:c>
      <x:c r="N843" s="52" t="n">
        <x:f>H843*L843+(1-H843)*M843+O843</x:f>
        <x:v>-0.058528241386103255</x:v>
      </x:c>
      <x:c r="O843" s="36" t="n">
        <x:f>Assumptions!$B$10</x:f>
        <x:v>0</x:v>
      </x:c>
      <x:c r="P843" s="54" t="n">
        <x:f>E843*(1+N843)</x:f>
        <x:v>604.4248690301217</x:v>
      </x:c>
      <x:c r="Q843" s="54" t="n">
        <x:f>P843-E843</x:f>
        <x:v>-37.57513096987827</x:v>
      </x:c>
      <x:c r="R843" s="16" t="str">
        <x:v>Yes</x:v>
      </x:c>
      <x:c r="S843" s="56" t="n">
        <x:v>17907</x:v>
      </x:c>
      <x:c r="T843" s="56" t="n">
        <x:v>14311</x:v>
      </x:c>
      <x:c r="U843" s="40" t="n">
        <x:f>E843*Assumptions!$B$8</x:f>
        <x:v>545.6999999999999</x:v>
      </x:c>
      <x:c r="V843" s="40" t="n">
        <x:f>P843*Assumptions!$B$8</x:f>
        <x:v>513.7611386756034</x:v>
      </x:c>
      <x:c r="W843" s="54" t="n">
        <x:f>V843-U843</x:f>
        <x:v>-31.9388613243965</x:v>
      </x:c>
      <x:c r="X843" s="58" t="n">
        <x:f>IF(R843="No","",W843*S843)</x:f>
        <x:v>-571929.1897359681</x:v>
      </x:c>
      <x:c r="Y843" s="58" t="n">
        <x:f>IF(R843="No","",W843*T843*Assumptions!$B$9)</x:f>
        <x:v>-137123.1133240315</x:v>
      </x:c>
      <x:c r="Z843" s="58" t="n">
        <x:f>IF(R843="No","",X843-Y843)</x:f>
        <x:v>-434806.07641193666</x:v>
      </x:c>
      <x:c r="AA843" s="58" t="n">
        <x:f>IF(R843="No","",MAX(0,-Z843))</x:f>
        <x:v>434806.07641193666</x:v>
      </x:c>
      <x:c r="AB843" s="52" t="n">
        <x:f>IF(OR(R843="No",U843*S843=0),"",AA843/(U843*S843))</x:f>
        <x:v>0.04449577929066806</x:v>
      </x:c>
      <x:c r="AC843" s="54" t="n">
        <x:f>IF(OR(R843="No",S843-T843*Assumptions!$B$9&lt;=0),"",AA843/(Assumptions!$B$8*(S843-T843*Assumptions!$B$9)))</x:f>
        <x:v>37.57513096987824</x:v>
      </x:c>
      <x:c r="AD843" s="52" t="n">
        <x:f>IF(OR(R843="No",U843*S843=0),"",AA843/(U843*S843))</x:f>
        <x:v>0.04449577929066806</x:v>
      </x:c>
      <x:c r="AE843" s="50" t="str">
        <x:f>IF(R843="No","No finance data",IF(AB843&gt;=10%,"Severe",IF(AB843&gt;=5%,"High",IF(AB843&gt;=2%,"Moderate","Low"))))</x:f>
        <x:v>Moderate</x:v>
      </x:c>
      <x:c r="AF843" s="60" t="n">
        <x:v>39.046353</x:v>
      </x:c>
      <x:c r="AG843" s="60" t="n">
        <x:v>-94.583594</x:v>
      </x:c>
      <x:c r="AH843" s="44" t="str">
        <x:v>Undergraduate tuition-contribution proxy only; not an audited total institutional budget.</x:v>
      </x:c>
    </x:row>
    <x:row r="844">
      <x:c r="A844" s="16" t="n">
        <x:v>177816</x:v>
      </x:c>
      <x:c r="B844" s="16" t="str">
        <x:v>Kenrick Glennon Seminary</x:v>
      </x:c>
      <x:c r="C844" s="16" t="str">
        <x:v>MO</x:v>
      </x:c>
      <x:c r="D844" s="16" t="str">
        <x:v>Private nonprofit</x:v>
      </x:c>
      <x:c r="E844" s="34" t="n">
        <x:v>50</x:v>
      </x:c>
      <x:c r="F844" s="21"/>
      <x:c r="G844" s="16" t="str">
        <x:v>Regional</x:v>
      </x:c>
      <x:c r="H844" s="36" t="n">
        <x:f>IF(G844="National",Assumptions!$B$11,IF(G844="Statewide",Assumptions!$B$12,Assumptions!$B$13))</x:f>
        <x:v>0.85</x:v>
      </x:c>
      <x:c r="I844" s="21" t="n">
        <x:v>-0.06261144076466629</x:v>
      </x:c>
      <x:c r="J844" s="21" t="n">
        <x:v>-0.06049223933822456</x:v>
      </x:c>
      <x:c r="K844" s="21" t="n">
        <x:v>-0.139458069042121</x:v>
      </x:c>
      <x:c r="L844" s="36" t="n">
        <x:f>IF(Assumptions!$B$4=2030,I844,IF(Assumptions!$B$4=2035,J844,K844))</x:f>
        <x:v>-0.06049223933822456</x:v>
      </x:c>
      <x:c r="M844" s="36" t="n">
        <x:f>Assumptions!$B$19</x:f>
        <x:v>-0.04739891965741583</x:v>
      </x:c>
      <x:c r="N844" s="52" t="n">
        <x:f>H844*L844+(1-H844)*M844+O844</x:f>
        <x:v>-0.058528241386103255</x:v>
      </x:c>
      <x:c r="O844" s="36" t="n">
        <x:f>Assumptions!$B$10</x:f>
        <x:v>0</x:v>
      </x:c>
      <x:c r="P844" s="54" t="n">
        <x:f>E844*(1+N844)</x:f>
        <x:v>47.073587930694835</x:v>
      </x:c>
      <x:c r="Q844" s="54" t="n">
        <x:f>P844-E844</x:f>
        <x:v>-2.926412069305165</x:v>
      </x:c>
      <x:c r="R844" s="16" t="str">
        <x:v>No</x:v>
      </x:c>
      <x:c r="S844" s="56"/>
      <x:c r="T844" s="56"/>
      <x:c r="U844" s="40" t="n">
        <x:f>E844*Assumptions!$B$8</x:f>
        <x:v>42.5</x:v>
      </x:c>
      <x:c r="V844" s="40" t="n">
        <x:f>P844*Assumptions!$B$8</x:f>
        <x:v>40.01254974109061</x:v>
      </x:c>
      <x:c r="W844" s="54" t="n">
        <x:f>V844-U844</x:f>
        <x:v>-2.4874502589093908</x:v>
      </x:c>
      <x:c r="X844" s="58" t="str">
        <x:f>IF(R844="No","",W844*S844)</x:f>
      </x:c>
      <x:c r="Y844" s="58" t="str">
        <x:f>IF(R844="No","",W844*T844*Assumptions!$B$9)</x:f>
      </x:c>
      <x:c r="Z844" s="58" t="str">
        <x:f>IF(R844="No","",X844-Y844)</x:f>
      </x:c>
      <x:c r="AA844" s="58" t="str">
        <x:f>IF(R844="No","",MAX(0,-Z844))</x:f>
      </x:c>
      <x:c r="AB844" s="52" t="str">
        <x:f>IF(OR(R844="No",U844*S844=0),"",AA844/(U844*S844))</x:f>
      </x:c>
      <x:c r="AC844" s="54" t="str">
        <x:f>IF(OR(R844="No",S844-T844*Assumptions!$B$9&lt;=0),"",AA844/(Assumptions!$B$8*(S844-T844*Assumptions!$B$9)))</x:f>
      </x:c>
      <x:c r="AD844" s="52" t="str">
        <x:f>IF(OR(R844="No",U844*S844=0),"",AA844/(U844*S844))</x:f>
      </x:c>
      <x:c r="AE844" s="50" t="str">
        <x:f>IF(R844="No","No finance data",IF(AB844&gt;=10%,"Severe",IF(AB844&gt;=5%,"High",IF(AB844&gt;=2%,"Moderate","Low"))))</x:f>
        <x:v>No finance data</x:v>
      </x:c>
      <x:c r="AF844" s="60"/>
      <x:c r="AG844" s="60"/>
      <x:c r="AH844" s="44" t="str">
        <x:v>Undergraduate tuition-contribution proxy only; not an audited total institutional budget.</x:v>
      </x:c>
    </x:row>
    <x:row r="845">
      <x:c r="A845" s="16" t="n">
        <x:v>177940</x:v>
      </x:c>
      <x:c r="B845" s="16" t="str">
        <x:v>Lincoln University</x:v>
      </x:c>
      <x:c r="C845" s="16" t="str">
        <x:v>MO</x:v>
      </x:c>
      <x:c r="D845" s="16" t="str">
        <x:v>Public</x:v>
      </x:c>
      <x:c r="E845" s="34" t="n">
        <x:v>2256</x:v>
      </x:c>
      <x:c r="F845" s="21"/>
      <x:c r="G845" s="16" t="str">
        <x:v>Regional</x:v>
      </x:c>
      <x:c r="H845" s="36" t="n">
        <x:f>IF(G845="National",Assumptions!$B$11,IF(G845="Statewide",Assumptions!$B$12,Assumptions!$B$13))</x:f>
        <x:v>0.85</x:v>
      </x:c>
      <x:c r="I845" s="21" t="n">
        <x:v>-0.06261144076466629</x:v>
      </x:c>
      <x:c r="J845" s="21" t="n">
        <x:v>-0.06049223933822456</x:v>
      </x:c>
      <x:c r="K845" s="21" t="n">
        <x:v>-0.139458069042121</x:v>
      </x:c>
      <x:c r="L845" s="36" t="n">
        <x:f>IF(Assumptions!$B$4=2030,I845,IF(Assumptions!$B$4=2035,J845,K845))</x:f>
        <x:v>-0.06049223933822456</x:v>
      </x:c>
      <x:c r="M845" s="36" t="n">
        <x:f>Assumptions!$B$19</x:f>
        <x:v>-0.04739891965741583</x:v>
      </x:c>
      <x:c r="N845" s="52" t="n">
        <x:f>H845*L845+(1-H845)*M845+O845</x:f>
        <x:v>-0.058528241386103255</x:v>
      </x:c>
      <x:c r="O845" s="36" t="n">
        <x:f>Assumptions!$B$10</x:f>
        <x:v>0</x:v>
      </x:c>
      <x:c r="P845" s="54" t="n">
        <x:f>E845*(1+N845)</x:f>
        <x:v>2123.960287432951</x:v>
      </x:c>
      <x:c r="Q845" s="54" t="n">
        <x:f>P845-E845</x:f>
        <x:v>-132.0397125670488</x:v>
      </x:c>
      <x:c r="R845" s="16" t="str">
        <x:v>Yes</x:v>
      </x:c>
      <x:c r="S845" s="56" t="n">
        <x:v>2322</x:v>
      </x:c>
      <x:c r="T845" s="56" t="n">
        <x:v>6670</x:v>
      </x:c>
      <x:c r="U845" s="40" t="n">
        <x:f>E845*Assumptions!$B$8</x:f>
        <x:v>1917.6</x:v>
      </x:c>
      <x:c r="V845" s="40" t="n">
        <x:f>P845*Assumptions!$B$8</x:f>
        <x:v>1805.3662443180085</x:v>
      </x:c>
      <x:c r="W845" s="54" t="n">
        <x:f>V845-U845</x:f>
        <x:v>-112.2337556819914</x:v>
      </x:c>
      <x:c r="X845" s="58" t="n">
        <x:f>IF(R845="No","",W845*S845)</x:f>
        <x:v>-260606.78069358403</x:v>
      </x:c>
      <x:c r="Y845" s="58" t="n">
        <x:f>IF(R845="No","",W845*T845*Assumptions!$B$9)</x:f>
        <x:v>-224579.74511966476</x:v>
      </x:c>
      <x:c r="Z845" s="58" t="n">
        <x:f>IF(R845="No","",X845-Y845)</x:f>
        <x:v>-36027.035573919275</x:v>
      </x:c>
      <x:c r="AA845" s="58" t="n">
        <x:f>IF(R845="No","",MAX(0,-Z845))</x:f>
        <x:v>36027.035573919275</x:v>
      </x:c>
      <x:c r="AB845" s="52" t="n">
        <x:f>IF(OR(R845="No",U845*S845=0),"",AA845/(U845*S845))</x:f>
        <x:v>0.008091113473272665</x:v>
      </x:c>
      <x:c r="AC845" s="54" t="n">
        <x:f>IF(OR(R845="No",S845-T845*Assumptions!$B$9&lt;=0),"",AA845/(Assumptions!$B$8*(S845-T845*Assumptions!$B$9)))</x:f>
        <x:v>132.03971256704884</x:v>
      </x:c>
      <x:c r="AD845" s="52" t="n">
        <x:f>IF(OR(R845="No",U845*S845=0),"",AA845/(U845*S845))</x:f>
        <x:v>0.008091113473272665</x:v>
      </x:c>
      <x:c r="AE845" s="50" t="str">
        <x:f>IF(R845="No","No finance data",IF(AB845&gt;=10%,"Severe",IF(AB845&gt;=5%,"High",IF(AB845&gt;=2%,"Moderate","Low"))))</x:f>
        <x:v>Low</x:v>
      </x:c>
      <x:c r="AF845" s="60" t="n">
        <x:v>38.564431</x:v>
      </x:c>
      <x:c r="AG845" s="60" t="n">
        <x:v>-92.166724</x:v>
      </x:c>
      <x:c r="AH845" s="44" t="str">
        <x:v>Undergraduate tuition-contribution proxy only; not an audited total institutional budget.</x:v>
      </x:c>
    </x:row>
    <x:row r="846">
      <x:c r="A846" s="16" t="n">
        <x:v>177968</x:v>
      </x:c>
      <x:c r="B846" s="16" t="str">
        <x:v>Lindenwood University</x:v>
      </x:c>
      <x:c r="C846" s="16" t="str">
        <x:v>MO</x:v>
      </x:c>
      <x:c r="D846" s="16" t="str">
        <x:v>Private nonprofit</x:v>
      </x:c>
      <x:c r="E846" s="34" t="n">
        <x:v>7787</x:v>
      </x:c>
      <x:c r="F846" s="21" t="n">
        <x:v>0.7484</x:v>
      </x:c>
      <x:c r="G846" s="16" t="str">
        <x:v>Regional</x:v>
      </x:c>
      <x:c r="H846" s="36" t="n">
        <x:f>IF(G846="National",Assumptions!$B$11,IF(G846="Statewide",Assumptions!$B$12,Assumptions!$B$13))</x:f>
        <x:v>0.85</x:v>
      </x:c>
      <x:c r="I846" s="21" t="n">
        <x:v>-0.06261144076466629</x:v>
      </x:c>
      <x:c r="J846" s="21" t="n">
        <x:v>-0.06049223933822456</x:v>
      </x:c>
      <x:c r="K846" s="21" t="n">
        <x:v>-0.139458069042121</x:v>
      </x:c>
      <x:c r="L846" s="36" t="n">
        <x:f>IF(Assumptions!$B$4=2030,I846,IF(Assumptions!$B$4=2035,J846,K846))</x:f>
        <x:v>-0.06049223933822456</x:v>
      </x:c>
      <x:c r="M846" s="36" t="n">
        <x:f>Assumptions!$B$19</x:f>
        <x:v>-0.04739891965741583</x:v>
      </x:c>
      <x:c r="N846" s="52" t="n">
        <x:f>H846*L846+(1-H846)*M846+O846</x:f>
        <x:v>-0.058528241386103255</x:v>
      </x:c>
      <x:c r="O846" s="36" t="n">
        <x:f>Assumptions!$B$10</x:f>
        <x:v>0</x:v>
      </x:c>
      <x:c r="P846" s="54" t="n">
        <x:f>E846*(1+N846)</x:f>
        <x:v>7331.240584326414</x:v>
      </x:c>
      <x:c r="Q846" s="54" t="n">
        <x:f>P846-E846</x:f>
        <x:v>-455.75941567358586</x:v>
      </x:c>
      <x:c r="R846" s="16" t="str">
        <x:v>Yes</x:v>
      </x:c>
      <x:c r="S846" s="56" t="n">
        <x:v>12235</x:v>
      </x:c>
      <x:c r="T846" s="56" t="n">
        <x:v>6403</x:v>
      </x:c>
      <x:c r="U846" s="40" t="n">
        <x:f>E846*Assumptions!$B$8</x:f>
        <x:v>6618.95</x:v>
      </x:c>
      <x:c r="V846" s="40" t="n">
        <x:f>P846*Assumptions!$B$8</x:f>
        <x:v>6231.554496677451</x:v>
      </x:c>
      <x:c r="W846" s="54" t="n">
        <x:f>V846-U846</x:f>
        <x:v>-387.3955033225484</x:v>
      </x:c>
      <x:c r="X846" s="58" t="n">
        <x:f>IF(R846="No","",W846*S846)</x:f>
        <x:v>-4739783.98315138</x:v>
      </x:c>
      <x:c r="Y846" s="58" t="n">
        <x:f>IF(R846="No","",W846*T846*Assumptions!$B$9)</x:f>
        <x:v>-744148.0223322832</x:v>
      </x:c>
      <x:c r="Z846" s="58" t="n">
        <x:f>IF(R846="No","",X846-Y846)</x:f>
        <x:v>-3995635.960819097</x:v>
      </x:c>
      <x:c r="AA846" s="58" t="n">
        <x:f>IF(R846="No","",MAX(0,-Z846))</x:f>
        <x:v>3995635.960819097</x:v>
      </x:c>
      <x:c r="AB846" s="52" t="n">
        <x:f>IF(OR(R846="No",U846*S846=0),"",AA846/(U846*S846))</x:f>
        <x:v>0.04933928357011917</x:v>
      </x:c>
      <x:c r="AC846" s="54" t="n">
        <x:f>IF(OR(R846="No",S846-T846*Assumptions!$B$9&lt;=0),"",AA846/(Assumptions!$B$8*(S846-T846*Assumptions!$B$9)))</x:f>
        <x:v>455.7594156735864</x:v>
      </x:c>
      <x:c r="AD846" s="52" t="n">
        <x:f>IF(OR(R846="No",U846*S846=0),"",AA846/(U846*S846))</x:f>
        <x:v>0.04933928357011917</x:v>
      </x:c>
      <x:c r="AE846" s="50" t="str">
        <x:f>IF(R846="No","No finance data",IF(AB846&gt;=10%,"Severe",IF(AB846&gt;=5%,"High",IF(AB846&gt;=2%,"Moderate","Low"))))</x:f>
        <x:v>Moderate</x:v>
      </x:c>
      <x:c r="AF846" s="60" t="n">
        <x:v>38.785425</x:v>
      </x:c>
      <x:c r="AG846" s="60" t="n">
        <x:v>-90.501286</x:v>
      </x:c>
      <x:c r="AH846" s="44" t="str">
        <x:v>Undergraduate tuition-contribution proxy only; not an audited total institutional budget.</x:v>
      </x:c>
    </x:row>
    <x:row r="847">
      <x:c r="A847" s="16" t="n">
        <x:v>177986</x:v>
      </x:c>
      <x:c r="B847" s="16" t="str">
        <x:v>Logan University</x:v>
      </x:c>
      <x:c r="C847" s="16" t="str">
        <x:v>MO</x:v>
      </x:c>
      <x:c r="D847" s="16" t="str">
        <x:v>Private nonprofit</x:v>
      </x:c>
      <x:c r="E847" s="34" t="n">
        <x:v>52</x:v>
      </x:c>
      <x:c r="F847" s="21"/>
      <x:c r="G847" s="16" t="str">
        <x:v>Regional</x:v>
      </x:c>
      <x:c r="H847" s="36" t="n">
        <x:f>IF(G847="National",Assumptions!$B$11,IF(G847="Statewide",Assumptions!$B$12,Assumptions!$B$13))</x:f>
        <x:v>0.85</x:v>
      </x:c>
      <x:c r="I847" s="21" t="n">
        <x:v>-0.06261144076466629</x:v>
      </x:c>
      <x:c r="J847" s="21" t="n">
        <x:v>-0.06049223933822456</x:v>
      </x:c>
      <x:c r="K847" s="21" t="n">
        <x:v>-0.139458069042121</x:v>
      </x:c>
      <x:c r="L847" s="36" t="n">
        <x:f>IF(Assumptions!$B$4=2030,I847,IF(Assumptions!$B$4=2035,J847,K847))</x:f>
        <x:v>-0.06049223933822456</x:v>
      </x:c>
      <x:c r="M847" s="36" t="n">
        <x:f>Assumptions!$B$19</x:f>
        <x:v>-0.04739891965741583</x:v>
      </x:c>
      <x:c r="N847" s="52" t="n">
        <x:f>H847*L847+(1-H847)*M847+O847</x:f>
        <x:v>-0.058528241386103255</x:v>
      </x:c>
      <x:c r="O847" s="36" t="n">
        <x:f>Assumptions!$B$10</x:f>
        <x:v>0</x:v>
      </x:c>
      <x:c r="P847" s="54" t="n">
        <x:f>E847*(1+N847)</x:f>
        <x:v>48.95653144792263</x:v>
      </x:c>
      <x:c r="Q847" s="54" t="n">
        <x:f>P847-E847</x:f>
        <x:v>-3.043468552077371</x:v>
      </x:c>
      <x:c r="R847" s="16" t="str">
        <x:v>No</x:v>
      </x:c>
      <x:c r="S847" s="56"/>
      <x:c r="T847" s="56"/>
      <x:c r="U847" s="40" t="n">
        <x:f>E847*Assumptions!$B$8</x:f>
        <x:v>44.199999999999996</x:v>
      </x:c>
      <x:c r="V847" s="40" t="n">
        <x:f>P847*Assumptions!$B$8</x:f>
        <x:v>41.613051730734234</x:v>
      </x:c>
      <x:c r="W847" s="54" t="n">
        <x:f>V847-U847</x:f>
        <x:v>-2.5869482692657613</x:v>
      </x:c>
      <x:c r="X847" s="58" t="str">
        <x:f>IF(R847="No","",W847*S847)</x:f>
      </x:c>
      <x:c r="Y847" s="58" t="str">
        <x:f>IF(R847="No","",W847*T847*Assumptions!$B$9)</x:f>
      </x:c>
      <x:c r="Z847" s="58" t="str">
        <x:f>IF(R847="No","",X847-Y847)</x:f>
      </x:c>
      <x:c r="AA847" s="58" t="str">
        <x:f>IF(R847="No","",MAX(0,-Z847))</x:f>
      </x:c>
      <x:c r="AB847" s="52" t="str">
        <x:f>IF(OR(R847="No",U847*S847=0),"",AA847/(U847*S847))</x:f>
      </x:c>
      <x:c r="AC847" s="54" t="str">
        <x:f>IF(OR(R847="No",S847-T847*Assumptions!$B$9&lt;=0),"",AA847/(Assumptions!$B$8*(S847-T847*Assumptions!$B$9)))</x:f>
      </x:c>
      <x:c r="AD847" s="52" t="str">
        <x:f>IF(OR(R847="No",U847*S847=0),"",AA847/(U847*S847))</x:f>
      </x:c>
      <x:c r="AE847" s="50" t="str">
        <x:f>IF(R847="No","No finance data",IF(AB847&gt;=10%,"Severe",IF(AB847&gt;=5%,"High",IF(AB847&gt;=2%,"Moderate","Low"))))</x:f>
        <x:v>No finance data</x:v>
      </x:c>
      <x:c r="AF847" s="60"/>
      <x:c r="AG847" s="60"/>
      <x:c r="AH847" s="44" t="str">
        <x:v>Undergraduate tuition-contribution proxy only; not an audited total institutional budget.</x:v>
      </x:c>
    </x:row>
    <x:row r="848">
      <x:c r="A848" s="16" t="n">
        <x:v>178059</x:v>
      </x:c>
      <x:c r="B848" s="16" t="str">
        <x:v>Maryville University of Saint Louis</x:v>
      </x:c>
      <x:c r="C848" s="16" t="str">
        <x:v>MO</x:v>
      </x:c>
      <x:c r="D848" s="16" t="str">
        <x:v>Private nonprofit</x:v>
      </x:c>
      <x:c r="E848" s="34" t="n">
        <x:v>2703</x:v>
      </x:c>
      <x:c r="F848" s="21" t="n">
        <x:v>0.9154</x:v>
      </x:c>
      <x:c r="G848" s="16" t="str">
        <x:v>Regional</x:v>
      </x:c>
      <x:c r="H848" s="36" t="n">
        <x:f>IF(G848="National",Assumptions!$B$11,IF(G848="Statewide",Assumptions!$B$12,Assumptions!$B$13))</x:f>
        <x:v>0.85</x:v>
      </x:c>
      <x:c r="I848" s="21" t="n">
        <x:v>-0.06261144076466629</x:v>
      </x:c>
      <x:c r="J848" s="21" t="n">
        <x:v>-0.06049223933822456</x:v>
      </x:c>
      <x:c r="K848" s="21" t="n">
        <x:v>-0.139458069042121</x:v>
      </x:c>
      <x:c r="L848" s="36" t="n">
        <x:f>IF(Assumptions!$B$4=2030,I848,IF(Assumptions!$B$4=2035,J848,K848))</x:f>
        <x:v>-0.06049223933822456</x:v>
      </x:c>
      <x:c r="M848" s="36" t="n">
        <x:f>Assumptions!$B$19</x:f>
        <x:v>-0.04739891965741583</x:v>
      </x:c>
      <x:c r="N848" s="52" t="n">
        <x:f>H848*L848+(1-H848)*M848+O848</x:f>
        <x:v>-0.058528241386103255</x:v>
      </x:c>
      <x:c r="O848" s="36" t="n">
        <x:f>Assumptions!$B$10</x:f>
        <x:v>0</x:v>
      </x:c>
      <x:c r="P848" s="54" t="n">
        <x:f>E848*(1+N848)</x:f>
        <x:v>2544.798163533363</x:v>
      </x:c>
      <x:c r="Q848" s="54" t="n">
        <x:f>P848-E848</x:f>
        <x:v>-158.2018364666369</x:v>
      </x:c>
      <x:c r="R848" s="16" t="str">
        <x:v>Yes</x:v>
      </x:c>
      <x:c r="S848" s="56" t="n">
        <x:v>11080</x:v>
      </x:c>
      <x:c r="T848" s="56" t="n">
        <x:v>6467</x:v>
      </x:c>
      <x:c r="U848" s="40" t="n">
        <x:f>E848*Assumptions!$B$8</x:f>
        <x:v>2297.5499999999997</x:v>
      </x:c>
      <x:c r="V848" s="40" t="n">
        <x:f>P848*Assumptions!$B$8</x:f>
        <x:v>2163.0784390033587</x:v>
      </x:c>
      <x:c r="W848" s="54" t="n">
        <x:f>V848-U848</x:f>
        <x:v>-134.47156099664107</x:v>
      </x:c>
      <x:c r="X848" s="58" t="n">
        <x:f>IF(R848="No","",W848*S848)</x:f>
        <x:v>-1489944.8958427832</x:v>
      </x:c>
      <x:c r="Y848" s="58" t="n">
        <x:f>IF(R848="No","",W848*T848*Assumptions!$B$9)</x:f>
        <x:v>-260888.27548958332</x:v>
      </x:c>
      <x:c r="Z848" s="58" t="n">
        <x:f>IF(R848="No","",X848-Y848)</x:f>
        <x:v>-1229056.6203531998</x:v>
      </x:c>
      <x:c r="AA848" s="58" t="n">
        <x:f>IF(R848="No","",MAX(0,-Z848))</x:f>
        <x:v>1229056.6203531998</x:v>
      </x:c>
      <x:c r="AB848" s="52" t="n">
        <x:f>IF(OR(R848="No",U848*S848=0),"",AA848/(U848*S848))</x:f>
        <x:v>0.04827998857805446</x:v>
      </x:c>
      <x:c r="AC848" s="54" t="n">
        <x:f>IF(OR(R848="No",S848-T848*Assumptions!$B$9&lt;=0),"",AA848/(Assumptions!$B$8*(S848-T848*Assumptions!$B$9)))</x:f>
        <x:v>158.2018364666366</x:v>
      </x:c>
      <x:c r="AD848" s="52" t="n">
        <x:f>IF(OR(R848="No",U848*S848=0),"",AA848/(U848*S848))</x:f>
        <x:v>0.04827998857805446</x:v>
      </x:c>
      <x:c r="AE848" s="50" t="str">
        <x:f>IF(R848="No","No finance data",IF(AB848&gt;=10%,"Severe",IF(AB848&gt;=5%,"High",IF(AB848&gt;=2%,"Moderate","Low"))))</x:f>
        <x:v>Moderate</x:v>
      </x:c>
      <x:c r="AF848" s="60" t="n">
        <x:v>38.644774</x:v>
      </x:c>
      <x:c r="AG848" s="60" t="n">
        <x:v>-90.505998</x:v>
      </x:c>
      <x:c r="AH848" s="44" t="str">
        <x:v>Undergraduate tuition-contribution proxy only; not an audited total institutional budget.</x:v>
      </x:c>
    </x:row>
    <x:row r="849">
      <x:c r="A849" s="16" t="n">
        <x:v>178208</x:v>
      </x:c>
      <x:c r="B849" s="16" t="str">
        <x:v>Midwestern Baptist Theological Seminary</x:v>
      </x:c>
      <x:c r="C849" s="16" t="str">
        <x:v>MO</x:v>
      </x:c>
      <x:c r="D849" s="16" t="str">
        <x:v>Private nonprofit</x:v>
      </x:c>
      <x:c r="E849" s="34" t="n">
        <x:v>319</x:v>
      </x:c>
      <x:c r="F849" s="21"/>
      <x:c r="G849" s="16" t="str">
        <x:v>Regional</x:v>
      </x:c>
      <x:c r="H849" s="36" t="n">
        <x:f>IF(G849="National",Assumptions!$B$11,IF(G849="Statewide",Assumptions!$B$12,Assumptions!$B$13))</x:f>
        <x:v>0.85</x:v>
      </x:c>
      <x:c r="I849" s="21" t="n">
        <x:v>-0.06261144076466629</x:v>
      </x:c>
      <x:c r="J849" s="21" t="n">
        <x:v>-0.06049223933822456</x:v>
      </x:c>
      <x:c r="K849" s="21" t="n">
        <x:v>-0.139458069042121</x:v>
      </x:c>
      <x:c r="L849" s="36" t="n">
        <x:f>IF(Assumptions!$B$4=2030,I849,IF(Assumptions!$B$4=2035,J849,K849))</x:f>
        <x:v>-0.06049223933822456</x:v>
      </x:c>
      <x:c r="M849" s="36" t="n">
        <x:f>Assumptions!$B$19</x:f>
        <x:v>-0.04739891965741583</x:v>
      </x:c>
      <x:c r="N849" s="52" t="n">
        <x:f>H849*L849+(1-H849)*M849+O849</x:f>
        <x:v>-0.058528241386103255</x:v>
      </x:c>
      <x:c r="O849" s="36" t="n">
        <x:f>Assumptions!$B$10</x:f>
        <x:v>0</x:v>
      </x:c>
      <x:c r="P849" s="54" t="n">
        <x:f>E849*(1+N849)</x:f>
        <x:v>300.3294909978331</x:v>
      </x:c>
      <x:c r="Q849" s="54" t="n">
        <x:f>P849-E849</x:f>
        <x:v>-18.67050900216691</x:v>
      </x:c>
      <x:c r="R849" s="16" t="str">
        <x:v>No</x:v>
      </x:c>
      <x:c r="S849" s="56"/>
      <x:c r="T849" s="56"/>
      <x:c r="U849" s="40" t="n">
        <x:f>E849*Assumptions!$B$8</x:f>
        <x:v>271.15</x:v>
      </x:c>
      <x:c r="V849" s="40" t="n">
        <x:f>P849*Assumptions!$B$8</x:f>
        <x:v>255.28006734815813</x:v>
      </x:c>
      <x:c r="W849" s="54" t="n">
        <x:f>V849-U849</x:f>
        <x:v>-15.86993265184185</x:v>
      </x:c>
      <x:c r="X849" s="58" t="str">
        <x:f>IF(R849="No","",W849*S849)</x:f>
      </x:c>
      <x:c r="Y849" s="58" t="str">
        <x:f>IF(R849="No","",W849*T849*Assumptions!$B$9)</x:f>
      </x:c>
      <x:c r="Z849" s="58" t="str">
        <x:f>IF(R849="No","",X849-Y849)</x:f>
      </x:c>
      <x:c r="AA849" s="58" t="str">
        <x:f>IF(R849="No","",MAX(0,-Z849))</x:f>
      </x:c>
      <x:c r="AB849" s="52" t="str">
        <x:f>IF(OR(R849="No",U849*S849=0),"",AA849/(U849*S849))</x:f>
      </x:c>
      <x:c r="AC849" s="54" t="str">
        <x:f>IF(OR(R849="No",S849-T849*Assumptions!$B$9&lt;=0),"",AA849/(Assumptions!$B$8*(S849-T849*Assumptions!$B$9)))</x:f>
      </x:c>
      <x:c r="AD849" s="52" t="str">
        <x:f>IF(OR(R849="No",U849*S849=0),"",AA849/(U849*S849))</x:f>
      </x:c>
      <x:c r="AE849" s="50" t="str">
        <x:f>IF(R849="No","No finance data",IF(AB849&gt;=10%,"Severe",IF(AB849&gt;=5%,"High",IF(AB849&gt;=2%,"Moderate","Low"))))</x:f>
        <x:v>No finance data</x:v>
      </x:c>
      <x:c r="AF849" s="60"/>
      <x:c r="AG849" s="60"/>
      <x:c r="AH849" s="44" t="str">
        <x:v>Undergraduate tuition-contribution proxy only; not an audited total institutional budget.</x:v>
      </x:c>
    </x:row>
    <x:row r="850">
      <x:c r="A850" s="16" t="n">
        <x:v>178244</x:v>
      </x:c>
      <x:c r="B850" s="16" t="str">
        <x:v>Missouri Baptist University</x:v>
      </x:c>
      <x:c r="C850" s="16" t="str">
        <x:v>MO</x:v>
      </x:c>
      <x:c r="D850" s="16" t="str">
        <x:v>Private nonprofit</x:v>
      </x:c>
      <x:c r="E850" s="34" t="n">
        <x:v>1740</x:v>
      </x:c>
      <x:c r="F850" s="21" t="n">
        <x:v>0.618</x:v>
      </x:c>
      <x:c r="G850" s="16" t="str">
        <x:v>Regional</x:v>
      </x:c>
      <x:c r="H850" s="36" t="n">
        <x:f>IF(G850="National",Assumptions!$B$11,IF(G850="Statewide",Assumptions!$B$12,Assumptions!$B$13))</x:f>
        <x:v>0.85</x:v>
      </x:c>
      <x:c r="I850" s="21" t="n">
        <x:v>-0.06261144076466629</x:v>
      </x:c>
      <x:c r="J850" s="21" t="n">
        <x:v>-0.06049223933822456</x:v>
      </x:c>
      <x:c r="K850" s="21" t="n">
        <x:v>-0.139458069042121</x:v>
      </x:c>
      <x:c r="L850" s="36" t="n">
        <x:f>IF(Assumptions!$B$4=2030,I850,IF(Assumptions!$B$4=2035,J850,K850))</x:f>
        <x:v>-0.06049223933822456</x:v>
      </x:c>
      <x:c r="M850" s="36" t="n">
        <x:f>Assumptions!$B$19</x:f>
        <x:v>-0.04739891965741583</x:v>
      </x:c>
      <x:c r="N850" s="52" t="n">
        <x:f>H850*L850+(1-H850)*M850+O850</x:f>
        <x:v>-0.058528241386103255</x:v>
      </x:c>
      <x:c r="O850" s="36" t="n">
        <x:f>Assumptions!$B$10</x:f>
        <x:v>0</x:v>
      </x:c>
      <x:c r="P850" s="54" t="n">
        <x:f>E850*(1+N850)</x:f>
        <x:v>1638.1608599881804</x:v>
      </x:c>
      <x:c r="Q850" s="54" t="n">
        <x:f>P850-E850</x:f>
        <x:v>-101.83914001181961</x:v>
      </x:c>
      <x:c r="R850" s="16" t="str">
        <x:v>Yes</x:v>
      </x:c>
      <x:c r="S850" s="56" t="n">
        <x:v>11284</x:v>
      </x:c>
      <x:c r="T850" s="56" t="n">
        <x:v>5613</x:v>
      </x:c>
      <x:c r="U850" s="40" t="n">
        <x:f>E850*Assumptions!$B$8</x:f>
        <x:v>1479</x:v>
      </x:c>
      <x:c r="V850" s="40" t="n">
        <x:f>P850*Assumptions!$B$8</x:f>
        <x:v>1392.4367309899533</x:v>
      </x:c>
      <x:c r="W850" s="54" t="n">
        <x:f>V850-U850</x:f>
        <x:v>-86.56326901004672</x:v>
      </x:c>
      <x:c r="X850" s="58" t="n">
        <x:f>IF(R850="No","",W850*S850)</x:f>
        <x:v>-976779.9275093672</x:v>
      </x:c>
      <x:c r="Y850" s="58" t="n">
        <x:f>IF(R850="No","",W850*T850*Assumptions!$B$9)</x:f>
        <x:v>-145763.8886860177</x:v>
      </x:c>
      <x:c r="Z850" s="58" t="n">
        <x:f>IF(R850="No","",X850-Y850)</x:f>
        <x:v>-831016.0388233495</x:v>
      </x:c>
      <x:c r="AA850" s="58" t="n">
        <x:f>IF(R850="No","",MAX(0,-Z850))</x:f>
        <x:v>831016.0388233495</x:v>
      </x:c>
      <x:c r="AB850" s="52" t="n">
        <x:f>IF(OR(R850="No",U850*S850=0),"",AA850/(U850*S850))</x:f>
        <x:v>0.0497941306390225</x:v>
      </x:c>
      <x:c r="AC850" s="54" t="n">
        <x:f>IF(OR(R850="No",S850-T850*Assumptions!$B$9&lt;=0),"",AA850/(Assumptions!$B$8*(S850-T850*Assumptions!$B$9)))</x:f>
        <x:v>101.83914001181967</x:v>
      </x:c>
      <x:c r="AD850" s="52" t="n">
        <x:f>IF(OR(R850="No",U850*S850=0),"",AA850/(U850*S850))</x:f>
        <x:v>0.0497941306390225</x:v>
      </x:c>
      <x:c r="AE850" s="50" t="str">
        <x:f>IF(R850="No","No finance data",IF(AB850&gt;=10%,"Severe",IF(AB850&gt;=5%,"High",IF(AB850&gt;=2%,"Moderate","Low"))))</x:f>
        <x:v>Moderate</x:v>
      </x:c>
      <x:c r="AF850" s="60" t="n">
        <x:v>38.641526</x:v>
      </x:c>
      <x:c r="AG850" s="60" t="n">
        <x:v>-90.462586</x:v>
      </x:c>
      <x:c r="AH850" s="44" t="str">
        <x:v>Undergraduate tuition-contribution proxy only; not an audited total institutional budget.</x:v>
      </x:c>
    </x:row>
    <x:row r="851">
      <x:c r="A851" s="16" t="n">
        <x:v>178341</x:v>
      </x:c>
      <x:c r="B851" s="16" t="str">
        <x:v>Missouri Southern State University</x:v>
      </x:c>
      <x:c r="C851" s="16" t="str">
        <x:v>MO</x:v>
      </x:c>
      <x:c r="D851" s="16" t="str">
        <x:v>Public</x:v>
      </x:c>
      <x:c r="E851" s="34" t="n">
        <x:v>5202</x:v>
      </x:c>
      <x:c r="F851" s="21" t="n">
        <x:v>0.9687</x:v>
      </x:c>
      <x:c r="G851" s="16" t="str">
        <x:v>Statewide</x:v>
      </x:c>
      <x:c r="H851" s="36" t="n">
        <x:f>IF(G851="National",Assumptions!$B$11,IF(G851="Statewide",Assumptions!$B$12,Assumptions!$B$13))</x:f>
        <x:v>0.6</x:v>
      </x:c>
      <x:c r="I851" s="21" t="n">
        <x:v>-0.06261144076466629</x:v>
      </x:c>
      <x:c r="J851" s="21" t="n">
        <x:v>-0.06049223933822456</x:v>
      </x:c>
      <x:c r="K851" s="21" t="n">
        <x:v>-0.139458069042121</x:v>
      </x:c>
      <x:c r="L851" s="36" t="n">
        <x:f>IF(Assumptions!$B$4=2030,I851,IF(Assumptions!$B$4=2035,J851,K851))</x:f>
        <x:v>-0.06049223933822456</x:v>
      </x:c>
      <x:c r="M851" s="36" t="n">
        <x:f>Assumptions!$B$19</x:f>
        <x:v>-0.04739891965741583</x:v>
      </x:c>
      <x:c r="N851" s="52" t="n">
        <x:f>H851*L851+(1-H851)*M851+O851</x:f>
        <x:v>-0.05525491146590107</x:v>
      </x:c>
      <x:c r="O851" s="36" t="n">
        <x:f>Assumptions!$B$10</x:f>
        <x:v>0</x:v>
      </x:c>
      <x:c r="P851" s="54" t="n">
        <x:f>E851*(1+N851)</x:f>
        <x:v>4914.563950554382</x:v>
      </x:c>
      <x:c r="Q851" s="54" t="n">
        <x:f>P851-E851</x:f>
        <x:v>-287.43604944561775</x:v>
      </x:c>
      <x:c r="R851" s="16" t="str">
        <x:v>Yes</x:v>
      </x:c>
      <x:c r="S851" s="56" t="n">
        <x:v>3827</x:v>
      </x:c>
      <x:c r="T851" s="56" t="n">
        <x:v>7776</x:v>
      </x:c>
      <x:c r="U851" s="40" t="n">
        <x:f>E851*Assumptions!$B$8</x:f>
        <x:v>4421.7</x:v>
      </x:c>
      <x:c r="V851" s="40" t="n">
        <x:f>P851*Assumptions!$B$8</x:f>
        <x:v>4177.379357971225</x:v>
      </x:c>
      <x:c r="W851" s="54" t="n">
        <x:f>V851-U851</x:f>
        <x:v>-244.32064202877518</x:v>
      </x:c>
      <x:c r="X851" s="58" t="n">
        <x:f>IF(R851="No","",W851*S851)</x:f>
        <x:v>-935015.0970441226</x:v>
      </x:c>
      <x:c r="Y851" s="58" t="n">
        <x:f>IF(R851="No","",W851*T851*Assumptions!$B$9)</x:f>
        <x:v>-569951.1937247267</x:v>
      </x:c>
      <x:c r="Z851" s="58" t="n">
        <x:f>IF(R851="No","",X851-Y851)</x:f>
        <x:v>-365063.90331939596</x:v>
      </x:c>
      <x:c r="AA851" s="58" t="n">
        <x:f>IF(R851="No","",MAX(0,-Z851))</x:f>
        <x:v>365063.90331939596</x:v>
      </x:c>
      <x:c r="AB851" s="52" t="n">
        <x:f>IF(OR(R851="No",U851*S851=0),"",AA851/(U851*S851))</x:f>
        <x:v>0.02157352723082037</x:v>
      </x:c>
      <x:c r="AC851" s="54" t="n">
        <x:f>IF(OR(R851="No",S851-T851*Assumptions!$B$9&lt;=0),"",AA851/(Assumptions!$B$8*(S851-T851*Assumptions!$B$9)))</x:f>
        <x:v>287.43604944561787</x:v>
      </x:c>
      <x:c r="AD851" s="52" t="n">
        <x:f>IF(OR(R851="No",U851*S851=0),"",AA851/(U851*S851))</x:f>
        <x:v>0.02157352723082037</x:v>
      </x:c>
      <x:c r="AE851" s="50" t="str">
        <x:f>IF(R851="No","No finance data",IF(AB851&gt;=10%,"Severe",IF(AB851&gt;=5%,"High",IF(AB851&gt;=2%,"Moderate","Low"))))</x:f>
        <x:v>Moderate</x:v>
      </x:c>
      <x:c r="AF851" s="60" t="n">
        <x:v>37.095155</x:v>
      </x:c>
      <x:c r="AG851" s="60" t="n">
        <x:v>-94.461689</x:v>
      </x:c>
      <x:c r="AH851" s="44" t="str">
        <x:v>Undergraduate tuition-contribution proxy only; not an audited total institutional budget.</x:v>
      </x:c>
    </x:row>
    <x:row r="852">
      <x:c r="A852" s="16" t="n">
        <x:v>179566</x:v>
      </x:c>
      <x:c r="B852" s="16" t="str">
        <x:v>Missouri State University-Springfield</x:v>
      </x:c>
      <x:c r="C852" s="16" t="str">
        <x:v>MO</x:v>
      </x:c>
      <x:c r="D852" s="16" t="str">
        <x:v>Public</x:v>
      </x:c>
      <x:c r="E852" s="34" t="n">
        <x:v>16617</x:v>
      </x:c>
      <x:c r="F852" s="21" t="n">
        <x:v>0.9385</x:v>
      </x:c>
      <x:c r="G852" s="16" t="str">
        <x:v>Statewide</x:v>
      </x:c>
      <x:c r="H852" s="36" t="n">
        <x:f>IF(G852="National",Assumptions!$B$11,IF(G852="Statewide",Assumptions!$B$12,Assumptions!$B$13))</x:f>
        <x:v>0.6</x:v>
      </x:c>
      <x:c r="I852" s="21" t="n">
        <x:v>-0.06261144076466629</x:v>
      </x:c>
      <x:c r="J852" s="21" t="n">
        <x:v>-0.06049223933822456</x:v>
      </x:c>
      <x:c r="K852" s="21" t="n">
        <x:v>-0.139458069042121</x:v>
      </x:c>
      <x:c r="L852" s="36" t="n">
        <x:f>IF(Assumptions!$B$4=2030,I852,IF(Assumptions!$B$4=2035,J852,K852))</x:f>
        <x:v>-0.06049223933822456</x:v>
      </x:c>
      <x:c r="M852" s="36" t="n">
        <x:f>Assumptions!$B$19</x:f>
        <x:v>-0.04739891965741583</x:v>
      </x:c>
      <x:c r="N852" s="52" t="n">
        <x:f>H852*L852+(1-H852)*M852+O852</x:f>
        <x:v>-0.05525491146590107</x:v>
      </x:c>
      <x:c r="O852" s="36" t="n">
        <x:f>Assumptions!$B$10</x:f>
        <x:v>0</x:v>
      </x:c>
      <x:c r="P852" s="54" t="n">
        <x:f>E852*(1+N852)</x:f>
        <x:v>15698.829136171122</x:v>
      </x:c>
      <x:c r="Q852" s="54" t="n">
        <x:f>P852-E852</x:f>
        <x:v>-918.1708638288783</x:v>
      </x:c>
      <x:c r="R852" s="16" t="str">
        <x:v>Yes</x:v>
      </x:c>
      <x:c r="S852" s="56" t="n">
        <x:v>7468</x:v>
      </x:c>
      <x:c r="T852" s="56" t="n">
        <x:v>7208</x:v>
      </x:c>
      <x:c r="U852" s="40" t="n">
        <x:f>E852*Assumptions!$B$8</x:f>
        <x:v>14124.449999999999</x:v>
      </x:c>
      <x:c r="V852" s="40" t="n">
        <x:f>P852*Assumptions!$B$8</x:f>
        <x:v>13344.004765745452</x:v>
      </x:c>
      <x:c r="W852" s="54" t="n">
        <x:f>V852-U852</x:f>
        <x:v>-780.4452342545464</x:v>
      </x:c>
      <x:c r="X852" s="58" t="n">
        <x:f>IF(R852="No","",W852*S852)</x:f>
        <x:v>-5828365.009412953</x:v>
      </x:c>
      <x:c r="Y852" s="58" t="n">
        <x:f>IF(R852="No","",W852*T852*Assumptions!$B$9)</x:f>
        <x:v>-1687634.7745520312</x:v>
      </x:c>
      <x:c r="Z852" s="58" t="n">
        <x:f>IF(R852="No","",X852-Y852)</x:f>
        <x:v>-4140730.2348609213</x:v>
      </x:c>
      <x:c r="AA852" s="58" t="n">
        <x:f>IF(R852="No","",MAX(0,-Z852))</x:f>
        <x:v>4140730.2348609213</x:v>
      </x:c>
      <x:c r="AB852" s="52" t="n">
        <x:f>IF(OR(R852="No",U852*S852=0),"",AA852/(U852*S852))</x:f>
        <x:v>0.03925555145601028</x:v>
      </x:c>
      <x:c r="AC852" s="54" t="n">
        <x:f>IF(OR(R852="No",S852-T852*Assumptions!$B$9&lt;=0),"",AA852/(Assumptions!$B$8*(S852-T852*Assumptions!$B$9)))</x:f>
        <x:v>918.170863828878</x:v>
      </x:c>
      <x:c r="AD852" s="52" t="n">
        <x:f>IF(OR(R852="No",U852*S852=0),"",AA852/(U852*S852))</x:f>
        <x:v>0.03925555145601028</x:v>
      </x:c>
      <x:c r="AE852" s="50" t="str">
        <x:f>IF(R852="No","No finance data",IF(AB852&gt;=10%,"Severe",IF(AB852&gt;=5%,"High",IF(AB852&gt;=2%,"Moderate","Low"))))</x:f>
        <x:v>Moderate</x:v>
      </x:c>
      <x:c r="AF852" s="60" t="n">
        <x:v>37.199258</x:v>
      </x:c>
      <x:c r="AG852" s="60" t="n">
        <x:v>-93.281281</x:v>
      </x:c>
      <x:c r="AH852" s="44" t="str">
        <x:v>Undergraduate tuition-contribution proxy only; not an audited total institutional budget.</x:v>
      </x:c>
    </x:row>
    <x:row r="853">
      <x:c r="A853" s="16" t="n">
        <x:v>178411</x:v>
      </x:c>
      <x:c r="B853" s="16" t="str">
        <x:v>Missouri University of Science and Technology</x:v>
      </x:c>
      <x:c r="C853" s="16" t="str">
        <x:v>MO</x:v>
      </x:c>
      <x:c r="D853" s="16" t="str">
        <x:v>Public</x:v>
      </x:c>
      <x:c r="E853" s="34" t="n">
        <x:v>6747</x:v>
      </x:c>
      <x:c r="F853" s="21" t="n">
        <x:v>0.854</x:v>
      </x:c>
      <x:c r="G853" s="16" t="str">
        <x:v>Statewide</x:v>
      </x:c>
      <x:c r="H853" s="36" t="n">
        <x:f>IF(G853="National",Assumptions!$B$11,IF(G853="Statewide",Assumptions!$B$12,Assumptions!$B$13))</x:f>
        <x:v>0.6</x:v>
      </x:c>
      <x:c r="I853" s="21" t="n">
        <x:v>-0.06261144076466629</x:v>
      </x:c>
      <x:c r="J853" s="21" t="n">
        <x:v>-0.06049223933822456</x:v>
      </x:c>
      <x:c r="K853" s="21" t="n">
        <x:v>-0.139458069042121</x:v>
      </x:c>
      <x:c r="L853" s="36" t="n">
        <x:f>IF(Assumptions!$B$4=2030,I853,IF(Assumptions!$B$4=2035,J853,K853))</x:f>
        <x:v>-0.06049223933822456</x:v>
      </x:c>
      <x:c r="M853" s="36" t="n">
        <x:f>Assumptions!$B$19</x:f>
        <x:v>-0.04739891965741583</x:v>
      </x:c>
      <x:c r="N853" s="52" t="n">
        <x:f>H853*L853+(1-H853)*M853+O853</x:f>
        <x:v>-0.05525491146590107</x:v>
      </x:c>
      <x:c r="O853" s="36" t="n">
        <x:f>Assumptions!$B$10</x:f>
        <x:v>0</x:v>
      </x:c>
      <x:c r="P853" s="54" t="n">
        <x:f>E853*(1+N853)</x:f>
        <x:v>6374.195112339566</x:v>
      </x:c>
      <x:c r="Q853" s="54" t="n">
        <x:f>P853-E853</x:f>
        <x:v>-372.80488766043436</x:v>
      </x:c>
      <x:c r="R853" s="16" t="str">
        <x:v>Yes</x:v>
      </x:c>
      <x:c r="S853" s="56" t="n">
        <x:v>10520</x:v>
      </x:c>
      <x:c r="T853" s="56" t="n">
        <x:v>14701</x:v>
      </x:c>
      <x:c r="U853" s="40" t="n">
        <x:f>E853*Assumptions!$B$8</x:f>
        <x:v>5734.95</x:v>
      </x:c>
      <x:c r="V853" s="40" t="n">
        <x:f>P853*Assumptions!$B$8</x:f>
        <x:v>5418.065845488631</x:v>
      </x:c>
      <x:c r="W853" s="54" t="n">
        <x:f>V853-U853</x:f>
        <x:v>-316.88415451136916</x:v>
      </x:c>
      <x:c r="X853" s="58" t="n">
        <x:f>IF(R853="No","",W853*S853)</x:f>
        <x:v>-3333621.3054596037</x:v>
      </x:c>
      <x:c r="Y853" s="58" t="n">
        <x:f>IF(R853="No","",W853*T853*Assumptions!$B$9)</x:f>
        <x:v>-1397554.1866414913</x:v>
      </x:c>
      <x:c r="Z853" s="58" t="n">
        <x:f>IF(R853="No","",X853-Y853)</x:f>
        <x:v>-1936067.1188181124</x:v>
      </x:c>
      <x:c r="AA853" s="58" t="n">
        <x:f>IF(R853="No","",MAX(0,-Z853))</x:f>
        <x:v>1936067.1188181124</x:v>
      </x:c>
      <x:c r="AB853" s="52" t="n">
        <x:f>IF(OR(R853="No",U853*S853=0),"",AA853/(U853*S853))</x:f>
        <x:v>0.032090392831104146</x:v>
      </x:c>
      <x:c r="AC853" s="54" t="n">
        <x:f>IF(OR(R853="No",S853-T853*Assumptions!$B$9&lt;=0),"",AA853/(Assumptions!$B$8*(S853-T853*Assumptions!$B$9)))</x:f>
        <x:v>372.80488766043436</x:v>
      </x:c>
      <x:c r="AD853" s="52" t="n">
        <x:f>IF(OR(R853="No",U853*S853=0),"",AA853/(U853*S853))</x:f>
        <x:v>0.032090392831104146</x:v>
      </x:c>
      <x:c r="AE853" s="50" t="str">
        <x:f>IF(R853="No","No finance data",IF(AB853&gt;=10%,"Severe",IF(AB853&gt;=5%,"High",IF(AB853&gt;=2%,"Moderate","Low"))))</x:f>
        <x:v>Moderate</x:v>
      </x:c>
      <x:c r="AF853" s="60" t="n">
        <x:v>37.953426</x:v>
      </x:c>
      <x:c r="AG853" s="60" t="n">
        <x:v>-91.775583</x:v>
      </x:c>
      <x:c r="AH853" s="44" t="str">
        <x:v>Undergraduate tuition-contribution proxy only; not an audited total institutional budget.</x:v>
      </x:c>
    </x:row>
    <x:row r="854">
      <x:c r="A854" s="16" t="n">
        <x:v>178369</x:v>
      </x:c>
      <x:c r="B854" s="16" t="str">
        <x:v>Missouri Valley College</x:v>
      </x:c>
      <x:c r="C854" s="16" t="str">
        <x:v>MO</x:v>
      </x:c>
      <x:c r="D854" s="16" t="str">
        <x:v>Private nonprofit</x:v>
      </x:c>
      <x:c r="E854" s="34" t="n">
        <x:v>1389</x:v>
      </x:c>
      <x:c r="F854" s="21" t="n">
        <x:v>0.6588</x:v>
      </x:c>
      <x:c r="G854" s="16" t="str">
        <x:v>Regional</x:v>
      </x:c>
      <x:c r="H854" s="36" t="n">
        <x:f>IF(G854="National",Assumptions!$B$11,IF(G854="Statewide",Assumptions!$B$12,Assumptions!$B$13))</x:f>
        <x:v>0.85</x:v>
      </x:c>
      <x:c r="I854" s="21" t="n">
        <x:v>-0.06261144076466629</x:v>
      </x:c>
      <x:c r="J854" s="21" t="n">
        <x:v>-0.06049223933822456</x:v>
      </x:c>
      <x:c r="K854" s="21" t="n">
        <x:v>-0.139458069042121</x:v>
      </x:c>
      <x:c r="L854" s="36" t="n">
        <x:f>IF(Assumptions!$B$4=2030,I854,IF(Assumptions!$B$4=2035,J854,K854))</x:f>
        <x:v>-0.06049223933822456</x:v>
      </x:c>
      <x:c r="M854" s="36" t="n">
        <x:f>Assumptions!$B$19</x:f>
        <x:v>-0.04739891965741583</x:v>
      </x:c>
      <x:c r="N854" s="52" t="n">
        <x:f>H854*L854+(1-H854)*M854+O854</x:f>
        <x:v>-0.058528241386103255</x:v>
      </x:c>
      <x:c r="O854" s="36" t="n">
        <x:f>Assumptions!$B$10</x:f>
        <x:v>0</x:v>
      </x:c>
      <x:c r="P854" s="54" t="n">
        <x:f>E854*(1+N854)</x:f>
        <x:v>1307.7042727147027</x:v>
      </x:c>
      <x:c r="Q854" s="54" t="n">
        <x:f>P854-E854</x:f>
        <x:v>-81.29572728529729</x:v>
      </x:c>
      <x:c r="R854" s="16" t="str">
        <x:v>Yes</x:v>
      </x:c>
      <x:c r="S854" s="56" t="n">
        <x:v>9127</x:v>
      </x:c>
      <x:c r="T854" s="56" t="n">
        <x:v>4447</x:v>
      </x:c>
      <x:c r="U854" s="40" t="n">
        <x:f>E854*Assumptions!$B$8</x:f>
        <x:v>1180.6499999999999</x:v>
      </x:c>
      <x:c r="V854" s="40" t="n">
        <x:f>P854*Assumptions!$B$8</x:f>
        <x:v>1111.5486318074973</x:v>
      </x:c>
      <x:c r="W854" s="54" t="n">
        <x:f>V854-U854</x:f>
        <x:v>-69.1013681925026</x:v>
      </x:c>
      <x:c r="X854" s="58" t="n">
        <x:f>IF(R854="No","",W854*S854)</x:f>
        <x:v>-630688.1874929713</x:v>
      </x:c>
      <x:c r="Y854" s="58" t="n">
        <x:f>IF(R854="No","",W854*T854*Assumptions!$B$9)</x:f>
        <x:v>-92188.13530561772</x:v>
      </x:c>
      <x:c r="Z854" s="58" t="n">
        <x:f>IF(R854="No","",X854-Y854)</x:f>
        <x:v>-538500.0521873536</x:v>
      </x:c>
      <x:c r="AA854" s="58" t="n">
        <x:f>IF(R854="No","",MAX(0,-Z854))</x:f>
        <x:v>538500.0521873536</x:v>
      </x:c>
      <x:c r="AB854" s="52" t="n">
        <x:f>IF(OR(R854="No",U854*S854=0),"",AA854/(U854*S854))</x:f>
        <x:v>0.049973127237620554</x:v>
      </x:c>
      <x:c r="AC854" s="54" t="n">
        <x:f>IF(OR(R854="No",S854-T854*Assumptions!$B$9&lt;=0),"",AA854/(Assumptions!$B$8*(S854-T854*Assumptions!$B$9)))</x:f>
        <x:v>81.2957272852972</x:v>
      </x:c>
      <x:c r="AD854" s="52" t="n">
        <x:f>IF(OR(R854="No",U854*S854=0),"",AA854/(U854*S854))</x:f>
        <x:v>0.049973127237620554</x:v>
      </x:c>
      <x:c r="AE854" s="50" t="str">
        <x:f>IF(R854="No","No finance data",IF(AB854&gt;=10%,"Severe",IF(AB854&gt;=5%,"High",IF(AB854&gt;=2%,"Moderate","Low"))))</x:f>
        <x:v>Moderate</x:v>
      </x:c>
      <x:c r="AF854" s="60" t="n">
        <x:v>39.108522</x:v>
      </x:c>
      <x:c r="AG854" s="60" t="n">
        <x:v>-93.190654</x:v>
      </x:c>
      <x:c r="AH854" s="44" t="str">
        <x:v>Undergraduate tuition-contribution proxy only; not an audited total institutional budget.</x:v>
      </x:c>
    </x:row>
    <x:row r="855">
      <x:c r="A855" s="16" t="n">
        <x:v>178387</x:v>
      </x:c>
      <x:c r="B855" s="16" t="str">
        <x:v>Missouri Western State University</x:v>
      </x:c>
      <x:c r="C855" s="16" t="str">
        <x:v>MO</x:v>
      </x:c>
      <x:c r="D855" s="16" t="str">
        <x:v>Public</x:v>
      </x:c>
      <x:c r="E855" s="34" t="n">
        <x:v>4420</x:v>
      </x:c>
      <x:c r="F855" s="21"/>
      <x:c r="G855" s="16" t="str">
        <x:v>Regional</x:v>
      </x:c>
      <x:c r="H855" s="36" t="n">
        <x:f>IF(G855="National",Assumptions!$B$11,IF(G855="Statewide",Assumptions!$B$12,Assumptions!$B$13))</x:f>
        <x:v>0.85</x:v>
      </x:c>
      <x:c r="I855" s="21" t="n">
        <x:v>-0.06261144076466629</x:v>
      </x:c>
      <x:c r="J855" s="21" t="n">
        <x:v>-0.06049223933822456</x:v>
      </x:c>
      <x:c r="K855" s="21" t="n">
        <x:v>-0.139458069042121</x:v>
      </x:c>
      <x:c r="L855" s="36" t="n">
        <x:f>IF(Assumptions!$B$4=2030,I855,IF(Assumptions!$B$4=2035,J855,K855))</x:f>
        <x:v>-0.06049223933822456</x:v>
      </x:c>
      <x:c r="M855" s="36" t="n">
        <x:f>Assumptions!$B$19</x:f>
        <x:v>-0.04739891965741583</x:v>
      </x:c>
      <x:c r="N855" s="52" t="n">
        <x:f>H855*L855+(1-H855)*M855+O855</x:f>
        <x:v>-0.058528241386103255</x:v>
      </x:c>
      <x:c r="O855" s="36" t="n">
        <x:f>Assumptions!$B$10</x:f>
        <x:v>0</x:v>
      </x:c>
      <x:c r="P855" s="54" t="n">
        <x:f>E855*(1+N855)</x:f>
        <x:v>4161.305173073423</x:v>
      </x:c>
      <x:c r="Q855" s="54" t="n">
        <x:f>P855-E855</x:f>
        <x:v>-258.69482692657675</x:v>
      </x:c>
      <x:c r="R855" s="16" t="str">
        <x:v>Yes</x:v>
      </x:c>
      <x:c r="S855" s="56" t="n">
        <x:v>6322</x:v>
      </x:c>
      <x:c r="T855" s="56" t="n">
        <x:v>6041</x:v>
      </x:c>
      <x:c r="U855" s="40" t="n">
        <x:f>E855*Assumptions!$B$8</x:f>
        <x:v>3757</x:v>
      </x:c>
      <x:c r="V855" s="40" t="n">
        <x:f>P855*Assumptions!$B$8</x:f>
        <x:v>3537.1093971124096</x:v>
      </x:c>
      <x:c r="W855" s="54" t="n">
        <x:f>V855-U855</x:f>
        <x:v>-219.89060288759038</x:v>
      </x:c>
      <x:c r="X855" s="58" t="n">
        <x:f>IF(R855="No","",W855*S855)</x:f>
        <x:v>-1390148.3914553463</x:v>
      </x:c>
      <x:c r="Y855" s="58" t="n">
        <x:f>IF(R855="No","",W855*T855*Assumptions!$B$9)</x:f>
        <x:v>-398507.73961318005</x:v>
      </x:c>
      <x:c r="Z855" s="58" t="n">
        <x:f>IF(R855="No","",X855-Y855)</x:f>
        <x:v>-991640.6518421662</x:v>
      </x:c>
      <x:c r="AA855" s="58" t="n">
        <x:f>IF(R855="No","",MAX(0,-Z855))</x:f>
        <x:v>991640.6518421662</x:v>
      </x:c>
      <x:c r="AB855" s="52" t="n">
        <x:f>IF(OR(R855="No",U855*S855=0),"",AA855/(U855*S855))</x:f>
        <x:v>0.041750207241206955</x:v>
      </x:c>
      <x:c r="AC855" s="54" t="n">
        <x:f>IF(OR(R855="No",S855-T855*Assumptions!$B$9&lt;=0),"",AA855/(Assumptions!$B$8*(S855-T855*Assumptions!$B$9)))</x:f>
        <x:v>258.69482692657687</x:v>
      </x:c>
      <x:c r="AD855" s="52" t="n">
        <x:f>IF(OR(R855="No",U855*S855=0),"",AA855/(U855*S855))</x:f>
        <x:v>0.041750207241206955</x:v>
      </x:c>
      <x:c r="AE855" s="50" t="str">
        <x:f>IF(R855="No","No finance data",IF(AB855&gt;=10%,"Severe",IF(AB855&gt;=5%,"High",IF(AB855&gt;=2%,"Moderate","Low"))))</x:f>
        <x:v>Moderate</x:v>
      </x:c>
      <x:c r="AF855" s="60" t="n">
        <x:v>39.7575</x:v>
      </x:c>
      <x:c r="AG855" s="60" t="n">
        <x:v>-94.785643</x:v>
      </x:c>
      <x:c r="AH855" s="44" t="str">
        <x:v>Undergraduate tuition-contribution proxy only; not an audited total institutional budget.</x:v>
      </x:c>
    </x:row>
    <x:row r="856">
      <x:c r="A856" s="16" t="n">
        <x:v>178624</x:v>
      </x:c>
      <x:c r="B856" s="16" t="str">
        <x:v>Northwest Missouri State University</x:v>
      </x:c>
      <x:c r="C856" s="16" t="str">
        <x:v>MO</x:v>
      </x:c>
      <x:c r="D856" s="16" t="str">
        <x:v>Public</x:v>
      </x:c>
      <x:c r="E856" s="34" t="n">
        <x:v>5288</x:v>
      </x:c>
      <x:c r="F856" s="21" t="n">
        <x:v>0.8558</x:v>
      </x:c>
      <x:c r="G856" s="16" t="str">
        <x:v>Statewide</x:v>
      </x:c>
      <x:c r="H856" s="36" t="n">
        <x:f>IF(G856="National",Assumptions!$B$11,IF(G856="Statewide",Assumptions!$B$12,Assumptions!$B$13))</x:f>
        <x:v>0.6</x:v>
      </x:c>
      <x:c r="I856" s="21" t="n">
        <x:v>-0.06261144076466629</x:v>
      </x:c>
      <x:c r="J856" s="21" t="n">
        <x:v>-0.06049223933822456</x:v>
      </x:c>
      <x:c r="K856" s="21" t="n">
        <x:v>-0.139458069042121</x:v>
      </x:c>
      <x:c r="L856" s="36" t="n">
        <x:f>IF(Assumptions!$B$4=2030,I856,IF(Assumptions!$B$4=2035,J856,K856))</x:f>
        <x:v>-0.06049223933822456</x:v>
      </x:c>
      <x:c r="M856" s="36" t="n">
        <x:f>Assumptions!$B$19</x:f>
        <x:v>-0.04739891965741583</x:v>
      </x:c>
      <x:c r="N856" s="52" t="n">
        <x:f>H856*L856+(1-H856)*M856+O856</x:f>
        <x:v>-0.05525491146590107</x:v>
      </x:c>
      <x:c r="O856" s="36" t="n">
        <x:f>Assumptions!$B$10</x:f>
        <x:v>0</x:v>
      </x:c>
      <x:c r="P856" s="54" t="n">
        <x:f>E856*(1+N856)</x:f>
        <x:v>4995.812028168315</x:v>
      </x:c>
      <x:c r="Q856" s="54" t="n">
        <x:f>P856-E856</x:f>
        <x:v>-292.187971831685</x:v>
      </x:c>
      <x:c r="R856" s="16" t="str">
        <x:v>Yes</x:v>
      </x:c>
      <x:c r="S856" s="56" t="n">
        <x:v>7246</x:v>
      </x:c>
      <x:c r="T856" s="56" t="n">
        <x:v>7489</x:v>
      </x:c>
      <x:c r="U856" s="40" t="n">
        <x:f>E856*Assumptions!$B$8</x:f>
        <x:v>4494.8</x:v>
      </x:c>
      <x:c r="V856" s="40" t="n">
        <x:f>P856*Assumptions!$B$8</x:f>
        <x:v>4246.440223943067</x:v>
      </x:c>
      <x:c r="W856" s="54" t="n">
        <x:f>V856-U856</x:f>
        <x:v>-248.3597760569328</x:v>
      </x:c>
      <x:c r="X856" s="58" t="n">
        <x:f>IF(R856="No","",W856*S856)</x:f>
        <x:v>-1799614.937308535</x:v>
      </x:c>
      <x:c r="Y856" s="58" t="n">
        <x:f>IF(R856="No","",W856*T856*Assumptions!$B$9)</x:f>
        <x:v>-557989.9088671108</x:v>
      </x:c>
      <x:c r="Z856" s="58" t="n">
        <x:f>IF(R856="No","",X856-Y856)</x:f>
        <x:v>-1241625.028441424</x:v>
      </x:c>
      <x:c r="AA856" s="58" t="n">
        <x:f>IF(R856="No","",MAX(0,-Z856))</x:f>
        <x:v>1241625.028441424</x:v>
      </x:c>
      <x:c r="AB856" s="52" t="n">
        <x:f>IF(OR(R856="No",U856*S856=0),"",AA856/(U856*S856))</x:f>
        <x:v>0.038122533658774486</x:v>
      </x:c>
      <x:c r="AC856" s="54" t="n">
        <x:f>IF(OR(R856="No",S856-T856*Assumptions!$B$9&lt;=0),"",AA856/(Assumptions!$B$8*(S856-T856*Assumptions!$B$9)))</x:f>
        <x:v>292.1879718316856</x:v>
      </x:c>
      <x:c r="AD856" s="52" t="n">
        <x:f>IF(OR(R856="No",U856*S856=0),"",AA856/(U856*S856))</x:f>
        <x:v>0.038122533658774486</x:v>
      </x:c>
      <x:c r="AE856" s="50" t="str">
        <x:f>IF(R856="No","No finance data",IF(AB856&gt;=10%,"Severe",IF(AB856&gt;=5%,"High",IF(AB856&gt;=2%,"Moderate","Low"))))</x:f>
        <x:v>Moderate</x:v>
      </x:c>
      <x:c r="AF856" s="60" t="n">
        <x:v>40.351692</x:v>
      </x:c>
      <x:c r="AG856" s="60" t="n">
        <x:v>-94.883339</x:v>
      </x:c>
      <x:c r="AH856" s="44" t="str">
        <x:v>Undergraduate tuition-contribution proxy only; not an audited total institutional budget.</x:v>
      </x:c>
    </x:row>
    <x:row r="857">
      <x:c r="A857" s="16" t="n">
        <x:v>178679</x:v>
      </x:c>
      <x:c r="B857" s="16" t="str">
        <x:v>Ozark Christian College</x:v>
      </x:c>
      <x:c r="C857" s="16" t="str">
        <x:v>MO</x:v>
      </x:c>
      <x:c r="D857" s="16" t="str">
        <x:v>Private nonprofit</x:v>
      </x:c>
      <x:c r="E857" s="34" t="n">
        <x:v>678</x:v>
      </x:c>
      <x:c r="F857" s="21" t="n">
        <x:v>0.9805</x:v>
      </x:c>
      <x:c r="G857" s="16" t="str">
        <x:v>Regional</x:v>
      </x:c>
      <x:c r="H857" s="36" t="n">
        <x:f>IF(G857="National",Assumptions!$B$11,IF(G857="Statewide",Assumptions!$B$12,Assumptions!$B$13))</x:f>
        <x:v>0.85</x:v>
      </x:c>
      <x:c r="I857" s="21" t="n">
        <x:v>-0.06261144076466629</x:v>
      </x:c>
      <x:c r="J857" s="21" t="n">
        <x:v>-0.06049223933822456</x:v>
      </x:c>
      <x:c r="K857" s="21" t="n">
        <x:v>-0.139458069042121</x:v>
      </x:c>
      <x:c r="L857" s="36" t="n">
        <x:f>IF(Assumptions!$B$4=2030,I857,IF(Assumptions!$B$4=2035,J857,K857))</x:f>
        <x:v>-0.06049223933822456</x:v>
      </x:c>
      <x:c r="M857" s="36" t="n">
        <x:f>Assumptions!$B$19</x:f>
        <x:v>-0.04739891965741583</x:v>
      </x:c>
      <x:c r="N857" s="52" t="n">
        <x:f>H857*L857+(1-H857)*M857+O857</x:f>
        <x:v>-0.058528241386103255</x:v>
      </x:c>
      <x:c r="O857" s="36" t="n">
        <x:f>Assumptions!$B$10</x:f>
        <x:v>0</x:v>
      </x:c>
      <x:c r="P857" s="54" t="n">
        <x:f>E857*(1+N857)</x:f>
        <x:v>638.317852340222</x:v>
      </x:c>
      <x:c r="Q857" s="54" t="n">
        <x:f>P857-E857</x:f>
        <x:v>-39.682147659778025</x:v>
      </x:c>
      <x:c r="R857" s="16" t="str">
        <x:v>Yes</x:v>
      </x:c>
      <x:c r="S857" s="56" t="n">
        <x:v>10024</x:v>
      </x:c>
      <x:c r="T857" s="56" t="n">
        <x:v>6490</x:v>
      </x:c>
      <x:c r="U857" s="40" t="n">
        <x:f>E857*Assumptions!$B$8</x:f>
        <x:v>576.3</x:v>
      </x:c>
      <x:c r="V857" s="40" t="n">
        <x:f>P857*Assumptions!$B$8</x:f>
        <x:v>542.5701744891886</x:v>
      </x:c>
      <x:c r="W857" s="54" t="n">
        <x:f>V857-U857</x:f>
        <x:v>-33.72982551081134</x:v>
      </x:c>
      <x:c r="X857" s="58" t="n">
        <x:f>IF(R857="No","",W857*S857)</x:f>
        <x:v>-338107.77092037286</x:v>
      </x:c>
      <x:c r="Y857" s="58" t="n">
        <x:f>IF(R857="No","",W857*T857*Assumptions!$B$9)</x:f>
        <x:v>-65671.97026954967</x:v>
      </x:c>
      <x:c r="Z857" s="58" t="n">
        <x:f>IF(R857="No","",X857-Y857)</x:f>
        <x:v>-272435.80065082316</x:v>
      </x:c>
      <x:c r="AA857" s="58" t="n">
        <x:f>IF(R857="No","",MAX(0,-Z857))</x:f>
        <x:v>272435.80065082316</x:v>
      </x:c>
      <x:c r="AB857" s="52" t="n">
        <x:f>IF(OR(R857="No",U857*S857=0),"",AA857/(U857*S857))</x:f>
        <x:v>0.04716007638423349</x:v>
      </x:c>
      <x:c r="AC857" s="54" t="n">
        <x:f>IF(OR(R857="No",S857-T857*Assumptions!$B$9&lt;=0),"",AA857/(Assumptions!$B$8*(S857-T857*Assumptions!$B$9)))</x:f>
        <x:v>39.682147659778046</x:v>
      </x:c>
      <x:c r="AD857" s="52" t="n">
        <x:f>IF(OR(R857="No",U857*S857=0),"",AA857/(U857*S857))</x:f>
        <x:v>0.04716007638423349</x:v>
      </x:c>
      <x:c r="AE857" s="50" t="str">
        <x:f>IF(R857="No","No finance data",IF(AB857&gt;=10%,"Severe",IF(AB857&gt;=5%,"High",IF(AB857&gt;=2%,"Moderate","Low"))))</x:f>
        <x:v>Moderate</x:v>
      </x:c>
      <x:c r="AF857" s="60" t="n">
        <x:v>37.103172</x:v>
      </x:c>
      <x:c r="AG857" s="60" t="n">
        <x:v>-94.510622</x:v>
      </x:c>
      <x:c r="AH857" s="44" t="str">
        <x:v>Undergraduate tuition-contribution proxy only; not an audited total institutional budget.</x:v>
      </x:c>
    </x:row>
    <x:row r="858">
      <x:c r="A858" s="16" t="n">
        <x:v>178721</x:v>
      </x:c>
      <x:c r="B858" s="16" t="str">
        <x:v>Park University</x:v>
      </x:c>
      <x:c r="C858" s="16" t="str">
        <x:v>MO</x:v>
      </x:c>
      <x:c r="D858" s="16" t="str">
        <x:v>Private nonprofit</x:v>
      </x:c>
      <x:c r="E858" s="34" t="n">
        <x:v>10105</x:v>
      </x:c>
      <x:c r="F858" s="21"/>
      <x:c r="G858" s="16" t="str">
        <x:v>Statewide</x:v>
      </x:c>
      <x:c r="H858" s="36" t="n">
        <x:f>IF(G858="National",Assumptions!$B$11,IF(G858="Statewide",Assumptions!$B$12,Assumptions!$B$13))</x:f>
        <x:v>0.6</x:v>
      </x:c>
      <x:c r="I858" s="21" t="n">
        <x:v>-0.06261144076466629</x:v>
      </x:c>
      <x:c r="J858" s="21" t="n">
        <x:v>-0.06049223933822456</x:v>
      </x:c>
      <x:c r="K858" s="21" t="n">
        <x:v>-0.139458069042121</x:v>
      </x:c>
      <x:c r="L858" s="36" t="n">
        <x:f>IF(Assumptions!$B$4=2030,I858,IF(Assumptions!$B$4=2035,J858,K858))</x:f>
        <x:v>-0.06049223933822456</x:v>
      </x:c>
      <x:c r="M858" s="36" t="n">
        <x:f>Assumptions!$B$19</x:f>
        <x:v>-0.04739891965741583</x:v>
      </x:c>
      <x:c r="N858" s="52" t="n">
        <x:f>H858*L858+(1-H858)*M858+O858</x:f>
        <x:v>-0.05525491146590107</x:v>
      </x:c>
      <x:c r="O858" s="36" t="n">
        <x:f>Assumptions!$B$10</x:f>
        <x:v>0</x:v>
      </x:c>
      <x:c r="P858" s="54" t="n">
        <x:f>E858*(1+N858)</x:f>
        <x:v>9546.64911963707</x:v>
      </x:c>
      <x:c r="Q858" s="54" t="n">
        <x:f>P858-E858</x:f>
        <x:v>-558.3508803629302</x:v>
      </x:c>
      <x:c r="R858" s="16" t="str">
        <x:v>Yes</x:v>
      </x:c>
      <x:c r="S858" s="56" t="n">
        <x:v>10388</x:v>
      </x:c>
      <x:c r="T858" s="56" t="n">
        <x:v>5056</x:v>
      </x:c>
      <x:c r="U858" s="40" t="n">
        <x:f>E858*Assumptions!$B$8</x:f>
        <x:v>8589.25</x:v>
      </x:c>
      <x:c r="V858" s="40" t="n">
        <x:f>P858*Assumptions!$B$8</x:f>
        <x:v>8114.651751691509</x:v>
      </x:c>
      <x:c r="W858" s="54" t="n">
        <x:f>V858-U858</x:f>
        <x:v>-474.59824830849084</x:v>
      </x:c>
      <x:c r="X858" s="58" t="n">
        <x:f>IF(R858="No","",W858*S858)</x:f>
        <x:v>-4930126.603428603</x:v>
      </x:c>
      <x:c r="Y858" s="58" t="n">
        <x:f>IF(R858="No","",W858*T858*Assumptions!$B$9)</x:f>
        <x:v>-719870.6230343189</x:v>
      </x:c>
      <x:c r="Z858" s="58" t="n">
        <x:f>IF(R858="No","",X858-Y858)</x:f>
        <x:v>-4210255.980394284</x:v>
      </x:c>
      <x:c r="AA858" s="58" t="n">
        <x:f>IF(R858="No","",MAX(0,-Z858))</x:f>
        <x:v>4210255.980394284</x:v>
      </x:c>
      <x:c r="AB858" s="52" t="n">
        <x:f>IF(OR(R858="No",U858*S858=0),"",AA858/(U858*S858))</x:f>
        <x:v>0.047186885887206556</x:v>
      </x:c>
      <x:c r="AC858" s="54" t="n">
        <x:f>IF(OR(R858="No",S858-T858*Assumptions!$B$9&lt;=0),"",AA858/(Assumptions!$B$8*(S858-T858*Assumptions!$B$9)))</x:f>
        <x:v>558.3508803629304</x:v>
      </x:c>
      <x:c r="AD858" s="52" t="n">
        <x:f>IF(OR(R858="No",U858*S858=0),"",AA858/(U858*S858))</x:f>
        <x:v>0.047186885887206556</x:v>
      </x:c>
      <x:c r="AE858" s="50" t="str">
        <x:f>IF(R858="No","No finance data",IF(AB858&gt;=10%,"Severe",IF(AB858&gt;=5%,"High",IF(AB858&gt;=2%,"Moderate","Low"))))</x:f>
        <x:v>Moderate</x:v>
      </x:c>
      <x:c r="AF858" s="60" t="n">
        <x:v>39.189256</x:v>
      </x:c>
      <x:c r="AG858" s="60" t="n">
        <x:v>-94.679041</x:v>
      </x:c>
      <x:c r="AH858" s="44" t="str">
        <x:v>Undergraduate tuition-contribution proxy only; not an audited total institutional budget.</x:v>
      </x:c>
    </x:row>
    <x:row r="859">
      <x:c r="A859" s="16" t="n">
        <x:v>179043</x:v>
      </x:c>
      <x:c r="B859" s="16" t="str">
        <x:v>Rockhurst University</x:v>
      </x:c>
      <x:c r="C859" s="16" t="str">
        <x:v>MO</x:v>
      </x:c>
      <x:c r="D859" s="16" t="str">
        <x:v>Private nonprofit</x:v>
      </x:c>
      <x:c r="E859" s="34" t="n">
        <x:v>1555</x:v>
      </x:c>
      <x:c r="F859" s="21" t="n">
        <x:v>0.6666</x:v>
      </x:c>
      <x:c r="G859" s="16" t="str">
        <x:v>Regional</x:v>
      </x:c>
      <x:c r="H859" s="36" t="n">
        <x:f>IF(G859="National",Assumptions!$B$11,IF(G859="Statewide",Assumptions!$B$12,Assumptions!$B$13))</x:f>
        <x:v>0.85</x:v>
      </x:c>
      <x:c r="I859" s="21" t="n">
        <x:v>-0.06261144076466629</x:v>
      </x:c>
      <x:c r="J859" s="21" t="n">
        <x:v>-0.06049223933822456</x:v>
      </x:c>
      <x:c r="K859" s="21" t="n">
        <x:v>-0.139458069042121</x:v>
      </x:c>
      <x:c r="L859" s="36" t="n">
        <x:f>IF(Assumptions!$B$4=2030,I859,IF(Assumptions!$B$4=2035,J859,K859))</x:f>
        <x:v>-0.06049223933822456</x:v>
      </x:c>
      <x:c r="M859" s="36" t="n">
        <x:f>Assumptions!$B$19</x:f>
        <x:v>-0.04739891965741583</x:v>
      </x:c>
      <x:c r="N859" s="52" t="n">
        <x:f>H859*L859+(1-H859)*M859+O859</x:f>
        <x:v>-0.058528241386103255</x:v>
      </x:c>
      <x:c r="O859" s="36" t="n">
        <x:f>Assumptions!$B$10</x:f>
        <x:v>0</x:v>
      </x:c>
      <x:c r="P859" s="54" t="n">
        <x:f>E859*(1+N859)</x:f>
        <x:v>1463.9885846446095</x:v>
      </x:c>
      <x:c r="Q859" s="54" t="n">
        <x:f>P859-E859</x:f>
        <x:v>-91.01141535539045</x:v>
      </x:c>
      <x:c r="R859" s="16" t="str">
        <x:v>Yes</x:v>
      </x:c>
      <x:c r="S859" s="56" t="n">
        <x:v>16253</x:v>
      </x:c>
      <x:c r="T859" s="56" t="n">
        <x:v>7398</x:v>
      </x:c>
      <x:c r="U859" s="40" t="n">
        <x:f>E859*Assumptions!$B$8</x:f>
        <x:v>1321.75</x:v>
      </x:c>
      <x:c r="V859" s="40" t="n">
        <x:f>P859*Assumptions!$B$8</x:f>
        <x:v>1244.3902969479182</x:v>
      </x:c>
      <x:c r="W859" s="54" t="n">
        <x:f>V859-U859</x:f>
        <x:v>-77.35970305208184</x:v>
      </x:c>
      <x:c r="X859" s="58" t="n">
        <x:f>IF(R859="No","",W859*S859)</x:f>
        <x:v>-1257327.2537054862</x:v>
      </x:c>
      <x:c r="Y859" s="58" t="n">
        <x:f>IF(R859="No","",W859*T859*Assumptions!$B$9)</x:f>
        <x:v>-171692.12495379042</x:v>
      </x:c>
      <x:c r="Z859" s="58" t="n">
        <x:f>IF(R859="No","",X859-Y859)</x:f>
        <x:v>-1085635.1287516959</x:v>
      </x:c>
      <x:c r="AA859" s="58" t="n">
        <x:f>IF(R859="No","",MAX(0,-Z859))</x:f>
        <x:v>1085635.1287516959</x:v>
      </x:c>
      <x:c r="AB859" s="52" t="n">
        <x:f>IF(OR(R859="No",U859*S859=0),"",AA859/(U859*S859))</x:f>
        <x:v>0.05053601970811649</x:v>
      </x:c>
      <x:c r="AC859" s="54" t="n">
        <x:f>IF(OR(R859="No",S859-T859*Assumptions!$B$9&lt;=0),"",AA859/(Assumptions!$B$8*(S859-T859*Assumptions!$B$9)))</x:f>
        <x:v>91.01141535539041</x:v>
      </x:c>
      <x:c r="AD859" s="52" t="n">
        <x:f>IF(OR(R859="No",U859*S859=0),"",AA859/(U859*S859))</x:f>
        <x:v>0.05053601970811649</x:v>
      </x:c>
      <x:c r="AE859" s="50" t="str">
        <x:f>IF(R859="No","No finance data",IF(AB859&gt;=10%,"Severe",IF(AB859&gt;=5%,"High",IF(AB859&gt;=2%,"Moderate","Low"))))</x:f>
        <x:v>High</x:v>
      </x:c>
      <x:c r="AF859" s="60" t="n">
        <x:v>39.032318</x:v>
      </x:c>
      <x:c r="AG859" s="60" t="n">
        <x:v>-94.573003</x:v>
      </x:c>
      <x:c r="AH859" s="44" t="str">
        <x:v>Undergraduate tuition-contribution proxy only; not an audited total institutional budget.</x:v>
      </x:c>
    </x:row>
    <x:row r="860">
      <x:c r="A860" s="16" t="n">
        <x:v>179256</x:v>
      </x:c>
      <x:c r="B860" s="16" t="str">
        <x:v>Saint Louis Christian College</x:v>
      </x:c>
      <x:c r="C860" s="16" t="str">
        <x:v>MO</x:v>
      </x:c>
      <x:c r="D860" s="16" t="str">
        <x:v>Private nonprofit</x:v>
      </x:c>
      <x:c r="E860" s="34" t="n">
        <x:v>153</x:v>
      </x:c>
      <x:c r="F860" s="21"/>
      <x:c r="G860" s="16" t="str">
        <x:v>Regional</x:v>
      </x:c>
      <x:c r="H860" s="36" t="n">
        <x:f>IF(G860="National",Assumptions!$B$11,IF(G860="Statewide",Assumptions!$B$12,Assumptions!$B$13))</x:f>
        <x:v>0.85</x:v>
      </x:c>
      <x:c r="I860" s="21" t="n">
        <x:v>-0.06261144076466629</x:v>
      </x:c>
      <x:c r="J860" s="21" t="n">
        <x:v>-0.06049223933822456</x:v>
      </x:c>
      <x:c r="K860" s="21" t="n">
        <x:v>-0.139458069042121</x:v>
      </x:c>
      <x:c r="L860" s="36" t="n">
        <x:f>IF(Assumptions!$B$4=2030,I860,IF(Assumptions!$B$4=2035,J860,K860))</x:f>
        <x:v>-0.06049223933822456</x:v>
      </x:c>
      <x:c r="M860" s="36" t="n">
        <x:f>Assumptions!$B$19</x:f>
        <x:v>-0.04739891965741583</x:v>
      </x:c>
      <x:c r="N860" s="52" t="n">
        <x:f>H860*L860+(1-H860)*M860+O860</x:f>
        <x:v>-0.058528241386103255</x:v>
      </x:c>
      <x:c r="O860" s="36" t="n">
        <x:f>Assumptions!$B$10</x:f>
        <x:v>0</x:v>
      </x:c>
      <x:c r="P860" s="54" t="n">
        <x:f>E860*(1+N860)</x:f>
        <x:v>144.0451790679262</x:v>
      </x:c>
      <x:c r="Q860" s="54" t="n">
        <x:f>P860-E860</x:f>
        <x:v>-8.954820932073801</x:v>
      </x:c>
      <x:c r="R860" s="16" t="str">
        <x:v>No</x:v>
      </x:c>
      <x:c r="S860" s="56"/>
      <x:c r="T860" s="56"/>
      <x:c r="U860" s="40" t="n">
        <x:f>E860*Assumptions!$B$8</x:f>
        <x:v>130.04999999999998</x:v>
      </x:c>
      <x:c r="V860" s="40" t="n">
        <x:f>P860*Assumptions!$B$8</x:f>
        <x:v>122.43840220773727</x:v>
      </x:c>
      <x:c r="W860" s="54" t="n">
        <x:f>V860-U860</x:f>
        <x:v>-7.611597792262714</x:v>
      </x:c>
      <x:c r="X860" s="58" t="str">
        <x:f>IF(R860="No","",W860*S860)</x:f>
      </x:c>
      <x:c r="Y860" s="58" t="str">
        <x:f>IF(R860="No","",W860*T860*Assumptions!$B$9)</x:f>
      </x:c>
      <x:c r="Z860" s="58" t="str">
        <x:f>IF(R860="No","",X860-Y860)</x:f>
      </x:c>
      <x:c r="AA860" s="58" t="str">
        <x:f>IF(R860="No","",MAX(0,-Z860))</x:f>
      </x:c>
      <x:c r="AB860" s="52" t="str">
        <x:f>IF(OR(R860="No",U860*S860=0),"",AA860/(U860*S860))</x:f>
      </x:c>
      <x:c r="AC860" s="54" t="str">
        <x:f>IF(OR(R860="No",S860-T860*Assumptions!$B$9&lt;=0),"",AA860/(Assumptions!$B$8*(S860-T860*Assumptions!$B$9)))</x:f>
      </x:c>
      <x:c r="AD860" s="52" t="str">
        <x:f>IF(OR(R860="No",U860*S860=0),"",AA860/(U860*S860))</x:f>
      </x:c>
      <x:c r="AE860" s="50" t="str">
        <x:f>IF(R860="No","No finance data",IF(AB860&gt;=10%,"Severe",IF(AB860&gt;=5%,"High",IF(AB860&gt;=2%,"Moderate","Low"))))</x:f>
        <x:v>No finance data</x:v>
      </x:c>
      <x:c r="AF860" s="60"/>
      <x:c r="AG860" s="60"/>
      <x:c r="AH860" s="44" t="str">
        <x:v>Undergraduate tuition-contribution proxy only; not an audited total institutional budget.</x:v>
      </x:c>
    </x:row>
    <x:row r="861">
      <x:c r="A861" s="16" t="n">
        <x:v>179159</x:v>
      </x:c>
      <x:c r="B861" s="16" t="str">
        <x:v>Saint Louis University</x:v>
      </x:c>
      <x:c r="C861" s="16" t="str">
        <x:v>MO</x:v>
      </x:c>
      <x:c r="D861" s="16" t="str">
        <x:v>Private nonprofit</x:v>
      </x:c>
      <x:c r="E861" s="34" t="n">
        <x:v>7502</x:v>
      </x:c>
      <x:c r="F861" s="21" t="n">
        <x:v>0.7005</x:v>
      </x:c>
      <x:c r="G861" s="16" t="str">
        <x:v>Regional</x:v>
      </x:c>
      <x:c r="H861" s="36" t="n">
        <x:f>IF(G861="National",Assumptions!$B$11,IF(G861="Statewide",Assumptions!$B$12,Assumptions!$B$13))</x:f>
        <x:v>0.85</x:v>
      </x:c>
      <x:c r="I861" s="21" t="n">
        <x:v>-0.06261144076466629</x:v>
      </x:c>
      <x:c r="J861" s="21" t="n">
        <x:v>-0.06049223933822456</x:v>
      </x:c>
      <x:c r="K861" s="21" t="n">
        <x:v>-0.139458069042121</x:v>
      </x:c>
      <x:c r="L861" s="36" t="n">
        <x:f>IF(Assumptions!$B$4=2030,I861,IF(Assumptions!$B$4=2035,J861,K861))</x:f>
        <x:v>-0.06049223933822456</x:v>
      </x:c>
      <x:c r="M861" s="36" t="n">
        <x:f>Assumptions!$B$19</x:f>
        <x:v>-0.04739891965741583</x:v>
      </x:c>
      <x:c r="N861" s="52" t="n">
        <x:f>H861*L861+(1-H861)*M861+O861</x:f>
        <x:v>-0.058528241386103255</x:v>
      </x:c>
      <x:c r="O861" s="36" t="n">
        <x:f>Assumptions!$B$10</x:f>
        <x:v>0</x:v>
      </x:c>
      <x:c r="P861" s="54" t="n">
        <x:f>E861*(1+N861)</x:f>
        <x:v>7062.921133121454</x:v>
      </x:c>
      <x:c r="Q861" s="54" t="n">
        <x:f>P861-E861</x:f>
        <x:v>-439.07886687854625</x:v>
      </x:c>
      <x:c r="R861" s="16" t="str">
        <x:v>Yes</x:v>
      </x:c>
      <x:c r="S861" s="56" t="n">
        <x:v>22097</x:v>
      </x:c>
      <x:c r="T861" s="56" t="n">
        <x:v>19878</x:v>
      </x:c>
      <x:c r="U861" s="40" t="n">
        <x:f>E861*Assumptions!$B$8</x:f>
        <x:v>6376.7</x:v>
      </x:c>
      <x:c r="V861" s="40" t="n">
        <x:f>P861*Assumptions!$B$8</x:f>
        <x:v>6003.482963153236</x:v>
      </x:c>
      <x:c r="W861" s="54" t="n">
        <x:f>V861-U861</x:f>
        <x:v>-373.21703684676413</x:v>
      </x:c>
      <x:c r="X861" s="58" t="n">
        <x:f>IF(R861="No","",W861*S861)</x:f>
        <x:v>-8246976.863202947</x:v>
      </x:c>
      <x:c r="Y861" s="58" t="n">
        <x:f>IF(R861="No","",W861*T861*Assumptions!$B$9)</x:f>
        <x:v>-2225642.4775319933</x:v>
      </x:c>
      <x:c r="Z861" s="58" t="n">
        <x:f>IF(R861="No","",X861-Y861)</x:f>
        <x:v>-6021334.385670954</x:v>
      </x:c>
      <x:c r="AA861" s="58" t="n">
        <x:f>IF(R861="No","",MAX(0,-Z861))</x:f>
        <x:v>6021334.385670954</x:v>
      </x:c>
      <x:c r="AB861" s="52" t="n">
        <x:f>IF(OR(R861="No",U861*S861=0),"",AA861/(U861*S861))</x:f>
        <x:v>0.042733006074436995</x:v>
      </x:c>
      <x:c r="AC861" s="54" t="n">
        <x:f>IF(OR(R861="No",S861-T861*Assumptions!$B$9&lt;=0),"",AA861/(Assumptions!$B$8*(S861-T861*Assumptions!$B$9)))</x:f>
        <x:v>439.0788668785461</x:v>
      </x:c>
      <x:c r="AD861" s="52" t="n">
        <x:f>IF(OR(R861="No",U861*S861=0),"",AA861/(U861*S861))</x:f>
        <x:v>0.042733006074436995</x:v>
      </x:c>
      <x:c r="AE861" s="50" t="str">
        <x:f>IF(R861="No","No finance data",IF(AB861&gt;=10%,"Severe",IF(AB861&gt;=5%,"High",IF(AB861&gt;=2%,"Moderate","Low"))))</x:f>
        <x:v>Moderate</x:v>
      </x:c>
      <x:c r="AF861" s="60" t="n">
        <x:v>38.636801</x:v>
      </x:c>
      <x:c r="AG861" s="60" t="n">
        <x:v>-90.2351</x:v>
      </x:c>
      <x:c r="AH861" s="44" t="str">
        <x:v>Undergraduate tuition-contribution proxy only; not an audited total institutional budget.</x:v>
      </x:c>
    </x:row>
    <x:row r="862">
      <x:c r="A862" s="16" t="n">
        <x:v>179450</x:v>
      </x:c>
      <x:c r="B862" s="16" t="str">
        <x:v>Saint Luke's College of Health Sciences</x:v>
      </x:c>
      <x:c r="C862" s="16" t="str">
        <x:v>MO</x:v>
      </x:c>
      <x:c r="D862" s="16" t="str">
        <x:v>Private nonprofit</x:v>
      </x:c>
      <x:c r="E862" s="34" t="n">
        <x:v>434</x:v>
      </x:c>
      <x:c r="F862" s="21"/>
      <x:c r="G862" s="16" t="str">
        <x:v>Regional</x:v>
      </x:c>
      <x:c r="H862" s="36" t="n">
        <x:f>IF(G862="National",Assumptions!$B$11,IF(G862="Statewide",Assumptions!$B$12,Assumptions!$B$13))</x:f>
        <x:v>0.85</x:v>
      </x:c>
      <x:c r="I862" s="21" t="n">
        <x:v>-0.06261144076466629</x:v>
      </x:c>
      <x:c r="J862" s="21" t="n">
        <x:v>-0.06049223933822456</x:v>
      </x:c>
      <x:c r="K862" s="21" t="n">
        <x:v>-0.139458069042121</x:v>
      </x:c>
      <x:c r="L862" s="36" t="n">
        <x:f>IF(Assumptions!$B$4=2030,I862,IF(Assumptions!$B$4=2035,J862,K862))</x:f>
        <x:v>-0.06049223933822456</x:v>
      </x:c>
      <x:c r="M862" s="36" t="n">
        <x:f>Assumptions!$B$19</x:f>
        <x:v>-0.04739891965741583</x:v>
      </x:c>
      <x:c r="N862" s="52" t="n">
        <x:f>H862*L862+(1-H862)*M862+O862</x:f>
        <x:v>-0.058528241386103255</x:v>
      </x:c>
      <x:c r="O862" s="36" t="n">
        <x:f>Assumptions!$B$10</x:f>
        <x:v>0</x:v>
      </x:c>
      <x:c r="P862" s="54" t="n">
        <x:f>E862*(1+N862)</x:f>
        <x:v>408.5987432384312</x:v>
      </x:c>
      <x:c r="Q862" s="54" t="n">
        <x:f>P862-E862</x:f>
        <x:v>-25.40125676156879</x:v>
      </x:c>
      <x:c r="R862" s="16" t="str">
        <x:v>No</x:v>
      </x:c>
      <x:c r="S862" s="56"/>
      <x:c r="T862" s="56"/>
      <x:c r="U862" s="40" t="n">
        <x:f>E862*Assumptions!$B$8</x:f>
        <x:v>368.9</x:v>
      </x:c>
      <x:c r="V862" s="40" t="n">
        <x:f>P862*Assumptions!$B$8</x:f>
        <x:v>347.3089317526665</x:v>
      </x:c>
      <x:c r="W862" s="54" t="n">
        <x:f>V862-U862</x:f>
        <x:v>-21.591068247333453</x:v>
      </x:c>
      <x:c r="X862" s="58" t="str">
        <x:f>IF(R862="No","",W862*S862)</x:f>
      </x:c>
      <x:c r="Y862" s="58" t="str">
        <x:f>IF(R862="No","",W862*T862*Assumptions!$B$9)</x:f>
      </x:c>
      <x:c r="Z862" s="58" t="str">
        <x:f>IF(R862="No","",X862-Y862)</x:f>
      </x:c>
      <x:c r="AA862" s="58" t="str">
        <x:f>IF(R862="No","",MAX(0,-Z862))</x:f>
      </x:c>
      <x:c r="AB862" s="52" t="str">
        <x:f>IF(OR(R862="No",U862*S862=0),"",AA862/(U862*S862))</x:f>
      </x:c>
      <x:c r="AC862" s="54" t="str">
        <x:f>IF(OR(R862="No",S862-T862*Assumptions!$B$9&lt;=0),"",AA862/(Assumptions!$B$8*(S862-T862*Assumptions!$B$9)))</x:f>
      </x:c>
      <x:c r="AD862" s="52" t="str">
        <x:f>IF(OR(R862="No",U862*S862=0),"",AA862/(U862*S862))</x:f>
      </x:c>
      <x:c r="AE862" s="50" t="str">
        <x:f>IF(R862="No","No finance data",IF(AB862&gt;=10%,"Severe",IF(AB862&gt;=5%,"High",IF(AB862&gt;=2%,"Moderate","Low"))))</x:f>
        <x:v>No finance data</x:v>
      </x:c>
      <x:c r="AF862" s="60"/>
      <x:c r="AG862" s="60"/>
      <x:c r="AH862" s="44" t="str">
        <x:v>Undergraduate tuition-contribution proxy only; not an audited total institutional budget.</x:v>
      </x:c>
    </x:row>
    <x:row r="863">
      <x:c r="A863" s="16" t="n">
        <x:v>179557</x:v>
      </x:c>
      <x:c r="B863" s="16" t="str">
        <x:v>Southeast Missouri State University</x:v>
      </x:c>
      <x:c r="C863" s="16" t="str">
        <x:v>MO</x:v>
      </x:c>
      <x:c r="D863" s="16" t="str">
        <x:v>Public</x:v>
      </x:c>
      <x:c r="E863" s="34" t="n">
        <x:v>9098</x:v>
      </x:c>
      <x:c r="F863" s="21" t="n">
        <x:v>0.793</x:v>
      </x:c>
      <x:c r="G863" s="16" t="str">
        <x:v>Statewide</x:v>
      </x:c>
      <x:c r="H863" s="36" t="n">
        <x:f>IF(G863="National",Assumptions!$B$11,IF(G863="Statewide",Assumptions!$B$12,Assumptions!$B$13))</x:f>
        <x:v>0.6</x:v>
      </x:c>
      <x:c r="I863" s="21" t="n">
        <x:v>-0.06261144076466629</x:v>
      </x:c>
      <x:c r="J863" s="21" t="n">
        <x:v>-0.06049223933822456</x:v>
      </x:c>
      <x:c r="K863" s="21" t="n">
        <x:v>-0.139458069042121</x:v>
      </x:c>
      <x:c r="L863" s="36" t="n">
        <x:f>IF(Assumptions!$B$4=2030,I863,IF(Assumptions!$B$4=2035,J863,K863))</x:f>
        <x:v>-0.06049223933822456</x:v>
      </x:c>
      <x:c r="M863" s="36" t="n">
        <x:f>Assumptions!$B$19</x:f>
        <x:v>-0.04739891965741583</x:v>
      </x:c>
      <x:c r="N863" s="52" t="n">
        <x:f>H863*L863+(1-H863)*M863+O863</x:f>
        <x:v>-0.05525491146590107</x:v>
      </x:c>
      <x:c r="O863" s="36" t="n">
        <x:f>Assumptions!$B$10</x:f>
        <x:v>0</x:v>
      </x:c>
      <x:c r="P863" s="54" t="n">
        <x:f>E863*(1+N863)</x:f>
        <x:v>8595.290815483231</x:v>
      </x:c>
      <x:c r="Q863" s="54" t="n">
        <x:f>P863-E863</x:f>
        <x:v>-502.7091845167688</x:v>
      </x:c>
      <x:c r="R863" s="16" t="str">
        <x:v>Yes</x:v>
      </x:c>
      <x:c r="S863" s="56" t="n">
        <x:v>6381</x:v>
      </x:c>
      <x:c r="T863" s="56" t="n">
        <x:v>7243</x:v>
      </x:c>
      <x:c r="U863" s="40" t="n">
        <x:f>E863*Assumptions!$B$8</x:f>
        <x:v>7733.3</x:v>
      </x:c>
      <x:c r="V863" s="40" t="n">
        <x:f>P863*Assumptions!$B$8</x:f>
        <x:v>7305.997193160746</x:v>
      </x:c>
      <x:c r="W863" s="54" t="n">
        <x:f>V863-U863</x:f>
        <x:v>-427.3028068392541</x:v>
      </x:c>
      <x:c r="X863" s="58" t="n">
        <x:f>IF(R863="No","",W863*S863)</x:f>
        <x:v>-2726619.2104412806</x:v>
      </x:c>
      <x:c r="Y863" s="58" t="n">
        <x:f>IF(R863="No","",W863*T863*Assumptions!$B$9)</x:f>
        <x:v>-928486.2689810152</x:v>
      </x:c>
      <x:c r="Z863" s="58" t="n">
        <x:f>IF(R863="No","",X863-Y863)</x:f>
        <x:v>-1798132.9414602653</x:v>
      </x:c>
      <x:c r="AA863" s="58" t="n">
        <x:f>IF(R863="No","",MAX(0,-Z863))</x:f>
        <x:v>1798132.9414602653</x:v>
      </x:c>
      <x:c r="AB863" s="52" t="n">
        <x:f>IF(OR(R863="No",U863*S863=0),"",AA863/(U863*S863))</x:f>
        <x:v>0.03643914636258565</x:v>
      </x:c>
      <x:c r="AC863" s="54" t="n">
        <x:f>IF(OR(R863="No",S863-T863*Assumptions!$B$9&lt;=0),"",AA863/(Assumptions!$B$8*(S863-T863*Assumptions!$B$9)))</x:f>
        <x:v>502.70918451676954</x:v>
      </x:c>
      <x:c r="AD863" s="52" t="n">
        <x:f>IF(OR(R863="No",U863*S863=0),"",AA863/(U863*S863))</x:f>
        <x:v>0.03643914636258565</x:v>
      </x:c>
      <x:c r="AE863" s="50" t="str">
        <x:f>IF(R863="No","No finance data",IF(AB863&gt;=10%,"Severe",IF(AB863&gt;=5%,"High",IF(AB863&gt;=2%,"Moderate","Low"))))</x:f>
        <x:v>Moderate</x:v>
      </x:c>
      <x:c r="AF863" s="60" t="n">
        <x:v>37.311107</x:v>
      </x:c>
      <x:c r="AG863" s="60" t="n">
        <x:v>-89.531187</x:v>
      </x:c>
      <x:c r="AH863" s="44" t="str">
        <x:v>Undergraduate tuition-contribution proxy only; not an audited total institutional budget.</x:v>
      </x:c>
    </x:row>
    <x:row r="864">
      <x:c r="A864" s="16" t="n">
        <x:v>179326</x:v>
      </x:c>
      <x:c r="B864" s="16" t="str">
        <x:v>Southwest Baptist University</x:v>
      </x:c>
      <x:c r="C864" s="16" t="str">
        <x:v>MO</x:v>
      </x:c>
      <x:c r="D864" s="16" t="str">
        <x:v>Private nonprofit</x:v>
      </x:c>
      <x:c r="E864" s="34" t="n">
        <x:v>2394</x:v>
      </x:c>
      <x:c r="F864" s="21" t="n">
        <x:v>0.9621</x:v>
      </x:c>
      <x:c r="G864" s="16" t="str">
        <x:v>Regional</x:v>
      </x:c>
      <x:c r="H864" s="36" t="n">
        <x:f>IF(G864="National",Assumptions!$B$11,IF(G864="Statewide",Assumptions!$B$12,Assumptions!$B$13))</x:f>
        <x:v>0.85</x:v>
      </x:c>
      <x:c r="I864" s="21" t="n">
        <x:v>-0.06261144076466629</x:v>
      </x:c>
      <x:c r="J864" s="21" t="n">
        <x:v>-0.06049223933822456</x:v>
      </x:c>
      <x:c r="K864" s="21" t="n">
        <x:v>-0.139458069042121</x:v>
      </x:c>
      <x:c r="L864" s="36" t="n">
        <x:f>IF(Assumptions!$B$4=2030,I864,IF(Assumptions!$B$4=2035,J864,K864))</x:f>
        <x:v>-0.06049223933822456</x:v>
      </x:c>
      <x:c r="M864" s="36" t="n">
        <x:f>Assumptions!$B$19</x:f>
        <x:v>-0.04739891965741583</x:v>
      </x:c>
      <x:c r="N864" s="52" t="n">
        <x:f>H864*L864+(1-H864)*M864+O864</x:f>
        <x:v>-0.058528241386103255</x:v>
      </x:c>
      <x:c r="O864" s="36" t="n">
        <x:f>Assumptions!$B$10</x:f>
        <x:v>0</x:v>
      </x:c>
      <x:c r="P864" s="54" t="n">
        <x:f>E864*(1+N864)</x:f>
        <x:v>2253.883390121669</x:v>
      </x:c>
      <x:c r="Q864" s="54" t="n">
        <x:f>P864-E864</x:f>
        <x:v>-140.11660987833102</x:v>
      </x:c>
      <x:c r="R864" s="16" t="str">
        <x:v>Yes</x:v>
      </x:c>
      <x:c r="S864" s="56" t="n">
        <x:v>12149</x:v>
      </x:c>
      <x:c r="T864" s="56" t="n">
        <x:v>7403</x:v>
      </x:c>
      <x:c r="U864" s="40" t="n">
        <x:f>E864*Assumptions!$B$8</x:f>
        <x:v>2034.8999999999999</x:v>
      </x:c>
      <x:c r="V864" s="40" t="n">
        <x:f>P864*Assumptions!$B$8</x:f>
        <x:v>1915.8008816034185</x:v>
      </x:c>
      <x:c r="W864" s="54" t="n">
        <x:f>V864-U864</x:f>
        <x:v>-119.09911839658139</x:v>
      </x:c>
      <x:c r="X864" s="58" t="n">
        <x:f>IF(R864="No","",W864*S864)</x:f>
        <x:v>-1446935.1894000673</x:v>
      </x:c>
      <x:c r="Y864" s="58" t="n">
        <x:f>IF(R864="No","",W864*T864*Assumptions!$B$9)</x:f>
        <x:v>-264507.2320469676</x:v>
      </x:c>
      <x:c r="Z864" s="58" t="n">
        <x:f>IF(R864="No","",X864-Y864)</x:f>
        <x:v>-1182427.9573530997</x:v>
      </x:c>
      <x:c r="AA864" s="58" t="n">
        <x:f>IF(R864="No","",MAX(0,-Z864))</x:f>
        <x:v>1182427.9573530997</x:v>
      </x:c>
      <x:c r="AB864" s="52" t="n">
        <x:f>IF(OR(R864="No",U864*S864=0),"",AA864/(U864*S864))</x:f>
        <x:v>0.047828976319480715</x:v>
      </x:c>
      <x:c r="AC864" s="54" t="n">
        <x:f>IF(OR(R864="No",S864-T864*Assumptions!$B$9&lt;=0),"",AA864/(Assumptions!$B$8*(S864-T864*Assumptions!$B$9)))</x:f>
        <x:v>140.11660987833105</x:v>
      </x:c>
      <x:c r="AD864" s="52" t="n">
        <x:f>IF(OR(R864="No",U864*S864=0),"",AA864/(U864*S864))</x:f>
        <x:v>0.047828976319480715</x:v>
      </x:c>
      <x:c r="AE864" s="50" t="str">
        <x:f>IF(R864="No","No finance data",IF(AB864&gt;=10%,"Severe",IF(AB864&gt;=5%,"High",IF(AB864&gt;=2%,"Moderate","Low"))))</x:f>
        <x:v>Moderate</x:v>
      </x:c>
      <x:c r="AF864" s="60" t="n">
        <x:v>37.602425</x:v>
      </x:c>
      <x:c r="AG864" s="60" t="n">
        <x:v>-93.407056</x:v>
      </x:c>
      <x:c r="AH864" s="44" t="str">
        <x:v>Undergraduate tuition-contribution proxy only; not an audited total institutional budget.</x:v>
      </x:c>
    </x:row>
    <x:row r="865">
      <x:c r="A865" s="16" t="n">
        <x:v>179548</x:v>
      </x:c>
      <x:c r="B865" s="16" t="str">
        <x:v>Stephens College</x:v>
      </x:c>
      <x:c r="C865" s="16" t="str">
        <x:v>MO</x:v>
      </x:c>
      <x:c r="D865" s="16" t="str">
        <x:v>Private nonprofit</x:v>
      </x:c>
      <x:c r="E865" s="34" t="n">
        <x:v>710</x:v>
      </x:c>
      <x:c r="F865" s="21"/>
      <x:c r="G865" s="16" t="str">
        <x:v>Regional</x:v>
      </x:c>
      <x:c r="H865" s="36" t="n">
        <x:f>IF(G865="National",Assumptions!$B$11,IF(G865="Statewide",Assumptions!$B$12,Assumptions!$B$13))</x:f>
        <x:v>0.85</x:v>
      </x:c>
      <x:c r="I865" s="21" t="n">
        <x:v>-0.06261144076466629</x:v>
      </x:c>
      <x:c r="J865" s="21" t="n">
        <x:v>-0.06049223933822456</x:v>
      </x:c>
      <x:c r="K865" s="21" t="n">
        <x:v>-0.139458069042121</x:v>
      </x:c>
      <x:c r="L865" s="36" t="n">
        <x:f>IF(Assumptions!$B$4=2030,I865,IF(Assumptions!$B$4=2035,J865,K865))</x:f>
        <x:v>-0.06049223933822456</x:v>
      </x:c>
      <x:c r="M865" s="36" t="n">
        <x:f>Assumptions!$B$19</x:f>
        <x:v>-0.04739891965741583</x:v>
      </x:c>
      <x:c r="N865" s="52" t="n">
        <x:f>H865*L865+(1-H865)*M865+O865</x:f>
        <x:v>-0.058528241386103255</x:v>
      </x:c>
      <x:c r="O865" s="36" t="n">
        <x:f>Assumptions!$B$10</x:f>
        <x:v>0</x:v>
      </x:c>
      <x:c r="P865" s="54" t="n">
        <x:f>E865*(1+N865)</x:f>
        <x:v>668.4449486158667</x:v>
      </x:c>
      <x:c r="Q865" s="54" t="n">
        <x:f>P865-E865</x:f>
        <x:v>-41.55505138413332</x:v>
      </x:c>
      <x:c r="R865" s="16" t="str">
        <x:v>No</x:v>
      </x:c>
      <x:c r="S865" s="56"/>
      <x:c r="T865" s="56"/>
      <x:c r="U865" s="40" t="n">
        <x:f>E865*Assumptions!$B$8</x:f>
        <x:v>603.5</x:v>
      </x:c>
      <x:c r="V865" s="40" t="n">
        <x:f>P865*Assumptions!$B$8</x:f>
        <x:v>568.1782063234866</x:v>
      </x:c>
      <x:c r="W865" s="54" t="n">
        <x:f>V865-U865</x:f>
        <x:v>-35.32179367651338</x:v>
      </x:c>
      <x:c r="X865" s="58" t="str">
        <x:f>IF(R865="No","",W865*S865)</x:f>
      </x:c>
      <x:c r="Y865" s="58" t="str">
        <x:f>IF(R865="No","",W865*T865*Assumptions!$B$9)</x:f>
      </x:c>
      <x:c r="Z865" s="58" t="str">
        <x:f>IF(R865="No","",X865-Y865)</x:f>
      </x:c>
      <x:c r="AA865" s="58" t="str">
        <x:f>IF(R865="No","",MAX(0,-Z865))</x:f>
      </x:c>
      <x:c r="AB865" s="52" t="str">
        <x:f>IF(OR(R865="No",U865*S865=0),"",AA865/(U865*S865))</x:f>
      </x:c>
      <x:c r="AC865" s="54" t="str">
        <x:f>IF(OR(R865="No",S865-T865*Assumptions!$B$9&lt;=0),"",AA865/(Assumptions!$B$8*(S865-T865*Assumptions!$B$9)))</x:f>
      </x:c>
      <x:c r="AD865" s="52" t="str">
        <x:f>IF(OR(R865="No",U865*S865=0),"",AA865/(U865*S865))</x:f>
      </x:c>
      <x:c r="AE865" s="50" t="str">
        <x:f>IF(R865="No","No finance data",IF(AB865&gt;=10%,"Severe",IF(AB865&gt;=5%,"High",IF(AB865&gt;=2%,"Moderate","Low"))))</x:f>
        <x:v>No finance data</x:v>
      </x:c>
      <x:c r="AF865" s="60"/>
      <x:c r="AG865" s="60"/>
      <x:c r="AH865" s="44" t="str">
        <x:v>Undergraduate tuition-contribution proxy only; not an audited total institutional budget.</x:v>
      </x:c>
    </x:row>
    <x:row r="866">
      <x:c r="A866" s="16" t="n">
        <x:v>178615</x:v>
      </x:c>
      <x:c r="B866" s="16" t="str">
        <x:v>Truman State University</x:v>
      </x:c>
      <x:c r="C866" s="16" t="str">
        <x:v>MO</x:v>
      </x:c>
      <x:c r="D866" s="16" t="str">
        <x:v>Public</x:v>
      </x:c>
      <x:c r="E866" s="34" t="n">
        <x:v>5290</x:v>
      </x:c>
      <x:c r="F866" s="21" t="n">
        <x:v>0.6099</x:v>
      </x:c>
      <x:c r="G866" s="16" t="str">
        <x:v>Statewide</x:v>
      </x:c>
      <x:c r="H866" s="36" t="n">
        <x:f>IF(G866="National",Assumptions!$B$11,IF(G866="Statewide",Assumptions!$B$12,Assumptions!$B$13))</x:f>
        <x:v>0.6</x:v>
      </x:c>
      <x:c r="I866" s="21" t="n">
        <x:v>-0.06261144076466629</x:v>
      </x:c>
      <x:c r="J866" s="21" t="n">
        <x:v>-0.06049223933822456</x:v>
      </x:c>
      <x:c r="K866" s="21" t="n">
        <x:v>-0.139458069042121</x:v>
      </x:c>
      <x:c r="L866" s="36" t="n">
        <x:f>IF(Assumptions!$B$4=2030,I866,IF(Assumptions!$B$4=2035,J866,K866))</x:f>
        <x:v>-0.06049223933822456</x:v>
      </x:c>
      <x:c r="M866" s="36" t="n">
        <x:f>Assumptions!$B$19</x:f>
        <x:v>-0.04739891965741583</x:v>
      </x:c>
      <x:c r="N866" s="52" t="n">
        <x:f>H866*L866+(1-H866)*M866+O866</x:f>
        <x:v>-0.05525491146590107</x:v>
      </x:c>
      <x:c r="O866" s="36" t="n">
        <x:f>Assumptions!$B$10</x:f>
        <x:v>0</x:v>
      </x:c>
      <x:c r="P866" s="54" t="n">
        <x:f>E866*(1+N866)</x:f>
        <x:v>4997.701518345383</x:v>
      </x:c>
      <x:c r="Q866" s="54" t="n">
        <x:f>P866-E866</x:f>
        <x:v>-292.2984816546168</x:v>
      </x:c>
      <x:c r="R866" s="16" t="str">
        <x:v>Yes</x:v>
      </x:c>
      <x:c r="S866" s="56" t="n">
        <x:v>5205</x:v>
      </x:c>
      <x:c r="T866" s="56" t="n">
        <x:v>11022</x:v>
      </x:c>
      <x:c r="U866" s="40" t="n">
        <x:f>E866*Assumptions!$B$8</x:f>
        <x:v>4496.5</x:v>
      </x:c>
      <x:c r="V866" s="40" t="n">
        <x:f>P866*Assumptions!$B$8</x:f>
        <x:v>4248.046290593576</x:v>
      </x:c>
      <x:c r="W866" s="54" t="n">
        <x:f>V866-U866</x:f>
        <x:v>-248.45370940642442</x:v>
      </x:c>
      <x:c r="X866" s="58" t="n">
        <x:f>IF(R866="No","",W866*S866)</x:f>
        <x:v>-1293201.5574604392</x:v>
      </x:c>
      <x:c r="Y866" s="58" t="n">
        <x:f>IF(R866="No","",W866*T866*Assumptions!$B$9)</x:f>
        <x:v>-821537.035523283</x:v>
      </x:c>
      <x:c r="Z866" s="58" t="n">
        <x:f>IF(R866="No","",X866-Y866)</x:f>
        <x:v>-471664.5219371562</x:v>
      </x:c>
      <x:c r="AA866" s="58" t="n">
        <x:f>IF(R866="No","",MAX(0,-Z866))</x:f>
        <x:v>471664.5219371562</x:v>
      </x:c>
      <x:c r="AB866" s="52" t="n">
        <x:f>IF(OR(R866="No",U866*S866=0),"",AA866/(U866*S866))</x:f>
        <x:v>0.020152915259724635</x:v>
      </x:c>
      <x:c r="AC866" s="54" t="n">
        <x:f>IF(OR(R866="No",S866-T866*Assumptions!$B$9&lt;=0),"",AA866/(Assumptions!$B$8*(S866-T866*Assumptions!$B$9)))</x:f>
        <x:v>292.298481654617</x:v>
      </x:c>
      <x:c r="AD866" s="52" t="n">
        <x:f>IF(OR(R866="No",U866*S866=0),"",AA866/(U866*S866))</x:f>
        <x:v>0.020152915259724635</x:v>
      </x:c>
      <x:c r="AE866" s="50" t="str">
        <x:f>IF(R866="No","No finance data",IF(AB866&gt;=10%,"Severe",IF(AB866&gt;=5%,"High",IF(AB866&gt;=2%,"Moderate","Low"))))</x:f>
        <x:v>Moderate</x:v>
      </x:c>
      <x:c r="AF866" s="60" t="n">
        <x:v>40.188267</x:v>
      </x:c>
      <x:c r="AG866" s="60" t="n">
        <x:v>-92.581658</x:v>
      </x:c>
      <x:c r="AH866" s="44" t="str">
        <x:v>Undergraduate tuition-contribution proxy only; not an audited total institutional budget.</x:v>
      </x:c>
    </x:row>
    <x:row r="867">
      <x:c r="A867" s="16" t="n">
        <x:v>176965</x:v>
      </x:c>
      <x:c r="B867" s="16" t="str">
        <x:v>University of Central Missouri</x:v>
      </x:c>
      <x:c r="C867" s="16" t="str">
        <x:v>MO</x:v>
      </x:c>
      <x:c r="D867" s="16" t="str">
        <x:v>Public</x:v>
      </x:c>
      <x:c r="E867" s="34" t="n">
        <x:v>9019</x:v>
      </x:c>
      <x:c r="F867" s="21" t="n">
        <x:v>0.7578</x:v>
      </x:c>
      <x:c r="G867" s="16" t="str">
        <x:v>Statewide</x:v>
      </x:c>
      <x:c r="H867" s="36" t="n">
        <x:f>IF(G867="National",Assumptions!$B$11,IF(G867="Statewide",Assumptions!$B$12,Assumptions!$B$13))</x:f>
        <x:v>0.6</x:v>
      </x:c>
      <x:c r="I867" s="21" t="n">
        <x:v>-0.06261144076466629</x:v>
      </x:c>
      <x:c r="J867" s="21" t="n">
        <x:v>-0.06049223933822456</x:v>
      </x:c>
      <x:c r="K867" s="21" t="n">
        <x:v>-0.139458069042121</x:v>
      </x:c>
      <x:c r="L867" s="36" t="n">
        <x:f>IF(Assumptions!$B$4=2030,I867,IF(Assumptions!$B$4=2035,J867,K867))</x:f>
        <x:v>-0.06049223933822456</x:v>
      </x:c>
      <x:c r="M867" s="36" t="n">
        <x:f>Assumptions!$B$19</x:f>
        <x:v>-0.04739891965741583</x:v>
      </x:c>
      <x:c r="N867" s="52" t="n">
        <x:f>H867*L867+(1-H867)*M867+O867</x:f>
        <x:v>-0.05525491146590107</x:v>
      </x:c>
      <x:c r="O867" s="36" t="n">
        <x:f>Assumptions!$B$10</x:f>
        <x:v>0</x:v>
      </x:c>
      <x:c r="P867" s="54" t="n">
        <x:f>E867*(1+N867)</x:f>
        <x:v>8520.655953489038</x:v>
      </x:c>
      <x:c r="Q867" s="54" t="n">
        <x:f>P867-E867</x:f>
        <x:v>-498.34404651096156</x:v>
      </x:c>
      <x:c r="R867" s="16" t="str">
        <x:v>Yes</x:v>
      </x:c>
      <x:c r="S867" s="56" t="n">
        <x:v>7434</x:v>
      </x:c>
      <x:c r="T867" s="56" t="n">
        <x:v>10041</x:v>
      </x:c>
      <x:c r="U867" s="40" t="n">
        <x:f>E867*Assumptions!$B$8</x:f>
        <x:v>7666.15</x:v>
      </x:c>
      <x:c r="V867" s="40" t="n">
        <x:f>P867*Assumptions!$B$8</x:f>
        <x:v>7242.557560465682</x:v>
      </x:c>
      <x:c r="W867" s="54" t="n">
        <x:f>V867-U867</x:f>
        <x:v>-423.59243953431724</x:v>
      </x:c>
      <x:c r="X867" s="58" t="n">
        <x:f>IF(R867="No","",W867*S867)</x:f>
        <x:v>-3148986.1954981145</x:v>
      </x:c>
      <x:c r="Y867" s="58" t="n">
        <x:f>IF(R867="No","",W867*T867*Assumptions!$B$9)</x:f>
        <x:v>-1275987.5056092239</x:v>
      </x:c>
      <x:c r="Z867" s="58" t="n">
        <x:f>IF(R867="No","",X867-Y867)</x:f>
        <x:v>-1872998.6898888906</x:v>
      </x:c>
      <x:c r="AA867" s="58" t="n">
        <x:f>IF(R867="No","",MAX(0,-Z867))</x:f>
        <x:v>1872998.6898888906</x:v>
      </x:c>
      <x:c r="AB867" s="52" t="n">
        <x:f>IF(OR(R867="No",U867*S867=0),"",AA867/(U867*S867))</x:f>
        <x:v>0.032865300246001435</x:v>
      </x:c>
      <x:c r="AC867" s="54" t="n">
        <x:f>IF(OR(R867="No",S867-T867*Assumptions!$B$9&lt;=0),"",AA867/(Assumptions!$B$8*(S867-T867*Assumptions!$B$9)))</x:f>
        <x:v>498.3440465109614</x:v>
      </x:c>
      <x:c r="AD867" s="52" t="n">
        <x:f>IF(OR(R867="No",U867*S867=0),"",AA867/(U867*S867))</x:f>
        <x:v>0.032865300246001435</x:v>
      </x:c>
      <x:c r="AE867" s="50" t="str">
        <x:f>IF(R867="No","No finance data",IF(AB867&gt;=10%,"Severe",IF(AB867&gt;=5%,"High",IF(AB867&gt;=2%,"Moderate","Low"))))</x:f>
        <x:v>Moderate</x:v>
      </x:c>
      <x:c r="AF867" s="60" t="n">
        <x:v>38.759111</x:v>
      </x:c>
      <x:c r="AG867" s="60" t="n">
        <x:v>-93.737428</x:v>
      </x:c>
      <x:c r="AH867" s="44" t="str">
        <x:v>Undergraduate tuition-contribution proxy only; not an audited total institutional budget.</x:v>
      </x:c>
    </x:row>
    <x:row r="868">
      <x:c r="A868" s="16" t="n">
        <x:v>178396</x:v>
      </x:c>
      <x:c r="B868" s="16" t="str">
        <x:v>University of Missouri-Columbia</x:v>
      </x:c>
      <x:c r="C868" s="16" t="str">
        <x:v>MO</x:v>
      </x:c>
      <x:c r="D868" s="16" t="str">
        <x:v>Public</x:v>
      </x:c>
      <x:c r="E868" s="34" t="n">
        <x:v>27393</x:v>
      </x:c>
      <x:c r="F868" s="21" t="n">
        <x:v>0.7655</x:v>
      </x:c>
      <x:c r="G868" s="16" t="str">
        <x:v>National</x:v>
      </x:c>
      <x:c r="H868" s="36" t="n">
        <x:f>IF(G868="National",Assumptions!$B$11,IF(G868="Statewide",Assumptions!$B$12,Assumptions!$B$13))</x:f>
        <x:v>0.25</x:v>
      </x:c>
      <x:c r="I868" s="21" t="n">
        <x:v>-0.06261144076466629</x:v>
      </x:c>
      <x:c r="J868" s="21" t="n">
        <x:v>-0.06049223933822456</x:v>
      </x:c>
      <x:c r="K868" s="21" t="n">
        <x:v>-0.139458069042121</x:v>
      </x:c>
      <x:c r="L868" s="36" t="n">
        <x:f>IF(Assumptions!$B$4=2030,I868,IF(Assumptions!$B$4=2035,J868,K868))</x:f>
        <x:v>-0.06049223933822456</x:v>
      </x:c>
      <x:c r="M868" s="36" t="n">
        <x:f>Assumptions!$B$19</x:f>
        <x:v>-0.04739891965741583</x:v>
      </x:c>
      <x:c r="N868" s="52" t="n">
        <x:f>H868*L868+(1-H868)*M868+O868</x:f>
        <x:v>-0.05067224957761801</x:v>
      </x:c>
      <x:c r="O868" s="36" t="n">
        <x:f>Assumptions!$B$10</x:f>
        <x:v>0</x:v>
      </x:c>
      <x:c r="P868" s="54" t="n">
        <x:f>E868*(1+N868)</x:f>
        <x:v>26004.93506732031</x:v>
      </x:c>
      <x:c r="Q868" s="54" t="n">
        <x:f>P868-E868</x:f>
        <x:v>-1388.0649326796884</x:v>
      </x:c>
      <x:c r="R868" s="16" t="str">
        <x:v>Yes</x:v>
      </x:c>
      <x:c r="S868" s="56" t="n">
        <x:v>10763</x:v>
      </x:c>
      <x:c r="T868" s="56" t="n">
        <x:v>12365</x:v>
      </x:c>
      <x:c r="U868" s="40" t="n">
        <x:f>E868*Assumptions!$B$8</x:f>
        <x:v>23284.05</x:v>
      </x:c>
      <x:c r="V868" s="40" t="n">
        <x:f>P868*Assumptions!$B$8</x:f>
        <x:v>22104.194807222266</x:v>
      </x:c>
      <x:c r="W868" s="54" t="n">
        <x:f>V868-U868</x:f>
        <x:v>-1179.8551927777335</x:v>
      </x:c>
      <x:c r="X868" s="58" t="n">
        <x:f>IF(R868="No","",W868*S868)</x:f>
        <x:v>-12698781.439866746</x:v>
      </x:c>
      <x:c r="Y868" s="58" t="n">
        <x:f>IF(R868="No","",W868*T868*Assumptions!$B$9)</x:f>
        <x:v>-4376672.837609002</x:v>
      </x:c>
      <x:c r="Z868" s="58" t="n">
        <x:f>IF(R868="No","",X868-Y868)</x:f>
        <x:v>-8322108.6022577435</x:v>
      </x:c>
      <x:c r="AA868" s="58" t="n">
        <x:f>IF(R868="No","",MAX(0,-Z868))</x:f>
        <x:v>8322108.6022577435</x:v>
      </x:c>
      <x:c r="AB868" s="52" t="n">
        <x:f>IF(OR(R868="No",U868*S868=0),"",AA868/(U868*S868))</x:f>
        <x:v>0.03320790786915615</x:v>
      </x:c>
      <x:c r="AC868" s="54" t="n">
        <x:f>IF(OR(R868="No",S868-T868*Assumptions!$B$9&lt;=0),"",AA868/(Assumptions!$B$8*(S868-T868*Assumptions!$B$9)))</x:f>
        <x:v>1388.0649326796865</x:v>
      </x:c>
      <x:c r="AD868" s="52" t="n">
        <x:f>IF(OR(R868="No",U868*S868=0),"",AA868/(U868*S868))</x:f>
        <x:v>0.03320790786915615</x:v>
      </x:c>
      <x:c r="AE868" s="50" t="str">
        <x:f>IF(R868="No","No finance data",IF(AB868&gt;=10%,"Severe",IF(AB868&gt;=5%,"High",IF(AB868&gt;=2%,"Moderate","Low"))))</x:f>
        <x:v>Moderate</x:v>
      </x:c>
      <x:c r="AF868" s="60" t="n">
        <x:v>38.94531</x:v>
      </x:c>
      <x:c r="AG868" s="60" t="n">
        <x:v>-92.328843</x:v>
      </x:c>
      <x:c r="AH868" s="44" t="str">
        <x:v>Undergraduate tuition-contribution proxy only; not an audited total institutional budget.</x:v>
      </x:c>
    </x:row>
    <x:row r="869">
      <x:c r="A869" s="16" t="n">
        <x:v>178402</x:v>
      </x:c>
      <x:c r="B869" s="16" t="str">
        <x:v>University of Missouri-Kansas City</x:v>
      </x:c>
      <x:c r="C869" s="16" t="str">
        <x:v>MO</x:v>
      </x:c>
      <x:c r="D869" s="16" t="str">
        <x:v>Public</x:v>
      </x:c>
      <x:c r="E869" s="34" t="n">
        <x:v>7977</x:v>
      </x:c>
      <x:c r="F869" s="21" t="n">
        <x:v>0.7598</x:v>
      </x:c>
      <x:c r="G869" s="16" t="str">
        <x:v>Statewide</x:v>
      </x:c>
      <x:c r="H869" s="36" t="n">
        <x:f>IF(G869="National",Assumptions!$B$11,IF(G869="Statewide",Assumptions!$B$12,Assumptions!$B$13))</x:f>
        <x:v>0.6</x:v>
      </x:c>
      <x:c r="I869" s="21" t="n">
        <x:v>-0.06261144076466629</x:v>
      </x:c>
      <x:c r="J869" s="21" t="n">
        <x:v>-0.06049223933822456</x:v>
      </x:c>
      <x:c r="K869" s="21" t="n">
        <x:v>-0.139458069042121</x:v>
      </x:c>
      <x:c r="L869" s="36" t="n">
        <x:f>IF(Assumptions!$B$4=2030,I869,IF(Assumptions!$B$4=2035,J869,K869))</x:f>
        <x:v>-0.06049223933822456</x:v>
      </x:c>
      <x:c r="M869" s="36" t="n">
        <x:f>Assumptions!$B$19</x:f>
        <x:v>-0.04739891965741583</x:v>
      </x:c>
      <x:c r="N869" s="52" t="n">
        <x:f>H869*L869+(1-H869)*M869+O869</x:f>
        <x:v>-0.05525491146590107</x:v>
      </x:c>
      <x:c r="O869" s="36" t="n">
        <x:f>Assumptions!$B$10</x:f>
        <x:v>0</x:v>
      </x:c>
      <x:c r="P869" s="54" t="n">
        <x:f>E869*(1+N869)</x:f>
        <x:v>7536.231571236507</x:v>
      </x:c>
      <x:c r="Q869" s="54" t="n">
        <x:f>P869-E869</x:f>
        <x:v>-440.7684287634929</x:v>
      </x:c>
      <x:c r="R869" s="16" t="str">
        <x:v>Yes</x:v>
      </x:c>
      <x:c r="S869" s="56" t="n">
        <x:v>13079</x:v>
      </x:c>
      <x:c r="T869" s="56" t="n">
        <x:v>12634</x:v>
      </x:c>
      <x:c r="U869" s="40" t="n">
        <x:f>E869*Assumptions!$B$8</x:f>
        <x:v>6780.45</x:v>
      </x:c>
      <x:c r="V869" s="40" t="n">
        <x:f>P869*Assumptions!$B$8</x:f>
        <x:v>6405.796835551031</x:v>
      </x:c>
      <x:c r="W869" s="54" t="n">
        <x:f>V869-U869</x:f>
        <x:v>-374.6531644489687</x:v>
      </x:c>
      <x:c r="X869" s="58" t="n">
        <x:f>IF(R869="No","",W869*S869)</x:f>
        <x:v>-4900088.737828062</x:v>
      </x:c>
      <x:c r="Y869" s="58" t="n">
        <x:f>IF(R869="No","",W869*T869*Assumptions!$B$9)</x:f>
        <x:v>-1420010.423894481</x:v>
      </x:c>
      <x:c r="Z869" s="58" t="n">
        <x:f>IF(R869="No","",X869-Y869)</x:f>
        <x:v>-3480078.313933581</x:v>
      </x:c>
      <x:c r="AA869" s="58" t="n">
        <x:f>IF(R869="No","",MAX(0,-Z869))</x:f>
        <x:v>3480078.313933581</x:v>
      </x:c>
      <x:c r="AB869" s="52" t="n">
        <x:f>IF(OR(R869="No",U869*S869=0),"",AA869/(U869*S869))</x:f>
        <x:v>0.039242436090256266</x:v>
      </x:c>
      <x:c r="AC869" s="54" t="n">
        <x:f>IF(OR(R869="No",S869-T869*Assumptions!$B$9&lt;=0),"",AA869/(Assumptions!$B$8*(S869-T869*Assumptions!$B$9)))</x:f>
        <x:v>440.7684287634927</x:v>
      </x:c>
      <x:c r="AD869" s="52" t="n">
        <x:f>IF(OR(R869="No",U869*S869=0),"",AA869/(U869*S869))</x:f>
        <x:v>0.039242436090256266</x:v>
      </x:c>
      <x:c r="AE869" s="50" t="str">
        <x:f>IF(R869="No","No finance data",IF(AB869&gt;=10%,"Severe",IF(AB869&gt;=5%,"High",IF(AB869&gt;=2%,"Moderate","Low"))))</x:f>
        <x:v>Moderate</x:v>
      </x:c>
      <x:c r="AF869" s="60" t="n">
        <x:v>39.034179</x:v>
      </x:c>
      <x:c r="AG869" s="60" t="n">
        <x:v>-94.582141</x:v>
      </x:c>
      <x:c r="AH869" s="44" t="str">
        <x:v>Undergraduate tuition-contribution proxy only; not an audited total institutional budget.</x:v>
      </x:c>
    </x:row>
    <x:row r="870">
      <x:c r="A870" s="16" t="n">
        <x:v>178420</x:v>
      </x:c>
      <x:c r="B870" s="16" t="str">
        <x:v>University of Missouri-St Louis</x:v>
      </x:c>
      <x:c r="C870" s="16" t="str">
        <x:v>MO</x:v>
      </x:c>
      <x:c r="D870" s="16" t="str">
        <x:v>Public</x:v>
      </x:c>
      <x:c r="E870" s="34" t="n">
        <x:v>8275</x:v>
      </x:c>
      <x:c r="F870" s="21" t="n">
        <x:v>0.5661</x:v>
      </x:c>
      <x:c r="G870" s="16" t="str">
        <x:v>Statewide</x:v>
      </x:c>
      <x:c r="H870" s="36" t="n">
        <x:f>IF(G870="National",Assumptions!$B$11,IF(G870="Statewide",Assumptions!$B$12,Assumptions!$B$13))</x:f>
        <x:v>0.6</x:v>
      </x:c>
      <x:c r="I870" s="21" t="n">
        <x:v>-0.06261144076466629</x:v>
      </x:c>
      <x:c r="J870" s="21" t="n">
        <x:v>-0.06049223933822456</x:v>
      </x:c>
      <x:c r="K870" s="21" t="n">
        <x:v>-0.139458069042121</x:v>
      </x:c>
      <x:c r="L870" s="36" t="n">
        <x:f>IF(Assumptions!$B$4=2030,I870,IF(Assumptions!$B$4=2035,J870,K870))</x:f>
        <x:v>-0.06049223933822456</x:v>
      </x:c>
      <x:c r="M870" s="36" t="n">
        <x:f>Assumptions!$B$19</x:f>
        <x:v>-0.04739891965741583</x:v>
      </x:c>
      <x:c r="N870" s="52" t="n">
        <x:f>H870*L870+(1-H870)*M870+O870</x:f>
        <x:v>-0.05525491146590107</x:v>
      </x:c>
      <x:c r="O870" s="36" t="n">
        <x:f>Assumptions!$B$10</x:f>
        <x:v>0</x:v>
      </x:c>
      <x:c r="P870" s="54" t="n">
        <x:f>E870*(1+N870)</x:f>
        <x:v>7817.765607619668</x:v>
      </x:c>
      <x:c r="Q870" s="54" t="n">
        <x:f>P870-E870</x:f>
        <x:v>-457.2343923803319</x:v>
      </x:c>
      <x:c r="R870" s="16" t="str">
        <x:v>Yes</x:v>
      </x:c>
      <x:c r="S870" s="56" t="n">
        <x:v>9028</x:v>
      </x:c>
      <x:c r="T870" s="56" t="n">
        <x:v>9985</x:v>
      </x:c>
      <x:c r="U870" s="40" t="n">
        <x:f>E870*Assumptions!$B$8</x:f>
        <x:v>7033.75</x:v>
      </x:c>
      <x:c r="V870" s="40" t="n">
        <x:f>P870*Assumptions!$B$8</x:f>
        <x:v>6645.100766476718</x:v>
      </x:c>
      <x:c r="W870" s="54" t="n">
        <x:f>V870-U870</x:f>
        <x:v>-388.6492335232824</x:v>
      </x:c>
      <x:c r="X870" s="58" t="n">
        <x:f>IF(R870="No","",W870*S870)</x:f>
        <x:v>-3508725.2802481935</x:v>
      </x:c>
      <x:c r="Y870" s="58" t="n">
        <x:f>IF(R870="No","",W870*T870*Assumptions!$B$9)</x:f>
        <x:v>-1164198.7790189923</x:v>
      </x:c>
      <x:c r="Z870" s="58" t="n">
        <x:f>IF(R870="No","",X870-Y870)</x:f>
        <x:v>-2344526.5012292014</x:v>
      </x:c>
      <x:c r="AA870" s="58" t="n">
        <x:f>IF(R870="No","",MAX(0,-Z870))</x:f>
        <x:v>2344526.5012292014</x:v>
      </x:c>
      <x:c r="AB870" s="52" t="n">
        <x:f>IF(OR(R870="No",U870*S870=0),"",AA870/(U870*S870))</x:f>
        <x:v>0.03692127308573869</x:v>
      </x:c>
      <x:c r="AC870" s="54" t="n">
        <x:f>IF(OR(R870="No",S870-T870*Assumptions!$B$9&lt;=0),"",AA870/(Assumptions!$B$8*(S870-T870*Assumptions!$B$9)))</x:f>
        <x:v>457.2343923803323</x:v>
      </x:c>
      <x:c r="AD870" s="52" t="n">
        <x:f>IF(OR(R870="No",U870*S870=0),"",AA870/(U870*S870))</x:f>
        <x:v>0.03692127308573869</x:v>
      </x:c>
      <x:c r="AE870" s="50" t="str">
        <x:f>IF(R870="No","No finance data",IF(AB870&gt;=10%,"Severe",IF(AB870&gt;=5%,"High",IF(AB870&gt;=2%,"Moderate","Low"))))</x:f>
        <x:v>Moderate</x:v>
      </x:c>
      <x:c r="AF870" s="60" t="n">
        <x:v>38.710312</x:v>
      </x:c>
      <x:c r="AG870" s="60" t="n">
        <x:v>-90.311091</x:v>
      </x:c>
      <x:c r="AH870" s="44" t="str">
        <x:v>Undergraduate tuition-contribution proxy only; not an audited total institutional budget.</x:v>
      </x:c>
    </x:row>
    <x:row r="871">
      <x:c r="A871" s="16" t="n">
        <x:v>179867</x:v>
      </x:c>
      <x:c r="B871" s="16" t="str">
        <x:v>Washington University in St Louis</x:v>
      </x:c>
      <x:c r="C871" s="16" t="str">
        <x:v>MO</x:v>
      </x:c>
      <x:c r="D871" s="16" t="str">
        <x:v>Private nonprofit</x:v>
      </x:c>
      <x:c r="E871" s="34" t="n">
        <x:v>7032</x:v>
      </x:c>
      <x:c r="F871" s="21" t="n">
        <x:v>0.13</x:v>
      </x:c>
      <x:c r="G871" s="16" t="str">
        <x:v>National</x:v>
      </x:c>
      <x:c r="H871" s="36" t="n">
        <x:f>IF(G871="National",Assumptions!$B$11,IF(G871="Statewide",Assumptions!$B$12,Assumptions!$B$13))</x:f>
        <x:v>0.25</x:v>
      </x:c>
      <x:c r="I871" s="21" t="n">
        <x:v>-0.06261144076466629</x:v>
      </x:c>
      <x:c r="J871" s="21" t="n">
        <x:v>-0.06049223933822456</x:v>
      </x:c>
      <x:c r="K871" s="21" t="n">
        <x:v>-0.139458069042121</x:v>
      </x:c>
      <x:c r="L871" s="36" t="n">
        <x:f>IF(Assumptions!$B$4=2030,I871,IF(Assumptions!$B$4=2035,J871,K871))</x:f>
        <x:v>-0.06049223933822456</x:v>
      </x:c>
      <x:c r="M871" s="36" t="n">
        <x:f>Assumptions!$B$19</x:f>
        <x:v>-0.04739891965741583</x:v>
      </x:c>
      <x:c r="N871" s="52" t="n">
        <x:f>H871*L871+(1-H871)*M871+O871</x:f>
        <x:v>-0.05067224957761801</x:v>
      </x:c>
      <x:c r="O871" s="36" t="n">
        <x:f>Assumptions!$B$10</x:f>
        <x:v>0</x:v>
      </x:c>
      <x:c r="P871" s="54" t="n">
        <x:f>E871*(1+N871)</x:f>
        <x:v>6675.672740970191</x:v>
      </x:c>
      <x:c r="Q871" s="54" t="n">
        <x:f>P871-E871</x:f>
        <x:v>-356.3272590298093</x:v>
      </x:c>
      <x:c r="R871" s="16" t="str">
        <x:v>Yes</x:v>
      </x:c>
      <x:c r="S871" s="56" t="n">
        <x:v>26987</x:v>
      </x:c>
      <x:c r="T871" s="56" t="n">
        <x:v>149335</x:v>
      </x:c>
      <x:c r="U871" s="40" t="n">
        <x:f>E871*Assumptions!$B$8</x:f>
        <x:v>5977.2</x:v>
      </x:c>
      <x:c r="V871" s="40" t="n">
        <x:f>P871*Assumptions!$B$8</x:f>
        <x:v>5674.321829824662</x:v>
      </x:c>
      <x:c r="W871" s="54" t="n">
        <x:f>V871-U871</x:f>
        <x:v>-302.8781701753378</x:v>
      </x:c>
      <x:c r="X871" s="58" t="n">
        <x:f>IF(R871="No","",W871*S871)</x:f>
        <x:v>-8173773.178521841</x:v>
      </x:c>
      <x:c r="Y871" s="58" t="n">
        <x:f>IF(R871="No","",W871*T871*Assumptions!$B$9)</x:f>
        <x:v>-13569093.462940222</x:v>
      </x:c>
      <x:c r="Z871" s="58" t="n">
        <x:f>IF(R871="No","",X871-Y871)</x:f>
        <x:v>5395320.284418381</x:v>
      </x:c>
      <x:c r="AA871" s="58" t="n">
        <x:f>IF(R871="No","",MAX(0,-Z871))</x:f>
        <x:v>0</x:v>
      </x:c>
      <x:c r="AB871" s="52" t="n">
        <x:f>IF(OR(R871="No",U871*S871=0),"",AA871/(U871*S871))</x:f>
        <x:v>0</x:v>
      </x:c>
      <x:c r="AC871" s="54" t="str">
        <x:f>IF(OR(R871="No",S871-T871*Assumptions!$B$9&lt;=0),"",AA871/(Assumptions!$B$8*(S871-T871*Assumptions!$B$9)))</x:f>
      </x:c>
      <x:c r="AD871" s="52" t="n">
        <x:f>IF(OR(R871="No",U871*S871=0),"",AA871/(U871*S871))</x:f>
        <x:v>0</x:v>
      </x:c>
      <x:c r="AE871" s="50" t="str">
        <x:f>IF(R871="No","No finance data",IF(AB871&gt;=10%,"Severe",IF(AB871&gt;=5%,"High",IF(AB871&gt;=2%,"Moderate","Low"))))</x:f>
        <x:v>Low</x:v>
      </x:c>
      <x:c r="AF871" s="60" t="n">
        <x:v>38.647929</x:v>
      </x:c>
      <x:c r="AG871" s="60" t="n">
        <x:v>-90.310604</x:v>
      </x:c>
      <x:c r="AH871" s="44" t="str">
        <x:v>Undergraduate tuition-contribution proxy only; not an audited total institutional budget.</x:v>
      </x:c>
    </x:row>
    <x:row r="872">
      <x:c r="A872" s="16" t="n">
        <x:v>179894</x:v>
      </x:c>
      <x:c r="B872" s="16" t="str">
        <x:v>Webster University</x:v>
      </x:c>
      <x:c r="C872" s="16" t="str">
        <x:v>MO</x:v>
      </x:c>
      <x:c r="D872" s="16" t="str">
        <x:v>Private nonprofit</x:v>
      </x:c>
      <x:c r="E872" s="34" t="n">
        <x:v>3150</x:v>
      </x:c>
      <x:c r="F872" s="21" t="n">
        <x:v>0.5945</x:v>
      </x:c>
      <x:c r="G872" s="16" t="str">
        <x:v>Regional</x:v>
      </x:c>
      <x:c r="H872" s="36" t="n">
        <x:f>IF(G872="National",Assumptions!$B$11,IF(G872="Statewide",Assumptions!$B$12,Assumptions!$B$13))</x:f>
        <x:v>0.85</x:v>
      </x:c>
      <x:c r="I872" s="21" t="n">
        <x:v>-0.06261144076466629</x:v>
      </x:c>
      <x:c r="J872" s="21" t="n">
        <x:v>-0.06049223933822456</x:v>
      </x:c>
      <x:c r="K872" s="21" t="n">
        <x:v>-0.139458069042121</x:v>
      </x:c>
      <x:c r="L872" s="36" t="n">
        <x:f>IF(Assumptions!$B$4=2030,I872,IF(Assumptions!$B$4=2035,J872,K872))</x:f>
        <x:v>-0.06049223933822456</x:v>
      </x:c>
      <x:c r="M872" s="36" t="n">
        <x:f>Assumptions!$B$19</x:f>
        <x:v>-0.04739891965741583</x:v>
      </x:c>
      <x:c r="N872" s="52" t="n">
        <x:f>H872*L872+(1-H872)*M872+O872</x:f>
        <x:v>-0.058528241386103255</x:v>
      </x:c>
      <x:c r="O872" s="36" t="n">
        <x:f>Assumptions!$B$10</x:f>
        <x:v>0</x:v>
      </x:c>
      <x:c r="P872" s="54" t="n">
        <x:f>E872*(1+N872)</x:f>
        <x:v>2965.636039633775</x:v>
      </x:c>
      <x:c r="Q872" s="54" t="n">
        <x:f>P872-E872</x:f>
        <x:v>-184.363960366225</x:v>
      </x:c>
      <x:c r="R872" s="16" t="str">
        <x:v>Yes</x:v>
      </x:c>
      <x:c r="S872" s="56" t="n">
        <x:v>17496</x:v>
      </x:c>
      <x:c r="T872" s="56" t="n">
        <x:v>10306</x:v>
      </x:c>
      <x:c r="U872" s="40" t="n">
        <x:f>E872*Assumptions!$B$8</x:f>
        <x:v>2677.5</x:v>
      </x:c>
      <x:c r="V872" s="40" t="n">
        <x:f>P872*Assumptions!$B$8</x:f>
        <x:v>2520.7906336887086</x:v>
      </x:c>
      <x:c r="W872" s="54" t="n">
        <x:f>V872-U872</x:f>
        <x:v>-156.70936631129143</x:v>
      </x:c>
      <x:c r="X872" s="58" t="n">
        <x:f>IF(R872="No","",W872*S872)</x:f>
        <x:v>-2741787.072982355</x:v>
      </x:c>
      <x:c r="Y872" s="58" t="n">
        <x:f>IF(R872="No","",W872*T872*Assumptions!$B$9)</x:f>
        <x:v>-484514.01876125083</x:v>
      </x:c>
      <x:c r="Z872" s="58" t="n">
        <x:f>IF(R872="No","",X872-Y872)</x:f>
        <x:v>-2257273.0542211044</x:v>
      </x:c>
      <x:c r="AA872" s="58" t="n">
        <x:f>IF(R872="No","",MAX(0,-Z872))</x:f>
        <x:v>2257273.0542211044</x:v>
      </x:c>
      <x:c r="AB872" s="52" t="n">
        <x:f>IF(OR(R872="No",U872*S872=0),"",AA872/(U872*S872))</x:f>
        <x:v>0.04818544207668658</x:v>
      </x:c>
      <x:c r="AC872" s="54" t="n">
        <x:f>IF(OR(R872="No",S872-T872*Assumptions!$B$9&lt;=0),"",AA872/(Assumptions!$B$8*(S872-T872*Assumptions!$B$9)))</x:f>
        <x:v>184.36396036622526</x:v>
      </x:c>
      <x:c r="AD872" s="52" t="n">
        <x:f>IF(OR(R872="No",U872*S872=0),"",AA872/(U872*S872))</x:f>
        <x:v>0.04818544207668658</x:v>
      </x:c>
      <x:c r="AE872" s="50" t="str">
        <x:f>IF(R872="No","No finance data",IF(AB872&gt;=10%,"Severe",IF(AB872&gt;=5%,"High",IF(AB872&gt;=2%,"Moderate","Low"))))</x:f>
        <x:v>Moderate</x:v>
      </x:c>
      <x:c r="AF872" s="60" t="n">
        <x:v>38.588875</x:v>
      </x:c>
      <x:c r="AG872" s="60" t="n">
        <x:v>-90.345151</x:v>
      </x:c>
      <x:c r="AH872" s="44" t="str">
        <x:v>Undergraduate tuition-contribution proxy only; not an audited total institutional budget.</x:v>
      </x:c>
    </x:row>
    <x:row r="873">
      <x:c r="A873" s="16" t="n">
        <x:v>179946</x:v>
      </x:c>
      <x:c r="B873" s="16" t="str">
        <x:v>Westminster College</x:v>
      </x:c>
      <x:c r="C873" s="16" t="str">
        <x:v>MO</x:v>
      </x:c>
      <x:c r="D873" s="16" t="str">
        <x:v>Private nonprofit</x:v>
      </x:c>
      <x:c r="E873" s="34" t="n">
        <x:v>940</x:v>
      </x:c>
      <x:c r="F873" s="21" t="n">
        <x:v>0.9668</x:v>
      </x:c>
      <x:c r="G873" s="16" t="str">
        <x:v>Regional</x:v>
      </x:c>
      <x:c r="H873" s="36" t="n">
        <x:f>IF(G873="National",Assumptions!$B$11,IF(G873="Statewide",Assumptions!$B$12,Assumptions!$B$13))</x:f>
        <x:v>0.85</x:v>
      </x:c>
      <x:c r="I873" s="21" t="n">
        <x:v>-0.06261144076466629</x:v>
      </x:c>
      <x:c r="J873" s="21" t="n">
        <x:v>-0.06049223933822456</x:v>
      </x:c>
      <x:c r="K873" s="21" t="n">
        <x:v>-0.139458069042121</x:v>
      </x:c>
      <x:c r="L873" s="36" t="n">
        <x:f>IF(Assumptions!$B$4=2030,I873,IF(Assumptions!$B$4=2035,J873,K873))</x:f>
        <x:v>-0.06049223933822456</x:v>
      </x:c>
      <x:c r="M873" s="36" t="n">
        <x:f>Assumptions!$B$19</x:f>
        <x:v>-0.04739891965741583</x:v>
      </x:c>
      <x:c r="N873" s="52" t="n">
        <x:f>H873*L873+(1-H873)*M873+O873</x:f>
        <x:v>-0.058528241386103255</x:v>
      </x:c>
      <x:c r="O873" s="36" t="n">
        <x:f>Assumptions!$B$10</x:f>
        <x:v>0</x:v>
      </x:c>
      <x:c r="P873" s="54" t="n">
        <x:f>E873*(1+N873)</x:f>
        <x:v>884.9834530970629</x:v>
      </x:c>
      <x:c r="Q873" s="54" t="n">
        <x:f>P873-E873</x:f>
        <x:v>-55.01654690293708</x:v>
      </x:c>
      <x:c r="R873" s="16" t="str">
        <x:v>Yes</x:v>
      </x:c>
      <x:c r="S873" s="56" t="n">
        <x:v>11408</x:v>
      </x:c>
      <x:c r="T873" s="56" t="n">
        <x:v>9600</x:v>
      </x:c>
      <x:c r="U873" s="40" t="n">
        <x:f>E873*Assumptions!$B$8</x:f>
        <x:v>799</x:v>
      </x:c>
      <x:c r="V873" s="40" t="n">
        <x:f>P873*Assumptions!$B$8</x:f>
        <x:v>752.2359351325034</x:v>
      </x:c>
      <x:c r="W873" s="54" t="n">
        <x:f>V873-U873</x:f>
        <x:v>-46.764064867496586</x:v>
      </x:c>
      <x:c r="X873" s="58" t="n">
        <x:f>IF(R873="No","",W873*S873)</x:f>
        <x:v>-533484.452008401</x:v>
      </x:c>
      <x:c r="Y873" s="58" t="n">
        <x:f>IF(R873="No","",W873*T873*Assumptions!$B$9)</x:f>
        <x:v>-134680.50681839016</x:v>
      </x:c>
      <x:c r="Z873" s="58" t="n">
        <x:f>IF(R873="No","",X873-Y873)</x:f>
        <x:v>-398803.9451900109</x:v>
      </x:c>
      <x:c r="AA873" s="58" t="n">
        <x:f>IF(R873="No","",MAX(0,-Z873))</x:f>
        <x:v>398803.9451900109</x:v>
      </x:c>
      <x:c r="AB873" s="52" t="n">
        <x:f>IF(OR(R873="No",U873*S873=0),"",AA873/(U873*S873))</x:f>
        <x:v>0.04375252827320209</x:v>
      </x:c>
      <x:c r="AC873" s="54" t="n">
        <x:f>IF(OR(R873="No",S873-T873*Assumptions!$B$9&lt;=0),"",AA873/(Assumptions!$B$8*(S873-T873*Assumptions!$B$9)))</x:f>
        <x:v>55.01654690293716</x:v>
      </x:c>
      <x:c r="AD873" s="52" t="n">
        <x:f>IF(OR(R873="No",U873*S873=0),"",AA873/(U873*S873))</x:f>
        <x:v>0.04375252827320209</x:v>
      </x:c>
      <x:c r="AE873" s="50" t="str">
        <x:f>IF(R873="No","No finance data",IF(AB873&gt;=10%,"Severe",IF(AB873&gt;=5%,"High",IF(AB873&gt;=2%,"Moderate","Low"))))</x:f>
        <x:v>Moderate</x:v>
      </x:c>
      <x:c r="AF873" s="60" t="n">
        <x:v>38.849354</x:v>
      </x:c>
      <x:c r="AG873" s="60" t="n">
        <x:v>-91.955273</x:v>
      </x:c>
      <x:c r="AH873" s="44" t="str">
        <x:v>Undergraduate tuition-contribution proxy only; not an audited total institutional budget.</x:v>
      </x:c>
    </x:row>
    <x:row r="874">
      <x:c r="A874" s="16" t="n">
        <x:v>179955</x:v>
      </x:c>
      <x:c r="B874" s="16" t="str">
        <x:v>William Jewell College</x:v>
      </x:c>
      <x:c r="C874" s="16" t="str">
        <x:v>MO</x:v>
      </x:c>
      <x:c r="D874" s="16" t="str">
        <x:v>Private nonprofit</x:v>
      </x:c>
      <x:c r="E874" s="34" t="n">
        <x:v>1053</x:v>
      </x:c>
      <x:c r="F874" s="21" t="n">
        <x:v>0.47</x:v>
      </x:c>
      <x:c r="G874" s="16" t="str">
        <x:v>Regional</x:v>
      </x:c>
      <x:c r="H874" s="36" t="n">
        <x:f>IF(G874="National",Assumptions!$B$11,IF(G874="Statewide",Assumptions!$B$12,Assumptions!$B$13))</x:f>
        <x:v>0.85</x:v>
      </x:c>
      <x:c r="I874" s="21" t="n">
        <x:v>-0.06261144076466629</x:v>
      </x:c>
      <x:c r="J874" s="21" t="n">
        <x:v>-0.06049223933822456</x:v>
      </x:c>
      <x:c r="K874" s="21" t="n">
        <x:v>-0.139458069042121</x:v>
      </x:c>
      <x:c r="L874" s="36" t="n">
        <x:f>IF(Assumptions!$B$4=2030,I874,IF(Assumptions!$B$4=2035,J874,K874))</x:f>
        <x:v>-0.06049223933822456</x:v>
      </x:c>
      <x:c r="M874" s="36" t="n">
        <x:f>Assumptions!$B$19</x:f>
        <x:v>-0.04739891965741583</x:v>
      </x:c>
      <x:c r="N874" s="52" t="n">
        <x:f>H874*L874+(1-H874)*M874+O874</x:f>
        <x:v>-0.058528241386103255</x:v>
      </x:c>
      <x:c r="O874" s="36" t="n">
        <x:f>Assumptions!$B$10</x:f>
        <x:v>0</x:v>
      </x:c>
      <x:c r="P874" s="54" t="n">
        <x:f>E874*(1+N874)</x:f>
        <x:v>991.3697618204333</x:v>
      </x:c>
      <x:c r="Q874" s="54" t="n">
        <x:f>P874-E874</x:f>
        <x:v>-61.63023817956673</x:v>
      </x:c>
      <x:c r="R874" s="16" t="str">
        <x:v>Yes</x:v>
      </x:c>
      <x:c r="S874" s="56" t="n">
        <x:v>11565</x:v>
      </x:c>
      <x:c r="T874" s="56" t="n">
        <x:v>13653</x:v>
      </x:c>
      <x:c r="U874" s="40" t="n">
        <x:f>E874*Assumptions!$B$8</x:f>
        <x:v>895.05</x:v>
      </x:c>
      <x:c r="V874" s="40" t="n">
        <x:f>P874*Assumptions!$B$8</x:f>
        <x:v>842.6642975473683</x:v>
      </x:c>
      <x:c r="W874" s="54" t="n">
        <x:f>V874-U874</x:f>
        <x:v>-52.385702452631676</x:v>
      </x:c>
      <x:c r="X874" s="58" t="n">
        <x:f>IF(R874="No","",W874*S874)</x:f>
        <x:v>-605840.6488646853</x:v>
      </x:c>
      <x:c r="Y874" s="58" t="n">
        <x:f>IF(R874="No","",W874*T874*Assumptions!$B$9)</x:f>
        <x:v>-214566.59867573407</x:v>
      </x:c>
      <x:c r="Z874" s="58" t="n">
        <x:f>IF(R874="No","",X874-Y874)</x:f>
        <x:v>-391274.05018895125</x:v>
      </x:c>
      <x:c r="AA874" s="58" t="n">
        <x:f>IF(R874="No","",MAX(0,-Z874))</x:f>
        <x:v>391274.05018895125</x:v>
      </x:c>
      <x:c r="AB874" s="52" t="n">
        <x:f>IF(OR(R874="No",U874*S874=0),"",AA874/(U874*S874))</x:f>
        <x:v>0.03779967900881483</x:v>
      </x:c>
      <x:c r="AC874" s="54" t="n">
        <x:f>IF(OR(R874="No",S874-T874*Assumptions!$B$9&lt;=0),"",AA874/(Assumptions!$B$8*(S874-T874*Assumptions!$B$9)))</x:f>
        <x:v>61.630238179566675</x:v>
      </x:c>
      <x:c r="AD874" s="52" t="n">
        <x:f>IF(OR(R874="No",U874*S874=0),"",AA874/(U874*S874))</x:f>
        <x:v>0.03779967900881483</x:v>
      </x:c>
      <x:c r="AE874" s="50" t="str">
        <x:f>IF(R874="No","No finance data",IF(AB874&gt;=10%,"Severe",IF(AB874&gt;=5%,"High",IF(AB874&gt;=2%,"Moderate","Low"))))</x:f>
        <x:v>Moderate</x:v>
      </x:c>
      <x:c r="AF874" s="60" t="n">
        <x:v>39.247844</x:v>
      </x:c>
      <x:c r="AG874" s="60" t="n">
        <x:v>-94.413126</x:v>
      </x:c>
      <x:c r="AH874" s="44" t="str">
        <x:v>Undergraduate tuition-contribution proxy only; not an audited total institutional budget.</x:v>
      </x:c>
    </x:row>
    <x:row r="875">
      <x:c r="A875" s="16" t="n">
        <x:v>179964</x:v>
      </x:c>
      <x:c r="B875" s="16" t="str">
        <x:v>William Woods University</x:v>
      </x:c>
      <x:c r="C875" s="16" t="str">
        <x:v>MO</x:v>
      </x:c>
      <x:c r="D875" s="16" t="str">
        <x:v>Private nonprofit</x:v>
      </x:c>
      <x:c r="E875" s="34" t="n">
        <x:v>968</x:v>
      </x:c>
      <x:c r="F875" s="21" t="n">
        <x:v>0.683</x:v>
      </x:c>
      <x:c r="G875" s="16" t="str">
        <x:v>Regional</x:v>
      </x:c>
      <x:c r="H875" s="36" t="n">
        <x:f>IF(G875="National",Assumptions!$B$11,IF(G875="Statewide",Assumptions!$B$12,Assumptions!$B$13))</x:f>
        <x:v>0.85</x:v>
      </x:c>
      <x:c r="I875" s="21" t="n">
        <x:v>-0.06261144076466629</x:v>
      </x:c>
      <x:c r="J875" s="21" t="n">
        <x:v>-0.06049223933822456</x:v>
      </x:c>
      <x:c r="K875" s="21" t="n">
        <x:v>-0.139458069042121</x:v>
      </x:c>
      <x:c r="L875" s="36" t="n">
        <x:f>IF(Assumptions!$B$4=2030,I875,IF(Assumptions!$B$4=2035,J875,K875))</x:f>
        <x:v>-0.06049223933822456</x:v>
      </x:c>
      <x:c r="M875" s="36" t="n">
        <x:f>Assumptions!$B$19</x:f>
        <x:v>-0.04739891965741583</x:v>
      </x:c>
      <x:c r="N875" s="52" t="n">
        <x:f>H875*L875+(1-H875)*M875+O875</x:f>
        <x:v>-0.058528241386103255</x:v>
      </x:c>
      <x:c r="O875" s="36" t="n">
        <x:f>Assumptions!$B$10</x:f>
        <x:v>0</x:v>
      </x:c>
      <x:c r="P875" s="54" t="n">
        <x:f>E875*(1+N875)</x:f>
        <x:v>911.3446623382521</x:v>
      </x:c>
      <x:c r="Q875" s="54" t="n">
        <x:f>P875-E875</x:f>
        <x:v>-56.65533766174792</x:v>
      </x:c>
      <x:c r="R875" s="16" t="str">
        <x:v>Yes</x:v>
      </x:c>
      <x:c r="S875" s="56" t="n">
        <x:v>9579</x:v>
      </x:c>
      <x:c r="T875" s="56" t="n">
        <x:v>5096</x:v>
      </x:c>
      <x:c r="U875" s="40" t="n">
        <x:f>E875*Assumptions!$B$8</x:f>
        <x:v>822.8</x:v>
      </x:c>
      <x:c r="V875" s="40" t="n">
        <x:f>P875*Assumptions!$B$8</x:f>
        <x:v>774.6429629875142</x:v>
      </x:c>
      <x:c r="W875" s="54" t="n">
        <x:f>V875-U875</x:f>
        <x:v>-48.157037012485716</x:v>
      </x:c>
      <x:c r="X875" s="58" t="n">
        <x:f>IF(R875="No","",W875*S875)</x:f>
        <x:v>-461296.2575426007</x:v>
      </x:c>
      <x:c r="Y875" s="58" t="n">
        <x:f>IF(R875="No","",W875*T875*Assumptions!$B$9)</x:f>
        <x:v>-73622.47818468817</x:v>
      </x:c>
      <x:c r="Z875" s="58" t="n">
        <x:f>IF(R875="No","",X875-Y875)</x:f>
        <x:v>-387673.7793579125</x:v>
      </x:c>
      <x:c r="AA875" s="58" t="n">
        <x:f>IF(R875="No","",MAX(0,-Z875))</x:f>
        <x:v>387673.7793579125</x:v>
      </x:c>
      <x:c r="AB875" s="52" t="n">
        <x:f>IF(OR(R875="No",U875*S875=0),"",AA875/(U875*S875))</x:f>
        <x:v>0.04918718538536465</x:v>
      </x:c>
      <x:c r="AC875" s="54" t="n">
        <x:f>IF(OR(R875="No",S875-T875*Assumptions!$B$9&lt;=0),"",AA875/(Assumptions!$B$8*(S875-T875*Assumptions!$B$9)))</x:f>
        <x:v>56.65533766174789</x:v>
      </x:c>
      <x:c r="AD875" s="52" t="n">
        <x:f>IF(OR(R875="No",U875*S875=0),"",AA875/(U875*S875))</x:f>
        <x:v>0.04918718538536465</x:v>
      </x:c>
      <x:c r="AE875" s="50" t="str">
        <x:f>IF(R875="No","No finance data",IF(AB875&gt;=10%,"Severe",IF(AB875&gt;=5%,"High",IF(AB875&gt;=2%,"Moderate","Low"))))</x:f>
        <x:v>Moderate</x:v>
      </x:c>
      <x:c r="AF875" s="60" t="n">
        <x:v>38.860287</x:v>
      </x:c>
      <x:c r="AG875" s="60" t="n">
        <x:v>-91.950416</x:v>
      </x:c>
      <x:c r="AH875" s="44" t="str">
        <x:v>Undergraduate tuition-contribution proxy only; not an audited total institutional budget.</x:v>
      </x:c>
    </x:row>
    <x:row r="876">
      <x:c r="A876" s="16" t="n">
        <x:v>175342</x:v>
      </x:c>
      <x:c r="B876" s="16" t="str">
        <x:v>Alcorn State University</x:v>
      </x:c>
      <x:c r="C876" s="16" t="str">
        <x:v>MS</x:v>
      </x:c>
      <x:c r="D876" s="16" t="str">
        <x:v>Public</x:v>
      </x:c>
      <x:c r="E876" s="34" t="n">
        <x:v>2911</x:v>
      </x:c>
      <x:c r="F876" s="21" t="n">
        <x:v>0.3891</x:v>
      </x:c>
      <x:c r="G876" s="16" t="str">
        <x:v>Regional</x:v>
      </x:c>
      <x:c r="H876" s="36" t="n">
        <x:f>IF(G876="National",Assumptions!$B$11,IF(G876="Statewide",Assumptions!$B$12,Assumptions!$B$13))</x:f>
        <x:v>0.85</x:v>
      </x:c>
      <x:c r="I876" s="21" t="n">
        <x:v>-0.120564851073929</x:v>
      </x:c>
      <x:c r="J876" s="21" t="n">
        <x:v>-0.12646849412602346</x:v>
      </x:c>
      <x:c r="K876" s="21" t="n">
        <x:v>-0.19891420434318263</x:v>
      </x:c>
      <x:c r="L876" s="36" t="n">
        <x:f>IF(Assumptions!$B$4=2030,I876,IF(Assumptions!$B$4=2035,J876,K876))</x:f>
        <x:v>-0.12646849412602346</x:v>
      </x:c>
      <x:c r="M876" s="36" t="n">
        <x:f>Assumptions!$B$19</x:f>
        <x:v>-0.04739891965741583</x:v>
      </x:c>
      <x:c r="N876" s="52" t="n">
        <x:f>H876*L876+(1-H876)*M876+O876</x:f>
        <x:v>-0.11460805795573231</x:v>
      </x:c>
      <x:c r="O876" s="36" t="n">
        <x:f>Assumptions!$B$10</x:f>
        <x:v>0</x:v>
      </x:c>
      <x:c r="P876" s="54" t="n">
        <x:f>E876*(1+N876)</x:f>
        <x:v>2577.3759432908632</x:v>
      </x:c>
      <x:c r="Q876" s="54" t="n">
        <x:f>P876-E876</x:f>
        <x:v>-333.62405670913677</x:v>
      </x:c>
      <x:c r="R876" s="16" t="str">
        <x:v>Yes</x:v>
      </x:c>
      <x:c r="S876" s="56" t="n">
        <x:v>3717</x:v>
      </x:c>
      <x:c r="T876" s="56" t="n">
        <x:v>5536</x:v>
      </x:c>
      <x:c r="U876" s="40" t="n">
        <x:f>E876*Assumptions!$B$8</x:f>
        <x:v>2474.35</x:v>
      </x:c>
      <x:c r="V876" s="40" t="n">
        <x:f>P876*Assumptions!$B$8</x:f>
        <x:v>2190.769551797234</x:v>
      </x:c>
      <x:c r="W876" s="54" t="n">
        <x:f>V876-U876</x:f>
        <x:v>-283.5804482027661</x:v>
      </x:c>
      <x:c r="X876" s="58" t="n">
        <x:f>IF(R876="No","",W876*S876)</x:f>
        <x:v>-1054068.5259696816</x:v>
      </x:c>
      <x:c r="Y876" s="58" t="n">
        <x:f>IF(R876="No","",W876*T876*Assumptions!$B$9)</x:f>
        <x:v>-470970.4083751539</x:v>
      </x:c>
      <x:c r="Z876" s="58" t="n">
        <x:f>IF(R876="No","",X876-Y876)</x:f>
        <x:v>-583098.1175945277</x:v>
      </x:c>
      <x:c r="AA876" s="58" t="n">
        <x:f>IF(R876="No","",MAX(0,-Z876))</x:f>
        <x:v>583098.1175945277</x:v>
      </x:c>
      <x:c r="AB876" s="52" t="n">
        <x:f>IF(OR(R876="No",U876*S876=0),"",AA876/(U876*S876))</x:f>
        <x:v>0.06339980865444624</x:v>
      </x:c>
      <x:c r="AC876" s="54" t="n">
        <x:f>IF(OR(R876="No",S876-T876*Assumptions!$B$9&lt;=0),"",AA876/(Assumptions!$B$8*(S876-T876*Assumptions!$B$9)))</x:f>
        <x:v>333.62405670913665</x:v>
      </x:c>
      <x:c r="AD876" s="52" t="n">
        <x:f>IF(OR(R876="No",U876*S876=0),"",AA876/(U876*S876))</x:f>
        <x:v>0.06339980865444624</x:v>
      </x:c>
      <x:c r="AE876" s="50" t="str">
        <x:f>IF(R876="No","No finance data",IF(AB876&gt;=10%,"Severe",IF(AB876&gt;=5%,"High",IF(AB876&gt;=2%,"Moderate","Low"))))</x:f>
        <x:v>High</x:v>
      </x:c>
      <x:c r="AF876" s="60" t="n">
        <x:v>31.877216</x:v>
      </x:c>
      <x:c r="AG876" s="60" t="n">
        <x:v>-91.142854</x:v>
      </x:c>
      <x:c r="AH876" s="44" t="str">
        <x:v>Undergraduate tuition-contribution proxy only; not an audited total institutional budget.</x:v>
      </x:c>
    </x:row>
    <x:row r="877">
      <x:c r="A877" s="16" t="n">
        <x:v>175421</x:v>
      </x:c>
      <x:c r="B877" s="16" t="str">
        <x:v>Belhaven University</x:v>
      </x:c>
      <x:c r="C877" s="16" t="str">
        <x:v>MS</x:v>
      </x:c>
      <x:c r="D877" s="16" t="str">
        <x:v>Private nonprofit</x:v>
      </x:c>
      <x:c r="E877" s="34" t="n">
        <x:v>2653</x:v>
      </x:c>
      <x:c r="F877" s="21" t="n">
        <x:v>0.6402</x:v>
      </x:c>
      <x:c r="G877" s="16" t="str">
        <x:v>Regional</x:v>
      </x:c>
      <x:c r="H877" s="36" t="n">
        <x:f>IF(G877="National",Assumptions!$B$11,IF(G877="Statewide",Assumptions!$B$12,Assumptions!$B$13))</x:f>
        <x:v>0.85</x:v>
      </x:c>
      <x:c r="I877" s="21" t="n">
        <x:v>-0.120564851073929</x:v>
      </x:c>
      <x:c r="J877" s="21" t="n">
        <x:v>-0.12646849412602346</x:v>
      </x:c>
      <x:c r="K877" s="21" t="n">
        <x:v>-0.19891420434318263</x:v>
      </x:c>
      <x:c r="L877" s="36" t="n">
        <x:f>IF(Assumptions!$B$4=2030,I877,IF(Assumptions!$B$4=2035,J877,K877))</x:f>
        <x:v>-0.12646849412602346</x:v>
      </x:c>
      <x:c r="M877" s="36" t="n">
        <x:f>Assumptions!$B$19</x:f>
        <x:v>-0.04739891965741583</x:v>
      </x:c>
      <x:c r="N877" s="52" t="n">
        <x:f>H877*L877+(1-H877)*M877+O877</x:f>
        <x:v>-0.11460805795573231</x:v>
      </x:c>
      <x:c r="O877" s="36" t="n">
        <x:f>Assumptions!$B$10</x:f>
        <x:v>0</x:v>
      </x:c>
      <x:c r="P877" s="54" t="n">
        <x:f>E877*(1+N877)</x:f>
        <x:v>2348.944822243442</x:v>
      </x:c>
      <x:c r="Q877" s="54" t="n">
        <x:f>P877-E877</x:f>
        <x:v>-304.0551777565579</x:v>
      </x:c>
      <x:c r="R877" s="16" t="str">
        <x:v>Yes</x:v>
      </x:c>
      <x:c r="S877" s="56" t="n">
        <x:v>9298</x:v>
      </x:c>
      <x:c r="T877" s="56" t="n">
        <x:v>2942</x:v>
      </x:c>
      <x:c r="U877" s="40" t="n">
        <x:f>E877*Assumptions!$B$8</x:f>
        <x:v>2255.0499999999997</x:v>
      </x:c>
      <x:c r="V877" s="40" t="n">
        <x:f>P877*Assumptions!$B$8</x:f>
        <x:v>1996.6030989069257</x:v>
      </x:c>
      <x:c r="W877" s="54" t="n">
        <x:f>V877-U877</x:f>
        <x:v>-258.4469010930741</x:v>
      </x:c>
      <x:c r="X877" s="58" t="n">
        <x:f>IF(R877="No","",W877*S877)</x:f>
        <x:v>-2403039.286363403</x:v>
      </x:c>
      <x:c r="Y877" s="58" t="n">
        <x:f>IF(R877="No","",W877*T877*Assumptions!$B$9)</x:f>
        <x:v>-228105.23490474717</x:v>
      </x:c>
      <x:c r="Z877" s="58" t="n">
        <x:f>IF(R877="No","",X877-Y877)</x:f>
        <x:v>-2174934.051458656</x:v>
      </x:c>
      <x:c r="AA877" s="58" t="n">
        <x:f>IF(R877="No","",MAX(0,-Z877))</x:f>
        <x:v>2174934.051458656</x:v>
      </x:c>
      <x:c r="AB877" s="52" t="n">
        <x:f>IF(OR(R877="No",U877*S877=0),"",AA877/(U877*S877))</x:f>
        <x:v>0.10372904397942241</x:v>
      </x:c>
      <x:c r="AC877" s="54" t="n">
        <x:f>IF(OR(R877="No",S877-T877*Assumptions!$B$9&lt;=0),"",AA877/(Assumptions!$B$8*(S877-T877*Assumptions!$B$9)))</x:f>
        <x:v>304.0551777565578</x:v>
      </x:c>
      <x:c r="AD877" s="52" t="n">
        <x:f>IF(OR(R877="No",U877*S877=0),"",AA877/(U877*S877))</x:f>
        <x:v>0.10372904397942241</x:v>
      </x:c>
      <x:c r="AE877" s="50" t="str">
        <x:f>IF(R877="No","No finance data",IF(AB877&gt;=10%,"Severe",IF(AB877&gt;=5%,"High",IF(AB877&gt;=2%,"Moderate","Low"))))</x:f>
        <x:v>Severe</x:v>
      </x:c>
      <x:c r="AF877" s="60" t="n">
        <x:v>32.318415</x:v>
      </x:c>
      <x:c r="AG877" s="60" t="n">
        <x:v>-90.169228</x:v>
      </x:c>
      <x:c r="AH877" s="44" t="str">
        <x:v>Undergraduate tuition-contribution proxy only; not an audited total institutional budget.</x:v>
      </x:c>
    </x:row>
    <x:row r="878">
      <x:c r="A878" s="16" t="n">
        <x:v>175430</x:v>
      </x:c>
      <x:c r="B878" s="16" t="str">
        <x:v>Blue Mountain College</x:v>
      </x:c>
      <x:c r="C878" s="16" t="str">
        <x:v>MS</x:v>
      </x:c>
      <x:c r="D878" s="16" t="str">
        <x:v>Private nonprofit</x:v>
      </x:c>
      <x:c r="E878" s="34" t="n">
        <x:v>436</x:v>
      </x:c>
      <x:c r="F878" s="21" t="n">
        <x:v>0.9909</x:v>
      </x:c>
      <x:c r="G878" s="16" t="str">
        <x:v>Regional</x:v>
      </x:c>
      <x:c r="H878" s="36" t="n">
        <x:f>IF(G878="National",Assumptions!$B$11,IF(G878="Statewide",Assumptions!$B$12,Assumptions!$B$13))</x:f>
        <x:v>0.85</x:v>
      </x:c>
      <x:c r="I878" s="21" t="n">
        <x:v>-0.120564851073929</x:v>
      </x:c>
      <x:c r="J878" s="21" t="n">
        <x:v>-0.12646849412602346</x:v>
      </x:c>
      <x:c r="K878" s="21" t="n">
        <x:v>-0.19891420434318263</x:v>
      </x:c>
      <x:c r="L878" s="36" t="n">
        <x:f>IF(Assumptions!$B$4=2030,I878,IF(Assumptions!$B$4=2035,J878,K878))</x:f>
        <x:v>-0.12646849412602346</x:v>
      </x:c>
      <x:c r="M878" s="36" t="n">
        <x:f>Assumptions!$B$19</x:f>
        <x:v>-0.04739891965741583</x:v>
      </x:c>
      <x:c r="N878" s="52" t="n">
        <x:f>H878*L878+(1-H878)*M878+O878</x:f>
        <x:v>-0.11460805795573231</x:v>
      </x:c>
      <x:c r="O878" s="36" t="n">
        <x:f>Assumptions!$B$10</x:f>
        <x:v>0</x:v>
      </x:c>
      <x:c r="P878" s="54" t="n">
        <x:f>E878*(1+N878)</x:f>
        <x:v>386.0308867313007</x:v>
      </x:c>
      <x:c r="Q878" s="54" t="n">
        <x:f>P878-E878</x:f>
        <x:v>-49.96911326869929</x:v>
      </x:c>
      <x:c r="R878" s="16" t="str">
        <x:v>Yes</x:v>
      </x:c>
      <x:c r="S878" s="56" t="n">
        <x:v>6149</x:v>
      </x:c>
      <x:c r="T878" s="56" t="n">
        <x:v>6782</x:v>
      </x:c>
      <x:c r="U878" s="40" t="n">
        <x:f>E878*Assumptions!$B$8</x:f>
        <x:v>370.59999999999997</x:v>
      </x:c>
      <x:c r="V878" s="40" t="n">
        <x:f>P878*Assumptions!$B$8</x:f>
        <x:v>328.1262537216056</x:v>
      </x:c>
      <x:c r="W878" s="54" t="n">
        <x:f>V878-U878</x:f>
        <x:v>-42.473746278394344</x:v>
      </x:c>
      <x:c r="X878" s="58" t="n">
        <x:f>IF(R878="No","",W878*S878)</x:f>
        <x:v>-261171.06586584682</x:v>
      </x:c>
      <x:c r="Y878" s="58" t="n">
        <x:f>IF(R878="No","",W878*T878*Assumptions!$B$9)</x:f>
        <x:v>-86417.08417802112</x:v>
      </x:c>
      <x:c r="Z878" s="58" t="n">
        <x:f>IF(R878="No","",X878-Y878)</x:f>
        <x:v>-174753.9816878257</x:v>
      </x:c>
      <x:c r="AA878" s="58" t="n">
        <x:f>IF(R878="No","",MAX(0,-Z878))</x:f>
        <x:v>174753.9816878257</x:v>
      </x:c>
      <x:c r="AB878" s="52" t="n">
        <x:f>IF(OR(R878="No",U878*S878=0),"",AA878/(U878*S878))</x:f>
        <x:v>0.07668619184470069</x:v>
      </x:c>
      <x:c r="AC878" s="54" t="n">
        <x:f>IF(OR(R878="No",S878-T878*Assumptions!$B$9&lt;=0),"",AA878/(Assumptions!$B$8*(S878-T878*Assumptions!$B$9)))</x:f>
        <x:v>49.96911326869923</x:v>
      </x:c>
      <x:c r="AD878" s="52" t="n">
        <x:f>IF(OR(R878="No",U878*S878=0),"",AA878/(U878*S878))</x:f>
        <x:v>0.07668619184470069</x:v>
      </x:c>
      <x:c r="AE878" s="50" t="str">
        <x:f>IF(R878="No","No finance data",IF(AB878&gt;=10%,"Severe",IF(AB878&gt;=5%,"High",IF(AB878&gt;=2%,"Moderate","Low"))))</x:f>
        <x:v>High</x:v>
      </x:c>
      <x:c r="AF878" s="60" t="n">
        <x:v>34.67209</x:v>
      </x:c>
      <x:c r="AG878" s="60" t="n">
        <x:v>-89.02924</x:v>
      </x:c>
      <x:c r="AH878" s="44" t="str">
        <x:v>Undergraduate tuition-contribution proxy only; not an audited total institutional budget.</x:v>
      </x:c>
    </x:row>
    <x:row r="879">
      <x:c r="A879" s="16" t="n">
        <x:v>175616</x:v>
      </x:c>
      <x:c r="B879" s="16" t="str">
        <x:v>Delta State University</x:v>
      </x:c>
      <x:c r="C879" s="16" t="str">
        <x:v>MS</x:v>
      </x:c>
      <x:c r="D879" s="16" t="str">
        <x:v>Public</x:v>
      </x:c>
      <x:c r="E879" s="34" t="n">
        <x:v>2440</x:v>
      </x:c>
      <x:c r="F879" s="21" t="n">
        <x:v>0.9978</x:v>
      </x:c>
      <x:c r="G879" s="16" t="str">
        <x:v>Regional</x:v>
      </x:c>
      <x:c r="H879" s="36" t="n">
        <x:f>IF(G879="National",Assumptions!$B$11,IF(G879="Statewide",Assumptions!$B$12,Assumptions!$B$13))</x:f>
        <x:v>0.85</x:v>
      </x:c>
      <x:c r="I879" s="21" t="n">
        <x:v>-0.120564851073929</x:v>
      </x:c>
      <x:c r="J879" s="21" t="n">
        <x:v>-0.12646849412602346</x:v>
      </x:c>
      <x:c r="K879" s="21" t="n">
        <x:v>-0.19891420434318263</x:v>
      </x:c>
      <x:c r="L879" s="36" t="n">
        <x:f>IF(Assumptions!$B$4=2030,I879,IF(Assumptions!$B$4=2035,J879,K879))</x:f>
        <x:v>-0.12646849412602346</x:v>
      </x:c>
      <x:c r="M879" s="36" t="n">
        <x:f>Assumptions!$B$19</x:f>
        <x:v>-0.04739891965741583</x:v>
      </x:c>
      <x:c r="N879" s="52" t="n">
        <x:f>H879*L879+(1-H879)*M879+O879</x:f>
        <x:v>-0.11460805795573231</x:v>
      </x:c>
      <x:c r="O879" s="36" t="n">
        <x:f>Assumptions!$B$10</x:f>
        <x:v>0</x:v>
      </x:c>
      <x:c r="P879" s="54" t="n">
        <x:f>E879*(1+N879)</x:f>
        <x:v>2160.3563385880134</x:v>
      </x:c>
      <x:c r="Q879" s="54" t="n">
        <x:f>P879-E879</x:f>
        <x:v>-279.6436614119866</x:v>
      </x:c>
      <x:c r="R879" s="16" t="str">
        <x:v>Yes</x:v>
      </x:c>
      <x:c r="S879" s="56" t="n">
        <x:v>7296</x:v>
      </x:c>
      <x:c r="T879" s="56" t="n">
        <x:v>8509</x:v>
      </x:c>
      <x:c r="U879" s="40" t="n">
        <x:f>E879*Assumptions!$B$8</x:f>
        <x:v>2074</x:v>
      </x:c>
      <x:c r="V879" s="40" t="n">
        <x:f>P879*Assumptions!$B$8</x:f>
        <x:v>1836.3028877998113</x:v>
      </x:c>
      <x:c r="W879" s="54" t="n">
        <x:f>V879-U879</x:f>
        <x:v>-237.6971122001887</x:v>
      </x:c>
      <x:c r="X879" s="58" t="n">
        <x:f>IF(R879="No","",W879*S879)</x:f>
        <x:v>-1734238.1306125768</x:v>
      </x:c>
      <x:c r="Y879" s="58" t="n">
        <x:f>IF(R879="No","",W879*T879*Assumptions!$B$9)</x:f>
        <x:v>-606769.4183134218</x:v>
      </x:c>
      <x:c r="Z879" s="58" t="n">
        <x:f>IF(R879="No","",X879-Y879)</x:f>
        <x:v>-1127468.712299155</x:v>
      </x:c>
      <x:c r="AA879" s="58" t="n">
        <x:f>IF(R879="No","",MAX(0,-Z879))</x:f>
        <x:v>1127468.712299155</x:v>
      </x:c>
      <x:c r="AB879" s="52" t="n">
        <x:f>IF(OR(R879="No",U879*S879=0),"",AA879/(U879*S879))</x:f>
        <x:v>0.07450937517837511</x:v>
      </x:c>
      <x:c r="AC879" s="54" t="n">
        <x:f>IF(OR(R879="No",S879-T879*Assumptions!$B$9&lt;=0),"",AA879/(Assumptions!$B$8*(S879-T879*Assumptions!$B$9)))</x:f>
        <x:v>279.6436614119867</x:v>
      </x:c>
      <x:c r="AD879" s="52" t="n">
        <x:f>IF(OR(R879="No",U879*S879=0),"",AA879/(U879*S879))</x:f>
        <x:v>0.07450937517837511</x:v>
      </x:c>
      <x:c r="AE879" s="50" t="str">
        <x:f>IF(R879="No","No finance data",IF(AB879&gt;=10%,"Severe",IF(AB879&gt;=5%,"High",IF(AB879&gt;=2%,"Moderate","Low"))))</x:f>
        <x:v>High</x:v>
      </x:c>
      <x:c r="AF879" s="60" t="n">
        <x:v>33.744745</x:v>
      </x:c>
      <x:c r="AG879" s="60" t="n">
        <x:v>-90.735365</x:v>
      </x:c>
      <x:c r="AH879" s="44" t="str">
        <x:v>Undergraduate tuition-contribution proxy only; not an audited total institutional budget.</x:v>
      </x:c>
    </x:row>
    <x:row r="880">
      <x:c r="A880" s="16" t="n">
        <x:v>175856</x:v>
      </x:c>
      <x:c r="B880" s="16" t="str">
        <x:v>Jackson State University</x:v>
      </x:c>
      <x:c r="C880" s="16" t="str">
        <x:v>MS</x:v>
      </x:c>
      <x:c r="D880" s="16" t="str">
        <x:v>Public</x:v>
      </x:c>
      <x:c r="E880" s="34" t="n">
        <x:v>7436</x:v>
      </x:c>
      <x:c r="F880" s="21" t="n">
        <x:v>0.6211</x:v>
      </x:c>
      <x:c r="G880" s="16" t="str">
        <x:v>Statewide</x:v>
      </x:c>
      <x:c r="H880" s="36" t="n">
        <x:f>IF(G880="National",Assumptions!$B$11,IF(G880="Statewide",Assumptions!$B$12,Assumptions!$B$13))</x:f>
        <x:v>0.6</x:v>
      </x:c>
      <x:c r="I880" s="21" t="n">
        <x:v>-0.120564851073929</x:v>
      </x:c>
      <x:c r="J880" s="21" t="n">
        <x:v>-0.12646849412602346</x:v>
      </x:c>
      <x:c r="K880" s="21" t="n">
        <x:v>-0.19891420434318263</x:v>
      </x:c>
      <x:c r="L880" s="36" t="n">
        <x:f>IF(Assumptions!$B$4=2030,I880,IF(Assumptions!$B$4=2035,J880,K880))</x:f>
        <x:v>-0.12646849412602346</x:v>
      </x:c>
      <x:c r="M880" s="36" t="n">
        <x:f>Assumptions!$B$19</x:f>
        <x:v>-0.04739891965741583</x:v>
      </x:c>
      <x:c r="N880" s="52" t="n">
        <x:f>H880*L880+(1-H880)*M880+O880</x:f>
        <x:v>-0.0948406643385804</x:v>
      </x:c>
      <x:c r="O880" s="36" t="n">
        <x:f>Assumptions!$B$10</x:f>
        <x:v>0</x:v>
      </x:c>
      <x:c r="P880" s="54" t="n">
        <x:f>E880*(1+N880)</x:f>
        <x:v>6730.764819978316</x:v>
      </x:c>
      <x:c r="Q880" s="54" t="n">
        <x:f>P880-E880</x:f>
        <x:v>-705.2351800216838</x:v>
      </x:c>
      <x:c r="R880" s="16" t="str">
        <x:v>Yes</x:v>
      </x:c>
      <x:c r="S880" s="56" t="n">
        <x:v>6585</x:v>
      </x:c>
      <x:c r="T880" s="56" t="n">
        <x:v>7716</x:v>
      </x:c>
      <x:c r="U880" s="40" t="n">
        <x:f>E880*Assumptions!$B$8</x:f>
        <x:v>6320.599999999999</x:v>
      </x:c>
      <x:c r="V880" s="40" t="n">
        <x:f>P880*Assumptions!$B$8</x:f>
        <x:v>5721.150096981569</x:v>
      </x:c>
      <x:c r="W880" s="54" t="n">
        <x:f>V880-U880</x:f>
        <x:v>-599.4499030184306</x:v>
      </x:c>
      <x:c r="X880" s="58" t="n">
        <x:f>IF(R880="No","",W880*S880)</x:f>
        <x:v>-3947377.6113763656</x:v>
      </x:c>
      <x:c r="Y880" s="58" t="n">
        <x:f>IF(R880="No","",W880*T880*Assumptions!$B$9)</x:f>
        <x:v>-1387606.6355070632</x:v>
      </x:c>
      <x:c r="Z880" s="58" t="n">
        <x:f>IF(R880="No","",X880-Y880)</x:f>
        <x:v>-2559770.9758693026</x:v>
      </x:c>
      <x:c r="AA880" s="58" t="n">
        <x:f>IF(R880="No","",MAX(0,-Z880))</x:f>
        <x:v>2559770.9758693026</x:v>
      </x:c>
      <x:c r="AB880" s="52" t="n">
        <x:f>IF(OR(R880="No",U880*S880=0),"",AA880/(U880*S880))</x:f>
        <x:v>0.06150168638703198</x:v>
      </x:c>
      <x:c r="AC880" s="54" t="n">
        <x:f>IF(OR(R880="No",S880-T880*Assumptions!$B$9&lt;=0),"",AA880/(Assumptions!$B$8*(S880-T880*Assumptions!$B$9)))</x:f>
        <x:v>705.235180021683</x:v>
      </x:c>
      <x:c r="AD880" s="52" t="n">
        <x:f>IF(OR(R880="No",U880*S880=0),"",AA880/(U880*S880))</x:f>
        <x:v>0.06150168638703198</x:v>
      </x:c>
      <x:c r="AE880" s="50" t="str">
        <x:f>IF(R880="No","No finance data",IF(AB880&gt;=10%,"Severe",IF(AB880&gt;=5%,"High",IF(AB880&gt;=2%,"Moderate","Low"))))</x:f>
        <x:v>High</x:v>
      </x:c>
      <x:c r="AF880" s="60" t="n">
        <x:v>32.296105</x:v>
      </x:c>
      <x:c r="AG880" s="60" t="n">
        <x:v>-90.207405</x:v>
      </x:c>
      <x:c r="AH880" s="44" t="str">
        <x:v>Undergraduate tuition-contribution proxy only; not an audited total institutional budget.</x:v>
      </x:c>
    </x:row>
    <x:row r="881">
      <x:c r="A881" s="16" t="n">
        <x:v>175980</x:v>
      </x:c>
      <x:c r="B881" s="16" t="str">
        <x:v>Millsaps College</x:v>
      </x:c>
      <x:c r="C881" s="16" t="str">
        <x:v>MS</x:v>
      </x:c>
      <x:c r="D881" s="16" t="str">
        <x:v>Private nonprofit</x:v>
      </x:c>
      <x:c r="E881" s="34" t="n">
        <x:v>757</x:v>
      </x:c>
      <x:c r="F881" s="21" t="n">
        <x:v>0.6806</x:v>
      </x:c>
      <x:c r="G881" s="16" t="str">
        <x:v>Regional</x:v>
      </x:c>
      <x:c r="H881" s="36" t="n">
        <x:f>IF(G881="National",Assumptions!$B$11,IF(G881="Statewide",Assumptions!$B$12,Assumptions!$B$13))</x:f>
        <x:v>0.85</x:v>
      </x:c>
      <x:c r="I881" s="21" t="n">
        <x:v>-0.120564851073929</x:v>
      </x:c>
      <x:c r="J881" s="21" t="n">
        <x:v>-0.12646849412602346</x:v>
      </x:c>
      <x:c r="K881" s="21" t="n">
        <x:v>-0.19891420434318263</x:v>
      </x:c>
      <x:c r="L881" s="36" t="n">
        <x:f>IF(Assumptions!$B$4=2030,I881,IF(Assumptions!$B$4=2035,J881,K881))</x:f>
        <x:v>-0.12646849412602346</x:v>
      </x:c>
      <x:c r="M881" s="36" t="n">
        <x:f>Assumptions!$B$19</x:f>
        <x:v>-0.04739891965741583</x:v>
      </x:c>
      <x:c r="N881" s="52" t="n">
        <x:f>H881*L881+(1-H881)*M881+O881</x:f>
        <x:v>-0.11460805795573231</x:v>
      </x:c>
      <x:c r="O881" s="36" t="n">
        <x:f>Assumptions!$B$10</x:f>
        <x:v>0</x:v>
      </x:c>
      <x:c r="P881" s="54" t="n">
        <x:f>E881*(1+N881)</x:f>
        <x:v>670.2417001275106</x:v>
      </x:c>
      <x:c r="Q881" s="54" t="n">
        <x:f>P881-E881</x:f>
        <x:v>-86.75829987248937</x:v>
      </x:c>
      <x:c r="R881" s="16" t="str">
        <x:v>Yes</x:v>
      </x:c>
      <x:c r="S881" s="56" t="n">
        <x:v>11760</x:v>
      </x:c>
      <x:c r="T881" s="56" t="n">
        <x:v>13346</x:v>
      </x:c>
      <x:c r="U881" s="40" t="n">
        <x:f>E881*Assumptions!$B$8</x:f>
        <x:v>643.4499999999999</x:v>
      </x:c>
      <x:c r="V881" s="40" t="n">
        <x:f>P881*Assumptions!$B$8</x:f>
        <x:v>569.705445108384</x:v>
      </x:c>
      <x:c r="W881" s="54" t="n">
        <x:f>V881-U881</x:f>
        <x:v>-73.74455489161596</x:v>
      </x:c>
      <x:c r="X881" s="58" t="n">
        <x:f>IF(R881="No","",W881*S881)</x:f>
        <x:v>-867235.9655254037</x:v>
      </x:c>
      <x:c r="Y881" s="58" t="n">
        <x:f>IF(R881="No","",W881*T881*Assumptions!$B$9)</x:f>
        <x:v>-295258.448875052</x:v>
      </x:c>
      <x:c r="Z881" s="58" t="n">
        <x:f>IF(R881="No","",X881-Y881)</x:f>
        <x:v>-571977.5166503517</x:v>
      </x:c>
      <x:c r="AA881" s="58" t="n">
        <x:f>IF(R881="No","",MAX(0,-Z881))</x:f>
        <x:v>571977.5166503517</x:v>
      </x:c>
      <x:c r="AB881" s="52" t="n">
        <x:f>IF(OR(R881="No",U881*S881=0),"",AA881/(U881*S881))</x:f>
        <x:v>0.07558869210172203</x:v>
      </x:c>
      <x:c r="AC881" s="54" t="n">
        <x:f>IF(OR(R881="No",S881-T881*Assumptions!$B$9&lt;=0),"",AA881/(Assumptions!$B$8*(S881-T881*Assumptions!$B$9)))</x:f>
        <x:v>86.75829987248936</x:v>
      </x:c>
      <x:c r="AD881" s="52" t="n">
        <x:f>IF(OR(R881="No",U881*S881=0),"",AA881/(U881*S881))</x:f>
        <x:v>0.07558869210172203</x:v>
      </x:c>
      <x:c r="AE881" s="50" t="str">
        <x:f>IF(R881="No","No finance data",IF(AB881&gt;=10%,"Severe",IF(AB881&gt;=5%,"High",IF(AB881&gt;=2%,"Moderate","Low"))))</x:f>
        <x:v>High</x:v>
      </x:c>
      <x:c r="AF881" s="60" t="n">
        <x:v>32.322746</x:v>
      </x:c>
      <x:c r="AG881" s="60" t="n">
        <x:v>-90.179957</x:v>
      </x:c>
      <x:c r="AH881" s="44" t="str">
        <x:v>Undergraduate tuition-contribution proxy only; not an audited total institutional budget.</x:v>
      </x:c>
    </x:row>
    <x:row r="882">
      <x:c r="A882" s="16" t="n">
        <x:v>176053</x:v>
      </x:c>
      <x:c r="B882" s="16" t="str">
        <x:v>Mississippi College</x:v>
      </x:c>
      <x:c r="C882" s="16" t="str">
        <x:v>MS</x:v>
      </x:c>
      <x:c r="D882" s="16" t="str">
        <x:v>Private nonprofit</x:v>
      </x:c>
      <x:c r="E882" s="34" t="n">
        <x:v>2898</x:v>
      </x:c>
      <x:c r="F882" s="21" t="n">
        <x:v>0.49</x:v>
      </x:c>
      <x:c r="G882" s="16" t="str">
        <x:v>Regional</x:v>
      </x:c>
      <x:c r="H882" s="36" t="n">
        <x:f>IF(G882="National",Assumptions!$B$11,IF(G882="Statewide",Assumptions!$B$12,Assumptions!$B$13))</x:f>
        <x:v>0.85</x:v>
      </x:c>
      <x:c r="I882" s="21" t="n">
        <x:v>-0.120564851073929</x:v>
      </x:c>
      <x:c r="J882" s="21" t="n">
        <x:v>-0.12646849412602346</x:v>
      </x:c>
      <x:c r="K882" s="21" t="n">
        <x:v>-0.19891420434318263</x:v>
      </x:c>
      <x:c r="L882" s="36" t="n">
        <x:f>IF(Assumptions!$B$4=2030,I882,IF(Assumptions!$B$4=2035,J882,K882))</x:f>
        <x:v>-0.12646849412602346</x:v>
      </x:c>
      <x:c r="M882" s="36" t="n">
        <x:f>Assumptions!$B$19</x:f>
        <x:v>-0.04739891965741583</x:v>
      </x:c>
      <x:c r="N882" s="52" t="n">
        <x:f>H882*L882+(1-H882)*M882+O882</x:f>
        <x:v>-0.11460805795573231</x:v>
      </x:c>
      <x:c r="O882" s="36" t="n">
        <x:f>Assumptions!$B$10</x:f>
        <x:v>0</x:v>
      </x:c>
      <x:c r="P882" s="54" t="n">
        <x:f>E882*(1+N882)</x:f>
        <x:v>2565.8658480442878</x:v>
      </x:c>
      <x:c r="Q882" s="54" t="n">
        <x:f>P882-E882</x:f>
        <x:v>-332.13415195571224</x:v>
      </x:c>
      <x:c r="R882" s="16" t="str">
        <x:v>Yes</x:v>
      </x:c>
      <x:c r="S882" s="56" t="n">
        <x:v>10828</x:v>
      </x:c>
      <x:c r="T882" s="56" t="n">
        <x:v>8165</x:v>
      </x:c>
      <x:c r="U882" s="40" t="n">
        <x:f>E882*Assumptions!$B$8</x:f>
        <x:v>2463.2999999999997</x:v>
      </x:c>
      <x:c r="V882" s="40" t="n">
        <x:f>P882*Assumptions!$B$8</x:f>
        <x:v>2180.9859708376443</x:v>
      </x:c>
      <x:c r="W882" s="54" t="n">
        <x:f>V882-U882</x:f>
        <x:v>-282.3140291623554</x:v>
      </x:c>
      <x:c r="X882" s="58" t="n">
        <x:f>IF(R882="No","",W882*S882)</x:f>
        <x:v>-3056896.307769984</x:v>
      </x:c>
      <x:c r="Y882" s="58" t="n">
        <x:f>IF(R882="No","",W882*T882*Assumptions!$B$9)</x:f>
        <x:v>-691528.2144331895</x:v>
      </x:c>
      <x:c r="Z882" s="58" t="n">
        <x:f>IF(R882="No","",X882-Y882)</x:f>
        <x:v>-2365368.0933367945</x:v>
      </x:c>
      <x:c r="AA882" s="58" t="n">
        <x:f>IF(R882="No","",MAX(0,-Z882))</x:f>
        <x:v>2365368.0933367945</x:v>
      </x:c>
      <x:c r="AB882" s="52" t="n">
        <x:f>IF(OR(R882="No",U882*S882=0),"",AA882/(U882*S882))</x:f>
        <x:v>0.08868153062265452</x:v>
      </x:c>
      <x:c r="AC882" s="54" t="n">
        <x:f>IF(OR(R882="No",S882-T882*Assumptions!$B$9&lt;=0),"",AA882/(Assumptions!$B$8*(S882-T882*Assumptions!$B$9)))</x:f>
        <x:v>332.13415195571224</x:v>
      </x:c>
      <x:c r="AD882" s="52" t="n">
        <x:f>IF(OR(R882="No",U882*S882=0),"",AA882/(U882*S882))</x:f>
        <x:v>0.08868153062265452</x:v>
      </x:c>
      <x:c r="AE882" s="50" t="str">
        <x:f>IF(R882="No","No finance data",IF(AB882&gt;=10%,"Severe",IF(AB882&gt;=5%,"High",IF(AB882&gt;=2%,"Moderate","Low"))))</x:f>
        <x:v>High</x:v>
      </x:c>
      <x:c r="AF882" s="60" t="n">
        <x:v>32.335515</x:v>
      </x:c>
      <x:c r="AG882" s="60" t="n">
        <x:v>-90.329821</x:v>
      </x:c>
      <x:c r="AH882" s="44" t="str">
        <x:v>Undergraduate tuition-contribution proxy only; not an audited total institutional budget.</x:v>
      </x:c>
    </x:row>
    <x:row r="883">
      <x:c r="A883" s="16" t="n">
        <x:v>176080</x:v>
      </x:c>
      <x:c r="B883" s="16" t="str">
        <x:v>Mississippi State University</x:v>
      </x:c>
      <x:c r="C883" s="16" t="str">
        <x:v>MS</x:v>
      </x:c>
      <x:c r="D883" s="16" t="str">
        <x:v>Public</x:v>
      </x:c>
      <x:c r="E883" s="34" t="n">
        <x:v>16712</x:v>
      </x:c>
      <x:c r="F883" s="21" t="n">
        <x:v>0.7612</x:v>
      </x:c>
      <x:c r="G883" s="16" t="str">
        <x:v>Statewide</x:v>
      </x:c>
      <x:c r="H883" s="36" t="n">
        <x:f>IF(G883="National",Assumptions!$B$11,IF(G883="Statewide",Assumptions!$B$12,Assumptions!$B$13))</x:f>
        <x:v>0.6</x:v>
      </x:c>
      <x:c r="I883" s="21" t="n">
        <x:v>-0.120564851073929</x:v>
      </x:c>
      <x:c r="J883" s="21" t="n">
        <x:v>-0.12646849412602346</x:v>
      </x:c>
      <x:c r="K883" s="21" t="n">
        <x:v>-0.19891420434318263</x:v>
      </x:c>
      <x:c r="L883" s="36" t="n">
        <x:f>IF(Assumptions!$B$4=2030,I883,IF(Assumptions!$B$4=2035,J883,K883))</x:f>
        <x:v>-0.12646849412602346</x:v>
      </x:c>
      <x:c r="M883" s="36" t="n">
        <x:f>Assumptions!$B$19</x:f>
        <x:v>-0.04739891965741583</x:v>
      </x:c>
      <x:c r="N883" s="52" t="n">
        <x:f>H883*L883+(1-H883)*M883+O883</x:f>
        <x:v>-0.0948406643385804</x:v>
      </x:c>
      <x:c r="O883" s="36" t="n">
        <x:f>Assumptions!$B$10</x:f>
        <x:v>0</x:v>
      </x:c>
      <x:c r="P883" s="54" t="n">
        <x:f>E883*(1+N883)</x:f>
        <x:v>15127.022817573645</x:v>
      </x:c>
      <x:c r="Q883" s="54" t="n">
        <x:f>P883-E883</x:f>
        <x:v>-1584.9771824263553</x:v>
      </x:c>
      <x:c r="R883" s="16" t="str">
        <x:v>Yes</x:v>
      </x:c>
      <x:c r="S883" s="56" t="n">
        <x:v>9329</x:v>
      </x:c>
      <x:c r="T883" s="56" t="n">
        <x:v>7200</x:v>
      </x:c>
      <x:c r="U883" s="40" t="n">
        <x:f>E883*Assumptions!$B$8</x:f>
        <x:v>14205.199999999999</x:v>
      </x:c>
      <x:c r="V883" s="40" t="n">
        <x:f>P883*Assumptions!$B$8</x:f>
        <x:v>12857.969394937598</x:v>
      </x:c>
      <x:c r="W883" s="54" t="n">
        <x:f>V883-U883</x:f>
        <x:v>-1347.230605062401</x:v>
      </x:c>
      <x:c r="X883" s="58" t="n">
        <x:f>IF(R883="No","",W883*S883)</x:f>
        <x:v>-12568314.314627139</x:v>
      </x:c>
      <x:c r="Y883" s="58" t="n">
        <x:f>IF(R883="No","",W883*T883*Assumptions!$B$9)</x:f>
        <x:v>-2910018.1069347863</x:v>
      </x:c>
      <x:c r="Z883" s="58" t="n">
        <x:f>IF(R883="No","",X883-Y883)</x:f>
        <x:v>-9658296.207692353</x:v>
      </x:c>
      <x:c r="AA883" s="58" t="n">
        <x:f>IF(R883="No","",MAX(0,-Z883))</x:f>
        <x:v>9658296.207692353</x:v>
      </x:c>
      <x:c r="AB883" s="52" t="n">
        <x:f>IF(OR(R883="No",U883*S883=0),"",AA883/(U883*S883))</x:f>
        <x:v>0.0728816296112426</x:v>
      </x:c>
      <x:c r="AC883" s="54" t="n">
        <x:f>IF(OR(R883="No",S883-T883*Assumptions!$B$9&lt;=0),"",AA883/(Assumptions!$B$8*(S883-T883*Assumptions!$B$9)))</x:f>
        <x:v>1584.9771824263541</x:v>
      </x:c>
      <x:c r="AD883" s="52" t="n">
        <x:f>IF(OR(R883="No",U883*S883=0),"",AA883/(U883*S883))</x:f>
        <x:v>0.0728816296112426</x:v>
      </x:c>
      <x:c r="AE883" s="50" t="str">
        <x:f>IF(R883="No","No finance data",IF(AB883&gt;=10%,"Severe",IF(AB883&gt;=5%,"High",IF(AB883&gt;=2%,"Moderate","Low"))))</x:f>
        <x:v>High</x:v>
      </x:c>
      <x:c r="AF883" s="60" t="n">
        <x:v>33.454852</x:v>
      </x:c>
      <x:c r="AG883" s="60" t="n">
        <x:v>-88.790139</x:v>
      </x:c>
      <x:c r="AH883" s="44" t="str">
        <x:v>Undergraduate tuition-contribution proxy only; not an audited total institutional budget.</x:v>
      </x:c>
    </x:row>
    <x:row r="884">
      <x:c r="A884" s="16" t="n">
        <x:v>176035</x:v>
      </x:c>
      <x:c r="B884" s="16" t="str">
        <x:v>Mississippi University for Women</x:v>
      </x:c>
      <x:c r="C884" s="16" t="str">
        <x:v>MS</x:v>
      </x:c>
      <x:c r="D884" s="16" t="str">
        <x:v>Public</x:v>
      </x:c>
      <x:c r="E884" s="34" t="n">
        <x:v>2192</x:v>
      </x:c>
      <x:c r="F884" s="21" t="n">
        <x:v>0.9929</x:v>
      </x:c>
      <x:c r="G884" s="16" t="str">
        <x:v>Regional</x:v>
      </x:c>
      <x:c r="H884" s="36" t="n">
        <x:f>IF(G884="National",Assumptions!$B$11,IF(G884="Statewide",Assumptions!$B$12,Assumptions!$B$13))</x:f>
        <x:v>0.85</x:v>
      </x:c>
      <x:c r="I884" s="21" t="n">
        <x:v>-0.120564851073929</x:v>
      </x:c>
      <x:c r="J884" s="21" t="n">
        <x:v>-0.12646849412602346</x:v>
      </x:c>
      <x:c r="K884" s="21" t="n">
        <x:v>-0.19891420434318263</x:v>
      </x:c>
      <x:c r="L884" s="36" t="n">
        <x:f>IF(Assumptions!$B$4=2030,I884,IF(Assumptions!$B$4=2035,J884,K884))</x:f>
        <x:v>-0.12646849412602346</x:v>
      </x:c>
      <x:c r="M884" s="36" t="n">
        <x:f>Assumptions!$B$19</x:f>
        <x:v>-0.04739891965741583</x:v>
      </x:c>
      <x:c r="N884" s="52" t="n">
        <x:f>H884*L884+(1-H884)*M884+O884</x:f>
        <x:v>-0.11460805795573231</x:v>
      </x:c>
      <x:c r="O884" s="36" t="n">
        <x:f>Assumptions!$B$10</x:f>
        <x:v>0</x:v>
      </x:c>
      <x:c r="P884" s="54" t="n">
        <x:f>E884*(1+N884)</x:f>
        <x:v>1940.779136961035</x:v>
      </x:c>
      <x:c r="Q884" s="54" t="n">
        <x:f>P884-E884</x:f>
        <x:v>-251.22086303896504</x:v>
      </x:c>
      <x:c r="R884" s="16" t="str">
        <x:v>Yes</x:v>
      </x:c>
      <x:c r="S884" s="56" t="n">
        <x:v>5313</x:v>
      </x:c>
      <x:c r="T884" s="56" t="n">
        <x:v>6414</x:v>
      </x:c>
      <x:c r="U884" s="40" t="n">
        <x:f>E884*Assumptions!$B$8</x:f>
        <x:v>1863.2</x:v>
      </x:c>
      <x:c r="V884" s="40" t="n">
        <x:f>P884*Assumptions!$B$8</x:f>
        <x:v>1649.6622664168797</x:v>
      </x:c>
      <x:c r="W884" s="54" t="n">
        <x:f>V884-U884</x:f>
        <x:v>-213.53773358312037</x:v>
      </x:c>
      <x:c r="X884" s="58" t="n">
        <x:f>IF(R884="No","",W884*S884)</x:f>
        <x:v>-1134525.9785271185</x:v>
      </x:c>
      <x:c r="Y884" s="58" t="n">
        <x:f>IF(R884="No","",W884*T884*Assumptions!$B$9)</x:f>
        <x:v>-410889.3069606402</x:v>
      </x:c>
      <x:c r="Z884" s="58" t="n">
        <x:f>IF(R884="No","",X884-Y884)</x:f>
        <x:v>-723636.6715664782</x:v>
      </x:c>
      <x:c r="AA884" s="58" t="n">
        <x:f>IF(R884="No","",MAX(0,-Z884))</x:f>
        <x:v>723636.6715664782</x:v>
      </x:c>
      <x:c r="AB884" s="52" t="n">
        <x:f>IF(OR(R884="No",U884*S884=0),"",AA884/(U884*S884))</x:f>
        <x:v>0.07310065627712883</x:v>
      </x:c>
      <x:c r="AC884" s="54" t="n">
        <x:f>IF(OR(R884="No",S884-T884*Assumptions!$B$9&lt;=0),"",AA884/(Assumptions!$B$8*(S884-T884*Assumptions!$B$9)))</x:f>
        <x:v>251.2208630389651</x:v>
      </x:c>
      <x:c r="AD884" s="52" t="n">
        <x:f>IF(OR(R884="No",U884*S884=0),"",AA884/(U884*S884))</x:f>
        <x:v>0.07310065627712883</x:v>
      </x:c>
      <x:c r="AE884" s="50" t="str">
        <x:f>IF(R884="No","No finance data",IF(AB884&gt;=10%,"Severe",IF(AB884&gt;=5%,"High",IF(AB884&gt;=2%,"Moderate","Low"))))</x:f>
        <x:v>High</x:v>
      </x:c>
      <x:c r="AF884" s="60" t="n">
        <x:v>33.493305</x:v>
      </x:c>
      <x:c r="AG884" s="60" t="n">
        <x:v>-88.418601</x:v>
      </x:c>
      <x:c r="AH884" s="44" t="str">
        <x:v>Undergraduate tuition-contribution proxy only; not an audited total institutional budget.</x:v>
      </x:c>
    </x:row>
    <x:row r="885">
      <x:c r="A885" s="16" t="n">
        <x:v>176044</x:v>
      </x:c>
      <x:c r="B885" s="16" t="str">
        <x:v>Mississippi Valley State University</x:v>
      </x:c>
      <x:c r="C885" s="16" t="str">
        <x:v>MS</x:v>
      </x:c>
      <x:c r="D885" s="16" t="str">
        <x:v>Public</x:v>
      </x:c>
      <x:c r="E885" s="34" t="n">
        <x:v>1767</x:v>
      </x:c>
      <x:c r="F885" s="21" t="n">
        <x:v>0.7861</x:v>
      </x:c>
      <x:c r="G885" s="16" t="str">
        <x:v>Regional</x:v>
      </x:c>
      <x:c r="H885" s="36" t="n">
        <x:f>IF(G885="National",Assumptions!$B$11,IF(G885="Statewide",Assumptions!$B$12,Assumptions!$B$13))</x:f>
        <x:v>0.85</x:v>
      </x:c>
      <x:c r="I885" s="21" t="n">
        <x:v>-0.120564851073929</x:v>
      </x:c>
      <x:c r="J885" s="21" t="n">
        <x:v>-0.12646849412602346</x:v>
      </x:c>
      <x:c r="K885" s="21" t="n">
        <x:v>-0.19891420434318263</x:v>
      </x:c>
      <x:c r="L885" s="36" t="n">
        <x:f>IF(Assumptions!$B$4=2030,I885,IF(Assumptions!$B$4=2035,J885,K885))</x:f>
        <x:v>-0.12646849412602346</x:v>
      </x:c>
      <x:c r="M885" s="36" t="n">
        <x:f>Assumptions!$B$19</x:f>
        <x:v>-0.04739891965741583</x:v>
      </x:c>
      <x:c r="N885" s="52" t="n">
        <x:f>H885*L885+(1-H885)*M885+O885</x:f>
        <x:v>-0.11460805795573231</x:v>
      </x:c>
      <x:c r="O885" s="36" t="n">
        <x:f>Assumptions!$B$10</x:f>
        <x:v>0</x:v>
      </x:c>
      <x:c r="P885" s="54" t="n">
        <x:f>E885*(1+N885)</x:f>
        <x:v>1564.487561592221</x:v>
      </x:c>
      <x:c r="Q885" s="54" t="n">
        <x:f>P885-E885</x:f>
        <x:v>-202.51243840777897</x:v>
      </x:c>
      <x:c r="R885" s="16" t="str">
        <x:v>Yes</x:v>
      </x:c>
      <x:c r="S885" s="56" t="n">
        <x:v>2424</x:v>
      </x:c>
      <x:c r="T885" s="56" t="n">
        <x:v>8821</x:v>
      </x:c>
      <x:c r="U885" s="40" t="n">
        <x:f>E885*Assumptions!$B$8</x:f>
        <x:v>1501.95</x:v>
      </x:c>
      <x:c r="V885" s="40" t="n">
        <x:f>P885*Assumptions!$B$8</x:f>
        <x:v>1329.8144273533878</x:v>
      </x:c>
      <x:c r="W885" s="54" t="n">
        <x:f>V885-U885</x:f>
        <x:v>-172.13557264661222</x:v>
      </x:c>
      <x:c r="X885" s="58" t="n">
        <x:f>IF(R885="No","",W885*S885)</x:f>
        <x:v>-417256.628095388</x:v>
      </x:c>
      <x:c r="Y885" s="58" t="n">
        <x:f>IF(R885="No","",W885*T885*Assumptions!$B$9)</x:f>
        <x:v>-455522.3658947299</x:v>
      </x:c>
      <x:c r="Z885" s="58" t="n">
        <x:f>IF(R885="No","",X885-Y885)</x:f>
        <x:v>38265.73779934191</x:v>
      </x:c>
      <x:c r="AA885" s="58" t="n">
        <x:f>IF(R885="No","",MAX(0,-Z885))</x:f>
        <x:v>0</x:v>
      </x:c>
      <x:c r="AB885" s="52" t="n">
        <x:f>IF(OR(R885="No",U885*S885=0),"",AA885/(U885*S885))</x:f>
        <x:v>0</x:v>
      </x:c>
      <x:c r="AC885" s="54" t="str">
        <x:f>IF(OR(R885="No",S885-T885*Assumptions!$B$9&lt;=0),"",AA885/(Assumptions!$B$8*(S885-T885*Assumptions!$B$9)))</x:f>
      </x:c>
      <x:c r="AD885" s="52" t="n">
        <x:f>IF(OR(R885="No",U885*S885=0),"",AA885/(U885*S885))</x:f>
        <x:v>0</x:v>
      </x:c>
      <x:c r="AE885" s="50" t="str">
        <x:f>IF(R885="No","No finance data",IF(AB885&gt;=10%,"Severe",IF(AB885&gt;=5%,"High",IF(AB885&gt;=2%,"Moderate","Low"))))</x:f>
        <x:v>Low</x:v>
      </x:c>
      <x:c r="AF885" s="60" t="n">
        <x:v>33.514142</x:v>
      </x:c>
      <x:c r="AG885" s="60" t="n">
        <x:v>-90.341274</x:v>
      </x:c>
      <x:c r="AH885" s="44" t="str">
        <x:v>Undergraduate tuition-contribution proxy only; not an audited total institutional budget.</x:v>
      </x:c>
    </x:row>
    <x:row r="886">
      <x:c r="A886" s="16" t="n">
        <x:v>176318</x:v>
      </x:c>
      <x:c r="B886" s="16" t="str">
        <x:v>Rust College</x:v>
      </x:c>
      <x:c r="C886" s="16" t="str">
        <x:v>MS</x:v>
      </x:c>
      <x:c r="D886" s="16" t="str">
        <x:v>Private nonprofit</x:v>
      </x:c>
      <x:c r="E886" s="34" t="n">
        <x:v>856</x:v>
      </x:c>
      <x:c r="F886" s="21" t="n">
        <x:v>0.376</x:v>
      </x:c>
      <x:c r="G886" s="16" t="str">
        <x:v>Regional</x:v>
      </x:c>
      <x:c r="H886" s="36" t="n">
        <x:f>IF(G886="National",Assumptions!$B$11,IF(G886="Statewide",Assumptions!$B$12,Assumptions!$B$13))</x:f>
        <x:v>0.85</x:v>
      </x:c>
      <x:c r="I886" s="21" t="n">
        <x:v>-0.120564851073929</x:v>
      </x:c>
      <x:c r="J886" s="21" t="n">
        <x:v>-0.12646849412602346</x:v>
      </x:c>
      <x:c r="K886" s="21" t="n">
        <x:v>-0.19891420434318263</x:v>
      </x:c>
      <x:c r="L886" s="36" t="n">
        <x:f>IF(Assumptions!$B$4=2030,I886,IF(Assumptions!$B$4=2035,J886,K886))</x:f>
        <x:v>-0.12646849412602346</x:v>
      </x:c>
      <x:c r="M886" s="36" t="n">
        <x:f>Assumptions!$B$19</x:f>
        <x:v>-0.04739891965741583</x:v>
      </x:c>
      <x:c r="N886" s="52" t="n">
        <x:f>H886*L886+(1-H886)*M886+O886</x:f>
        <x:v>-0.11460805795573231</x:v>
      </x:c>
      <x:c r="O886" s="36" t="n">
        <x:f>Assumptions!$B$10</x:f>
        <x:v>0</x:v>
      </x:c>
      <x:c r="P886" s="54" t="n">
        <x:f>E886*(1+N886)</x:f>
        <x:v>757.8955023898932</x:v>
      </x:c>
      <x:c r="Q886" s="54" t="n">
        <x:f>P886-E886</x:f>
        <x:v>-98.10449761010682</x:v>
      </x:c>
      <x:c r="R886" s="16" t="str">
        <x:v>Yes</x:v>
      </x:c>
      <x:c r="S886" s="56" t="n">
        <x:v>8739</x:v>
      </x:c>
      <x:c r="T886" s="56" t="n">
        <x:v>5476</x:v>
      </x:c>
      <x:c r="U886" s="40" t="n">
        <x:f>E886*Assumptions!$B$8</x:f>
        <x:v>727.6</x:v>
      </x:c>
      <x:c r="V886" s="40" t="n">
        <x:f>P886*Assumptions!$B$8</x:f>
        <x:v>644.2111770314092</x:v>
      </x:c>
      <x:c r="W886" s="54" t="n">
        <x:f>V886-U886</x:f>
        <x:v>-83.38882296859083</x:v>
      </x:c>
      <x:c r="X886" s="58" t="n">
        <x:f>IF(R886="No","",W886*S886)</x:f>
        <x:v>-728734.9239225152</x:v>
      </x:c>
      <x:c r="Y886" s="58" t="n">
        <x:f>IF(R886="No","",W886*T886*Assumptions!$B$9)</x:f>
        <x:v>-136991.158372801</x:v>
      </x:c>
      <x:c r="Z886" s="58" t="n">
        <x:f>IF(R886="No","",X886-Y886)</x:f>
        <x:v>-591743.7655497142</x:v>
      </x:c>
      <x:c r="AA886" s="58" t="n">
        <x:f>IF(R886="No","",MAX(0,-Z886))</x:f>
        <x:v>591743.7655497142</x:v>
      </x:c>
      <x:c r="AB886" s="52" t="n">
        <x:f>IF(OR(R886="No",U886*S886=0),"",AA886/(U886*S886))</x:f>
        <x:v>0.09306347418073779</x:v>
      </x:c>
      <x:c r="AC886" s="54" t="n">
        <x:f>IF(OR(R886="No",S886-T886*Assumptions!$B$9&lt;=0),"",AA886/(Assumptions!$B$8*(S886-T886*Assumptions!$B$9)))</x:f>
        <x:v>98.10449761010686</x:v>
      </x:c>
      <x:c r="AD886" s="52" t="n">
        <x:f>IF(OR(R886="No",U886*S886=0),"",AA886/(U886*S886))</x:f>
        <x:v>0.09306347418073779</x:v>
      </x:c>
      <x:c r="AE886" s="50" t="str">
        <x:f>IF(R886="No","No finance data",IF(AB886&gt;=10%,"Severe",IF(AB886&gt;=5%,"High",IF(AB886&gt;=2%,"Moderate","Low"))))</x:f>
        <x:v>High</x:v>
      </x:c>
      <x:c r="AF886" s="60" t="n">
        <x:v>34.776862</x:v>
      </x:c>
      <x:c r="AG886" s="60" t="n">
        <x:v>-89.446999</x:v>
      </x:c>
      <x:c r="AH886" s="44" t="str">
        <x:v>Undergraduate tuition-contribution proxy only; not an audited total institutional budget.</x:v>
      </x:c>
    </x:row>
    <x:row r="887">
      <x:c r="A887" s="16" t="n">
        <x:v>176406</x:v>
      </x:c>
      <x:c r="B887" s="16" t="str">
        <x:v>Tougaloo College</x:v>
      </x:c>
      <x:c r="C887" s="16" t="str">
        <x:v>MS</x:v>
      </x:c>
      <x:c r="D887" s="16" t="str">
        <x:v>Private nonprofit</x:v>
      </x:c>
      <x:c r="E887" s="34" t="n">
        <x:v>856</x:v>
      </x:c>
      <x:c r="F887" s="21" t="n">
        <x:v>0.5581</x:v>
      </x:c>
      <x:c r="G887" s="16" t="str">
        <x:v>Regional</x:v>
      </x:c>
      <x:c r="H887" s="36" t="n">
        <x:f>IF(G887="National",Assumptions!$B$11,IF(G887="Statewide",Assumptions!$B$12,Assumptions!$B$13))</x:f>
        <x:v>0.85</x:v>
      </x:c>
      <x:c r="I887" s="21" t="n">
        <x:v>-0.120564851073929</x:v>
      </x:c>
      <x:c r="J887" s="21" t="n">
        <x:v>-0.12646849412602346</x:v>
      </x:c>
      <x:c r="K887" s="21" t="n">
        <x:v>-0.19891420434318263</x:v>
      </x:c>
      <x:c r="L887" s="36" t="n">
        <x:f>IF(Assumptions!$B$4=2030,I887,IF(Assumptions!$B$4=2035,J887,K887))</x:f>
        <x:v>-0.12646849412602346</x:v>
      </x:c>
      <x:c r="M887" s="36" t="n">
        <x:f>Assumptions!$B$19</x:f>
        <x:v>-0.04739891965741583</x:v>
      </x:c>
      <x:c r="N887" s="52" t="n">
        <x:f>H887*L887+(1-H887)*M887+O887</x:f>
        <x:v>-0.11460805795573231</x:v>
      </x:c>
      <x:c r="O887" s="36" t="n">
        <x:f>Assumptions!$B$10</x:f>
        <x:v>0</x:v>
      </x:c>
      <x:c r="P887" s="54" t="n">
        <x:f>E887*(1+N887)</x:f>
        <x:v>757.8955023898932</x:v>
      </x:c>
      <x:c r="Q887" s="54" t="n">
        <x:f>P887-E887</x:f>
        <x:v>-98.10449761010682</x:v>
      </x:c>
      <x:c r="R887" s="16" t="str">
        <x:v>Yes</x:v>
      </x:c>
      <x:c r="S887" s="56" t="n">
        <x:v>7270</x:v>
      </x:c>
      <x:c r="T887" s="56" t="n">
        <x:v>4707</x:v>
      </x:c>
      <x:c r="U887" s="40" t="n">
        <x:f>E887*Assumptions!$B$8</x:f>
        <x:v>727.6</x:v>
      </x:c>
      <x:c r="V887" s="40" t="n">
        <x:f>P887*Assumptions!$B$8</x:f>
        <x:v>644.2111770314092</x:v>
      </x:c>
      <x:c r="W887" s="54" t="n">
        <x:f>V887-U887</x:f>
        <x:v>-83.38882296859083</x:v>
      </x:c>
      <x:c r="X887" s="58" t="n">
        <x:f>IF(R887="No","",W887*S887)</x:f>
        <x:v>-606236.7429816553</x:v>
      </x:c>
      <x:c r="Y887" s="58" t="n">
        <x:f>IF(R887="No","",W887*T887*Assumptions!$B$9)</x:f>
        <x:v>-117753.35691394711</x:v>
      </x:c>
      <x:c r="Z887" s="58" t="n">
        <x:f>IF(R887="No","",X887-Y887)</x:f>
        <x:v>-488483.3860677082</x:v>
      </x:c>
      <x:c r="AA887" s="58" t="n">
        <x:f>IF(R887="No","",MAX(0,-Z887))</x:f>
        <x:v>488483.3860677082</x:v>
      </x:c>
      <x:c r="AB887" s="52" t="n">
        <x:f>IF(OR(R887="No",U887*S887=0),"",AA887/(U887*S887))</x:f>
        <x:v>0.09234697973849852</x:v>
      </x:c>
      <x:c r="AC887" s="54" t="n">
        <x:f>IF(OR(R887="No",S887-T887*Assumptions!$B$9&lt;=0),"",AA887/(Assumptions!$B$8*(S887-T887*Assumptions!$B$9)))</x:f>
        <x:v>98.10449761010688</x:v>
      </x:c>
      <x:c r="AD887" s="52" t="n">
        <x:f>IF(OR(R887="No",U887*S887=0),"",AA887/(U887*S887))</x:f>
        <x:v>0.09234697973849852</x:v>
      </x:c>
      <x:c r="AE887" s="50" t="str">
        <x:f>IF(R887="No","No finance data",IF(AB887&gt;=10%,"Severe",IF(AB887&gt;=5%,"High",IF(AB887&gt;=2%,"Moderate","Low"))))</x:f>
        <x:v>High</x:v>
      </x:c>
      <x:c r="AF887" s="60" t="n">
        <x:v>32.403014</x:v>
      </x:c>
      <x:c r="AG887" s="60" t="n">
        <x:v>-90.16076</x:v>
      </x:c>
      <x:c r="AH887" s="44" t="str">
        <x:v>Undergraduate tuition-contribution proxy only; not an audited total institutional budget.</x:v>
      </x:c>
    </x:row>
    <x:row r="888">
      <x:c r="A888" s="16" t="n">
        <x:v>176017</x:v>
      </x:c>
      <x:c r="B888" s="16" t="str">
        <x:v>University of Mississippi</x:v>
      </x:c>
      <x:c r="C888" s="16" t="str">
        <x:v>MS</x:v>
      </x:c>
      <x:c r="D888" s="16" t="str">
        <x:v>Public</x:v>
      </x:c>
      <x:c r="E888" s="34" t="n">
        <x:v>18472</x:v>
      </x:c>
      <x:c r="F888" s="21" t="n">
        <x:v>0.8966</x:v>
      </x:c>
      <x:c r="G888" s="16" t="str">
        <x:v>Statewide</x:v>
      </x:c>
      <x:c r="H888" s="36" t="n">
        <x:f>IF(G888="National",Assumptions!$B$11,IF(G888="Statewide",Assumptions!$B$12,Assumptions!$B$13))</x:f>
        <x:v>0.6</x:v>
      </x:c>
      <x:c r="I888" s="21" t="n">
        <x:v>-0.120564851073929</x:v>
      </x:c>
      <x:c r="J888" s="21" t="n">
        <x:v>-0.12646849412602346</x:v>
      </x:c>
      <x:c r="K888" s="21" t="n">
        <x:v>-0.19891420434318263</x:v>
      </x:c>
      <x:c r="L888" s="36" t="n">
        <x:f>IF(Assumptions!$B$4=2030,I888,IF(Assumptions!$B$4=2035,J888,K888))</x:f>
        <x:v>-0.12646849412602346</x:v>
      </x:c>
      <x:c r="M888" s="36" t="n">
        <x:f>Assumptions!$B$19</x:f>
        <x:v>-0.04739891965741583</x:v>
      </x:c>
      <x:c r="N888" s="52" t="n">
        <x:f>H888*L888+(1-H888)*M888+O888</x:f>
        <x:v>-0.0948406643385804</x:v>
      </x:c>
      <x:c r="O888" s="36" t="n">
        <x:f>Assumptions!$B$10</x:f>
        <x:v>0</x:v>
      </x:c>
      <x:c r="P888" s="54" t="n">
        <x:f>E888*(1+N888)</x:f>
        <x:v>16720.103248337742</x:v>
      </x:c>
      <x:c r="Q888" s="54" t="n">
        <x:f>P888-E888</x:f>
        <x:v>-1751.8967516622579</x:v>
      </x:c>
      <x:c r="R888" s="16" t="str">
        <x:v>Yes</x:v>
      </x:c>
      <x:c r="S888" s="56" t="n">
        <x:v>12399</x:v>
      </x:c>
      <x:c r="T888" s="56" t="n">
        <x:v>16409</x:v>
      </x:c>
      <x:c r="U888" s="40" t="n">
        <x:f>E888*Assumptions!$B$8</x:f>
        <x:v>15701.199999999999</x:v>
      </x:c>
      <x:c r="V888" s="40" t="n">
        <x:f>P888*Assumptions!$B$8</x:f>
        <x:v>14212.087761087081</x:v>
      </x:c>
      <x:c r="W888" s="54" t="n">
        <x:f>V888-U888</x:f>
        <x:v>-1489.1122389129177</x:v>
      </x:c>
      <x:c r="X888" s="58" t="n">
        <x:f>IF(R888="No","",W888*S888)</x:f>
        <x:v>-18463502.650281265</x:v>
      </x:c>
      <x:c r="Y888" s="58" t="n">
        <x:f>IF(R888="No","",W888*T888*Assumptions!$B$9)</x:f>
        <x:v>-7330452.818496619</x:v>
      </x:c>
      <x:c r="Z888" s="58" t="n">
        <x:f>IF(R888="No","",X888-Y888)</x:f>
        <x:v>-11133049.831784647</x:v>
      </x:c>
      <x:c r="AA888" s="58" t="n">
        <x:f>IF(R888="No","",MAX(0,-Z888))</x:f>
        <x:v>11133049.831784647</x:v>
      </x:c>
      <x:c r="AB888" s="52" t="n">
        <x:f>IF(OR(R888="No",U888*S888=0),"",AA888/(U888*S888))</x:f>
        <x:v>0.05718664882607697</x:v>
      </x:c>
      <x:c r="AC888" s="54" t="n">
        <x:f>IF(OR(R888="No",S888-T888*Assumptions!$B$9&lt;=0),"",AA888/(Assumptions!$B$8*(S888-T888*Assumptions!$B$9)))</x:f>
        <x:v>1751.8967516622563</x:v>
      </x:c>
      <x:c r="AD888" s="52" t="n">
        <x:f>IF(OR(R888="No",U888*S888=0),"",AA888/(U888*S888))</x:f>
        <x:v>0.05718664882607697</x:v>
      </x:c>
      <x:c r="AE888" s="50" t="str">
        <x:f>IF(R888="No","No finance data",IF(AB888&gt;=10%,"Severe",IF(AB888&gt;=5%,"High",IF(AB888&gt;=2%,"Moderate","Low"))))</x:f>
        <x:v>High</x:v>
      </x:c>
      <x:c r="AF888" s="60" t="n">
        <x:v>34.365529</x:v>
      </x:c>
      <x:c r="AG888" s="60" t="n">
        <x:v>-89.537434</x:v>
      </x:c>
      <x:c r="AH888" s="44" t="str">
        <x:v>Undergraduate tuition-contribution proxy only; not an audited total institutional budget.</x:v>
      </x:c>
    </x:row>
    <x:row r="889">
      <x:c r="A889" s="16" t="n">
        <x:v>176372</x:v>
      </x:c>
      <x:c r="B889" s="16" t="str">
        <x:v>University of Southern Mississippi</x:v>
      </x:c>
      <x:c r="C889" s="16" t="str">
        <x:v>MS</x:v>
      </x:c>
      <x:c r="D889" s="16" t="str">
        <x:v>Public</x:v>
      </x:c>
      <x:c r="E889" s="34" t="n">
        <x:v>11737</x:v>
      </x:c>
      <x:c r="F889" s="21" t="n">
        <x:v>0.9579</x:v>
      </x:c>
      <x:c r="G889" s="16" t="str">
        <x:v>Statewide</x:v>
      </x:c>
      <x:c r="H889" s="36" t="n">
        <x:f>IF(G889="National",Assumptions!$B$11,IF(G889="Statewide",Assumptions!$B$12,Assumptions!$B$13))</x:f>
        <x:v>0.6</x:v>
      </x:c>
      <x:c r="I889" s="21" t="n">
        <x:v>-0.120564851073929</x:v>
      </x:c>
      <x:c r="J889" s="21" t="n">
        <x:v>-0.12646849412602346</x:v>
      </x:c>
      <x:c r="K889" s="21" t="n">
        <x:v>-0.19891420434318263</x:v>
      </x:c>
      <x:c r="L889" s="36" t="n">
        <x:f>IF(Assumptions!$B$4=2030,I889,IF(Assumptions!$B$4=2035,J889,K889))</x:f>
        <x:v>-0.12646849412602346</x:v>
      </x:c>
      <x:c r="M889" s="36" t="n">
        <x:f>Assumptions!$B$19</x:f>
        <x:v>-0.04739891965741583</x:v>
      </x:c>
      <x:c r="N889" s="52" t="n">
        <x:f>H889*L889+(1-H889)*M889+O889</x:f>
        <x:v>-0.0948406643385804</x:v>
      </x:c>
      <x:c r="O889" s="36" t="n">
        <x:f>Assumptions!$B$10</x:f>
        <x:v>0</x:v>
      </x:c>
      <x:c r="P889" s="54" t="n">
        <x:f>E889*(1+N889)</x:f>
        <x:v>10623.855122658082</x:v>
      </x:c>
      <x:c r="Q889" s="54" t="n">
        <x:f>P889-E889</x:f>
        <x:v>-1113.144877341918</x:v>
      </x:c>
      <x:c r="R889" s="16" t="str">
        <x:v>Yes</x:v>
      </x:c>
      <x:c r="S889" s="56" t="n">
        <x:v>7178</x:v>
      </x:c>
      <x:c r="T889" s="56" t="n">
        <x:v>6691</x:v>
      </x:c>
      <x:c r="U889" s="40" t="n">
        <x:f>E889*Assumptions!$B$8</x:f>
        <x:v>9976.449999999999</x:v>
      </x:c>
      <x:c r="V889" s="40" t="n">
        <x:f>P889*Assumptions!$B$8</x:f>
        <x:v>9030.27685425937</x:v>
      </x:c>
      <x:c r="W889" s="54" t="n">
        <x:f>V889-U889</x:f>
        <x:v>-946.1731457406295</x:v>
      </x:c>
      <x:c r="X889" s="58" t="n">
        <x:f>IF(R889="No","",W889*S889)</x:f>
        <x:v>-6791630.840126239</x:v>
      </x:c>
      <x:c r="Y889" s="58" t="n">
        <x:f>IF(R889="No","",W889*T889*Assumptions!$B$9)</x:f>
        <x:v>-1899253.3554451657</x:v>
      </x:c>
      <x:c r="Z889" s="58" t="n">
        <x:f>IF(R889="No","",X889-Y889)</x:f>
        <x:v>-4892377.484681074</x:v>
      </x:c>
      <x:c r="AA889" s="58" t="n">
        <x:f>IF(R889="No","",MAX(0,-Z889))</x:f>
        <x:v>4892377.484681074</x:v>
      </x:c>
      <x:c r="AB889" s="52" t="n">
        <x:f>IF(OR(R889="No",U889*S889=0),"",AA889/(U889*S889))</x:f>
        <x:v>0.06831883854771487</x:v>
      </x:c>
      <x:c r="AC889" s="54" t="n">
        <x:f>IF(OR(R889="No",S889-T889*Assumptions!$B$9&lt;=0),"",AA889/(Assumptions!$B$8*(S889-T889*Assumptions!$B$9)))</x:f>
        <x:v>1113.1448773419174</x:v>
      </x:c>
      <x:c r="AD889" s="52" t="n">
        <x:f>IF(OR(R889="No",U889*S889=0),"",AA889/(U889*S889))</x:f>
        <x:v>0.06831883854771487</x:v>
      </x:c>
      <x:c r="AE889" s="50" t="str">
        <x:f>IF(R889="No","No finance data",IF(AB889&gt;=10%,"Severe",IF(AB889&gt;=5%,"High",IF(AB889&gt;=2%,"Moderate","Low"))))</x:f>
        <x:v>High</x:v>
      </x:c>
      <x:c r="AF889" s="60" t="n">
        <x:v>31.32661</x:v>
      </x:c>
      <x:c r="AG889" s="60" t="n">
        <x:v>-89.331236</x:v>
      </x:c>
      <x:c r="AH889" s="44" t="str">
        <x:v>Undergraduate tuition-contribution proxy only; not an audited total institutional budget.</x:v>
      </x:c>
    </x:row>
    <x:row r="890">
      <x:c r="A890" s="16" t="n">
        <x:v>176479</x:v>
      </x:c>
      <x:c r="B890" s="16" t="str">
        <x:v>William Carey University</x:v>
      </x:c>
      <x:c r="C890" s="16" t="str">
        <x:v>MS</x:v>
      </x:c>
      <x:c r="D890" s="16" t="str">
        <x:v>Private nonprofit</x:v>
      </x:c>
      <x:c r="E890" s="34" t="n">
        <x:v>2047</x:v>
      </x:c>
      <x:c r="F890" s="21" t="n">
        <x:v>0.5745</x:v>
      </x:c>
      <x:c r="G890" s="16" t="str">
        <x:v>Regional</x:v>
      </x:c>
      <x:c r="H890" s="36" t="n">
        <x:f>IF(G890="National",Assumptions!$B$11,IF(G890="Statewide",Assumptions!$B$12,Assumptions!$B$13))</x:f>
        <x:v>0.85</x:v>
      </x:c>
      <x:c r="I890" s="21" t="n">
        <x:v>-0.120564851073929</x:v>
      </x:c>
      <x:c r="J890" s="21" t="n">
        <x:v>-0.12646849412602346</x:v>
      </x:c>
      <x:c r="K890" s="21" t="n">
        <x:v>-0.19891420434318263</x:v>
      </x:c>
      <x:c r="L890" s="36" t="n">
        <x:f>IF(Assumptions!$B$4=2030,I890,IF(Assumptions!$B$4=2035,J890,K890))</x:f>
        <x:v>-0.12646849412602346</x:v>
      </x:c>
      <x:c r="M890" s="36" t="n">
        <x:f>Assumptions!$B$19</x:f>
        <x:v>-0.04739891965741583</x:v>
      </x:c>
      <x:c r="N890" s="52" t="n">
        <x:f>H890*L890+(1-H890)*M890+O890</x:f>
        <x:v>-0.11460805795573231</x:v>
      </x:c>
      <x:c r="O890" s="36" t="n">
        <x:f>Assumptions!$B$10</x:f>
        <x:v>0</x:v>
      </x:c>
      <x:c r="P890" s="54" t="n">
        <x:f>E890*(1+N890)</x:f>
        <x:v>1812.3973053646162</x:v>
      </x:c>
      <x:c r="Q890" s="54" t="n">
        <x:f>P890-E890</x:f>
        <x:v>-234.60269463538384</x:v>
      </x:c>
      <x:c r="R890" s="16" t="str">
        <x:v>Yes</x:v>
      </x:c>
      <x:c r="S890" s="56" t="n">
        <x:v>13831</x:v>
      </x:c>
      <x:c r="T890" s="56" t="n">
        <x:v>9410</x:v>
      </x:c>
      <x:c r="U890" s="40" t="n">
        <x:f>E890*Assumptions!$B$8</x:f>
        <x:v>1739.95</x:v>
      </x:c>
      <x:c r="V890" s="40" t="n">
        <x:f>P890*Assumptions!$B$8</x:f>
        <x:v>1540.5377095599238</x:v>
      </x:c>
      <x:c r="W890" s="54" t="n">
        <x:f>V890-U890</x:f>
        <x:v>-199.41229044007628</x:v>
      </x:c>
      <x:c r="X890" s="58" t="n">
        <x:f>IF(R890="No","",W890*S890)</x:f>
        <x:v>-2758071.389076695</x:v>
      </x:c>
      <x:c r="Y890" s="58" t="n">
        <x:f>IF(R890="No","",W890*T890*Assumptions!$B$9)</x:f>
        <x:v>-562940.8959123354</x:v>
      </x:c>
      <x:c r="Z890" s="58" t="n">
        <x:f>IF(R890="No","",X890-Y890)</x:f>
        <x:v>-2195130.4931643596</x:v>
      </x:c>
      <x:c r="AA890" s="58" t="n">
        <x:f>IF(R890="No","",MAX(0,-Z890))</x:f>
        <x:v>2195130.4931643596</x:v>
      </x:c>
      <x:c r="AB890" s="52" t="n">
        <x:f>IF(OR(R890="No",U890*S890=0),"",AA890/(U890*S890))</x:f>
        <x:v>0.0912157835280674</x:v>
      </x:c>
      <x:c r="AC890" s="54" t="n">
        <x:f>IF(OR(R890="No",S890-T890*Assumptions!$B$9&lt;=0),"",AA890/(Assumptions!$B$8*(S890-T890*Assumptions!$B$9)))</x:f>
        <x:v>234.60269463538387</x:v>
      </x:c>
      <x:c r="AD890" s="52" t="n">
        <x:f>IF(OR(R890="No",U890*S890=0),"",AA890/(U890*S890))</x:f>
        <x:v>0.0912157835280674</x:v>
      </x:c>
      <x:c r="AE890" s="50" t="str">
        <x:f>IF(R890="No","No finance data",IF(AB890&gt;=10%,"Severe",IF(AB890&gt;=5%,"High",IF(AB890&gt;=2%,"Moderate","Low"))))</x:f>
        <x:v>High</x:v>
      </x:c>
      <x:c r="AF890" s="60" t="n">
        <x:v>31.305264</x:v>
      </x:c>
      <x:c r="AG890" s="60" t="n">
        <x:v>-89.291815</x:v>
      </x:c>
      <x:c r="AH890" s="44" t="str">
        <x:v>Undergraduate tuition-contribution proxy only; not an audited total institutional budget.</x:v>
      </x:c>
    </x:row>
    <x:row r="891">
      <x:c r="A891" s="16" t="n">
        <x:v>180106</x:v>
      </x:c>
      <x:c r="B891" s="16" t="str">
        <x:v>Carroll College</x:v>
      </x:c>
      <x:c r="C891" s="16" t="str">
        <x:v>MT</x:v>
      </x:c>
      <x:c r="D891" s="16" t="str">
        <x:v>Private nonprofit</x:v>
      </x:c>
      <x:c r="E891" s="34" t="n">
        <x:v>1428</x:v>
      </x:c>
      <x:c r="F891" s="21" t="n">
        <x:v>0.8392</x:v>
      </x:c>
      <x:c r="G891" s="16" t="str">
        <x:v>Regional</x:v>
      </x:c>
      <x:c r="H891" s="36" t="n">
        <x:f>IF(G891="National",Assumptions!$B$11,IF(G891="Statewide",Assumptions!$B$12,Assumptions!$B$13))</x:f>
        <x:v>0.85</x:v>
      </x:c>
      <x:c r="I891" s="21" t="n">
        <x:v>-0.00419111483654655</x:v>
      </x:c>
      <x:c r="J891" s="21" t="n">
        <x:v>0.04479836080841948</x:v>
      </x:c>
      <x:c r="K891" s="21" t="n">
        <x:v>-0.020210487100679853</x:v>
      </x:c>
      <x:c r="L891" s="36" t="n">
        <x:f>IF(Assumptions!$B$4=2030,I891,IF(Assumptions!$B$4=2035,J891,K891))</x:f>
        <x:v>0.04479836080841948</x:v>
      </x:c>
      <x:c r="M891" s="36" t="n">
        <x:f>Assumptions!$B$19</x:f>
        <x:v>-0.04739891965741583</x:v>
      </x:c>
      <x:c r="N891" s="52" t="n">
        <x:f>H891*L891+(1-H891)*M891+O891</x:f>
        <x:v>0.030968768738544178</x:v>
      </x:c>
      <x:c r="O891" s="36" t="n">
        <x:f>Assumptions!$B$10</x:f>
        <x:v>0</x:v>
      </x:c>
      <x:c r="P891" s="54" t="n">
        <x:f>E891*(1+N891)</x:f>
        <x:v>1472.223401758641</x:v>
      </x:c>
      <x:c r="Q891" s="54" t="n">
        <x:f>P891-E891</x:f>
        <x:v>44.2234017586411</x:v>
      </x:c>
      <x:c r="R891" s="16" t="str">
        <x:v>Yes</x:v>
      </x:c>
      <x:c r="S891" s="56" t="n">
        <x:v>15411</x:v>
      </x:c>
      <x:c r="T891" s="56" t="n">
        <x:v>9218</x:v>
      </x:c>
      <x:c r="U891" s="40" t="n">
        <x:f>E891*Assumptions!$B$8</x:f>
        <x:v>1213.8</x:v>
      </x:c>
      <x:c r="V891" s="40" t="n">
        <x:f>P891*Assumptions!$B$8</x:f>
        <x:v>1251.389891494845</x:v>
      </x:c>
      <x:c r="W891" s="54" t="n">
        <x:f>V891-U891</x:f>
        <x:v>37.589891494845006</x:v>
      </x:c>
      <x:c r="X891" s="58" t="n">
        <x:f>IF(R891="No","",W891*S891)</x:f>
        <x:v>579297.8178270564</x:v>
      </x:c>
      <x:c r="Y891" s="58" t="n">
        <x:f>IF(R891="No","",W891*T891*Assumptions!$B$9)</x:f>
        <x:v>103951.08593984437</x:v>
      </x:c>
      <x:c r="Z891" s="58" t="n">
        <x:f>IF(R891="No","",X891-Y891)</x:f>
        <x:v>475346.731887212</x:v>
      </x:c>
      <x:c r="AA891" s="58" t="n">
        <x:f>IF(R891="No","",MAX(0,-Z891))</x:f>
        <x:v>0</x:v>
      </x:c>
      <x:c r="AB891" s="52" t="n">
        <x:f>IF(OR(R891="No",U891*S891=0),"",AA891/(U891*S891))</x:f>
        <x:v>0</x:v>
      </x:c>
      <x:c r="AC891" s="54" t="n">
        <x:f>IF(OR(R891="No",S891-T891*Assumptions!$B$9&lt;=0),"",AA891/(Assumptions!$B$8*(S891-T891*Assumptions!$B$9)))</x:f>
        <x:v>0</x:v>
      </x:c>
      <x:c r="AD891" s="52" t="n">
        <x:f>IF(OR(R891="No",U891*S891=0),"",AA891/(U891*S891))</x:f>
        <x:v>0</x:v>
      </x:c>
      <x:c r="AE891" s="50" t="str">
        <x:f>IF(R891="No","No finance data",IF(AB891&gt;=10%,"Severe",IF(AB891&gt;=5%,"High",IF(AB891&gt;=2%,"Moderate","Low"))))</x:f>
        <x:v>Low</x:v>
      </x:c>
      <x:c r="AF891" s="60" t="n">
        <x:v>46.600771</x:v>
      </x:c>
      <x:c r="AG891" s="60" t="n">
        <x:v>-112.040285</x:v>
      </x:c>
      <x:c r="AH891" s="44" t="str">
        <x:v>Undergraduate tuition-contribution proxy only; not an audited total institutional budget.</x:v>
      </x:c>
    </x:row>
    <x:row r="892">
      <x:c r="A892" s="16" t="n">
        <x:v>180461</x:v>
      </x:c>
      <x:c r="B892" s="16" t="str">
        <x:v>Montana State University</x:v>
      </x:c>
      <x:c r="C892" s="16" t="str">
        <x:v>MT</x:v>
      </x:c>
      <x:c r="D892" s="16" t="str">
        <x:v>Public</x:v>
      </x:c>
      <x:c r="E892" s="34" t="n">
        <x:v>13488</x:v>
      </x:c>
      <x:c r="F892" s="21" t="n">
        <x:v>0.73</x:v>
      </x:c>
      <x:c r="G892" s="16" t="str">
        <x:v>Statewide</x:v>
      </x:c>
      <x:c r="H892" s="36" t="n">
        <x:f>IF(G892="National",Assumptions!$B$11,IF(G892="Statewide",Assumptions!$B$12,Assumptions!$B$13))</x:f>
        <x:v>0.6</x:v>
      </x:c>
      <x:c r="I892" s="21" t="n">
        <x:v>-0.00419111483654655</x:v>
      </x:c>
      <x:c r="J892" s="21" t="n">
        <x:v>0.04479836080841948</x:v>
      </x:c>
      <x:c r="K892" s="21" t="n">
        <x:v>-0.020210487100679853</x:v>
      </x:c>
      <x:c r="L892" s="36" t="n">
        <x:f>IF(Assumptions!$B$4=2030,I892,IF(Assumptions!$B$4=2035,J892,K892))</x:f>
        <x:v>0.04479836080841948</x:v>
      </x:c>
      <x:c r="M892" s="36" t="n">
        <x:f>Assumptions!$B$19</x:f>
        <x:v>-0.04739891965741583</x:v>
      </x:c>
      <x:c r="N892" s="52" t="n">
        <x:f>H892*L892+(1-H892)*M892+O892</x:f>
        <x:v>0.007919448622085355</x:v>
      </x:c>
      <x:c r="O892" s="36" t="n">
        <x:f>Assumptions!$B$10</x:f>
        <x:v>0</x:v>
      </x:c>
      <x:c r="P892" s="54" t="n">
        <x:f>E892*(1+N892)</x:f>
        <x:v>13594.817523014686</x:v>
      </x:c>
      <x:c r="Q892" s="54" t="n">
        <x:f>P892-E892</x:f>
        <x:v>106.81752301468623</x:v>
      </x:c>
      <x:c r="R892" s="16" t="str">
        <x:v>Yes</x:v>
      </x:c>
      <x:c r="S892" s="56" t="n">
        <x:v>11707</x:v>
      </x:c>
      <x:c r="T892" s="56" t="n">
        <x:v>8484</x:v>
      </x:c>
      <x:c r="U892" s="40" t="n">
        <x:f>E892*Assumptions!$B$8</x:f>
        <x:v>11464.8</x:v>
      </x:c>
      <x:c r="V892" s="40" t="n">
        <x:f>P892*Assumptions!$B$8</x:f>
        <x:v>11555.594894562482</x:v>
      </x:c>
      <x:c r="W892" s="54" t="n">
        <x:f>V892-U892</x:f>
        <x:v>90.79489456248302</x:v>
      </x:c>
      <x:c r="X892" s="58" t="n">
        <x:f>IF(R892="No","",W892*S892)</x:f>
        <x:v>1062935.8306429887</x:v>
      </x:c>
      <x:c r="Y892" s="58" t="n">
        <x:f>IF(R892="No","",W892*T892*Assumptions!$B$9)</x:f>
        <x:v>231091.1656404318</x:v>
      </x:c>
      <x:c r="Z892" s="58" t="n">
        <x:f>IF(R892="No","",X892-Y892)</x:f>
        <x:v>831844.6650025569</x:v>
      </x:c>
      <x:c r="AA892" s="58" t="n">
        <x:f>IF(R892="No","",MAX(0,-Z892))</x:f>
        <x:v>0</x:v>
      </x:c>
      <x:c r="AB892" s="52" t="n">
        <x:f>IF(OR(R892="No",U892*S892=0),"",AA892/(U892*S892))</x:f>
        <x:v>0</x:v>
      </x:c>
      <x:c r="AC892" s="54" t="n">
        <x:f>IF(OR(R892="No",S892-T892*Assumptions!$B$9&lt;=0),"",AA892/(Assumptions!$B$8*(S892-T892*Assumptions!$B$9)))</x:f>
        <x:v>0</x:v>
      </x:c>
      <x:c r="AD892" s="52" t="n">
        <x:f>IF(OR(R892="No",U892*S892=0),"",AA892/(U892*S892))</x:f>
        <x:v>0</x:v>
      </x:c>
      <x:c r="AE892" s="50" t="str">
        <x:f>IF(R892="No","No finance data",IF(AB892&gt;=10%,"Severe",IF(AB892&gt;=5%,"High",IF(AB892&gt;=2%,"Moderate","Low"))))</x:f>
        <x:v>Low</x:v>
      </x:c>
      <x:c r="AF892" s="60" t="n">
        <x:v>45.666726</x:v>
      </x:c>
      <x:c r="AG892" s="60" t="n">
        <x:v>-111.048812</x:v>
      </x:c>
      <x:c r="AH892" s="44" t="str">
        <x:v>Undergraduate tuition-contribution proxy only; not an audited total institutional budget.</x:v>
      </x:c>
    </x:row>
    <x:row r="893">
      <x:c r="A893" s="16" t="n">
        <x:v>180179</x:v>
      </x:c>
      <x:c r="B893" s="16" t="str">
        <x:v>Montana State University-Billings</x:v>
      </x:c>
      <x:c r="C893" s="16" t="str">
        <x:v>MT</x:v>
      </x:c>
      <x:c r="D893" s="16" t="str">
        <x:v>Public</x:v>
      </x:c>
      <x:c r="E893" s="34" t="n">
        <x:v>3727</x:v>
      </x:c>
      <x:c r="F893" s="21"/>
      <x:c r="G893" s="16" t="str">
        <x:v>Regional</x:v>
      </x:c>
      <x:c r="H893" s="36" t="n">
        <x:f>IF(G893="National",Assumptions!$B$11,IF(G893="Statewide",Assumptions!$B$12,Assumptions!$B$13))</x:f>
        <x:v>0.85</x:v>
      </x:c>
      <x:c r="I893" s="21" t="n">
        <x:v>-0.00419111483654655</x:v>
      </x:c>
      <x:c r="J893" s="21" t="n">
        <x:v>0.04479836080841948</x:v>
      </x:c>
      <x:c r="K893" s="21" t="n">
        <x:v>-0.020210487100679853</x:v>
      </x:c>
      <x:c r="L893" s="36" t="n">
        <x:f>IF(Assumptions!$B$4=2030,I893,IF(Assumptions!$B$4=2035,J893,K893))</x:f>
        <x:v>0.04479836080841948</x:v>
      </x:c>
      <x:c r="M893" s="36" t="n">
        <x:f>Assumptions!$B$19</x:f>
        <x:v>-0.04739891965741583</x:v>
      </x:c>
      <x:c r="N893" s="52" t="n">
        <x:f>H893*L893+(1-H893)*M893+O893</x:f>
        <x:v>0.030968768738544178</x:v>
      </x:c>
      <x:c r="O893" s="36" t="n">
        <x:f>Assumptions!$B$10</x:f>
        <x:v>0</x:v>
      </x:c>
      <x:c r="P893" s="54" t="n">
        <x:f>E893*(1+N893)</x:f>
        <x:v>3842.4206010885546</x:v>
      </x:c>
      <x:c r="Q893" s="54" t="n">
        <x:f>P893-E893</x:f>
        <x:v>115.42060108855458</x:v>
      </x:c>
      <x:c r="R893" s="16" t="str">
        <x:v>Yes</x:v>
      </x:c>
      <x:c r="S893" s="56" t="n">
        <x:v>5650</x:v>
      </x:c>
      <x:c r="T893" s="56" t="n">
        <x:v>6914</x:v>
      </x:c>
      <x:c r="U893" s="40" t="n">
        <x:f>E893*Assumptions!$B$8</x:f>
        <x:v>3167.95</x:v>
      </x:c>
      <x:c r="V893" s="40" t="n">
        <x:f>P893*Assumptions!$B$8</x:f>
        <x:v>3266.0575109252713</x:v>
      </x:c>
      <x:c r="W893" s="54" t="n">
        <x:f>V893-U893</x:f>
        <x:v>98.10751092527153</x:v>
      </x:c>
      <x:c r="X893" s="58" t="n">
        <x:f>IF(R893="No","",W893*S893)</x:f>
        <x:v>554307.4367277841</x:v>
      </x:c>
      <x:c r="Y893" s="58" t="n">
        <x:f>IF(R893="No","",W893*T893*Assumptions!$B$9)</x:f>
        <x:v>203494.5991611982</x:v>
      </x:c>
      <x:c r="Z893" s="58" t="n">
        <x:f>IF(R893="No","",X893-Y893)</x:f>
        <x:v>350812.8375665859</x:v>
      </x:c>
      <x:c r="AA893" s="58" t="n">
        <x:f>IF(R893="No","",MAX(0,-Z893))</x:f>
        <x:v>0</x:v>
      </x:c>
      <x:c r="AB893" s="52" t="n">
        <x:f>IF(OR(R893="No",U893*S893=0),"",AA893/(U893*S893))</x:f>
        <x:v>0</x:v>
      </x:c>
      <x:c r="AC893" s="54" t="n">
        <x:f>IF(OR(R893="No",S893-T893*Assumptions!$B$9&lt;=0),"",AA893/(Assumptions!$B$8*(S893-T893*Assumptions!$B$9)))</x:f>
        <x:v>0</x:v>
      </x:c>
      <x:c r="AD893" s="52" t="n">
        <x:f>IF(OR(R893="No",U893*S893=0),"",AA893/(U893*S893))</x:f>
        <x:v>0</x:v>
      </x:c>
      <x:c r="AE893" s="50" t="str">
        <x:f>IF(R893="No","No finance data",IF(AB893&gt;=10%,"Severe",IF(AB893&gt;=5%,"High",IF(AB893&gt;=2%,"Moderate","Low"))))</x:f>
        <x:v>Low</x:v>
      </x:c>
      <x:c r="AF893" s="60" t="n">
        <x:v>45.796896</x:v>
      </x:c>
      <x:c r="AG893" s="60" t="n">
        <x:v>-108.523009</x:v>
      </x:c>
      <x:c r="AH893" s="44" t="str">
        <x:v>Undergraduate tuition-contribution proxy only; not an audited total institutional budget.</x:v>
      </x:c>
    </x:row>
    <x:row r="894">
      <x:c r="A894" s="16" t="n">
        <x:v>180522</x:v>
      </x:c>
      <x:c r="B894" s="16" t="str">
        <x:v>Montana State University-Northern</x:v>
      </x:c>
      <x:c r="C894" s="16" t="str">
        <x:v>MT</x:v>
      </x:c>
      <x:c r="D894" s="16" t="str">
        <x:v>Public</x:v>
      </x:c>
      <x:c r="E894" s="34" t="n">
        <x:v>1154</x:v>
      </x:c>
      <x:c r="F894" s="21"/>
      <x:c r="G894" s="16" t="str">
        <x:v>Regional</x:v>
      </x:c>
      <x:c r="H894" s="36" t="n">
        <x:f>IF(G894="National",Assumptions!$B$11,IF(G894="Statewide",Assumptions!$B$12,Assumptions!$B$13))</x:f>
        <x:v>0.85</x:v>
      </x:c>
      <x:c r="I894" s="21" t="n">
        <x:v>-0.00419111483654655</x:v>
      </x:c>
      <x:c r="J894" s="21" t="n">
        <x:v>0.04479836080841948</x:v>
      </x:c>
      <x:c r="K894" s="21" t="n">
        <x:v>-0.020210487100679853</x:v>
      </x:c>
      <x:c r="L894" s="36" t="n">
        <x:f>IF(Assumptions!$B$4=2030,I894,IF(Assumptions!$B$4=2035,J894,K894))</x:f>
        <x:v>0.04479836080841948</x:v>
      </x:c>
      <x:c r="M894" s="36" t="n">
        <x:f>Assumptions!$B$19</x:f>
        <x:v>-0.04739891965741583</x:v>
      </x:c>
      <x:c r="N894" s="52" t="n">
        <x:f>H894*L894+(1-H894)*M894+O894</x:f>
        <x:v>0.030968768738544178</x:v>
      </x:c>
      <x:c r="O894" s="36" t="n">
        <x:f>Assumptions!$B$10</x:f>
        <x:v>0</x:v>
      </x:c>
      <x:c r="P894" s="54" t="n">
        <x:f>E894*(1+N894)</x:f>
        <x:v>1189.73795912428</x:v>
      </x:c>
      <x:c r="Q894" s="54" t="n">
        <x:f>P894-E894</x:f>
        <x:v>35.737959124279996</x:v>
      </x:c>
      <x:c r="R894" s="16" t="str">
        <x:v>Yes</x:v>
      </x:c>
      <x:c r="S894" s="56" t="n">
        <x:v>7921</x:v>
      </x:c>
      <x:c r="T894" s="56" t="n">
        <x:v>9960</x:v>
      </x:c>
      <x:c r="U894" s="40" t="n">
        <x:f>E894*Assumptions!$B$8</x:f>
        <x:v>980.9</x:v>
      </x:c>
      <x:c r="V894" s="40" t="n">
        <x:f>P894*Assumptions!$B$8</x:f>
        <x:v>1011.277265255638</x:v>
      </x:c>
      <x:c r="W894" s="54" t="n">
        <x:f>V894-U894</x:f>
        <x:v>30.377265255638008</x:v>
      </x:c>
      <x:c r="X894" s="58" t="n">
        <x:f>IF(R894="No","",W894*S894)</x:f>
        <x:v>240618.31808990866</x:v>
      </x:c>
      <x:c r="Y894" s="58" t="n">
        <x:f>IF(R894="No","",W894*T894*Assumptions!$B$9)</x:f>
        <x:v>90767.26858384637</x:v>
      </x:c>
      <x:c r="Z894" s="58" t="n">
        <x:f>IF(R894="No","",X894-Y894)</x:f>
        <x:v>149851.0495060623</x:v>
      </x:c>
      <x:c r="AA894" s="58" t="n">
        <x:f>IF(R894="No","",MAX(0,-Z894))</x:f>
        <x:v>0</x:v>
      </x:c>
      <x:c r="AB894" s="52" t="n">
        <x:f>IF(OR(R894="No",U894*S894=0),"",AA894/(U894*S894))</x:f>
        <x:v>0</x:v>
      </x:c>
      <x:c r="AC894" s="54" t="n">
        <x:f>IF(OR(R894="No",S894-T894*Assumptions!$B$9&lt;=0),"",AA894/(Assumptions!$B$8*(S894-T894*Assumptions!$B$9)))</x:f>
        <x:v>0</x:v>
      </x:c>
      <x:c r="AD894" s="52" t="n">
        <x:f>IF(OR(R894="No",U894*S894=0),"",AA894/(U894*S894))</x:f>
        <x:v>0</x:v>
      </x:c>
      <x:c r="AE894" s="50" t="str">
        <x:f>IF(R894="No","No finance data",IF(AB894&gt;=10%,"Severe",IF(AB894&gt;=5%,"High",IF(AB894&gt;=2%,"Moderate","Low"))))</x:f>
        <x:v>Low</x:v>
      </x:c>
      <x:c r="AF894" s="60" t="n">
        <x:v>48.54149</x:v>
      </x:c>
      <x:c r="AG894" s="60" t="n">
        <x:v>-109.687806</x:v>
      </x:c>
      <x:c r="AH894" s="44" t="str">
        <x:v>Undergraduate tuition-contribution proxy only; not an audited total institutional budget.</x:v>
      </x:c>
    </x:row>
    <x:row r="895">
      <x:c r="A895" s="16" t="n">
        <x:v>180416</x:v>
      </x:c>
      <x:c r="B895" s="16" t="str">
        <x:v>Montana Tech of the University of Montana</x:v>
      </x:c>
      <x:c r="C895" s="16" t="str">
        <x:v>MT</x:v>
      </x:c>
      <x:c r="D895" s="16" t="str">
        <x:v>Public</x:v>
      </x:c>
      <x:c r="E895" s="34" t="n">
        <x:v>1898</x:v>
      </x:c>
      <x:c r="F895" s="21" t="n">
        <x:v>0.8984</x:v>
      </x:c>
      <x:c r="G895" s="16" t="str">
        <x:v>Regional</x:v>
      </x:c>
      <x:c r="H895" s="36" t="n">
        <x:f>IF(G895="National",Assumptions!$B$11,IF(G895="Statewide",Assumptions!$B$12,Assumptions!$B$13))</x:f>
        <x:v>0.85</x:v>
      </x:c>
      <x:c r="I895" s="21" t="n">
        <x:v>-0.00419111483654655</x:v>
      </x:c>
      <x:c r="J895" s="21" t="n">
        <x:v>0.04479836080841948</x:v>
      </x:c>
      <x:c r="K895" s="21" t="n">
        <x:v>-0.020210487100679853</x:v>
      </x:c>
      <x:c r="L895" s="36" t="n">
        <x:f>IF(Assumptions!$B$4=2030,I895,IF(Assumptions!$B$4=2035,J895,K895))</x:f>
        <x:v>0.04479836080841948</x:v>
      </x:c>
      <x:c r="M895" s="36" t="n">
        <x:f>Assumptions!$B$19</x:f>
        <x:v>-0.04739891965741583</x:v>
      </x:c>
      <x:c r="N895" s="52" t="n">
        <x:f>H895*L895+(1-H895)*M895+O895</x:f>
        <x:v>0.030968768738544178</x:v>
      </x:c>
      <x:c r="O895" s="36" t="n">
        <x:f>Assumptions!$B$10</x:f>
        <x:v>0</x:v>
      </x:c>
      <x:c r="P895" s="54" t="n">
        <x:f>E895*(1+N895)</x:f>
        <x:v>1956.778723065757</x:v>
      </x:c>
      <x:c r="Q895" s="54" t="n">
        <x:f>P895-E895</x:f>
        <x:v>58.77872306575705</x:v>
      </x:c>
      <x:c r="R895" s="16" t="str">
        <x:v>Yes</x:v>
      </x:c>
      <x:c r="S895" s="56" t="n">
        <x:v>6516</x:v>
      </x:c>
      <x:c r="T895" s="56" t="n">
        <x:v>9012</x:v>
      </x:c>
      <x:c r="U895" s="40" t="n">
        <x:f>E895*Assumptions!$B$8</x:f>
        <x:v>1613.3</x:v>
      </x:c>
      <x:c r="V895" s="40" t="n">
        <x:f>P895*Assumptions!$B$8</x:f>
        <x:v>1663.2619146058935</x:v>
      </x:c>
      <x:c r="W895" s="54" t="n">
        <x:f>V895-U895</x:f>
        <x:v>49.961914605893526</x:v>
      </x:c>
      <x:c r="X895" s="58" t="n">
        <x:f>IF(R895="No","",W895*S895)</x:f>
        <x:v>325551.8355720022</x:v>
      </x:c>
      <x:c r="Y895" s="58" t="n">
        <x:f>IF(R895="No","",W895*T895*Assumptions!$B$9)</x:f>
        <x:v>135077.03232849372</x:v>
      </x:c>
      <x:c r="Z895" s="58" t="n">
        <x:f>IF(R895="No","",X895-Y895)</x:f>
        <x:v>190474.8032435085</x:v>
      </x:c>
      <x:c r="AA895" s="58" t="n">
        <x:f>IF(R895="No","",MAX(0,-Z895))</x:f>
        <x:v>0</x:v>
      </x:c>
      <x:c r="AB895" s="52" t="n">
        <x:f>IF(OR(R895="No",U895*S895=0),"",AA895/(U895*S895))</x:f>
        <x:v>0</x:v>
      </x:c>
      <x:c r="AC895" s="54" t="n">
        <x:f>IF(OR(R895="No",S895-T895*Assumptions!$B$9&lt;=0),"",AA895/(Assumptions!$B$8*(S895-T895*Assumptions!$B$9)))</x:f>
        <x:v>0</x:v>
      </x:c>
      <x:c r="AD895" s="52" t="n">
        <x:f>IF(OR(R895="No",U895*S895=0),"",AA895/(U895*S895))</x:f>
        <x:v>0</x:v>
      </x:c>
      <x:c r="AE895" s="50" t="str">
        <x:f>IF(R895="No","No finance data",IF(AB895&gt;=10%,"Severe",IF(AB895&gt;=5%,"High",IF(AB895&gt;=2%,"Moderate","Low"))))</x:f>
        <x:v>Low</x:v>
      </x:c>
      <x:c r="AF895" s="60" t="n">
        <x:v>46.012868</x:v>
      </x:c>
      <x:c r="AG895" s="60" t="n">
        <x:v>-112.559511</x:v>
      </x:c>
      <x:c r="AH895" s="44" t="str">
        <x:v>Undergraduate tuition-contribution proxy only; not an audited total institutional budget.</x:v>
      </x:c>
    </x:row>
    <x:row r="896">
      <x:c r="A896" s="16" t="n">
        <x:v>180595</x:v>
      </x:c>
      <x:c r="B896" s="16" t="str">
        <x:v>Rocky Mountain College</x:v>
      </x:c>
      <x:c r="C896" s="16" t="str">
        <x:v>MT</x:v>
      </x:c>
      <x:c r="D896" s="16" t="str">
        <x:v>Private nonprofit</x:v>
      </x:c>
      <x:c r="E896" s="34" t="n">
        <x:v>906</x:v>
      </x:c>
      <x:c r="F896" s="21" t="n">
        <x:v>0.8066</x:v>
      </x:c>
      <x:c r="G896" s="16" t="str">
        <x:v>Regional</x:v>
      </x:c>
      <x:c r="H896" s="36" t="n">
        <x:f>IF(G896="National",Assumptions!$B$11,IF(G896="Statewide",Assumptions!$B$12,Assumptions!$B$13))</x:f>
        <x:v>0.85</x:v>
      </x:c>
      <x:c r="I896" s="21" t="n">
        <x:v>-0.00419111483654655</x:v>
      </x:c>
      <x:c r="J896" s="21" t="n">
        <x:v>0.04479836080841948</x:v>
      </x:c>
      <x:c r="K896" s="21" t="n">
        <x:v>-0.020210487100679853</x:v>
      </x:c>
      <x:c r="L896" s="36" t="n">
        <x:f>IF(Assumptions!$B$4=2030,I896,IF(Assumptions!$B$4=2035,J896,K896))</x:f>
        <x:v>0.04479836080841948</x:v>
      </x:c>
      <x:c r="M896" s="36" t="n">
        <x:f>Assumptions!$B$19</x:f>
        <x:v>-0.04739891965741583</x:v>
      </x:c>
      <x:c r="N896" s="52" t="n">
        <x:f>H896*L896+(1-H896)*M896+O896</x:f>
        <x:v>0.030968768738544178</x:v>
      </x:c>
      <x:c r="O896" s="36" t="n">
        <x:f>Assumptions!$B$10</x:f>
        <x:v>0</x:v>
      </x:c>
      <x:c r="P896" s="54" t="n">
        <x:f>E896*(1+N896)</x:f>
        <x:v>934.0577044771211</x:v>
      </x:c>
      <x:c r="Q896" s="54" t="n">
        <x:f>P896-E896</x:f>
        <x:v>28.057704477121092</x:v>
      </x:c>
      <x:c r="R896" s="16" t="str">
        <x:v>Yes</x:v>
      </x:c>
      <x:c r="S896" s="56" t="n">
        <x:v>17586</x:v>
      </x:c>
      <x:c r="T896" s="56" t="n">
        <x:v>10510</x:v>
      </x:c>
      <x:c r="U896" s="40" t="n">
        <x:f>E896*Assumptions!$B$8</x:f>
        <x:v>770.1</x:v>
      </x:c>
      <x:c r="V896" s="40" t="n">
        <x:f>P896*Assumptions!$B$8</x:f>
        <x:v>793.9490488055529</x:v>
      </x:c>
      <x:c r="W896" s="54" t="n">
        <x:f>V896-U896</x:f>
        <x:v>23.84904880555291</x:v>
      </x:c>
      <x:c r="X896" s="58" t="n">
        <x:f>IF(R896="No","",W896*S896)</x:f>
        <x:v>419409.3722944535</x:v>
      </x:c>
      <x:c r="Y896" s="58" t="n">
        <x:f>IF(R896="No","",W896*T896*Assumptions!$B$9)</x:f>
        <x:v>75196.05088390832</x:v>
      </x:c>
      <x:c r="Z896" s="58" t="n">
        <x:f>IF(R896="No","",X896-Y896)</x:f>
        <x:v>344213.32141054515</x:v>
      </x:c>
      <x:c r="AA896" s="58" t="n">
        <x:f>IF(R896="No","",MAX(0,-Z896))</x:f>
        <x:v>0</x:v>
      </x:c>
      <x:c r="AB896" s="52" t="n">
        <x:f>IF(OR(R896="No",U896*S896=0),"",AA896/(U896*S896))</x:f>
        <x:v>0</x:v>
      </x:c>
      <x:c r="AC896" s="54" t="n">
        <x:f>IF(OR(R896="No",S896-T896*Assumptions!$B$9&lt;=0),"",AA896/(Assumptions!$B$8*(S896-T896*Assumptions!$B$9)))</x:f>
        <x:v>0</x:v>
      </x:c>
      <x:c r="AD896" s="52" t="n">
        <x:f>IF(OR(R896="No",U896*S896=0),"",AA896/(U896*S896))</x:f>
        <x:v>0</x:v>
      </x:c>
      <x:c r="AE896" s="50" t="str">
        <x:f>IF(R896="No","No finance data",IF(AB896&gt;=10%,"Severe",IF(AB896&gt;=5%,"High",IF(AB896&gt;=2%,"Moderate","Low"))))</x:f>
        <x:v>Low</x:v>
      </x:c>
      <x:c r="AF896" s="60" t="n">
        <x:v>45.796522</x:v>
      </x:c>
      <x:c r="AG896" s="60" t="n">
        <x:v>-108.554075</x:v>
      </x:c>
      <x:c r="AH896" s="44" t="str">
        <x:v>Undergraduate tuition-contribution proxy only; not an audited total institutional budget.</x:v>
      </x:c>
    </x:row>
    <x:row r="897">
      <x:c r="A897" s="16" t="n">
        <x:v>180489</x:v>
      </x:c>
      <x:c r="B897" s="16" t="str">
        <x:v>The University of Montana</x:v>
      </x:c>
      <x:c r="C897" s="16" t="str">
        <x:v>MT</x:v>
      </x:c>
      <x:c r="D897" s="16" t="str">
        <x:v>Public</x:v>
      </x:c>
      <x:c r="E897" s="34" t="n">
        <x:v>10175</x:v>
      </x:c>
      <x:c r="F897" s="21" t="n">
        <x:v>0.8214</x:v>
      </x:c>
      <x:c r="G897" s="16" t="str">
        <x:v>Statewide</x:v>
      </x:c>
      <x:c r="H897" s="36" t="n">
        <x:f>IF(G897="National",Assumptions!$B$11,IF(G897="Statewide",Assumptions!$B$12,Assumptions!$B$13))</x:f>
        <x:v>0.6</x:v>
      </x:c>
      <x:c r="I897" s="21" t="n">
        <x:v>-0.00419111483654655</x:v>
      </x:c>
      <x:c r="J897" s="21" t="n">
        <x:v>0.04479836080841948</x:v>
      </x:c>
      <x:c r="K897" s="21" t="n">
        <x:v>-0.020210487100679853</x:v>
      </x:c>
      <x:c r="L897" s="36" t="n">
        <x:f>IF(Assumptions!$B$4=2030,I897,IF(Assumptions!$B$4=2035,J897,K897))</x:f>
        <x:v>0.04479836080841948</x:v>
      </x:c>
      <x:c r="M897" s="36" t="n">
        <x:f>Assumptions!$B$19</x:f>
        <x:v>-0.04739891965741583</x:v>
      </x:c>
      <x:c r="N897" s="52" t="n">
        <x:f>H897*L897+(1-H897)*M897+O897</x:f>
        <x:v>0.007919448622085355</x:v>
      </x:c>
      <x:c r="O897" s="36" t="n">
        <x:f>Assumptions!$B$10</x:f>
        <x:v>0</x:v>
      </x:c>
      <x:c r="P897" s="54" t="n">
        <x:f>E897*(1+N897)</x:f>
        <x:v>10255.580389729717</x:v>
      </x:c>
      <x:c r="Q897" s="54" t="n">
        <x:f>P897-E897</x:f>
        <x:v>80.58038972971735</x:v>
      </x:c>
      <x:c r="R897" s="16" t="str">
        <x:v>Yes</x:v>
      </x:c>
      <x:c r="S897" s="56" t="n">
        <x:v>9731</x:v>
      </x:c>
      <x:c r="T897" s="56" t="n">
        <x:v>10682</x:v>
      </x:c>
      <x:c r="U897" s="40" t="n">
        <x:f>E897*Assumptions!$B$8</x:f>
        <x:v>8648.75</x:v>
      </x:c>
      <x:c r="V897" s="40" t="n">
        <x:f>P897*Assumptions!$B$8</x:f>
        <x:v>8717.24333127026</x:v>
      </x:c>
      <x:c r="W897" s="54" t="n">
        <x:f>V897-U897</x:f>
        <x:v>68.49333127025966</x:v>
      </x:c>
      <x:c r="X897" s="58" t="n">
        <x:f>IF(R897="No","",W897*S897)</x:f>
        <x:v>666508.6065908967</x:v>
      </x:c>
      <x:c r="Y897" s="58" t="n">
        <x:f>IF(R897="No","",W897*T897*Assumptions!$B$9)</x:f>
        <x:v>219493.7293886741</x:v>
      </x:c>
      <x:c r="Z897" s="58" t="n">
        <x:f>IF(R897="No","",X897-Y897)</x:f>
        <x:v>447014.8772022226</x:v>
      </x:c>
      <x:c r="AA897" s="58" t="n">
        <x:f>IF(R897="No","",MAX(0,-Z897))</x:f>
        <x:v>0</x:v>
      </x:c>
      <x:c r="AB897" s="52" t="n">
        <x:f>IF(OR(R897="No",U897*S897=0),"",AA897/(U897*S897))</x:f>
        <x:v>0</x:v>
      </x:c>
      <x:c r="AC897" s="54" t="n">
        <x:f>IF(OR(R897="No",S897-T897*Assumptions!$B$9&lt;=0),"",AA897/(Assumptions!$B$8*(S897-T897*Assumptions!$B$9)))</x:f>
        <x:v>0</x:v>
      </x:c>
      <x:c r="AD897" s="52" t="n">
        <x:f>IF(OR(R897="No",U897*S897=0),"",AA897/(U897*S897))</x:f>
        <x:v>0</x:v>
      </x:c>
      <x:c r="AE897" s="50" t="str">
        <x:f>IF(R897="No","No finance data",IF(AB897&gt;=10%,"Severe",IF(AB897&gt;=5%,"High",IF(AB897&gt;=2%,"Moderate","Low"))))</x:f>
        <x:v>Low</x:v>
      </x:c>
      <x:c r="AF897" s="60" t="n">
        <x:v>46.859312</x:v>
      </x:c>
      <x:c r="AG897" s="60" t="n">
        <x:v>-113.982912</x:v>
      </x:c>
      <x:c r="AH897" s="44" t="str">
        <x:v>Undergraduate tuition-contribution proxy only; not an audited total institutional budget.</x:v>
      </x:c>
    </x:row>
    <x:row r="898">
      <x:c r="A898" s="16" t="n">
        <x:v>180692</x:v>
      </x:c>
      <x:c r="B898" s="16" t="str">
        <x:v>The University of Montana-Western</x:v>
      </x:c>
      <x:c r="C898" s="16" t="str">
        <x:v>MT</x:v>
      </x:c>
      <x:c r="D898" s="16" t="str">
        <x:v>Public</x:v>
      </x:c>
      <x:c r="E898" s="34" t="n">
        <x:v>1353</x:v>
      </x:c>
      <x:c r="F898" s="21" t="n">
        <x:v>0.3333</x:v>
      </x:c>
      <x:c r="G898" s="16" t="str">
        <x:v>National</x:v>
      </x:c>
      <x:c r="H898" s="36" t="n">
        <x:f>IF(G898="National",Assumptions!$B$11,IF(G898="Statewide",Assumptions!$B$12,Assumptions!$B$13))</x:f>
        <x:v>0.25</x:v>
      </x:c>
      <x:c r="I898" s="21" t="n">
        <x:v>-0.00419111483654655</x:v>
      </x:c>
      <x:c r="J898" s="21" t="n">
        <x:v>0.04479836080841948</x:v>
      </x:c>
      <x:c r="K898" s="21" t="n">
        <x:v>-0.020210487100679853</x:v>
      </x:c>
      <x:c r="L898" s="36" t="n">
        <x:f>IF(Assumptions!$B$4=2030,I898,IF(Assumptions!$B$4=2035,J898,K898))</x:f>
        <x:v>0.04479836080841948</x:v>
      </x:c>
      <x:c r="M898" s="36" t="n">
        <x:f>Assumptions!$B$19</x:f>
        <x:v>-0.04739891965741583</x:v>
      </x:c>
      <x:c r="N898" s="52" t="n">
        <x:f>H898*L898+(1-H898)*M898+O898</x:f>
        <x:v>-0.024349599540957</x:v>
      </x:c>
      <x:c r="O898" s="36" t="n">
        <x:f>Assumptions!$B$10</x:f>
        <x:v>0</x:v>
      </x:c>
      <x:c r="P898" s="54" t="n">
        <x:f>E898*(1+N898)</x:f>
        <x:v>1320.0549918210852</x:v>
      </x:c>
      <x:c r="Q898" s="54" t="n">
        <x:f>P898-E898</x:f>
        <x:v>-32.945008178914804</x:v>
      </x:c>
      <x:c r="R898" s="16" t="str">
        <x:v>Yes</x:v>
      </x:c>
      <x:c r="S898" s="56" t="n">
        <x:v>5083</x:v>
      </x:c>
      <x:c r="T898" s="56" t="n">
        <x:v>7639</x:v>
      </x:c>
      <x:c r="U898" s="40" t="n">
        <x:f>E898*Assumptions!$B$8</x:f>
        <x:v>1150.05</x:v>
      </x:c>
      <x:c r="V898" s="40" t="n">
        <x:f>P898*Assumptions!$B$8</x:f>
        <x:v>1122.0467430479223</x:v>
      </x:c>
      <x:c r="W898" s="54" t="n">
        <x:f>V898-U898</x:f>
        <x:v>-28.003256952077663</x:v>
      </x:c>
      <x:c r="X898" s="58" t="n">
        <x:f>IF(R898="No","",W898*S898)</x:f>
        <x:v>-142340.55508741076</x:v>
      </x:c>
      <x:c r="Y898" s="58" t="n">
        <x:f>IF(R898="No","",W898*T898*Assumptions!$B$9)</x:f>
        <x:v>-64175.063957076374</x:v>
      </x:c>
      <x:c r="Z898" s="58" t="n">
        <x:f>IF(R898="No","",X898-Y898)</x:f>
        <x:v>-78165.49113033438</x:v>
      </x:c>
      <x:c r="AA898" s="58" t="n">
        <x:f>IF(R898="No","",MAX(0,-Z898))</x:f>
        <x:v>78165.49113033438</x:v>
      </x:c>
      <x:c r="AB898" s="52" t="n">
        <x:f>IF(OR(R898="No",U898*S898=0),"",AA898/(U898*S898))</x:f>
        <x:v>0.013371441510657769</x:v>
      </x:c>
      <x:c r="AC898" s="54" t="n">
        <x:f>IF(OR(R898="No",S898-T898*Assumptions!$B$9&lt;=0),"",AA898/(Assumptions!$B$8*(S898-T898*Assumptions!$B$9)))</x:f>
        <x:v>32.9450081789149</x:v>
      </x:c>
      <x:c r="AD898" s="52" t="n">
        <x:f>IF(OR(R898="No",U898*S898=0),"",AA898/(U898*S898))</x:f>
        <x:v>0.013371441510657769</x:v>
      </x:c>
      <x:c r="AE898" s="50" t="str">
        <x:f>IF(R898="No","No finance data",IF(AB898&gt;=10%,"Severe",IF(AB898&gt;=5%,"High",IF(AB898&gt;=2%,"Moderate","Low"))))</x:f>
        <x:v>Low</x:v>
      </x:c>
      <x:c r="AF898" s="60" t="n">
        <x:v>45.208306</x:v>
      </x:c>
      <x:c r="AG898" s="60" t="n">
        <x:v>-112.639264</x:v>
      </x:c>
      <x:c r="AH898" s="44" t="str">
        <x:v>Undergraduate tuition-contribution proxy only; not an audited total institutional budget.</x:v>
      </x:c>
    </x:row>
    <x:row r="899">
      <x:c r="A899" s="16" t="n">
        <x:v>180258</x:v>
      </x:c>
      <x:c r="B899" s="16" t="str">
        <x:v>University of Great Falls</x:v>
      </x:c>
      <x:c r="C899" s="16" t="str">
        <x:v>MT</x:v>
      </x:c>
      <x:c r="D899" s="16" t="str">
        <x:v>Private nonprofit</x:v>
      </x:c>
      <x:c r="E899" s="34" t="n">
        <x:v>1052</x:v>
      </x:c>
      <x:c r="F899" s="21" t="n">
        <x:v>1</x:v>
      </x:c>
      <x:c r="G899" s="16" t="str">
        <x:v>Regional</x:v>
      </x:c>
      <x:c r="H899" s="36" t="n">
        <x:f>IF(G899="National",Assumptions!$B$11,IF(G899="Statewide",Assumptions!$B$12,Assumptions!$B$13))</x:f>
        <x:v>0.85</x:v>
      </x:c>
      <x:c r="I899" s="21" t="n">
        <x:v>-0.00419111483654655</x:v>
      </x:c>
      <x:c r="J899" s="21" t="n">
        <x:v>0.04479836080841948</x:v>
      </x:c>
      <x:c r="K899" s="21" t="n">
        <x:v>-0.020210487100679853</x:v>
      </x:c>
      <x:c r="L899" s="36" t="n">
        <x:f>IF(Assumptions!$B$4=2030,I899,IF(Assumptions!$B$4=2035,J899,K899))</x:f>
        <x:v>0.04479836080841948</x:v>
      </x:c>
      <x:c r="M899" s="36" t="n">
        <x:f>Assumptions!$B$19</x:f>
        <x:v>-0.04739891965741583</x:v>
      </x:c>
      <x:c r="N899" s="52" t="n">
        <x:f>H899*L899+(1-H899)*M899+O899</x:f>
        <x:v>0.030968768738544178</x:v>
      </x:c>
      <x:c r="O899" s="36" t="n">
        <x:f>Assumptions!$B$10</x:f>
        <x:v>0</x:v>
      </x:c>
      <x:c r="P899" s="54" t="n">
        <x:f>E899*(1+N899)</x:f>
        <x:v>1084.5791447129486</x:v>
      </x:c>
      <x:c r="Q899" s="54" t="n">
        <x:f>P899-E899</x:f>
        <x:v>32.57914471294862</x:v>
      </x:c>
      <x:c r="R899" s="16" t="str">
        <x:v>Yes</x:v>
      </x:c>
      <x:c r="S899" s="56" t="n">
        <x:v>12771</x:v>
      </x:c>
      <x:c r="T899" s="56" t="n">
        <x:v>7790</x:v>
      </x:c>
      <x:c r="U899" s="40" t="n">
        <x:f>E899*Assumptions!$B$8</x:f>
        <x:v>894.1999999999999</x:v>
      </x:c>
      <x:c r="V899" s="40" t="n">
        <x:f>P899*Assumptions!$B$8</x:f>
        <x:v>921.8922730060063</x:v>
      </x:c>
      <x:c r="W899" s="54" t="n">
        <x:f>V899-U899</x:f>
        <x:v>27.692273006006417</x:v>
      </x:c>
      <x:c r="X899" s="58" t="n">
        <x:f>IF(R899="No","",W899*S899)</x:f>
        <x:v>353658.01855970797</x:v>
      </x:c>
      <x:c r="Y899" s="58" t="n">
        <x:f>IF(R899="No","",W899*T899*Assumptions!$B$9)</x:f>
        <x:v>64716.84201503699</x:v>
      </x:c>
      <x:c r="Z899" s="58" t="n">
        <x:f>IF(R899="No","",X899-Y899)</x:f>
        <x:v>288941.17654467095</x:v>
      </x:c>
      <x:c r="AA899" s="58" t="n">
        <x:f>IF(R899="No","",MAX(0,-Z899))</x:f>
        <x:v>0</x:v>
      </x:c>
      <x:c r="AB899" s="52" t="n">
        <x:f>IF(OR(R899="No",U899*S899=0),"",AA899/(U899*S899))</x:f>
        <x:v>0</x:v>
      </x:c>
      <x:c r="AC899" s="54" t="n">
        <x:f>IF(OR(R899="No",S899-T899*Assumptions!$B$9&lt;=0),"",AA899/(Assumptions!$B$8*(S899-T899*Assumptions!$B$9)))</x:f>
        <x:v>0</x:v>
      </x:c>
      <x:c r="AD899" s="52" t="n">
        <x:f>IF(OR(R899="No",U899*S899=0),"",AA899/(U899*S899))</x:f>
        <x:v>0</x:v>
      </x:c>
      <x:c r="AE899" s="50" t="str">
        <x:f>IF(R899="No","No finance data",IF(AB899&gt;=10%,"Severe",IF(AB899&gt;=5%,"High",IF(AB899&gt;=2%,"Moderate","Low"))))</x:f>
        <x:v>Low</x:v>
      </x:c>
      <x:c r="AF899" s="60" t="n">
        <x:v>47.490713</x:v>
      </x:c>
      <x:c r="AG899" s="60" t="n">
        <x:v>-111.270604</x:v>
      </x:c>
      <x:c r="AH899" s="44" t="str">
        <x:v>Undergraduate tuition-contribution proxy only; not an audited total institutional budget.</x:v>
      </x:c>
    </x:row>
    <x:row r="900">
      <x:c r="A900" s="16" t="n">
        <x:v>441511</x:v>
      </x:c>
      <x:c r="B900" s="16" t="str">
        <x:v>Apex School of Theology</x:v>
      </x:c>
      <x:c r="C900" s="16" t="str">
        <x:v>NC</x:v>
      </x:c>
      <x:c r="D900" s="16" t="str">
        <x:v>Private nonprofit</x:v>
      </x:c>
      <x:c r="E900" s="34" t="n">
        <x:v>971</x:v>
      </x:c>
      <x:c r="F900" s="21"/>
      <x:c r="G900" s="16" t="str">
        <x:v>Regional</x:v>
      </x:c>
      <x:c r="H900" s="36" t="n">
        <x:f>IF(G900="National",Assumptions!$B$11,IF(G900="Statewide",Assumptions!$B$12,Assumptions!$B$13))</x:f>
        <x:v>0.85</x:v>
      </x:c>
      <x:c r="I900" s="21" t="n">
        <x:v>-0.027626263872777668</x:v>
      </x:c>
      <x:c r="J900" s="21" t="n">
        <x:v>0.014002352921818728</x:v>
      </x:c>
      <x:c r="K900" s="21" t="n">
        <x:v>0.009609135260096657</x:v>
      </x:c>
      <x:c r="L900" s="36" t="n">
        <x:f>IF(Assumptions!$B$4=2030,I900,IF(Assumptions!$B$4=2035,J900,K900))</x:f>
        <x:v>0.014002352921818728</x:v>
      </x:c>
      <x:c r="M900" s="36" t="n">
        <x:f>Assumptions!$B$19</x:f>
        <x:v>-0.04739891965741583</x:v>
      </x:c>
      <x:c r="N900" s="52" t="n">
        <x:f>H900*L900+(1-H900)*M900+O900</x:f>
        <x:v>0.004792162034933543</x:v>
      </x:c>
      <x:c r="O900" s="36" t="n">
        <x:f>Assumptions!$B$10</x:f>
        <x:v>0</x:v>
      </x:c>
      <x:c r="P900" s="54" t="n">
        <x:f>E900*(1+N900)</x:f>
        <x:v>975.6531893359205</x:v>
      </x:c>
      <x:c r="Q900" s="54" t="n">
        <x:f>P900-E900</x:f>
        <x:v>4.653189335920501</x:v>
      </x:c>
      <x:c r="R900" s="16" t="str">
        <x:v>No</x:v>
      </x:c>
      <x:c r="S900" s="56"/>
      <x:c r="T900" s="56"/>
      <x:c r="U900" s="40" t="n">
        <x:f>E900*Assumptions!$B$8</x:f>
        <x:v>825.35</x:v>
      </x:c>
      <x:c r="V900" s="40" t="n">
        <x:f>P900*Assumptions!$B$8</x:f>
        <x:v>829.3052109355324</x:v>
      </x:c>
      <x:c r="W900" s="54" t="n">
        <x:f>V900-U900</x:f>
        <x:v>3.9552109355323637</x:v>
      </x:c>
      <x:c r="X900" s="58" t="str">
        <x:f>IF(R900="No","",W900*S900)</x:f>
      </x:c>
      <x:c r="Y900" s="58" t="str">
        <x:f>IF(R900="No","",W900*T900*Assumptions!$B$9)</x:f>
      </x:c>
      <x:c r="Z900" s="58" t="str">
        <x:f>IF(R900="No","",X900-Y900)</x:f>
      </x:c>
      <x:c r="AA900" s="58" t="str">
        <x:f>IF(R900="No","",MAX(0,-Z900))</x:f>
      </x:c>
      <x:c r="AB900" s="52" t="str">
        <x:f>IF(OR(R900="No",U900*S900=0),"",AA900/(U900*S900))</x:f>
      </x:c>
      <x:c r="AC900" s="54" t="str">
        <x:f>IF(OR(R900="No",S900-T900*Assumptions!$B$9&lt;=0),"",AA900/(Assumptions!$B$8*(S900-T900*Assumptions!$B$9)))</x:f>
      </x:c>
      <x:c r="AD900" s="52" t="str">
        <x:f>IF(OR(R900="No",U900*S900=0),"",AA900/(U900*S900))</x:f>
      </x:c>
      <x:c r="AE900" s="50" t="str">
        <x:f>IF(R900="No","No finance data",IF(AB900&gt;=10%,"Severe",IF(AB900&gt;=5%,"High",IF(AB900&gt;=2%,"Moderate","Low"))))</x:f>
        <x:v>No finance data</x:v>
      </x:c>
      <x:c r="AF900" s="60"/>
      <x:c r="AG900" s="60"/>
      <x:c r="AH900" s="44" t="str">
        <x:v>Undergraduate tuition-contribution proxy only; not an audited total institutional budget.</x:v>
      </x:c>
    </x:row>
    <x:row r="901">
      <x:c r="A901" s="16" t="n">
        <x:v>197869</x:v>
      </x:c>
      <x:c r="B901" s="16" t="str">
        <x:v>Appalachian State University</x:v>
      </x:c>
      <x:c r="C901" s="16" t="str">
        <x:v>NC</x:v>
      </x:c>
      <x:c r="D901" s="16" t="str">
        <x:v>Public</x:v>
      </x:c>
      <x:c r="E901" s="34" t="n">
        <x:v>16126</x:v>
      </x:c>
      <x:c r="F901" s="21" t="n">
        <x:v>0.8469</x:v>
      </x:c>
      <x:c r="G901" s="16" t="str">
        <x:v>Statewide</x:v>
      </x:c>
      <x:c r="H901" s="36" t="n">
        <x:f>IF(G901="National",Assumptions!$B$11,IF(G901="Statewide",Assumptions!$B$12,Assumptions!$B$13))</x:f>
        <x:v>0.6</x:v>
      </x:c>
      <x:c r="I901" s="21" t="n">
        <x:v>-0.027626263872777668</x:v>
      </x:c>
      <x:c r="J901" s="21" t="n">
        <x:v>0.014002352921818728</x:v>
      </x:c>
      <x:c r="K901" s="21" t="n">
        <x:v>0.009609135260096657</x:v>
      </x:c>
      <x:c r="L901" s="36" t="n">
        <x:f>IF(Assumptions!$B$4=2030,I901,IF(Assumptions!$B$4=2035,J901,K901))</x:f>
        <x:v>0.014002352921818728</x:v>
      </x:c>
      <x:c r="M901" s="36" t="n">
        <x:f>Assumptions!$B$19</x:f>
        <x:v>-0.04739891965741583</x:v>
      </x:c>
      <x:c r="N901" s="52" t="n">
        <x:f>H901*L901+(1-H901)*M901+O901</x:f>
        <x:v>-0.010558156109875098</x:v>
      </x:c>
      <x:c r="O901" s="36" t="n">
        <x:f>Assumptions!$B$10</x:f>
        <x:v>0</x:v>
      </x:c>
      <x:c r="P901" s="54" t="n">
        <x:f>E901*(1+N901)</x:f>
        <x:v>15955.739174572154</x:v>
      </x:c>
      <x:c r="Q901" s="54" t="n">
        <x:f>P901-E901</x:f>
        <x:v>-170.2608254278457</x:v>
      </x:c>
      <x:c r="R901" s="16" t="str">
        <x:v>Yes</x:v>
      </x:c>
      <x:c r="S901" s="56" t="n">
        <x:v>6660</x:v>
      </x:c>
      <x:c r="T901" s="56" t="n">
        <x:v>8027</x:v>
      </x:c>
      <x:c r="U901" s="40" t="n">
        <x:f>E901*Assumptions!$B$8</x:f>
        <x:v>13707.1</x:v>
      </x:c>
      <x:c r="V901" s="40" t="n">
        <x:f>P901*Assumptions!$B$8</x:f>
        <x:v>13562.378298386331</x:v>
      </x:c>
      <x:c r="W901" s="54" t="n">
        <x:f>V901-U901</x:f>
        <x:v>-144.7217016136692</x:v>
      </x:c>
      <x:c r="X901" s="58" t="n">
        <x:f>IF(R901="No","",W901*S901)</x:f>
        <x:v>-963846.5327470369</x:v>
      </x:c>
      <x:c r="Y901" s="58" t="n">
        <x:f>IF(R901="No","",W901*T901*Assumptions!$B$9)</x:f>
        <x:v>-348504.3296558768</x:v>
      </x:c>
      <x:c r="Z901" s="58" t="n">
        <x:f>IF(R901="No","",X901-Y901)</x:f>
        <x:v>-615342.2030911602</x:v>
      </x:c>
      <x:c r="AA901" s="58" t="n">
        <x:f>IF(R901="No","",MAX(0,-Z901))</x:f>
        <x:v>615342.2030911602</x:v>
      </x:c>
      <x:c r="AB901" s="52" t="n">
        <x:f>IF(OR(R901="No",U901*S901=0),"",AA901/(U901*S901))</x:f>
        <x:v>0.006740574168705407</x:v>
      </x:c>
      <x:c r="AC901" s="54" t="n">
        <x:f>IF(OR(R901="No",S901-T901*Assumptions!$B$9&lt;=0),"",AA901/(Assumptions!$B$8*(S901-T901*Assumptions!$B$9)))</x:f>
        <x:v>170.26082542784616</x:v>
      </x:c>
      <x:c r="AD901" s="52" t="n">
        <x:f>IF(OR(R901="No",U901*S901=0),"",AA901/(U901*S901))</x:f>
        <x:v>0.006740574168705407</x:v>
      </x:c>
      <x:c r="AE901" s="50" t="str">
        <x:f>IF(R901="No","No finance data",IF(AB901&gt;=10%,"Severe",IF(AB901&gt;=5%,"High",IF(AB901&gt;=2%,"Moderate","Low"))))</x:f>
        <x:v>Low</x:v>
      </x:c>
      <x:c r="AF901" s="60" t="n">
        <x:v>36.215536</x:v>
      </x:c>
      <x:c r="AG901" s="60" t="n">
        <x:v>-81.680583</x:v>
      </x:c>
      <x:c r="AH901" s="44" t="str">
        <x:v>Undergraduate tuition-contribution proxy only; not an audited total institutional budget.</x:v>
      </x:c>
    </x:row>
    <x:row r="902">
      <x:c r="A902" s="16" t="n">
        <x:v>197911</x:v>
      </x:c>
      <x:c r="B902" s="16" t="str">
        <x:v>Barton College</x:v>
      </x:c>
      <x:c r="C902" s="16" t="str">
        <x:v>NC</x:v>
      </x:c>
      <x:c r="D902" s="16" t="str">
        <x:v>Private nonprofit</x:v>
      </x:c>
      <x:c r="E902" s="34" t="n">
        <x:v>975</x:v>
      </x:c>
      <x:c r="F902" s="21" t="n">
        <x:v>0.986</x:v>
      </x:c>
      <x:c r="G902" s="16" t="str">
        <x:v>Regional</x:v>
      </x:c>
      <x:c r="H902" s="36" t="n">
        <x:f>IF(G902="National",Assumptions!$B$11,IF(G902="Statewide",Assumptions!$B$12,Assumptions!$B$13))</x:f>
        <x:v>0.85</x:v>
      </x:c>
      <x:c r="I902" s="21" t="n">
        <x:v>-0.027626263872777668</x:v>
      </x:c>
      <x:c r="J902" s="21" t="n">
        <x:v>0.014002352921818728</x:v>
      </x:c>
      <x:c r="K902" s="21" t="n">
        <x:v>0.009609135260096657</x:v>
      </x:c>
      <x:c r="L902" s="36" t="n">
        <x:f>IF(Assumptions!$B$4=2030,I902,IF(Assumptions!$B$4=2035,J902,K902))</x:f>
        <x:v>0.014002352921818728</x:v>
      </x:c>
      <x:c r="M902" s="36" t="n">
        <x:f>Assumptions!$B$19</x:f>
        <x:v>-0.04739891965741583</x:v>
      </x:c>
      <x:c r="N902" s="52" t="n">
        <x:f>H902*L902+(1-H902)*M902+O902</x:f>
        <x:v>0.004792162034933543</x:v>
      </x:c>
      <x:c r="O902" s="36" t="n">
        <x:f>Assumptions!$B$10</x:f>
        <x:v>0</x:v>
      </x:c>
      <x:c r="P902" s="54" t="n">
        <x:f>E902*(1+N902)</x:f>
        <x:v>979.6723579840602</x:v>
      </x:c>
      <x:c r="Q902" s="54" t="n">
        <x:f>P902-E902</x:f>
        <x:v>4.672357984060227</x:v>
      </x:c>
      <x:c r="R902" s="16" t="str">
        <x:v>Yes</x:v>
      </x:c>
      <x:c r="S902" s="56" t="n">
        <x:v>12967</x:v>
      </x:c>
      <x:c r="T902" s="56" t="n">
        <x:v>7453</x:v>
      </x:c>
      <x:c r="U902" s="40" t="n">
        <x:f>E902*Assumptions!$B$8</x:f>
        <x:v>828.75</x:v>
      </x:c>
      <x:c r="V902" s="40" t="n">
        <x:f>P902*Assumptions!$B$8</x:f>
        <x:v>832.7215042864511</x:v>
      </x:c>
      <x:c r="W902" s="54" t="n">
        <x:f>V902-U902</x:f>
        <x:v>3.971504286451136</x:v>
      </x:c>
      <x:c r="X902" s="58" t="n">
        <x:f>IF(R902="No","",W902*S902)</x:f>
        <x:v>51498.49608241188</x:v>
      </x:c>
      <x:c r="Y902" s="58" t="n">
        <x:f>IF(R902="No","",W902*T902*Assumptions!$B$9)</x:f>
        <x:v>8879.886434076096</x:v>
      </x:c>
      <x:c r="Z902" s="58" t="n">
        <x:f>IF(R902="No","",X902-Y902)</x:f>
        <x:v>42618.60964833578</x:v>
      </x:c>
      <x:c r="AA902" s="58" t="n">
        <x:f>IF(R902="No","",MAX(0,-Z902))</x:f>
        <x:v>0</x:v>
      </x:c>
      <x:c r="AB902" s="52" t="n">
        <x:f>IF(OR(R902="No",U902*S902=0),"",AA902/(U902*S902))</x:f>
        <x:v>0</x:v>
      </x:c>
      <x:c r="AC902" s="54" t="n">
        <x:f>IF(OR(R902="No",S902-T902*Assumptions!$B$9&lt;=0),"",AA902/(Assumptions!$B$8*(S902-T902*Assumptions!$B$9)))</x:f>
        <x:v>0</x:v>
      </x:c>
      <x:c r="AD902" s="52" t="n">
        <x:f>IF(OR(R902="No",U902*S902=0),"",AA902/(U902*S902))</x:f>
        <x:v>0</x:v>
      </x:c>
      <x:c r="AE902" s="50" t="str">
        <x:f>IF(R902="No","No finance data",IF(AB902&gt;=10%,"Severe",IF(AB902&gt;=5%,"High",IF(AB902&gt;=2%,"Moderate","Low"))))</x:f>
        <x:v>Low</x:v>
      </x:c>
      <x:c r="AF902" s="60" t="n">
        <x:v>35.734376</x:v>
      </x:c>
      <x:c r="AG902" s="60" t="n">
        <x:v>-77.913867</x:v>
      </x:c>
      <x:c r="AH902" s="44" t="str">
        <x:v>Undergraduate tuition-contribution proxy only; not an audited total institutional budget.</x:v>
      </x:c>
    </x:row>
    <x:row r="903">
      <x:c r="A903" s="16" t="n">
        <x:v>197984</x:v>
      </x:c>
      <x:c r="B903" s="16" t="str">
        <x:v>Belmont Abbey College</x:v>
      </x:c>
      <x:c r="C903" s="16" t="str">
        <x:v>NC</x:v>
      </x:c>
      <x:c r="D903" s="16" t="str">
        <x:v>Private nonprofit</x:v>
      </x:c>
      <x:c r="E903" s="34" t="n">
        <x:v>1482</x:v>
      </x:c>
      <x:c r="F903" s="21" t="n">
        <x:v>0.9891</x:v>
      </x:c>
      <x:c r="G903" s="16" t="str">
        <x:v>Regional</x:v>
      </x:c>
      <x:c r="H903" s="36" t="n">
        <x:f>IF(G903="National",Assumptions!$B$11,IF(G903="Statewide",Assumptions!$B$12,Assumptions!$B$13))</x:f>
        <x:v>0.85</x:v>
      </x:c>
      <x:c r="I903" s="21" t="n">
        <x:v>-0.027626263872777668</x:v>
      </x:c>
      <x:c r="J903" s="21" t="n">
        <x:v>0.014002352921818728</x:v>
      </x:c>
      <x:c r="K903" s="21" t="n">
        <x:v>0.009609135260096657</x:v>
      </x:c>
      <x:c r="L903" s="36" t="n">
        <x:f>IF(Assumptions!$B$4=2030,I903,IF(Assumptions!$B$4=2035,J903,K903))</x:f>
        <x:v>0.014002352921818728</x:v>
      </x:c>
      <x:c r="M903" s="36" t="n">
        <x:f>Assumptions!$B$19</x:f>
        <x:v>-0.04739891965741583</x:v>
      </x:c>
      <x:c r="N903" s="52" t="n">
        <x:f>H903*L903+(1-H903)*M903+O903</x:f>
        <x:v>0.004792162034933543</x:v>
      </x:c>
      <x:c r="O903" s="36" t="n">
        <x:f>Assumptions!$B$10</x:f>
        <x:v>0</x:v>
      </x:c>
      <x:c r="P903" s="54" t="n">
        <x:f>E903*(1+N903)</x:f>
        <x:v>1489.1019841357715</x:v>
      </x:c>
      <x:c r="Q903" s="54" t="n">
        <x:f>P903-E903</x:f>
        <x:v>7.101984135771545</x:v>
      </x:c>
      <x:c r="R903" s="16" t="str">
        <x:v>Yes</x:v>
      </x:c>
      <x:c r="S903" s="56" t="n">
        <x:v>10232</x:v>
      </x:c>
      <x:c r="T903" s="56" t="n">
        <x:v>6115</x:v>
      </x:c>
      <x:c r="U903" s="40" t="n">
        <x:f>E903*Assumptions!$B$8</x:f>
        <x:v>1259.7</x:v>
      </x:c>
      <x:c r="V903" s="40" t="n">
        <x:f>P903*Assumptions!$B$8</x:f>
        <x:v>1265.7366865154058</x:v>
      </x:c>
      <x:c r="W903" s="54" t="n">
        <x:f>V903-U903</x:f>
        <x:v>6.0366865154057905</x:v>
      </x:c>
      <x:c r="X903" s="58" t="n">
        <x:f>IF(R903="No","",W903*S903)</x:f>
        <x:v>61767.37642563205</x:v>
      </x:c>
      <x:c r="Y903" s="58" t="n">
        <x:f>IF(R903="No","",W903*T903*Assumptions!$B$9)</x:f>
        <x:v>11074.301412511923</x:v>
      </x:c>
      <x:c r="Z903" s="58" t="n">
        <x:f>IF(R903="No","",X903-Y903)</x:f>
        <x:v>50693.07501312013</x:v>
      </x:c>
      <x:c r="AA903" s="58" t="n">
        <x:f>IF(R903="No","",MAX(0,-Z903))</x:f>
        <x:v>0</x:v>
      </x:c>
      <x:c r="AB903" s="52" t="n">
        <x:f>IF(OR(R903="No",U903*S903=0),"",AA903/(U903*S903))</x:f>
        <x:v>0</x:v>
      </x:c>
      <x:c r="AC903" s="54" t="n">
        <x:f>IF(OR(R903="No",S903-T903*Assumptions!$B$9&lt;=0),"",AA903/(Assumptions!$B$8*(S903-T903*Assumptions!$B$9)))</x:f>
        <x:v>0</x:v>
      </x:c>
      <x:c r="AD903" s="52" t="n">
        <x:f>IF(OR(R903="No",U903*S903=0),"",AA903/(U903*S903))</x:f>
        <x:v>0</x:v>
      </x:c>
      <x:c r="AE903" s="50" t="str">
        <x:f>IF(R903="No","No finance data",IF(AB903&gt;=10%,"Severe",IF(AB903&gt;=5%,"High",IF(AB903&gt;=2%,"Moderate","Low"))))</x:f>
        <x:v>Low</x:v>
      </x:c>
      <x:c r="AF903" s="60" t="n">
        <x:v>35.260651</x:v>
      </x:c>
      <x:c r="AG903" s="60" t="n">
        <x:v>-81.041315</x:v>
      </x:c>
      <x:c r="AH903" s="44" t="str">
        <x:v>Undergraduate tuition-contribution proxy only; not an audited total institutional budget.</x:v>
      </x:c>
    </x:row>
    <x:row r="904">
      <x:c r="A904" s="16" t="n">
        <x:v>197993</x:v>
      </x:c>
      <x:c r="B904" s="16" t="str">
        <x:v>Bennett College</x:v>
      </x:c>
      <x:c r="C904" s="16" t="str">
        <x:v>NC</x:v>
      </x:c>
      <x:c r="D904" s="16" t="str">
        <x:v>Private nonprofit</x:v>
      </x:c>
      <x:c r="E904" s="34" t="n">
        <x:v>508</x:v>
      </x:c>
      <x:c r="F904" s="21"/>
      <x:c r="G904" s="16" t="str">
        <x:v>Regional</x:v>
      </x:c>
      <x:c r="H904" s="36" t="n">
        <x:f>IF(G904="National",Assumptions!$B$11,IF(G904="Statewide",Assumptions!$B$12,Assumptions!$B$13))</x:f>
        <x:v>0.85</x:v>
      </x:c>
      <x:c r="I904" s="21" t="n">
        <x:v>-0.027626263872777668</x:v>
      </x:c>
      <x:c r="J904" s="21" t="n">
        <x:v>0.014002352921818728</x:v>
      </x:c>
      <x:c r="K904" s="21" t="n">
        <x:v>0.009609135260096657</x:v>
      </x:c>
      <x:c r="L904" s="36" t="n">
        <x:f>IF(Assumptions!$B$4=2030,I904,IF(Assumptions!$B$4=2035,J904,K904))</x:f>
        <x:v>0.014002352921818728</x:v>
      </x:c>
      <x:c r="M904" s="36" t="n">
        <x:f>Assumptions!$B$19</x:f>
        <x:v>-0.04739891965741583</x:v>
      </x:c>
      <x:c r="N904" s="52" t="n">
        <x:f>H904*L904+(1-H904)*M904+O904</x:f>
        <x:v>0.004792162034933543</x:v>
      </x:c>
      <x:c r="O904" s="36" t="n">
        <x:f>Assumptions!$B$10</x:f>
        <x:v>0</x:v>
      </x:c>
      <x:c r="P904" s="54" t="n">
        <x:f>E904*(1+N904)</x:f>
        <x:v>510.4344183137463</x:v>
      </x:c>
      <x:c r="Q904" s="54" t="n">
        <x:f>P904-E904</x:f>
        <x:v>2.434418313746278</x:v>
      </x:c>
      <x:c r="R904" s="16" t="str">
        <x:v>No</x:v>
      </x:c>
      <x:c r="S904" s="56"/>
      <x:c r="T904" s="56"/>
      <x:c r="U904" s="40" t="n">
        <x:f>E904*Assumptions!$B$8</x:f>
        <x:v>431.8</x:v>
      </x:c>
      <x:c r="V904" s="40" t="n">
        <x:f>P904*Assumptions!$B$8</x:f>
        <x:v>433.86925556668433</x:v>
      </x:c>
      <x:c r="W904" s="54" t="n">
        <x:f>V904-U904</x:f>
        <x:v>2.069255566684319</x:v>
      </x:c>
      <x:c r="X904" s="58" t="str">
        <x:f>IF(R904="No","",W904*S904)</x:f>
      </x:c>
      <x:c r="Y904" s="58" t="str">
        <x:f>IF(R904="No","",W904*T904*Assumptions!$B$9)</x:f>
      </x:c>
      <x:c r="Z904" s="58" t="str">
        <x:f>IF(R904="No","",X904-Y904)</x:f>
      </x:c>
      <x:c r="AA904" s="58" t="str">
        <x:f>IF(R904="No","",MAX(0,-Z904))</x:f>
      </x:c>
      <x:c r="AB904" s="52" t="str">
        <x:f>IF(OR(R904="No",U904*S904=0),"",AA904/(U904*S904))</x:f>
      </x:c>
      <x:c r="AC904" s="54" t="str">
        <x:f>IF(OR(R904="No",S904-T904*Assumptions!$B$9&lt;=0),"",AA904/(Assumptions!$B$8*(S904-T904*Assumptions!$B$9)))</x:f>
      </x:c>
      <x:c r="AD904" s="52" t="str">
        <x:f>IF(OR(R904="No",U904*S904=0),"",AA904/(U904*S904))</x:f>
      </x:c>
      <x:c r="AE904" s="50" t="str">
        <x:f>IF(R904="No","No finance data",IF(AB904&gt;=10%,"Severe",IF(AB904&gt;=5%,"High",IF(AB904&gt;=2%,"Moderate","Low"))))</x:f>
        <x:v>No finance data</x:v>
      </x:c>
      <x:c r="AF904" s="60"/>
      <x:c r="AG904" s="60"/>
      <x:c r="AH904" s="44" t="str">
        <x:v>Undergraduate tuition-contribution proxy only; not an audited total institutional budget.</x:v>
      </x:c>
    </x:row>
    <x:row r="905">
      <x:c r="A905" s="16" t="n">
        <x:v>198066</x:v>
      </x:c>
      <x:c r="B905" s="16" t="str">
        <x:v>Brevard College</x:v>
      </x:c>
      <x:c r="C905" s="16" t="str">
        <x:v>NC</x:v>
      </x:c>
      <x:c r="D905" s="16" t="str">
        <x:v>Private nonprofit</x:v>
      </x:c>
      <x:c r="E905" s="34" t="n">
        <x:v>725</x:v>
      </x:c>
      <x:c r="F905" s="21" t="n">
        <x:v>0.4471</x:v>
      </x:c>
      <x:c r="G905" s="16" t="str">
        <x:v>Regional</x:v>
      </x:c>
      <x:c r="H905" s="36" t="n">
        <x:f>IF(G905="National",Assumptions!$B$11,IF(G905="Statewide",Assumptions!$B$12,Assumptions!$B$13))</x:f>
        <x:v>0.85</x:v>
      </x:c>
      <x:c r="I905" s="21" t="n">
        <x:v>-0.027626263872777668</x:v>
      </x:c>
      <x:c r="J905" s="21" t="n">
        <x:v>0.014002352921818728</x:v>
      </x:c>
      <x:c r="K905" s="21" t="n">
        <x:v>0.009609135260096657</x:v>
      </x:c>
      <x:c r="L905" s="36" t="n">
        <x:f>IF(Assumptions!$B$4=2030,I905,IF(Assumptions!$B$4=2035,J905,K905))</x:f>
        <x:v>0.014002352921818728</x:v>
      </x:c>
      <x:c r="M905" s="36" t="n">
        <x:f>Assumptions!$B$19</x:f>
        <x:v>-0.04739891965741583</x:v>
      </x:c>
      <x:c r="N905" s="52" t="n">
        <x:f>H905*L905+(1-H905)*M905+O905</x:f>
        <x:v>0.004792162034933543</x:v>
      </x:c>
      <x:c r="O905" s="36" t="n">
        <x:f>Assumptions!$B$10</x:f>
        <x:v>0</x:v>
      </x:c>
      <x:c r="P905" s="54" t="n">
        <x:f>E905*(1+N905)</x:f>
        <x:v>728.4743174753269</x:v>
      </x:c>
      <x:c r="Q905" s="54" t="n">
        <x:f>P905-E905</x:f>
        <x:v>3.4743174753268704</x:v>
      </x:c>
      <x:c r="R905" s="16" t="str">
        <x:v>Yes</x:v>
      </x:c>
      <x:c r="S905" s="56" t="n">
        <x:v>12286</x:v>
      </x:c>
      <x:c r="T905" s="56" t="n">
        <x:v>6318</x:v>
      </x:c>
      <x:c r="U905" s="40" t="n">
        <x:f>E905*Assumptions!$B$8</x:f>
        <x:v>616.25</x:v>
      </x:c>
      <x:c r="V905" s="40" t="n">
        <x:f>P905*Assumptions!$B$8</x:f>
        <x:v>619.2031698540278</x:v>
      </x:c>
      <x:c r="W905" s="54" t="n">
        <x:f>V905-U905</x:f>
        <x:v>2.9531698540278057</x:v>
      </x:c>
      <x:c r="X905" s="58" t="n">
        <x:f>IF(R905="No","",W905*S905)</x:f>
        <x:v>36282.64482658562</x:v>
      </x:c>
      <x:c r="Y905" s="58" t="n">
        <x:f>IF(R905="No","",W905*T905*Assumptions!$B$9)</x:f>
        <x:v>5597.438141324303</x:v>
      </x:c>
      <x:c r="Z905" s="58" t="n">
        <x:f>IF(R905="No","",X905-Y905)</x:f>
        <x:v>30685.20668526132</x:v>
      </x:c>
      <x:c r="AA905" s="58" t="n">
        <x:f>IF(R905="No","",MAX(0,-Z905))</x:f>
        <x:v>0</x:v>
      </x:c>
      <x:c r="AB905" s="52" t="n">
        <x:f>IF(OR(R905="No",U905*S905=0),"",AA905/(U905*S905))</x:f>
        <x:v>0</x:v>
      </x:c>
      <x:c r="AC905" s="54" t="n">
        <x:f>IF(OR(R905="No",S905-T905*Assumptions!$B$9&lt;=0),"",AA905/(Assumptions!$B$8*(S905-T905*Assumptions!$B$9)))</x:f>
        <x:v>0</x:v>
      </x:c>
      <x:c r="AD905" s="52" t="n">
        <x:f>IF(OR(R905="No",U905*S905=0),"",AA905/(U905*S905))</x:f>
        <x:v>0</x:v>
      </x:c>
      <x:c r="AE905" s="50" t="str">
        <x:f>IF(R905="No","No finance data",IF(AB905&gt;=10%,"Severe",IF(AB905&gt;=5%,"High",IF(AB905&gt;=2%,"Moderate","Low"))))</x:f>
        <x:v>Low</x:v>
      </x:c>
      <x:c r="AF905" s="60" t="n">
        <x:v>35.236763</x:v>
      </x:c>
      <x:c r="AG905" s="60" t="n">
        <x:v>-82.729494</x:v>
      </x:c>
      <x:c r="AH905" s="44" t="str">
        <x:v>Undergraduate tuition-contribution proxy only; not an audited total institutional budget.</x:v>
      </x:c>
    </x:row>
    <x:row r="906">
      <x:c r="A906" s="16" t="n">
        <x:v>198136</x:v>
      </x:c>
      <x:c r="B906" s="16" t="str">
        <x:v>Campbell University</x:v>
      </x:c>
      <x:c r="C906" s="16" t="str">
        <x:v>NC</x:v>
      </x:c>
      <x:c r="D906" s="16" t="str">
        <x:v>Private nonprofit</x:v>
      </x:c>
      <x:c r="E906" s="34" t="n">
        <x:v>4401</x:v>
      </x:c>
      <x:c r="F906" s="21" t="n">
        <x:v>0.8725</x:v>
      </x:c>
      <x:c r="G906" s="16" t="str">
        <x:v>Regional</x:v>
      </x:c>
      <x:c r="H906" s="36" t="n">
        <x:f>IF(G906="National",Assumptions!$B$11,IF(G906="Statewide",Assumptions!$B$12,Assumptions!$B$13))</x:f>
        <x:v>0.85</x:v>
      </x:c>
      <x:c r="I906" s="21" t="n">
        <x:v>-0.027626263872777668</x:v>
      </x:c>
      <x:c r="J906" s="21" t="n">
        <x:v>0.014002352921818728</x:v>
      </x:c>
      <x:c r="K906" s="21" t="n">
        <x:v>0.009609135260096657</x:v>
      </x:c>
      <x:c r="L906" s="36" t="n">
        <x:f>IF(Assumptions!$B$4=2030,I906,IF(Assumptions!$B$4=2035,J906,K906))</x:f>
        <x:v>0.014002352921818728</x:v>
      </x:c>
      <x:c r="M906" s="36" t="n">
        <x:f>Assumptions!$B$19</x:f>
        <x:v>-0.04739891965741583</x:v>
      </x:c>
      <x:c r="N906" s="52" t="n">
        <x:f>H906*L906+(1-H906)*M906+O906</x:f>
        <x:v>0.004792162034933543</x:v>
      </x:c>
      <x:c r="O906" s="36" t="n">
        <x:f>Assumptions!$B$10</x:f>
        <x:v>0</x:v>
      </x:c>
      <x:c r="P906" s="54" t="n">
        <x:f>E906*(1+N906)</x:f>
        <x:v>4422.090305115743</x:v>
      </x:c>
      <x:c r="Q906" s="54" t="n">
        <x:f>P906-E906</x:f>
        <x:v>21.09030511574292</x:v>
      </x:c>
      <x:c r="R906" s="16" t="str">
        <x:v>Yes</x:v>
      </x:c>
      <x:c r="S906" s="56" t="n">
        <x:v>16048</x:v>
      </x:c>
      <x:c r="T906" s="56" t="n">
        <x:v>11008</x:v>
      </x:c>
      <x:c r="U906" s="40" t="n">
        <x:f>E906*Assumptions!$B$8</x:f>
        <x:v>3740.85</x:v>
      </x:c>
      <x:c r="V906" s="40" t="n">
        <x:f>P906*Assumptions!$B$8</x:f>
        <x:v>3758.7767593483813</x:v>
      </x:c>
      <x:c r="W906" s="54" t="n">
        <x:f>V906-U906</x:f>
        <x:v>17.926759348381438</x:v>
      </x:c>
      <x:c r="X906" s="58" t="n">
        <x:f>IF(R906="No","",W906*S906)</x:f>
        <x:v>287688.63402282534</x:v>
      </x:c>
      <x:c r="Y906" s="58" t="n">
        <x:f>IF(R906="No","",W906*T906*Assumptions!$B$9)</x:f>
        <x:v>59201.33007209486</x:v>
      </x:c>
      <x:c r="Z906" s="58" t="n">
        <x:f>IF(R906="No","",X906-Y906)</x:f>
        <x:v>228487.30395073048</x:v>
      </x:c>
      <x:c r="AA906" s="58" t="n">
        <x:f>IF(R906="No","",MAX(0,-Z906))</x:f>
        <x:v>0</x:v>
      </x:c>
      <x:c r="AB906" s="52" t="n">
        <x:f>IF(OR(R906="No",U906*S906=0),"",AA906/(U906*S906))</x:f>
        <x:v>0</x:v>
      </x:c>
      <x:c r="AC906" s="54" t="n">
        <x:f>IF(OR(R906="No",S906-T906*Assumptions!$B$9&lt;=0),"",AA906/(Assumptions!$B$8*(S906-T906*Assumptions!$B$9)))</x:f>
        <x:v>0</x:v>
      </x:c>
      <x:c r="AD906" s="52" t="n">
        <x:f>IF(OR(R906="No",U906*S906=0),"",AA906/(U906*S906))</x:f>
        <x:v>0</x:v>
      </x:c>
      <x:c r="AE906" s="50" t="str">
        <x:f>IF(R906="No","No finance data",IF(AB906&gt;=10%,"Severe",IF(AB906&gt;=5%,"High",IF(AB906&gt;=2%,"Moderate","Low"))))</x:f>
        <x:v>Low</x:v>
      </x:c>
      <x:c r="AF906" s="60" t="n">
        <x:v>35.409149</x:v>
      </x:c>
      <x:c r="AG906" s="60" t="n">
        <x:v>-78.738238</x:v>
      </x:c>
      <x:c r="AH906" s="44" t="str">
        <x:v>Undergraduate tuition-contribution proxy only; not an audited total institutional budget.</x:v>
      </x:c>
    </x:row>
    <x:row r="907">
      <x:c r="A907" s="16" t="n">
        <x:v>199971</x:v>
      </x:c>
      <x:c r="B907" s="16" t="str">
        <x:v>Carolina Christian College</x:v>
      </x:c>
      <x:c r="C907" s="16" t="str">
        <x:v>NC</x:v>
      </x:c>
      <x:c r="D907" s="16" t="str">
        <x:v>Private nonprofit</x:v>
      </x:c>
      <x:c r="E907" s="34" t="n">
        <x:v>31</x:v>
      </x:c>
      <x:c r="F907" s="21"/>
      <x:c r="G907" s="16" t="str">
        <x:v>Regional</x:v>
      </x:c>
      <x:c r="H907" s="36" t="n">
        <x:f>IF(G907="National",Assumptions!$B$11,IF(G907="Statewide",Assumptions!$B$12,Assumptions!$B$13))</x:f>
        <x:v>0.85</x:v>
      </x:c>
      <x:c r="I907" s="21" t="n">
        <x:v>-0.027626263872777668</x:v>
      </x:c>
      <x:c r="J907" s="21" t="n">
        <x:v>0.014002352921818728</x:v>
      </x:c>
      <x:c r="K907" s="21" t="n">
        <x:v>0.009609135260096657</x:v>
      </x:c>
      <x:c r="L907" s="36" t="n">
        <x:f>IF(Assumptions!$B$4=2030,I907,IF(Assumptions!$B$4=2035,J907,K907))</x:f>
        <x:v>0.014002352921818728</x:v>
      </x:c>
      <x:c r="M907" s="36" t="n">
        <x:f>Assumptions!$B$19</x:f>
        <x:v>-0.04739891965741583</x:v>
      </x:c>
      <x:c r="N907" s="52" t="n">
        <x:f>H907*L907+(1-H907)*M907+O907</x:f>
        <x:v>0.004792162034933543</x:v>
      </x:c>
      <x:c r="O907" s="36" t="n">
        <x:f>Assumptions!$B$10</x:f>
        <x:v>0</x:v>
      </x:c>
      <x:c r="P907" s="54" t="n">
        <x:f>E907*(1+N907)</x:f>
        <x:v>31.14855702308294</x:v>
      </x:c>
      <x:c r="Q907" s="54" t="n">
        <x:f>P907-E907</x:f>
        <x:v>0.14855702308294028</x:v>
      </x:c>
      <x:c r="R907" s="16" t="str">
        <x:v>No</x:v>
      </x:c>
      <x:c r="S907" s="56"/>
      <x:c r="T907" s="56"/>
      <x:c r="U907" s="40" t="n">
        <x:f>E907*Assumptions!$B$8</x:f>
        <x:v>26.349999999999998</x:v>
      </x:c>
      <x:c r="V907" s="40" t="n">
        <x:f>P907*Assumptions!$B$8</x:f>
        <x:v>26.476273469620498</x:v>
      </x:c>
      <x:c r="W907" s="54" t="n">
        <x:f>V907-U907</x:f>
        <x:v>0.12627346962050012</x:v>
      </x:c>
      <x:c r="X907" s="58" t="str">
        <x:f>IF(R907="No","",W907*S907)</x:f>
      </x:c>
      <x:c r="Y907" s="58" t="str">
        <x:f>IF(R907="No","",W907*T907*Assumptions!$B$9)</x:f>
      </x:c>
      <x:c r="Z907" s="58" t="str">
        <x:f>IF(R907="No","",X907-Y907)</x:f>
      </x:c>
      <x:c r="AA907" s="58" t="str">
        <x:f>IF(R907="No","",MAX(0,-Z907))</x:f>
      </x:c>
      <x:c r="AB907" s="52" t="str">
        <x:f>IF(OR(R907="No",U907*S907=0),"",AA907/(U907*S907))</x:f>
      </x:c>
      <x:c r="AC907" s="54" t="str">
        <x:f>IF(OR(R907="No",S907-T907*Assumptions!$B$9&lt;=0),"",AA907/(Assumptions!$B$8*(S907-T907*Assumptions!$B$9)))</x:f>
      </x:c>
      <x:c r="AD907" s="52" t="str">
        <x:f>IF(OR(R907="No",U907*S907=0),"",AA907/(U907*S907))</x:f>
      </x:c>
      <x:c r="AE907" s="50" t="str">
        <x:f>IF(R907="No","No finance data",IF(AB907&gt;=10%,"Severe",IF(AB907&gt;=5%,"High",IF(AB907&gt;=2%,"Moderate","Low"))))</x:f>
        <x:v>No finance data</x:v>
      </x:c>
      <x:c r="AF907" s="60"/>
      <x:c r="AG907" s="60"/>
      <x:c r="AH907" s="44" t="str">
        <x:v>Undergraduate tuition-contribution proxy only; not an audited total institutional budget.</x:v>
      </x:c>
    </x:row>
    <x:row r="908">
      <x:c r="A908" s="16" t="n">
        <x:v>198215</x:v>
      </x:c>
      <x:c r="B908" s="16" t="str">
        <x:v>Catawba College</x:v>
      </x:c>
      <x:c r="C908" s="16" t="str">
        <x:v>NC</x:v>
      </x:c>
      <x:c r="D908" s="16" t="str">
        <x:v>Private nonprofit</x:v>
      </x:c>
      <x:c r="E908" s="34" t="n">
        <x:v>1254</x:v>
      </x:c>
      <x:c r="F908" s="21" t="n">
        <x:v>0.5612</x:v>
      </x:c>
      <x:c r="G908" s="16" t="str">
        <x:v>Regional</x:v>
      </x:c>
      <x:c r="H908" s="36" t="n">
        <x:f>IF(G908="National",Assumptions!$B$11,IF(G908="Statewide",Assumptions!$B$12,Assumptions!$B$13))</x:f>
        <x:v>0.85</x:v>
      </x:c>
      <x:c r="I908" s="21" t="n">
        <x:v>-0.027626263872777668</x:v>
      </x:c>
      <x:c r="J908" s="21" t="n">
        <x:v>0.014002352921818728</x:v>
      </x:c>
      <x:c r="K908" s="21" t="n">
        <x:v>0.009609135260096657</x:v>
      </x:c>
      <x:c r="L908" s="36" t="n">
        <x:f>IF(Assumptions!$B$4=2030,I908,IF(Assumptions!$B$4=2035,J908,K908))</x:f>
        <x:v>0.014002352921818728</x:v>
      </x:c>
      <x:c r="M908" s="36" t="n">
        <x:f>Assumptions!$B$19</x:f>
        <x:v>-0.04739891965741583</x:v>
      </x:c>
      <x:c r="N908" s="52" t="n">
        <x:f>H908*L908+(1-H908)*M908+O908</x:f>
        <x:v>0.004792162034933543</x:v>
      </x:c>
      <x:c r="O908" s="36" t="n">
        <x:f>Assumptions!$B$10</x:f>
        <x:v>0</x:v>
      </x:c>
      <x:c r="P908" s="54" t="n">
        <x:f>E908*(1+N908)</x:f>
        <x:v>1260.0093711918066</x:v>
      </x:c>
      <x:c r="Q908" s="54" t="n">
        <x:f>P908-E908</x:f>
        <x:v>6.009371191806622</x:v>
      </x:c>
      <x:c r="R908" s="16" t="str">
        <x:v>Yes</x:v>
      </x:c>
      <x:c r="S908" s="56" t="n">
        <x:v>23003</x:v>
      </x:c>
      <x:c r="T908" s="56" t="n">
        <x:v>9187</x:v>
      </x:c>
      <x:c r="U908" s="40" t="n">
        <x:f>E908*Assumptions!$B$8</x:f>
        <x:v>1065.8999999999999</x:v>
      </x:c>
      <x:c r="V908" s="40" t="n">
        <x:f>P908*Assumptions!$B$8</x:f>
        <x:v>1071.0079655130355</x:v>
      </x:c>
      <x:c r="W908" s="54" t="n">
        <x:f>V908-U908</x:f>
        <x:v>5.107965513035651</x:v>
      </x:c>
      <x:c r="X908" s="58" t="n">
        <x:f>IF(R908="No","",W908*S908)</x:f>
        <x:v>117498.53069635908</x:v>
      </x:c>
      <x:c r="Y908" s="58" t="n">
        <x:f>IF(R908="No","",W908*T908*Assumptions!$B$9)</x:f>
        <x:v>14078.063750477559</x:v>
      </x:c>
      <x:c r="Z908" s="58" t="n">
        <x:f>IF(R908="No","",X908-Y908)</x:f>
        <x:v>103420.46694588152</x:v>
      </x:c>
      <x:c r="AA908" s="58" t="n">
        <x:f>IF(R908="No","",MAX(0,-Z908))</x:f>
        <x:v>0</x:v>
      </x:c>
      <x:c r="AB908" s="52" t="n">
        <x:f>IF(OR(R908="No",U908*S908=0),"",AA908/(U908*S908))</x:f>
        <x:v>0</x:v>
      </x:c>
      <x:c r="AC908" s="54" t="n">
        <x:f>IF(OR(R908="No",S908-T908*Assumptions!$B$9&lt;=0),"",AA908/(Assumptions!$B$8*(S908-T908*Assumptions!$B$9)))</x:f>
        <x:v>0</x:v>
      </x:c>
      <x:c r="AD908" s="52" t="n">
        <x:f>IF(OR(R908="No",U908*S908=0),"",AA908/(U908*S908))</x:f>
        <x:v>0</x:v>
      </x:c>
      <x:c r="AE908" s="50" t="str">
        <x:f>IF(R908="No","No finance data",IF(AB908&gt;=10%,"Severe",IF(AB908&gt;=5%,"High",IF(AB908&gt;=2%,"Moderate","Low"))))</x:f>
        <x:v>Low</x:v>
      </x:c>
      <x:c r="AF908" s="60" t="n">
        <x:v>35.691443</x:v>
      </x:c>
      <x:c r="AG908" s="60" t="n">
        <x:v>-80.482751</x:v>
      </x:c>
      <x:c r="AH908" s="44" t="str">
        <x:v>Undergraduate tuition-contribution proxy only; not an audited total institutional budget.</x:v>
      </x:c>
    </x:row>
    <x:row r="909">
      <x:c r="A909" s="16" t="n">
        <x:v>444778</x:v>
      </x:c>
      <x:c r="B909" s="16" t="str">
        <x:v>Charlotte Christian College and Theological Seminary</x:v>
      </x:c>
      <x:c r="C909" s="16" t="str">
        <x:v>NC</x:v>
      </x:c>
      <x:c r="D909" s="16" t="str">
        <x:v>Private nonprofit</x:v>
      </x:c>
      <x:c r="E909" s="34" t="n">
        <x:v>93</x:v>
      </x:c>
      <x:c r="F909" s="21"/>
      <x:c r="G909" s="16" t="str">
        <x:v>Regional</x:v>
      </x:c>
      <x:c r="H909" s="36" t="n">
        <x:f>IF(G909="National",Assumptions!$B$11,IF(G909="Statewide",Assumptions!$B$12,Assumptions!$B$13))</x:f>
        <x:v>0.85</x:v>
      </x:c>
      <x:c r="I909" s="21" t="n">
        <x:v>-0.027626263872777668</x:v>
      </x:c>
      <x:c r="J909" s="21" t="n">
        <x:v>0.014002352921818728</x:v>
      </x:c>
      <x:c r="K909" s="21" t="n">
        <x:v>0.009609135260096657</x:v>
      </x:c>
      <x:c r="L909" s="36" t="n">
        <x:f>IF(Assumptions!$B$4=2030,I909,IF(Assumptions!$B$4=2035,J909,K909))</x:f>
        <x:v>0.014002352921818728</x:v>
      </x:c>
      <x:c r="M909" s="36" t="n">
        <x:f>Assumptions!$B$19</x:f>
        <x:v>-0.04739891965741583</x:v>
      </x:c>
      <x:c r="N909" s="52" t="n">
        <x:f>H909*L909+(1-H909)*M909+O909</x:f>
        <x:v>0.004792162034933543</x:v>
      </x:c>
      <x:c r="O909" s="36" t="n">
        <x:f>Assumptions!$B$10</x:f>
        <x:v>0</x:v>
      </x:c>
      <x:c r="P909" s="54" t="n">
        <x:f>E909*(1+N909)</x:f>
        <x:v>93.44567106924883</x:v>
      </x:c>
      <x:c r="Q909" s="54" t="n">
        <x:f>P909-E909</x:f>
        <x:v>0.4456710692488315</x:v>
      </x:c>
      <x:c r="R909" s="16" t="str">
        <x:v>No</x:v>
      </x:c>
      <x:c r="S909" s="56"/>
      <x:c r="T909" s="56"/>
      <x:c r="U909" s="40" t="n">
        <x:f>E909*Assumptions!$B$8</x:f>
        <x:v>79.05</x:v>
      </x:c>
      <x:c r="V909" s="40" t="n">
        <x:f>P909*Assumptions!$B$8</x:f>
        <x:v>79.42882040886151</x:v>
      </x:c>
      <x:c r="W909" s="54" t="n">
        <x:f>V909-U909</x:f>
        <x:v>0.3788204088615146</x:v>
      </x:c>
      <x:c r="X909" s="58" t="str">
        <x:f>IF(R909="No","",W909*S909)</x:f>
      </x:c>
      <x:c r="Y909" s="58" t="str">
        <x:f>IF(R909="No","",W909*T909*Assumptions!$B$9)</x:f>
      </x:c>
      <x:c r="Z909" s="58" t="str">
        <x:f>IF(R909="No","",X909-Y909)</x:f>
      </x:c>
      <x:c r="AA909" s="58" t="str">
        <x:f>IF(R909="No","",MAX(0,-Z909))</x:f>
      </x:c>
      <x:c r="AB909" s="52" t="str">
        <x:f>IF(OR(R909="No",U909*S909=0),"",AA909/(U909*S909))</x:f>
      </x:c>
      <x:c r="AC909" s="54" t="str">
        <x:f>IF(OR(R909="No",S909-T909*Assumptions!$B$9&lt;=0),"",AA909/(Assumptions!$B$8*(S909-T909*Assumptions!$B$9)))</x:f>
      </x:c>
      <x:c r="AD909" s="52" t="str">
        <x:f>IF(OR(R909="No",U909*S909=0),"",AA909/(U909*S909))</x:f>
      </x:c>
      <x:c r="AE909" s="50" t="str">
        <x:f>IF(R909="No","No finance data",IF(AB909&gt;=10%,"Severe",IF(AB909&gt;=5%,"High",IF(AB909&gt;=2%,"Moderate","Low"))))</x:f>
        <x:v>No finance data</x:v>
      </x:c>
      <x:c r="AF909" s="60"/>
      <x:c r="AG909" s="60"/>
      <x:c r="AH909" s="44" t="str">
        <x:v>Undergraduate tuition-contribution proxy only; not an audited total institutional budget.</x:v>
      </x:c>
    </x:row>
    <x:row r="910">
      <x:c r="A910" s="16" t="n">
        <x:v>198303</x:v>
      </x:c>
      <x:c r="B910" s="16" t="str">
        <x:v>Chowan University</x:v>
      </x:c>
      <x:c r="C910" s="16" t="str">
        <x:v>NC</x:v>
      </x:c>
      <x:c r="D910" s="16" t="str">
        <x:v>Private nonprofit</x:v>
      </x:c>
      <x:c r="E910" s="34" t="n">
        <x:v>1514</x:v>
      </x:c>
      <x:c r="F910" s="21" t="n">
        <x:v>0.7925</x:v>
      </x:c>
      <x:c r="G910" s="16" t="str">
        <x:v>Regional</x:v>
      </x:c>
      <x:c r="H910" s="36" t="n">
        <x:f>IF(G910="National",Assumptions!$B$11,IF(G910="Statewide",Assumptions!$B$12,Assumptions!$B$13))</x:f>
        <x:v>0.85</x:v>
      </x:c>
      <x:c r="I910" s="21" t="n">
        <x:v>-0.027626263872777668</x:v>
      </x:c>
      <x:c r="J910" s="21" t="n">
        <x:v>0.014002352921818728</x:v>
      </x:c>
      <x:c r="K910" s="21" t="n">
        <x:v>0.009609135260096657</x:v>
      </x:c>
      <x:c r="L910" s="36" t="n">
        <x:f>IF(Assumptions!$B$4=2030,I910,IF(Assumptions!$B$4=2035,J910,K910))</x:f>
        <x:v>0.014002352921818728</x:v>
      </x:c>
      <x:c r="M910" s="36" t="n">
        <x:f>Assumptions!$B$19</x:f>
        <x:v>-0.04739891965741583</x:v>
      </x:c>
      <x:c r="N910" s="52" t="n">
        <x:f>H910*L910+(1-H910)*M910+O910</x:f>
        <x:v>0.004792162034933543</x:v>
      </x:c>
      <x:c r="O910" s="36" t="n">
        <x:f>Assumptions!$B$10</x:f>
        <x:v>0</x:v>
      </x:c>
      <x:c r="P910" s="54" t="n">
        <x:f>E910*(1+N910)</x:f>
        <x:v>1521.2553333208896</x:v>
      </x:c>
      <x:c r="Q910" s="54" t="n">
        <x:f>P910-E910</x:f>
        <x:v>7.2553333208895765</x:v>
      </x:c>
      <x:c r="R910" s="16" t="str">
        <x:v>Yes</x:v>
      </x:c>
      <x:c r="S910" s="56" t="n">
        <x:v>10717</x:v>
      </x:c>
      <x:c r="T910" s="56" t="n">
        <x:v>5681</x:v>
      </x:c>
      <x:c r="U910" s="40" t="n">
        <x:f>E910*Assumptions!$B$8</x:f>
        <x:v>1286.8999999999999</x:v>
      </x:c>
      <x:c r="V910" s="40" t="n">
        <x:f>P910*Assumptions!$B$8</x:f>
        <x:v>1293.067033322756</x:v>
      </x:c>
      <x:c r="W910" s="54" t="n">
        <x:f>V910-U910</x:f>
        <x:v>6.167033322756197</x:v>
      </x:c>
      <x:c r="X910" s="58" t="n">
        <x:f>IF(R910="No","",W910*S910)</x:f>
        <x:v>66092.09611997816</x:v>
      </x:c>
      <x:c r="Y910" s="58" t="n">
        <x:f>IF(R910="No","",W910*T910*Assumptions!$B$9)</x:f>
        <x:v>10510.474891973387</x:v>
      </x:c>
      <x:c r="Z910" s="58" t="n">
        <x:f>IF(R910="No","",X910-Y910)</x:f>
        <x:v>55581.62122800478</x:v>
      </x:c>
      <x:c r="AA910" s="58" t="n">
        <x:f>IF(R910="No","",MAX(0,-Z910))</x:f>
        <x:v>0</x:v>
      </x:c>
      <x:c r="AB910" s="52" t="n">
        <x:f>IF(OR(R910="No",U910*S910=0),"",AA910/(U910*S910))</x:f>
        <x:v>0</x:v>
      </x:c>
      <x:c r="AC910" s="54" t="n">
        <x:f>IF(OR(R910="No",S910-T910*Assumptions!$B$9&lt;=0),"",AA910/(Assumptions!$B$8*(S910-T910*Assumptions!$B$9)))</x:f>
        <x:v>0</x:v>
      </x:c>
      <x:c r="AD910" s="52" t="n">
        <x:f>IF(OR(R910="No",U910*S910=0),"",AA910/(U910*S910))</x:f>
        <x:v>0</x:v>
      </x:c>
      <x:c r="AE910" s="50" t="str">
        <x:f>IF(R910="No","No finance data",IF(AB910&gt;=10%,"Severe",IF(AB910&gt;=5%,"High",IF(AB910&gt;=2%,"Moderate","Low"))))</x:f>
        <x:v>Low</x:v>
      </x:c>
      <x:c r="AF910" s="60" t="n">
        <x:v>36.436258</x:v>
      </x:c>
      <x:c r="AG910" s="60" t="n">
        <x:v>-77.099141</x:v>
      </x:c>
      <x:c r="AH910" s="44" t="str">
        <x:v>Undergraduate tuition-contribution proxy only; not an audited total institutional budget.</x:v>
      </x:c>
    </x:row>
    <x:row r="911">
      <x:c r="A911" s="16" t="n">
        <x:v>198385</x:v>
      </x:c>
      <x:c r="B911" s="16" t="str">
        <x:v>Davidson College</x:v>
      </x:c>
      <x:c r="C911" s="16" t="str">
        <x:v>NC</x:v>
      </x:c>
      <x:c r="D911" s="16" t="str">
        <x:v>Private nonprofit</x:v>
      </x:c>
      <x:c r="E911" s="34" t="n">
        <x:v>1779</x:v>
      </x:c>
      <x:c r="F911" s="21" t="n">
        <x:v>0.178</x:v>
      </x:c>
      <x:c r="G911" s="16" t="str">
        <x:v>National</x:v>
      </x:c>
      <x:c r="H911" s="36" t="n">
        <x:f>IF(G911="National",Assumptions!$B$11,IF(G911="Statewide",Assumptions!$B$12,Assumptions!$B$13))</x:f>
        <x:v>0.25</x:v>
      </x:c>
      <x:c r="I911" s="21" t="n">
        <x:v>-0.027626263872777668</x:v>
      </x:c>
      <x:c r="J911" s="21" t="n">
        <x:v>0.014002352921818728</x:v>
      </x:c>
      <x:c r="K911" s="21" t="n">
        <x:v>0.009609135260096657</x:v>
      </x:c>
      <x:c r="L911" s="36" t="n">
        <x:f>IF(Assumptions!$B$4=2030,I911,IF(Assumptions!$B$4=2035,J911,K911))</x:f>
        <x:v>0.014002352921818728</x:v>
      </x:c>
      <x:c r="M911" s="36" t="n">
        <x:f>Assumptions!$B$19</x:f>
        <x:v>-0.04739891965741583</x:v>
      </x:c>
      <x:c r="N911" s="52" t="n">
        <x:f>H911*L911+(1-H911)*M911+O911</x:f>
        <x:v>-0.03204860151260719</x:v>
      </x:c>
      <x:c r="O911" s="36" t="n">
        <x:f>Assumptions!$B$10</x:f>
        <x:v>0</x:v>
      </x:c>
      <x:c r="P911" s="54" t="n">
        <x:f>E911*(1+N911)</x:f>
        <x:v>1721.9855379090718</x:v>
      </x:c>
      <x:c r="Q911" s="54" t="n">
        <x:f>P911-E911</x:f>
        <x:v>-57.01446209092819</x:v>
      </x:c>
      <x:c r="R911" s="16" t="str">
        <x:v>Yes</x:v>
      </x:c>
      <x:c r="S911" s="56" t="n">
        <x:v>25171</x:v>
      </x:c>
      <x:c r="T911" s="56" t="n">
        <x:v>19646</x:v>
      </x:c>
      <x:c r="U911" s="40" t="n">
        <x:f>E911*Assumptions!$B$8</x:f>
        <x:v>1512.1499999999999</x:v>
      </x:c>
      <x:c r="V911" s="40" t="n">
        <x:f>P911*Assumptions!$B$8</x:f>
        <x:v>1463.687707222711</x:v>
      </x:c>
      <x:c r="W911" s="54" t="n">
        <x:f>V911-U911</x:f>
        <x:v>-48.462292777288894</x:v>
      </x:c>
      <x:c r="X911" s="58" t="n">
        <x:f>IF(R911="No","",W911*S911)</x:f>
        <x:v>-1219844.3714971389</x:v>
      </x:c>
      <x:c r="Y911" s="58" t="n">
        <x:f>IF(R911="No","",W911*T911*Assumptions!$B$9)</x:f>
        <x:v>-285627.0611707853</x:v>
      </x:c>
      <x:c r="Z911" s="58" t="n">
        <x:f>IF(R911="No","",X911-Y911)</x:f>
        <x:v>-934217.3103263536</x:v>
      </x:c>
      <x:c r="AA911" s="58" t="n">
        <x:f>IF(R911="No","",MAX(0,-Z911))</x:f>
        <x:v>934217.3103263536</x:v>
      </x:c>
      <x:c r="AB911" s="52" t="n">
        <x:f>IF(OR(R911="No",U911*S911=0),"",AA911/(U911*S911))</x:f>
        <x:v>0.02454440829044657</x:v>
      </x:c>
      <x:c r="AC911" s="54" t="n">
        <x:f>IF(OR(R911="No",S911-T911*Assumptions!$B$9&lt;=0),"",AA911/(Assumptions!$B$8*(S911-T911*Assumptions!$B$9)))</x:f>
        <x:v>57.01446209092813</x:v>
      </x:c>
      <x:c r="AD911" s="52" t="n">
        <x:f>IF(OR(R911="No",U911*S911=0),"",AA911/(U911*S911))</x:f>
        <x:v>0.02454440829044657</x:v>
      </x:c>
      <x:c r="AE911" s="50" t="str">
        <x:f>IF(R911="No","No finance data",IF(AB911&gt;=10%,"Severe",IF(AB911&gt;=5%,"High",IF(AB911&gt;=2%,"Moderate","Low"))))</x:f>
        <x:v>Moderate</x:v>
      </x:c>
      <x:c r="AF911" s="60" t="n">
        <x:v>35.499767</x:v>
      </x:c>
      <x:c r="AG911" s="60" t="n">
        <x:v>-80.843979</x:v>
      </x:c>
      <x:c r="AH911" s="44" t="str">
        <x:v>Undergraduate tuition-contribution proxy only; not an audited total institutional budget.</x:v>
      </x:c>
    </x:row>
    <x:row r="912">
      <x:c r="A912" s="16" t="n">
        <x:v>198419</x:v>
      </x:c>
      <x:c r="B912" s="16" t="str">
        <x:v>Duke University</x:v>
      </x:c>
      <x:c r="C912" s="16" t="str">
        <x:v>NC</x:v>
      </x:c>
      <x:c r="D912" s="16" t="str">
        <x:v>Private nonprofit</x:v>
      </x:c>
      <x:c r="E912" s="34" t="n">
        <x:v>6501</x:v>
      </x:c>
      <x:c r="F912" s="21" t="n">
        <x:v>0.0589</x:v>
      </x:c>
      <x:c r="G912" s="16" t="str">
        <x:v>National</x:v>
      </x:c>
      <x:c r="H912" s="36" t="n">
        <x:f>IF(G912="National",Assumptions!$B$11,IF(G912="Statewide",Assumptions!$B$12,Assumptions!$B$13))</x:f>
        <x:v>0.25</x:v>
      </x:c>
      <x:c r="I912" s="21" t="n">
        <x:v>-0.027626263872777668</x:v>
      </x:c>
      <x:c r="J912" s="21" t="n">
        <x:v>0.014002352921818728</x:v>
      </x:c>
      <x:c r="K912" s="21" t="n">
        <x:v>0.009609135260096657</x:v>
      </x:c>
      <x:c r="L912" s="36" t="n">
        <x:f>IF(Assumptions!$B$4=2030,I912,IF(Assumptions!$B$4=2035,J912,K912))</x:f>
        <x:v>0.014002352921818728</x:v>
      </x:c>
      <x:c r="M912" s="36" t="n">
        <x:f>Assumptions!$B$19</x:f>
        <x:v>-0.04739891965741583</x:v>
      </x:c>
      <x:c r="N912" s="52" t="n">
        <x:f>H912*L912+(1-H912)*M912+O912</x:f>
        <x:v>-0.03204860151260719</x:v>
      </x:c>
      <x:c r="O912" s="36" t="n">
        <x:f>Assumptions!$B$10</x:f>
        <x:v>0</x:v>
      </x:c>
      <x:c r="P912" s="54" t="n">
        <x:f>E912*(1+N912)</x:f>
        <x:v>6292.652041566541</x:v>
      </x:c>
      <x:c r="Q912" s="54" t="n">
        <x:f>P912-E912</x:f>
        <x:v>-208.3479584334591</x:v>
      </x:c>
      <x:c r="R912" s="16" t="str">
        <x:v>Yes</x:v>
      </x:c>
      <x:c r="S912" s="56" t="n">
        <x:v>30214</x:v>
      </x:c>
      <x:c r="T912" s="56" t="n">
        <x:v>64884</x:v>
      </x:c>
      <x:c r="U912" s="40" t="n">
        <x:f>E912*Assumptions!$B$8</x:f>
        <x:v>5525.849999999999</x:v>
      </x:c>
      <x:c r="V912" s="40" t="n">
        <x:f>P912*Assumptions!$B$8</x:f>
        <x:v>5348.754235331559</x:v>
      </x:c>
      <x:c r="W912" s="54" t="n">
        <x:f>V912-U912</x:f>
        <x:v>-177.0957646684401</x:v>
      </x:c>
      <x:c r="X912" s="58" t="n">
        <x:f>IF(R912="No","",W912*S912)</x:f>
        <x:v>-5350771.4336922495</x:v>
      </x:c>
      <x:c r="Y912" s="58" t="n">
        <x:f>IF(R912="No","",W912*T912*Assumptions!$B$9)</x:f>
        <x:v>-3447204.4784241198</x:v>
      </x:c>
      <x:c r="Z912" s="58" t="n">
        <x:f>IF(R912="No","",X912-Y912)</x:f>
        <x:v>-1903566.9552681297</x:v>
      </x:c>
      <x:c r="AA912" s="58" t="n">
        <x:f>IF(R912="No","",MAX(0,-Z912))</x:f>
        <x:v>1903566.9552681297</x:v>
      </x:c>
      <x:c r="AB912" s="52" t="n">
        <x:f>IF(OR(R912="No",U912*S912=0),"",AA912/(U912*S912))</x:f>
        <x:v>0.011401469780191688</x:v>
      </x:c>
      <x:c r="AC912" s="54" t="n">
        <x:f>IF(OR(R912="No",S912-T912*Assumptions!$B$9&lt;=0),"",AA912/(Assumptions!$B$8*(S912-T912*Assumptions!$B$9)))</x:f>
        <x:v>208.34795843345904</x:v>
      </x:c>
      <x:c r="AD912" s="52" t="n">
        <x:f>IF(OR(R912="No",U912*S912=0),"",AA912/(U912*S912))</x:f>
        <x:v>0.011401469780191688</x:v>
      </x:c>
      <x:c r="AE912" s="50" t="str">
        <x:f>IF(R912="No","No finance data",IF(AB912&gt;=10%,"Severe",IF(AB912&gt;=5%,"High",IF(AB912&gt;=2%,"Moderate","Low"))))</x:f>
        <x:v>Low</x:v>
      </x:c>
      <x:c r="AF912" s="60" t="n">
        <x:v>36.001135</x:v>
      </x:c>
      <x:c r="AG912" s="60" t="n">
        <x:v>-78.937624</x:v>
      </x:c>
      <x:c r="AH912" s="44" t="str">
        <x:v>Undergraduate tuition-contribution proxy only; not an audited total institutional budget.</x:v>
      </x:c>
    </x:row>
    <x:row r="913">
      <x:c r="A913" s="16" t="n">
        <x:v>198464</x:v>
      </x:c>
      <x:c r="B913" s="16" t="str">
        <x:v>East Carolina University</x:v>
      </x:c>
      <x:c r="C913" s="16" t="str">
        <x:v>NC</x:v>
      </x:c>
      <x:c r="D913" s="16" t="str">
        <x:v>Public</x:v>
      </x:c>
      <x:c r="E913" s="34" t="n">
        <x:v>21697</x:v>
      </x:c>
      <x:c r="F913" s="21" t="n">
        <x:v>0.9389</x:v>
      </x:c>
      <x:c r="G913" s="16" t="str">
        <x:v>Statewide</x:v>
      </x:c>
      <x:c r="H913" s="36" t="n">
        <x:f>IF(G913="National",Assumptions!$B$11,IF(G913="Statewide",Assumptions!$B$12,Assumptions!$B$13))</x:f>
        <x:v>0.6</x:v>
      </x:c>
      <x:c r="I913" s="21" t="n">
        <x:v>-0.027626263872777668</x:v>
      </x:c>
      <x:c r="J913" s="21" t="n">
        <x:v>0.014002352921818728</x:v>
      </x:c>
      <x:c r="K913" s="21" t="n">
        <x:v>0.009609135260096657</x:v>
      </x:c>
      <x:c r="L913" s="36" t="n">
        <x:f>IF(Assumptions!$B$4=2030,I913,IF(Assumptions!$B$4=2035,J913,K913))</x:f>
        <x:v>0.014002352921818728</x:v>
      </x:c>
      <x:c r="M913" s="36" t="n">
        <x:f>Assumptions!$B$19</x:f>
        <x:v>-0.04739891965741583</x:v>
      </x:c>
      <x:c r="N913" s="52" t="n">
        <x:f>H913*L913+(1-H913)*M913+O913</x:f>
        <x:v>-0.010558156109875098</x:v>
      </x:c>
      <x:c r="O913" s="36" t="n">
        <x:f>Assumptions!$B$10</x:f>
        <x:v>0</x:v>
      </x:c>
      <x:c r="P913" s="54" t="n">
        <x:f>E913*(1+N913)</x:f>
        <x:v>21467.91968688404</x:v>
      </x:c>
      <x:c r="Q913" s="54" t="n">
        <x:f>P913-E913</x:f>
        <x:v>-229.08031311595914</x:v>
      </x:c>
      <x:c r="R913" s="16" t="str">
        <x:v>Yes</x:v>
      </x:c>
      <x:c r="S913" s="56" t="n">
        <x:v>7138</x:v>
      </x:c>
      <x:c r="T913" s="56" t="n">
        <x:v>11522</x:v>
      </x:c>
      <x:c r="U913" s="40" t="n">
        <x:f>E913*Assumptions!$B$8</x:f>
        <x:v>18442.45</x:v>
      </x:c>
      <x:c r="V913" s="40" t="n">
        <x:f>P913*Assumptions!$B$8</x:f>
        <x:v>18247.731733851433</x:v>
      </x:c>
      <x:c r="W913" s="54" t="n">
        <x:f>V913-U913</x:f>
        <x:v>-194.71826614856764</x:v>
      </x:c>
      <x:c r="X913" s="58" t="n">
        <x:f>IF(R913="No","",W913*S913)</x:f>
        <x:v>-1389898.9837684757</x:v>
      </x:c>
      <x:c r="Y913" s="58" t="n">
        <x:f>IF(R913="No","",W913*T913*Assumptions!$B$9)</x:f>
        <x:v>-673063.1587691389</x:v>
      </x:c>
      <x:c r="Z913" s="58" t="n">
        <x:f>IF(R913="No","",X913-Y913)</x:f>
        <x:v>-716835.8249993369</x:v>
      </x:c>
      <x:c r="AA913" s="58" t="n">
        <x:f>IF(R913="No","",MAX(0,-Z913))</x:f>
        <x:v>716835.8249993369</x:v>
      </x:c>
      <x:c r="AB913" s="52" t="n">
        <x:f>IF(OR(R913="No",U913*S913=0),"",AA913/(U913*S913))</x:f>
        <x:v>0.0054453342536977456</x:v>
      </x:c>
      <x:c r="AC913" s="54" t="n">
        <x:f>IF(OR(R913="No",S913-T913*Assumptions!$B$9&lt;=0),"",AA913/(Assumptions!$B$8*(S913-T913*Assumptions!$B$9)))</x:f>
        <x:v>229.0803131159619</x:v>
      </x:c>
      <x:c r="AD913" s="52" t="n">
        <x:f>IF(OR(R913="No",U913*S913=0),"",AA913/(U913*S913))</x:f>
        <x:v>0.0054453342536977456</x:v>
      </x:c>
      <x:c r="AE913" s="50" t="str">
        <x:f>IF(R913="No","No finance data",IF(AB913&gt;=10%,"Severe",IF(AB913&gt;=5%,"High",IF(AB913&gt;=2%,"Moderate","Low"))))</x:f>
        <x:v>Low</x:v>
      </x:c>
      <x:c r="AF913" s="60" t="n">
        <x:v>35.607186</x:v>
      </x:c>
      <x:c r="AG913" s="60" t="n">
        <x:v>-77.368291</x:v>
      </x:c>
      <x:c r="AH913" s="44" t="str">
        <x:v>Undergraduate tuition-contribution proxy only; not an audited total institutional budget.</x:v>
      </x:c>
    </x:row>
    <x:row r="914">
      <x:c r="A914" s="16" t="n">
        <x:v>198507</x:v>
      </x:c>
      <x:c r="B914" s="16" t="str">
        <x:v>Elizabeth City State University</x:v>
      </x:c>
      <x:c r="C914" s="16" t="str">
        <x:v>NC</x:v>
      </x:c>
      <x:c r="D914" s="16" t="str">
        <x:v>Public</x:v>
      </x:c>
      <x:c r="E914" s="34" t="n">
        <x:v>1505</x:v>
      </x:c>
      <x:c r="F914" s="21" t="n">
        <x:v>0.7679</x:v>
      </x:c>
      <x:c r="G914" s="16" t="str">
        <x:v>Regional</x:v>
      </x:c>
      <x:c r="H914" s="36" t="n">
        <x:f>IF(G914="National",Assumptions!$B$11,IF(G914="Statewide",Assumptions!$B$12,Assumptions!$B$13))</x:f>
        <x:v>0.85</x:v>
      </x:c>
      <x:c r="I914" s="21" t="n">
        <x:v>-0.027626263872777668</x:v>
      </x:c>
      <x:c r="J914" s="21" t="n">
        <x:v>0.014002352921818728</x:v>
      </x:c>
      <x:c r="K914" s="21" t="n">
        <x:v>0.009609135260096657</x:v>
      </x:c>
      <x:c r="L914" s="36" t="n">
        <x:f>IF(Assumptions!$B$4=2030,I914,IF(Assumptions!$B$4=2035,J914,K914))</x:f>
        <x:v>0.014002352921818728</x:v>
      </x:c>
      <x:c r="M914" s="36" t="n">
        <x:f>Assumptions!$B$19</x:f>
        <x:v>-0.04739891965741583</x:v>
      </x:c>
      <x:c r="N914" s="52" t="n">
        <x:f>H914*L914+(1-H914)*M914+O914</x:f>
        <x:v>0.004792162034933543</x:v>
      </x:c>
      <x:c r="O914" s="36" t="n">
        <x:f>Assumptions!$B$10</x:f>
        <x:v>0</x:v>
      </x:c>
      <x:c r="P914" s="54" t="n">
        <x:f>E914*(1+N914)</x:f>
        <x:v>1512.212203862575</x:v>
      </x:c>
      <x:c r="Q914" s="54" t="n">
        <x:f>P914-E914</x:f>
        <x:v>7.212203862575052</x:v>
      </x:c>
      <x:c r="R914" s="16" t="str">
        <x:v>Yes</x:v>
      </x:c>
      <x:c r="S914" s="56" t="n">
        <x:v>2538</x:v>
      </x:c>
      <x:c r="T914" s="56" t="n">
        <x:v>8478</x:v>
      </x:c>
      <x:c r="U914" s="40" t="n">
        <x:f>E914*Assumptions!$B$8</x:f>
        <x:v>1279.25</x:v>
      </x:c>
      <x:c r="V914" s="40" t="n">
        <x:f>P914*Assumptions!$B$8</x:f>
        <x:v>1285.3803732831889</x:v>
      </x:c>
      <x:c r="W914" s="54" t="n">
        <x:f>V914-U914</x:f>
        <x:v>6.130373283188874</x:v>
      </x:c>
      <x:c r="X914" s="58" t="n">
        <x:f>IF(R914="No","",W914*S914)</x:f>
        <x:v>15558.887392733363</x:v>
      </x:c>
      <x:c r="Y914" s="58" t="n">
        <x:f>IF(R914="No","",W914*T914*Assumptions!$B$9)</x:f>
        <x:v>15591.991408462582</x:v>
      </x:c>
      <x:c r="Z914" s="58" t="n">
        <x:f>IF(R914="No","",X914-Y914)</x:f>
        <x:v>-33.1040157292191</x:v>
      </x:c>
      <x:c r="AA914" s="58" t="n">
        <x:f>IF(R914="No","",MAX(0,-Z914))</x:f>
        <x:v>33.1040157292191</x:v>
      </x:c>
      <x:c r="AB914" s="52" t="n">
        <x:f>IF(OR(R914="No",U914*S914=0),"",AA914/(U914*S914))</x:f>
        <x:v>0.000010196089436028794</x:v>
      </x:c>
      <x:c r="AC914" s="54" t="str">
        <x:f>IF(OR(R914="No",S914-T914*Assumptions!$B$9&lt;=0),"",AA914/(Assumptions!$B$8*(S914-T914*Assumptions!$B$9)))</x:f>
      </x:c>
      <x:c r="AD914" s="52" t="n">
        <x:f>IF(OR(R914="No",U914*S914=0),"",AA914/(U914*S914))</x:f>
        <x:v>0.000010196089436028794</x:v>
      </x:c>
      <x:c r="AE914" s="50" t="str">
        <x:f>IF(R914="No","No finance data",IF(AB914&gt;=10%,"Severe",IF(AB914&gt;=5%,"High",IF(AB914&gt;=2%,"Moderate","Low"))))</x:f>
        <x:v>Low</x:v>
      </x:c>
      <x:c r="AF914" s="60" t="n">
        <x:v>36.277978</x:v>
      </x:c>
      <x:c r="AG914" s="60" t="n">
        <x:v>-76.214041</x:v>
      </x:c>
      <x:c r="AH914" s="44" t="str">
        <x:v>Undergraduate tuition-contribution proxy only; not an audited total institutional budget.</x:v>
      </x:c>
    </x:row>
    <x:row r="915">
      <x:c r="A915" s="16" t="n">
        <x:v>198516</x:v>
      </x:c>
      <x:c r="B915" s="16" t="str">
        <x:v>Elon University</x:v>
      </x:c>
      <x:c r="C915" s="16" t="str">
        <x:v>NC</x:v>
      </x:c>
      <x:c r="D915" s="16" t="str">
        <x:v>Private nonprofit</x:v>
      </x:c>
      <x:c r="E915" s="34" t="n">
        <x:v>5903</x:v>
      </x:c>
      <x:c r="F915" s="21" t="n">
        <x:v>0.7771</x:v>
      </x:c>
      <x:c r="G915" s="16" t="str">
        <x:v>Regional</x:v>
      </x:c>
      <x:c r="H915" s="36" t="n">
        <x:f>IF(G915="National",Assumptions!$B$11,IF(G915="Statewide",Assumptions!$B$12,Assumptions!$B$13))</x:f>
        <x:v>0.85</x:v>
      </x:c>
      <x:c r="I915" s="21" t="n">
        <x:v>-0.027626263872777668</x:v>
      </x:c>
      <x:c r="J915" s="21" t="n">
        <x:v>0.014002352921818728</x:v>
      </x:c>
      <x:c r="K915" s="21" t="n">
        <x:v>0.009609135260096657</x:v>
      </x:c>
      <x:c r="L915" s="36" t="n">
        <x:f>IF(Assumptions!$B$4=2030,I915,IF(Assumptions!$B$4=2035,J915,K915))</x:f>
        <x:v>0.014002352921818728</x:v>
      </x:c>
      <x:c r="M915" s="36" t="n">
        <x:f>Assumptions!$B$19</x:f>
        <x:v>-0.04739891965741583</x:v>
      </x:c>
      <x:c r="N915" s="52" t="n">
        <x:f>H915*L915+(1-H915)*M915+O915</x:f>
        <x:v>0.004792162034933543</x:v>
      </x:c>
      <x:c r="O915" s="36" t="n">
        <x:f>Assumptions!$B$10</x:f>
        <x:v>0</x:v>
      </x:c>
      <x:c r="P915" s="54" t="n">
        <x:f>E915*(1+N915)</x:f>
        <x:v>5931.288132492213</x:v>
      </x:c>
      <x:c r="Q915" s="54" t="n">
        <x:f>P915-E915</x:f>
        <x:v>28.288132492212753</x:v>
      </x:c>
      <x:c r="R915" s="16" t="str">
        <x:v>Yes</x:v>
      </x:c>
      <x:c r="S915" s="56" t="n">
        <x:v>29075</x:v>
      </x:c>
      <x:c r="T915" s="56" t="n">
        <x:v>14211</x:v>
      </x:c>
      <x:c r="U915" s="40" t="n">
        <x:f>E915*Assumptions!$B$8</x:f>
        <x:v>5017.55</x:v>
      </x:c>
      <x:c r="V915" s="40" t="n">
        <x:f>P915*Assumptions!$B$8</x:f>
        <x:v>5041.5949126183805</x:v>
      </x:c>
      <x:c r="W915" s="54" t="n">
        <x:f>V915-U915</x:f>
        <x:v>24.044912618380295</x:v>
      </x:c>
      <x:c r="X915" s="58" t="n">
        <x:f>IF(R915="No","",W915*S915)</x:f>
        <x:v>699105.8343794071</x:v>
      </x:c>
      <x:c r="Y915" s="58" t="n">
        <x:f>IF(R915="No","",W915*T915*Assumptions!$B$9)</x:f>
        <x:v>102510.6759659407</x:v>
      </x:c>
      <x:c r="Z915" s="58" t="n">
        <x:f>IF(R915="No","",X915-Y915)</x:f>
        <x:v>596595.1584134664</x:v>
      </x:c>
      <x:c r="AA915" s="58" t="n">
        <x:f>IF(R915="No","",MAX(0,-Z915))</x:f>
        <x:v>0</x:v>
      </x:c>
      <x:c r="AB915" s="52" t="n">
        <x:f>IF(OR(R915="No",U915*S915=0),"",AA915/(U915*S915))</x:f>
        <x:v>0</x:v>
      </x:c>
      <x:c r="AC915" s="54" t="n">
        <x:f>IF(OR(R915="No",S915-T915*Assumptions!$B$9&lt;=0),"",AA915/(Assumptions!$B$8*(S915-T915*Assumptions!$B$9)))</x:f>
        <x:v>0</x:v>
      </x:c>
      <x:c r="AD915" s="52" t="n">
        <x:f>IF(OR(R915="No",U915*S915=0),"",AA915/(U915*S915))</x:f>
        <x:v>0</x:v>
      </x:c>
      <x:c r="AE915" s="50" t="str">
        <x:f>IF(R915="No","No finance data",IF(AB915&gt;=10%,"Severe",IF(AB915&gt;=5%,"High",IF(AB915&gt;=2%,"Moderate","Low"))))</x:f>
        <x:v>Low</x:v>
      </x:c>
      <x:c r="AF915" s="60" t="n">
        <x:v>36.104148</x:v>
      </x:c>
      <x:c r="AG915" s="60" t="n">
        <x:v>-79.50344</x:v>
      </x:c>
      <x:c r="AH915" s="44" t="str">
        <x:v>Undergraduate tuition-contribution proxy only; not an audited total institutional budget.</x:v>
      </x:c>
    </x:row>
    <x:row r="916">
      <x:c r="A916" s="16" t="n">
        <x:v>198543</x:v>
      </x:c>
      <x:c r="B916" s="16" t="str">
        <x:v>Fayetteville State University</x:v>
      </x:c>
      <x:c r="C916" s="16" t="str">
        <x:v>NC</x:v>
      </x:c>
      <x:c r="D916" s="16" t="str">
        <x:v>Public</x:v>
      </x:c>
      <x:c r="E916" s="34" t="n">
        <x:v>5087</x:v>
      </x:c>
      <x:c r="F916" s="21" t="n">
        <x:v>0.8206</x:v>
      </x:c>
      <x:c r="G916" s="16" t="str">
        <x:v>Statewide</x:v>
      </x:c>
      <x:c r="H916" s="36" t="n">
        <x:f>IF(G916="National",Assumptions!$B$11,IF(G916="Statewide",Assumptions!$B$12,Assumptions!$B$13))</x:f>
        <x:v>0.6</x:v>
      </x:c>
      <x:c r="I916" s="21" t="n">
        <x:v>-0.027626263872777668</x:v>
      </x:c>
      <x:c r="J916" s="21" t="n">
        <x:v>0.014002352921818728</x:v>
      </x:c>
      <x:c r="K916" s="21" t="n">
        <x:v>0.009609135260096657</x:v>
      </x:c>
      <x:c r="L916" s="36" t="n">
        <x:f>IF(Assumptions!$B$4=2030,I916,IF(Assumptions!$B$4=2035,J916,K916))</x:f>
        <x:v>0.014002352921818728</x:v>
      </x:c>
      <x:c r="M916" s="36" t="n">
        <x:f>Assumptions!$B$19</x:f>
        <x:v>-0.04739891965741583</x:v>
      </x:c>
      <x:c r="N916" s="52" t="n">
        <x:f>H916*L916+(1-H916)*M916+O916</x:f>
        <x:v>-0.010558156109875098</x:v>
      </x:c>
      <x:c r="O916" s="36" t="n">
        <x:f>Assumptions!$B$10</x:f>
        <x:v>0</x:v>
      </x:c>
      <x:c r="P916" s="54" t="n">
        <x:f>E916*(1+N916)</x:f>
        <x:v>5033.290659869065</x:v>
      </x:c>
      <x:c r="Q916" s="54" t="n">
        <x:f>P916-E916</x:f>
        <x:v>-53.709340130934834</x:v>
      </x:c>
      <x:c r="R916" s="16" t="str">
        <x:v>Yes</x:v>
      </x:c>
      <x:c r="S916" s="56" t="n">
        <x:v>3037</x:v>
      </x:c>
      <x:c r="T916" s="56" t="n">
        <x:v>7415</x:v>
      </x:c>
      <x:c r="U916" s="40" t="n">
        <x:f>E916*Assumptions!$B$8</x:f>
        <x:v>4323.95</x:v>
      </x:c>
      <x:c r="V916" s="40" t="n">
        <x:f>P916*Assumptions!$B$8</x:f>
        <x:v>4278.297060888705</x:v>
      </x:c>
      <x:c r="W916" s="54" t="n">
        <x:f>V916-U916</x:f>
        <x:v>-45.65293911129447</x:v>
      </x:c>
      <x:c r="X916" s="58" t="n">
        <x:f>IF(R916="No","",W916*S916)</x:f>
        <x:v>-138647.9760810013</x:v>
      </x:c>
      <x:c r="Y916" s="58" t="n">
        <x:f>IF(R916="No","",W916*T916*Assumptions!$B$9)</x:f>
        <x:v>-101554.96305307456</x:v>
      </x:c>
      <x:c r="Z916" s="58" t="n">
        <x:f>IF(R916="No","",X916-Y916)</x:f>
        <x:v>-37093.01302792675</x:v>
      </x:c>
      <x:c r="AA916" s="58" t="n">
        <x:f>IF(R916="No","",MAX(0,-Z916))</x:f>
        <x:v>37093.01302792675</x:v>
      </x:c>
      <x:c r="AB916" s="52" t="n">
        <x:f>IF(OR(R916="No",U916*S916=0),"",AA916/(U916*S916))</x:f>
        <x:v>0.002824663101505934</x:v>
      </x:c>
      <x:c r="AC916" s="54" t="n">
        <x:f>IF(OR(R916="No",S916-T916*Assumptions!$B$9&lt;=0),"",AA916/(Assumptions!$B$8*(S916-T916*Assumptions!$B$9)))</x:f>
        <x:v>53.709340130934656</x:v>
      </x:c>
      <x:c r="AD916" s="52" t="n">
        <x:f>IF(OR(R916="No",U916*S916=0),"",AA916/(U916*S916))</x:f>
        <x:v>0.002824663101505934</x:v>
      </x:c>
      <x:c r="AE916" s="50" t="str">
        <x:f>IF(R916="No","No finance data",IF(AB916&gt;=10%,"Severe",IF(AB916&gt;=5%,"High",IF(AB916&gt;=2%,"Moderate","Low"))))</x:f>
        <x:v>Low</x:v>
      </x:c>
      <x:c r="AF916" s="60" t="n">
        <x:v>35.073641</x:v>
      </x:c>
      <x:c r="AG916" s="60" t="n">
        <x:v>-78.891696</x:v>
      </x:c>
      <x:c r="AH916" s="44" t="str">
        <x:v>Undergraduate tuition-contribution proxy only; not an audited total institutional budget.</x:v>
      </x:c>
    </x:row>
    <x:row r="917">
      <x:c r="A917" s="16" t="n">
        <x:v>198561</x:v>
      </x:c>
      <x:c r="B917" s="16" t="str">
        <x:v>Gardner-Webb University</x:v>
      </x:c>
      <x:c r="C917" s="16" t="str">
        <x:v>NC</x:v>
      </x:c>
      <x:c r="D917" s="16" t="str">
        <x:v>Private nonprofit</x:v>
      </x:c>
      <x:c r="E917" s="34" t="n">
        <x:v>2626</x:v>
      </x:c>
      <x:c r="F917" s="21" t="n">
        <x:v>0.7895</x:v>
      </x:c>
      <x:c r="G917" s="16" t="str">
        <x:v>Regional</x:v>
      </x:c>
      <x:c r="H917" s="36" t="n">
        <x:f>IF(G917="National",Assumptions!$B$11,IF(G917="Statewide",Assumptions!$B$12,Assumptions!$B$13))</x:f>
        <x:v>0.85</x:v>
      </x:c>
      <x:c r="I917" s="21" t="n">
        <x:v>-0.027626263872777668</x:v>
      </x:c>
      <x:c r="J917" s="21" t="n">
        <x:v>0.014002352921818728</x:v>
      </x:c>
      <x:c r="K917" s="21" t="n">
        <x:v>0.009609135260096657</x:v>
      </x:c>
      <x:c r="L917" s="36" t="n">
        <x:f>IF(Assumptions!$B$4=2030,I917,IF(Assumptions!$B$4=2035,J917,K917))</x:f>
        <x:v>0.014002352921818728</x:v>
      </x:c>
      <x:c r="M917" s="36" t="n">
        <x:f>Assumptions!$B$19</x:f>
        <x:v>-0.04739891965741583</x:v>
      </x:c>
      <x:c r="N917" s="52" t="n">
        <x:f>H917*L917+(1-H917)*M917+O917</x:f>
        <x:v>0.004792162034933543</x:v>
      </x:c>
      <x:c r="O917" s="36" t="n">
        <x:f>Assumptions!$B$10</x:f>
        <x:v>0</x:v>
      </x:c>
      <x:c r="P917" s="54" t="n">
        <x:f>E917*(1+N917)</x:f>
        <x:v>2638.5842175037355</x:v>
      </x:c>
      <x:c r="Q917" s="54" t="n">
        <x:f>P917-E917</x:f>
        <x:v>12.584217503735545</x:v>
      </x:c>
      <x:c r="R917" s="16" t="str">
        <x:v>Yes</x:v>
      </x:c>
      <x:c r="S917" s="56" t="n">
        <x:v>12223</x:v>
      </x:c>
      <x:c r="T917" s="56" t="n">
        <x:v>7579</x:v>
      </x:c>
      <x:c r="U917" s="40" t="n">
        <x:f>E917*Assumptions!$B$8</x:f>
        <x:v>2232.1</x:v>
      </x:c>
      <x:c r="V917" s="40" t="n">
        <x:f>P917*Assumptions!$B$8</x:f>
        <x:v>2242.796584878175</x:v>
      </x:c>
      <x:c r="W917" s="54" t="n">
        <x:f>V917-U917</x:f>
        <x:v>10.696584878175145</x:v>
      </x:c>
      <x:c r="X917" s="58" t="n">
        <x:f>IF(R917="No","",W917*S917)</x:f>
        <x:v>130744.3569659348</x:v>
      </x:c>
      <x:c r="Y917" s="58" t="n">
        <x:f>IF(R917="No","",W917*T917*Assumptions!$B$9)</x:f>
        <x:v>24320.825037506827</x:v>
      </x:c>
      <x:c r="Z917" s="58" t="n">
        <x:f>IF(R917="No","",X917-Y917)</x:f>
        <x:v>106423.53192842797</x:v>
      </x:c>
      <x:c r="AA917" s="58" t="n">
        <x:f>IF(R917="No","",MAX(0,-Z917))</x:f>
        <x:v>0</x:v>
      </x:c>
      <x:c r="AB917" s="52" t="n">
        <x:f>IF(OR(R917="No",U917*S917=0),"",AA917/(U917*S917))</x:f>
        <x:v>0</x:v>
      </x:c>
      <x:c r="AC917" s="54" t="n">
        <x:f>IF(OR(R917="No",S917-T917*Assumptions!$B$9&lt;=0),"",AA917/(Assumptions!$B$8*(S917-T917*Assumptions!$B$9)))</x:f>
        <x:v>0</x:v>
      </x:c>
      <x:c r="AD917" s="52" t="n">
        <x:f>IF(OR(R917="No",U917*S917=0),"",AA917/(U917*S917))</x:f>
        <x:v>0</x:v>
      </x:c>
      <x:c r="AE917" s="50" t="str">
        <x:f>IF(R917="No","No finance data",IF(AB917&gt;=10%,"Severe",IF(AB917&gt;=5%,"High",IF(AB917&gt;=2%,"Moderate","Low"))))</x:f>
        <x:v>Low</x:v>
      </x:c>
      <x:c r="AF917" s="60" t="n">
        <x:v>35.24732</x:v>
      </x:c>
      <x:c r="AG917" s="60" t="n">
        <x:v>-81.668141</x:v>
      </x:c>
      <x:c r="AH917" s="44" t="str">
        <x:v>Undergraduate tuition-contribution proxy only; not an audited total institutional budget.</x:v>
      </x:c>
    </x:row>
    <x:row r="918">
      <x:c r="A918" s="16" t="n">
        <x:v>198598</x:v>
      </x:c>
      <x:c r="B918" s="16" t="str">
        <x:v>Greensboro College</x:v>
      </x:c>
      <x:c r="C918" s="16" t="str">
        <x:v>NC</x:v>
      </x:c>
      <x:c r="D918" s="16" t="str">
        <x:v>Private nonprofit</x:v>
      </x:c>
      <x:c r="E918" s="34" t="n">
        <x:v>758</x:v>
      </x:c>
      <x:c r="F918" s="21" t="n">
        <x:v>0.8814</x:v>
      </x:c>
      <x:c r="G918" s="16" t="str">
        <x:v>Regional</x:v>
      </x:c>
      <x:c r="H918" s="36" t="n">
        <x:f>IF(G918="National",Assumptions!$B$11,IF(G918="Statewide",Assumptions!$B$12,Assumptions!$B$13))</x:f>
        <x:v>0.85</x:v>
      </x:c>
      <x:c r="I918" s="21" t="n">
        <x:v>-0.027626263872777668</x:v>
      </x:c>
      <x:c r="J918" s="21" t="n">
        <x:v>0.014002352921818728</x:v>
      </x:c>
      <x:c r="K918" s="21" t="n">
        <x:v>0.009609135260096657</x:v>
      </x:c>
      <x:c r="L918" s="36" t="n">
        <x:f>IF(Assumptions!$B$4=2030,I918,IF(Assumptions!$B$4=2035,J918,K918))</x:f>
        <x:v>0.014002352921818728</x:v>
      </x:c>
      <x:c r="M918" s="36" t="n">
        <x:f>Assumptions!$B$19</x:f>
        <x:v>-0.04739891965741583</x:v>
      </x:c>
      <x:c r="N918" s="52" t="n">
        <x:f>H918*L918+(1-H918)*M918+O918</x:f>
        <x:v>0.004792162034933543</x:v>
      </x:c>
      <x:c r="O918" s="36" t="n">
        <x:f>Assumptions!$B$10</x:f>
        <x:v>0</x:v>
      </x:c>
      <x:c r="P918" s="54" t="n">
        <x:f>E918*(1+N918)</x:f>
        <x:v>761.6324588224796</x:v>
      </x:c>
      <x:c r="Q918" s="54" t="n">
        <x:f>P918-E918</x:f>
        <x:v>3.6324588224796344</x:v>
      </x:c>
      <x:c r="R918" s="16" t="str">
        <x:v>Yes</x:v>
      </x:c>
      <x:c r="S918" s="56" t="n">
        <x:v>10299</x:v>
      </x:c>
      <x:c r="T918" s="56" t="n">
        <x:v>7738</x:v>
      </x:c>
      <x:c r="U918" s="40" t="n">
        <x:f>E918*Assumptions!$B$8</x:f>
        <x:v>644.3</x:v>
      </x:c>
      <x:c r="V918" s="40" t="n">
        <x:f>P918*Assumptions!$B$8</x:f>
        <x:v>647.3875899991077</x:v>
      </x:c>
      <x:c r="W918" s="54" t="n">
        <x:f>V918-U918</x:f>
        <x:v>3.087589999107763</x:v>
      </x:c>
      <x:c r="X918" s="58" t="n">
        <x:f>IF(R918="No","",W918*S918)</x:f>
        <x:v>31799.08940081085</x:v>
      </x:c>
      <x:c r="Y918" s="58" t="n">
        <x:f>IF(R918="No","",W918*T918*Assumptions!$B$9)</x:f>
        <x:v>7167.531423928761</x:v>
      </x:c>
      <x:c r="Z918" s="58" t="n">
        <x:f>IF(R918="No","",X918-Y918)</x:f>
        <x:v>24631.55797688209</x:v>
      </x:c>
      <x:c r="AA918" s="58" t="n">
        <x:f>IF(R918="No","",MAX(0,-Z918))</x:f>
        <x:v>0</x:v>
      </x:c>
      <x:c r="AB918" s="52" t="n">
        <x:f>IF(OR(R918="No",U918*S918=0),"",AA918/(U918*S918))</x:f>
        <x:v>0</x:v>
      </x:c>
      <x:c r="AC918" s="54" t="n">
        <x:f>IF(OR(R918="No",S918-T918*Assumptions!$B$9&lt;=0),"",AA918/(Assumptions!$B$8*(S918-T918*Assumptions!$B$9)))</x:f>
        <x:v>0</x:v>
      </x:c>
      <x:c r="AD918" s="52" t="n">
        <x:f>IF(OR(R918="No",U918*S918=0),"",AA918/(U918*S918))</x:f>
        <x:v>0</x:v>
      </x:c>
      <x:c r="AE918" s="50" t="str">
        <x:f>IF(R918="No","No finance data",IF(AB918&gt;=10%,"Severe",IF(AB918&gt;=5%,"High",IF(AB918&gt;=2%,"Moderate","Low"))))</x:f>
        <x:v>Low</x:v>
      </x:c>
      <x:c r="AF918" s="60" t="n">
        <x:v>36.071082</x:v>
      </x:c>
      <x:c r="AG918" s="60" t="n">
        <x:v>-79.800232</x:v>
      </x:c>
      <x:c r="AH918" s="44" t="str">
        <x:v>Undergraduate tuition-contribution proxy only; not an audited total institutional budget.</x:v>
      </x:c>
    </x:row>
    <x:row r="919">
      <x:c r="A919" s="16" t="n">
        <x:v>198613</x:v>
      </x:c>
      <x:c r="B919" s="16" t="str">
        <x:v>Guilford College</x:v>
      </x:c>
      <x:c r="C919" s="16" t="str">
        <x:v>NC</x:v>
      </x:c>
      <x:c r="D919" s="16" t="str">
        <x:v>Private nonprofit</x:v>
      </x:c>
      <x:c r="E919" s="34" t="n">
        <x:v>1768</x:v>
      </x:c>
      <x:c r="F919" s="21" t="n">
        <x:v>0.8209</x:v>
      </x:c>
      <x:c r="G919" s="16" t="str">
        <x:v>Regional</x:v>
      </x:c>
      <x:c r="H919" s="36" t="n">
        <x:f>IF(G919="National",Assumptions!$B$11,IF(G919="Statewide",Assumptions!$B$12,Assumptions!$B$13))</x:f>
        <x:v>0.85</x:v>
      </x:c>
      <x:c r="I919" s="21" t="n">
        <x:v>-0.027626263872777668</x:v>
      </x:c>
      <x:c r="J919" s="21" t="n">
        <x:v>0.014002352921818728</x:v>
      </x:c>
      <x:c r="K919" s="21" t="n">
        <x:v>0.009609135260096657</x:v>
      </x:c>
      <x:c r="L919" s="36" t="n">
        <x:f>IF(Assumptions!$B$4=2030,I919,IF(Assumptions!$B$4=2035,J919,K919))</x:f>
        <x:v>0.014002352921818728</x:v>
      </x:c>
      <x:c r="M919" s="36" t="n">
        <x:f>Assumptions!$B$19</x:f>
        <x:v>-0.04739891965741583</x:v>
      </x:c>
      <x:c r="N919" s="52" t="n">
        <x:f>H919*L919+(1-H919)*M919+O919</x:f>
        <x:v>0.004792162034933543</x:v>
      </x:c>
      <x:c r="O919" s="36" t="n">
        <x:f>Assumptions!$B$10</x:f>
        <x:v>0</x:v>
      </x:c>
      <x:c r="P919" s="54" t="n">
        <x:f>E919*(1+N919)</x:f>
        <x:v>1776.4725424777625</x:v>
      </x:c>
      <x:c r="Q919" s="54" t="n">
        <x:f>P919-E919</x:f>
        <x:v>8.472542477762545</x:v>
      </x:c>
      <x:c r="R919" s="16" t="str">
        <x:v>Yes</x:v>
      </x:c>
      <x:c r="S919" s="56" t="n">
        <x:v>11945</x:v>
      </x:c>
      <x:c r="T919" s="56" t="n">
        <x:v>9016</x:v>
      </x:c>
      <x:c r="U919" s="40" t="n">
        <x:f>E919*Assumptions!$B$8</x:f>
        <x:v>1502.8</x:v>
      </x:c>
      <x:c r="V919" s="40" t="n">
        <x:f>P919*Assumptions!$B$8</x:f>
        <x:v>1510.001661106098</x:v>
      </x:c>
      <x:c r="W919" s="54" t="n">
        <x:f>V919-U919</x:f>
        <x:v>7.201661106098072</x:v>
      </x:c>
      <x:c r="X919" s="58" t="n">
        <x:f>IF(R919="No","",W919*S919)</x:f>
        <x:v>86023.84191234148</x:v>
      </x:c>
      <x:c r="Y919" s="58" t="n">
        <x:f>IF(R919="No","",W919*T919*Assumptions!$B$9)</x:f>
        <x:v>19479.052959774064</x:v>
      </x:c>
      <x:c r="Z919" s="58" t="n">
        <x:f>IF(R919="No","",X919-Y919)</x:f>
        <x:v>66544.78895256741</x:v>
      </x:c>
      <x:c r="AA919" s="58" t="n">
        <x:f>IF(R919="No","",MAX(0,-Z919))</x:f>
        <x:v>0</x:v>
      </x:c>
      <x:c r="AB919" s="52" t="n">
        <x:f>IF(OR(R919="No",U919*S919=0),"",AA919/(U919*S919))</x:f>
        <x:v>0</x:v>
      </x:c>
      <x:c r="AC919" s="54" t="n">
        <x:f>IF(OR(R919="No",S919-T919*Assumptions!$B$9&lt;=0),"",AA919/(Assumptions!$B$8*(S919-T919*Assumptions!$B$9)))</x:f>
        <x:v>0</x:v>
      </x:c>
      <x:c r="AD919" s="52" t="n">
        <x:f>IF(OR(R919="No",U919*S919=0),"",AA919/(U919*S919))</x:f>
        <x:v>0</x:v>
      </x:c>
      <x:c r="AE919" s="50" t="str">
        <x:f>IF(R919="No","No finance data",IF(AB919&gt;=10%,"Severe",IF(AB919&gt;=5%,"High",IF(AB919&gt;=2%,"Moderate","Low"))))</x:f>
        <x:v>Low</x:v>
      </x:c>
      <x:c r="AF919" s="60" t="n">
        <x:v>36.094233</x:v>
      </x:c>
      <x:c r="AG919" s="60" t="n">
        <x:v>-79.887737</x:v>
      </x:c>
      <x:c r="AH919" s="44" t="str">
        <x:v>Undergraduate tuition-contribution proxy only; not an audited total institutional budget.</x:v>
      </x:c>
    </x:row>
    <x:row r="920">
      <x:c r="A920" s="16" t="n">
        <x:v>198677</x:v>
      </x:c>
      <x:c r="B920" s="16" t="str">
        <x:v>Heritage Bible College</x:v>
      </x:c>
      <x:c r="C920" s="16" t="str">
        <x:v>NC</x:v>
      </x:c>
      <x:c r="D920" s="16" t="str">
        <x:v>Private nonprofit</x:v>
      </x:c>
      <x:c r="E920" s="34" t="n">
        <x:v>65</x:v>
      </x:c>
      <x:c r="F920" s="21"/>
      <x:c r="G920" s="16" t="str">
        <x:v>Regional</x:v>
      </x:c>
      <x:c r="H920" s="36" t="n">
        <x:f>IF(G920="National",Assumptions!$B$11,IF(G920="Statewide",Assumptions!$B$12,Assumptions!$B$13))</x:f>
        <x:v>0.85</x:v>
      </x:c>
      <x:c r="I920" s="21" t="n">
        <x:v>-0.027626263872777668</x:v>
      </x:c>
      <x:c r="J920" s="21" t="n">
        <x:v>0.014002352921818728</x:v>
      </x:c>
      <x:c r="K920" s="21" t="n">
        <x:v>0.009609135260096657</x:v>
      </x:c>
      <x:c r="L920" s="36" t="n">
        <x:f>IF(Assumptions!$B$4=2030,I920,IF(Assumptions!$B$4=2035,J920,K920))</x:f>
        <x:v>0.014002352921818728</x:v>
      </x:c>
      <x:c r="M920" s="36" t="n">
        <x:f>Assumptions!$B$19</x:f>
        <x:v>-0.04739891965741583</x:v>
      </x:c>
      <x:c r="N920" s="52" t="n">
        <x:f>H920*L920+(1-H920)*M920+O920</x:f>
        <x:v>0.004792162034933543</x:v>
      </x:c>
      <x:c r="O920" s="36" t="n">
        <x:f>Assumptions!$B$10</x:f>
        <x:v>0</x:v>
      </x:c>
      <x:c r="P920" s="54" t="n">
        <x:f>E920*(1+N920)</x:f>
        <x:v>65.31149053227068</x:v>
      </x:c>
      <x:c r="Q920" s="54" t="n">
        <x:f>P920-E920</x:f>
        <x:v>0.3114905322706818</x:v>
      </x:c>
      <x:c r="R920" s="16" t="str">
        <x:v>No</x:v>
      </x:c>
      <x:c r="S920" s="56"/>
      <x:c r="T920" s="56"/>
      <x:c r="U920" s="40" t="n">
        <x:f>E920*Assumptions!$B$8</x:f>
        <x:v>55.25</x:v>
      </x:c>
      <x:c r="V920" s="40" t="n">
        <x:f>P920*Assumptions!$B$8</x:f>
        <x:v>55.51476695243008</x:v>
      </x:c>
      <x:c r="W920" s="54" t="n">
        <x:f>V920-U920</x:f>
        <x:v>0.2647669524300795</x:v>
      </x:c>
      <x:c r="X920" s="58" t="str">
        <x:f>IF(R920="No","",W920*S920)</x:f>
      </x:c>
      <x:c r="Y920" s="58" t="str">
        <x:f>IF(R920="No","",W920*T920*Assumptions!$B$9)</x:f>
      </x:c>
      <x:c r="Z920" s="58" t="str">
        <x:f>IF(R920="No","",X920-Y920)</x:f>
      </x:c>
      <x:c r="AA920" s="58" t="str">
        <x:f>IF(R920="No","",MAX(0,-Z920))</x:f>
      </x:c>
      <x:c r="AB920" s="52" t="str">
        <x:f>IF(OR(R920="No",U920*S920=0),"",AA920/(U920*S920))</x:f>
      </x:c>
      <x:c r="AC920" s="54" t="str">
        <x:f>IF(OR(R920="No",S920-T920*Assumptions!$B$9&lt;=0),"",AA920/(Assumptions!$B$8*(S920-T920*Assumptions!$B$9)))</x:f>
      </x:c>
      <x:c r="AD920" s="52" t="str">
        <x:f>IF(OR(R920="No",U920*S920=0),"",AA920/(U920*S920))</x:f>
      </x:c>
      <x:c r="AE920" s="50" t="str">
        <x:f>IF(R920="No","No finance data",IF(AB920&gt;=10%,"Severe",IF(AB920&gt;=5%,"High",IF(AB920&gt;=2%,"Moderate","Low"))))</x:f>
        <x:v>No finance data</x:v>
      </x:c>
      <x:c r="AF920" s="60"/>
      <x:c r="AG920" s="60"/>
      <x:c r="AH920" s="44" t="str">
        <x:v>Undergraduate tuition-contribution proxy only; not an audited total institutional budget.</x:v>
      </x:c>
    </x:row>
    <x:row r="921">
      <x:c r="A921" s="16" t="n">
        <x:v>198695</x:v>
      </x:c>
      <x:c r="B921" s="16" t="str">
        <x:v>High Point University</x:v>
      </x:c>
      <x:c r="C921" s="16" t="str">
        <x:v>NC</x:v>
      </x:c>
      <x:c r="D921" s="16" t="str">
        <x:v>Private nonprofit</x:v>
      </x:c>
      <x:c r="E921" s="34" t="n">
        <x:v>4362</x:v>
      </x:c>
      <x:c r="F921" s="21" t="n">
        <x:v>0.8028</x:v>
      </x:c>
      <x:c r="G921" s="16" t="str">
        <x:v>Regional</x:v>
      </x:c>
      <x:c r="H921" s="36" t="n">
        <x:f>IF(G921="National",Assumptions!$B$11,IF(G921="Statewide",Assumptions!$B$12,Assumptions!$B$13))</x:f>
        <x:v>0.85</x:v>
      </x:c>
      <x:c r="I921" s="21" t="n">
        <x:v>-0.027626263872777668</x:v>
      </x:c>
      <x:c r="J921" s="21" t="n">
        <x:v>0.014002352921818728</x:v>
      </x:c>
      <x:c r="K921" s="21" t="n">
        <x:v>0.009609135260096657</x:v>
      </x:c>
      <x:c r="L921" s="36" t="n">
        <x:f>IF(Assumptions!$B$4=2030,I921,IF(Assumptions!$B$4=2035,J921,K921))</x:f>
        <x:v>0.014002352921818728</x:v>
      </x:c>
      <x:c r="M921" s="36" t="n">
        <x:f>Assumptions!$B$19</x:f>
        <x:v>-0.04739891965741583</x:v>
      </x:c>
      <x:c r="N921" s="52" t="n">
        <x:f>H921*L921+(1-H921)*M921+O921</x:f>
        <x:v>0.004792162034933543</x:v>
      </x:c>
      <x:c r="O921" s="36" t="n">
        <x:f>Assumptions!$B$10</x:f>
        <x:v>0</x:v>
      </x:c>
      <x:c r="P921" s="54" t="n">
        <x:f>E921*(1+N921)</x:f>
        <x:v>4382.903410796381</x:v>
      </x:c>
      <x:c r="Q921" s="54" t="n">
        <x:f>P921-E921</x:f>
        <x:v>20.90341079638074</x:v>
      </x:c>
      <x:c r="R921" s="16" t="str">
        <x:v>Yes</x:v>
      </x:c>
      <x:c r="S921" s="56" t="n">
        <x:v>24007</x:v>
      </x:c>
      <x:c r="T921" s="56" t="n">
        <x:v>9065</x:v>
      </x:c>
      <x:c r="U921" s="40" t="n">
        <x:f>E921*Assumptions!$B$8</x:f>
        <x:v>3707.7</x:v>
      </x:c>
      <x:c r="V921" s="40" t="n">
        <x:f>P921*Assumptions!$B$8</x:f>
        <x:v>3725.4678991769233</x:v>
      </x:c>
      <x:c r="W921" s="54" t="n">
        <x:f>V921-U921</x:f>
        <x:v>17.767899176923493</x:v>
      </x:c>
      <x:c r="X921" s="58" t="n">
        <x:f>IF(R921="No","",W921*S921)</x:f>
        <x:v>426553.95554040227</x:v>
      </x:c>
      <x:c r="Y921" s="58" t="n">
        <x:f>IF(R921="No","",W921*T921*Assumptions!$B$9)</x:f>
        <x:v>48319.80181164344</x:v>
      </x:c>
      <x:c r="Z921" s="58" t="n">
        <x:f>IF(R921="No","",X921-Y921)</x:f>
        <x:v>378234.1537287588</x:v>
      </x:c>
      <x:c r="AA921" s="58" t="n">
        <x:f>IF(R921="No","",MAX(0,-Z921))</x:f>
        <x:v>0</x:v>
      </x:c>
      <x:c r="AB921" s="52" t="n">
        <x:f>IF(OR(R921="No",U921*S921=0),"",AA921/(U921*S921))</x:f>
        <x:v>0</x:v>
      </x:c>
      <x:c r="AC921" s="54" t="n">
        <x:f>IF(OR(R921="No",S921-T921*Assumptions!$B$9&lt;=0),"",AA921/(Assumptions!$B$8*(S921-T921*Assumptions!$B$9)))</x:f>
        <x:v>0</x:v>
      </x:c>
      <x:c r="AD921" s="52" t="n">
        <x:f>IF(OR(R921="No",U921*S921=0),"",AA921/(U921*S921))</x:f>
        <x:v>0</x:v>
      </x:c>
      <x:c r="AE921" s="50" t="str">
        <x:f>IF(R921="No","No finance data",IF(AB921&gt;=10%,"Severe",IF(AB921&gt;=5%,"High",IF(AB921&gt;=2%,"Moderate","Low"))))</x:f>
        <x:v>Low</x:v>
      </x:c>
      <x:c r="AF921" s="60" t="n">
        <x:v>35.972035</x:v>
      </x:c>
      <x:c r="AG921" s="60" t="n">
        <x:v>-79.994675</x:v>
      </x:c>
      <x:c r="AH921" s="44" t="str">
        <x:v>Undergraduate tuition-contribution proxy only; not an audited total institutional budget.</x:v>
      </x:c>
    </x:row>
    <x:row r="922">
      <x:c r="A922" s="16" t="n">
        <x:v>198747</x:v>
      </x:c>
      <x:c r="B922" s="16" t="str">
        <x:v>John Wesley University</x:v>
      </x:c>
      <x:c r="C922" s="16" t="str">
        <x:v>NC</x:v>
      </x:c>
      <x:c r="D922" s="16" t="str">
        <x:v>Private nonprofit</x:v>
      </x:c>
      <x:c r="E922" s="34" t="n">
        <x:v>125</x:v>
      </x:c>
      <x:c r="F922" s="21"/>
      <x:c r="G922" s="16" t="str">
        <x:v>Regional</x:v>
      </x:c>
      <x:c r="H922" s="36" t="n">
        <x:f>IF(G922="National",Assumptions!$B$11,IF(G922="Statewide",Assumptions!$B$12,Assumptions!$B$13))</x:f>
        <x:v>0.85</x:v>
      </x:c>
      <x:c r="I922" s="21" t="n">
        <x:v>-0.027626263872777668</x:v>
      </x:c>
      <x:c r="J922" s="21" t="n">
        <x:v>0.014002352921818728</x:v>
      </x:c>
      <x:c r="K922" s="21" t="n">
        <x:v>0.009609135260096657</x:v>
      </x:c>
      <x:c r="L922" s="36" t="n">
        <x:f>IF(Assumptions!$B$4=2030,I922,IF(Assumptions!$B$4=2035,J922,K922))</x:f>
        <x:v>0.014002352921818728</x:v>
      </x:c>
      <x:c r="M922" s="36" t="n">
        <x:f>Assumptions!$B$19</x:f>
        <x:v>-0.04739891965741583</x:v>
      </x:c>
      <x:c r="N922" s="52" t="n">
        <x:f>H922*L922+(1-H922)*M922+O922</x:f>
        <x:v>0.004792162034933543</x:v>
      </x:c>
      <x:c r="O922" s="36" t="n">
        <x:f>Assumptions!$B$10</x:f>
        <x:v>0</x:v>
      </x:c>
      <x:c r="P922" s="54" t="n">
        <x:f>E922*(1+N922)</x:f>
        <x:v>125.5990202543667</x:v>
      </x:c>
      <x:c r="Q922" s="54" t="n">
        <x:f>P922-E922</x:f>
        <x:v>0.5990202543667067</x:v>
      </x:c>
      <x:c r="R922" s="16" t="str">
        <x:v>No</x:v>
      </x:c>
      <x:c r="S922" s="56"/>
      <x:c r="T922" s="56"/>
      <x:c r="U922" s="40" t="n">
        <x:f>E922*Assumptions!$B$8</x:f>
        <x:v>106.25</x:v>
      </x:c>
      <x:c r="V922" s="40" t="n">
        <x:f>P922*Assumptions!$B$8</x:f>
        <x:v>106.7591672162117</x:v>
      </x:c>
      <x:c r="W922" s="54" t="n">
        <x:f>V922-U922</x:f>
        <x:v>0.5091672162116936</x:v>
      </x:c>
      <x:c r="X922" s="58" t="str">
        <x:f>IF(R922="No","",W922*S922)</x:f>
      </x:c>
      <x:c r="Y922" s="58" t="str">
        <x:f>IF(R922="No","",W922*T922*Assumptions!$B$9)</x:f>
      </x:c>
      <x:c r="Z922" s="58" t="str">
        <x:f>IF(R922="No","",X922-Y922)</x:f>
      </x:c>
      <x:c r="AA922" s="58" t="str">
        <x:f>IF(R922="No","",MAX(0,-Z922))</x:f>
      </x:c>
      <x:c r="AB922" s="52" t="str">
        <x:f>IF(OR(R922="No",U922*S922=0),"",AA922/(U922*S922))</x:f>
      </x:c>
      <x:c r="AC922" s="54" t="str">
        <x:f>IF(OR(R922="No",S922-T922*Assumptions!$B$9&lt;=0),"",AA922/(Assumptions!$B$8*(S922-T922*Assumptions!$B$9)))</x:f>
      </x:c>
      <x:c r="AD922" s="52" t="str">
        <x:f>IF(OR(R922="No",U922*S922=0),"",AA922/(U922*S922))</x:f>
      </x:c>
      <x:c r="AE922" s="50" t="str">
        <x:f>IF(R922="No","No finance data",IF(AB922&gt;=10%,"Severe",IF(AB922&gt;=5%,"High",IF(AB922&gt;=2%,"Moderate","Low"))))</x:f>
        <x:v>No finance data</x:v>
      </x:c>
      <x:c r="AF922" s="60"/>
      <x:c r="AG922" s="60"/>
      <x:c r="AH922" s="44" t="str">
        <x:v>Undergraduate tuition-contribution proxy only; not an audited total institutional budget.</x:v>
      </x:c>
    </x:row>
    <x:row r="923">
      <x:c r="A923" s="16" t="n">
        <x:v>198756</x:v>
      </x:c>
      <x:c r="B923" s="16" t="str">
        <x:v>Johnson C Smith University</x:v>
      </x:c>
      <x:c r="C923" s="16" t="str">
        <x:v>NC</x:v>
      </x:c>
      <x:c r="D923" s="16" t="str">
        <x:v>Private nonprofit</x:v>
      </x:c>
      <x:c r="E923" s="34" t="n">
        <x:v>1371</x:v>
      </x:c>
      <x:c r="F923" s="21" t="n">
        <x:v>0.4453</x:v>
      </x:c>
      <x:c r="G923" s="16" t="str">
        <x:v>Regional</x:v>
      </x:c>
      <x:c r="H923" s="36" t="n">
        <x:f>IF(G923="National",Assumptions!$B$11,IF(G923="Statewide",Assumptions!$B$12,Assumptions!$B$13))</x:f>
        <x:v>0.85</x:v>
      </x:c>
      <x:c r="I923" s="21" t="n">
        <x:v>-0.027626263872777668</x:v>
      </x:c>
      <x:c r="J923" s="21" t="n">
        <x:v>0.014002352921818728</x:v>
      </x:c>
      <x:c r="K923" s="21" t="n">
        <x:v>0.009609135260096657</x:v>
      </x:c>
      <x:c r="L923" s="36" t="n">
        <x:f>IF(Assumptions!$B$4=2030,I923,IF(Assumptions!$B$4=2035,J923,K923))</x:f>
        <x:v>0.014002352921818728</x:v>
      </x:c>
      <x:c r="M923" s="36" t="n">
        <x:f>Assumptions!$B$19</x:f>
        <x:v>-0.04739891965741583</x:v>
      </x:c>
      <x:c r="N923" s="52" t="n">
        <x:f>H923*L923+(1-H923)*M923+O923</x:f>
        <x:v>0.004792162034933543</x:v>
      </x:c>
      <x:c r="O923" s="36" t="n">
        <x:f>Assumptions!$B$10</x:f>
        <x:v>0</x:v>
      </x:c>
      <x:c r="P923" s="54" t="n">
        <x:f>E923*(1+N923)</x:f>
        <x:v>1377.570054149894</x:v>
      </x:c>
      <x:c r="Q923" s="54" t="n">
        <x:f>P923-E923</x:f>
        <x:v>6.5700541498940765</x:v>
      </x:c>
      <x:c r="R923" s="16" t="str">
        <x:v>Yes</x:v>
      </x:c>
      <x:c r="S923" s="56" t="n">
        <x:v>11975</x:v>
      </x:c>
      <x:c r="T923" s="56" t="n">
        <x:v>10437</x:v>
      </x:c>
      <x:c r="U923" s="40" t="n">
        <x:f>E923*Assumptions!$B$8</x:f>
        <x:v>1165.35</x:v>
      </x:c>
      <x:c r="V923" s="40" t="n">
        <x:f>P923*Assumptions!$B$8</x:f>
        <x:v>1170.9345460274099</x:v>
      </x:c>
      <x:c r="W923" s="54" t="n">
        <x:f>V923-U923</x:f>
        <x:v>5.584546027409942</x:v>
      </x:c>
      <x:c r="X923" s="58" t="n">
        <x:f>IF(R923="No","",W923*S923)</x:f>
        <x:v>66874.93867823406</x:v>
      </x:c>
      <x:c r="Y923" s="58" t="n">
        <x:f>IF(R923="No","",W923*T923*Assumptions!$B$9)</x:f>
        <x:v>17485.77206642327</x:v>
      </x:c>
      <x:c r="Z923" s="58" t="n">
        <x:f>IF(R923="No","",X923-Y923)</x:f>
        <x:v>49389.16661181079</x:v>
      </x:c>
      <x:c r="AA923" s="58" t="n">
        <x:f>IF(R923="No","",MAX(0,-Z923))</x:f>
        <x:v>0</x:v>
      </x:c>
      <x:c r="AB923" s="52" t="n">
        <x:f>IF(OR(R923="No",U923*S923=0),"",AA923/(U923*S923))</x:f>
        <x:v>0</x:v>
      </x:c>
      <x:c r="AC923" s="54" t="n">
        <x:f>IF(OR(R923="No",S923-T923*Assumptions!$B$9&lt;=0),"",AA923/(Assumptions!$B$8*(S923-T923*Assumptions!$B$9)))</x:f>
        <x:v>0</x:v>
      </x:c>
      <x:c r="AD923" s="52" t="n">
        <x:f>IF(OR(R923="No",U923*S923=0),"",AA923/(U923*S923))</x:f>
        <x:v>0</x:v>
      </x:c>
      <x:c r="AE923" s="50" t="str">
        <x:f>IF(R923="No","No finance data",IF(AB923&gt;=10%,"Severe",IF(AB923&gt;=5%,"High",IF(AB923&gt;=2%,"Moderate","Low"))))</x:f>
        <x:v>Low</x:v>
      </x:c>
      <x:c r="AF923" s="60" t="n">
        <x:v>35.243033</x:v>
      </x:c>
      <x:c r="AG923" s="60" t="n">
        <x:v>-80.857251</x:v>
      </x:c>
      <x:c r="AH923" s="44" t="str">
        <x:v>Undergraduate tuition-contribution proxy only; not an audited total institutional budget.</x:v>
      </x:c>
    </x:row>
    <x:row r="924">
      <x:c r="A924" s="16" t="n">
        <x:v>198808</x:v>
      </x:c>
      <x:c r="B924" s="16" t="str">
        <x:v>Lees-McRae College</x:v>
      </x:c>
      <x:c r="C924" s="16" t="str">
        <x:v>NC</x:v>
      </x:c>
      <x:c r="D924" s="16" t="str">
        <x:v>Private nonprofit</x:v>
      </x:c>
      <x:c r="E924" s="34" t="n">
        <x:v>1032</x:v>
      </x:c>
      <x:c r="F924" s="21" t="n">
        <x:v>0.592</x:v>
      </x:c>
      <x:c r="G924" s="16" t="str">
        <x:v>Regional</x:v>
      </x:c>
      <x:c r="H924" s="36" t="n">
        <x:f>IF(G924="National",Assumptions!$B$11,IF(G924="Statewide",Assumptions!$B$12,Assumptions!$B$13))</x:f>
        <x:v>0.85</x:v>
      </x:c>
      <x:c r="I924" s="21" t="n">
        <x:v>-0.027626263872777668</x:v>
      </x:c>
      <x:c r="J924" s="21" t="n">
        <x:v>0.014002352921818728</x:v>
      </x:c>
      <x:c r="K924" s="21" t="n">
        <x:v>0.009609135260096657</x:v>
      </x:c>
      <x:c r="L924" s="36" t="n">
        <x:f>IF(Assumptions!$B$4=2030,I924,IF(Assumptions!$B$4=2035,J924,K924))</x:f>
        <x:v>0.014002352921818728</x:v>
      </x:c>
      <x:c r="M924" s="36" t="n">
        <x:f>Assumptions!$B$19</x:f>
        <x:v>-0.04739891965741583</x:v>
      </x:c>
      <x:c r="N924" s="52" t="n">
        <x:f>H924*L924+(1-H924)*M924+O924</x:f>
        <x:v>0.004792162034933543</x:v>
      </x:c>
      <x:c r="O924" s="36" t="n">
        <x:f>Assumptions!$B$10</x:f>
        <x:v>0</x:v>
      </x:c>
      <x:c r="P924" s="54" t="n">
        <x:f>E924*(1+N924)</x:f>
        <x:v>1036.9455112200515</x:v>
      </x:c>
      <x:c r="Q924" s="54" t="n">
        <x:f>P924-E924</x:f>
        <x:v>4.945511220051458</x:v>
      </x:c>
      <x:c r="R924" s="16" t="str">
        <x:v>Yes</x:v>
      </x:c>
      <x:c r="S924" s="56" t="n">
        <x:v>8718</x:v>
      </x:c>
      <x:c r="T924" s="56" t="n">
        <x:v>7740</x:v>
      </x:c>
      <x:c r="U924" s="40" t="n">
        <x:f>E924*Assumptions!$B$8</x:f>
        <x:v>877.1999999999999</x:v>
      </x:c>
      <x:c r="V924" s="40" t="n">
        <x:f>P924*Assumptions!$B$8</x:f>
        <x:v>881.4036845370437</x:v>
      </x:c>
      <x:c r="W924" s="54" t="n">
        <x:f>V924-U924</x:f>
        <x:v>4.203684537043728</x:v>
      </x:c>
      <x:c r="X924" s="58" t="n">
        <x:f>IF(R924="No","",W924*S924)</x:f>
        <x:v>36647.72179394722</x:v>
      </x:c>
      <x:c r="Y924" s="58" t="n">
        <x:f>IF(R924="No","",W924*T924*Assumptions!$B$9)</x:f>
        <x:v>9760.955495015534</x:v>
      </x:c>
      <x:c r="Z924" s="58" t="n">
        <x:f>IF(R924="No","",X924-Y924)</x:f>
        <x:v>26886.76629893168</x:v>
      </x:c>
      <x:c r="AA924" s="58" t="n">
        <x:f>IF(R924="No","",MAX(0,-Z924))</x:f>
        <x:v>0</x:v>
      </x:c>
      <x:c r="AB924" s="52" t="n">
        <x:f>IF(OR(R924="No",U924*S924=0),"",AA924/(U924*S924))</x:f>
        <x:v>0</x:v>
      </x:c>
      <x:c r="AC924" s="54" t="n">
        <x:f>IF(OR(R924="No",S924-T924*Assumptions!$B$9&lt;=0),"",AA924/(Assumptions!$B$8*(S924-T924*Assumptions!$B$9)))</x:f>
        <x:v>0</x:v>
      </x:c>
      <x:c r="AD924" s="52" t="n">
        <x:f>IF(OR(R924="No",U924*S924=0),"",AA924/(U924*S924))</x:f>
        <x:v>0</x:v>
      </x:c>
      <x:c r="AE924" s="50" t="str">
        <x:f>IF(R924="No","No finance data",IF(AB924&gt;=10%,"Severe",IF(AB924&gt;=5%,"High",IF(AB924&gt;=2%,"Moderate","Low"))))</x:f>
        <x:v>Low</x:v>
      </x:c>
      <x:c r="AF924" s="60" t="n">
        <x:v>36.162477</x:v>
      </x:c>
      <x:c r="AG924" s="60" t="n">
        <x:v>-81.873371</x:v>
      </x:c>
      <x:c r="AH924" s="44" t="str">
        <x:v>Undergraduate tuition-contribution proxy only; not an audited total institutional budget.</x:v>
      </x:c>
    </x:row>
    <x:row r="925">
      <x:c r="A925" s="16" t="n">
        <x:v>198835</x:v>
      </x:c>
      <x:c r="B925" s="16" t="str">
        <x:v>Lenoir-Rhyne University</x:v>
      </x:c>
      <x:c r="C925" s="16" t="str">
        <x:v>NC</x:v>
      </x:c>
      <x:c r="D925" s="16" t="str">
        <x:v>Private nonprofit</x:v>
      </x:c>
      <x:c r="E925" s="34" t="n">
        <x:v>1412</x:v>
      </x:c>
      <x:c r="F925" s="21" t="n">
        <x:v>0.8572</x:v>
      </x:c>
      <x:c r="G925" s="16" t="str">
        <x:v>Regional</x:v>
      </x:c>
      <x:c r="H925" s="36" t="n">
        <x:f>IF(G925="National",Assumptions!$B$11,IF(G925="Statewide",Assumptions!$B$12,Assumptions!$B$13))</x:f>
        <x:v>0.85</x:v>
      </x:c>
      <x:c r="I925" s="21" t="n">
        <x:v>-0.027626263872777668</x:v>
      </x:c>
      <x:c r="J925" s="21" t="n">
        <x:v>0.014002352921818728</x:v>
      </x:c>
      <x:c r="K925" s="21" t="n">
        <x:v>0.009609135260096657</x:v>
      </x:c>
      <x:c r="L925" s="36" t="n">
        <x:f>IF(Assumptions!$B$4=2030,I925,IF(Assumptions!$B$4=2035,J925,K925))</x:f>
        <x:v>0.014002352921818728</x:v>
      </x:c>
      <x:c r="M925" s="36" t="n">
        <x:f>Assumptions!$B$19</x:f>
        <x:v>-0.04739891965741583</x:v>
      </x:c>
      <x:c r="N925" s="52" t="n">
        <x:f>H925*L925+(1-H925)*M925+O925</x:f>
        <x:v>0.004792162034933543</x:v>
      </x:c>
      <x:c r="O925" s="36" t="n">
        <x:f>Assumptions!$B$10</x:f>
        <x:v>0</x:v>
      </x:c>
      <x:c r="P925" s="54" t="n">
        <x:f>E925*(1+N925)</x:f>
        <x:v>1418.7665327933262</x:v>
      </x:c>
      <x:c r="Q925" s="54" t="n">
        <x:f>P925-E925</x:f>
        <x:v>6.766532793326178</x:v>
      </x:c>
      <x:c r="R925" s="16" t="str">
        <x:v>Yes</x:v>
      </x:c>
      <x:c r="S925" s="56" t="n">
        <x:v>13507</x:v>
      </x:c>
      <x:c r="T925" s="56" t="n">
        <x:v>7635</x:v>
      </x:c>
      <x:c r="U925" s="40" t="n">
        <x:f>E925*Assumptions!$B$8</x:f>
        <x:v>1200.2</x:v>
      </x:c>
      <x:c r="V925" s="40" t="n">
        <x:f>P925*Assumptions!$B$8</x:f>
        <x:v>1205.9515528743273</x:v>
      </x:c>
      <x:c r="W925" s="54" t="n">
        <x:f>V925-U925</x:f>
        <x:v>5.751552874327217</x:v>
      </x:c>
      <x:c r="X925" s="58" t="n">
        <x:f>IF(R925="No","",W925*S925)</x:f>
        <x:v>77686.22467353773</x:v>
      </x:c>
      <x:c r="Y925" s="58" t="n">
        <x:f>IF(R925="No","",W925*T925*Assumptions!$B$9)</x:f>
        <x:v>13173.93185864649</x:v>
      </x:c>
      <x:c r="Z925" s="58" t="n">
        <x:f>IF(R925="No","",X925-Y925)</x:f>
        <x:v>64512.29281489123</x:v>
      </x:c>
      <x:c r="AA925" s="58" t="n">
        <x:f>IF(R925="No","",MAX(0,-Z925))</x:f>
        <x:v>0</x:v>
      </x:c>
      <x:c r="AB925" s="52" t="n">
        <x:f>IF(OR(R925="No",U925*S925=0),"",AA925/(U925*S925))</x:f>
        <x:v>0</x:v>
      </x:c>
      <x:c r="AC925" s="54" t="n">
        <x:f>IF(OR(R925="No",S925-T925*Assumptions!$B$9&lt;=0),"",AA925/(Assumptions!$B$8*(S925-T925*Assumptions!$B$9)))</x:f>
        <x:v>0</x:v>
      </x:c>
      <x:c r="AD925" s="52" t="n">
        <x:f>IF(OR(R925="No",U925*S925=0),"",AA925/(U925*S925))</x:f>
        <x:v>0</x:v>
      </x:c>
      <x:c r="AE925" s="50" t="str">
        <x:f>IF(R925="No","No finance data",IF(AB925&gt;=10%,"Severe",IF(AB925&gt;=5%,"High",IF(AB925&gt;=2%,"Moderate","Low"))))</x:f>
        <x:v>Low</x:v>
      </x:c>
      <x:c r="AF925" s="60" t="n">
        <x:v>35.739968</x:v>
      </x:c>
      <x:c r="AG925" s="60" t="n">
        <x:v>-81.327598</x:v>
      </x:c>
      <x:c r="AH925" s="44" t="str">
        <x:v>Undergraduate tuition-contribution proxy only; not an audited total institutional budget.</x:v>
      </x:c>
    </x:row>
    <x:row r="926">
      <x:c r="A926" s="16" t="n">
        <x:v>198862</x:v>
      </x:c>
      <x:c r="B926" s="16" t="str">
        <x:v>Livingstone College</x:v>
      </x:c>
      <x:c r="C926" s="16" t="str">
        <x:v>NC</x:v>
      </x:c>
      <x:c r="D926" s="16" t="str">
        <x:v>Private nonprofit</x:v>
      </x:c>
      <x:c r="E926" s="34" t="n">
        <x:v>1261</x:v>
      </x:c>
      <x:c r="F926" s="21" t="n">
        <x:v>0.513</x:v>
      </x:c>
      <x:c r="G926" s="16" t="str">
        <x:v>Regional</x:v>
      </x:c>
      <x:c r="H926" s="36" t="n">
        <x:f>IF(G926="National",Assumptions!$B$11,IF(G926="Statewide",Assumptions!$B$12,Assumptions!$B$13))</x:f>
        <x:v>0.85</x:v>
      </x:c>
      <x:c r="I926" s="21" t="n">
        <x:v>-0.027626263872777668</x:v>
      </x:c>
      <x:c r="J926" s="21" t="n">
        <x:v>0.014002352921818728</x:v>
      </x:c>
      <x:c r="K926" s="21" t="n">
        <x:v>0.009609135260096657</x:v>
      </x:c>
      <x:c r="L926" s="36" t="n">
        <x:f>IF(Assumptions!$B$4=2030,I926,IF(Assumptions!$B$4=2035,J926,K926))</x:f>
        <x:v>0.014002352921818728</x:v>
      </x:c>
      <x:c r="M926" s="36" t="n">
        <x:f>Assumptions!$B$19</x:f>
        <x:v>-0.04739891965741583</x:v>
      </x:c>
      <x:c r="N926" s="52" t="n">
        <x:f>H926*L926+(1-H926)*M926+O926</x:f>
        <x:v>0.004792162034933543</x:v>
      </x:c>
      <x:c r="O926" s="36" t="n">
        <x:f>Assumptions!$B$10</x:f>
        <x:v>0</x:v>
      </x:c>
      <x:c r="P926" s="54" t="n">
        <x:f>E926*(1+N926)</x:f>
        <x:v>1267.0429163260512</x:v>
      </x:c>
      <x:c r="Q926" s="54" t="n">
        <x:f>P926-E926</x:f>
        <x:v>6.042916326051227</x:v>
      </x:c>
      <x:c r="R926" s="16" t="str">
        <x:v>Yes</x:v>
      </x:c>
      <x:c r="S926" s="56" t="n">
        <x:v>12780</x:v>
      </x:c>
      <x:c r="T926" s="56" t="n">
        <x:v>5991</x:v>
      </x:c>
      <x:c r="U926" s="40" t="n">
        <x:f>E926*Assumptions!$B$8</x:f>
        <x:v>1071.85</x:v>
      </x:c>
      <x:c r="V926" s="40" t="n">
        <x:f>P926*Assumptions!$B$8</x:f>
        <x:v>1076.9864788771436</x:v>
      </x:c>
      <x:c r="W926" s="54" t="n">
        <x:f>V926-U926</x:f>
        <x:v>5.136478877143645</x:v>
      </x:c>
      <x:c r="X926" s="58" t="n">
        <x:f>IF(R926="No","",W926*S926)</x:f>
        <x:v>65644.20004989578</x:v>
      </x:c>
      <x:c r="Y926" s="58" t="n">
        <x:f>IF(R926="No","",W926*T926*Assumptions!$B$9)</x:f>
        <x:v>9231.793485890274</x:v>
      </x:c>
      <x:c r="Z926" s="58" t="n">
        <x:f>IF(R926="No","",X926-Y926)</x:f>
        <x:v>56412.406564005505</x:v>
      </x:c>
      <x:c r="AA926" s="58" t="n">
        <x:f>IF(R926="No","",MAX(0,-Z926))</x:f>
        <x:v>0</x:v>
      </x:c>
      <x:c r="AB926" s="52" t="n">
        <x:f>IF(OR(R926="No",U926*S926=0),"",AA926/(U926*S926))</x:f>
        <x:v>0</x:v>
      </x:c>
      <x:c r="AC926" s="54" t="n">
        <x:f>IF(OR(R926="No",S926-T926*Assumptions!$B$9&lt;=0),"",AA926/(Assumptions!$B$8*(S926-T926*Assumptions!$B$9)))</x:f>
        <x:v>0</x:v>
      </x:c>
      <x:c r="AD926" s="52" t="n">
        <x:f>IF(OR(R926="No",U926*S926=0),"",AA926/(U926*S926))</x:f>
        <x:v>0</x:v>
      </x:c>
      <x:c r="AE926" s="50" t="str">
        <x:f>IF(R926="No","No finance data",IF(AB926&gt;=10%,"Severe",IF(AB926&gt;=5%,"High",IF(AB926&gt;=2%,"Moderate","Low"))))</x:f>
        <x:v>Low</x:v>
      </x:c>
      <x:c r="AF926" s="60" t="n">
        <x:v>35.670877</x:v>
      </x:c>
      <x:c r="AG926" s="60" t="n">
        <x:v>-80.483956</x:v>
      </x:c>
      <x:c r="AH926" s="44" t="str">
        <x:v>Undergraduate tuition-contribution proxy only; not an audited total institutional budget.</x:v>
      </x:c>
    </x:row>
    <x:row r="927">
      <x:c r="A927" s="16" t="n">
        <x:v>198899</x:v>
      </x:c>
      <x:c r="B927" s="16" t="str">
        <x:v>Mars Hill University</x:v>
      </x:c>
      <x:c r="C927" s="16" t="str">
        <x:v>NC</x:v>
      </x:c>
      <x:c r="D927" s="16" t="str">
        <x:v>Private nonprofit</x:v>
      </x:c>
      <x:c r="E927" s="34" t="n">
        <x:v>1353</x:v>
      </x:c>
      <x:c r="F927" s="21" t="n">
        <x:v>0.7951</x:v>
      </x:c>
      <x:c r="G927" s="16" t="str">
        <x:v>Regional</x:v>
      </x:c>
      <x:c r="H927" s="36" t="n">
        <x:f>IF(G927="National",Assumptions!$B$11,IF(G927="Statewide",Assumptions!$B$12,Assumptions!$B$13))</x:f>
        <x:v>0.85</x:v>
      </x:c>
      <x:c r="I927" s="21" t="n">
        <x:v>-0.027626263872777668</x:v>
      </x:c>
      <x:c r="J927" s="21" t="n">
        <x:v>0.014002352921818728</x:v>
      </x:c>
      <x:c r="K927" s="21" t="n">
        <x:v>0.009609135260096657</x:v>
      </x:c>
      <x:c r="L927" s="36" t="n">
        <x:f>IF(Assumptions!$B$4=2030,I927,IF(Assumptions!$B$4=2035,J927,K927))</x:f>
        <x:v>0.014002352921818728</x:v>
      </x:c>
      <x:c r="M927" s="36" t="n">
        <x:f>Assumptions!$B$19</x:f>
        <x:v>-0.04739891965741583</x:v>
      </x:c>
      <x:c r="N927" s="52" t="n">
        <x:f>H927*L927+(1-H927)*M927+O927</x:f>
        <x:v>0.004792162034933543</x:v>
      </x:c>
      <x:c r="O927" s="36" t="n">
        <x:f>Assumptions!$B$10</x:f>
        <x:v>0</x:v>
      </x:c>
      <x:c r="P927" s="54" t="n">
        <x:f>E927*(1+N927)</x:f>
        <x:v>1359.4837952332653</x:v>
      </x:c>
      <x:c r="Q927" s="54" t="n">
        <x:f>P927-E927</x:f>
        <x:v>6.483795233265255</x:v>
      </x:c>
      <x:c r="R927" s="16" t="str">
        <x:v>Yes</x:v>
      </x:c>
      <x:c r="S927" s="56" t="n">
        <x:v>12423</x:v>
      </x:c>
      <x:c r="T927" s="56" t="n">
        <x:v>14648</x:v>
      </x:c>
      <x:c r="U927" s="40" t="n">
        <x:f>E927*Assumptions!$B$8</x:f>
        <x:v>1150.05</x:v>
      </x:c>
      <x:c r="V927" s="40" t="n">
        <x:f>P927*Assumptions!$B$8</x:f>
        <x:v>1155.5612259482755</x:v>
      </x:c>
      <x:c r="W927" s="54" t="n">
        <x:f>V927-U927</x:f>
        <x:v>5.5112259482755235</x:v>
      </x:c>
      <x:c r="X927" s="58" t="n">
        <x:f>IF(R927="No","",W927*S927)</x:f>
        <x:v>68465.95995542684</x:v>
      </x:c>
      <x:c r="Y927" s="58" t="n">
        <x:f>IF(R927="No","",W927*T927*Assumptions!$B$9)</x:f>
        <x:v>24218.53130710196</x:v>
      </x:c>
      <x:c r="Z927" s="58" t="n">
        <x:f>IF(R927="No","",X927-Y927)</x:f>
        <x:v>44247.42864832487</x:v>
      </x:c>
      <x:c r="AA927" s="58" t="n">
        <x:f>IF(R927="No","",MAX(0,-Z927))</x:f>
        <x:v>0</x:v>
      </x:c>
      <x:c r="AB927" s="52" t="n">
        <x:f>IF(OR(R927="No",U927*S927=0),"",AA927/(U927*S927))</x:f>
        <x:v>0</x:v>
      </x:c>
      <x:c r="AC927" s="54" t="n">
        <x:f>IF(OR(R927="No",S927-T927*Assumptions!$B$9&lt;=0),"",AA927/(Assumptions!$B$8*(S927-T927*Assumptions!$B$9)))</x:f>
        <x:v>0</x:v>
      </x:c>
      <x:c r="AD927" s="52" t="n">
        <x:f>IF(OR(R927="No",U927*S927=0),"",AA927/(U927*S927))</x:f>
        <x:v>0</x:v>
      </x:c>
      <x:c r="AE927" s="50" t="str">
        <x:f>IF(R927="No","No finance data",IF(AB927&gt;=10%,"Severe",IF(AB927&gt;=5%,"High",IF(AB927&gt;=2%,"Moderate","Low"))))</x:f>
        <x:v>Low</x:v>
      </x:c>
      <x:c r="AF927" s="60" t="n">
        <x:v>35.82752</x:v>
      </x:c>
      <x:c r="AG927" s="60" t="n">
        <x:v>-82.551827</x:v>
      </x:c>
      <x:c r="AH927" s="44" t="str">
        <x:v>Undergraduate tuition-contribution proxy only; not an audited total institutional budget.</x:v>
      </x:c>
    </x:row>
    <x:row r="928">
      <x:c r="A928" s="16" t="n">
        <x:v>198950</x:v>
      </x:c>
      <x:c r="B928" s="16" t="str">
        <x:v>Meredith College</x:v>
      </x:c>
      <x:c r="C928" s="16" t="str">
        <x:v>NC</x:v>
      </x:c>
      <x:c r="D928" s="16" t="str">
        <x:v>Private nonprofit</x:v>
      </x:c>
      <x:c r="E928" s="34" t="n">
        <x:v>1651</x:v>
      </x:c>
      <x:c r="F928" s="21" t="n">
        <x:v>0.6987</x:v>
      </x:c>
      <x:c r="G928" s="16" t="str">
        <x:v>Regional</x:v>
      </x:c>
      <x:c r="H928" s="36" t="n">
        <x:f>IF(G928="National",Assumptions!$B$11,IF(G928="Statewide",Assumptions!$B$12,Assumptions!$B$13))</x:f>
        <x:v>0.85</x:v>
      </x:c>
      <x:c r="I928" s="21" t="n">
        <x:v>-0.027626263872777668</x:v>
      </x:c>
      <x:c r="J928" s="21" t="n">
        <x:v>0.014002352921818728</x:v>
      </x:c>
      <x:c r="K928" s="21" t="n">
        <x:v>0.009609135260096657</x:v>
      </x:c>
      <x:c r="L928" s="36" t="n">
        <x:f>IF(Assumptions!$B$4=2030,I928,IF(Assumptions!$B$4=2035,J928,K928))</x:f>
        <x:v>0.014002352921818728</x:v>
      </x:c>
      <x:c r="M928" s="36" t="n">
        <x:f>Assumptions!$B$19</x:f>
        <x:v>-0.04739891965741583</x:v>
      </x:c>
      <x:c r="N928" s="52" t="n">
        <x:f>H928*L928+(1-H928)*M928+O928</x:f>
        <x:v>0.004792162034933543</x:v>
      </x:c>
      <x:c r="O928" s="36" t="n">
        <x:f>Assumptions!$B$10</x:f>
        <x:v>0</x:v>
      </x:c>
      <x:c r="P928" s="54" t="n">
        <x:f>E928*(1+N928)</x:f>
        <x:v>1658.9118595196753</x:v>
      </x:c>
      <x:c r="Q928" s="54" t="n">
        <x:f>P928-E928</x:f>
        <x:v>7.911859519675318</x:v>
      </x:c>
      <x:c r="R928" s="16" t="str">
        <x:v>Yes</x:v>
      </x:c>
      <x:c r="S928" s="56" t="n">
        <x:v>18872</x:v>
      </x:c>
      <x:c r="T928" s="56" t="n">
        <x:v>11624</x:v>
      </x:c>
      <x:c r="U928" s="40" t="n">
        <x:f>E928*Assumptions!$B$8</x:f>
        <x:v>1403.35</x:v>
      </x:c>
      <x:c r="V928" s="40" t="n">
        <x:f>P928*Assumptions!$B$8</x:f>
        <x:v>1410.075080591724</x:v>
      </x:c>
      <x:c r="W928" s="54" t="n">
        <x:f>V928-U928</x:f>
        <x:v>6.725080591724009</x:v>
      </x:c>
      <x:c r="X928" s="58" t="n">
        <x:f>IF(R928="No","",W928*S928)</x:f>
        <x:v>126915.72092701549</x:v>
      </x:c>
      <x:c r="Y928" s="58" t="n">
        <x:f>IF(R928="No","",W928*T928*Assumptions!$B$9)</x:f>
        <x:v>23451.70103945996</x:v>
      </x:c>
      <x:c r="Z928" s="58" t="n">
        <x:f>IF(R928="No","",X928-Y928)</x:f>
        <x:v>103464.01988755552</x:v>
      </x:c>
      <x:c r="AA928" s="58" t="n">
        <x:f>IF(R928="No","",MAX(0,-Z928))</x:f>
        <x:v>0</x:v>
      </x:c>
      <x:c r="AB928" s="52" t="n">
        <x:f>IF(OR(R928="No",U928*S928=0),"",AA928/(U928*S928))</x:f>
        <x:v>0</x:v>
      </x:c>
      <x:c r="AC928" s="54" t="n">
        <x:f>IF(OR(R928="No",S928-T928*Assumptions!$B$9&lt;=0),"",AA928/(Assumptions!$B$8*(S928-T928*Assumptions!$B$9)))</x:f>
        <x:v>0</x:v>
      </x:c>
      <x:c r="AD928" s="52" t="n">
        <x:f>IF(OR(R928="No",U928*S928=0),"",AA928/(U928*S928))</x:f>
        <x:v>0</x:v>
      </x:c>
      <x:c r="AE928" s="50" t="str">
        <x:f>IF(R928="No","No finance data",IF(AB928&gt;=10%,"Severe",IF(AB928&gt;=5%,"High",IF(AB928&gt;=2%,"Moderate","Low"))))</x:f>
        <x:v>Low</x:v>
      </x:c>
      <x:c r="AF928" s="60" t="n">
        <x:v>35.799351</x:v>
      </x:c>
      <x:c r="AG928" s="60" t="n">
        <x:v>-78.689995</x:v>
      </x:c>
      <x:c r="AH928" s="44" t="str">
        <x:v>Undergraduate tuition-contribution proxy only; not an audited total institutional budget.</x:v>
      </x:c>
    </x:row>
    <x:row r="929">
      <x:c r="A929" s="16" t="n">
        <x:v>198969</x:v>
      </x:c>
      <x:c r="B929" s="16" t="str">
        <x:v>Methodist University</x:v>
      </x:c>
      <x:c r="C929" s="16" t="str">
        <x:v>NC</x:v>
      </x:c>
      <x:c r="D929" s="16" t="str">
        <x:v>Private nonprofit</x:v>
      </x:c>
      <x:c r="E929" s="34" t="n">
        <x:v>2173</x:v>
      </x:c>
      <x:c r="F929" s="21" t="n">
        <x:v>0.7859</x:v>
      </x:c>
      <x:c r="G929" s="16" t="str">
        <x:v>Regional</x:v>
      </x:c>
      <x:c r="H929" s="36" t="n">
        <x:f>IF(G929="National",Assumptions!$B$11,IF(G929="Statewide",Assumptions!$B$12,Assumptions!$B$13))</x:f>
        <x:v>0.85</x:v>
      </x:c>
      <x:c r="I929" s="21" t="n">
        <x:v>-0.027626263872777668</x:v>
      </x:c>
      <x:c r="J929" s="21" t="n">
        <x:v>0.014002352921818728</x:v>
      </x:c>
      <x:c r="K929" s="21" t="n">
        <x:v>0.009609135260096657</x:v>
      </x:c>
      <x:c r="L929" s="36" t="n">
        <x:f>IF(Assumptions!$B$4=2030,I929,IF(Assumptions!$B$4=2035,J929,K929))</x:f>
        <x:v>0.014002352921818728</x:v>
      </x:c>
      <x:c r="M929" s="36" t="n">
        <x:f>Assumptions!$B$19</x:f>
        <x:v>-0.04739891965741583</x:v>
      </x:c>
      <x:c r="N929" s="52" t="n">
        <x:f>H929*L929+(1-H929)*M929+O929</x:f>
        <x:v>0.004792162034933543</x:v>
      </x:c>
      <x:c r="O929" s="36" t="n">
        <x:f>Assumptions!$B$10</x:f>
        <x:v>0</x:v>
      </x:c>
      <x:c r="P929" s="54" t="n">
        <x:f>E929*(1+N929)</x:f>
        <x:v>2183.4133681019107</x:v>
      </x:c>
      <x:c r="Q929" s="54" t="n">
        <x:f>P929-E929</x:f>
        <x:v>10.413368101910692</x:v>
      </x:c>
      <x:c r="R929" s="16" t="str">
        <x:v>Yes</x:v>
      </x:c>
      <x:c r="S929" s="56" t="n">
        <x:v>20096</x:v>
      </x:c>
      <x:c r="T929" s="56" t="n">
        <x:v>11993</x:v>
      </x:c>
      <x:c r="U929" s="40" t="n">
        <x:f>E929*Assumptions!$B$8</x:f>
        <x:v>1847.05</x:v>
      </x:c>
      <x:c r="V929" s="40" t="n">
        <x:f>P929*Assumptions!$B$8</x:f>
        <x:v>1855.901362886624</x:v>
      </x:c>
      <x:c r="W929" s="54" t="n">
        <x:f>V929-U929</x:f>
        <x:v>8.851362886623974</x:v>
      </x:c>
      <x:c r="X929" s="58" t="n">
        <x:f>IF(R929="No","",W929*S929)</x:f>
        <x:v>177876.98856959539</x:v>
      </x:c>
      <x:c r="Y929" s="58" t="n">
        <x:f>IF(R929="No","",W929*T929*Assumptions!$B$9)</x:f>
        <x:v>31846.318529784396</x:v>
      </x:c>
      <x:c r="Z929" s="58" t="n">
        <x:f>IF(R929="No","",X929-Y929)</x:f>
        <x:v>146030.670039811</x:v>
      </x:c>
      <x:c r="AA929" s="58" t="n">
        <x:f>IF(R929="No","",MAX(0,-Z929))</x:f>
        <x:v>0</x:v>
      </x:c>
      <x:c r="AB929" s="52" t="n">
        <x:f>IF(OR(R929="No",U929*S929=0),"",AA929/(U929*S929))</x:f>
        <x:v>0</x:v>
      </x:c>
      <x:c r="AC929" s="54" t="n">
        <x:f>IF(OR(R929="No",S929-T929*Assumptions!$B$9&lt;=0),"",AA929/(Assumptions!$B$8*(S929-T929*Assumptions!$B$9)))</x:f>
        <x:v>0</x:v>
      </x:c>
      <x:c r="AD929" s="52" t="n">
        <x:f>IF(OR(R929="No",U929*S929=0),"",AA929/(U929*S929))</x:f>
        <x:v>0</x:v>
      </x:c>
      <x:c r="AE929" s="50" t="str">
        <x:f>IF(R929="No","No finance data",IF(AB929&gt;=10%,"Severe",IF(AB929&gt;=5%,"High",IF(AB929&gt;=2%,"Moderate","Low"))))</x:f>
        <x:v>Low</x:v>
      </x:c>
      <x:c r="AF929" s="60" t="n">
        <x:v>35.135058</x:v>
      </x:c>
      <x:c r="AG929" s="60" t="n">
        <x:v>-78.874426</x:v>
      </x:c>
      <x:c r="AH929" s="44" t="str">
        <x:v>Undergraduate tuition-contribution proxy only; not an audited total institutional budget.</x:v>
      </x:c>
    </x:row>
    <x:row r="930">
      <x:c r="A930" s="16" t="n">
        <x:v>199458</x:v>
      </x:c>
      <x:c r="B930" s="16" t="str">
        <x:v>Mid-Atlantic Christian University</x:v>
      </x:c>
      <x:c r="C930" s="16" t="str">
        <x:v>NC</x:v>
      </x:c>
      <x:c r="D930" s="16" t="str">
        <x:v>Private nonprofit</x:v>
      </x:c>
      <x:c r="E930" s="34" t="n">
        <x:v>203</x:v>
      </x:c>
      <x:c r="F930" s="21"/>
      <x:c r="G930" s="16" t="str">
        <x:v>Regional</x:v>
      </x:c>
      <x:c r="H930" s="36" t="n">
        <x:f>IF(G930="National",Assumptions!$B$11,IF(G930="Statewide",Assumptions!$B$12,Assumptions!$B$13))</x:f>
        <x:v>0.85</x:v>
      </x:c>
      <x:c r="I930" s="21" t="n">
        <x:v>-0.027626263872777668</x:v>
      </x:c>
      <x:c r="J930" s="21" t="n">
        <x:v>0.014002352921818728</x:v>
      </x:c>
      <x:c r="K930" s="21" t="n">
        <x:v>0.009609135260096657</x:v>
      </x:c>
      <x:c r="L930" s="36" t="n">
        <x:f>IF(Assumptions!$B$4=2030,I930,IF(Assumptions!$B$4=2035,J930,K930))</x:f>
        <x:v>0.014002352921818728</x:v>
      </x:c>
      <x:c r="M930" s="36" t="n">
        <x:f>Assumptions!$B$19</x:f>
        <x:v>-0.04739891965741583</x:v>
      </x:c>
      <x:c r="N930" s="52" t="n">
        <x:f>H930*L930+(1-H930)*M930+O930</x:f>
        <x:v>0.004792162034933543</x:v>
      </x:c>
      <x:c r="O930" s="36" t="n">
        <x:f>Assumptions!$B$10</x:f>
        <x:v>0</x:v>
      </x:c>
      <x:c r="P930" s="54" t="n">
        <x:f>E930*(1+N930)</x:f>
        <x:v>203.97280889309152</x:v>
      </x:c>
      <x:c r="Q930" s="54" t="n">
        <x:f>P930-E930</x:f>
        <x:v>0.9728088930915249</x:v>
      </x:c>
      <x:c r="R930" s="16" t="str">
        <x:v>No</x:v>
      </x:c>
      <x:c r="S930" s="56"/>
      <x:c r="T930" s="56"/>
      <x:c r="U930" s="40" t="n">
        <x:f>E930*Assumptions!$B$8</x:f>
        <x:v>172.54999999999998</x:v>
      </x:c>
      <x:c r="V930" s="40" t="n">
        <x:f>P930*Assumptions!$B$8</x:f>
        <x:v>173.3768875591278</x:v>
      </x:c>
      <x:c r="W930" s="54" t="n">
        <x:f>V930-U930</x:f>
        <x:v>0.8268875591278118</x:v>
      </x:c>
      <x:c r="X930" s="58" t="str">
        <x:f>IF(R930="No","",W930*S930)</x:f>
      </x:c>
      <x:c r="Y930" s="58" t="str">
        <x:f>IF(R930="No","",W930*T930*Assumptions!$B$9)</x:f>
      </x:c>
      <x:c r="Z930" s="58" t="str">
        <x:f>IF(R930="No","",X930-Y930)</x:f>
      </x:c>
      <x:c r="AA930" s="58" t="str">
        <x:f>IF(R930="No","",MAX(0,-Z930))</x:f>
      </x:c>
      <x:c r="AB930" s="52" t="str">
        <x:f>IF(OR(R930="No",U930*S930=0),"",AA930/(U930*S930))</x:f>
      </x:c>
      <x:c r="AC930" s="54" t="str">
        <x:f>IF(OR(R930="No",S930-T930*Assumptions!$B$9&lt;=0),"",AA930/(Assumptions!$B$8*(S930-T930*Assumptions!$B$9)))</x:f>
      </x:c>
      <x:c r="AD930" s="52" t="str">
        <x:f>IF(OR(R930="No",U930*S930=0),"",AA930/(U930*S930))</x:f>
      </x:c>
      <x:c r="AE930" s="50" t="str">
        <x:f>IF(R930="No","No finance data",IF(AB930&gt;=10%,"Severe",IF(AB930&gt;=5%,"High",IF(AB930&gt;=2%,"Moderate","Low"))))</x:f>
        <x:v>No finance data</x:v>
      </x:c>
      <x:c r="AF930" s="60"/>
      <x:c r="AG930" s="60"/>
      <x:c r="AH930" s="44" t="str">
        <x:v>Undergraduate tuition-contribution proxy only; not an audited total institutional budget.</x:v>
      </x:c>
    </x:row>
    <x:row r="931">
      <x:c r="A931" s="16" t="n">
        <x:v>199032</x:v>
      </x:c>
      <x:c r="B931" s="16" t="str">
        <x:v>Montreat College</x:v>
      </x:c>
      <x:c r="C931" s="16" t="str">
        <x:v>NC</x:v>
      </x:c>
      <x:c r="D931" s="16" t="str">
        <x:v>Private nonprofit</x:v>
      </x:c>
      <x:c r="E931" s="34" t="n">
        <x:v>724</x:v>
      </x:c>
      <x:c r="F931" s="21" t="n">
        <x:v>0.9024</x:v>
      </x:c>
      <x:c r="G931" s="16" t="str">
        <x:v>Regional</x:v>
      </x:c>
      <x:c r="H931" s="36" t="n">
        <x:f>IF(G931="National",Assumptions!$B$11,IF(G931="Statewide",Assumptions!$B$12,Assumptions!$B$13))</x:f>
        <x:v>0.85</x:v>
      </x:c>
      <x:c r="I931" s="21" t="n">
        <x:v>-0.027626263872777668</x:v>
      </x:c>
      <x:c r="J931" s="21" t="n">
        <x:v>0.014002352921818728</x:v>
      </x:c>
      <x:c r="K931" s="21" t="n">
        <x:v>0.009609135260096657</x:v>
      </x:c>
      <x:c r="L931" s="36" t="n">
        <x:f>IF(Assumptions!$B$4=2030,I931,IF(Assumptions!$B$4=2035,J931,K931))</x:f>
        <x:v>0.014002352921818728</x:v>
      </x:c>
      <x:c r="M931" s="36" t="n">
        <x:f>Assumptions!$B$19</x:f>
        <x:v>-0.04739891965741583</x:v>
      </x:c>
      <x:c r="N931" s="52" t="n">
        <x:f>H931*L931+(1-H931)*M931+O931</x:f>
        <x:v>0.004792162034933543</x:v>
      </x:c>
      <x:c r="O931" s="36" t="n">
        <x:f>Assumptions!$B$10</x:f>
        <x:v>0</x:v>
      </x:c>
      <x:c r="P931" s="54" t="n">
        <x:f>E931*(1+N931)</x:f>
        <x:v>727.4695253132919</x:v>
      </x:c>
      <x:c r="Q931" s="54" t="n">
        <x:f>P931-E931</x:f>
        <x:v>3.4695253132919106</x:v>
      </x:c>
      <x:c r="R931" s="16" t="str">
        <x:v>Yes</x:v>
      </x:c>
      <x:c r="S931" s="56" t="n">
        <x:v>13441</x:v>
      </x:c>
      <x:c r="T931" s="56" t="n">
        <x:v>4730</x:v>
      </x:c>
      <x:c r="U931" s="40" t="n">
        <x:f>E931*Assumptions!$B$8</x:f>
        <x:v>615.4</x:v>
      </x:c>
      <x:c r="V931" s="40" t="n">
        <x:f>P931*Assumptions!$B$8</x:f>
        <x:v>618.3490965162981</x:v>
      </x:c>
      <x:c r="W931" s="54" t="n">
        <x:f>V931-U931</x:f>
        <x:v>2.949096516298141</x:v>
      </x:c>
      <x:c r="X931" s="58" t="n">
        <x:f>IF(R931="No","",W931*S931)</x:f>
        <x:v>39638.806275563315</x:v>
      </x:c>
      <x:c r="Y931" s="58" t="n">
        <x:f>IF(R931="No","",W931*T931*Assumptions!$B$9)</x:f>
        <x:v>4184.767956627063</x:v>
      </x:c>
      <x:c r="Z931" s="58" t="n">
        <x:f>IF(R931="No","",X931-Y931)</x:f>
        <x:v>35454.038318936255</x:v>
      </x:c>
      <x:c r="AA931" s="58" t="n">
        <x:f>IF(R931="No","",MAX(0,-Z931))</x:f>
        <x:v>0</x:v>
      </x:c>
      <x:c r="AB931" s="52" t="n">
        <x:f>IF(OR(R931="No",U931*S931=0),"",AA931/(U931*S931))</x:f>
        <x:v>0</x:v>
      </x:c>
      <x:c r="AC931" s="54" t="n">
        <x:f>IF(OR(R931="No",S931-T931*Assumptions!$B$9&lt;=0),"",AA931/(Assumptions!$B$8*(S931-T931*Assumptions!$B$9)))</x:f>
        <x:v>0</x:v>
      </x:c>
      <x:c r="AD931" s="52" t="n">
        <x:f>IF(OR(R931="No",U931*S931=0),"",AA931/(U931*S931))</x:f>
        <x:v>0</x:v>
      </x:c>
      <x:c r="AE931" s="50" t="str">
        <x:f>IF(R931="No","No finance data",IF(AB931&gt;=10%,"Severe",IF(AB931&gt;=5%,"High",IF(AB931&gt;=2%,"Moderate","Low"))))</x:f>
        <x:v>Low</x:v>
      </x:c>
      <x:c r="AF931" s="60" t="n">
        <x:v>35.646577</x:v>
      </x:c>
      <x:c r="AG931" s="60" t="n">
        <x:v>-82.2976</x:v>
      </x:c>
      <x:c r="AH931" s="44" t="str">
        <x:v>Undergraduate tuition-contribution proxy only; not an audited total institutional budget.</x:v>
      </x:c>
    </x:row>
    <x:row r="932">
      <x:c r="A932" s="16" t="n">
        <x:v>199102</x:v>
      </x:c>
      <x:c r="B932" s="16" t="str">
        <x:v>North Carolina A &amp; T State University</x:v>
      </x:c>
      <x:c r="C932" s="16" t="str">
        <x:v>NC</x:v>
      </x:c>
      <x:c r="D932" s="16" t="str">
        <x:v>Public</x:v>
      </x:c>
      <x:c r="E932" s="34" t="n">
        <x:v>9036</x:v>
      </x:c>
      <x:c r="F932" s="21" t="n">
        <x:v>0.5735</x:v>
      </x:c>
      <x:c r="G932" s="16" t="str">
        <x:v>Statewide</x:v>
      </x:c>
      <x:c r="H932" s="36" t="n">
        <x:f>IF(G932="National",Assumptions!$B$11,IF(G932="Statewide",Assumptions!$B$12,Assumptions!$B$13))</x:f>
        <x:v>0.6</x:v>
      </x:c>
      <x:c r="I932" s="21" t="n">
        <x:v>-0.027626263872777668</x:v>
      </x:c>
      <x:c r="J932" s="21" t="n">
        <x:v>0.014002352921818728</x:v>
      </x:c>
      <x:c r="K932" s="21" t="n">
        <x:v>0.009609135260096657</x:v>
      </x:c>
      <x:c r="L932" s="36" t="n">
        <x:f>IF(Assumptions!$B$4=2030,I932,IF(Assumptions!$B$4=2035,J932,K932))</x:f>
        <x:v>0.014002352921818728</x:v>
      </x:c>
      <x:c r="M932" s="36" t="n">
        <x:f>Assumptions!$B$19</x:f>
        <x:v>-0.04739891965741583</x:v>
      </x:c>
      <x:c r="N932" s="52" t="n">
        <x:f>H932*L932+(1-H932)*M932+O932</x:f>
        <x:v>-0.010558156109875098</x:v>
      </x:c>
      <x:c r="O932" s="36" t="n">
        <x:f>Assumptions!$B$10</x:f>
        <x:v>0</x:v>
      </x:c>
      <x:c r="P932" s="54" t="n">
        <x:f>E932*(1+N932)</x:f>
        <x:v>8940.596501391168</x:v>
      </x:c>
      <x:c r="Q932" s="54" t="n">
        <x:f>P932-E932</x:f>
        <x:v>-95.4034986088318</x:v>
      </x:c>
      <x:c r="R932" s="16" t="str">
        <x:v>Yes</x:v>
      </x:c>
      <x:c r="S932" s="56" t="n">
        <x:v>5639</x:v>
      </x:c>
      <x:c r="T932" s="56" t="n">
        <x:v>7339</x:v>
      </x:c>
      <x:c r="U932" s="40" t="n">
        <x:f>E932*Assumptions!$B$8</x:f>
        <x:v>7680.599999999999</x:v>
      </x:c>
      <x:c r="V932" s="40" t="n">
        <x:f>P932*Assumptions!$B$8</x:f>
        <x:v>7599.507026182493</x:v>
      </x:c>
      <x:c r="W932" s="54" t="n">
        <x:f>V932-U932</x:f>
        <x:v>-81.09297381750639</x:v>
      </x:c>
      <x:c r="X932" s="58" t="n">
        <x:f>IF(R932="No","",W932*S932)</x:f>
        <x:v>-457283.27935691853</x:v>
      </x:c>
      <x:c r="Y932" s="58" t="n">
        <x:f>IF(R932="No","",W932*T932*Assumptions!$B$9)</x:f>
        <x:v>-178542.4004540038</x:v>
      </x:c>
      <x:c r="Z932" s="58" t="n">
        <x:f>IF(R932="No","",X932-Y932)</x:f>
        <x:v>-278740.8789029147</x:v>
      </x:c>
      <x:c r="AA932" s="58" t="n">
        <x:f>IF(R932="No","",MAX(0,-Z932))</x:f>
        <x:v>278740.8789029147</x:v>
      </x:c>
      <x:c r="AB932" s="52" t="n">
        <x:f>IF(OR(R932="No",U932*S932=0),"",AA932/(U932*S932))</x:f>
        <x:v>0.0064358130868014795</x:v>
      </x:c>
      <x:c r="AC932" s="54" t="n">
        <x:f>IF(OR(R932="No",S932-T932*Assumptions!$B$9&lt;=0),"",AA932/(Assumptions!$B$8*(S932-T932*Assumptions!$B$9)))</x:f>
        <x:v>95.40349860883104</x:v>
      </x:c>
      <x:c r="AD932" s="52" t="n">
        <x:f>IF(OR(R932="No",U932*S932=0),"",AA932/(U932*S932))</x:f>
        <x:v>0.0064358130868014795</x:v>
      </x:c>
      <x:c r="AE932" s="50" t="str">
        <x:f>IF(R932="No","No finance data",IF(AB932&gt;=10%,"Severe",IF(AB932&gt;=5%,"High",IF(AB932&gt;=2%,"Moderate","Low"))))</x:f>
        <x:v>Low</x:v>
      </x:c>
      <x:c r="AF932" s="60" t="n">
        <x:v>36.07282</x:v>
      </x:c>
      <x:c r="AG932" s="60" t="n">
        <x:v>-79.773375</x:v>
      </x:c>
      <x:c r="AH932" s="44" t="str">
        <x:v>Undergraduate tuition-contribution proxy only; not an audited total institutional budget.</x:v>
      </x:c>
    </x:row>
    <x:row r="933">
      <x:c r="A933" s="16" t="n">
        <x:v>199157</x:v>
      </x:c>
      <x:c r="B933" s="16" t="str">
        <x:v>North Carolina Central University</x:v>
      </x:c>
      <x:c r="C933" s="16" t="str">
        <x:v>NC</x:v>
      </x:c>
      <x:c r="D933" s="16" t="str">
        <x:v>Public</x:v>
      </x:c>
      <x:c r="E933" s="34" t="n">
        <x:v>5797</x:v>
      </x:c>
      <x:c r="F933" s="21" t="n">
        <x:v>0.7602</x:v>
      </x:c>
      <x:c r="G933" s="16" t="str">
        <x:v>Statewide</x:v>
      </x:c>
      <x:c r="H933" s="36" t="n">
        <x:f>IF(G933="National",Assumptions!$B$11,IF(G933="Statewide",Assumptions!$B$12,Assumptions!$B$13))</x:f>
        <x:v>0.6</x:v>
      </x:c>
      <x:c r="I933" s="21" t="n">
        <x:v>-0.027626263872777668</x:v>
      </x:c>
      <x:c r="J933" s="21" t="n">
        <x:v>0.014002352921818728</x:v>
      </x:c>
      <x:c r="K933" s="21" t="n">
        <x:v>0.009609135260096657</x:v>
      </x:c>
      <x:c r="L933" s="36" t="n">
        <x:f>IF(Assumptions!$B$4=2030,I933,IF(Assumptions!$B$4=2035,J933,K933))</x:f>
        <x:v>0.014002352921818728</x:v>
      </x:c>
      <x:c r="M933" s="36" t="n">
        <x:f>Assumptions!$B$19</x:f>
        <x:v>-0.04739891965741583</x:v>
      </x:c>
      <x:c r="N933" s="52" t="n">
        <x:f>H933*L933+(1-H933)*M933+O933</x:f>
        <x:v>-0.010558156109875098</x:v>
      </x:c>
      <x:c r="O933" s="36" t="n">
        <x:f>Assumptions!$B$10</x:f>
        <x:v>0</x:v>
      </x:c>
      <x:c r="P933" s="54" t="n">
        <x:f>E933*(1+N933)</x:f>
        <x:v>5735.794369031054</x:v>
      </x:c>
      <x:c r="Q933" s="54" t="n">
        <x:f>P933-E933</x:f>
        <x:v>-61.205630968946025</x:v>
      </x:c>
      <x:c r="R933" s="16" t="str">
        <x:v>Yes</x:v>
      </x:c>
      <x:c r="S933" s="56" t="n">
        <x:v>6737</x:v>
      </x:c>
      <x:c r="T933" s="56" t="n">
        <x:v>11134</x:v>
      </x:c>
      <x:c r="U933" s="40" t="n">
        <x:f>E933*Assumptions!$B$8</x:f>
        <x:v>4927.45</x:v>
      </x:c>
      <x:c r="V933" s="40" t="n">
        <x:f>P933*Assumptions!$B$8</x:f>
        <x:v>4875.425213676396</x:v>
      </x:c>
      <x:c r="W933" s="54" t="n">
        <x:f>V933-U933</x:f>
        <x:v>-52.02478632360362</x:v>
      </x:c>
      <x:c r="X933" s="58" t="n">
        <x:f>IF(R933="No","",W933*S933)</x:f>
        <x:v>-350490.9854621176</x:v>
      </x:c>
      <x:c r="Y933" s="58" t="n">
        <x:f>IF(R933="No","",W933*T933*Assumptions!$B$9)</x:f>
        <x:v>-173773.1912781008</x:v>
      </x:c>
      <x:c r="Z933" s="58" t="n">
        <x:f>IF(R933="No","",X933-Y933)</x:f>
        <x:v>-176717.7941840168</x:v>
      </x:c>
      <x:c r="AA933" s="58" t="n">
        <x:f>IF(R933="No","",MAX(0,-Z933))</x:f>
        <x:v>176717.7941840168</x:v>
      </x:c>
      <x:c r="AB933" s="52" t="n">
        <x:f>IF(OR(R933="No",U933*S933=0),"",AA933/(U933*S933))</x:f>
        <x:v>0.005323429519670987</x:v>
      </x:c>
      <x:c r="AC933" s="54" t="n">
        <x:f>IF(OR(R933="No",S933-T933*Assumptions!$B$9&lt;=0),"",AA933/(Assumptions!$B$8*(S933-T933*Assumptions!$B$9)))</x:f>
        <x:v>61.205630968945435</x:v>
      </x:c>
      <x:c r="AD933" s="52" t="n">
        <x:f>IF(OR(R933="No",U933*S933=0),"",AA933/(U933*S933))</x:f>
        <x:v>0.005323429519670987</x:v>
      </x:c>
      <x:c r="AE933" s="50" t="str">
        <x:f>IF(R933="No","No finance data",IF(AB933&gt;=10%,"Severe",IF(AB933&gt;=5%,"High",IF(AB933&gt;=2%,"Moderate","Low"))))</x:f>
        <x:v>Low</x:v>
      </x:c>
      <x:c r="AF933" s="60" t="n">
        <x:v>35.974237</x:v>
      </x:c>
      <x:c r="AG933" s="60" t="n">
        <x:v>-78.898602</x:v>
      </x:c>
      <x:c r="AH933" s="44" t="str">
        <x:v>Undergraduate tuition-contribution proxy only; not an audited total institutional budget.</x:v>
      </x:c>
    </x:row>
    <x:row r="934">
      <x:c r="A934" s="16" t="n">
        <x:v>199193</x:v>
      </x:c>
      <x:c r="B934" s="16" t="str">
        <x:v>North Carolina State University at Raleigh</x:v>
      </x:c>
      <x:c r="C934" s="16" t="str">
        <x:v>NC</x:v>
      </x:c>
      <x:c r="D934" s="16" t="str">
        <x:v>Public</x:v>
      </x:c>
      <x:c r="E934" s="34" t="n">
        <x:v>22458</x:v>
      </x:c>
      <x:c r="F934" s="21" t="n">
        <x:v>0.4748</x:v>
      </x:c>
      <x:c r="G934" s="16" t="str">
        <x:v>Statewide</x:v>
      </x:c>
      <x:c r="H934" s="36" t="n">
        <x:f>IF(G934="National",Assumptions!$B$11,IF(G934="Statewide",Assumptions!$B$12,Assumptions!$B$13))</x:f>
        <x:v>0.6</x:v>
      </x:c>
      <x:c r="I934" s="21" t="n">
        <x:v>-0.027626263872777668</x:v>
      </x:c>
      <x:c r="J934" s="21" t="n">
        <x:v>0.014002352921818728</x:v>
      </x:c>
      <x:c r="K934" s="21" t="n">
        <x:v>0.009609135260096657</x:v>
      </x:c>
      <x:c r="L934" s="36" t="n">
        <x:f>IF(Assumptions!$B$4=2030,I934,IF(Assumptions!$B$4=2035,J934,K934))</x:f>
        <x:v>0.014002352921818728</x:v>
      </x:c>
      <x:c r="M934" s="36" t="n">
        <x:f>Assumptions!$B$19</x:f>
        <x:v>-0.04739891965741583</x:v>
      </x:c>
      <x:c r="N934" s="52" t="n">
        <x:f>H934*L934+(1-H934)*M934+O934</x:f>
        <x:v>-0.010558156109875098</x:v>
      </x:c>
      <x:c r="O934" s="36" t="n">
        <x:f>Assumptions!$B$10</x:f>
        <x:v>0</x:v>
      </x:c>
      <x:c r="P934" s="54" t="n">
        <x:f>E934*(1+N934)</x:f>
        <x:v>22220.884930084427</x:v>
      </x:c>
      <x:c r="Q934" s="54" t="n">
        <x:f>P934-E934</x:f>
        <x:v>-237.11506991557326</x:v>
      </x:c>
      <x:c r="R934" s="16" t="str">
        <x:v>Yes</x:v>
      </x:c>
      <x:c r="S934" s="56" t="n">
        <x:v>10371</x:v>
      </x:c>
      <x:c r="T934" s="56" t="n">
        <x:v>15880</x:v>
      </x:c>
      <x:c r="U934" s="40" t="n">
        <x:f>E934*Assumptions!$B$8</x:f>
        <x:v>19089.3</x:v>
      </x:c>
      <x:c r="V934" s="40" t="n">
        <x:f>P934*Assumptions!$B$8</x:f>
        <x:v>18887.752190571762</x:v>
      </x:c>
      <x:c r="W934" s="54" t="n">
        <x:f>V934-U934</x:f>
        <x:v>-201.5478094282371</x:v>
      </x:c>
      <x:c r="X934" s="58" t="n">
        <x:f>IF(R934="No","",W934*S934)</x:f>
        <x:v>-2090252.3315802468</x:v>
      </x:c>
      <x:c r="Y934" s="58" t="n">
        <x:f>IF(R934="No","",W934*T934*Assumptions!$B$9)</x:f>
        <x:v>-960173.7641161215</x:v>
      </x:c>
      <x:c r="Z934" s="58" t="n">
        <x:f>IF(R934="No","",X934-Y934)</x:f>
        <x:v>-1130078.5674641253</x:v>
      </x:c>
      <x:c r="AA934" s="58" t="n">
        <x:f>IF(R934="No","",MAX(0,-Z934))</x:f>
        <x:v>1130078.5674641253</x:v>
      </x:c>
      <x:c r="AB934" s="52" t="n">
        <x:f>IF(OR(R934="No",U934*S934=0),"",AA934/(U934*S934))</x:f>
        <x:v>0.005708184486362859</x:v>
      </x:c>
      <x:c r="AC934" s="54" t="n">
        <x:f>IF(OR(R934="No",S934-T934*Assumptions!$B$9&lt;=0),"",AA934/(Assumptions!$B$8*(S934-T934*Assumptions!$B$9)))</x:f>
        <x:v>237.11506991557306</x:v>
      </x:c>
      <x:c r="AD934" s="52" t="n">
        <x:f>IF(OR(R934="No",U934*S934=0),"",AA934/(U934*S934))</x:f>
        <x:v>0.005708184486362859</x:v>
      </x:c>
      <x:c r="AE934" s="50" t="str">
        <x:f>IF(R934="No","No finance data",IF(AB934&gt;=10%,"Severe",IF(AB934&gt;=5%,"High",IF(AB934&gt;=2%,"Moderate","Low"))))</x:f>
        <x:v>Low</x:v>
      </x:c>
      <x:c r="AF934" s="60" t="n">
        <x:v>35.785111</x:v>
      </x:c>
      <x:c r="AG934" s="60" t="n">
        <x:v>-78.674517</x:v>
      </x:c>
      <x:c r="AH934" s="44" t="str">
        <x:v>Undergraduate tuition-contribution proxy only; not an audited total institutional budget.</x:v>
      </x:c>
    </x:row>
    <x:row r="935">
      <x:c r="A935" s="16" t="n">
        <x:v>199209</x:v>
      </x:c>
      <x:c r="B935" s="16" t="str">
        <x:v>North Carolina Wesleyan College</x:v>
      </x:c>
      <x:c r="C935" s="16" t="str">
        <x:v>NC</x:v>
      </x:c>
      <x:c r="D935" s="16" t="str">
        <x:v>Private nonprofit</x:v>
      </x:c>
      <x:c r="E935" s="34" t="n">
        <x:v>2112</x:v>
      </x:c>
      <x:c r="F935" s="21" t="n">
        <x:v>0.2802</x:v>
      </x:c>
      <x:c r="G935" s="16" t="str">
        <x:v>National</x:v>
      </x:c>
      <x:c r="H935" s="36" t="n">
        <x:f>IF(G935="National",Assumptions!$B$11,IF(G935="Statewide",Assumptions!$B$12,Assumptions!$B$13))</x:f>
        <x:v>0.25</x:v>
      </x:c>
      <x:c r="I935" s="21" t="n">
        <x:v>-0.027626263872777668</x:v>
      </x:c>
      <x:c r="J935" s="21" t="n">
        <x:v>0.014002352921818728</x:v>
      </x:c>
      <x:c r="K935" s="21" t="n">
        <x:v>0.009609135260096657</x:v>
      </x:c>
      <x:c r="L935" s="36" t="n">
        <x:f>IF(Assumptions!$B$4=2030,I935,IF(Assumptions!$B$4=2035,J935,K935))</x:f>
        <x:v>0.014002352921818728</x:v>
      </x:c>
      <x:c r="M935" s="36" t="n">
        <x:f>Assumptions!$B$19</x:f>
        <x:v>-0.04739891965741583</x:v>
      </x:c>
      <x:c r="N935" s="52" t="n">
        <x:f>H935*L935+(1-H935)*M935+O935</x:f>
        <x:v>-0.03204860151260719</x:v>
      </x:c>
      <x:c r="O935" s="36" t="n">
        <x:f>Assumptions!$B$10</x:f>
        <x:v>0</x:v>
      </x:c>
      <x:c r="P935" s="54" t="n">
        <x:f>E935*(1+N935)</x:f>
        <x:v>2044.3133536053738</x:v>
      </x:c>
      <x:c r="Q935" s="54" t="n">
        <x:f>P935-E935</x:f>
        <x:v>-67.68664639462622</x:v>
      </x:c>
      <x:c r="R935" s="16" t="str">
        <x:v>Yes</x:v>
      </x:c>
      <x:c r="S935" s="56" t="n">
        <x:v>10778</x:v>
      </x:c>
      <x:c r="T935" s="56" t="n">
        <x:v>5444</x:v>
      </x:c>
      <x:c r="U935" s="40" t="n">
        <x:f>E935*Assumptions!$B$8</x:f>
        <x:v>1795.2</x:v>
      </x:c>
      <x:c r="V935" s="40" t="n">
        <x:f>P935*Assumptions!$B$8</x:f>
        <x:v>1737.6663505645677</x:v>
      </x:c>
      <x:c r="W935" s="54" t="n">
        <x:f>V935-U935</x:f>
        <x:v>-57.53364943543238</x:v>
      </x:c>
      <x:c r="X935" s="58" t="n">
        <x:f>IF(R935="No","",W935*S935)</x:f>
        <x:v>-620097.6736150902</x:v>
      </x:c>
      <x:c r="Y935" s="58" t="n">
        <x:f>IF(R935="No","",W935*T935*Assumptions!$B$9)</x:f>
        <x:v>-93963.95625794816</x:v>
      </x:c>
      <x:c r="Z935" s="58" t="n">
        <x:f>IF(R935="No","",X935-Y935)</x:f>
        <x:v>-526133.717357142</x:v>
      </x:c>
      <x:c r="AA935" s="58" t="n">
        <x:f>IF(R935="No","",MAX(0,-Z935))</x:f>
        <x:v>526133.717357142</x:v>
      </x:c>
      <x:c r="AB935" s="52" t="n">
        <x:f>IF(OR(R935="No",U935*S935=0),"",AA935/(U935*S935))</x:f>
        <x:v>0.02719224820119595</x:v>
      </x:c>
      <x:c r="AC935" s="54" t="n">
        <x:f>IF(OR(R935="No",S935-T935*Assumptions!$B$9&lt;=0),"",AA935/(Assumptions!$B$8*(S935-T935*Assumptions!$B$9)))</x:f>
        <x:v>67.68664639462634</x:v>
      </x:c>
      <x:c r="AD935" s="52" t="n">
        <x:f>IF(OR(R935="No",U935*S935=0),"",AA935/(U935*S935))</x:f>
        <x:v>0.02719224820119595</x:v>
      </x:c>
      <x:c r="AE935" s="50" t="str">
        <x:f>IF(R935="No","No finance data",IF(AB935&gt;=10%,"Severe",IF(AB935&gt;=5%,"High",IF(AB935&gt;=2%,"Moderate","Low"))))</x:f>
        <x:v>Moderate</x:v>
      </x:c>
      <x:c r="AF935" s="60" t="n">
        <x:v>36.019665</x:v>
      </x:c>
      <x:c r="AG935" s="60" t="n">
        <x:v>-77.773982</x:v>
      </x:c>
      <x:c r="AH935" s="44" t="str">
        <x:v>Undergraduate tuition-contribution proxy only; not an audited total institutional budget.</x:v>
      </x:c>
    </x:row>
    <x:row r="936">
      <x:c r="A936" s="16" t="n">
        <x:v>199306</x:v>
      </x:c>
      <x:c r="B936" s="16" t="str">
        <x:v>Pfeiffer University</x:v>
      </x:c>
      <x:c r="C936" s="16" t="str">
        <x:v>NC</x:v>
      </x:c>
      <x:c r="D936" s="16" t="str">
        <x:v>Private nonprofit</x:v>
      </x:c>
      <x:c r="E936" s="34" t="n">
        <x:v>909</x:v>
      </x:c>
      <x:c r="F936" s="21" t="n">
        <x:v>0.7176</x:v>
      </x:c>
      <x:c r="G936" s="16" t="str">
        <x:v>Regional</x:v>
      </x:c>
      <x:c r="H936" s="36" t="n">
        <x:f>IF(G936="National",Assumptions!$B$11,IF(G936="Statewide",Assumptions!$B$12,Assumptions!$B$13))</x:f>
        <x:v>0.85</x:v>
      </x:c>
      <x:c r="I936" s="21" t="n">
        <x:v>-0.027626263872777668</x:v>
      </x:c>
      <x:c r="J936" s="21" t="n">
        <x:v>0.014002352921818728</x:v>
      </x:c>
      <x:c r="K936" s="21" t="n">
        <x:v>0.009609135260096657</x:v>
      </x:c>
      <x:c r="L936" s="36" t="n">
        <x:f>IF(Assumptions!$B$4=2030,I936,IF(Assumptions!$B$4=2035,J936,K936))</x:f>
        <x:v>0.014002352921818728</x:v>
      </x:c>
      <x:c r="M936" s="36" t="n">
        <x:f>Assumptions!$B$19</x:f>
        <x:v>-0.04739891965741583</x:v>
      </x:c>
      <x:c r="N936" s="52" t="n">
        <x:f>H936*L936+(1-H936)*M936+O936</x:f>
        <x:v>0.004792162034933543</x:v>
      </x:c>
      <x:c r="O936" s="36" t="n">
        <x:f>Assumptions!$B$10</x:f>
        <x:v>0</x:v>
      </x:c>
      <x:c r="P936" s="54" t="n">
        <x:f>E936*(1+N936)</x:f>
        <x:v>913.3560752897547</x:v>
      </x:c>
      <x:c r="Q936" s="54" t="n">
        <x:f>P936-E936</x:f>
        <x:v>4.356075289754699</x:v>
      </x:c>
      <x:c r="R936" s="16" t="str">
        <x:v>Yes</x:v>
      </x:c>
      <x:c r="S936" s="56" t="n">
        <x:v>13036</x:v>
      </x:c>
      <x:c r="T936" s="56" t="n">
        <x:v>10492</x:v>
      </x:c>
      <x:c r="U936" s="40" t="n">
        <x:f>E936*Assumptions!$B$8</x:f>
        <x:v>772.65</x:v>
      </x:c>
      <x:c r="V936" s="40" t="n">
        <x:f>P936*Assumptions!$B$8</x:f>
        <x:v>776.3526639962914</x:v>
      </x:c>
      <x:c r="W936" s="54" t="n">
        <x:f>V936-U936</x:f>
        <x:v>3.7026639962914487</x:v>
      </x:c>
      <x:c r="X936" s="58" t="n">
        <x:f>IF(R936="No","",W936*S936)</x:f>
        <x:v>48267.927855655325</x:v>
      </x:c>
      <x:c r="Y936" s="58" t="n">
        <x:f>IF(R936="No","",W936*T936*Assumptions!$B$9)</x:f>
        <x:v>11654.505194726964</x:v>
      </x:c>
      <x:c r="Z936" s="58" t="n">
        <x:f>IF(R936="No","",X936-Y936)</x:f>
        <x:v>36613.422660928365</x:v>
      </x:c>
      <x:c r="AA936" s="58" t="n">
        <x:f>IF(R936="No","",MAX(0,-Z936))</x:f>
        <x:v>0</x:v>
      </x:c>
      <x:c r="AB936" s="52" t="n">
        <x:f>IF(OR(R936="No",U936*S936=0),"",AA936/(U936*S936))</x:f>
        <x:v>0</x:v>
      </x:c>
      <x:c r="AC936" s="54" t="n">
        <x:f>IF(OR(R936="No",S936-T936*Assumptions!$B$9&lt;=0),"",AA936/(Assumptions!$B$8*(S936-T936*Assumptions!$B$9)))</x:f>
        <x:v>0</x:v>
      </x:c>
      <x:c r="AD936" s="52" t="n">
        <x:f>IF(OR(R936="No",U936*S936=0),"",AA936/(U936*S936))</x:f>
        <x:v>0</x:v>
      </x:c>
      <x:c r="AE936" s="50" t="str">
        <x:f>IF(R936="No","No finance data",IF(AB936&gt;=10%,"Severe",IF(AB936&gt;=5%,"High",IF(AB936&gt;=2%,"Moderate","Low"))))</x:f>
        <x:v>Low</x:v>
      </x:c>
      <x:c r="AF936" s="60" t="n">
        <x:v>35.484696</x:v>
      </x:c>
      <x:c r="AG936" s="60" t="n">
        <x:v>-80.283168</x:v>
      </x:c>
      <x:c r="AH936" s="44" t="str">
        <x:v>Undergraduate tuition-contribution proxy only; not an audited total institutional budget.</x:v>
      </x:c>
    </x:row>
    <x:row r="937">
      <x:c r="A937" s="16" t="n">
        <x:v>199315</x:v>
      </x:c>
      <x:c r="B937" s="16" t="str">
        <x:v>Piedmont International University</x:v>
      </x:c>
      <x:c r="C937" s="16" t="str">
        <x:v>NC</x:v>
      </x:c>
      <x:c r="D937" s="16" t="str">
        <x:v>Private nonprofit</x:v>
      </x:c>
      <x:c r="E937" s="34" t="n">
        <x:v>342</x:v>
      </x:c>
      <x:c r="F937" s="21"/>
      <x:c r="G937" s="16" t="str">
        <x:v>Regional</x:v>
      </x:c>
      <x:c r="H937" s="36" t="n">
        <x:f>IF(G937="National",Assumptions!$B$11,IF(G937="Statewide",Assumptions!$B$12,Assumptions!$B$13))</x:f>
        <x:v>0.85</x:v>
      </x:c>
      <x:c r="I937" s="21" t="n">
        <x:v>-0.027626263872777668</x:v>
      </x:c>
      <x:c r="J937" s="21" t="n">
        <x:v>0.014002352921818728</x:v>
      </x:c>
      <x:c r="K937" s="21" t="n">
        <x:v>0.009609135260096657</x:v>
      </x:c>
      <x:c r="L937" s="36" t="n">
        <x:f>IF(Assumptions!$B$4=2030,I937,IF(Assumptions!$B$4=2035,J937,K937))</x:f>
        <x:v>0.014002352921818728</x:v>
      </x:c>
      <x:c r="M937" s="36" t="n">
        <x:f>Assumptions!$B$19</x:f>
        <x:v>-0.04739891965741583</x:v>
      </x:c>
      <x:c r="N937" s="52" t="n">
        <x:f>H937*L937+(1-H937)*M937+O937</x:f>
        <x:v>0.004792162034933543</x:v>
      </x:c>
      <x:c r="O937" s="36" t="n">
        <x:f>Assumptions!$B$10</x:f>
        <x:v>0</x:v>
      </x:c>
      <x:c r="P937" s="54" t="n">
        <x:f>E937*(1+N937)</x:f>
        <x:v>343.63891941594727</x:v>
      </x:c>
      <x:c r="Q937" s="54" t="n">
        <x:f>P937-E937</x:f>
        <x:v>1.6389194159472709</x:v>
      </x:c>
      <x:c r="R937" s="16" t="str">
        <x:v>No</x:v>
      </x:c>
      <x:c r="S937" s="56"/>
      <x:c r="T937" s="56"/>
      <x:c r="U937" s="40" t="n">
        <x:f>E937*Assumptions!$B$8</x:f>
        <x:v>290.7</x:v>
      </x:c>
      <x:c r="V937" s="40" t="n">
        <x:f>P937*Assumptions!$B$8</x:f>
        <x:v>292.0930815035552</x:v>
      </x:c>
      <x:c r="W937" s="54" t="n">
        <x:f>V937-U937</x:f>
        <x:v>1.3930815035552087</x:v>
      </x:c>
      <x:c r="X937" s="58" t="str">
        <x:f>IF(R937="No","",W937*S937)</x:f>
      </x:c>
      <x:c r="Y937" s="58" t="str">
        <x:f>IF(R937="No","",W937*T937*Assumptions!$B$9)</x:f>
      </x:c>
      <x:c r="Z937" s="58" t="str">
        <x:f>IF(R937="No","",X937-Y937)</x:f>
      </x:c>
      <x:c r="AA937" s="58" t="str">
        <x:f>IF(R937="No","",MAX(0,-Z937))</x:f>
      </x:c>
      <x:c r="AB937" s="52" t="str">
        <x:f>IF(OR(R937="No",U937*S937=0),"",AA937/(U937*S937))</x:f>
      </x:c>
      <x:c r="AC937" s="54" t="str">
        <x:f>IF(OR(R937="No",S937-T937*Assumptions!$B$9&lt;=0),"",AA937/(Assumptions!$B$8*(S937-T937*Assumptions!$B$9)))</x:f>
      </x:c>
      <x:c r="AD937" s="52" t="str">
        <x:f>IF(OR(R937="No",U937*S937=0),"",AA937/(U937*S937))</x:f>
      </x:c>
      <x:c r="AE937" s="50" t="str">
        <x:f>IF(R937="No","No finance data",IF(AB937&gt;=10%,"Severe",IF(AB937&gt;=5%,"High",IF(AB937&gt;=2%,"Moderate","Low"))))</x:f>
        <x:v>No finance data</x:v>
      </x:c>
      <x:c r="AF937" s="60"/>
      <x:c r="AG937" s="60"/>
      <x:c r="AH937" s="44" t="str">
        <x:v>Undergraduate tuition-contribution proxy only; not an audited total institutional budget.</x:v>
      </x:c>
    </x:row>
    <x:row r="938">
      <x:c r="A938" s="16" t="n">
        <x:v>199412</x:v>
      </x:c>
      <x:c r="B938" s="16" t="str">
        <x:v>Queens University of Charlotte</x:v>
      </x:c>
      <x:c r="C938" s="16" t="str">
        <x:v>NC</x:v>
      </x:c>
      <x:c r="D938" s="16" t="str">
        <x:v>Private nonprofit</x:v>
      </x:c>
      <x:c r="E938" s="34" t="n">
        <x:v>1551</x:v>
      </x:c>
      <x:c r="F938" s="21" t="n">
        <x:v>0.692</x:v>
      </x:c>
      <x:c r="G938" s="16" t="str">
        <x:v>Regional</x:v>
      </x:c>
      <x:c r="H938" s="36" t="n">
        <x:f>IF(G938="National",Assumptions!$B$11,IF(G938="Statewide",Assumptions!$B$12,Assumptions!$B$13))</x:f>
        <x:v>0.85</x:v>
      </x:c>
      <x:c r="I938" s="21" t="n">
        <x:v>-0.027626263872777668</x:v>
      </x:c>
      <x:c r="J938" s="21" t="n">
        <x:v>0.014002352921818728</x:v>
      </x:c>
      <x:c r="K938" s="21" t="n">
        <x:v>0.009609135260096657</x:v>
      </x:c>
      <x:c r="L938" s="36" t="n">
        <x:f>IF(Assumptions!$B$4=2030,I938,IF(Assumptions!$B$4=2035,J938,K938))</x:f>
        <x:v>0.014002352921818728</x:v>
      </x:c>
      <x:c r="M938" s="36" t="n">
        <x:f>Assumptions!$B$19</x:f>
        <x:v>-0.04739891965741583</x:v>
      </x:c>
      <x:c r="N938" s="52" t="n">
        <x:f>H938*L938+(1-H938)*M938+O938</x:f>
        <x:v>0.004792162034933543</x:v>
      </x:c>
      <x:c r="O938" s="36" t="n">
        <x:f>Assumptions!$B$10</x:f>
        <x:v>0</x:v>
      </x:c>
      <x:c r="P938" s="54" t="n">
        <x:f>E938*(1+N938)</x:f>
        <x:v>1558.432643316182</x:v>
      </x:c>
      <x:c r="Q938" s="54" t="n">
        <x:f>P938-E938</x:f>
        <x:v>7.432643316182066</x:v>
      </x:c>
      <x:c r="R938" s="16" t="str">
        <x:v>Yes</x:v>
      </x:c>
      <x:c r="S938" s="56" t="n">
        <x:v>14768</x:v>
      </x:c>
      <x:c r="T938" s="56" t="n">
        <x:v>8969</x:v>
      </x:c>
      <x:c r="U938" s="40" t="n">
        <x:f>E938*Assumptions!$B$8</x:f>
        <x:v>1318.35</x:v>
      </x:c>
      <x:c r="V938" s="40" t="n">
        <x:f>P938*Assumptions!$B$8</x:f>
        <x:v>1324.6677468187547</x:v>
      </x:c>
      <x:c r="W938" s="54" t="n">
        <x:f>V938-U938</x:f>
        <x:v>6.317746818754813</x:v>
      </x:c>
      <x:c r="X938" s="58" t="n">
        <x:f>IF(R938="No","",W938*S938)</x:f>
        <x:v>93300.48501937107</x:v>
      </x:c>
      <x:c r="Y938" s="58" t="n">
        <x:f>IF(R938="No","",W938*T938*Assumptions!$B$9)</x:f>
        <x:v>16999.161365223572</x:v>
      </x:c>
      <x:c r="Z938" s="58" t="n">
        <x:f>IF(R938="No","",X938-Y938)</x:f>
        <x:v>76301.3236541475</x:v>
      </x:c>
      <x:c r="AA938" s="58" t="n">
        <x:f>IF(R938="No","",MAX(0,-Z938))</x:f>
        <x:v>0</x:v>
      </x:c>
      <x:c r="AB938" s="52" t="n">
        <x:f>IF(OR(R938="No",U938*S938=0),"",AA938/(U938*S938))</x:f>
        <x:v>0</x:v>
      </x:c>
      <x:c r="AC938" s="54" t="n">
        <x:f>IF(OR(R938="No",S938-T938*Assumptions!$B$9&lt;=0),"",AA938/(Assumptions!$B$8*(S938-T938*Assumptions!$B$9)))</x:f>
        <x:v>0</x:v>
      </x:c>
      <x:c r="AD938" s="52" t="n">
        <x:f>IF(OR(R938="No",U938*S938=0),"",AA938/(U938*S938))</x:f>
        <x:v>0</x:v>
      </x:c>
      <x:c r="AE938" s="50" t="str">
        <x:f>IF(R938="No","No finance data",IF(AB938&gt;=10%,"Severe",IF(AB938&gt;=5%,"High",IF(AB938&gt;=2%,"Moderate","Low"))))</x:f>
        <x:v>Low</x:v>
      </x:c>
      <x:c r="AF938" s="60" t="n">
        <x:v>35.189051</x:v>
      </x:c>
      <x:c r="AG938" s="60" t="n">
        <x:v>-80.833509</x:v>
      </x:c>
      <x:c r="AH938" s="44" t="str">
        <x:v>Undergraduate tuition-contribution proxy only; not an audited total institutional budget.</x:v>
      </x:c>
    </x:row>
    <x:row r="939">
      <x:c r="A939" s="16" t="n">
        <x:v>199582</x:v>
      </x:c>
      <x:c r="B939" s="16" t="str">
        <x:v>Saint Augustine's University</x:v>
      </x:c>
      <x:c r="C939" s="16" t="str">
        <x:v>NC</x:v>
      </x:c>
      <x:c r="D939" s="16" t="str">
        <x:v>Private nonprofit</x:v>
      </x:c>
      <x:c r="E939" s="34" t="n">
        <x:v>810</x:v>
      </x:c>
      <x:c r="F939" s="21" t="n">
        <x:v>0.7476</x:v>
      </x:c>
      <x:c r="G939" s="16" t="str">
        <x:v>Regional</x:v>
      </x:c>
      <x:c r="H939" s="36" t="n">
        <x:f>IF(G939="National",Assumptions!$B$11,IF(G939="Statewide",Assumptions!$B$12,Assumptions!$B$13))</x:f>
        <x:v>0.85</x:v>
      </x:c>
      <x:c r="I939" s="21" t="n">
        <x:v>-0.027626263872777668</x:v>
      </x:c>
      <x:c r="J939" s="21" t="n">
        <x:v>0.014002352921818728</x:v>
      </x:c>
      <x:c r="K939" s="21" t="n">
        <x:v>0.009609135260096657</x:v>
      </x:c>
      <x:c r="L939" s="36" t="n">
        <x:f>IF(Assumptions!$B$4=2030,I939,IF(Assumptions!$B$4=2035,J939,K939))</x:f>
        <x:v>0.014002352921818728</x:v>
      </x:c>
      <x:c r="M939" s="36" t="n">
        <x:f>Assumptions!$B$19</x:f>
        <x:v>-0.04739891965741583</x:v>
      </x:c>
      <x:c r="N939" s="52" t="n">
        <x:f>H939*L939+(1-H939)*M939+O939</x:f>
        <x:v>0.004792162034933543</x:v>
      </x:c>
      <x:c r="O939" s="36" t="n">
        <x:f>Assumptions!$B$10</x:f>
        <x:v>0</x:v>
      </x:c>
      <x:c r="P939" s="54" t="n">
        <x:f>E939*(1+N939)</x:f>
        <x:v>813.8816512482962</x:v>
      </x:c>
      <x:c r="Q939" s="54" t="n">
        <x:f>P939-E939</x:f>
        <x:v>3.88165124829618</x:v>
      </x:c>
      <x:c r="R939" s="16" t="str">
        <x:v>Yes</x:v>
      </x:c>
      <x:c r="S939" s="56" t="n">
        <x:v>1346</x:v>
      </x:c>
      <x:c r="T939" s="56" t="n">
        <x:v>1388</x:v>
      </x:c>
      <x:c r="U939" s="40" t="n">
        <x:f>E939*Assumptions!$B$8</x:f>
        <x:v>688.5</x:v>
      </x:c>
      <x:c r="V939" s="40" t="n">
        <x:f>P939*Assumptions!$B$8</x:f>
        <x:v>691.7994035610517</x:v>
      </x:c>
      <x:c r="W939" s="54" t="n">
        <x:f>V939-U939</x:f>
        <x:v>3.2994035610516903</x:v>
      </x:c>
      <x:c r="X939" s="58" t="n">
        <x:f>IF(R939="No","",W939*S939)</x:f>
        <x:v>4440.997193175575</x:v>
      </x:c>
      <x:c r="Y939" s="58" t="n">
        <x:f>IF(R939="No","",W939*T939*Assumptions!$B$9)</x:f>
        <x:v>1373.8716428219236</x:v>
      </x:c>
      <x:c r="Z939" s="58" t="n">
        <x:f>IF(R939="No","",X939-Y939)</x:f>
        <x:v>3067.1255503536518</x:v>
      </x:c>
      <x:c r="AA939" s="58" t="n">
        <x:f>IF(R939="No","",MAX(0,-Z939))</x:f>
        <x:v>0</x:v>
      </x:c>
      <x:c r="AB939" s="52" t="n">
        <x:f>IF(OR(R939="No",U939*S939=0),"",AA939/(U939*S939))</x:f>
        <x:v>0</x:v>
      </x:c>
      <x:c r="AC939" s="54" t="n">
        <x:f>IF(OR(R939="No",S939-T939*Assumptions!$B$9&lt;=0),"",AA939/(Assumptions!$B$8*(S939-T939*Assumptions!$B$9)))</x:f>
        <x:v>0</x:v>
      </x:c>
      <x:c r="AD939" s="52" t="n">
        <x:f>IF(OR(R939="No",U939*S939=0),"",AA939/(U939*S939))</x:f>
        <x:v>0</x:v>
      </x:c>
      <x:c r="AE939" s="50" t="str">
        <x:f>IF(R939="No","No finance data",IF(AB939&gt;=10%,"Severe",IF(AB939&gt;=5%,"High",IF(AB939&gt;=2%,"Moderate","Low"))))</x:f>
        <x:v>Low</x:v>
      </x:c>
      <x:c r="AF939" s="60" t="n">
        <x:v>35.785468</x:v>
      </x:c>
      <x:c r="AG939" s="60" t="n">
        <x:v>-78.621301</x:v>
      </x:c>
      <x:c r="AH939" s="44" t="str">
        <x:v>Undergraduate tuition-contribution proxy only; not an audited total institutional budget.</x:v>
      </x:c>
    </x:row>
    <x:row r="940">
      <x:c r="A940" s="16" t="n">
        <x:v>199607</x:v>
      </x:c>
      <x:c r="B940" s="16" t="str">
        <x:v>Salem College</x:v>
      </x:c>
      <x:c r="C940" s="16" t="str">
        <x:v>NC</x:v>
      </x:c>
      <x:c r="D940" s="16" t="str">
        <x:v>Private nonprofit</x:v>
      </x:c>
      <x:c r="E940" s="34" t="n">
        <x:v>922</x:v>
      </x:c>
      <x:c r="F940" s="21"/>
      <x:c r="G940" s="16" t="str">
        <x:v>Regional</x:v>
      </x:c>
      <x:c r="H940" s="36" t="n">
        <x:f>IF(G940="National",Assumptions!$B$11,IF(G940="Statewide",Assumptions!$B$12,Assumptions!$B$13))</x:f>
        <x:v>0.85</x:v>
      </x:c>
      <x:c r="I940" s="21" t="n">
        <x:v>-0.027626263872777668</x:v>
      </x:c>
      <x:c r="J940" s="21" t="n">
        <x:v>0.014002352921818728</x:v>
      </x:c>
      <x:c r="K940" s="21" t="n">
        <x:v>0.009609135260096657</x:v>
      </x:c>
      <x:c r="L940" s="36" t="n">
        <x:f>IF(Assumptions!$B$4=2030,I940,IF(Assumptions!$B$4=2035,J940,K940))</x:f>
        <x:v>0.014002352921818728</x:v>
      </x:c>
      <x:c r="M940" s="36" t="n">
        <x:f>Assumptions!$B$19</x:f>
        <x:v>-0.04739891965741583</x:v>
      </x:c>
      <x:c r="N940" s="52" t="n">
        <x:f>H940*L940+(1-H940)*M940+O940</x:f>
        <x:v>0.004792162034933543</x:v>
      </x:c>
      <x:c r="O940" s="36" t="n">
        <x:f>Assumptions!$B$10</x:f>
        <x:v>0</x:v>
      </x:c>
      <x:c r="P940" s="54" t="n">
        <x:f>E940*(1+N940)</x:f>
        <x:v>926.4183733962088</x:v>
      </x:c>
      <x:c r="Q940" s="54" t="n">
        <x:f>P940-E940</x:f>
        <x:v>4.418373396208835</x:v>
      </x:c>
      <x:c r="R940" s="16" t="str">
        <x:v>No</x:v>
      </x:c>
      <x:c r="S940" s="56"/>
      <x:c r="T940" s="56"/>
      <x:c r="U940" s="40" t="n">
        <x:f>E940*Assumptions!$B$8</x:f>
        <x:v>783.6999999999999</x:v>
      </x:c>
      <x:c r="V940" s="40" t="n">
        <x:f>P940*Assumptions!$B$8</x:f>
        <x:v>787.4556173867775</x:v>
      </x:c>
      <x:c r="W940" s="54" t="n">
        <x:f>V940-U940</x:f>
        <x:v>3.755617386777544</x:v>
      </x:c>
      <x:c r="X940" s="58" t="str">
        <x:f>IF(R940="No","",W940*S940)</x:f>
      </x:c>
      <x:c r="Y940" s="58" t="str">
        <x:f>IF(R940="No","",W940*T940*Assumptions!$B$9)</x:f>
      </x:c>
      <x:c r="Z940" s="58" t="str">
        <x:f>IF(R940="No","",X940-Y940)</x:f>
      </x:c>
      <x:c r="AA940" s="58" t="str">
        <x:f>IF(R940="No","",MAX(0,-Z940))</x:f>
      </x:c>
      <x:c r="AB940" s="52" t="str">
        <x:f>IF(OR(R940="No",U940*S940=0),"",AA940/(U940*S940))</x:f>
      </x:c>
      <x:c r="AC940" s="54" t="str">
        <x:f>IF(OR(R940="No",S940-T940*Assumptions!$B$9&lt;=0),"",AA940/(Assumptions!$B$8*(S940-T940*Assumptions!$B$9)))</x:f>
      </x:c>
      <x:c r="AD940" s="52" t="str">
        <x:f>IF(OR(R940="No",U940*S940=0),"",AA940/(U940*S940))</x:f>
      </x:c>
      <x:c r="AE940" s="50" t="str">
        <x:f>IF(R940="No","No finance data",IF(AB940&gt;=10%,"Severe",IF(AB940&gt;=5%,"High",IF(AB940&gt;=2%,"Moderate","Low"))))</x:f>
        <x:v>No finance data</x:v>
      </x:c>
      <x:c r="AF940" s="60"/>
      <x:c r="AG940" s="60"/>
      <x:c r="AH940" s="44" t="str">
        <x:v>Undergraduate tuition-contribution proxy only; not an audited total institutional budget.</x:v>
      </x:c>
    </x:row>
    <x:row r="941">
      <x:c r="A941" s="16" t="n">
        <x:v>199643</x:v>
      </x:c>
      <x:c r="B941" s="16" t="str">
        <x:v>Shaw University</x:v>
      </x:c>
      <x:c r="C941" s="16" t="str">
        <x:v>NC</x:v>
      </x:c>
      <x:c r="D941" s="16" t="str">
        <x:v>Private nonprofit</x:v>
      </x:c>
      <x:c r="E941" s="34" t="n">
        <x:v>1505</x:v>
      </x:c>
      <x:c r="F941" s="21" t="n">
        <x:v>0.6534</x:v>
      </x:c>
      <x:c r="G941" s="16" t="str">
        <x:v>Regional</x:v>
      </x:c>
      <x:c r="H941" s="36" t="n">
        <x:f>IF(G941="National",Assumptions!$B$11,IF(G941="Statewide",Assumptions!$B$12,Assumptions!$B$13))</x:f>
        <x:v>0.85</x:v>
      </x:c>
      <x:c r="I941" s="21" t="n">
        <x:v>-0.027626263872777668</x:v>
      </x:c>
      <x:c r="J941" s="21" t="n">
        <x:v>0.014002352921818728</x:v>
      </x:c>
      <x:c r="K941" s="21" t="n">
        <x:v>0.009609135260096657</x:v>
      </x:c>
      <x:c r="L941" s="36" t="n">
        <x:f>IF(Assumptions!$B$4=2030,I941,IF(Assumptions!$B$4=2035,J941,K941))</x:f>
        <x:v>0.014002352921818728</x:v>
      </x:c>
      <x:c r="M941" s="36" t="n">
        <x:f>Assumptions!$B$19</x:f>
        <x:v>-0.04739891965741583</x:v>
      </x:c>
      <x:c r="N941" s="52" t="n">
        <x:f>H941*L941+(1-H941)*M941+O941</x:f>
        <x:v>0.004792162034933543</x:v>
      </x:c>
      <x:c r="O941" s="36" t="n">
        <x:f>Assumptions!$B$10</x:f>
        <x:v>0</x:v>
      </x:c>
      <x:c r="P941" s="54" t="n">
        <x:f>E941*(1+N941)</x:f>
        <x:v>1512.212203862575</x:v>
      </x:c>
      <x:c r="Q941" s="54" t="n">
        <x:f>P941-E941</x:f>
        <x:v>7.212203862575052</x:v>
      </x:c>
      <x:c r="R941" s="16" t="str">
        <x:v>Yes</x:v>
      </x:c>
      <x:c r="S941" s="56" t="n">
        <x:v>15802</x:v>
      </x:c>
      <x:c r="T941" s="56" t="n">
        <x:v>6137</x:v>
      </x:c>
      <x:c r="U941" s="40" t="n">
        <x:f>E941*Assumptions!$B$8</x:f>
        <x:v>1279.25</x:v>
      </x:c>
      <x:c r="V941" s="40" t="n">
        <x:f>P941*Assumptions!$B$8</x:f>
        <x:v>1285.3803732831889</x:v>
      </x:c>
      <x:c r="W941" s="54" t="n">
        <x:f>V941-U941</x:f>
        <x:v>6.130373283188874</x:v>
      </x:c>
      <x:c r="X941" s="58" t="n">
        <x:f>IF(R941="No","",W941*S941)</x:f>
        <x:v>96872.15862095058</x:v>
      </x:c>
      <x:c r="Y941" s="58" t="n">
        <x:f>IF(R941="No","",W941*T941*Assumptions!$B$9)</x:f>
        <x:v>11286.630251679037</x:v>
      </x:c>
      <x:c r="Z941" s="58" t="n">
        <x:f>IF(R941="No","",X941-Y941)</x:f>
        <x:v>85585.52836927155</x:v>
      </x:c>
      <x:c r="AA941" s="58" t="n">
        <x:f>IF(R941="No","",MAX(0,-Z941))</x:f>
        <x:v>0</x:v>
      </x:c>
      <x:c r="AB941" s="52" t="n">
        <x:f>IF(OR(R941="No",U941*S941=0),"",AA941/(U941*S941))</x:f>
        <x:v>0</x:v>
      </x:c>
      <x:c r="AC941" s="54" t="n">
        <x:f>IF(OR(R941="No",S941-T941*Assumptions!$B$9&lt;=0),"",AA941/(Assumptions!$B$8*(S941-T941*Assumptions!$B$9)))</x:f>
        <x:v>0</x:v>
      </x:c>
      <x:c r="AD941" s="52" t="n">
        <x:f>IF(OR(R941="No",U941*S941=0),"",AA941/(U941*S941))</x:f>
        <x:v>0</x:v>
      </x:c>
      <x:c r="AE941" s="50" t="str">
        <x:f>IF(R941="No","No finance data",IF(AB941&gt;=10%,"Severe",IF(AB941&gt;=5%,"High",IF(AB941&gt;=2%,"Moderate","Low"))))</x:f>
        <x:v>Low</x:v>
      </x:c>
      <x:c r="AF941" s="60" t="n">
        <x:v>35.771181</x:v>
      </x:c>
      <x:c r="AG941" s="60" t="n">
        <x:v>-78.637693</x:v>
      </x:c>
      <x:c r="AH941" s="44" t="str">
        <x:v>Undergraduate tuition-contribution proxy only; not an audited total institutional budget.</x:v>
      </x:c>
    </x:row>
    <x:row r="942">
      <x:c r="A942" s="16" t="n">
        <x:v>199759</x:v>
      </x:c>
      <x:c r="B942" s="16" t="str">
        <x:v>Southeastern Baptist Theological Seminary</x:v>
      </x:c>
      <x:c r="C942" s="16" t="str">
        <x:v>NC</x:v>
      </x:c>
      <x:c r="D942" s="16" t="str">
        <x:v>Private nonprofit</x:v>
      </x:c>
      <x:c r="E942" s="34" t="n">
        <x:v>417</x:v>
      </x:c>
      <x:c r="F942" s="21" t="n">
        <x:v>0.8989</x:v>
      </x:c>
      <x:c r="G942" s="16" t="str">
        <x:v>Regional</x:v>
      </x:c>
      <x:c r="H942" s="36" t="n">
        <x:f>IF(G942="National",Assumptions!$B$11,IF(G942="Statewide",Assumptions!$B$12,Assumptions!$B$13))</x:f>
        <x:v>0.85</x:v>
      </x:c>
      <x:c r="I942" s="21" t="n">
        <x:v>-0.027626263872777668</x:v>
      </x:c>
      <x:c r="J942" s="21" t="n">
        <x:v>0.014002352921818728</x:v>
      </x:c>
      <x:c r="K942" s="21" t="n">
        <x:v>0.009609135260096657</x:v>
      </x:c>
      <x:c r="L942" s="36" t="n">
        <x:f>IF(Assumptions!$B$4=2030,I942,IF(Assumptions!$B$4=2035,J942,K942))</x:f>
        <x:v>0.014002352921818728</x:v>
      </x:c>
      <x:c r="M942" s="36" t="n">
        <x:f>Assumptions!$B$19</x:f>
        <x:v>-0.04739891965741583</x:v>
      </x:c>
      <x:c r="N942" s="52" t="n">
        <x:f>H942*L942+(1-H942)*M942+O942</x:f>
        <x:v>0.004792162034933543</x:v>
      </x:c>
      <x:c r="O942" s="36" t="n">
        <x:f>Assumptions!$B$10</x:f>
        <x:v>0</x:v>
      </x:c>
      <x:c r="P942" s="54" t="n">
        <x:f>E942*(1+N942)</x:f>
        <x:v>418.9983315685673</x:v>
      </x:c>
      <x:c r="Q942" s="54" t="n">
        <x:f>P942-E942</x:f>
        <x:v>1.9983315685673233</x:v>
      </x:c>
      <x:c r="R942" s="16" t="str">
        <x:v>Yes</x:v>
      </x:c>
      <x:c r="S942" s="56" t="n">
        <x:v>6865</x:v>
      </x:c>
      <x:c r="T942" s="56" t="n">
        <x:v>4365</x:v>
      </x:c>
      <x:c r="U942" s="40" t="n">
        <x:f>E942*Assumptions!$B$8</x:f>
        <x:v>354.45</x:v>
      </x:c>
      <x:c r="V942" s="40" t="n">
        <x:f>P942*Assumptions!$B$8</x:f>
        <x:v>356.1485818332822</x:v>
      </x:c>
      <x:c r="W942" s="54" t="n">
        <x:f>V942-U942</x:f>
        <x:v>1.6985818332822191</x:v>
      </x:c>
      <x:c r="X942" s="58" t="n">
        <x:f>IF(R942="No","",W942*S942)</x:f>
        <x:v>11660.764285482433</x:v>
      </x:c>
      <x:c r="Y942" s="58" t="n">
        <x:f>IF(R942="No","",W942*T942*Assumptions!$B$9)</x:f>
        <x:v>2224.2929106830657</x:v>
      </x:c>
      <x:c r="Z942" s="58" t="n">
        <x:f>IF(R942="No","",X942-Y942)</x:f>
        <x:v>9436.471374799368</x:v>
      </x:c>
      <x:c r="AA942" s="58" t="n">
        <x:f>IF(R942="No","",MAX(0,-Z942))</x:f>
        <x:v>0</x:v>
      </x:c>
      <x:c r="AB942" s="52" t="n">
        <x:f>IF(OR(R942="No",U942*S942=0),"",AA942/(U942*S942))</x:f>
        <x:v>0</x:v>
      </x:c>
      <x:c r="AC942" s="54" t="n">
        <x:f>IF(OR(R942="No",S942-T942*Assumptions!$B$9&lt;=0),"",AA942/(Assumptions!$B$8*(S942-T942*Assumptions!$B$9)))</x:f>
        <x:v>0</x:v>
      </x:c>
      <x:c r="AD942" s="52" t="n">
        <x:f>IF(OR(R942="No",U942*S942=0),"",AA942/(U942*S942))</x:f>
        <x:v>0</x:v>
      </x:c>
      <x:c r="AE942" s="50" t="str">
        <x:f>IF(R942="No","No finance data",IF(AB942&gt;=10%,"Severe",IF(AB942&gt;=5%,"High",IF(AB942&gt;=2%,"Moderate","Low"))))</x:f>
        <x:v>Low</x:v>
      </x:c>
      <x:c r="AF942" s="60" t="n">
        <x:v>35.981858</x:v>
      </x:c>
      <x:c r="AG942" s="60" t="n">
        <x:v>-78.513755</x:v>
      </x:c>
      <x:c r="AH942" s="44" t="str">
        <x:v>Undergraduate tuition-contribution proxy only; not an audited total institutional budget.</x:v>
      </x:c>
    </x:row>
    <x:row r="943">
      <x:c r="A943" s="16" t="n">
        <x:v>199698</x:v>
      </x:c>
      <x:c r="B943" s="16" t="str">
        <x:v>St Andrews University</x:v>
      </x:c>
      <x:c r="C943" s="16" t="str">
        <x:v>NC</x:v>
      </x:c>
      <x:c r="D943" s="16" t="str">
        <x:v>Private nonprofit</x:v>
      </x:c>
      <x:c r="E943" s="34" t="n">
        <x:v>620</x:v>
      </x:c>
      <x:c r="F943" s="21" t="n">
        <x:v>0.1229</x:v>
      </x:c>
      <x:c r="G943" s="16" t="str">
        <x:v>National</x:v>
      </x:c>
      <x:c r="H943" s="36" t="n">
        <x:f>IF(G943="National",Assumptions!$B$11,IF(G943="Statewide",Assumptions!$B$12,Assumptions!$B$13))</x:f>
        <x:v>0.25</x:v>
      </x:c>
      <x:c r="I943" s="21" t="n">
        <x:v>-0.027626263872777668</x:v>
      </x:c>
      <x:c r="J943" s="21" t="n">
        <x:v>0.014002352921818728</x:v>
      </x:c>
      <x:c r="K943" s="21" t="n">
        <x:v>0.009609135260096657</x:v>
      </x:c>
      <x:c r="L943" s="36" t="n">
        <x:f>IF(Assumptions!$B$4=2030,I943,IF(Assumptions!$B$4=2035,J943,K943))</x:f>
        <x:v>0.014002352921818728</x:v>
      </x:c>
      <x:c r="M943" s="36" t="n">
        <x:f>Assumptions!$B$19</x:f>
        <x:v>-0.04739891965741583</x:v>
      </x:c>
      <x:c r="N943" s="52" t="n">
        <x:f>H943*L943+(1-H943)*M943+O943</x:f>
        <x:v>-0.03204860151260719</x:v>
      </x:c>
      <x:c r="O943" s="36" t="n">
        <x:f>Assumptions!$B$10</x:f>
        <x:v>0</x:v>
      </x:c>
      <x:c r="P943" s="54" t="n">
        <x:f>E943*(1+N943)</x:f>
        <x:v>600.1298670621836</x:v>
      </x:c>
      <x:c r="Q943" s="54" t="n">
        <x:f>P943-E943</x:f>
        <x:v>-19.87013293781638</x:v>
      </x:c>
      <x:c r="R943" s="16" t="str">
        <x:v>Yes</x:v>
      </x:c>
      <x:c r="S943" s="56" t="n">
        <x:v>15603</x:v>
      </x:c>
      <x:c r="T943" s="56" t="n">
        <x:v>5927</x:v>
      </x:c>
      <x:c r="U943" s="40" t="n">
        <x:f>E943*Assumptions!$B$8</x:f>
        <x:v>527</x:v>
      </x:c>
      <x:c r="V943" s="40" t="n">
        <x:f>P943*Assumptions!$B$8</x:f>
        <x:v>510.11038700285604</x:v>
      </x:c>
      <x:c r="W943" s="54" t="n">
        <x:f>V943-U943</x:f>
        <x:v>-16.889612997143956</x:v>
      </x:c>
      <x:c r="X943" s="58" t="n">
        <x:f>IF(R943="No","",W943*S943)</x:f>
        <x:v>-263528.6315944372</x:v>
      </x:c>
      <x:c r="Y943" s="58" t="n">
        <x:f>IF(R943="No","",W943*T943*Assumptions!$B$9)</x:f>
        <x:v>-30031.420870221667</x:v>
      </x:c>
      <x:c r="Z943" s="58" t="n">
        <x:f>IF(R943="No","",X943-Y943)</x:f>
        <x:v>-233497.21072421552</x:v>
      </x:c>
      <x:c r="AA943" s="58" t="n">
        <x:f>IF(R943="No","",MAX(0,-Z943))</x:f>
        <x:v>233497.21072421552</x:v>
      </x:c>
      <x:c r="AB943" s="52" t="n">
        <x:f>IF(OR(R943="No",U943*S943=0),"",AA943/(U943*S943))</x:f>
        <x:v>0.028396379609795703</x:v>
      </x:c>
      <x:c r="AC943" s="54" t="n">
        <x:f>IF(OR(R943="No",S943-T943*Assumptions!$B$9&lt;=0),"",AA943/(Assumptions!$B$8*(S943-T943*Assumptions!$B$9)))</x:f>
        <x:v>19.870132937816425</x:v>
      </x:c>
      <x:c r="AD943" s="52" t="n">
        <x:f>IF(OR(R943="No",U943*S943=0),"",AA943/(U943*S943))</x:f>
        <x:v>0.028396379609795703</x:v>
      </x:c>
      <x:c r="AE943" s="50" t="str">
        <x:f>IF(R943="No","No finance data",IF(AB943&gt;=10%,"Severe",IF(AB943&gt;=5%,"High",IF(AB943&gt;=2%,"Moderate","Low"))))</x:f>
        <x:v>Moderate</x:v>
      </x:c>
      <x:c r="AF943" s="60" t="n">
        <x:v>34.74563</x:v>
      </x:c>
      <x:c r="AG943" s="60" t="n">
        <x:v>-79.478567</x:v>
      </x:c>
      <x:c r="AH943" s="44" t="str">
        <x:v>Undergraduate tuition-contribution proxy only; not an audited total institutional budget.</x:v>
      </x:c>
    </x:row>
    <x:row r="944">
      <x:c r="A944" s="16" t="n">
        <x:v>199069</x:v>
      </x:c>
      <x:c r="B944" s="16" t="str">
        <x:v>University of Mount Olive</x:v>
      </x:c>
      <x:c r="C944" s="16" t="str">
        <x:v>NC</x:v>
      </x:c>
      <x:c r="D944" s="16" t="str">
        <x:v>Private nonprofit</x:v>
      </x:c>
      <x:c r="E944" s="34" t="n">
        <x:v>3152</x:v>
      </x:c>
      <x:c r="F944" s="21" t="n">
        <x:v>0.8258</x:v>
      </x:c>
      <x:c r="G944" s="16" t="str">
        <x:v>Regional</x:v>
      </x:c>
      <x:c r="H944" s="36" t="n">
        <x:f>IF(G944="National",Assumptions!$B$11,IF(G944="Statewide",Assumptions!$B$12,Assumptions!$B$13))</x:f>
        <x:v>0.85</x:v>
      </x:c>
      <x:c r="I944" s="21" t="n">
        <x:v>-0.027626263872777668</x:v>
      </x:c>
      <x:c r="J944" s="21" t="n">
        <x:v>0.014002352921818728</x:v>
      </x:c>
      <x:c r="K944" s="21" t="n">
        <x:v>0.009609135260096657</x:v>
      </x:c>
      <x:c r="L944" s="36" t="n">
        <x:f>IF(Assumptions!$B$4=2030,I944,IF(Assumptions!$B$4=2035,J944,K944))</x:f>
        <x:v>0.014002352921818728</x:v>
      </x:c>
      <x:c r="M944" s="36" t="n">
        <x:f>Assumptions!$B$19</x:f>
        <x:v>-0.04739891965741583</x:v>
      </x:c>
      <x:c r="N944" s="52" t="n">
        <x:f>H944*L944+(1-H944)*M944+O944</x:f>
        <x:v>0.004792162034933543</x:v>
      </x:c>
      <x:c r="O944" s="36" t="n">
        <x:f>Assumptions!$B$10</x:f>
        <x:v>0</x:v>
      </x:c>
      <x:c r="P944" s="54" t="n">
        <x:f>E944*(1+N944)</x:f>
        <x:v>3167.1048947341105</x:v>
      </x:c>
      <x:c r="Q944" s="54" t="n">
        <x:f>P944-E944</x:f>
        <x:v>15.10489473411053</x:v>
      </x:c>
      <x:c r="R944" s="16" t="str">
        <x:v>Yes</x:v>
      </x:c>
      <x:c r="S944" s="56" t="n">
        <x:v>10381</x:v>
      </x:c>
      <x:c r="T944" s="56" t="n">
        <x:v>3624</x:v>
      </x:c>
      <x:c r="U944" s="40" t="n">
        <x:f>E944*Assumptions!$B$8</x:f>
        <x:v>2679.2</x:v>
      </x:c>
      <x:c r="V944" s="40" t="n">
        <x:f>P944*Assumptions!$B$8</x:f>
        <x:v>2692.039160523994</x:v>
      </x:c>
      <x:c r="W944" s="54" t="n">
        <x:f>V944-U944</x:f>
        <x:v>12.839160523993996</x:v>
      </x:c>
      <x:c r="X944" s="58" t="n">
        <x:f>IF(R944="No","",W944*S944)</x:f>
        <x:v>133283.32539958166</x:v>
      </x:c>
      <x:c r="Y944" s="58" t="n">
        <x:f>IF(R944="No","",W944*T944*Assumptions!$B$9)</x:f>
        <x:v>13958.735321686272</x:v>
      </x:c>
      <x:c r="Z944" s="58" t="n">
        <x:f>IF(R944="No","",X944-Y944)</x:f>
        <x:v>119324.5900778954</x:v>
      </x:c>
      <x:c r="AA944" s="58" t="n">
        <x:f>IF(R944="No","",MAX(0,-Z944))</x:f>
        <x:v>0</x:v>
      </x:c>
      <x:c r="AB944" s="52" t="n">
        <x:f>IF(OR(R944="No",U944*S944=0),"",AA944/(U944*S944))</x:f>
        <x:v>0</x:v>
      </x:c>
      <x:c r="AC944" s="54" t="n">
        <x:f>IF(OR(R944="No",S944-T944*Assumptions!$B$9&lt;=0),"",AA944/(Assumptions!$B$8*(S944-T944*Assumptions!$B$9)))</x:f>
        <x:v>0</x:v>
      </x:c>
      <x:c r="AD944" s="52" t="n">
        <x:f>IF(OR(R944="No",U944*S944=0),"",AA944/(U944*S944))</x:f>
        <x:v>0</x:v>
      </x:c>
      <x:c r="AE944" s="50" t="str">
        <x:f>IF(R944="No","No finance data",IF(AB944&gt;=10%,"Severe",IF(AB944&gt;=5%,"High",IF(AB944&gt;=2%,"Moderate","Low"))))</x:f>
        <x:v>Low</x:v>
      </x:c>
      <x:c r="AF944" s="60" t="n">
        <x:v>35.208166</x:v>
      </x:c>
      <x:c r="AG944" s="60" t="n">
        <x:v>-78.069388</x:v>
      </x:c>
      <x:c r="AH944" s="44" t="str">
        <x:v>Undergraduate tuition-contribution proxy only; not an audited total institutional budget.</x:v>
      </x:c>
    </x:row>
    <x:row r="945">
      <x:c r="A945" s="16" t="n">
        <x:v>199184</x:v>
      </x:c>
      <x:c r="B945" s="16" t="str">
        <x:v>University of North Carolina School of the Arts</x:v>
      </x:c>
      <x:c r="C945" s="16" t="str">
        <x:v>NC</x:v>
      </x:c>
      <x:c r="D945" s="16" t="str">
        <x:v>Public</x:v>
      </x:c>
      <x:c r="E945" s="34" t="n">
        <x:v>850</x:v>
      </x:c>
      <x:c r="F945" s="21" t="n">
        <x:v>0.2975</x:v>
      </x:c>
      <x:c r="G945" s="16" t="str">
        <x:v>National</x:v>
      </x:c>
      <x:c r="H945" s="36" t="n">
        <x:f>IF(G945="National",Assumptions!$B$11,IF(G945="Statewide",Assumptions!$B$12,Assumptions!$B$13))</x:f>
        <x:v>0.25</x:v>
      </x:c>
      <x:c r="I945" s="21" t="n">
        <x:v>-0.027626263872777668</x:v>
      </x:c>
      <x:c r="J945" s="21" t="n">
        <x:v>0.014002352921818728</x:v>
      </x:c>
      <x:c r="K945" s="21" t="n">
        <x:v>0.009609135260096657</x:v>
      </x:c>
      <x:c r="L945" s="36" t="n">
        <x:f>IF(Assumptions!$B$4=2030,I945,IF(Assumptions!$B$4=2035,J945,K945))</x:f>
        <x:v>0.014002352921818728</x:v>
      </x:c>
      <x:c r="M945" s="36" t="n">
        <x:f>Assumptions!$B$19</x:f>
        <x:v>-0.04739891965741583</x:v>
      </x:c>
      <x:c r="N945" s="52" t="n">
        <x:f>H945*L945+(1-H945)*M945+O945</x:f>
        <x:v>-0.03204860151260719</x:v>
      </x:c>
      <x:c r="O945" s="36" t="n">
        <x:f>Assumptions!$B$10</x:f>
        <x:v>0</x:v>
      </x:c>
      <x:c r="P945" s="54" t="n">
        <x:f>E945*(1+N945)</x:f>
        <x:v>822.758688714284</x:v>
      </x:c>
      <x:c r="Q945" s="54" t="n">
        <x:f>P945-E945</x:f>
        <x:v>-27.24131128571605</x:v>
      </x:c>
      <x:c r="R945" s="16" t="str">
        <x:v>Yes</x:v>
      </x:c>
      <x:c r="S945" s="56" t="n">
        <x:v>15018</x:v>
      </x:c>
      <x:c r="T945" s="56" t="n">
        <x:v>22094</x:v>
      </x:c>
      <x:c r="U945" s="40" t="n">
        <x:f>E945*Assumptions!$B$8</x:f>
        <x:v>722.5</x:v>
      </x:c>
      <x:c r="V945" s="40" t="n">
        <x:f>P945*Assumptions!$B$8</x:f>
        <x:v>699.3448854071413</x:v>
      </x:c>
      <x:c r="W945" s="54" t="n">
        <x:f>V945-U945</x:f>
        <x:v>-23.155114592858695</x:v>
      </x:c>
      <x:c r="X945" s="58" t="n">
        <x:f>IF(R945="No","",W945*S945)</x:f>
        <x:v>-347743.5109555519</x:v>
      </x:c>
      <x:c r="Y945" s="58" t="n">
        <x:f>IF(R945="No","",W945*T945*Assumptions!$B$9)</x:f>
        <x:v>-153476.730544386</x:v>
      </x:c>
      <x:c r="Z945" s="58" t="n">
        <x:f>IF(R945="No","",X945-Y945)</x:f>
        <x:v>-194266.78041116588</x:v>
      </x:c>
      <x:c r="AA945" s="58" t="n">
        <x:f>IF(R945="No","",MAX(0,-Z945))</x:f>
        <x:v>194266.78041116588</x:v>
      </x:c>
      <x:c r="AB945" s="52" t="n">
        <x:f>IF(OR(R945="No",U945*S945=0),"",AA945/(U945*S945))</x:f>
        <x:v>0.01790393907114608</x:v>
      </x:c>
      <x:c r="AC945" s="54" t="n">
        <x:f>IF(OR(R945="No",S945-T945*Assumptions!$B$9&lt;=0),"",AA945/(Assumptions!$B$8*(S945-T945*Assumptions!$B$9)))</x:f>
        <x:v>27.241311285716115</x:v>
      </x:c>
      <x:c r="AD945" s="52" t="n">
        <x:f>IF(OR(R945="No",U945*S945=0),"",AA945/(U945*S945))</x:f>
        <x:v>0.01790393907114608</x:v>
      </x:c>
      <x:c r="AE945" s="50" t="str">
        <x:f>IF(R945="No","No finance data",IF(AB945&gt;=10%,"Severe",IF(AB945&gt;=5%,"High",IF(AB945&gt;=2%,"Moderate","Low"))))</x:f>
        <x:v>Low</x:v>
      </x:c>
      <x:c r="AF945" s="60" t="n">
        <x:v>36.076183</x:v>
      </x:c>
      <x:c r="AG945" s="60" t="n">
        <x:v>-80.235672</x:v>
      </x:c>
      <x:c r="AH945" s="44" t="str">
        <x:v>Undergraduate tuition-contribution proxy only; not an audited total institutional budget.</x:v>
      </x:c>
    </x:row>
    <x:row r="946">
      <x:c r="A946" s="16" t="n">
        <x:v>199218</x:v>
      </x:c>
      <x:c r="B946" s="16" t="str">
        <x:v>University of North Carolina Wilmington</x:v>
      </x:c>
      <x:c r="C946" s="16" t="str">
        <x:v>NC</x:v>
      </x:c>
      <x:c r="D946" s="16" t="str">
        <x:v>Public</x:v>
      </x:c>
      <x:c r="E946" s="34" t="n">
        <x:v>12971</x:v>
      </x:c>
      <x:c r="F946" s="21" t="n">
        <x:v>0.6798</x:v>
      </x:c>
      <x:c r="G946" s="16" t="str">
        <x:v>Statewide</x:v>
      </x:c>
      <x:c r="H946" s="36" t="n">
        <x:f>IF(G946="National",Assumptions!$B$11,IF(G946="Statewide",Assumptions!$B$12,Assumptions!$B$13))</x:f>
        <x:v>0.6</x:v>
      </x:c>
      <x:c r="I946" s="21" t="n">
        <x:v>-0.027626263872777668</x:v>
      </x:c>
      <x:c r="J946" s="21" t="n">
        <x:v>0.014002352921818728</x:v>
      </x:c>
      <x:c r="K946" s="21" t="n">
        <x:v>0.009609135260096657</x:v>
      </x:c>
      <x:c r="L946" s="36" t="n">
        <x:f>IF(Assumptions!$B$4=2030,I946,IF(Assumptions!$B$4=2035,J946,K946))</x:f>
        <x:v>0.014002352921818728</x:v>
      </x:c>
      <x:c r="M946" s="36" t="n">
        <x:f>Assumptions!$B$19</x:f>
        <x:v>-0.04739891965741583</x:v>
      </x:c>
      <x:c r="N946" s="52" t="n">
        <x:f>H946*L946+(1-H946)*M946+O946</x:f>
        <x:v>-0.010558156109875098</x:v>
      </x:c>
      <x:c r="O946" s="36" t="n">
        <x:f>Assumptions!$B$10</x:f>
        <x:v>0</x:v>
      </x:c>
      <x:c r="P946" s="54" t="n">
        <x:f>E946*(1+N946)</x:f>
        <x:v>12834.05015709881</x:v>
      </x:c>
      <x:c r="Q946" s="54" t="n">
        <x:f>P946-E946</x:f>
        <x:v>-136.9498429011892</x:v>
      </x:c>
      <x:c r="R946" s="16" t="str">
        <x:v>Yes</x:v>
      </x:c>
      <x:c r="S946" s="56" t="n">
        <x:v>6525</x:v>
      </x:c>
      <x:c r="T946" s="56" t="n">
        <x:v>8761</x:v>
      </x:c>
      <x:c r="U946" s="40" t="n">
        <x:f>E946*Assumptions!$B$8</x:f>
        <x:v>11025.35</x:v>
      </x:c>
      <x:c r="V946" s="40" t="n">
        <x:f>P946*Assumptions!$B$8</x:f>
        <x:v>10908.942633533989</x:v>
      </x:c>
      <x:c r="W946" s="54" t="n">
        <x:f>V946-U946</x:f>
        <x:v>-116.40736646601181</x:v>
      </x:c>
      <x:c r="X946" s="58" t="n">
        <x:f>IF(R946="No","",W946*S946)</x:f>
        <x:v>-759558.066190727</x:v>
      </x:c>
      <x:c r="Y946" s="58" t="n">
        <x:f>IF(R946="No","",W946*T946*Assumptions!$B$9)</x:f>
        <x:v>-305953.4812826188</x:v>
      </x:c>
      <x:c r="Z946" s="58" t="n">
        <x:f>IF(R946="No","",X946-Y946)</x:f>
        <x:v>-453604.5849081082</x:v>
      </x:c>
      <x:c r="AA946" s="58" t="n">
        <x:f>IF(R946="No","",MAX(0,-Z946))</x:f>
        <x:v>453604.5849081082</x:v>
      </x:c>
      <x:c r="AB946" s="52" t="n">
        <x:f>IF(OR(R946="No",U946*S946=0),"",AA946/(U946*S946))</x:f>
        <x:v>0.006305282285570948</x:v>
      </x:c>
      <x:c r="AC946" s="54" t="n">
        <x:f>IF(OR(R946="No",S946-T946*Assumptions!$B$9&lt;=0),"",AA946/(Assumptions!$B$8*(S946-T946*Assumptions!$B$9)))</x:f>
        <x:v>136.94984290119035</x:v>
      </x:c>
      <x:c r="AD946" s="52" t="n">
        <x:f>IF(OR(R946="No",U946*S946=0),"",AA946/(U946*S946))</x:f>
        <x:v>0.006305282285570948</x:v>
      </x:c>
      <x:c r="AE946" s="50" t="str">
        <x:f>IF(R946="No","No finance data",IF(AB946&gt;=10%,"Severe",IF(AB946&gt;=5%,"High",IF(AB946&gt;=2%,"Moderate","Low"))))</x:f>
        <x:v>Low</x:v>
      </x:c>
      <x:c r="AF946" s="60" t="n">
        <x:v>34.225223</x:v>
      </x:c>
      <x:c r="AG946" s="60" t="n">
        <x:v>-77.875527</x:v>
      </x:c>
      <x:c r="AH946" s="44" t="str">
        <x:v>Undergraduate tuition-contribution proxy only; not an audited total institutional budget.</x:v>
      </x:c>
    </x:row>
    <x:row r="947">
      <x:c r="A947" s="16" t="n">
        <x:v>199111</x:v>
      </x:c>
      <x:c r="B947" s="16" t="str">
        <x:v>University of North Carolina at Asheville</x:v>
      </x:c>
      <x:c r="C947" s="16" t="str">
        <x:v>NC</x:v>
      </x:c>
      <x:c r="D947" s="16" t="str">
        <x:v>Public</x:v>
      </x:c>
      <x:c r="E947" s="34" t="n">
        <x:v>3505</x:v>
      </x:c>
      <x:c r="F947" s="21" t="n">
        <x:v>0.8163</x:v>
      </x:c>
      <x:c r="G947" s="16" t="str">
        <x:v>Regional</x:v>
      </x:c>
      <x:c r="H947" s="36" t="n">
        <x:f>IF(G947="National",Assumptions!$B$11,IF(G947="Statewide",Assumptions!$B$12,Assumptions!$B$13))</x:f>
        <x:v>0.85</x:v>
      </x:c>
      <x:c r="I947" s="21" t="n">
        <x:v>-0.027626263872777668</x:v>
      </x:c>
      <x:c r="J947" s="21" t="n">
        <x:v>0.014002352921818728</x:v>
      </x:c>
      <x:c r="K947" s="21" t="n">
        <x:v>0.009609135260096657</x:v>
      </x:c>
      <x:c r="L947" s="36" t="n">
        <x:f>IF(Assumptions!$B$4=2030,I947,IF(Assumptions!$B$4=2035,J947,K947))</x:f>
        <x:v>0.014002352921818728</x:v>
      </x:c>
      <x:c r="M947" s="36" t="n">
        <x:f>Assumptions!$B$19</x:f>
        <x:v>-0.04739891965741583</x:v>
      </x:c>
      <x:c r="N947" s="52" t="n">
        <x:f>H947*L947+(1-H947)*M947+O947</x:f>
        <x:v>0.004792162034933543</x:v>
      </x:c>
      <x:c r="O947" s="36" t="n">
        <x:f>Assumptions!$B$10</x:f>
        <x:v>0</x:v>
      </x:c>
      <x:c r="P947" s="54" t="n">
        <x:f>E947*(1+N947)</x:f>
        <x:v>3521.796527932442</x:v>
      </x:c>
      <x:c r="Q947" s="54" t="n">
        <x:f>P947-E947</x:f>
        <x:v>16.79652793244213</x:v>
      </x:c>
      <x:c r="R947" s="16" t="str">
        <x:v>Yes</x:v>
      </x:c>
      <x:c r="S947" s="56" t="n">
        <x:v>6248</x:v>
      </x:c>
      <x:c r="T947" s="56" t="n">
        <x:v>9067</x:v>
      </x:c>
      <x:c r="U947" s="40" t="n">
        <x:f>E947*Assumptions!$B$8</x:f>
        <x:v>2979.25</x:v>
      </x:c>
      <x:c r="V947" s="40" t="n">
        <x:f>P947*Assumptions!$B$8</x:f>
        <x:v>2993.5270487425755</x:v>
      </x:c>
      <x:c r="W947" s="54" t="n">
        <x:f>V947-U947</x:f>
        <x:v>14.277048742575516</x:v>
      </x:c>
      <x:c r="X947" s="58" t="n">
        <x:f>IF(R947="No","",W947*S947)</x:f>
        <x:v>89203.00054361182</x:v>
      </x:c>
      <x:c r="Y947" s="58" t="n">
        <x:f>IF(R947="No","",W947*T947*Assumptions!$B$9)</x:f>
        <x:v>38835.00028467966</x:v>
      </x:c>
      <x:c r="Z947" s="58" t="n">
        <x:f>IF(R947="No","",X947-Y947)</x:f>
        <x:v>50368.00025893216</x:v>
      </x:c>
      <x:c r="AA947" s="58" t="n">
        <x:f>IF(R947="No","",MAX(0,-Z947))</x:f>
        <x:v>0</x:v>
      </x:c>
      <x:c r="AB947" s="52" t="n">
        <x:f>IF(OR(R947="No",U947*S947=0),"",AA947/(U947*S947))</x:f>
        <x:v>0</x:v>
      </x:c>
      <x:c r="AC947" s="54" t="n">
        <x:f>IF(OR(R947="No",S947-T947*Assumptions!$B$9&lt;=0),"",AA947/(Assumptions!$B$8*(S947-T947*Assumptions!$B$9)))</x:f>
        <x:v>0</x:v>
      </x:c>
      <x:c r="AD947" s="52" t="n">
        <x:f>IF(OR(R947="No",U947*S947=0),"",AA947/(U947*S947))</x:f>
        <x:v>0</x:v>
      </x:c>
      <x:c r="AE947" s="50" t="str">
        <x:f>IF(R947="No","No finance data",IF(AB947&gt;=10%,"Severe",IF(AB947&gt;=5%,"High",IF(AB947&gt;=2%,"Moderate","Low"))))</x:f>
        <x:v>Low</x:v>
      </x:c>
      <x:c r="AF947" s="60" t="n">
        <x:v>35.617068</x:v>
      </x:c>
      <x:c r="AG947" s="60" t="n">
        <x:v>-82.565392</x:v>
      </x:c>
      <x:c r="AH947" s="44" t="str">
        <x:v>Undergraduate tuition-contribution proxy only; not an audited total institutional budget.</x:v>
      </x:c>
    </x:row>
    <x:row r="948">
      <x:c r="A948" s="16" t="n">
        <x:v>199120</x:v>
      </x:c>
      <x:c r="B948" s="16" t="str">
        <x:v>University of North Carolina at Chapel Hill</x:v>
      </x:c>
      <x:c r="C948" s="16" t="str">
        <x:v>NC</x:v>
      </x:c>
      <x:c r="D948" s="16" t="str">
        <x:v>Public</x:v>
      </x:c>
      <x:c r="E948" s="34" t="n">
        <x:v>17951</x:v>
      </x:c>
      <x:c r="F948" s="21" t="n">
        <x:v>0.204</x:v>
      </x:c>
      <x:c r="G948" s="16" t="str">
        <x:v>National</x:v>
      </x:c>
      <x:c r="H948" s="36" t="n">
        <x:f>IF(G948="National",Assumptions!$B$11,IF(G948="Statewide",Assumptions!$B$12,Assumptions!$B$13))</x:f>
        <x:v>0.25</x:v>
      </x:c>
      <x:c r="I948" s="21" t="n">
        <x:v>-0.027626263872777668</x:v>
      </x:c>
      <x:c r="J948" s="21" t="n">
        <x:v>0.014002352921818728</x:v>
      </x:c>
      <x:c r="K948" s="21" t="n">
        <x:v>0.009609135260096657</x:v>
      </x:c>
      <x:c r="L948" s="36" t="n">
        <x:f>IF(Assumptions!$B$4=2030,I948,IF(Assumptions!$B$4=2035,J948,K948))</x:f>
        <x:v>0.014002352921818728</x:v>
      </x:c>
      <x:c r="M948" s="36" t="n">
        <x:f>Assumptions!$B$19</x:f>
        <x:v>-0.04739891965741583</x:v>
      </x:c>
      <x:c r="N948" s="52" t="n">
        <x:f>H948*L948+(1-H948)*M948+O948</x:f>
        <x:v>-0.03204860151260719</x:v>
      </x:c>
      <x:c r="O948" s="36" t="n">
        <x:f>Assumptions!$B$10</x:f>
        <x:v>0</x:v>
      </x:c>
      <x:c r="P948" s="54" t="n">
        <x:f>E948*(1+N948)</x:f>
        <x:v>17375.695554247188</x:v>
      </x:c>
      <x:c r="Q948" s="54" t="n">
        <x:f>P948-E948</x:f>
        <x:v>-575.3044457528122</x:v>
      </x:c>
      <x:c r="R948" s="16" t="str">
        <x:v>Yes</x:v>
      </x:c>
      <x:c r="S948" s="56" t="n">
        <x:v>14228</x:v>
      </x:c>
      <x:c r="T948" s="56" t="n">
        <x:v>27674</x:v>
      </x:c>
      <x:c r="U948" s="40" t="n">
        <x:f>E948*Assumptions!$B$8</x:f>
        <x:v>15258.35</x:v>
      </x:c>
      <x:c r="V948" s="40" t="n">
        <x:f>P948*Assumptions!$B$8</x:f>
        <x:v>14769.34122111011</x:v>
      </x:c>
      <x:c r="W948" s="54" t="n">
        <x:f>V948-U948</x:f>
        <x:v>-489.0087788898909</x:v>
      </x:c>
      <x:c r="X948" s="58" t="n">
        <x:f>IF(R948="No","",W948*S948)</x:f>
        <x:v>-6957616.906045368</x:v>
      </x:c>
      <x:c r="Y948" s="58" t="n">
        <x:f>IF(R948="No","",W948*T948*Assumptions!$B$9)</x:f>
        <x:v>-4059848.684099652</x:v>
      </x:c>
      <x:c r="Z948" s="58" t="n">
        <x:f>IF(R948="No","",X948-Y948)</x:f>
        <x:v>-2897768.221945716</x:v>
      </x:c>
      <x:c r="AA948" s="58" t="n">
        <x:f>IF(R948="No","",MAX(0,-Z948))</x:f>
        <x:v>2897768.221945716</x:v>
      </x:c>
      <x:c r="AB948" s="52" t="n">
        <x:f>IF(OR(R948="No",U948*S948=0),"",AA948/(U948*S948))</x:f>
        <x:v>0.01334787762464212</x:v>
      </x:c>
      <x:c r="AC948" s="54" t="n">
        <x:f>IF(OR(R948="No",S948-T948*Assumptions!$B$9&lt;=0),"",AA948/(Assumptions!$B$8*(S948-T948*Assumptions!$B$9)))</x:f>
        <x:v>575.3044457528129</x:v>
      </x:c>
      <x:c r="AD948" s="52" t="n">
        <x:f>IF(OR(R948="No",U948*S948=0),"",AA948/(U948*S948))</x:f>
        <x:v>0.01334787762464212</x:v>
      </x:c>
      <x:c r="AE948" s="50" t="str">
        <x:f>IF(R948="No","No finance data",IF(AB948&gt;=10%,"Severe",IF(AB948&gt;=5%,"High",IF(AB948&gt;=2%,"Moderate","Low"))))</x:f>
        <x:v>Low</x:v>
      </x:c>
      <x:c r="AF948" s="60" t="n">
        <x:v>35.911769</x:v>
      </x:c>
      <x:c r="AG948" s="60" t="n">
        <x:v>-79.050969</x:v>
      </x:c>
      <x:c r="AH948" s="44" t="str">
        <x:v>Undergraduate tuition-contribution proxy only; not an audited total institutional budget.</x:v>
      </x:c>
    </x:row>
    <x:row r="949">
      <x:c r="A949" s="16" t="n">
        <x:v>199139</x:v>
      </x:c>
      <x:c r="B949" s="16" t="str">
        <x:v>University of North Carolina at Charlotte</x:v>
      </x:c>
      <x:c r="C949" s="16" t="str">
        <x:v>NC</x:v>
      </x:c>
      <x:c r="D949" s="16" t="str">
        <x:v>Public</x:v>
      </x:c>
      <x:c r="E949" s="34" t="n">
        <x:v>22686</x:v>
      </x:c>
      <x:c r="F949" s="21" t="n">
        <x:v>0.7945</x:v>
      </x:c>
      <x:c r="G949" s="16" t="str">
        <x:v>Statewide</x:v>
      </x:c>
      <x:c r="H949" s="36" t="n">
        <x:f>IF(G949="National",Assumptions!$B$11,IF(G949="Statewide",Assumptions!$B$12,Assumptions!$B$13))</x:f>
        <x:v>0.6</x:v>
      </x:c>
      <x:c r="I949" s="21" t="n">
        <x:v>-0.027626263872777668</x:v>
      </x:c>
      <x:c r="J949" s="21" t="n">
        <x:v>0.014002352921818728</x:v>
      </x:c>
      <x:c r="K949" s="21" t="n">
        <x:v>0.009609135260096657</x:v>
      </x:c>
      <x:c r="L949" s="36" t="n">
        <x:f>IF(Assumptions!$B$4=2030,I949,IF(Assumptions!$B$4=2035,J949,K949))</x:f>
        <x:v>0.014002352921818728</x:v>
      </x:c>
      <x:c r="M949" s="36" t="n">
        <x:f>Assumptions!$B$19</x:f>
        <x:v>-0.04739891965741583</x:v>
      </x:c>
      <x:c r="N949" s="52" t="n">
        <x:f>H949*L949+(1-H949)*M949+O949</x:f>
        <x:v>-0.010558156109875098</x:v>
      </x:c>
      <x:c r="O949" s="36" t="n">
        <x:f>Assumptions!$B$10</x:f>
        <x:v>0</x:v>
      </x:c>
      <x:c r="P949" s="54" t="n">
        <x:f>E949*(1+N949)</x:f>
        <x:v>22446.477670491375</x:v>
      </x:c>
      <x:c r="Q949" s="54" t="n">
        <x:f>P949-E949</x:f>
        <x:v>-239.52232950862526</x:v>
      </x:c>
      <x:c r="R949" s="16" t="str">
        <x:v>Yes</x:v>
      </x:c>
      <x:c r="S949" s="56" t="n">
        <x:v>7937</x:v>
      </x:c>
      <x:c r="T949" s="56" t="n">
        <x:v>9155</x:v>
      </x:c>
      <x:c r="U949" s="40" t="n">
        <x:f>E949*Assumptions!$B$8</x:f>
        <x:v>19283.1</x:v>
      </x:c>
      <x:c r="V949" s="40" t="n">
        <x:f>P949*Assumptions!$B$8</x:f>
        <x:v>19079.50601991767</x:v>
      </x:c>
      <x:c r="W949" s="54" t="n">
        <x:f>V949-U949</x:f>
        <x:v>-203.59398008232893</x:v>
      </x:c>
      <x:c r="X949" s="58" t="n">
        <x:f>IF(R949="No","",W949*S949)</x:f>
        <x:v>-1615925.4199134447</x:v>
      </x:c>
      <x:c r="Y949" s="58" t="n">
        <x:f>IF(R949="No","",W949*T949*Assumptions!$B$9)</x:f>
        <x:v>-559170.8662961164</x:v>
      </x:c>
      <x:c r="Z949" s="58" t="n">
        <x:f>IF(R949="No","",X949-Y949)</x:f>
        <x:v>-1056754.5536173284</x:v>
      </x:c>
      <x:c r="AA949" s="58" t="n">
        <x:f>IF(R949="No","",MAX(0,-Z949))</x:f>
        <x:v>1056754.5536173284</x:v>
      </x:c>
      <x:c r="AB949" s="52" t="n">
        <x:f>IF(OR(R949="No",U949*S949=0),"",AA949/(U949*S949))</x:f>
        <x:v>0.006904637682790191</x:v>
      </x:c>
      <x:c r="AC949" s="54" t="n">
        <x:f>IF(OR(R949="No",S949-T949*Assumptions!$B$9&lt;=0),"",AA949/(Assumptions!$B$8*(S949-T949*Assumptions!$B$9)))</x:f>
        <x:v>239.52232950862228</x:v>
      </x:c>
      <x:c r="AD949" s="52" t="n">
        <x:f>IF(OR(R949="No",U949*S949=0),"",AA949/(U949*S949))</x:f>
        <x:v>0.006904637682790191</x:v>
      </x:c>
      <x:c r="AE949" s="50" t="str">
        <x:f>IF(R949="No","No finance data",IF(AB949&gt;=10%,"Severe",IF(AB949&gt;=5%,"High",IF(AB949&gt;=2%,"Moderate","Low"))))</x:f>
        <x:v>Low</x:v>
      </x:c>
      <x:c r="AF949" s="60" t="n">
        <x:v>35.306022</x:v>
      </x:c>
      <x:c r="AG949" s="60" t="n">
        <x:v>-80.730919</x:v>
      </x:c>
      <x:c r="AH949" s="44" t="str">
        <x:v>Undergraduate tuition-contribution proxy only; not an audited total institutional budget.</x:v>
      </x:c>
    </x:row>
    <x:row r="950">
      <x:c r="A950" s="16" t="n">
        <x:v>199148</x:v>
      </x:c>
      <x:c r="B950" s="16" t="str">
        <x:v>University of North Carolina at Greensboro</x:v>
      </x:c>
      <x:c r="C950" s="16" t="str">
        <x:v>NC</x:v>
      </x:c>
      <x:c r="D950" s="16" t="str">
        <x:v>Public</x:v>
      </x:c>
      <x:c r="E950" s="34" t="n">
        <x:v>15158</x:v>
      </x:c>
      <x:c r="F950" s="21" t="n">
        <x:v>0.9084</x:v>
      </x:c>
      <x:c r="G950" s="16" t="str">
        <x:v>Statewide</x:v>
      </x:c>
      <x:c r="H950" s="36" t="n">
        <x:f>IF(G950="National",Assumptions!$B$11,IF(G950="Statewide",Assumptions!$B$12,Assumptions!$B$13))</x:f>
        <x:v>0.6</x:v>
      </x:c>
      <x:c r="I950" s="21" t="n">
        <x:v>-0.027626263872777668</x:v>
      </x:c>
      <x:c r="J950" s="21" t="n">
        <x:v>0.014002352921818728</x:v>
      </x:c>
      <x:c r="K950" s="21" t="n">
        <x:v>0.009609135260096657</x:v>
      </x:c>
      <x:c r="L950" s="36" t="n">
        <x:f>IF(Assumptions!$B$4=2030,I950,IF(Assumptions!$B$4=2035,J950,K950))</x:f>
        <x:v>0.014002352921818728</x:v>
      </x:c>
      <x:c r="M950" s="36" t="n">
        <x:f>Assumptions!$B$19</x:f>
        <x:v>-0.04739891965741583</x:v>
      </x:c>
      <x:c r="N950" s="52" t="n">
        <x:f>H950*L950+(1-H950)*M950+O950</x:f>
        <x:v>-0.010558156109875098</x:v>
      </x:c>
      <x:c r="O950" s="36" t="n">
        <x:f>Assumptions!$B$10</x:f>
        <x:v>0</x:v>
      </x:c>
      <x:c r="P950" s="54" t="n">
        <x:f>E950*(1+N950)</x:f>
        <x:v>14997.959469686513</x:v>
      </x:c>
      <x:c r="Q950" s="54" t="n">
        <x:f>P950-E950</x:f>
        <x:v>-160.04053031348667</x:v>
      </x:c>
      <x:c r="R950" s="16" t="str">
        <x:v>Yes</x:v>
      </x:c>
      <x:c r="S950" s="56" t="n">
        <x:v>6017</x:v>
      </x:c>
      <x:c r="T950" s="56" t="n">
        <x:v>10407</x:v>
      </x:c>
      <x:c r="U950" s="40" t="n">
        <x:f>E950*Assumptions!$B$8</x:f>
        <x:v>12884.3</x:v>
      </x:c>
      <x:c r="V950" s="40" t="n">
        <x:f>P950*Assumptions!$B$8</x:f>
        <x:v>12748.265549233536</x:v>
      </x:c>
      <x:c r="W950" s="54" t="n">
        <x:f>V950-U950</x:f>
        <x:v>-136.03445076646312</x:v>
      </x:c>
      <x:c r="X950" s="58" t="n">
        <x:f>IF(R950="No","",W950*S950)</x:f>
        <x:v>-818519.2902618087</x:v>
      </x:c>
      <x:c r="Y950" s="58" t="n">
        <x:f>IF(R950="No","",W950*T950*Assumptions!$B$9)</x:f>
        <x:v>-424713.15873797453</x:v>
      </x:c>
      <x:c r="Z950" s="58" t="n">
        <x:f>IF(R950="No","",X950-Y950)</x:f>
        <x:v>-393806.13152383413</x:v>
      </x:c>
      <x:c r="AA950" s="58" t="n">
        <x:f>IF(R950="No","",MAX(0,-Z950))</x:f>
        <x:v>393806.13152383413</x:v>
      </x:c>
      <x:c r="AB950" s="52" t="n">
        <x:f>IF(OR(R950="No",U950*S950=0),"",AA950/(U950*S950))</x:f>
        <x:v>0.005079741752115222</x:v>
      </x:c>
      <x:c r="AC950" s="54" t="n">
        <x:f>IF(OR(R950="No",S950-T950*Assumptions!$B$9&lt;=0),"",AA950/(Assumptions!$B$8*(S950-T950*Assumptions!$B$9)))</x:f>
        <x:v>160.04053031348604</x:v>
      </x:c>
      <x:c r="AD950" s="52" t="n">
        <x:f>IF(OR(R950="No",U950*S950=0),"",AA950/(U950*S950))</x:f>
        <x:v>0.005079741752115222</x:v>
      </x:c>
      <x:c r="AE950" s="50" t="str">
        <x:f>IF(R950="No","No finance data",IF(AB950&gt;=10%,"Severe",IF(AB950&gt;=5%,"High",IF(AB950&gt;=2%,"Moderate","Low"))))</x:f>
        <x:v>Low</x:v>
      </x:c>
      <x:c r="AF950" s="60" t="n">
        <x:v>36.068236</x:v>
      </x:c>
      <x:c r="AG950" s="60" t="n">
        <x:v>-79.809414</x:v>
      </x:c>
      <x:c r="AH950" s="44" t="str">
        <x:v>Undergraduate tuition-contribution proxy only; not an audited total institutional budget.</x:v>
      </x:c>
    </x:row>
    <x:row r="951">
      <x:c r="A951" s="16" t="n">
        <x:v>199281</x:v>
      </x:c>
      <x:c r="B951" s="16" t="str">
        <x:v>University of North Carolina at Pembroke</x:v>
      </x:c>
      <x:c r="C951" s="16" t="str">
        <x:v>NC</x:v>
      </x:c>
      <x:c r="D951" s="16" t="str">
        <x:v>Public</x:v>
      </x:c>
      <x:c r="E951" s="34" t="n">
        <x:v>5508</x:v>
      </x:c>
      <x:c r="F951" s="21" t="n">
        <x:v>0.9184</x:v>
      </x:c>
      <x:c r="G951" s="16" t="str">
        <x:v>Statewide</x:v>
      </x:c>
      <x:c r="H951" s="36" t="n">
        <x:f>IF(G951="National",Assumptions!$B$11,IF(G951="Statewide",Assumptions!$B$12,Assumptions!$B$13))</x:f>
        <x:v>0.6</x:v>
      </x:c>
      <x:c r="I951" s="21" t="n">
        <x:v>-0.027626263872777668</x:v>
      </x:c>
      <x:c r="J951" s="21" t="n">
        <x:v>0.014002352921818728</x:v>
      </x:c>
      <x:c r="K951" s="21" t="n">
        <x:v>0.009609135260096657</x:v>
      </x:c>
      <x:c r="L951" s="36" t="n">
        <x:f>IF(Assumptions!$B$4=2030,I951,IF(Assumptions!$B$4=2035,J951,K951))</x:f>
        <x:v>0.014002352921818728</x:v>
      </x:c>
      <x:c r="M951" s="36" t="n">
        <x:f>Assumptions!$B$19</x:f>
        <x:v>-0.04739891965741583</x:v>
      </x:c>
      <x:c r="N951" s="52" t="n">
        <x:f>H951*L951+(1-H951)*M951+O951</x:f>
        <x:v>-0.010558156109875098</x:v>
      </x:c>
      <x:c r="O951" s="36" t="n">
        <x:f>Assumptions!$B$10</x:f>
        <x:v>0</x:v>
      </x:c>
      <x:c r="P951" s="54" t="n">
        <x:f>E951*(1+N951)</x:f>
        <x:v>5449.845676146808</x:v>
      </x:c>
      <x:c r="Q951" s="54" t="n">
        <x:f>P951-E951</x:f>
        <x:v>-58.15432385319218</x:v>
      </x:c>
      <x:c r="R951" s="16" t="str">
        <x:v>Yes</x:v>
      </x:c>
      <x:c r="S951" s="56" t="n">
        <x:v>3220</x:v>
      </x:c>
      <x:c r="T951" s="56" t="n">
        <x:v>6292</x:v>
      </x:c>
      <x:c r="U951" s="40" t="n">
        <x:f>E951*Assumptions!$B$8</x:f>
        <x:v>4681.8</x:v>
      </x:c>
      <x:c r="V951" s="40" t="n">
        <x:f>P951*Assumptions!$B$8</x:f>
        <x:v>4632.3688247247865</x:v>
      </x:c>
      <x:c r="W951" s="54" t="n">
        <x:f>V951-U951</x:f>
        <x:v>-49.43117527521372</x:v>
      </x:c>
      <x:c r="X951" s="58" t="n">
        <x:f>IF(R951="No","",W951*S951)</x:f>
        <x:v>-159168.38438618818</x:v>
      </x:c>
      <x:c r="Y951" s="58" t="n">
        <x:f>IF(R951="No","",W951*T951*Assumptions!$B$9)</x:f>
        <x:v>-93306.28644949342</x:v>
      </x:c>
      <x:c r="Z951" s="58" t="n">
        <x:f>IF(R951="No","",X951-Y951)</x:f>
        <x:v>-65862.09793669476</x:v>
      </x:c>
      <x:c r="AA951" s="58" t="n">
        <x:f>IF(R951="No","",MAX(0,-Z951))</x:f>
        <x:v>65862.09793669476</x:v>
      </x:c>
      <x:c r="AB951" s="52" t="n">
        <x:f>IF(OR(R951="No",U951*S951=0),"",AA951/(U951*S951))</x:f>
        <x:v>0.004368846956769478</x:v>
      </x:c>
      <x:c r="AC951" s="54" t="n">
        <x:f>IF(OR(R951="No",S951-T951*Assumptions!$B$9&lt;=0),"",AA951/(Assumptions!$B$8*(S951-T951*Assumptions!$B$9)))</x:f>
        <x:v>58.15432385319261</x:v>
      </x:c>
      <x:c r="AD951" s="52" t="n">
        <x:f>IF(OR(R951="No",U951*S951=0),"",AA951/(U951*S951))</x:f>
        <x:v>0.004368846956769478</x:v>
      </x:c>
      <x:c r="AE951" s="50" t="str">
        <x:f>IF(R951="No","No finance data",IF(AB951&gt;=10%,"Severe",IF(AB951&gt;=5%,"High",IF(AB951&gt;=2%,"Moderate","Low"))))</x:f>
        <x:v>Low</x:v>
      </x:c>
      <x:c r="AF951" s="60" t="n">
        <x:v>34.688313</x:v>
      </x:c>
      <x:c r="AG951" s="60" t="n">
        <x:v>-79.200347</x:v>
      </x:c>
      <x:c r="AH951" s="44" t="str">
        <x:v>Undergraduate tuition-contribution proxy only; not an audited total institutional budget.</x:v>
      </x:c>
    </x:row>
    <x:row r="952">
      <x:c r="A952" s="16" t="n">
        <x:v>199847</x:v>
      </x:c>
      <x:c r="B952" s="16" t="str">
        <x:v>Wake Forest University</x:v>
      </x:c>
      <x:c r="C952" s="16" t="str">
        <x:v>NC</x:v>
      </x:c>
      <x:c r="D952" s="16" t="str">
        <x:v>Private nonprofit</x:v>
      </x:c>
      <x:c r="E952" s="34" t="n">
        <x:v>4866</x:v>
      </x:c>
      <x:c r="F952" s="21" t="n">
        <x:v>0.2518</x:v>
      </x:c>
      <x:c r="G952" s="16" t="str">
        <x:v>National</x:v>
      </x:c>
      <x:c r="H952" s="36" t="n">
        <x:f>IF(G952="National",Assumptions!$B$11,IF(G952="Statewide",Assumptions!$B$12,Assumptions!$B$13))</x:f>
        <x:v>0.25</x:v>
      </x:c>
      <x:c r="I952" s="21" t="n">
        <x:v>-0.027626263872777668</x:v>
      </x:c>
      <x:c r="J952" s="21" t="n">
        <x:v>0.014002352921818728</x:v>
      </x:c>
      <x:c r="K952" s="21" t="n">
        <x:v>0.009609135260096657</x:v>
      </x:c>
      <x:c r="L952" s="36" t="n">
        <x:f>IF(Assumptions!$B$4=2030,I952,IF(Assumptions!$B$4=2035,J952,K952))</x:f>
        <x:v>0.014002352921818728</x:v>
      </x:c>
      <x:c r="M952" s="36" t="n">
        <x:f>Assumptions!$B$19</x:f>
        <x:v>-0.04739891965741583</x:v>
      </x:c>
      <x:c r="N952" s="52" t="n">
        <x:f>H952*L952+(1-H952)*M952+O952</x:f>
        <x:v>-0.03204860151260719</x:v>
      </x:c>
      <x:c r="O952" s="36" t="n">
        <x:f>Assumptions!$B$10</x:f>
        <x:v>0</x:v>
      </x:c>
      <x:c r="P952" s="54" t="n">
        <x:f>E952*(1+N952)</x:f>
        <x:v>4710.051505039653</x:v>
      </x:c>
      <x:c r="Q952" s="54" t="n">
        <x:f>P952-E952</x:f>
        <x:v>-155.94849496034658</x:v>
      </x:c>
      <x:c r="R952" s="16" t="str">
        <x:v>Yes</x:v>
      </x:c>
      <x:c r="S952" s="56" t="n">
        <x:v>35754</x:v>
      </x:c>
      <x:c r="T952" s="56" t="n">
        <x:v>28403</x:v>
      </x:c>
      <x:c r="U952" s="40" t="n">
        <x:f>E952*Assumptions!$B$8</x:f>
        <x:v>4136.099999999999</x:v>
      </x:c>
      <x:c r="V952" s="40" t="n">
        <x:f>P952*Assumptions!$B$8</x:f>
        <x:v>4003.543779283705</x:v>
      </x:c>
      <x:c r="W952" s="54" t="n">
        <x:f>V952-U952</x:f>
        <x:v>-132.55622071629432</x:v>
      </x:c>
      <x:c r="X952" s="58" t="n">
        <x:f>IF(R952="No","",W952*S952)</x:f>
        <x:v>-4739415.115490387</x:v>
      </x:c>
      <x:c r="Y952" s="58" t="n">
        <x:f>IF(R952="No","",W952*T952*Assumptions!$B$9)</x:f>
        <x:v>-1129498.3011014722</x:v>
      </x:c>
      <x:c r="Z952" s="58" t="n">
        <x:f>IF(R952="No","",X952-Y952)</x:f>
        <x:v>-3609916.814388915</x:v>
      </x:c>
      <x:c r="AA952" s="58" t="n">
        <x:f>IF(R952="No","",MAX(0,-Z952))</x:f>
        <x:v>3609916.814388915</x:v>
      </x:c>
      <x:c r="AB952" s="52" t="n">
        <x:f>IF(OR(R952="No",U952*S952=0),"",AA952/(U952*S952))</x:f>
        <x:v>0.024410772776555942</x:v>
      </x:c>
      <x:c r="AC952" s="54" t="n">
        <x:f>IF(OR(R952="No",S952-T952*Assumptions!$B$9&lt;=0),"",AA952/(Assumptions!$B$8*(S952-T952*Assumptions!$B$9)))</x:f>
        <x:v>155.94849496034627</x:v>
      </x:c>
      <x:c r="AD952" s="52" t="n">
        <x:f>IF(OR(R952="No",U952*S952=0),"",AA952/(U952*S952))</x:f>
        <x:v>0.024410772776555942</x:v>
      </x:c>
      <x:c r="AE952" s="50" t="str">
        <x:f>IF(R952="No","No finance data",IF(AB952&gt;=10%,"Severe",IF(AB952&gt;=5%,"High",IF(AB952&gt;=2%,"Moderate","Low"))))</x:f>
        <x:v>Moderate</x:v>
      </x:c>
      <x:c r="AF952" s="60" t="n">
        <x:v>36.133609</x:v>
      </x:c>
      <x:c r="AG952" s="60" t="n">
        <x:v>-80.277446</x:v>
      </x:c>
      <x:c r="AH952" s="44" t="str">
        <x:v>Undergraduate tuition-contribution proxy only; not an audited total institutional budget.</x:v>
      </x:c>
    </x:row>
    <x:row r="953">
      <x:c r="A953" s="16" t="n">
        <x:v>199865</x:v>
      </x:c>
      <x:c r="B953" s="16" t="str">
        <x:v>Warren Wilson College</x:v>
      </x:c>
      <x:c r="C953" s="16" t="str">
        <x:v>NC</x:v>
      </x:c>
      <x:c r="D953" s="16" t="str">
        <x:v>Private nonprofit</x:v>
      </x:c>
      <x:c r="E953" s="34" t="n">
        <x:v>749</x:v>
      </x:c>
      <x:c r="F953" s="21" t="n">
        <x:v>0.774</x:v>
      </x:c>
      <x:c r="G953" s="16" t="str">
        <x:v>Regional</x:v>
      </x:c>
      <x:c r="H953" s="36" t="n">
        <x:f>IF(G953="National",Assumptions!$B$11,IF(G953="Statewide",Assumptions!$B$12,Assumptions!$B$13))</x:f>
        <x:v>0.85</x:v>
      </x:c>
      <x:c r="I953" s="21" t="n">
        <x:v>-0.027626263872777668</x:v>
      </x:c>
      <x:c r="J953" s="21" t="n">
        <x:v>0.014002352921818728</x:v>
      </x:c>
      <x:c r="K953" s="21" t="n">
        <x:v>0.009609135260096657</x:v>
      </x:c>
      <x:c r="L953" s="36" t="n">
        <x:f>IF(Assumptions!$B$4=2030,I953,IF(Assumptions!$B$4=2035,J953,K953))</x:f>
        <x:v>0.014002352921818728</x:v>
      </x:c>
      <x:c r="M953" s="36" t="n">
        <x:f>Assumptions!$B$19</x:f>
        <x:v>-0.04739891965741583</x:v>
      </x:c>
      <x:c r="N953" s="52" t="n">
        <x:f>H953*L953+(1-H953)*M953+O953</x:f>
        <x:v>0.004792162034933543</x:v>
      </x:c>
      <x:c r="O953" s="36" t="n">
        <x:f>Assumptions!$B$10</x:f>
        <x:v>0</x:v>
      </x:c>
      <x:c r="P953" s="54" t="n">
        <x:f>E953*(1+N953)</x:f>
        <x:v>752.5893293641652</x:v>
      </x:c>
      <x:c r="Q953" s="54" t="n">
        <x:f>P953-E953</x:f>
        <x:v>3.5893293641652235</x:v>
      </x:c>
      <x:c r="R953" s="16" t="str">
        <x:v>Yes</x:v>
      </x:c>
      <x:c r="S953" s="56" t="n">
        <x:v>12701</x:v>
      </x:c>
      <x:c r="T953" s="56" t="n">
        <x:v>12037</x:v>
      </x:c>
      <x:c r="U953" s="40" t="n">
        <x:f>E953*Assumptions!$B$8</x:f>
        <x:v>636.65</x:v>
      </x:c>
      <x:c r="V953" s="40" t="n">
        <x:f>P953*Assumptions!$B$8</x:f>
        <x:v>639.7009299595404</x:v>
      </x:c>
      <x:c r="W953" s="54" t="n">
        <x:f>V953-U953</x:f>
        <x:v>3.05092995954044</x:v>
      </x:c>
      <x:c r="X953" s="58" t="n">
        <x:f>IF(R953="No","",W953*S953)</x:f>
        <x:v>38749.86141612313</x:v>
      </x:c>
      <x:c r="Y953" s="58" t="n">
        <x:f>IF(R953="No","",W953*T953*Assumptions!$B$9)</x:f>
        <x:v>11017.213176896483</x:v>
      </x:c>
      <x:c r="Z953" s="58" t="n">
        <x:f>IF(R953="No","",X953-Y953)</x:f>
        <x:v>27732.648239226648</x:v>
      </x:c>
      <x:c r="AA953" s="58" t="n">
        <x:f>IF(R953="No","",MAX(0,-Z953))</x:f>
        <x:v>0</x:v>
      </x:c>
      <x:c r="AB953" s="52" t="n">
        <x:f>IF(OR(R953="No",U953*S953=0),"",AA953/(U953*S953))</x:f>
        <x:v>0</x:v>
      </x:c>
      <x:c r="AC953" s="54" t="n">
        <x:f>IF(OR(R953="No",S953-T953*Assumptions!$B$9&lt;=0),"",AA953/(Assumptions!$B$8*(S953-T953*Assumptions!$B$9)))</x:f>
        <x:v>0</x:v>
      </x:c>
      <x:c r="AD953" s="52" t="n">
        <x:f>IF(OR(R953="No",U953*S953=0),"",AA953/(U953*S953))</x:f>
        <x:v>0</x:v>
      </x:c>
      <x:c r="AE953" s="50" t="str">
        <x:f>IF(R953="No","No finance data",IF(AB953&gt;=10%,"Severe",IF(AB953&gt;=5%,"High",IF(AB953&gt;=2%,"Moderate","Low"))))</x:f>
        <x:v>Low</x:v>
      </x:c>
      <x:c r="AF953" s="60" t="n">
        <x:v>35.610328</x:v>
      </x:c>
      <x:c r="AG953" s="60" t="n">
        <x:v>-82.442619</x:v>
      </x:c>
      <x:c r="AH953" s="44" t="str">
        <x:v>Undergraduate tuition-contribution proxy only; not an audited total institutional budget.</x:v>
      </x:c>
    </x:row>
    <x:row r="954">
      <x:c r="A954" s="16" t="n">
        <x:v>200004</x:v>
      </x:c>
      <x:c r="B954" s="16" t="str">
        <x:v>Western Carolina University</x:v>
      </x:c>
      <x:c r="C954" s="16" t="str">
        <x:v>NC</x:v>
      </x:c>
      <x:c r="D954" s="16" t="str">
        <x:v>Public</x:v>
      </x:c>
      <x:c r="E954" s="34" t="n">
        <x:v>8601</x:v>
      </x:c>
      <x:c r="F954" s="21" t="n">
        <x:v>0.7942</x:v>
      </x:c>
      <x:c r="G954" s="16" t="str">
        <x:v>Statewide</x:v>
      </x:c>
      <x:c r="H954" s="36" t="n">
        <x:f>IF(G954="National",Assumptions!$B$11,IF(G954="Statewide",Assumptions!$B$12,Assumptions!$B$13))</x:f>
        <x:v>0.6</x:v>
      </x:c>
      <x:c r="I954" s="21" t="n">
        <x:v>-0.027626263872777668</x:v>
      </x:c>
      <x:c r="J954" s="21" t="n">
        <x:v>0.014002352921818728</x:v>
      </x:c>
      <x:c r="K954" s="21" t="n">
        <x:v>0.009609135260096657</x:v>
      </x:c>
      <x:c r="L954" s="36" t="n">
        <x:f>IF(Assumptions!$B$4=2030,I954,IF(Assumptions!$B$4=2035,J954,K954))</x:f>
        <x:v>0.014002352921818728</x:v>
      </x:c>
      <x:c r="M954" s="36" t="n">
        <x:f>Assumptions!$B$19</x:f>
        <x:v>-0.04739891965741583</x:v>
      </x:c>
      <x:c r="N954" s="52" t="n">
        <x:f>H954*L954+(1-H954)*M954+O954</x:f>
        <x:v>-0.010558156109875098</x:v>
      </x:c>
      <x:c r="O954" s="36" t="n">
        <x:f>Assumptions!$B$10</x:f>
        <x:v>0</x:v>
      </x:c>
      <x:c r="P954" s="54" t="n">
        <x:f>E954*(1+N954)</x:f>
        <x:v>8510.189299298965</x:v>
      </x:c>
      <x:c r="Q954" s="54" t="n">
        <x:f>P954-E954</x:f>
        <x:v>-90.81070070103488</x:v>
      </x:c>
      <x:c r="R954" s="16" t="str">
        <x:v>Yes</x:v>
      </x:c>
      <x:c r="S954" s="56" t="n">
        <x:v>3988</x:v>
      </x:c>
      <x:c r="T954" s="56" t="n">
        <x:v>7679</x:v>
      </x:c>
      <x:c r="U954" s="40" t="n">
        <x:f>E954*Assumptions!$B$8</x:f>
        <x:v>7310.849999999999</x:v>
      </x:c>
      <x:c r="V954" s="40" t="n">
        <x:f>P954*Assumptions!$B$8</x:f>
        <x:v>7233.66090440412</x:v>
      </x:c>
      <x:c r="W954" s="54" t="n">
        <x:f>V954-U954</x:f>
        <x:v>-77.18909559587973</x:v>
      </x:c>
      <x:c r="X954" s="58" t="n">
        <x:f>IF(R954="No","",W954*S954)</x:f>
        <x:v>-307830.1132363684</x:v>
      </x:c>
      <x:c r="Y954" s="58" t="n">
        <x:f>IF(R954="No","",W954*T954*Assumptions!$B$9)</x:f>
        <x:v>-177820.51952422815</x:v>
      </x:c>
      <x:c r="Z954" s="58" t="n">
        <x:f>IF(R954="No","",X954-Y954)</x:f>
        <x:v>-130009.59371214025</x:v>
      </x:c>
      <x:c r="AA954" s="58" t="n">
        <x:f>IF(R954="No","",MAX(0,-Z954))</x:f>
        <x:v>130009.59371214025</x:v>
      </x:c>
      <x:c r="AB954" s="52" t="n">
        <x:f>IF(OR(R954="No",U954*S954=0),"",AA954/(U954*S954))</x:f>
        <x:v>0.0044591530430949065</x:v>
      </x:c>
      <x:c r="AC954" s="54" t="n">
        <x:f>IF(OR(R954="No",S954-T954*Assumptions!$B$9&lt;=0),"",AA954/(Assumptions!$B$8*(S954-T954*Assumptions!$B$9)))</x:f>
        <x:v>90.81070070103497</x:v>
      </x:c>
      <x:c r="AD954" s="52" t="n">
        <x:f>IF(OR(R954="No",U954*S954=0),"",AA954/(U954*S954))</x:f>
        <x:v>0.0044591530430949065</x:v>
      </x:c>
      <x:c r="AE954" s="50" t="str">
        <x:f>IF(R954="No","No finance data",IF(AB954&gt;=10%,"Severe",IF(AB954&gt;=5%,"High",IF(AB954&gt;=2%,"Moderate","Low"))))</x:f>
        <x:v>Low</x:v>
      </x:c>
      <x:c r="AF954" s="60" t="n">
        <x:v>35.308979</x:v>
      </x:c>
      <x:c r="AG954" s="60" t="n">
        <x:v>-83.186258</x:v>
      </x:c>
      <x:c r="AH954" s="44" t="str">
        <x:v>Undergraduate tuition-contribution proxy only; not an audited total institutional budget.</x:v>
      </x:c>
    </x:row>
    <x:row r="955">
      <x:c r="A955" s="16" t="n">
        <x:v>199272</x:v>
      </x:c>
      <x:c r="B955" s="16" t="str">
        <x:v>William Peace University</x:v>
      </x:c>
      <x:c r="C955" s="16" t="str">
        <x:v>NC</x:v>
      </x:c>
      <x:c r="D955" s="16" t="str">
        <x:v>Private nonprofit</x:v>
      </x:c>
      <x:c r="E955" s="34" t="n">
        <x:v>1038</x:v>
      </x:c>
      <x:c r="F955" s="21" t="n">
        <x:v>0.5209</x:v>
      </x:c>
      <x:c r="G955" s="16" t="str">
        <x:v>Regional</x:v>
      </x:c>
      <x:c r="H955" s="36" t="n">
        <x:f>IF(G955="National",Assumptions!$B$11,IF(G955="Statewide",Assumptions!$B$12,Assumptions!$B$13))</x:f>
        <x:v>0.85</x:v>
      </x:c>
      <x:c r="I955" s="21" t="n">
        <x:v>-0.027626263872777668</x:v>
      </x:c>
      <x:c r="J955" s="21" t="n">
        <x:v>0.014002352921818728</x:v>
      </x:c>
      <x:c r="K955" s="21" t="n">
        <x:v>0.009609135260096657</x:v>
      </x:c>
      <x:c r="L955" s="36" t="n">
        <x:f>IF(Assumptions!$B$4=2030,I955,IF(Assumptions!$B$4=2035,J955,K955))</x:f>
        <x:v>0.014002352921818728</x:v>
      </x:c>
      <x:c r="M955" s="36" t="n">
        <x:f>Assumptions!$B$19</x:f>
        <x:v>-0.04739891965741583</x:v>
      </x:c>
      <x:c r="N955" s="52" t="n">
        <x:f>H955*L955+(1-H955)*M955+O955</x:f>
        <x:v>0.004792162034933543</x:v>
      </x:c>
      <x:c r="O955" s="36" t="n">
        <x:f>Assumptions!$B$10</x:f>
        <x:v>0</x:v>
      </x:c>
      <x:c r="P955" s="54" t="n">
        <x:f>E955*(1+N955)</x:f>
        <x:v>1042.974264192261</x:v>
      </x:c>
      <x:c r="Q955" s="54" t="n">
        <x:f>P955-E955</x:f>
        <x:v>4.974264192260989</x:v>
      </x:c>
      <x:c r="R955" s="16" t="str">
        <x:v>Yes</x:v>
      </x:c>
      <x:c r="S955" s="56" t="n">
        <x:v>15403</x:v>
      </x:c>
      <x:c r="T955" s="56" t="n">
        <x:v>4971</x:v>
      </x:c>
      <x:c r="U955" s="40" t="n">
        <x:f>E955*Assumptions!$B$8</x:f>
        <x:v>882.3</x:v>
      </x:c>
      <x:c r="V955" s="40" t="n">
        <x:f>P955*Assumptions!$B$8</x:f>
        <x:v>886.5281245634218</x:v>
      </x:c>
      <x:c r="W955" s="54" t="n">
        <x:f>V955-U955</x:f>
        <x:v>4.228124563421829</x:v>
      </x:c>
      <x:c r="X955" s="58" t="n">
        <x:f>IF(R955="No","",W955*S955)</x:f>
        <x:v>65125.80265038644</x:v>
      </x:c>
      <x:c r="Y955" s="58" t="n">
        <x:f>IF(R955="No","",W955*T955*Assumptions!$B$9)</x:f>
        <x:v>6305.402161430974</x:v>
      </x:c>
      <x:c r="Z955" s="58" t="n">
        <x:f>IF(R955="No","",X955-Y955)</x:f>
        <x:v>58820.40048895546</x:v>
      </x:c>
      <x:c r="AA955" s="58" t="n">
        <x:f>IF(R955="No","",MAX(0,-Z955))</x:f>
        <x:v>0</x:v>
      </x:c>
      <x:c r="AB955" s="52" t="n">
        <x:f>IF(OR(R955="No",U955*S955=0),"",AA955/(U955*S955))</x:f>
        <x:v>0</x:v>
      </x:c>
      <x:c r="AC955" s="54" t="n">
        <x:f>IF(OR(R955="No",S955-T955*Assumptions!$B$9&lt;=0),"",AA955/(Assumptions!$B$8*(S955-T955*Assumptions!$B$9)))</x:f>
        <x:v>0</x:v>
      </x:c>
      <x:c r="AD955" s="52" t="n">
        <x:f>IF(OR(R955="No",U955*S955=0),"",AA955/(U955*S955))</x:f>
        <x:v>0</x:v>
      </x:c>
      <x:c r="AE955" s="50" t="str">
        <x:f>IF(R955="No","No finance data",IF(AB955&gt;=10%,"Severe",IF(AB955&gt;=5%,"High",IF(AB955&gt;=2%,"Moderate","Low"))))</x:f>
        <x:v>Low</x:v>
      </x:c>
      <x:c r="AF955" s="60" t="n">
        <x:v>35.789139</x:v>
      </x:c>
      <x:c r="AG955" s="60" t="n">
        <x:v>-78.637697</x:v>
      </x:c>
      <x:c r="AH955" s="44" t="str">
        <x:v>Undergraduate tuition-contribution proxy only; not an audited total institutional budget.</x:v>
      </x:c>
    </x:row>
    <x:row r="956">
      <x:c r="A956" s="16" t="n">
        <x:v>199962</x:v>
      </x:c>
      <x:c r="B956" s="16" t="str">
        <x:v>Wingate University</x:v>
      </x:c>
      <x:c r="C956" s="16" t="str">
        <x:v>NC</x:v>
      </x:c>
      <x:c r="D956" s="16" t="str">
        <x:v>Private nonprofit</x:v>
      </x:c>
      <x:c r="E956" s="34" t="n">
        <x:v>2015</x:v>
      </x:c>
      <x:c r="F956" s="21" t="n">
        <x:v>0.8453</x:v>
      </x:c>
      <x:c r="G956" s="16" t="str">
        <x:v>Regional</x:v>
      </x:c>
      <x:c r="H956" s="36" t="n">
        <x:f>IF(G956="National",Assumptions!$B$11,IF(G956="Statewide",Assumptions!$B$12,Assumptions!$B$13))</x:f>
        <x:v>0.85</x:v>
      </x:c>
      <x:c r="I956" s="21" t="n">
        <x:v>-0.027626263872777668</x:v>
      </x:c>
      <x:c r="J956" s="21" t="n">
        <x:v>0.014002352921818728</x:v>
      </x:c>
      <x:c r="K956" s="21" t="n">
        <x:v>0.009609135260096657</x:v>
      </x:c>
      <x:c r="L956" s="36" t="n">
        <x:f>IF(Assumptions!$B$4=2030,I956,IF(Assumptions!$B$4=2035,J956,K956))</x:f>
        <x:v>0.014002352921818728</x:v>
      </x:c>
      <x:c r="M956" s="36" t="n">
        <x:f>Assumptions!$B$19</x:f>
        <x:v>-0.04739891965741583</x:v>
      </x:c>
      <x:c r="N956" s="52" t="n">
        <x:f>H956*L956+(1-H956)*M956+O956</x:f>
        <x:v>0.004792162034933543</x:v>
      </x:c>
      <x:c r="O956" s="36" t="n">
        <x:f>Assumptions!$B$10</x:f>
        <x:v>0</x:v>
      </x:c>
      <x:c r="P956" s="54" t="n">
        <x:f>E956*(1+N956)</x:f>
        <x:v>2024.6562065003911</x:v>
      </x:c>
      <x:c r="Q956" s="54" t="n">
        <x:f>P956-E956</x:f>
        <x:v>9.656206500391136</x:v>
      </x:c>
      <x:c r="R956" s="16" t="str">
        <x:v>Yes</x:v>
      </x:c>
      <x:c r="S956" s="56" t="n">
        <x:v>14896</x:v>
      </x:c>
      <x:c r="T956" s="56" t="n">
        <x:v>9091</x:v>
      </x:c>
      <x:c r="U956" s="40" t="n">
        <x:f>E956*Assumptions!$B$8</x:f>
        <x:v>1712.75</x:v>
      </x:c>
      <x:c r="V956" s="40" t="n">
        <x:f>P956*Assumptions!$B$8</x:f>
        <x:v>1720.9577755253324</x:v>
      </x:c>
      <x:c r="W956" s="54" t="n">
        <x:f>V956-U956</x:f>
        <x:v>8.207775525332409</x:v>
      </x:c>
      <x:c r="X956" s="58" t="n">
        <x:f>IF(R956="No","",W956*S956)</x:f>
        <x:v>122263.02422535156</x:v>
      </x:c>
      <x:c r="Y956" s="58" t="n">
        <x:f>IF(R956="No","",W956*T956*Assumptions!$B$9)</x:f>
        <x:v>22385.066190239075</x:v>
      </x:c>
      <x:c r="Z956" s="58" t="n">
        <x:f>IF(R956="No","",X956-Y956)</x:f>
        <x:v>99877.95803511249</x:v>
      </x:c>
      <x:c r="AA956" s="58" t="n">
        <x:f>IF(R956="No","",MAX(0,-Z956))</x:f>
        <x:v>0</x:v>
      </x:c>
      <x:c r="AB956" s="52" t="n">
        <x:f>IF(OR(R956="No",U956*S956=0),"",AA956/(U956*S956))</x:f>
        <x:v>0</x:v>
      </x:c>
      <x:c r="AC956" s="54" t="n">
        <x:f>IF(OR(R956="No",S956-T956*Assumptions!$B$9&lt;=0),"",AA956/(Assumptions!$B$8*(S956-T956*Assumptions!$B$9)))</x:f>
        <x:v>0</x:v>
      </x:c>
      <x:c r="AD956" s="52" t="n">
        <x:f>IF(OR(R956="No",U956*S956=0),"",AA956/(U956*S956))</x:f>
        <x:v>0</x:v>
      </x:c>
      <x:c r="AE956" s="50" t="str">
        <x:f>IF(R956="No","No finance data",IF(AB956&gt;=10%,"Severe",IF(AB956&gt;=5%,"High",IF(AB956&gt;=2%,"Moderate","Low"))))</x:f>
        <x:v>Low</x:v>
      </x:c>
      <x:c r="AF956" s="60" t="n">
        <x:v>34.986064</x:v>
      </x:c>
      <x:c r="AG956" s="60" t="n">
        <x:v>-80.44305</x:v>
      </x:c>
      <x:c r="AH956" s="44" t="str">
        <x:v>Undergraduate tuition-contribution proxy only; not an audited total institutional budget.</x:v>
      </x:c>
    </x:row>
    <x:row r="957">
      <x:c r="A957" s="16" t="n">
        <x:v>199999</x:v>
      </x:c>
      <x:c r="B957" s="16" t="str">
        <x:v>Winston-Salem State University</x:v>
      </x:c>
      <x:c r="C957" s="16" t="str">
        <x:v>NC</x:v>
      </x:c>
      <x:c r="D957" s="16" t="str">
        <x:v>Public</x:v>
      </x:c>
      <x:c r="E957" s="34" t="n">
        <x:v>4647</x:v>
      </x:c>
      <x:c r="F957" s="21" t="n">
        <x:v>0.8147</x:v>
      </x:c>
      <x:c r="G957" s="16" t="str">
        <x:v>Regional</x:v>
      </x:c>
      <x:c r="H957" s="36" t="n">
        <x:f>IF(G957="National",Assumptions!$B$11,IF(G957="Statewide",Assumptions!$B$12,Assumptions!$B$13))</x:f>
        <x:v>0.85</x:v>
      </x:c>
      <x:c r="I957" s="21" t="n">
        <x:v>-0.027626263872777668</x:v>
      </x:c>
      <x:c r="J957" s="21" t="n">
        <x:v>0.014002352921818728</x:v>
      </x:c>
      <x:c r="K957" s="21" t="n">
        <x:v>0.009609135260096657</x:v>
      </x:c>
      <x:c r="L957" s="36" t="n">
        <x:f>IF(Assumptions!$B$4=2030,I957,IF(Assumptions!$B$4=2035,J957,K957))</x:f>
        <x:v>0.014002352921818728</x:v>
      </x:c>
      <x:c r="M957" s="36" t="n">
        <x:f>Assumptions!$B$19</x:f>
        <x:v>-0.04739891965741583</x:v>
      </x:c>
      <x:c r="N957" s="52" t="n">
        <x:f>H957*L957+(1-H957)*M957+O957</x:f>
        <x:v>0.004792162034933543</x:v>
      </x:c>
      <x:c r="O957" s="36" t="n">
        <x:f>Assumptions!$B$10</x:f>
        <x:v>0</x:v>
      </x:c>
      <x:c r="P957" s="54" t="n">
        <x:f>E957*(1+N957)</x:f>
        <x:v>4669.269176976337</x:v>
      </x:c>
      <x:c r="Q957" s="54" t="n">
        <x:f>P957-E957</x:f>
        <x:v>22.269176976336894</x:v>
      </x:c>
      <x:c r="R957" s="16" t="str">
        <x:v>Yes</x:v>
      </x:c>
      <x:c r="S957" s="56" t="n">
        <x:v>4221</x:v>
      </x:c>
      <x:c r="T957" s="56" t="n">
        <x:v>8818</x:v>
      </x:c>
      <x:c r="U957" s="40" t="n">
        <x:f>E957*Assumptions!$B$8</x:f>
        <x:v>3949.95</x:v>
      </x:c>
      <x:c r="V957" s="40" t="n">
        <x:f>P957*Assumptions!$B$8</x:f>
        <x:v>3968.8788004298863</x:v>
      </x:c>
      <x:c r="W957" s="54" t="n">
        <x:f>V957-U957</x:f>
        <x:v>18.92880042988645</x:v>
      </x:c>
      <x:c r="X957" s="58" t="n">
        <x:f>IF(R957="No","",W957*S957)</x:f>
        <x:v>79898.4666145507</x:v>
      </x:c>
      <x:c r="Y957" s="58" t="n">
        <x:f>IF(R957="No","",W957*T957*Assumptions!$B$9)</x:f>
        <x:v>50074.248657221615</x:v>
      </x:c>
      <x:c r="Z957" s="58" t="n">
        <x:f>IF(R957="No","",X957-Y957)</x:f>
        <x:v>29824.217957329092</x:v>
      </x:c>
      <x:c r="AA957" s="58" t="n">
        <x:f>IF(R957="No","",MAX(0,-Z957))</x:f>
        <x:v>0</x:v>
      </x:c>
      <x:c r="AB957" s="52" t="n">
        <x:f>IF(OR(R957="No",U957*S957=0),"",AA957/(U957*S957))</x:f>
        <x:v>0</x:v>
      </x:c>
      <x:c r="AC957" s="54" t="n">
        <x:f>IF(OR(R957="No",S957-T957*Assumptions!$B$9&lt;=0),"",AA957/(Assumptions!$B$8*(S957-T957*Assumptions!$B$9)))</x:f>
        <x:v>0</x:v>
      </x:c>
      <x:c r="AD957" s="52" t="n">
        <x:f>IF(OR(R957="No",U957*S957=0),"",AA957/(U957*S957))</x:f>
        <x:v>0</x:v>
      </x:c>
      <x:c r="AE957" s="50" t="str">
        <x:f>IF(R957="No","No finance data",IF(AB957&gt;=10%,"Severe",IF(AB957&gt;=5%,"High",IF(AB957&gt;=2%,"Moderate","Low"))))</x:f>
        <x:v>Low</x:v>
      </x:c>
      <x:c r="AF957" s="60" t="n">
        <x:v>36.089554</x:v>
      </x:c>
      <x:c r="AG957" s="60" t="n">
        <x:v>-80.225033</x:v>
      </x:c>
      <x:c r="AH957" s="44" t="str">
        <x:v>Undergraduate tuition-contribution proxy only; not an audited total institutional budget.</x:v>
      </x:c>
    </x:row>
    <x:row r="958">
      <x:c r="A958" s="16" t="n">
        <x:v>200059</x:v>
      </x:c>
      <x:c r="B958" s="16" t="str">
        <x:v>Dickinson State University</x:v>
      </x:c>
      <x:c r="C958" s="16" t="str">
        <x:v>ND</x:v>
      </x:c>
      <x:c r="D958" s="16" t="str">
        <x:v>Public</x:v>
      </x:c>
      <x:c r="E958" s="34" t="n">
        <x:v>1134</x:v>
      </x:c>
      <x:c r="F958" s="21" t="n">
        <x:v>0.9935</x:v>
      </x:c>
      <x:c r="G958" s="16" t="str">
        <x:v>Regional</x:v>
      </x:c>
      <x:c r="H958" s="36" t="n">
        <x:f>IF(G958="National",Assumptions!$B$11,IF(G958="Statewide",Assumptions!$B$12,Assumptions!$B$13))</x:f>
        <x:v>0.85</x:v>
      </x:c>
      <x:c r="I958" s="21" t="n">
        <x:v>0.075720736366794</x:v>
      </x:c>
      <x:c r="J958" s="21" t="n">
        <x:v>0.13129558874609248</x:v>
      </x:c>
      <x:c r="K958" s="21" t="n">
        <x:v>0.0061363899502142605</x:v>
      </x:c>
      <x:c r="L958" s="36" t="n">
        <x:f>IF(Assumptions!$B$4=2030,I958,IF(Assumptions!$B$4=2035,J958,K958))</x:f>
        <x:v>0.13129558874609248</x:v>
      </x:c>
      <x:c r="M958" s="36" t="n">
        <x:f>Assumptions!$B$19</x:f>
        <x:v>-0.04739891965741583</x:v>
      </x:c>
      <x:c r="N958" s="52" t="n">
        <x:f>H958*L958+(1-H958)*M958+O958</x:f>
        <x:v>0.10449141248556623</x:v>
      </x:c>
      <x:c r="O958" s="36" t="n">
        <x:f>Assumptions!$B$10</x:f>
        <x:v>0</x:v>
      </x:c>
      <x:c r="P958" s="54" t="n">
        <x:f>E958*(1+N958)</x:f>
        <x:v>1252.4932617586321</x:v>
      </x:c>
      <x:c r="Q958" s="54" t="n">
        <x:f>P958-E958</x:f>
        <x:v>118.49326175863212</x:v>
      </x:c>
      <x:c r="R958" s="16" t="str">
        <x:v>Yes</x:v>
      </x:c>
      <x:c r="S958" s="56" t="n">
        <x:v>6978</x:v>
      </x:c>
      <x:c r="T958" s="56" t="n">
        <x:v>9322</x:v>
      </x:c>
      <x:c r="U958" s="40" t="n">
        <x:f>E958*Assumptions!$B$8</x:f>
        <x:v>963.9</x:v>
      </x:c>
      <x:c r="V958" s="40" t="n">
        <x:f>P958*Assumptions!$B$8</x:f>
        <x:v>1064.6192724948373</x:v>
      </x:c>
      <x:c r="W958" s="54" t="n">
        <x:f>V958-U958</x:f>
        <x:v>100.71927249483736</x:v>
      </x:c>
      <x:c r="X958" s="58" t="n">
        <x:f>IF(R958="No","",W958*S958)</x:f>
        <x:v>702819.083468975</x:v>
      </x:c>
      <x:c r="Y958" s="58" t="n">
        <x:f>IF(R958="No","",W958*T958*Assumptions!$B$9)</x:f>
        <x:v>281671.51745906216</x:v>
      </x:c>
      <x:c r="Z958" s="58" t="n">
        <x:f>IF(R958="No","",X958-Y958)</x:f>
        <x:v>421147.5660099129</x:v>
      </x:c>
      <x:c r="AA958" s="58" t="n">
        <x:f>IF(R958="No","",MAX(0,-Z958))</x:f>
        <x:v>0</x:v>
      </x:c>
      <x:c r="AB958" s="52" t="n">
        <x:f>IF(OR(R958="No",U958*S958=0),"",AA958/(U958*S958))</x:f>
        <x:v>0</x:v>
      </x:c>
      <x:c r="AC958" s="54" t="n">
        <x:f>IF(OR(R958="No",S958-T958*Assumptions!$B$9&lt;=0),"",AA958/(Assumptions!$B$8*(S958-T958*Assumptions!$B$9)))</x:f>
        <x:v>0</x:v>
      </x:c>
      <x:c r="AD958" s="52" t="n">
        <x:f>IF(OR(R958="No",U958*S958=0),"",AA958/(U958*S958))</x:f>
        <x:v>0</x:v>
      </x:c>
      <x:c r="AE958" s="50" t="str">
        <x:f>IF(R958="No","No finance data",IF(AB958&gt;=10%,"Severe",IF(AB958&gt;=5%,"High",IF(AB958&gt;=2%,"Moderate","Low"))))</x:f>
        <x:v>Low</x:v>
      </x:c>
      <x:c r="AF958" s="60" t="n">
        <x:v>46.882917</x:v>
      </x:c>
      <x:c r="AG958" s="60" t="n">
        <x:v>-102.799679</x:v>
      </x:c>
      <x:c r="AH958" s="44" t="str">
        <x:v>Undergraduate tuition-contribution proxy only; not an audited total institutional budget.</x:v>
      </x:c>
    </x:row>
    <x:row r="959">
      <x:c r="A959" s="16" t="n">
        <x:v>200226</x:v>
      </x:c>
      <x:c r="B959" s="16" t="str">
        <x:v>Mayville State University</x:v>
      </x:c>
      <x:c r="C959" s="16" t="str">
        <x:v>ND</x:v>
      </x:c>
      <x:c r="D959" s="16" t="str">
        <x:v>Public</x:v>
      </x:c>
      <x:c r="E959" s="34" t="n">
        <x:v>819</x:v>
      </x:c>
      <x:c r="F959" s="21" t="n">
        <x:v>0.6099</x:v>
      </x:c>
      <x:c r="G959" s="16" t="str">
        <x:v>Regional</x:v>
      </x:c>
      <x:c r="H959" s="36" t="n">
        <x:f>IF(G959="National",Assumptions!$B$11,IF(G959="Statewide",Assumptions!$B$12,Assumptions!$B$13))</x:f>
        <x:v>0.85</x:v>
      </x:c>
      <x:c r="I959" s="21" t="n">
        <x:v>0.075720736366794</x:v>
      </x:c>
      <x:c r="J959" s="21" t="n">
        <x:v>0.13129558874609248</x:v>
      </x:c>
      <x:c r="K959" s="21" t="n">
        <x:v>0.0061363899502142605</x:v>
      </x:c>
      <x:c r="L959" s="36" t="n">
        <x:f>IF(Assumptions!$B$4=2030,I959,IF(Assumptions!$B$4=2035,J959,K959))</x:f>
        <x:v>0.13129558874609248</x:v>
      </x:c>
      <x:c r="M959" s="36" t="n">
        <x:f>Assumptions!$B$19</x:f>
        <x:v>-0.04739891965741583</x:v>
      </x:c>
      <x:c r="N959" s="52" t="n">
        <x:f>H959*L959+(1-H959)*M959+O959</x:f>
        <x:v>0.10449141248556623</x:v>
      </x:c>
      <x:c r="O959" s="36" t="n">
        <x:f>Assumptions!$B$10</x:f>
        <x:v>0</x:v>
      </x:c>
      <x:c r="P959" s="54" t="n">
        <x:f>E959*(1+N959)</x:f>
        <x:v>904.5784668256788</x:v>
      </x:c>
      <x:c r="Q959" s="54" t="n">
        <x:f>P959-E959</x:f>
        <x:v>85.57846682567879</x:v>
      </x:c>
      <x:c r="R959" s="16" t="str">
        <x:v>Yes</x:v>
      </x:c>
      <x:c r="S959" s="56" t="n">
        <x:v>6660</x:v>
      </x:c>
      <x:c r="T959" s="56" t="n">
        <x:v>8504</x:v>
      </x:c>
      <x:c r="U959" s="40" t="n">
        <x:f>E959*Assumptions!$B$8</x:f>
        <x:v>696.15</x:v>
      </x:c>
      <x:c r="V959" s="40" t="n">
        <x:f>P959*Assumptions!$B$8</x:f>
        <x:v>768.8916968018269</x:v>
      </x:c>
      <x:c r="W959" s="54" t="n">
        <x:f>V959-U959</x:f>
        <x:v>72.74169680182695</x:v>
      </x:c>
      <x:c r="X959" s="58" t="n">
        <x:f>IF(R959="No","",W959*S959)</x:f>
        <x:v>484459.70070016745</x:v>
      </x:c>
      <x:c r="Y959" s="58" t="n">
        <x:f>IF(R959="No","",W959*T959*Assumptions!$B$9)</x:f>
        <x:v>185578.6168808209</x:v>
      </x:c>
      <x:c r="Z959" s="58" t="n">
        <x:f>IF(R959="No","",X959-Y959)</x:f>
        <x:v>298881.08381934656</x:v>
      </x:c>
      <x:c r="AA959" s="58" t="n">
        <x:f>IF(R959="No","",MAX(0,-Z959))</x:f>
        <x:v>0</x:v>
      </x:c>
      <x:c r="AB959" s="52" t="n">
        <x:f>IF(OR(R959="No",U959*S959=0),"",AA959/(U959*S959))</x:f>
        <x:v>0</x:v>
      </x:c>
      <x:c r="AC959" s="54" t="n">
        <x:f>IF(OR(R959="No",S959-T959*Assumptions!$B$9&lt;=0),"",AA959/(Assumptions!$B$8*(S959-T959*Assumptions!$B$9)))</x:f>
        <x:v>0</x:v>
      </x:c>
      <x:c r="AD959" s="52" t="n">
        <x:f>IF(OR(R959="No",U959*S959=0),"",AA959/(U959*S959))</x:f>
        <x:v>0</x:v>
      </x:c>
      <x:c r="AE959" s="50" t="str">
        <x:f>IF(R959="No","No finance data",IF(AB959&gt;=10%,"Severe",IF(AB959&gt;=5%,"High",IF(AB959&gt;=2%,"Moderate","Low"))))</x:f>
        <x:v>Low</x:v>
      </x:c>
      <x:c r="AF959" s="60" t="n">
        <x:v>47.505415</x:v>
      </x:c>
      <x:c r="AG959" s="60" t="n">
        <x:v>-97.322554</x:v>
      </x:c>
      <x:c r="AH959" s="44" t="str">
        <x:v>Undergraduate tuition-contribution proxy only; not an audited total institutional budget.</x:v>
      </x:c>
    </x:row>
    <x:row r="960">
      <x:c r="A960" s="16" t="n">
        <x:v>200253</x:v>
      </x:c>
      <x:c r="B960" s="16" t="str">
        <x:v>Minot State University</x:v>
      </x:c>
      <x:c r="C960" s="16" t="str">
        <x:v>ND</x:v>
      </x:c>
      <x:c r="D960" s="16" t="str">
        <x:v>Public</x:v>
      </x:c>
      <x:c r="E960" s="34" t="n">
        <x:v>2565</x:v>
      </x:c>
      <x:c r="F960" s="21" t="n">
        <x:v>0.8838</x:v>
      </x:c>
      <x:c r="G960" s="16" t="str">
        <x:v>Regional</x:v>
      </x:c>
      <x:c r="H960" s="36" t="n">
        <x:f>IF(G960="National",Assumptions!$B$11,IF(G960="Statewide",Assumptions!$B$12,Assumptions!$B$13))</x:f>
        <x:v>0.85</x:v>
      </x:c>
      <x:c r="I960" s="21" t="n">
        <x:v>0.075720736366794</x:v>
      </x:c>
      <x:c r="J960" s="21" t="n">
        <x:v>0.13129558874609248</x:v>
      </x:c>
      <x:c r="K960" s="21" t="n">
        <x:v>0.0061363899502142605</x:v>
      </x:c>
      <x:c r="L960" s="36" t="n">
        <x:f>IF(Assumptions!$B$4=2030,I960,IF(Assumptions!$B$4=2035,J960,K960))</x:f>
        <x:v>0.13129558874609248</x:v>
      </x:c>
      <x:c r="M960" s="36" t="n">
        <x:f>Assumptions!$B$19</x:f>
        <x:v>-0.04739891965741583</x:v>
      </x:c>
      <x:c r="N960" s="52" t="n">
        <x:f>H960*L960+(1-H960)*M960+O960</x:f>
        <x:v>0.10449141248556623</x:v>
      </x:c>
      <x:c r="O960" s="36" t="n">
        <x:f>Assumptions!$B$10</x:f>
        <x:v>0</x:v>
      </x:c>
      <x:c r="P960" s="54" t="n">
        <x:f>E960*(1+N960)</x:f>
        <x:v>2833.0204730254773</x:v>
      </x:c>
      <x:c r="Q960" s="54" t="n">
        <x:f>P960-E960</x:f>
        <x:v>268.02047302547726</x:v>
      </x:c>
      <x:c r="R960" s="16" t="str">
        <x:v>Yes</x:v>
      </x:c>
      <x:c r="S960" s="56" t="n">
        <x:v>6602</x:v>
      </x:c>
      <x:c r="T960" s="56" t="n">
        <x:v>7994</x:v>
      </x:c>
      <x:c r="U960" s="40" t="n">
        <x:f>E960*Assumptions!$B$8</x:f>
        <x:v>2180.25</x:v>
      </x:c>
      <x:c r="V960" s="40" t="n">
        <x:f>P960*Assumptions!$B$8</x:f>
        <x:v>2408.0674020716556</x:v>
      </x:c>
      <x:c r="W960" s="54" t="n">
        <x:f>V960-U960</x:f>
        <x:v>227.81740207165558</x:v>
      </x:c>
      <x:c r="X960" s="58" t="n">
        <x:f>IF(R960="No","",W960*S960)</x:f>
        <x:v>1504050.4884770701</x:v>
      </x:c>
      <x:c r="Y960" s="58" t="n">
        <x:f>IF(R960="No","",W960*T960*Assumptions!$B$9)</x:f>
        <x:v>546351.6936482444</x:v>
      </x:c>
      <x:c r="Z960" s="58" t="n">
        <x:f>IF(R960="No","",X960-Y960)</x:f>
        <x:v>957698.7948288257</x:v>
      </x:c>
      <x:c r="AA960" s="58" t="n">
        <x:f>IF(R960="No","",MAX(0,-Z960))</x:f>
        <x:v>0</x:v>
      </x:c>
      <x:c r="AB960" s="52" t="n">
        <x:f>IF(OR(R960="No",U960*S960=0),"",AA960/(U960*S960))</x:f>
        <x:v>0</x:v>
      </x:c>
      <x:c r="AC960" s="54" t="n">
        <x:f>IF(OR(R960="No",S960-T960*Assumptions!$B$9&lt;=0),"",AA960/(Assumptions!$B$8*(S960-T960*Assumptions!$B$9)))</x:f>
        <x:v>0</x:v>
      </x:c>
      <x:c r="AD960" s="52" t="n">
        <x:f>IF(OR(R960="No",U960*S960=0),"",AA960/(U960*S960))</x:f>
        <x:v>0</x:v>
      </x:c>
      <x:c r="AE960" s="50" t="str">
        <x:f>IF(R960="No","No finance data",IF(AB960&gt;=10%,"Severe",IF(AB960&gt;=5%,"High",IF(AB960&gt;=2%,"Moderate","Low"))))</x:f>
        <x:v>Low</x:v>
      </x:c>
      <x:c r="AF960" s="60" t="n">
        <x:v>48.246961</x:v>
      </x:c>
      <x:c r="AG960" s="60" t="n">
        <x:v>-101.29861</x:v>
      </x:c>
      <x:c r="AH960" s="44" t="str">
        <x:v>Undergraduate tuition-contribution proxy only; not an audited total institutional budget.</x:v>
      </x:c>
    </x:row>
    <x:row r="961">
      <x:c r="A961" s="16" t="n">
        <x:v>200332</x:v>
      </x:c>
      <x:c r="B961" s="16" t="str">
        <x:v>North Dakota State University-Main Campus</x:v>
      </x:c>
      <x:c r="C961" s="16" t="str">
        <x:v>ND</x:v>
      </x:c>
      <x:c r="D961" s="16" t="str">
        <x:v>Public</x:v>
      </x:c>
      <x:c r="E961" s="34" t="n">
        <x:v>11719</x:v>
      </x:c>
      <x:c r="F961" s="21" t="n">
        <x:v>0.9546</x:v>
      </x:c>
      <x:c r="G961" s="16" t="str">
        <x:v>Statewide</x:v>
      </x:c>
      <x:c r="H961" s="36" t="n">
        <x:f>IF(G961="National",Assumptions!$B$11,IF(G961="Statewide",Assumptions!$B$12,Assumptions!$B$13))</x:f>
        <x:v>0.6</x:v>
      </x:c>
      <x:c r="I961" s="21" t="n">
        <x:v>0.075720736366794</x:v>
      </x:c>
      <x:c r="J961" s="21" t="n">
        <x:v>0.13129558874609248</x:v>
      </x:c>
      <x:c r="K961" s="21" t="n">
        <x:v>0.0061363899502142605</x:v>
      </x:c>
      <x:c r="L961" s="36" t="n">
        <x:f>IF(Assumptions!$B$4=2030,I961,IF(Assumptions!$B$4=2035,J961,K961))</x:f>
        <x:v>0.13129558874609248</x:v>
      </x:c>
      <x:c r="M961" s="36" t="n">
        <x:f>Assumptions!$B$19</x:f>
        <x:v>-0.04739891965741583</x:v>
      </x:c>
      <x:c r="N961" s="52" t="n">
        <x:f>H961*L961+(1-H961)*M961+O961</x:f>
        <x:v>0.059817785384689154</x:v>
      </x:c>
      <x:c r="O961" s="36" t="n">
        <x:f>Assumptions!$B$10</x:f>
        <x:v>0</x:v>
      </x:c>
      <x:c r="P961" s="54" t="n">
        <x:f>E961*(1+N961)</x:f>
        <x:v>12420.004626923172</x:v>
      </x:c>
      <x:c r="Q961" s="54" t="n">
        <x:f>P961-E961</x:f>
        <x:v>701.0046269231716</x:v>
      </x:c>
      <x:c r="R961" s="16" t="str">
        <x:v>Yes</x:v>
      </x:c>
      <x:c r="S961" s="56" t="n">
        <x:v>10452</x:v>
      </x:c>
      <x:c r="T961" s="56" t="n">
        <x:v>10490</x:v>
      </x:c>
      <x:c r="U961" s="40" t="n">
        <x:f>E961*Assumptions!$B$8</x:f>
        <x:v>9961.15</x:v>
      </x:c>
      <x:c r="V961" s="40" t="n">
        <x:f>P961*Assumptions!$B$8</x:f>
        <x:v>10557.003932884696</x:v>
      </x:c>
      <x:c r="W961" s="54" t="n">
        <x:f>V961-U961</x:f>
        <x:v>595.8539328846964</x:v>
      </x:c>
      <x:c r="X961" s="58" t="n">
        <x:f>IF(R961="No","",W961*S961)</x:f>
        <x:v>6227865.306510847</x:v>
      </x:c>
      <x:c r="Y961" s="58" t="n">
        <x:f>IF(R961="No","",W961*T961*Assumptions!$B$9)</x:f>
        <x:v>1875152.3267881395</x:v>
      </x:c>
      <x:c r="Z961" s="58" t="n">
        <x:f>IF(R961="No","",X961-Y961)</x:f>
        <x:v>4352712.9797227075</x:v>
      </x:c>
      <x:c r="AA961" s="58" t="n">
        <x:f>IF(R961="No","",MAX(0,-Z961))</x:f>
        <x:v>0</x:v>
      </x:c>
      <x:c r="AB961" s="52" t="n">
        <x:f>IF(OR(R961="No",U961*S961=0),"",AA961/(U961*S961))</x:f>
        <x:v>0</x:v>
      </x:c>
      <x:c r="AC961" s="54" t="n">
        <x:f>IF(OR(R961="No",S961-T961*Assumptions!$B$9&lt;=0),"",AA961/(Assumptions!$B$8*(S961-T961*Assumptions!$B$9)))</x:f>
        <x:v>0</x:v>
      </x:c>
      <x:c r="AD961" s="52" t="n">
        <x:f>IF(OR(R961="No",U961*S961=0),"",AA961/(U961*S961))</x:f>
        <x:v>0</x:v>
      </x:c>
      <x:c r="AE961" s="50" t="str">
        <x:f>IF(R961="No","No finance data",IF(AB961&gt;=10%,"Severe",IF(AB961&gt;=5%,"High",IF(AB961&gt;=2%,"Moderate","Low"))))</x:f>
        <x:v>Low</x:v>
      </x:c>
      <x:c r="AF961" s="60" t="n">
        <x:v>46.893127</x:v>
      </x:c>
      <x:c r="AG961" s="60" t="n">
        <x:v>-96.800838</x:v>
      </x:c>
      <x:c r="AH961" s="44" t="str">
        <x:v>Undergraduate tuition-contribution proxy only; not an audited total institutional budget.</x:v>
      </x:c>
    </x:row>
    <x:row r="962">
      <x:c r="A962" s="16" t="n">
        <x:v>200484</x:v>
      </x:c>
      <x:c r="B962" s="16" t="str">
        <x:v>Trinity Bible College and Graduate School</x:v>
      </x:c>
      <x:c r="C962" s="16" t="str">
        <x:v>ND</x:v>
      </x:c>
      <x:c r="D962" s="16" t="str">
        <x:v>Private nonprofit</x:v>
      </x:c>
      <x:c r="E962" s="34" t="n">
        <x:v>186</x:v>
      </x:c>
      <x:c r="F962" s="21"/>
      <x:c r="G962" s="16" t="str">
        <x:v>Regional</x:v>
      </x:c>
      <x:c r="H962" s="36" t="n">
        <x:f>IF(G962="National",Assumptions!$B$11,IF(G962="Statewide",Assumptions!$B$12,Assumptions!$B$13))</x:f>
        <x:v>0.85</x:v>
      </x:c>
      <x:c r="I962" s="21" t="n">
        <x:v>0.075720736366794</x:v>
      </x:c>
      <x:c r="J962" s="21" t="n">
        <x:v>0.13129558874609248</x:v>
      </x:c>
      <x:c r="K962" s="21" t="n">
        <x:v>0.0061363899502142605</x:v>
      </x:c>
      <x:c r="L962" s="36" t="n">
        <x:f>IF(Assumptions!$B$4=2030,I962,IF(Assumptions!$B$4=2035,J962,K962))</x:f>
        <x:v>0.13129558874609248</x:v>
      </x:c>
      <x:c r="M962" s="36" t="n">
        <x:f>Assumptions!$B$19</x:f>
        <x:v>-0.04739891965741583</x:v>
      </x:c>
      <x:c r="N962" s="52" t="n">
        <x:f>H962*L962+(1-H962)*M962+O962</x:f>
        <x:v>0.10449141248556623</x:v>
      </x:c>
      <x:c r="O962" s="36" t="n">
        <x:f>Assumptions!$B$10</x:f>
        <x:v>0</x:v>
      </x:c>
      <x:c r="P962" s="54" t="n">
        <x:f>E962*(1+N962)</x:f>
        <x:v>205.43540272231533</x:v>
      </x:c>
      <x:c r="Q962" s="54" t="n">
        <x:f>P962-E962</x:f>
        <x:v>19.43540272231533</x:v>
      </x:c>
      <x:c r="R962" s="16" t="str">
        <x:v>No</x:v>
      </x:c>
      <x:c r="S962" s="56"/>
      <x:c r="T962" s="56"/>
      <x:c r="U962" s="40" t="n">
        <x:f>E962*Assumptions!$B$8</x:f>
        <x:v>158.1</x:v>
      </x:c>
      <x:c r="V962" s="40" t="n">
        <x:f>P962*Assumptions!$B$8</x:f>
        <x:v>174.62009231396803</x:v>
      </x:c>
      <x:c r="W962" s="54" t="n">
        <x:f>V962-U962</x:f>
        <x:v>16.520092313968036</x:v>
      </x:c>
      <x:c r="X962" s="58" t="str">
        <x:f>IF(R962="No","",W962*S962)</x:f>
      </x:c>
      <x:c r="Y962" s="58" t="str">
        <x:f>IF(R962="No","",W962*T962*Assumptions!$B$9)</x:f>
      </x:c>
      <x:c r="Z962" s="58" t="str">
        <x:f>IF(R962="No","",X962-Y962)</x:f>
      </x:c>
      <x:c r="AA962" s="58" t="str">
        <x:f>IF(R962="No","",MAX(0,-Z962))</x:f>
      </x:c>
      <x:c r="AB962" s="52" t="str">
        <x:f>IF(OR(R962="No",U962*S962=0),"",AA962/(U962*S962))</x:f>
      </x:c>
      <x:c r="AC962" s="54" t="str">
        <x:f>IF(OR(R962="No",S962-T962*Assumptions!$B$9&lt;=0),"",AA962/(Assumptions!$B$8*(S962-T962*Assumptions!$B$9)))</x:f>
      </x:c>
      <x:c r="AD962" s="52" t="str">
        <x:f>IF(OR(R962="No",U962*S962=0),"",AA962/(U962*S962))</x:f>
      </x:c>
      <x:c r="AE962" s="50" t="str">
        <x:f>IF(R962="No","No finance data",IF(AB962&gt;=10%,"Severe",IF(AB962&gt;=5%,"High",IF(AB962&gt;=2%,"Moderate","Low"))))</x:f>
        <x:v>No finance data</x:v>
      </x:c>
      <x:c r="AF962" s="60"/>
      <x:c r="AG962" s="60"/>
      <x:c r="AH962" s="44" t="str">
        <x:v>Undergraduate tuition-contribution proxy only; not an audited total institutional budget.</x:v>
      </x:c>
    </x:row>
    <x:row r="963">
      <x:c r="A963" s="16" t="n">
        <x:v>200156</x:v>
      </x:c>
      <x:c r="B963" s="16" t="str">
        <x:v>University of Jamestown</x:v>
      </x:c>
      <x:c r="C963" s="16" t="str">
        <x:v>ND</x:v>
      </x:c>
      <x:c r="D963" s="16" t="str">
        <x:v>Private nonprofit</x:v>
      </x:c>
      <x:c r="E963" s="34" t="n">
        <x:v>861</x:v>
      </x:c>
      <x:c r="F963" s="21" t="n">
        <x:v>0.7579</x:v>
      </x:c>
      <x:c r="G963" s="16" t="str">
        <x:v>Regional</x:v>
      </x:c>
      <x:c r="H963" s="36" t="n">
        <x:f>IF(G963="National",Assumptions!$B$11,IF(G963="Statewide",Assumptions!$B$12,Assumptions!$B$13))</x:f>
        <x:v>0.85</x:v>
      </x:c>
      <x:c r="I963" s="21" t="n">
        <x:v>0.075720736366794</x:v>
      </x:c>
      <x:c r="J963" s="21" t="n">
        <x:v>0.13129558874609248</x:v>
      </x:c>
      <x:c r="K963" s="21" t="n">
        <x:v>0.0061363899502142605</x:v>
      </x:c>
      <x:c r="L963" s="36" t="n">
        <x:f>IF(Assumptions!$B$4=2030,I963,IF(Assumptions!$B$4=2035,J963,K963))</x:f>
        <x:v>0.13129558874609248</x:v>
      </x:c>
      <x:c r="M963" s="36" t="n">
        <x:f>Assumptions!$B$19</x:f>
        <x:v>-0.04739891965741583</x:v>
      </x:c>
      <x:c r="N963" s="52" t="n">
        <x:f>H963*L963+(1-H963)*M963+O963</x:f>
        <x:v>0.10449141248556623</x:v>
      </x:c>
      <x:c r="O963" s="36" t="n">
        <x:f>Assumptions!$B$10</x:f>
        <x:v>0</x:v>
      </x:c>
      <x:c r="P963" s="54" t="n">
        <x:f>E963*(1+N963)</x:f>
        <x:v>950.9671061500726</x:v>
      </x:c>
      <x:c r="Q963" s="54" t="n">
        <x:f>P963-E963</x:f>
        <x:v>89.9671061500726</x:v>
      </x:c>
      <x:c r="R963" s="16" t="str">
        <x:v>Yes</x:v>
      </x:c>
      <x:c r="S963" s="56" t="n">
        <x:v>9815</x:v>
      </x:c>
      <x:c r="T963" s="56" t="n">
        <x:v>10360</x:v>
      </x:c>
      <x:c r="U963" s="40" t="n">
        <x:f>E963*Assumptions!$B$8</x:f>
        <x:v>731.85</x:v>
      </x:c>
      <x:c r="V963" s="40" t="n">
        <x:f>P963*Assumptions!$B$8</x:f>
        <x:v>808.3220402275617</x:v>
      </x:c>
      <x:c r="W963" s="54" t="n">
        <x:f>V963-U963</x:f>
        <x:v>76.4720402275617</x:v>
      </x:c>
      <x:c r="X963" s="58" t="n">
        <x:f>IF(R963="No","",W963*S963)</x:f>
        <x:v>750573.0748335181</x:v>
      </x:c>
      <x:c r="Y963" s="58" t="n">
        <x:f>IF(R963="No","",W963*T963*Assumptions!$B$9)</x:f>
        <x:v>237675.1010272618</x:v>
      </x:c>
      <x:c r="Z963" s="58" t="n">
        <x:f>IF(R963="No","",X963-Y963)</x:f>
        <x:v>512897.9738062563</x:v>
      </x:c>
      <x:c r="AA963" s="58" t="n">
        <x:f>IF(R963="No","",MAX(0,-Z963))</x:f>
        <x:v>0</x:v>
      </x:c>
      <x:c r="AB963" s="52" t="n">
        <x:f>IF(OR(R963="No",U963*S963=0),"",AA963/(U963*S963))</x:f>
        <x:v>0</x:v>
      </x:c>
      <x:c r="AC963" s="54" t="n">
        <x:f>IF(OR(R963="No",S963-T963*Assumptions!$B$9&lt;=0),"",AA963/(Assumptions!$B$8*(S963-T963*Assumptions!$B$9)))</x:f>
        <x:v>0</x:v>
      </x:c>
      <x:c r="AD963" s="52" t="n">
        <x:f>IF(OR(R963="No",U963*S963=0),"",AA963/(U963*S963))</x:f>
        <x:v>0</x:v>
      </x:c>
      <x:c r="AE963" s="50" t="str">
        <x:f>IF(R963="No","No finance data",IF(AB963&gt;=10%,"Severe",IF(AB963&gt;=5%,"High",IF(AB963&gt;=2%,"Moderate","Low"))))</x:f>
        <x:v>Low</x:v>
      </x:c>
      <x:c r="AF963" s="60" t="n">
        <x:v>46.914302</x:v>
      </x:c>
      <x:c r="AG963" s="60" t="n">
        <x:v>-98.698416</x:v>
      </x:c>
      <x:c r="AH963" s="44" t="str">
        <x:v>Undergraduate tuition-contribution proxy only; not an audited total institutional budget.</x:v>
      </x:c>
    </x:row>
    <x:row r="964">
      <x:c r="A964" s="16" t="n">
        <x:v>200217</x:v>
      </x:c>
      <x:c r="B964" s="16" t="str">
        <x:v>University of Mary</x:v>
      </x:c>
      <x:c r="C964" s="16" t="str">
        <x:v>ND</x:v>
      </x:c>
      <x:c r="D964" s="16" t="str">
        <x:v>Private nonprofit</x:v>
      </x:c>
      <x:c r="E964" s="34" t="n">
        <x:v>1875</x:v>
      </x:c>
      <x:c r="F964" s="21" t="n">
        <x:v>0.7879</x:v>
      </x:c>
      <x:c r="G964" s="16" t="str">
        <x:v>Regional</x:v>
      </x:c>
      <x:c r="H964" s="36" t="n">
        <x:f>IF(G964="National",Assumptions!$B$11,IF(G964="Statewide",Assumptions!$B$12,Assumptions!$B$13))</x:f>
        <x:v>0.85</x:v>
      </x:c>
      <x:c r="I964" s="21" t="n">
        <x:v>0.075720736366794</x:v>
      </x:c>
      <x:c r="J964" s="21" t="n">
        <x:v>0.13129558874609248</x:v>
      </x:c>
      <x:c r="K964" s="21" t="n">
        <x:v>0.0061363899502142605</x:v>
      </x:c>
      <x:c r="L964" s="36" t="n">
        <x:f>IF(Assumptions!$B$4=2030,I964,IF(Assumptions!$B$4=2035,J964,K964))</x:f>
        <x:v>0.13129558874609248</x:v>
      </x:c>
      <x:c r="M964" s="36" t="n">
        <x:f>Assumptions!$B$19</x:f>
        <x:v>-0.04739891965741583</x:v>
      </x:c>
      <x:c r="N964" s="52" t="n">
        <x:f>H964*L964+(1-H964)*M964+O964</x:f>
        <x:v>0.10449141248556623</x:v>
      </x:c>
      <x:c r="O964" s="36" t="n">
        <x:f>Assumptions!$B$10</x:f>
        <x:v>0</x:v>
      </x:c>
      <x:c r="P964" s="54" t="n">
        <x:f>E964*(1+N964)</x:f>
        <x:v>2070.9213984104367</x:v>
      </x:c>
      <x:c r="Q964" s="54" t="n">
        <x:f>P964-E964</x:f>
        <x:v>195.92139841043672</x:v>
      </x:c>
      <x:c r="R964" s="16" t="str">
        <x:v>Yes</x:v>
      </x:c>
      <x:c r="S964" s="56" t="n">
        <x:v>17446</x:v>
      </x:c>
      <x:c r="T964" s="56" t="n">
        <x:v>7610</x:v>
      </x:c>
      <x:c r="U964" s="40" t="n">
        <x:f>E964*Assumptions!$B$8</x:f>
        <x:v>1593.75</x:v>
      </x:c>
      <x:c r="V964" s="40" t="n">
        <x:f>P964*Assumptions!$B$8</x:f>
        <x:v>1760.2831886488711</x:v>
      </x:c>
      <x:c r="W964" s="54" t="n">
        <x:f>V964-U964</x:f>
        <x:v>166.53318864887115</x:v>
      </x:c>
      <x:c r="X964" s="58" t="n">
        <x:f>IF(R964="No","",W964*S964)</x:f>
        <x:v>2905338.009168206</x:v>
      </x:c>
      <x:c r="Y964" s="58" t="n">
        <x:f>IF(R964="No","",W964*T964*Assumptions!$B$9)</x:f>
        <x:v>380195.2696853728</x:v>
      </x:c>
      <x:c r="Z964" s="58" t="n">
        <x:f>IF(R964="No","",X964-Y964)</x:f>
        <x:v>2525142.739482833</x:v>
      </x:c>
      <x:c r="AA964" s="58" t="n">
        <x:f>IF(R964="No","",MAX(0,-Z964))</x:f>
        <x:v>0</x:v>
      </x:c>
      <x:c r="AB964" s="52" t="n">
        <x:f>IF(OR(R964="No",U964*S964=0),"",AA964/(U964*S964))</x:f>
        <x:v>0</x:v>
      </x:c>
      <x:c r="AC964" s="54" t="n">
        <x:f>IF(OR(R964="No",S964-T964*Assumptions!$B$9&lt;=0),"",AA964/(Assumptions!$B$8*(S964-T964*Assumptions!$B$9)))</x:f>
        <x:v>0</x:v>
      </x:c>
      <x:c r="AD964" s="52" t="n">
        <x:f>IF(OR(R964="No",U964*S964=0),"",AA964/(U964*S964))</x:f>
        <x:v>0</x:v>
      </x:c>
      <x:c r="AE964" s="50" t="str">
        <x:f>IF(R964="No","No finance data",IF(AB964&gt;=10%,"Severe",IF(AB964&gt;=5%,"High",IF(AB964&gt;=2%,"Moderate","Low"))))</x:f>
        <x:v>Low</x:v>
      </x:c>
      <x:c r="AF964" s="60" t="n">
        <x:v>46.723767</x:v>
      </x:c>
      <x:c r="AG964" s="60" t="n">
        <x:v>-100.75274</x:v>
      </x:c>
      <x:c r="AH964" s="44" t="str">
        <x:v>Undergraduate tuition-contribution proxy only; not an audited total institutional budget.</x:v>
      </x:c>
    </x:row>
    <x:row r="965">
      <x:c r="A965" s="16" t="n">
        <x:v>200280</x:v>
      </x:c>
      <x:c r="B965" s="16" t="str">
        <x:v>University of North Dakota</x:v>
      </x:c>
      <x:c r="C965" s="16" t="str">
        <x:v>ND</x:v>
      </x:c>
      <x:c r="D965" s="16" t="str">
        <x:v>Public</x:v>
      </x:c>
      <x:c r="E965" s="34" t="n">
        <x:v>10809</x:v>
      </x:c>
      <x:c r="F965" s="21" t="n">
        <x:v>0.8903</x:v>
      </x:c>
      <x:c r="G965" s="16" t="str">
        <x:v>Statewide</x:v>
      </x:c>
      <x:c r="H965" s="36" t="n">
        <x:f>IF(G965="National",Assumptions!$B$11,IF(G965="Statewide",Assumptions!$B$12,Assumptions!$B$13))</x:f>
        <x:v>0.6</x:v>
      </x:c>
      <x:c r="I965" s="21" t="n">
        <x:v>0.075720736366794</x:v>
      </x:c>
      <x:c r="J965" s="21" t="n">
        <x:v>0.13129558874609248</x:v>
      </x:c>
      <x:c r="K965" s="21" t="n">
        <x:v>0.0061363899502142605</x:v>
      </x:c>
      <x:c r="L965" s="36" t="n">
        <x:f>IF(Assumptions!$B$4=2030,I965,IF(Assumptions!$B$4=2035,J965,K965))</x:f>
        <x:v>0.13129558874609248</x:v>
      </x:c>
      <x:c r="M965" s="36" t="n">
        <x:f>Assumptions!$B$19</x:f>
        <x:v>-0.04739891965741583</x:v>
      </x:c>
      <x:c r="N965" s="52" t="n">
        <x:f>H965*L965+(1-H965)*M965+O965</x:f>
        <x:v>0.059817785384689154</x:v>
      </x:c>
      <x:c r="O965" s="36" t="n">
        <x:f>Assumptions!$B$10</x:f>
        <x:v>0</x:v>
      </x:c>
      <x:c r="P965" s="54" t="n">
        <x:f>E965*(1+N965)</x:f>
        <x:v>11455.570442223105</x:v>
      </x:c>
      <x:c r="Q965" s="54" t="n">
        <x:f>P965-E965</x:f>
        <x:v>646.5704422231047</x:v>
      </x:c>
      <x:c r="R965" s="16" t="str">
        <x:v>Yes</x:v>
      </x:c>
      <x:c r="S965" s="56" t="n">
        <x:v>15459</x:v>
      </x:c>
      <x:c r="T965" s="56" t="n">
        <x:v>17790</x:v>
      </x:c>
      <x:c r="U965" s="40" t="n">
        <x:f>E965*Assumptions!$B$8</x:f>
        <x:v>9187.65</x:v>
      </x:c>
      <x:c r="V965" s="40" t="n">
        <x:f>P965*Assumptions!$B$8</x:f>
        <x:v>9737.234875889639</x:v>
      </x:c>
      <x:c r="W965" s="54" t="n">
        <x:f>V965-U965</x:f>
        <x:v>549.5848758896391</x:v>
      </x:c>
      <x:c r="X965" s="58" t="n">
        <x:f>IF(R965="No","",W965*S965)</x:f>
        <x:v>8496032.59637793</x:v>
      </x:c>
      <x:c r="Y965" s="58" t="n">
        <x:f>IF(R965="No","",W965*T965*Assumptions!$B$9)</x:f>
        <x:v>2933134.482623004</x:v>
      </x:c>
      <x:c r="Z965" s="58" t="n">
        <x:f>IF(R965="No","",X965-Y965)</x:f>
        <x:v>5562898.113754926</x:v>
      </x:c>
      <x:c r="AA965" s="58" t="n">
        <x:f>IF(R965="No","",MAX(0,-Z965))</x:f>
        <x:v>0</x:v>
      </x:c>
      <x:c r="AB965" s="52" t="n">
        <x:f>IF(OR(R965="No",U965*S965=0),"",AA965/(U965*S965))</x:f>
        <x:v>0</x:v>
      </x:c>
      <x:c r="AC965" s="54" t="n">
        <x:f>IF(OR(R965="No",S965-T965*Assumptions!$B$9&lt;=0),"",AA965/(Assumptions!$B$8*(S965-T965*Assumptions!$B$9)))</x:f>
        <x:v>0</x:v>
      </x:c>
      <x:c r="AD965" s="52" t="n">
        <x:f>IF(OR(R965="No",U965*S965=0),"",AA965/(U965*S965))</x:f>
        <x:v>0</x:v>
      </x:c>
      <x:c r="AE965" s="50" t="str">
        <x:f>IF(R965="No","No finance data",IF(AB965&gt;=10%,"Severe",IF(AB965&gt;=5%,"High",IF(AB965&gt;=2%,"Moderate","Low"))))</x:f>
        <x:v>Low</x:v>
      </x:c>
      <x:c r="AF965" s="60" t="n">
        <x:v>47.921654</x:v>
      </x:c>
      <x:c r="AG965" s="60" t="n">
        <x:v>-97.071738</x:v>
      </x:c>
      <x:c r="AH965" s="44" t="str">
        <x:v>Undergraduate tuition-contribution proxy only; not an audited total institutional budget.</x:v>
      </x:c>
    </x:row>
    <x:row r="966">
      <x:c r="A966" s="16" t="n">
        <x:v>200572</x:v>
      </x:c>
      <x:c r="B966" s="16" t="str">
        <x:v>Valley City State University</x:v>
      </x:c>
      <x:c r="C966" s="16" t="str">
        <x:v>ND</x:v>
      </x:c>
      <x:c r="D966" s="16" t="str">
        <x:v>Public</x:v>
      </x:c>
      <x:c r="E966" s="34" t="n">
        <x:v>974</x:v>
      </x:c>
      <x:c r="F966" s="21" t="n">
        <x:v>0.8145</x:v>
      </x:c>
      <x:c r="G966" s="16" t="str">
        <x:v>Regional</x:v>
      </x:c>
      <x:c r="H966" s="36" t="n">
        <x:f>IF(G966="National",Assumptions!$B$11,IF(G966="Statewide",Assumptions!$B$12,Assumptions!$B$13))</x:f>
        <x:v>0.85</x:v>
      </x:c>
      <x:c r="I966" s="21" t="n">
        <x:v>0.075720736366794</x:v>
      </x:c>
      <x:c r="J966" s="21" t="n">
        <x:v>0.13129558874609248</x:v>
      </x:c>
      <x:c r="K966" s="21" t="n">
        <x:v>0.0061363899502142605</x:v>
      </x:c>
      <x:c r="L966" s="36" t="n">
        <x:f>IF(Assumptions!$B$4=2030,I966,IF(Assumptions!$B$4=2035,J966,K966))</x:f>
        <x:v>0.13129558874609248</x:v>
      </x:c>
      <x:c r="M966" s="36" t="n">
        <x:f>Assumptions!$B$19</x:f>
        <x:v>-0.04739891965741583</x:v>
      </x:c>
      <x:c r="N966" s="52" t="n">
        <x:f>H966*L966+(1-H966)*M966+O966</x:f>
        <x:v>0.10449141248556623</x:v>
      </x:c>
      <x:c r="O966" s="36" t="n">
        <x:f>Assumptions!$B$10</x:f>
        <x:v>0</x:v>
      </x:c>
      <x:c r="P966" s="54" t="n">
        <x:f>E966*(1+N966)</x:f>
        <x:v>1075.7746357609415</x:v>
      </x:c>
      <x:c r="Q966" s="54" t="n">
        <x:f>P966-E966</x:f>
        <x:v>101.77463576094146</x:v>
      </x:c>
      <x:c r="R966" s="16" t="str">
        <x:v>Yes</x:v>
      </x:c>
      <x:c r="S966" s="56" t="n">
        <x:v>6158</x:v>
      </x:c>
      <x:c r="T966" s="56" t="n">
        <x:v>11036</x:v>
      </x:c>
      <x:c r="U966" s="40" t="n">
        <x:f>E966*Assumptions!$B$8</x:f>
        <x:v>827.9</x:v>
      </x:c>
      <x:c r="V966" s="40" t="n">
        <x:f>P966*Assumptions!$B$8</x:f>
        <x:v>914.4084403968002</x:v>
      </x:c>
      <x:c r="W966" s="54" t="n">
        <x:f>V966-U966</x:f>
        <x:v>86.50844039680021</x:v>
      </x:c>
      <x:c r="X966" s="58" t="n">
        <x:f>IF(R966="No","",W966*S966)</x:f>
        <x:v>532718.9759634957</x:v>
      </x:c>
      <x:c r="Y966" s="58" t="n">
        <x:f>IF(R966="No","",W966*T966*Assumptions!$B$9)</x:f>
        <x:v>286412.14446572616</x:v>
      </x:c>
      <x:c r="Z966" s="58" t="n">
        <x:f>IF(R966="No","",X966-Y966)</x:f>
        <x:v>246306.8314977695</x:v>
      </x:c>
      <x:c r="AA966" s="58" t="n">
        <x:f>IF(R966="No","",MAX(0,-Z966))</x:f>
        <x:v>0</x:v>
      </x:c>
      <x:c r="AB966" s="52" t="n">
        <x:f>IF(OR(R966="No",U966*S966=0),"",AA966/(U966*S966))</x:f>
        <x:v>0</x:v>
      </x:c>
      <x:c r="AC966" s="54" t="n">
        <x:f>IF(OR(R966="No",S966-T966*Assumptions!$B$9&lt;=0),"",AA966/(Assumptions!$B$8*(S966-T966*Assumptions!$B$9)))</x:f>
        <x:v>0</x:v>
      </x:c>
      <x:c r="AD966" s="52" t="n">
        <x:f>IF(OR(R966="No",U966*S966=0),"",AA966/(U966*S966))</x:f>
        <x:v>0</x:v>
      </x:c>
      <x:c r="AE966" s="50" t="str">
        <x:f>IF(R966="No","No finance data",IF(AB966&gt;=10%,"Severe",IF(AB966&gt;=5%,"High",IF(AB966&gt;=2%,"Moderate","Low"))))</x:f>
        <x:v>Low</x:v>
      </x:c>
      <x:c r="AF966" s="60" t="n">
        <x:v>46.918517</x:v>
      </x:c>
      <x:c r="AG966" s="60" t="n">
        <x:v>-98.00389</x:v>
      </x:c>
      <x:c r="AH966" s="44" t="str">
        <x:v>Undergraduate tuition-contribution proxy only; not an audited total institutional budget.</x:v>
      </x:c>
    </x:row>
    <x:row r="967">
      <x:c r="A967" s="16" t="n">
        <x:v>180814</x:v>
      </x:c>
      <x:c r="B967" s="16" t="str">
        <x:v>Bellevue University</x:v>
      </x:c>
      <x:c r="C967" s="16" t="str">
        <x:v>NE</x:v>
      </x:c>
      <x:c r="D967" s="16" t="str">
        <x:v>Private nonprofit</x:v>
      </x:c>
      <x:c r="E967" s="34" t="n">
        <x:v>6002</x:v>
      </x:c>
      <x:c r="F967" s="21"/>
      <x:c r="G967" s="16" t="str">
        <x:v>Regional</x:v>
      </x:c>
      <x:c r="H967" s="36" t="n">
        <x:f>IF(G967="National",Assumptions!$B$11,IF(G967="Statewide",Assumptions!$B$12,Assumptions!$B$13))</x:f>
        <x:v>0.85</x:v>
      </x:c>
      <x:c r="I967" s="21" t="n">
        <x:v>-0.02286991997489407</x:v>
      </x:c>
      <x:c r="J967" s="21" t="n">
        <x:v>-0.018947120665306794</x:v>
      </x:c>
      <x:c r="K967" s="21" t="n">
        <x:v>-0.08743919661070143</x:v>
      </x:c>
      <x:c r="L967" s="36" t="n">
        <x:f>IF(Assumptions!$B$4=2030,I967,IF(Assumptions!$B$4=2035,J967,K967))</x:f>
        <x:v>-0.018947120665306794</x:v>
      </x:c>
      <x:c r="M967" s="36" t="n">
        <x:f>Assumptions!$B$19</x:f>
        <x:v>-0.04739891965741583</x:v>
      </x:c>
      <x:c r="N967" s="52" t="n">
        <x:f>H967*L967+(1-H967)*M967+O967</x:f>
        <x:v>-0.02321489051412315</x:v>
      </x:c>
      <x:c r="O967" s="36" t="n">
        <x:f>Assumptions!$B$10</x:f>
        <x:v>0</x:v>
      </x:c>
      <x:c r="P967" s="54" t="n">
        <x:f>E967*(1+N967)</x:f>
        <x:v>5862.6642271342325</x:v>
      </x:c>
      <x:c r="Q967" s="54" t="n">
        <x:f>P967-E967</x:f>
        <x:v>-139.33577286576747</x:v>
      </x:c>
      <x:c r="R967" s="16" t="str">
        <x:v>Yes</x:v>
      </x:c>
      <x:c r="S967" s="56" t="n">
        <x:v>12099</x:v>
      </x:c>
      <x:c r="T967" s="56" t="n">
        <x:v>2807</x:v>
      </x:c>
      <x:c r="U967" s="40" t="n">
        <x:f>E967*Assumptions!$B$8</x:f>
        <x:v>5101.7</x:v>
      </x:c>
      <x:c r="V967" s="40" t="n">
        <x:f>P967*Assumptions!$B$8</x:f>
        <x:v>4983.264593064097</x:v>
      </x:c>
      <x:c r="W967" s="54" t="n">
        <x:f>V967-U967</x:f>
        <x:v>-118.43540693590239</x:v>
      </x:c>
      <x:c r="X967" s="58" t="n">
        <x:f>IF(R967="No","",W967*S967)</x:f>
        <x:v>-1432949.988517483</x:v>
      </x:c>
      <x:c r="Y967" s="58" t="n">
        <x:f>IF(R967="No","",W967*T967*Assumptions!$B$9)</x:f>
        <x:v>-99734.45618072341</x:v>
      </x:c>
      <x:c r="Z967" s="58" t="n">
        <x:f>IF(R967="No","",X967-Y967)</x:f>
        <x:v>-1333215.5323367596</x:v>
      </x:c>
      <x:c r="AA967" s="58" t="n">
        <x:f>IF(R967="No","",MAX(0,-Z967))</x:f>
        <x:v>1333215.5323367596</x:v>
      </x:c>
      <x:c r="AB967" s="52" t="n">
        <x:f>IF(OR(R967="No",U967*S967=0),"",AA967/(U967*S967))</x:f>
        <x:v>0.021599115714392395</x:v>
      </x:c>
      <x:c r="AC967" s="54" t="n">
        <x:f>IF(OR(R967="No",S967-T967*Assumptions!$B$9&lt;=0),"",AA967/(Assumptions!$B$8*(S967-T967*Assumptions!$B$9)))</x:f>
        <x:v>139.33577286576752</x:v>
      </x:c>
      <x:c r="AD967" s="52" t="n">
        <x:f>IF(OR(R967="No",U967*S967=0),"",AA967/(U967*S967))</x:f>
        <x:v>0.021599115714392395</x:v>
      </x:c>
      <x:c r="AE967" s="50" t="str">
        <x:f>IF(R967="No","No finance data",IF(AB967&gt;=10%,"Severe",IF(AB967&gt;=5%,"High",IF(AB967&gt;=2%,"Moderate","Low"))))</x:f>
        <x:v>Moderate</x:v>
      </x:c>
      <x:c r="AF967" s="60" t="n">
        <x:v>41.150225</x:v>
      </x:c>
      <x:c r="AG967" s="60" t="n">
        <x:v>-95.91764</x:v>
      </x:c>
      <x:c r="AH967" s="44" t="str">
        <x:v>Undergraduate tuition-contribution proxy only; not an audited total institutional budget.</x:v>
      </x:c>
    </x:row>
    <x:row r="968">
      <x:c r="A968" s="16" t="n">
        <x:v>180878</x:v>
      </x:c>
      <x:c r="B968" s="16" t="str">
        <x:v>Bryan College of Health Sciences</x:v>
      </x:c>
      <x:c r="C968" s="16" t="str">
        <x:v>NE</x:v>
      </x:c>
      <x:c r="D968" s="16" t="str">
        <x:v>Private nonprofit</x:v>
      </x:c>
      <x:c r="E968" s="34" t="n">
        <x:v>602</x:v>
      </x:c>
      <x:c r="F968" s="21" t="n">
        <x:v>0.9091</x:v>
      </x:c>
      <x:c r="G968" s="16" t="str">
        <x:v>Regional</x:v>
      </x:c>
      <x:c r="H968" s="36" t="n">
        <x:f>IF(G968="National",Assumptions!$B$11,IF(G968="Statewide",Assumptions!$B$12,Assumptions!$B$13))</x:f>
        <x:v>0.85</x:v>
      </x:c>
      <x:c r="I968" s="21" t="n">
        <x:v>-0.02286991997489407</x:v>
      </x:c>
      <x:c r="J968" s="21" t="n">
        <x:v>-0.018947120665306794</x:v>
      </x:c>
      <x:c r="K968" s="21" t="n">
        <x:v>-0.08743919661070143</x:v>
      </x:c>
      <x:c r="L968" s="36" t="n">
        <x:f>IF(Assumptions!$B$4=2030,I968,IF(Assumptions!$B$4=2035,J968,K968))</x:f>
        <x:v>-0.018947120665306794</x:v>
      </x:c>
      <x:c r="M968" s="36" t="n">
        <x:f>Assumptions!$B$19</x:f>
        <x:v>-0.04739891965741583</x:v>
      </x:c>
      <x:c r="N968" s="52" t="n">
        <x:f>H968*L968+(1-H968)*M968+O968</x:f>
        <x:v>-0.02321489051412315</x:v>
      </x:c>
      <x:c r="O968" s="36" t="n">
        <x:f>Assumptions!$B$10</x:f>
        <x:v>0</x:v>
      </x:c>
      <x:c r="P968" s="54" t="n">
        <x:f>E968*(1+N968)</x:f>
        <x:v>588.0246359104979</x:v>
      </x:c>
      <x:c r="Q968" s="54" t="n">
        <x:f>P968-E968</x:f>
        <x:v>-13.975364089502136</x:v>
      </x:c>
      <x:c r="R968" s="16" t="str">
        <x:v>Yes</x:v>
      </x:c>
      <x:c r="S968" s="56" t="n">
        <x:v>19018</x:v>
      </x:c>
      <x:c r="T968" s="56" t="n">
        <x:v>9971</x:v>
      </x:c>
      <x:c r="U968" s="40" t="n">
        <x:f>E968*Assumptions!$B$8</x:f>
        <x:v>511.7</x:v>
      </x:c>
      <x:c r="V968" s="40" t="n">
        <x:f>P968*Assumptions!$B$8</x:f>
        <x:v>499.8209405239232</x:v>
      </x:c>
      <x:c r="W968" s="54" t="n">
        <x:f>V968-U968</x:f>
        <x:v>-11.879059476076804</x:v>
      </x:c>
      <x:c r="X968" s="58" t="n">
        <x:f>IF(R968="No","",W968*S968)</x:f>
        <x:v>-225915.95311602866</x:v>
      </x:c>
      <x:c r="Y968" s="58" t="n">
        <x:f>IF(R968="No","",W968*T968*Assumptions!$B$9)</x:f>
        <x:v>-35533.830610788544</x:v>
      </x:c>
      <x:c r="Z968" s="58" t="n">
        <x:f>IF(R968="No","",X968-Y968)</x:f>
        <x:v>-190382.1225052401</x:v>
      </x:c>
      <x:c r="AA968" s="58" t="n">
        <x:f>IF(R968="No","",MAX(0,-Z968))</x:f>
        <x:v>190382.1225052401</x:v>
      </x:c>
      <x:c r="AB968" s="52" t="n">
        <x:f>IF(OR(R968="No",U968*S968=0),"",AA968/(U968*S968))</x:f>
        <x:v>0.01956347070158256</x:v>
      </x:c>
      <x:c r="AC968" s="54" t="n">
        <x:f>IF(OR(R968="No",S968-T968*Assumptions!$B$9&lt;=0),"",AA968/(Assumptions!$B$8*(S968-T968*Assumptions!$B$9)))</x:f>
        <x:v>13.975364089502122</x:v>
      </x:c>
      <x:c r="AD968" s="52" t="n">
        <x:f>IF(OR(R968="No",U968*S968=0),"",AA968/(U968*S968))</x:f>
        <x:v>0.01956347070158256</x:v>
      </x:c>
      <x:c r="AE968" s="50" t="str">
        <x:f>IF(R968="No","No finance data",IF(AB968&gt;=10%,"Severe",IF(AB968&gt;=5%,"High",IF(AB968&gt;=2%,"Moderate","Low"))))</x:f>
        <x:v>Low</x:v>
      </x:c>
      <x:c r="AF968" s="60" t="n">
        <x:v>40.796768</x:v>
      </x:c>
      <x:c r="AG968" s="60" t="n">
        <x:v>-96.651532</x:v>
      </x:c>
      <x:c r="AH968" s="44" t="str">
        <x:v>Undergraduate tuition-contribution proxy only; not an audited total institutional budget.</x:v>
      </x:c>
    </x:row>
    <x:row r="969">
      <x:c r="A969" s="16" t="n">
        <x:v>180948</x:v>
      </x:c>
      <x:c r="B969" s="16" t="str">
        <x:v>Chadron State College</x:v>
      </x:c>
      <x:c r="C969" s="16" t="str">
        <x:v>NE</x:v>
      </x:c>
      <x:c r="D969" s="16" t="str">
        <x:v>Public</x:v>
      </x:c>
      <x:c r="E969" s="34" t="n">
        <x:v>2099</x:v>
      </x:c>
      <x:c r="F969" s="21"/>
      <x:c r="G969" s="16" t="str">
        <x:v>Regional</x:v>
      </x:c>
      <x:c r="H969" s="36" t="n">
        <x:f>IF(G969="National",Assumptions!$B$11,IF(G969="Statewide",Assumptions!$B$12,Assumptions!$B$13))</x:f>
        <x:v>0.85</x:v>
      </x:c>
      <x:c r="I969" s="21" t="n">
        <x:v>-0.02286991997489407</x:v>
      </x:c>
      <x:c r="J969" s="21" t="n">
        <x:v>-0.018947120665306794</x:v>
      </x:c>
      <x:c r="K969" s="21" t="n">
        <x:v>-0.08743919661070143</x:v>
      </x:c>
      <x:c r="L969" s="36" t="n">
        <x:f>IF(Assumptions!$B$4=2030,I969,IF(Assumptions!$B$4=2035,J969,K969))</x:f>
        <x:v>-0.018947120665306794</x:v>
      </x:c>
      <x:c r="M969" s="36" t="n">
        <x:f>Assumptions!$B$19</x:f>
        <x:v>-0.04739891965741583</x:v>
      </x:c>
      <x:c r="N969" s="52" t="n">
        <x:f>H969*L969+(1-H969)*M969+O969</x:f>
        <x:v>-0.02321489051412315</x:v>
      </x:c>
      <x:c r="O969" s="36" t="n">
        <x:f>Assumptions!$B$10</x:f>
        <x:v>0</x:v>
      </x:c>
      <x:c r="P969" s="54" t="n">
        <x:f>E969*(1+N969)</x:f>
        <x:v>2050.2719448108555</x:v>
      </x:c>
      <x:c r="Q969" s="54" t="n">
        <x:f>P969-E969</x:f>
        <x:v>-48.72805518914447</x:v>
      </x:c>
      <x:c r="R969" s="16" t="str">
        <x:v>Yes</x:v>
      </x:c>
      <x:c r="S969" s="56" t="n">
        <x:v>5062</x:v>
      </x:c>
      <x:c r="T969" s="56" t="n">
        <x:v>6401</x:v>
      </x:c>
      <x:c r="U969" s="40" t="n">
        <x:f>E969*Assumptions!$B$8</x:f>
        <x:v>1784.1499999999999</x:v>
      </x:c>
      <x:c r="V969" s="40" t="n">
        <x:f>P969*Assumptions!$B$8</x:f>
        <x:v>1742.731153089227</x:v>
      </x:c>
      <x:c r="W969" s="54" t="n">
        <x:f>V969-U969</x:f>
        <x:v>-41.4188469107728</x:v>
      </x:c>
      <x:c r="X969" s="58" t="n">
        <x:f>IF(R969="No","",W969*S969)</x:f>
        <x:v>-209662.20306233192</x:v>
      </x:c>
      <x:c r="Y969" s="58" t="n">
        <x:f>IF(R969="No","",W969*T969*Assumptions!$B$9)</x:f>
        <x:v>-79536.611722757</x:v>
      </x:c>
      <x:c r="Z969" s="58" t="n">
        <x:f>IF(R969="No","",X969-Y969)</x:f>
        <x:v>-130125.59133957491</x:v>
      </x:c>
      <x:c r="AA969" s="58" t="n">
        <x:f>IF(R969="No","",MAX(0,-Z969))</x:f>
        <x:v>130125.59133957491</x:v>
      </x:c>
      <x:c r="AB969" s="52" t="n">
        <x:f>IF(OR(R969="No",U969*S969=0),"",AA969/(U969*S969))</x:f>
        <x:v>0.014408182838447388</x:v>
      </x:c>
      <x:c r="AC969" s="54" t="n">
        <x:f>IF(OR(R969="No",S969-T969*Assumptions!$B$9&lt;=0),"",AA969/(Assumptions!$B$8*(S969-T969*Assumptions!$B$9)))</x:f>
        <x:v>48.72805518914448</x:v>
      </x:c>
      <x:c r="AD969" s="52" t="n">
        <x:f>IF(OR(R969="No",U969*S969=0),"",AA969/(U969*S969))</x:f>
        <x:v>0.014408182838447388</x:v>
      </x:c>
      <x:c r="AE969" s="50" t="str">
        <x:f>IF(R969="No","No finance data",IF(AB969&gt;=10%,"Severe",IF(AB969&gt;=5%,"High",IF(AB969&gt;=2%,"Moderate","Low"))))</x:f>
        <x:v>Low</x:v>
      </x:c>
      <x:c r="AF969" s="60" t="n">
        <x:v>42.8199</x:v>
      </x:c>
      <x:c r="AG969" s="60" t="n">
        <x:v>-103.001615</x:v>
      </x:c>
      <x:c r="AH969" s="44" t="str">
        <x:v>Undergraduate tuition-contribution proxy only; not an audited total institutional budget.</x:v>
      </x:c>
    </x:row>
    <x:row r="970">
      <x:c r="A970" s="16" t="n">
        <x:v>180832</x:v>
      </x:c>
      <x:c r="B970" s="16" t="str">
        <x:v>Clarkson College</x:v>
      </x:c>
      <x:c r="C970" s="16" t="str">
        <x:v>NE</x:v>
      </x:c>
      <x:c r="D970" s="16" t="str">
        <x:v>Private nonprofit</x:v>
      </x:c>
      <x:c r="E970" s="34" t="n">
        <x:v>704</x:v>
      </x:c>
      <x:c r="F970" s="21" t="n">
        <x:v>0.96</x:v>
      </x:c>
      <x:c r="G970" s="16" t="str">
        <x:v>Regional</x:v>
      </x:c>
      <x:c r="H970" s="36" t="n">
        <x:f>IF(G970="National",Assumptions!$B$11,IF(G970="Statewide",Assumptions!$B$12,Assumptions!$B$13))</x:f>
        <x:v>0.85</x:v>
      </x:c>
      <x:c r="I970" s="21" t="n">
        <x:v>-0.02286991997489407</x:v>
      </x:c>
      <x:c r="J970" s="21" t="n">
        <x:v>-0.018947120665306794</x:v>
      </x:c>
      <x:c r="K970" s="21" t="n">
        <x:v>-0.08743919661070143</x:v>
      </x:c>
      <x:c r="L970" s="36" t="n">
        <x:f>IF(Assumptions!$B$4=2030,I970,IF(Assumptions!$B$4=2035,J970,K970))</x:f>
        <x:v>-0.018947120665306794</x:v>
      </x:c>
      <x:c r="M970" s="36" t="n">
        <x:f>Assumptions!$B$19</x:f>
        <x:v>-0.04739891965741583</x:v>
      </x:c>
      <x:c r="N970" s="52" t="n">
        <x:f>H970*L970+(1-H970)*M970+O970</x:f>
        <x:v>-0.02321489051412315</x:v>
      </x:c>
      <x:c r="O970" s="36" t="n">
        <x:f>Assumptions!$B$10</x:f>
        <x:v>0</x:v>
      </x:c>
      <x:c r="P970" s="54" t="n">
        <x:f>E970*(1+N970)</x:f>
        <x:v>687.6567170780572</x:v>
      </x:c>
      <x:c r="Q970" s="54" t="n">
        <x:f>P970-E970</x:f>
        <x:v>-16.343282921942773</x:v>
      </x:c>
      <x:c r="R970" s="16" t="str">
        <x:v>Yes</x:v>
      </x:c>
      <x:c r="S970" s="56" t="n">
        <x:v>14431</x:v>
      </x:c>
      <x:c r="T970" s="56" t="n">
        <x:v>12683</x:v>
      </x:c>
      <x:c r="U970" s="40" t="n">
        <x:f>E970*Assumptions!$B$8</x:f>
        <x:v>598.4</x:v>
      </x:c>
      <x:c r="V970" s="40" t="n">
        <x:f>P970*Assumptions!$B$8</x:f>
        <x:v>584.5082095163486</x:v>
      </x:c>
      <x:c r="W970" s="54" t="n">
        <x:f>V970-U970</x:f>
        <x:v>-13.891790483651334</x:v>
      </x:c>
      <x:c r="X970" s="58" t="n">
        <x:f>IF(R970="No","",W970*S970)</x:f>
        <x:v>-200472.42846957242</x:v>
      </x:c>
      <x:c r="Y970" s="58" t="n">
        <x:f>IF(R970="No","",W970*T970*Assumptions!$B$9)</x:f>
        <x:v>-52856.87361124496</x:v>
      </x:c>
      <x:c r="Z970" s="58" t="n">
        <x:f>IF(R970="No","",X970-Y970)</x:f>
        <x:v>-147615.55485832746</x:v>
      </x:c>
      <x:c r="AA970" s="58" t="n">
        <x:f>IF(R970="No","",MAX(0,-Z970))</x:f>
        <x:v>147615.55485832746</x:v>
      </x:c>
      <x:c r="AB970" s="52" t="n">
        <x:f>IF(OR(R970="No",U970*S970=0),"",AA970/(U970*S970))</x:f>
        <x:v>0.01709401622147632</x:v>
      </x:c>
      <x:c r="AC970" s="54" t="n">
        <x:f>IF(OR(R970="No",S970-T970*Assumptions!$B$9&lt;=0),"",AA970/(Assumptions!$B$8*(S970-T970*Assumptions!$B$9)))</x:f>
        <x:v>16.34328292194275</x:v>
      </x:c>
      <x:c r="AD970" s="52" t="n">
        <x:f>IF(OR(R970="No",U970*S970=0),"",AA970/(U970*S970))</x:f>
        <x:v>0.01709401622147632</x:v>
      </x:c>
      <x:c r="AE970" s="50" t="str">
        <x:f>IF(R970="No","No finance data",IF(AB970&gt;=10%,"Severe",IF(AB970&gt;=5%,"High",IF(AB970&gt;=2%,"Moderate","Low"))))</x:f>
        <x:v>Low</x:v>
      </x:c>
      <x:c r="AF970" s="60" t="n">
        <x:v>41.259165</x:v>
      </x:c>
      <x:c r="AG970" s="60" t="n">
        <x:v>-95.974847</x:v>
      </x:c>
      <x:c r="AH970" s="44" t="str">
        <x:v>Undergraduate tuition-contribution proxy only; not an audited total institutional budget.</x:v>
      </x:c>
    </x:row>
    <x:row r="971">
      <x:c r="A971" s="16" t="n">
        <x:v>181604</x:v>
      </x:c>
      <x:c r="B971" s="16" t="str">
        <x:v>College of Saint Mary</x:v>
      </x:c>
      <x:c r="C971" s="16" t="str">
        <x:v>NE</x:v>
      </x:c>
      <x:c r="D971" s="16" t="str">
        <x:v>Private nonprofit</x:v>
      </x:c>
      <x:c r="E971" s="34" t="n">
        <x:v>705</x:v>
      </x:c>
      <x:c r="F971" s="21" t="n">
        <x:v>0.3819</x:v>
      </x:c>
      <x:c r="G971" s="16" t="str">
        <x:v>Regional</x:v>
      </x:c>
      <x:c r="H971" s="36" t="n">
        <x:f>IF(G971="National",Assumptions!$B$11,IF(G971="Statewide",Assumptions!$B$12,Assumptions!$B$13))</x:f>
        <x:v>0.85</x:v>
      </x:c>
      <x:c r="I971" s="21" t="n">
        <x:v>-0.02286991997489407</x:v>
      </x:c>
      <x:c r="J971" s="21" t="n">
        <x:v>-0.018947120665306794</x:v>
      </x:c>
      <x:c r="K971" s="21" t="n">
        <x:v>-0.08743919661070143</x:v>
      </x:c>
      <x:c r="L971" s="36" t="n">
        <x:f>IF(Assumptions!$B$4=2030,I971,IF(Assumptions!$B$4=2035,J971,K971))</x:f>
        <x:v>-0.018947120665306794</x:v>
      </x:c>
      <x:c r="M971" s="36" t="n">
        <x:f>Assumptions!$B$19</x:f>
        <x:v>-0.04739891965741583</x:v>
      </x:c>
      <x:c r="N971" s="52" t="n">
        <x:f>H971*L971+(1-H971)*M971+O971</x:f>
        <x:v>-0.02321489051412315</x:v>
      </x:c>
      <x:c r="O971" s="36" t="n">
        <x:f>Assumptions!$B$10</x:f>
        <x:v>0</x:v>
      </x:c>
      <x:c r="P971" s="54" t="n">
        <x:f>E971*(1+N971)</x:f>
        <x:v>688.6335021875432</x:v>
      </x:c>
      <x:c r="Q971" s="54" t="n">
        <x:f>P971-E971</x:f>
        <x:v>-16.366497812456828</x:v>
      </x:c>
      <x:c r="R971" s="16" t="str">
        <x:v>Yes</x:v>
      </x:c>
      <x:c r="S971" s="56" t="n">
        <x:v>15395</x:v>
      </x:c>
      <x:c r="T971" s="56" t="n">
        <x:v>9761</x:v>
      </x:c>
      <x:c r="U971" s="40" t="n">
        <x:f>E971*Assumptions!$B$8</x:f>
        <x:v>599.25</x:v>
      </x:c>
      <x:c r="V971" s="40" t="n">
        <x:f>P971*Assumptions!$B$8</x:f>
        <x:v>585.3384768594117</x:v>
      </x:c>
      <x:c r="W971" s="54" t="n">
        <x:f>V971-U971</x:f>
        <x:v>-13.911523140588315</x:v>
      </x:c>
      <x:c r="X971" s="58" t="n">
        <x:f>IF(R971="No","",W971*S971)</x:f>
        <x:v>-214167.89874935712</x:v>
      </x:c>
      <x:c r="Y971" s="58" t="n">
        <x:f>IF(R971="No","",W971*T971*Assumptions!$B$9)</x:f>
        <x:v>-40737.113212584765</x:v>
      </x:c>
      <x:c r="Z971" s="58" t="n">
        <x:f>IF(R971="No","",X971-Y971)</x:f>
        <x:v>-173430.78553677234</x:v>
      </x:c>
      <x:c r="AA971" s="58" t="n">
        <x:f>IF(R971="No","",MAX(0,-Z971))</x:f>
        <x:v>173430.78553677234</x:v>
      </x:c>
      <x:c r="AB971" s="52" t="n">
        <x:f>IF(OR(R971="No",U971*S971=0),"",AA971/(U971*S971))</x:f>
        <x:v>0.018799160478884015</x:v>
      </x:c>
      <x:c r="AC971" s="54" t="n">
        <x:f>IF(OR(R971="No",S971-T971*Assumptions!$B$9&lt;=0),"",AA971/(Assumptions!$B$8*(S971-T971*Assumptions!$B$9)))</x:f>
        <x:v>16.366497812456842</x:v>
      </x:c>
      <x:c r="AD971" s="52" t="n">
        <x:f>IF(OR(R971="No",U971*S971=0),"",AA971/(U971*S971))</x:f>
        <x:v>0.018799160478884015</x:v>
      </x:c>
      <x:c r="AE971" s="50" t="str">
        <x:f>IF(R971="No","No finance data",IF(AB971&gt;=10%,"Severe",IF(AB971&gt;=5%,"High",IF(AB971&gt;=2%,"Moderate","Low"))))</x:f>
        <x:v>Low</x:v>
      </x:c>
      <x:c r="AF971" s="60" t="n">
        <x:v>41.240028</x:v>
      </x:c>
      <x:c r="AG971" s="60" t="n">
        <x:v>-96.021425</x:v>
      </x:c>
      <x:c r="AH971" s="44" t="str">
        <x:v>Undergraduate tuition-contribution proxy only; not an audited total institutional budget.</x:v>
      </x:c>
    </x:row>
    <x:row r="972">
      <x:c r="A972" s="16" t="n">
        <x:v>180984</x:v>
      </x:c>
      <x:c r="B972" s="16" t="str">
        <x:v>Concordia University-Nebraska</x:v>
      </x:c>
      <x:c r="C972" s="16" t="str">
        <x:v>NE</x:v>
      </x:c>
      <x:c r="D972" s="16" t="str">
        <x:v>Private nonprofit</x:v>
      </x:c>
      <x:c r="E972" s="34" t="n">
        <x:v>1255</x:v>
      </x:c>
      <x:c r="F972" s="21" t="n">
        <x:v>0.8475</x:v>
      </x:c>
      <x:c r="G972" s="16" t="str">
        <x:v>Regional</x:v>
      </x:c>
      <x:c r="H972" s="36" t="n">
        <x:f>IF(G972="National",Assumptions!$B$11,IF(G972="Statewide",Assumptions!$B$12,Assumptions!$B$13))</x:f>
        <x:v>0.85</x:v>
      </x:c>
      <x:c r="I972" s="21" t="n">
        <x:v>-0.02286991997489407</x:v>
      </x:c>
      <x:c r="J972" s="21" t="n">
        <x:v>-0.018947120665306794</x:v>
      </x:c>
      <x:c r="K972" s="21" t="n">
        <x:v>-0.08743919661070143</x:v>
      </x:c>
      <x:c r="L972" s="36" t="n">
        <x:f>IF(Assumptions!$B$4=2030,I972,IF(Assumptions!$B$4=2035,J972,K972))</x:f>
        <x:v>-0.018947120665306794</x:v>
      </x:c>
      <x:c r="M972" s="36" t="n">
        <x:f>Assumptions!$B$19</x:f>
        <x:v>-0.04739891965741583</x:v>
      </x:c>
      <x:c r="N972" s="52" t="n">
        <x:f>H972*L972+(1-H972)*M972+O972</x:f>
        <x:v>-0.02321489051412315</x:v>
      </x:c>
      <x:c r="O972" s="36" t="n">
        <x:f>Assumptions!$B$10</x:f>
        <x:v>0</x:v>
      </x:c>
      <x:c r="P972" s="54" t="n">
        <x:f>E972*(1+N972)</x:f>
        <x:v>1225.8653124047755</x:v>
      </x:c>
      <x:c r="Q972" s="54" t="n">
        <x:f>P972-E972</x:f>
        <x:v>-29.134687595224477</x:v>
      </x:c>
      <x:c r="R972" s="16" t="str">
        <x:v>Yes</x:v>
      </x:c>
      <x:c r="S972" s="56" t="n">
        <x:v>11772</x:v>
      </x:c>
      <x:c r="T972" s="56" t="n">
        <x:v>4323</x:v>
      </x:c>
      <x:c r="U972" s="40" t="n">
        <x:f>E972*Assumptions!$B$8</x:f>
        <x:v>1066.75</x:v>
      </x:c>
      <x:c r="V972" s="40" t="n">
        <x:f>P972*Assumptions!$B$8</x:f>
        <x:v>1041.9855155440591</x:v>
      </x:c>
      <x:c r="W972" s="54" t="n">
        <x:f>V972-U972</x:f>
        <x:v>-24.764484455940874</x:v>
      </x:c>
      <x:c r="X972" s="58" t="n">
        <x:f>IF(R972="No","",W972*S972)</x:f>
        <x:v>-291527.511015336</x:v>
      </x:c>
      <x:c r="Y972" s="58" t="n">
        <x:f>IF(R972="No","",W972*T972*Assumptions!$B$9)</x:f>
        <x:v>-32117.059890909717</x:v>
      </x:c>
      <x:c r="Z972" s="58" t="n">
        <x:f>IF(R972="No","",X972-Y972)</x:f>
        <x:v>-259410.45112442627</x:v>
      </x:c>
      <x:c r="AA972" s="58" t="n">
        <x:f>IF(R972="No","",MAX(0,-Z972))</x:f>
        <x:v>259410.45112442627</x:v>
      </x:c>
      <x:c r="AB972" s="52" t="n">
        <x:f>IF(OR(R972="No",U972*S972=0),"",AA972/(U972*S972))</x:f>
        <x:v>0.0206573479123761</x:v>
      </x:c>
      <x:c r="AC972" s="54" t="n">
        <x:f>IF(OR(R972="No",S972-T972*Assumptions!$B$9&lt;=0),"",AA972/(Assumptions!$B$8*(S972-T972*Assumptions!$B$9)))</x:f>
        <x:v>29.134687595224555</x:v>
      </x:c>
      <x:c r="AD972" s="52" t="n">
        <x:f>IF(OR(R972="No",U972*S972=0),"",AA972/(U972*S972))</x:f>
        <x:v>0.0206573479123761</x:v>
      </x:c>
      <x:c r="AE972" s="50" t="str">
        <x:f>IF(R972="No","No finance data",IF(AB972&gt;=10%,"Severe",IF(AB972&gt;=5%,"High",IF(AB972&gt;=2%,"Moderate","Low"))))</x:f>
        <x:v>Moderate</x:v>
      </x:c>
      <x:c r="AF972" s="60" t="n">
        <x:v>40.914853</x:v>
      </x:c>
      <x:c r="AG972" s="60" t="n">
        <x:v>-97.089054</x:v>
      </x:c>
      <x:c r="AH972" s="44" t="str">
        <x:v>Undergraduate tuition-contribution proxy only; not an audited total institutional budget.</x:v>
      </x:c>
    </x:row>
    <x:row r="973">
      <x:c r="A973" s="16" t="n">
        <x:v>181002</x:v>
      </x:c>
      <x:c r="B973" s="16" t="str">
        <x:v>Creighton University</x:v>
      </x:c>
      <x:c r="C973" s="16" t="str">
        <x:v>NE</x:v>
      </x:c>
      <x:c r="D973" s="16" t="str">
        <x:v>Private nonprofit</x:v>
      </x:c>
      <x:c r="E973" s="34" t="n">
        <x:v>4080</x:v>
      </x:c>
      <x:c r="F973" s="21" t="n">
        <x:v>0.7775</x:v>
      </x:c>
      <x:c r="G973" s="16" t="str">
        <x:v>Regional</x:v>
      </x:c>
      <x:c r="H973" s="36" t="n">
        <x:f>IF(G973="National",Assumptions!$B$11,IF(G973="Statewide",Assumptions!$B$12,Assumptions!$B$13))</x:f>
        <x:v>0.85</x:v>
      </x:c>
      <x:c r="I973" s="21" t="n">
        <x:v>-0.02286991997489407</x:v>
      </x:c>
      <x:c r="J973" s="21" t="n">
        <x:v>-0.018947120665306794</x:v>
      </x:c>
      <x:c r="K973" s="21" t="n">
        <x:v>-0.08743919661070143</x:v>
      </x:c>
      <x:c r="L973" s="36" t="n">
        <x:f>IF(Assumptions!$B$4=2030,I973,IF(Assumptions!$B$4=2035,J973,K973))</x:f>
        <x:v>-0.018947120665306794</x:v>
      </x:c>
      <x:c r="M973" s="36" t="n">
        <x:f>Assumptions!$B$19</x:f>
        <x:v>-0.04739891965741583</x:v>
      </x:c>
      <x:c r="N973" s="52" t="n">
        <x:f>H973*L973+(1-H973)*M973+O973</x:f>
        <x:v>-0.02321489051412315</x:v>
      </x:c>
      <x:c r="O973" s="36" t="n">
        <x:f>Assumptions!$B$10</x:f>
        <x:v>0</x:v>
      </x:c>
      <x:c r="P973" s="54" t="n">
        <x:f>E973*(1+N973)</x:f>
        <x:v>3985.2832467023773</x:v>
      </x:c>
      <x:c r="Q973" s="54" t="n">
        <x:f>P973-E973</x:f>
        <x:v>-94.71675329762274</x:v>
      </x:c>
      <x:c r="R973" s="16" t="str">
        <x:v>Yes</x:v>
      </x:c>
      <x:c r="S973" s="56" t="n">
        <x:v>30015</x:v>
      </x:c>
      <x:c r="T973" s="56" t="n">
        <x:v>15788</x:v>
      </x:c>
      <x:c r="U973" s="40" t="n">
        <x:f>E973*Assumptions!$B$8</x:f>
        <x:v>3468</x:v>
      </x:c>
      <x:c r="V973" s="40" t="n">
        <x:f>P973*Assumptions!$B$8</x:f>
        <x:v>3387.4907596970206</x:v>
      </x:c>
      <x:c r="W973" s="54" t="n">
        <x:f>V973-U973</x:f>
        <x:v>-80.50924030297938</x:v>
      </x:c>
      <x:c r="X973" s="58" t="n">
        <x:f>IF(R973="No","",W973*S973)</x:f>
        <x:v>-2416484.847693926</x:v>
      </x:c>
      <x:c r="Y973" s="58" t="n">
        <x:f>IF(R973="No","",W973*T973*Assumptions!$B$9)</x:f>
        <x:v>-381323.9657710315</x:v>
      </x:c>
      <x:c r="Z973" s="58" t="n">
        <x:f>IF(R973="No","",X973-Y973)</x:f>
        <x:v>-2035160.8819228946</x:v>
      </x:c>
      <x:c r="AA973" s="58" t="n">
        <x:f>IF(R973="No","",MAX(0,-Z973))</x:f>
        <x:v>2035160.8819228946</x:v>
      </x:c>
      <x:c r="AB973" s="52" t="n">
        <x:f>IF(OR(R973="No",U973*S973=0),"",AA973/(U973*S973))</x:f>
        <x:v>0.019551555267376834</x:v>
      </x:c>
      <x:c r="AC973" s="54" t="n">
        <x:f>IF(OR(R973="No",S973-T973*Assumptions!$B$9&lt;=0),"",AA973/(Assumptions!$B$8*(S973-T973*Assumptions!$B$9)))</x:f>
        <x:v>94.71675329762282</x:v>
      </x:c>
      <x:c r="AD973" s="52" t="n">
        <x:f>IF(OR(R973="No",U973*S973=0),"",AA973/(U973*S973))</x:f>
        <x:v>0.019551555267376834</x:v>
      </x:c>
      <x:c r="AE973" s="50" t="str">
        <x:f>IF(R973="No","No finance data",IF(AB973&gt;=10%,"Severe",IF(AB973&gt;=5%,"High",IF(AB973&gt;=2%,"Moderate","Low"))))</x:f>
        <x:v>Low</x:v>
      </x:c>
      <x:c r="AF973" s="60" t="n">
        <x:v>41.265361</x:v>
      </x:c>
      <x:c r="AG973" s="60" t="n">
        <x:v>-95.947811</x:v>
      </x:c>
      <x:c r="AH973" s="44" t="str">
        <x:v>Undergraduate tuition-contribution proxy only; not an audited total institutional budget.</x:v>
      </x:c>
    </x:row>
    <x:row r="974">
      <x:c r="A974" s="16" t="n">
        <x:v>181020</x:v>
      </x:c>
      <x:c r="B974" s="16" t="str">
        <x:v>Doane University-Arts &amp; Sciences</x:v>
      </x:c>
      <x:c r="C974" s="16" t="str">
        <x:v>NE</x:v>
      </x:c>
      <x:c r="D974" s="16" t="str">
        <x:v>Private nonprofit</x:v>
      </x:c>
      <x:c r="E974" s="34" t="n">
        <x:v>1053</x:v>
      </x:c>
      <x:c r="F974" s="21" t="n">
        <x:v>0.772</x:v>
      </x:c>
      <x:c r="G974" s="16" t="str">
        <x:v>Regional</x:v>
      </x:c>
      <x:c r="H974" s="36" t="n">
        <x:f>IF(G974="National",Assumptions!$B$11,IF(G974="Statewide",Assumptions!$B$12,Assumptions!$B$13))</x:f>
        <x:v>0.85</x:v>
      </x:c>
      <x:c r="I974" s="21" t="n">
        <x:v>-0.02286991997489407</x:v>
      </x:c>
      <x:c r="J974" s="21" t="n">
        <x:v>-0.018947120665306794</x:v>
      </x:c>
      <x:c r="K974" s="21" t="n">
        <x:v>-0.08743919661070143</x:v>
      </x:c>
      <x:c r="L974" s="36" t="n">
        <x:f>IF(Assumptions!$B$4=2030,I974,IF(Assumptions!$B$4=2035,J974,K974))</x:f>
        <x:v>-0.018947120665306794</x:v>
      </x:c>
      <x:c r="M974" s="36" t="n">
        <x:f>Assumptions!$B$19</x:f>
        <x:v>-0.04739891965741583</x:v>
      </x:c>
      <x:c r="N974" s="52" t="n">
        <x:f>H974*L974+(1-H974)*M974+O974</x:f>
        <x:v>-0.02321489051412315</x:v>
      </x:c>
      <x:c r="O974" s="36" t="n">
        <x:f>Assumptions!$B$10</x:f>
        <x:v>0</x:v>
      </x:c>
      <x:c r="P974" s="54" t="n">
        <x:f>E974*(1+N974)</x:f>
        <x:v>1028.5547202886282</x:v>
      </x:c>
      <x:c r="Q974" s="54" t="n">
        <x:f>P974-E974</x:f>
        <x:v>-24.445279711371768</x:v>
      </x:c>
      <x:c r="R974" s="16" t="str">
        <x:v>Yes</x:v>
      </x:c>
      <x:c r="S974" s="56" t="n">
        <x:v>14295</x:v>
      </x:c>
      <x:c r="T974" s="56" t="n">
        <x:v>9973</x:v>
      </x:c>
      <x:c r="U974" s="40" t="n">
        <x:f>E974*Assumptions!$B$8</x:f>
        <x:v>895.05</x:v>
      </x:c>
      <x:c r="V974" s="40" t="n">
        <x:f>P974*Assumptions!$B$8</x:f>
        <x:v>874.271512245334</x:v>
      </x:c>
      <x:c r="W974" s="54" t="n">
        <x:f>V974-U974</x:f>
        <x:v>-20.778487754666003</x:v>
      </x:c>
      <x:c r="X974" s="58" t="n">
        <x:f>IF(R974="No","",W974*S974)</x:f>
        <x:v>-297028.4824529505</x:v>
      </x:c>
      <x:c r="Y974" s="58" t="n">
        <x:f>IF(R974="No","",W974*T974*Assumptions!$B$9)</x:f>
        <x:v>-62167.157513185215</x:v>
      </x:c>
      <x:c r="Z974" s="58" t="n">
        <x:f>IF(R974="No","",X974-Y974)</x:f>
        <x:v>-234861.32493976527</x:v>
      </x:c>
      <x:c r="AA974" s="58" t="n">
        <x:f>IF(R974="No","",MAX(0,-Z974))</x:f>
        <x:v>234861.32493976527</x:v>
      </x:c>
      <x:c r="AB974" s="52" t="n">
        <x:f>IF(OR(R974="No",U974*S974=0),"",AA974/(U974*S974))</x:f>
        <x:v>0.01835608457294063</x:v>
      </x:c>
      <x:c r="AC974" s="54" t="n">
        <x:f>IF(OR(R974="No",S974-T974*Assumptions!$B$9&lt;=0),"",AA974/(Assumptions!$B$8*(S974-T974*Assumptions!$B$9)))</x:f>
        <x:v>24.445279711371764</x:v>
      </x:c>
      <x:c r="AD974" s="52" t="n">
        <x:f>IF(OR(R974="No",U974*S974=0),"",AA974/(U974*S974))</x:f>
        <x:v>0.01835608457294063</x:v>
      </x:c>
      <x:c r="AE974" s="50" t="str">
        <x:f>IF(R974="No","No finance data",IF(AB974&gt;=10%,"Severe",IF(AB974&gt;=5%,"High",IF(AB974&gt;=2%,"Moderate","Low"))))</x:f>
        <x:v>Low</x:v>
      </x:c>
      <x:c r="AF974" s="60" t="n">
        <x:v>40.622952</x:v>
      </x:c>
      <x:c r="AG974" s="60" t="n">
        <x:v>-96.950932</x:v>
      </x:c>
      <x:c r="AH974" s="44" t="str">
        <x:v>Undergraduate tuition-contribution proxy only; not an audited total institutional budget.</x:v>
      </x:c>
    </x:row>
    <x:row r="975">
      <x:c r="A975" s="16" t="n">
        <x:v>448284</x:v>
      </x:c>
      <x:c r="B975" s="16" t="str">
        <x:v>Doane University-Graduate and Professional Studies</x:v>
      </x:c>
      <x:c r="C975" s="16" t="str">
        <x:v>NE</x:v>
      </x:c>
      <x:c r="D975" s="16" t="str">
        <x:v>Private nonprofit</x:v>
      </x:c>
      <x:c r="E975" s="34" t="n">
        <x:v>595</x:v>
      </x:c>
      <x:c r="F975" s="21"/>
      <x:c r="G975" s="16" t="str">
        <x:v>Regional</x:v>
      </x:c>
      <x:c r="H975" s="36" t="n">
        <x:f>IF(G975="National",Assumptions!$B$11,IF(G975="Statewide",Assumptions!$B$12,Assumptions!$B$13))</x:f>
        <x:v>0.85</x:v>
      </x:c>
      <x:c r="I975" s="21" t="n">
        <x:v>-0.02286991997489407</x:v>
      </x:c>
      <x:c r="J975" s="21" t="n">
        <x:v>-0.018947120665306794</x:v>
      </x:c>
      <x:c r="K975" s="21" t="n">
        <x:v>-0.08743919661070143</x:v>
      </x:c>
      <x:c r="L975" s="36" t="n">
        <x:f>IF(Assumptions!$B$4=2030,I975,IF(Assumptions!$B$4=2035,J975,K975))</x:f>
        <x:v>-0.018947120665306794</x:v>
      </x:c>
      <x:c r="M975" s="36" t="n">
        <x:f>Assumptions!$B$19</x:f>
        <x:v>-0.04739891965741583</x:v>
      </x:c>
      <x:c r="N975" s="52" t="n">
        <x:f>H975*L975+(1-H975)*M975+O975</x:f>
        <x:v>-0.02321489051412315</x:v>
      </x:c>
      <x:c r="O975" s="36" t="n">
        <x:f>Assumptions!$B$10</x:f>
        <x:v>0</x:v>
      </x:c>
      <x:c r="P975" s="54" t="n">
        <x:f>E975*(1+N975)</x:f>
        <x:v>581.1871401440967</x:v>
      </x:c>
      <x:c r="Q975" s="54" t="n">
        <x:f>P975-E975</x:f>
        <x:v>-13.812859855903298</x:v>
      </x:c>
      <x:c r="R975" s="16" t="str">
        <x:v>No</x:v>
      </x:c>
      <x:c r="S975" s="56"/>
      <x:c r="T975" s="56"/>
      <x:c r="U975" s="40" t="n">
        <x:f>E975*Assumptions!$B$8</x:f>
        <x:v>505.75</x:v>
      </x:c>
      <x:c r="V975" s="40" t="n">
        <x:f>P975*Assumptions!$B$8</x:f>
        <x:v>494.0090691224822</x:v>
      </x:c>
      <x:c r="W975" s="54" t="n">
        <x:f>V975-U975</x:f>
        <x:v>-11.740930877517826</x:v>
      </x:c>
      <x:c r="X975" s="58" t="str">
        <x:f>IF(R975="No","",W975*S975)</x:f>
      </x:c>
      <x:c r="Y975" s="58" t="str">
        <x:f>IF(R975="No","",W975*T975*Assumptions!$B$9)</x:f>
      </x:c>
      <x:c r="Z975" s="58" t="str">
        <x:f>IF(R975="No","",X975-Y975)</x:f>
      </x:c>
      <x:c r="AA975" s="58" t="str">
        <x:f>IF(R975="No","",MAX(0,-Z975))</x:f>
      </x:c>
      <x:c r="AB975" s="52" t="str">
        <x:f>IF(OR(R975="No",U975*S975=0),"",AA975/(U975*S975))</x:f>
      </x:c>
      <x:c r="AC975" s="54" t="str">
        <x:f>IF(OR(R975="No",S975-T975*Assumptions!$B$9&lt;=0),"",AA975/(Assumptions!$B$8*(S975-T975*Assumptions!$B$9)))</x:f>
      </x:c>
      <x:c r="AD975" s="52" t="str">
        <x:f>IF(OR(R975="No",U975*S975=0),"",AA975/(U975*S975))</x:f>
      </x:c>
      <x:c r="AE975" s="50" t="str">
        <x:f>IF(R975="No","No finance data",IF(AB975&gt;=10%,"Severe",IF(AB975&gt;=5%,"High",IF(AB975&gt;=2%,"Moderate","Low"))))</x:f>
        <x:v>No finance data</x:v>
      </x:c>
      <x:c r="AF975" s="60"/>
      <x:c r="AG975" s="60"/>
      <x:c r="AH975" s="44" t="str">
        <x:v>Undergraduate tuition-contribution proxy only; not an audited total institutional budget.</x:v>
      </x:c>
    </x:row>
    <x:row r="976">
      <x:c r="A976" s="16" t="n">
        <x:v>181093</x:v>
      </x:c>
      <x:c r="B976" s="16" t="str">
        <x:v>Grace University</x:v>
      </x:c>
      <x:c r="C976" s="16" t="str">
        <x:v>NE</x:v>
      </x:c>
      <x:c r="D976" s="16" t="str">
        <x:v>Private nonprofit</x:v>
      </x:c>
      <x:c r="E976" s="34" t="n">
        <x:v>390</x:v>
      </x:c>
      <x:c r="F976" s="21"/>
      <x:c r="G976" s="16" t="str">
        <x:v>Regional</x:v>
      </x:c>
      <x:c r="H976" s="36" t="n">
        <x:f>IF(G976="National",Assumptions!$B$11,IF(G976="Statewide",Assumptions!$B$12,Assumptions!$B$13))</x:f>
        <x:v>0.85</x:v>
      </x:c>
      <x:c r="I976" s="21" t="n">
        <x:v>-0.02286991997489407</x:v>
      </x:c>
      <x:c r="J976" s="21" t="n">
        <x:v>-0.018947120665306794</x:v>
      </x:c>
      <x:c r="K976" s="21" t="n">
        <x:v>-0.08743919661070143</x:v>
      </x:c>
      <x:c r="L976" s="36" t="n">
        <x:f>IF(Assumptions!$B$4=2030,I976,IF(Assumptions!$B$4=2035,J976,K976))</x:f>
        <x:v>-0.018947120665306794</x:v>
      </x:c>
      <x:c r="M976" s="36" t="n">
        <x:f>Assumptions!$B$19</x:f>
        <x:v>-0.04739891965741583</x:v>
      </x:c>
      <x:c r="N976" s="52" t="n">
        <x:f>H976*L976+(1-H976)*M976+O976</x:f>
        <x:v>-0.02321489051412315</x:v>
      </x:c>
      <x:c r="O976" s="36" t="n">
        <x:f>Assumptions!$B$10</x:f>
        <x:v>0</x:v>
      </x:c>
      <x:c r="P976" s="54" t="n">
        <x:f>E976*(1+N976)</x:f>
        <x:v>380.946192699492</x:v>
      </x:c>
      <x:c r="Q976" s="54" t="n">
        <x:f>P976-E976</x:f>
        <x:v>-9.053807300508026</x:v>
      </x:c>
      <x:c r="R976" s="16" t="str">
        <x:v>No</x:v>
      </x:c>
      <x:c r="S976" s="56"/>
      <x:c r="T976" s="56"/>
      <x:c r="U976" s="40" t="n">
        <x:f>E976*Assumptions!$B$8</x:f>
        <x:v>331.5</x:v>
      </x:c>
      <x:c r="V976" s="40" t="n">
        <x:f>P976*Assumptions!$B$8</x:f>
        <x:v>323.80426379456816</x:v>
      </x:c>
      <x:c r="W976" s="54" t="n">
        <x:f>V976-U976</x:f>
        <x:v>-7.695736205431842</x:v>
      </x:c>
      <x:c r="X976" s="58" t="str">
        <x:f>IF(R976="No","",W976*S976)</x:f>
      </x:c>
      <x:c r="Y976" s="58" t="str">
        <x:f>IF(R976="No","",W976*T976*Assumptions!$B$9)</x:f>
      </x:c>
      <x:c r="Z976" s="58" t="str">
        <x:f>IF(R976="No","",X976-Y976)</x:f>
      </x:c>
      <x:c r="AA976" s="58" t="str">
        <x:f>IF(R976="No","",MAX(0,-Z976))</x:f>
      </x:c>
      <x:c r="AB976" s="52" t="str">
        <x:f>IF(OR(R976="No",U976*S976=0),"",AA976/(U976*S976))</x:f>
      </x:c>
      <x:c r="AC976" s="54" t="str">
        <x:f>IF(OR(R976="No",S976-T976*Assumptions!$B$9&lt;=0),"",AA976/(Assumptions!$B$8*(S976-T976*Assumptions!$B$9)))</x:f>
      </x:c>
      <x:c r="AD976" s="52" t="str">
        <x:f>IF(OR(R976="No",U976*S976=0),"",AA976/(U976*S976))</x:f>
      </x:c>
      <x:c r="AE976" s="50" t="str">
        <x:f>IF(R976="No","No finance data",IF(AB976&gt;=10%,"Severe",IF(AB976&gt;=5%,"High",IF(AB976&gt;=2%,"Moderate","Low"))))</x:f>
        <x:v>No finance data</x:v>
      </x:c>
      <x:c r="AF976" s="60"/>
      <x:c r="AG976" s="60"/>
      <x:c r="AH976" s="44" t="str">
        <x:v>Undergraduate tuition-contribution proxy only; not an audited total institutional budget.</x:v>
      </x:c>
    </x:row>
    <x:row r="977">
      <x:c r="A977" s="16" t="n">
        <x:v>181127</x:v>
      </x:c>
      <x:c r="B977" s="16" t="str">
        <x:v>Hastings College</x:v>
      </x:c>
      <x:c r="C977" s="16" t="str">
        <x:v>NE</x:v>
      </x:c>
      <x:c r="D977" s="16" t="str">
        <x:v>Private nonprofit</x:v>
      </x:c>
      <x:c r="E977" s="34" t="n">
        <x:v>1103</x:v>
      </x:c>
      <x:c r="F977" s="21" t="n">
        <x:v>0.7089</x:v>
      </x:c>
      <x:c r="G977" s="16" t="str">
        <x:v>Regional</x:v>
      </x:c>
      <x:c r="H977" s="36" t="n">
        <x:f>IF(G977="National",Assumptions!$B$11,IF(G977="Statewide",Assumptions!$B$12,Assumptions!$B$13))</x:f>
        <x:v>0.85</x:v>
      </x:c>
      <x:c r="I977" s="21" t="n">
        <x:v>-0.02286991997489407</x:v>
      </x:c>
      <x:c r="J977" s="21" t="n">
        <x:v>-0.018947120665306794</x:v>
      </x:c>
      <x:c r="K977" s="21" t="n">
        <x:v>-0.08743919661070143</x:v>
      </x:c>
      <x:c r="L977" s="36" t="n">
        <x:f>IF(Assumptions!$B$4=2030,I977,IF(Assumptions!$B$4=2035,J977,K977))</x:f>
        <x:v>-0.018947120665306794</x:v>
      </x:c>
      <x:c r="M977" s="36" t="n">
        <x:f>Assumptions!$B$19</x:f>
        <x:v>-0.04739891965741583</x:v>
      </x:c>
      <x:c r="N977" s="52" t="n">
        <x:f>H977*L977+(1-H977)*M977+O977</x:f>
        <x:v>-0.02321489051412315</x:v>
      </x:c>
      <x:c r="O977" s="36" t="n">
        <x:f>Assumptions!$B$10</x:f>
        <x:v>0</x:v>
      </x:c>
      <x:c r="P977" s="54" t="n">
        <x:f>E977*(1+N977)</x:f>
        <x:v>1077.393975762922</x:v>
      </x:c>
      <x:c r="Q977" s="54" t="n">
        <x:f>P977-E977</x:f>
        <x:v>-25.606024237077918</x:v>
      </x:c>
      <x:c r="R977" s="16" t="str">
        <x:v>Yes</x:v>
      </x:c>
      <x:c r="S977" s="56" t="n">
        <x:v>9674</x:v>
      </x:c>
      <x:c r="T977" s="56" t="n">
        <x:v>7401</x:v>
      </x:c>
      <x:c r="U977" s="40" t="n">
        <x:f>E977*Assumptions!$B$8</x:f>
        <x:v>937.55</x:v>
      </x:c>
      <x:c r="V977" s="40" t="n">
        <x:f>P977*Assumptions!$B$8</x:f>
        <x:v>915.7848793984838</x:v>
      </x:c>
      <x:c r="W977" s="54" t="n">
        <x:f>V977-U977</x:f>
        <x:v>-21.765120601516173</x:v>
      </x:c>
      <x:c r="X977" s="58" t="n">
        <x:f>IF(R977="No","",W977*S977)</x:f>
        <x:v>-210555.77669906747</x:v>
      </x:c>
      <x:c r="Y977" s="58" t="n">
        <x:f>IF(R977="No","",W977*T977*Assumptions!$B$9)</x:f>
        <x:v>-48325.097271546365</x:v>
      </x:c>
      <x:c r="Z977" s="58" t="n">
        <x:f>IF(R977="No","",X977-Y977)</x:f>
        <x:v>-162230.6794275211</x:v>
      </x:c>
      <x:c r="AA977" s="58" t="n">
        <x:f>IF(R977="No","",MAX(0,-Z977))</x:f>
        <x:v>162230.6794275211</x:v>
      </x:c>
      <x:c r="AB977" s="52" t="n">
        <x:f>IF(OR(R977="No",U977*S977=0),"",AA977/(U977*S977))</x:f>
        <x:v>0.017886792373901162</x:v>
      </x:c>
      <x:c r="AC977" s="54" t="n">
        <x:f>IF(OR(R977="No",S977-T977*Assumptions!$B$9&lt;=0),"",AA977/(Assumptions!$B$8*(S977-T977*Assumptions!$B$9)))</x:f>
        <x:v>25.60602423707785</x:v>
      </x:c>
      <x:c r="AD977" s="52" t="n">
        <x:f>IF(OR(R977="No",U977*S977=0),"",AA977/(U977*S977))</x:f>
        <x:v>0.017886792373901162</x:v>
      </x:c>
      <x:c r="AE977" s="50" t="str">
        <x:f>IF(R977="No","No finance data",IF(AB977&gt;=10%,"Severe",IF(AB977&gt;=5%,"High",IF(AB977&gt;=2%,"Moderate","Low"))))</x:f>
        <x:v>Low</x:v>
      </x:c>
      <x:c r="AF977" s="60" t="n">
        <x:v>40.59025</x:v>
      </x:c>
      <x:c r="AG977" s="60" t="n">
        <x:v>-98.374403</x:v>
      </x:c>
      <x:c r="AH977" s="44" t="str">
        <x:v>Undergraduate tuition-contribution proxy only; not an audited total institutional budget.</x:v>
      </x:c>
    </x:row>
    <x:row r="978">
      <x:c r="A978" s="16" t="n">
        <x:v>181330</x:v>
      </x:c>
      <x:c r="B978" s="16" t="str">
        <x:v>Midland University</x:v>
      </x:c>
      <x:c r="C978" s="16" t="str">
        <x:v>NE</x:v>
      </x:c>
      <x:c r="D978" s="16" t="str">
        <x:v>Private nonprofit</x:v>
      </x:c>
      <x:c r="E978" s="34" t="n">
        <x:v>1220</x:v>
      </x:c>
      <x:c r="F978" s="21" t="n">
        <x:v>0.6375</x:v>
      </x:c>
      <x:c r="G978" s="16" t="str">
        <x:v>Regional</x:v>
      </x:c>
      <x:c r="H978" s="36" t="n">
        <x:f>IF(G978="National",Assumptions!$B$11,IF(G978="Statewide",Assumptions!$B$12,Assumptions!$B$13))</x:f>
        <x:v>0.85</x:v>
      </x:c>
      <x:c r="I978" s="21" t="n">
        <x:v>-0.02286991997489407</x:v>
      </x:c>
      <x:c r="J978" s="21" t="n">
        <x:v>-0.018947120665306794</x:v>
      </x:c>
      <x:c r="K978" s="21" t="n">
        <x:v>-0.08743919661070143</x:v>
      </x:c>
      <x:c r="L978" s="36" t="n">
        <x:f>IF(Assumptions!$B$4=2030,I978,IF(Assumptions!$B$4=2035,J978,K978))</x:f>
        <x:v>-0.018947120665306794</x:v>
      </x:c>
      <x:c r="M978" s="36" t="n">
        <x:f>Assumptions!$B$19</x:f>
        <x:v>-0.04739891965741583</x:v>
      </x:c>
      <x:c r="N978" s="52" t="n">
        <x:f>H978*L978+(1-H978)*M978+O978</x:f>
        <x:v>-0.02321489051412315</x:v>
      </x:c>
      <x:c r="O978" s="36" t="n">
        <x:f>Assumptions!$B$10</x:f>
        <x:v>0</x:v>
      </x:c>
      <x:c r="P978" s="54" t="n">
        <x:f>E978*(1+N978)</x:f>
        <x:v>1191.6778335727697</x:v>
      </x:c>
      <x:c r="Q978" s="54" t="n">
        <x:f>P978-E978</x:f>
        <x:v>-28.322166427230286</x:v>
      </x:c>
      <x:c r="R978" s="16" t="str">
        <x:v>Yes</x:v>
      </x:c>
      <x:c r="S978" s="56" t="n">
        <x:v>11911</x:v>
      </x:c>
      <x:c r="T978" s="56" t="n">
        <x:v>5761</x:v>
      </x:c>
      <x:c r="U978" s="40" t="n">
        <x:f>E978*Assumptions!$B$8</x:f>
        <x:v>1037</x:v>
      </x:c>
      <x:c r="V978" s="40" t="n">
        <x:f>P978*Assumptions!$B$8</x:f>
        <x:v>1012.9261585368542</x:v>
      </x:c>
      <x:c r="W978" s="54" t="n">
        <x:f>V978-U978</x:f>
        <x:v>-24.073841463145754</x:v>
      </x:c>
      <x:c r="X978" s="58" t="n">
        <x:f>IF(R978="No","",W978*S978)</x:f>
        <x:v>-286743.5256675291</x:v>
      </x:c>
      <x:c r="Y978" s="58" t="n">
        <x:f>IF(R978="No","",W978*T978*Assumptions!$B$9)</x:f>
        <x:v>-41606.8202007548</x:v>
      </x:c>
      <x:c r="Z978" s="58" t="n">
        <x:f>IF(R978="No","",X978-Y978)</x:f>
        <x:v>-245136.7054667743</x:v>
      </x:c>
      <x:c r="AA978" s="58" t="n">
        <x:f>IF(R978="No","",MAX(0,-Z978))</x:f>
        <x:v>245136.7054667743</x:v>
      </x:c>
      <x:c r="AB978" s="52" t="n">
        <x:f>IF(OR(R978="No",U978*S978=0),"",AA978/(U978*S978))</x:f>
        <x:v>0.01984638280901371</x:v>
      </x:c>
      <x:c r="AC978" s="54" t="n">
        <x:f>IF(OR(R978="No",S978-T978*Assumptions!$B$9&lt;=0),"",AA978/(Assumptions!$B$8*(S978-T978*Assumptions!$B$9)))</x:f>
        <x:v>28.3221664272303</x:v>
      </x:c>
      <x:c r="AD978" s="52" t="n">
        <x:f>IF(OR(R978="No",U978*S978=0),"",AA978/(U978*S978))</x:f>
        <x:v>0.01984638280901371</x:v>
      </x:c>
      <x:c r="AE978" s="50" t="str">
        <x:f>IF(R978="No","No finance data",IF(AB978&gt;=10%,"Severe",IF(AB978&gt;=5%,"High",IF(AB978&gt;=2%,"Moderate","Low"))))</x:f>
        <x:v>Low</x:v>
      </x:c>
      <x:c r="AF978" s="60" t="n">
        <x:v>41.43674</x:v>
      </x:c>
      <x:c r="AG978" s="60" t="n">
        <x:v>-96.488008</x:v>
      </x:c>
      <x:c r="AH978" s="44" t="str">
        <x:v>Undergraduate tuition-contribution proxy only; not an audited total institutional budget.</x:v>
      </x:c>
    </x:row>
    <x:row r="979">
      <x:c r="A979" s="16" t="n">
        <x:v>181376</x:v>
      </x:c>
      <x:c r="B979" s="16" t="str">
        <x:v>Nebraska Christian College of Hope International University</x:v>
      </x:c>
      <x:c r="C979" s="16" t="str">
        <x:v>NE</x:v>
      </x:c>
      <x:c r="D979" s="16" t="str">
        <x:v>Private nonprofit</x:v>
      </x:c>
      <x:c r="E979" s="34" t="n">
        <x:v>123</x:v>
      </x:c>
      <x:c r="F979" s="21"/>
      <x:c r="G979" s="16" t="str">
        <x:v>Regional</x:v>
      </x:c>
      <x:c r="H979" s="36" t="n">
        <x:f>IF(G979="National",Assumptions!$B$11,IF(G979="Statewide",Assumptions!$B$12,Assumptions!$B$13))</x:f>
        <x:v>0.85</x:v>
      </x:c>
      <x:c r="I979" s="21" t="n">
        <x:v>-0.02286991997489407</x:v>
      </x:c>
      <x:c r="J979" s="21" t="n">
        <x:v>-0.018947120665306794</x:v>
      </x:c>
      <x:c r="K979" s="21" t="n">
        <x:v>-0.08743919661070143</x:v>
      </x:c>
      <x:c r="L979" s="36" t="n">
        <x:f>IF(Assumptions!$B$4=2030,I979,IF(Assumptions!$B$4=2035,J979,K979))</x:f>
        <x:v>-0.018947120665306794</x:v>
      </x:c>
      <x:c r="M979" s="36" t="n">
        <x:f>Assumptions!$B$19</x:f>
        <x:v>-0.04739891965741583</x:v>
      </x:c>
      <x:c r="N979" s="52" t="n">
        <x:f>H979*L979+(1-H979)*M979+O979</x:f>
        <x:v>-0.02321489051412315</x:v>
      </x:c>
      <x:c r="O979" s="36" t="n">
        <x:f>Assumptions!$B$10</x:f>
        <x:v>0</x:v>
      </x:c>
      <x:c r="P979" s="54" t="n">
        <x:f>E979*(1+N979)</x:f>
        <x:v>120.14456846676285</x:v>
      </x:c>
      <x:c r="Q979" s="54" t="n">
        <x:f>P979-E979</x:f>
        <x:v>-2.8554315332371516</x:v>
      </x:c>
      <x:c r="R979" s="16" t="str">
        <x:v>No</x:v>
      </x:c>
      <x:c r="S979" s="56"/>
      <x:c r="T979" s="56"/>
      <x:c r="U979" s="40" t="n">
        <x:f>E979*Assumptions!$B$8</x:f>
        <x:v>104.55</x:v>
      </x:c>
      <x:c r="V979" s="40" t="n">
        <x:f>P979*Assumptions!$B$8</x:f>
        <x:v>102.12288319674842</x:v>
      </x:c>
      <x:c r="W979" s="54" t="n">
        <x:f>V979-U979</x:f>
        <x:v>-2.427116803251579</x:v>
      </x:c>
      <x:c r="X979" s="58" t="str">
        <x:f>IF(R979="No","",W979*S979)</x:f>
      </x:c>
      <x:c r="Y979" s="58" t="str">
        <x:f>IF(R979="No","",W979*T979*Assumptions!$B$9)</x:f>
      </x:c>
      <x:c r="Z979" s="58" t="str">
        <x:f>IF(R979="No","",X979-Y979)</x:f>
      </x:c>
      <x:c r="AA979" s="58" t="str">
        <x:f>IF(R979="No","",MAX(0,-Z979))</x:f>
      </x:c>
      <x:c r="AB979" s="52" t="str">
        <x:f>IF(OR(R979="No",U979*S979=0),"",AA979/(U979*S979))</x:f>
      </x:c>
      <x:c r="AC979" s="54" t="str">
        <x:f>IF(OR(R979="No",S979-T979*Assumptions!$B$9&lt;=0),"",AA979/(Assumptions!$B$8*(S979-T979*Assumptions!$B$9)))</x:f>
      </x:c>
      <x:c r="AD979" s="52" t="str">
        <x:f>IF(OR(R979="No",U979*S979=0),"",AA979/(U979*S979))</x:f>
      </x:c>
      <x:c r="AE979" s="50" t="str">
        <x:f>IF(R979="No","No finance data",IF(AB979&gt;=10%,"Severe",IF(AB979&gt;=5%,"High",IF(AB979&gt;=2%,"Moderate","Low"))))</x:f>
        <x:v>No finance data</x:v>
      </x:c>
      <x:c r="AF979" s="60"/>
      <x:c r="AG979" s="60"/>
      <x:c r="AH979" s="44" t="str">
        <x:v>Undergraduate tuition-contribution proxy only; not an audited total institutional budget.</x:v>
      </x:c>
    </x:row>
    <x:row r="980">
      <x:c r="A980" s="16" t="n">
        <x:v>181297</x:v>
      </x:c>
      <x:c r="B980" s="16" t="str">
        <x:v>Nebraska Methodist College of Nursing &amp; Allied Health</x:v>
      </x:c>
      <x:c r="C980" s="16" t="str">
        <x:v>NE</x:v>
      </x:c>
      <x:c r="D980" s="16" t="str">
        <x:v>Private nonprofit</x:v>
      </x:c>
      <x:c r="E980" s="34" t="n">
        <x:v>765</x:v>
      </x:c>
      <x:c r="F980" s="21" t="n">
        <x:v>0.8381</x:v>
      </x:c>
      <x:c r="G980" s="16" t="str">
        <x:v>Regional</x:v>
      </x:c>
      <x:c r="H980" s="36" t="n">
        <x:f>IF(G980="National",Assumptions!$B$11,IF(G980="Statewide",Assumptions!$B$12,Assumptions!$B$13))</x:f>
        <x:v>0.85</x:v>
      </x:c>
      <x:c r="I980" s="21" t="n">
        <x:v>-0.02286991997489407</x:v>
      </x:c>
      <x:c r="J980" s="21" t="n">
        <x:v>-0.018947120665306794</x:v>
      </x:c>
      <x:c r="K980" s="21" t="n">
        <x:v>-0.08743919661070143</x:v>
      </x:c>
      <x:c r="L980" s="36" t="n">
        <x:f>IF(Assumptions!$B$4=2030,I980,IF(Assumptions!$B$4=2035,J980,K980))</x:f>
        <x:v>-0.018947120665306794</x:v>
      </x:c>
      <x:c r="M980" s="36" t="n">
        <x:f>Assumptions!$B$19</x:f>
        <x:v>-0.04739891965741583</x:v>
      </x:c>
      <x:c r="N980" s="52" t="n">
        <x:f>H980*L980+(1-H980)*M980+O980</x:f>
        <x:v>-0.02321489051412315</x:v>
      </x:c>
      <x:c r="O980" s="36" t="n">
        <x:f>Assumptions!$B$10</x:f>
        <x:v>0</x:v>
      </x:c>
      <x:c r="P980" s="54" t="n">
        <x:f>E980*(1+N980)</x:f>
        <x:v>747.2406087566958</x:v>
      </x:c>
      <x:c r="Q980" s="54" t="n">
        <x:f>P980-E980</x:f>
        <x:v>-17.759391243304208</x:v>
      </x:c>
      <x:c r="R980" s="16" t="str">
        <x:v>Yes</x:v>
      </x:c>
      <x:c r="S980" s="56" t="n">
        <x:v>13695</x:v>
      </x:c>
      <x:c r="T980" s="56" t="n">
        <x:v>8797</x:v>
      </x:c>
      <x:c r="U980" s="40" t="n">
        <x:f>E980*Assumptions!$B$8</x:f>
        <x:v>650.25</x:v>
      </x:c>
      <x:c r="V980" s="40" t="n">
        <x:f>P980*Assumptions!$B$8</x:f>
        <x:v>635.1545174431914</x:v>
      </x:c>
      <x:c r="W980" s="54" t="n">
        <x:f>V980-U980</x:f>
        <x:v>-15.095482556808633</x:v>
      </x:c>
      <x:c r="X980" s="58" t="n">
        <x:f>IF(R980="No","",W980*S980)</x:f>
        <x:v>-206732.63361549424</x:v>
      </x:c>
      <x:c r="Y980" s="58" t="n">
        <x:f>IF(R980="No","",W980*T980*Assumptions!$B$9)</x:f>
        <x:v>-39838.48801567367</x:v>
      </x:c>
      <x:c r="Z980" s="58" t="n">
        <x:f>IF(R980="No","",X980-Y980)</x:f>
        <x:v>-166894.14559982056</x:v>
      </x:c>
      <x:c r="AA980" s="58" t="n">
        <x:f>IF(R980="No","",MAX(0,-Z980))</x:f>
        <x:v>166894.14559982056</x:v>
      </x:c>
      <x:c r="AB980" s="52" t="n">
        <x:f>IF(OR(R980="No",U980*S980=0),"",AA980/(U980*S980))</x:f>
        <x:v>0.018741256519539617</x:v>
      </x:c>
      <x:c r="AC980" s="54" t="n">
        <x:f>IF(OR(R980="No",S980-T980*Assumptions!$B$9&lt;=0),"",AA980/(Assumptions!$B$8*(S980-T980*Assumptions!$B$9)))</x:f>
        <x:v>17.759391243304275</x:v>
      </x:c>
      <x:c r="AD980" s="52" t="n">
        <x:f>IF(OR(R980="No",U980*S980=0),"",AA980/(U980*S980))</x:f>
        <x:v>0.018741256519539617</x:v>
      </x:c>
      <x:c r="AE980" s="50" t="str">
        <x:f>IF(R980="No","No finance data",IF(AB980&gt;=10%,"Severe",IF(AB980&gt;=5%,"High",IF(AB980&gt;=2%,"Moderate","Low"))))</x:f>
        <x:v>Low</x:v>
      </x:c>
      <x:c r="AF980" s="60" t="n">
        <x:v>41.265973</x:v>
      </x:c>
      <x:c r="AG980" s="60" t="n">
        <x:v>-96.048511</x:v>
      </x:c>
      <x:c r="AH980" s="44" t="str">
        <x:v>Undergraduate tuition-contribution proxy only; not an audited total institutional budget.</x:v>
      </x:c>
    </x:row>
    <x:row r="981">
      <x:c r="A981" s="16" t="n">
        <x:v>181446</x:v>
      </x:c>
      <x:c r="B981" s="16" t="str">
        <x:v>Nebraska Wesleyan University</x:v>
      </x:c>
      <x:c r="C981" s="16" t="str">
        <x:v>NE</x:v>
      </x:c>
      <x:c r="D981" s="16" t="str">
        <x:v>Private nonprofit</x:v>
      </x:c>
      <x:c r="E981" s="34" t="n">
        <x:v>1781</x:v>
      </x:c>
      <x:c r="F981" s="21" t="n">
        <x:v>0.8181</x:v>
      </x:c>
      <x:c r="G981" s="16" t="str">
        <x:v>Regional</x:v>
      </x:c>
      <x:c r="H981" s="36" t="n">
        <x:f>IF(G981="National",Assumptions!$B$11,IF(G981="Statewide",Assumptions!$B$12,Assumptions!$B$13))</x:f>
        <x:v>0.85</x:v>
      </x:c>
      <x:c r="I981" s="21" t="n">
        <x:v>-0.02286991997489407</x:v>
      </x:c>
      <x:c r="J981" s="21" t="n">
        <x:v>-0.018947120665306794</x:v>
      </x:c>
      <x:c r="K981" s="21" t="n">
        <x:v>-0.08743919661070143</x:v>
      </x:c>
      <x:c r="L981" s="36" t="n">
        <x:f>IF(Assumptions!$B$4=2030,I981,IF(Assumptions!$B$4=2035,J981,K981))</x:f>
        <x:v>-0.018947120665306794</x:v>
      </x:c>
      <x:c r="M981" s="36" t="n">
        <x:f>Assumptions!$B$19</x:f>
        <x:v>-0.04739891965741583</x:v>
      </x:c>
      <x:c r="N981" s="52" t="n">
        <x:f>H981*L981+(1-H981)*M981+O981</x:f>
        <x:v>-0.02321489051412315</x:v>
      </x:c>
      <x:c r="O981" s="36" t="n">
        <x:f>Assumptions!$B$10</x:f>
        <x:v>0</x:v>
      </x:c>
      <x:c r="P981" s="54" t="n">
        <x:f>E981*(1+N981)</x:f>
        <x:v>1739.6542799943466</x:v>
      </x:c>
      <x:c r="Q981" s="54" t="n">
        <x:f>P981-E981</x:f>
        <x:v>-41.34572000565345</x:v>
      </x:c>
      <x:c r="R981" s="16" t="str">
        <x:v>Yes</x:v>
      </x:c>
      <x:c r="S981" s="56" t="n">
        <x:v>12513</x:v>
      </x:c>
      <x:c r="T981" s="56" t="n">
        <x:v>7272</x:v>
      </x:c>
      <x:c r="U981" s="40" t="n">
        <x:f>E981*Assumptions!$B$8</x:f>
        <x:v>1513.85</x:v>
      </x:c>
      <x:c r="V981" s="40" t="n">
        <x:f>P981*Assumptions!$B$8</x:f>
        <x:v>1478.7061379951945</x:v>
      </x:c>
      <x:c r="W981" s="54" t="n">
        <x:f>V981-U981</x:f>
        <x:v>-35.14386200480544</x:v>
      </x:c>
      <x:c r="X981" s="58" t="n">
        <x:f>IF(R981="No","",W981*S981)</x:f>
        <x:v>-439755.1452661305</x:v>
      </x:c>
      <x:c r="Y981" s="58" t="n">
        <x:f>IF(R981="No","",W981*T981*Assumptions!$B$9)</x:f>
        <x:v>-76669.84934968354</x:v>
      </x:c>
      <x:c r="Z981" s="58" t="n">
        <x:f>IF(R981="No","",X981-Y981)</x:f>
        <x:v>-363085.29591644695</x:v>
      </x:c>
      <x:c r="AA981" s="58" t="n">
        <x:f>IF(R981="No","",MAX(0,-Z981))</x:f>
        <x:v>363085.29591644695</x:v>
      </x:c>
      <x:c r="AB981" s="52" t="n">
        <x:f>IF(OR(R981="No",U981*S981=0),"",AA981/(U981*S981))</x:f>
        <x:v>0.01916745143911234</x:v>
      </x:c>
      <x:c r="AC981" s="54" t="n">
        <x:f>IF(OR(R981="No",S981-T981*Assumptions!$B$9&lt;=0),"",AA981/(Assumptions!$B$8*(S981-T981*Assumptions!$B$9)))</x:f>
        <x:v>41.34572000565347</x:v>
      </x:c>
      <x:c r="AD981" s="52" t="n">
        <x:f>IF(OR(R981="No",U981*S981=0),"",AA981/(U981*S981))</x:f>
        <x:v>0.01916745143911234</x:v>
      </x:c>
      <x:c r="AE981" s="50" t="str">
        <x:f>IF(R981="No","No finance data",IF(AB981&gt;=10%,"Severe",IF(AB981&gt;=5%,"High",IF(AB981&gt;=2%,"Moderate","Low"))))</x:f>
        <x:v>Low</x:v>
      </x:c>
      <x:c r="AF981" s="60" t="n">
        <x:v>40.839098</x:v>
      </x:c>
      <x:c r="AG981" s="60" t="n">
        <x:v>-96.64831</x:v>
      </x:c>
      <x:c r="AH981" s="44" t="str">
        <x:v>Undergraduate tuition-contribution proxy only; not an audited total institutional budget.</x:v>
      </x:c>
    </x:row>
    <x:row r="982">
      <x:c r="A982" s="16" t="n">
        <x:v>181534</x:v>
      </x:c>
      <x:c r="B982" s="16" t="str">
        <x:v>Peru State College</x:v>
      </x:c>
      <x:c r="C982" s="16" t="str">
        <x:v>NE</x:v>
      </x:c>
      <x:c r="D982" s="16" t="str">
        <x:v>Public</x:v>
      </x:c>
      <x:c r="E982" s="34" t="n">
        <x:v>1466</x:v>
      </x:c>
      <x:c r="F982" s="21"/>
      <x:c r="G982" s="16" t="str">
        <x:v>Regional</x:v>
      </x:c>
      <x:c r="H982" s="36" t="n">
        <x:f>IF(G982="National",Assumptions!$B$11,IF(G982="Statewide",Assumptions!$B$12,Assumptions!$B$13))</x:f>
        <x:v>0.85</x:v>
      </x:c>
      <x:c r="I982" s="21" t="n">
        <x:v>-0.02286991997489407</x:v>
      </x:c>
      <x:c r="J982" s="21" t="n">
        <x:v>-0.018947120665306794</x:v>
      </x:c>
      <x:c r="K982" s="21" t="n">
        <x:v>-0.08743919661070143</x:v>
      </x:c>
      <x:c r="L982" s="36" t="n">
        <x:f>IF(Assumptions!$B$4=2030,I982,IF(Assumptions!$B$4=2035,J982,K982))</x:f>
        <x:v>-0.018947120665306794</x:v>
      </x:c>
      <x:c r="M982" s="36" t="n">
        <x:f>Assumptions!$B$19</x:f>
        <x:v>-0.04739891965741583</x:v>
      </x:c>
      <x:c r="N982" s="52" t="n">
        <x:f>H982*L982+(1-H982)*M982+O982</x:f>
        <x:v>-0.02321489051412315</x:v>
      </x:c>
      <x:c r="O982" s="36" t="n">
        <x:f>Assumptions!$B$10</x:f>
        <x:v>0</x:v>
      </x:c>
      <x:c r="P982" s="54" t="n">
        <x:f>E982*(1+N982)</x:f>
        <x:v>1431.9669705062954</x:v>
      </x:c>
      <x:c r="Q982" s="54" t="n">
        <x:f>P982-E982</x:f>
        <x:v>-34.03302949370459</x:v>
      </x:c>
      <x:c r="R982" s="16" t="str">
        <x:v>Yes</x:v>
      </x:c>
      <x:c r="S982" s="56" t="n">
        <x:v>4076</x:v>
      </x:c>
      <x:c r="T982" s="56" t="n">
        <x:v>5984</x:v>
      </x:c>
      <x:c r="U982" s="40" t="n">
        <x:f>E982*Assumptions!$B$8</x:f>
        <x:v>1246.1</x:v>
      </x:c>
      <x:c r="V982" s="40" t="n">
        <x:f>P982*Assumptions!$B$8</x:f>
        <x:v>1217.171924930351</x:v>
      </x:c>
      <x:c r="W982" s="54" t="n">
        <x:f>V982-U982</x:f>
        <x:v>-28.928075069648912</x:v>
      </x:c>
      <x:c r="X982" s="58" t="n">
        <x:f>IF(R982="No","",W982*S982)</x:f>
        <x:v>-117910.83398388897</x:v>
      </x:c>
      <x:c r="Y982" s="58" t="n">
        <x:f>IF(R982="No","",W982*T982*Assumptions!$B$9)</x:f>
        <x:v>-51931.680365033724</x:v>
      </x:c>
      <x:c r="Z982" s="58" t="n">
        <x:f>IF(R982="No","",X982-Y982)</x:f>
        <x:v>-65979.15361885524</x:v>
      </x:c>
      <x:c r="AA982" s="58" t="n">
        <x:f>IF(R982="No","",MAX(0,-Z982))</x:f>
        <x:v>65979.15361885524</x:v>
      </x:c>
      <x:c r="AB982" s="52" t="n">
        <x:f>IF(OR(R982="No",U982*S982=0),"",AA982/(U982*S982))</x:f>
        <x:v>0.012990314593869526</x:v>
      </x:c>
      <x:c r="AC982" s="54" t="n">
        <x:f>IF(OR(R982="No",S982-T982*Assumptions!$B$9&lt;=0),"",AA982/(Assumptions!$B$8*(S982-T982*Assumptions!$B$9)))</x:f>
        <x:v>34.0330294937046</x:v>
      </x:c>
      <x:c r="AD982" s="52" t="n">
        <x:f>IF(OR(R982="No",U982*S982=0),"",AA982/(U982*S982))</x:f>
        <x:v>0.012990314593869526</x:v>
      </x:c>
      <x:c r="AE982" s="50" t="str">
        <x:f>IF(R982="No","No finance data",IF(AB982&gt;=10%,"Severe",IF(AB982&gt;=5%,"High",IF(AB982&gt;=2%,"Moderate","Low"))))</x:f>
        <x:v>Low</x:v>
      </x:c>
      <x:c r="AF982" s="60" t="n">
        <x:v>40.474689</x:v>
      </x:c>
      <x:c r="AG982" s="60" t="n">
        <x:v>-95.732731</x:v>
      </x:c>
      <x:c r="AH982" s="44" t="str">
        <x:v>Undergraduate tuition-contribution proxy only; not an audited total institutional budget.</x:v>
      </x:c>
    </x:row>
    <x:row r="983">
      <x:c r="A983" s="16" t="n">
        <x:v>181738</x:v>
      </x:c>
      <x:c r="B983" s="16" t="str">
        <x:v>Union College</x:v>
      </x:c>
      <x:c r="C983" s="16" t="str">
        <x:v>NE</x:v>
      </x:c>
      <x:c r="D983" s="16" t="str">
        <x:v>Private nonprofit</x:v>
      </x:c>
      <x:c r="E983" s="34" t="n">
        <x:v>762</x:v>
      </x:c>
      <x:c r="F983" s="21" t="n">
        <x:v>0.9848</x:v>
      </x:c>
      <x:c r="G983" s="16" t="str">
        <x:v>Regional</x:v>
      </x:c>
      <x:c r="H983" s="36" t="n">
        <x:f>IF(G983="National",Assumptions!$B$11,IF(G983="Statewide",Assumptions!$B$12,Assumptions!$B$13))</x:f>
        <x:v>0.85</x:v>
      </x:c>
      <x:c r="I983" s="21" t="n">
        <x:v>-0.02286991997489407</x:v>
      </x:c>
      <x:c r="J983" s="21" t="n">
        <x:v>-0.018947120665306794</x:v>
      </x:c>
      <x:c r="K983" s="21" t="n">
        <x:v>-0.08743919661070143</x:v>
      </x:c>
      <x:c r="L983" s="36" t="n">
        <x:f>IF(Assumptions!$B$4=2030,I983,IF(Assumptions!$B$4=2035,J983,K983))</x:f>
        <x:v>-0.018947120665306794</x:v>
      </x:c>
      <x:c r="M983" s="36" t="n">
        <x:f>Assumptions!$B$19</x:f>
        <x:v>-0.04739891965741583</x:v>
      </x:c>
      <x:c r="N983" s="52" t="n">
        <x:f>H983*L983+(1-H983)*M983+O983</x:f>
        <x:v>-0.02321489051412315</x:v>
      </x:c>
      <x:c r="O983" s="36" t="n">
        <x:f>Assumptions!$B$10</x:f>
        <x:v>0</x:v>
      </x:c>
      <x:c r="P983" s="54" t="n">
        <x:f>E983*(1+N983)</x:f>
        <x:v>744.3102534282382</x:v>
      </x:c>
      <x:c r="Q983" s="54" t="n">
        <x:f>P983-E983</x:f>
        <x:v>-17.689746571761816</x:v>
      </x:c>
      <x:c r="R983" s="16" t="str">
        <x:v>Yes</x:v>
      </x:c>
      <x:c r="S983" s="56" t="n">
        <x:v>14742</x:v>
      </x:c>
      <x:c r="T983" s="56" t="n">
        <x:v>9304</x:v>
      </x:c>
      <x:c r="U983" s="40" t="n">
        <x:f>E983*Assumptions!$B$8</x:f>
        <x:v>647.6999999999999</x:v>
      </x:c>
      <x:c r="V983" s="40" t="n">
        <x:f>P983*Assumptions!$B$8</x:f>
        <x:v>632.6637154140025</x:v>
      </x:c>
      <x:c r="W983" s="54" t="n">
        <x:f>V983-U983</x:f>
        <x:v>-15.036284585997464</x:v>
      </x:c>
      <x:c r="X983" s="58" t="n">
        <x:f>IF(R983="No","",W983*S983)</x:f>
        <x:v>-221664.90736677463</x:v>
      </x:c>
      <x:c r="Y983" s="58" t="n">
        <x:f>IF(R983="No","",W983*T983*Assumptions!$B$9)</x:f>
        <x:v>-41969.277536436115</x:v>
      </x:c>
      <x:c r="Z983" s="58" t="n">
        <x:f>IF(R983="No","",X983-Y983)</x:f>
        <x:v>-179695.62983033853</x:v>
      </x:c>
      <x:c r="AA983" s="58" t="n">
        <x:f>IF(R983="No","",MAX(0,-Z983))</x:f>
        <x:v>179695.62983033853</x:v>
      </x:c>
      <x:c r="AB983" s="52" t="n">
        <x:f>IF(OR(R983="No",U983*S983=0),"",AA983/(U983*S983))</x:f>
        <x:v>0.018819462322356612</x:v>
      </x:c>
      <x:c r="AC983" s="54" t="n">
        <x:f>IF(OR(R983="No",S983-T983*Assumptions!$B$9&lt;=0),"",AA983/(Assumptions!$B$8*(S983-T983*Assumptions!$B$9)))</x:f>
        <x:v>17.689746571761727</x:v>
      </x:c>
      <x:c r="AD983" s="52" t="n">
        <x:f>IF(OR(R983="No",U983*S983=0),"",AA983/(U983*S983))</x:f>
        <x:v>0.018819462322356612</x:v>
      </x:c>
      <x:c r="AE983" s="50" t="str">
        <x:f>IF(R983="No","No finance data",IF(AB983&gt;=10%,"Severe",IF(AB983&gt;=5%,"High",IF(AB983&gt;=2%,"Moderate","Low"))))</x:f>
        <x:v>Low</x:v>
      </x:c>
      <x:c r="AF983" s="60" t="n">
        <x:v>40.774778</x:v>
      </x:c>
      <x:c r="AG983" s="60" t="n">
        <x:v>-96.651095</x:v>
      </x:c>
      <x:c r="AH983" s="44" t="str">
        <x:v>Undergraduate tuition-contribution proxy only; not an audited total institutional budget.</x:v>
      </x:c>
    </x:row>
    <x:row r="984">
      <x:c r="A984" s="16" t="n">
        <x:v>181428</x:v>
      </x:c>
      <x:c r="B984" s="16" t="str">
        <x:v>University of Nebraska Medical Center</x:v>
      </x:c>
      <x:c r="C984" s="16" t="str">
        <x:v>NE</x:v>
      </x:c>
      <x:c r="D984" s="16" t="str">
        <x:v>Public</x:v>
      </x:c>
      <x:c r="E984" s="34" t="n">
        <x:v>865</x:v>
      </x:c>
      <x:c r="F984" s="21"/>
      <x:c r="G984" s="16" t="str">
        <x:v>Regional</x:v>
      </x:c>
      <x:c r="H984" s="36" t="n">
        <x:f>IF(G984="National",Assumptions!$B$11,IF(G984="Statewide",Assumptions!$B$12,Assumptions!$B$13))</x:f>
        <x:v>0.85</x:v>
      </x:c>
      <x:c r="I984" s="21" t="n">
        <x:v>-0.02286991997489407</x:v>
      </x:c>
      <x:c r="J984" s="21" t="n">
        <x:v>-0.018947120665306794</x:v>
      </x:c>
      <x:c r="K984" s="21" t="n">
        <x:v>-0.08743919661070143</x:v>
      </x:c>
      <x:c r="L984" s="36" t="n">
        <x:f>IF(Assumptions!$B$4=2030,I984,IF(Assumptions!$B$4=2035,J984,K984))</x:f>
        <x:v>-0.018947120665306794</x:v>
      </x:c>
      <x:c r="M984" s="36" t="n">
        <x:f>Assumptions!$B$19</x:f>
        <x:v>-0.04739891965741583</x:v>
      </x:c>
      <x:c r="N984" s="52" t="n">
        <x:f>H984*L984+(1-H984)*M984+O984</x:f>
        <x:v>-0.02321489051412315</x:v>
      </x:c>
      <x:c r="O984" s="36" t="n">
        <x:f>Assumptions!$B$10</x:f>
        <x:v>0</x:v>
      </x:c>
      <x:c r="P984" s="54" t="n">
        <x:f>E984*(1+N984)</x:f>
        <x:v>844.9191197052835</x:v>
      </x:c>
      <x:c r="Q984" s="54" t="n">
        <x:f>P984-E984</x:f>
        <x:v>-20.080880294716508</x:v>
      </x:c>
      <x:c r="R984" s="16" t="str">
        <x:v>Yes</x:v>
      </x:c>
      <x:c r="S984" s="56" t="n">
        <x:v>22434</x:v>
      </x:c>
      <x:c r="T984" s="56" t="n">
        <x:v>59648</x:v>
      </x:c>
      <x:c r="U984" s="40" t="n">
        <x:f>E984*Assumptions!$B$8</x:f>
        <x:v>735.25</x:v>
      </x:c>
      <x:c r="V984" s="40" t="n">
        <x:f>P984*Assumptions!$B$8</x:f>
        <x:v>718.1812517494909</x:v>
      </x:c>
      <x:c r="W984" s="54" t="n">
        <x:f>V984-U984</x:f>
        <x:v>-17.06874825050909</x:v>
      </x:c>
      <x:c r="X984" s="58" t="n">
        <x:f>IF(R984="No","",W984*S984)</x:f>
        <x:v>-382920.2982519209</x:v>
      </x:c>
      <x:c r="Y984" s="58" t="n">
        <x:f>IF(R984="No","",W984*T984*Assumptions!$B$9)</x:f>
        <x:v>-305435.0086939098</x:v>
      </x:c>
      <x:c r="Z984" s="58" t="n">
        <x:f>IF(R984="No","",X984-Y984)</x:f>
        <x:v>-77485.2895580111</x:v>
      </x:c>
      <x:c r="AA984" s="58" t="n">
        <x:f>IF(R984="No","",MAX(0,-Z984))</x:f>
        <x:v>77485.2895580111</x:v>
      </x:c>
      <x:c r="AB984" s="52" t="n">
        <x:f>IF(OR(R984="No",U984*S984=0),"",AA984/(U984*S984))</x:f>
        <x:v>0.004697615983681634</x:v>
      </x:c>
      <x:c r="AC984" s="54" t="n">
        <x:f>IF(OR(R984="No",S984-T984*Assumptions!$B$9&lt;=0),"",AA984/(Assumptions!$B$8*(S984-T984*Assumptions!$B$9)))</x:f>
        <x:v>20.08088029471658</x:v>
      </x:c>
      <x:c r="AD984" s="52" t="n">
        <x:f>IF(OR(R984="No",U984*S984=0),"",AA984/(U984*S984))</x:f>
        <x:v>0.004697615983681634</x:v>
      </x:c>
      <x:c r="AE984" s="50" t="str">
        <x:f>IF(R984="No","No finance data",IF(AB984&gt;=10%,"Severe",IF(AB984&gt;=5%,"High",IF(AB984&gt;=2%,"Moderate","Low"))))</x:f>
        <x:v>Low</x:v>
      </x:c>
      <x:c r="AF984" s="60" t="n">
        <x:v>41.256312</x:v>
      </x:c>
      <x:c r="AG984" s="60" t="n">
        <x:v>-95.973966</x:v>
      </x:c>
      <x:c r="AH984" s="44" t="str">
        <x:v>Undergraduate tuition-contribution proxy only; not an audited total institutional budget.</x:v>
      </x:c>
    </x:row>
    <x:row r="985">
      <x:c r="A985" s="16" t="n">
        <x:v>181215</x:v>
      </x:c>
      <x:c r="B985" s="16" t="str">
        <x:v>University of Nebraska at Kearney</x:v>
      </x:c>
      <x:c r="C985" s="16" t="str">
        <x:v>NE</x:v>
      </x:c>
      <x:c r="D985" s="16" t="str">
        <x:v>Public</x:v>
      </x:c>
      <x:c r="E985" s="34" t="n">
        <x:v>4819</x:v>
      </x:c>
      <x:c r="F985" s="21" t="n">
        <x:v>0.9032</x:v>
      </x:c>
      <x:c r="G985" s="16" t="str">
        <x:v>Regional</x:v>
      </x:c>
      <x:c r="H985" s="36" t="n">
        <x:f>IF(G985="National",Assumptions!$B$11,IF(G985="Statewide",Assumptions!$B$12,Assumptions!$B$13))</x:f>
        <x:v>0.85</x:v>
      </x:c>
      <x:c r="I985" s="21" t="n">
        <x:v>-0.02286991997489407</x:v>
      </x:c>
      <x:c r="J985" s="21" t="n">
        <x:v>-0.018947120665306794</x:v>
      </x:c>
      <x:c r="K985" s="21" t="n">
        <x:v>-0.08743919661070143</x:v>
      </x:c>
      <x:c r="L985" s="36" t="n">
        <x:f>IF(Assumptions!$B$4=2030,I985,IF(Assumptions!$B$4=2035,J985,K985))</x:f>
        <x:v>-0.018947120665306794</x:v>
      </x:c>
      <x:c r="M985" s="36" t="n">
        <x:f>Assumptions!$B$19</x:f>
        <x:v>-0.04739891965741583</x:v>
      </x:c>
      <x:c r="N985" s="52" t="n">
        <x:f>H985*L985+(1-H985)*M985+O985</x:f>
        <x:v>-0.02321489051412315</x:v>
      </x:c>
      <x:c r="O985" s="36" t="n">
        <x:f>Assumptions!$B$10</x:f>
        <x:v>0</x:v>
      </x:c>
      <x:c r="P985" s="54" t="n">
        <x:f>E985*(1+N985)</x:f>
        <x:v>4707.12744261244</x:v>
      </x:c>
      <x:c r="Q985" s="54" t="n">
        <x:f>P985-E985</x:f>
        <x:v>-111.87255738755994</x:v>
      </x:c>
      <x:c r="R985" s="16" t="str">
        <x:v>Yes</x:v>
      </x:c>
      <x:c r="S985" s="56" t="n">
        <x:v>6540</x:v>
      </x:c>
      <x:c r="T985" s="56" t="n">
        <x:v>9990</x:v>
      </x:c>
      <x:c r="U985" s="40" t="n">
        <x:f>E985*Assumptions!$B$8</x:f>
        <x:v>4096.15</x:v>
      </x:c>
      <x:c r="V985" s="40" t="n">
        <x:f>P985*Assumptions!$B$8</x:f>
        <x:v>4001.058326220574</x:v>
      </x:c>
      <x:c r="W985" s="54" t="n">
        <x:f>V985-U985</x:f>
        <x:v>-95.09167377942549</x:v>
      </x:c>
      <x:c r="X985" s="58" t="n">
        <x:f>IF(R985="No","",W985*S985)</x:f>
        <x:v>-621899.5465174427</x:v>
      </x:c>
      <x:c r="Y985" s="58" t="n">
        <x:f>IF(R985="No","",W985*T985*Assumptions!$B$9)</x:f>
        <x:v>-284989.7463169382</x:v>
      </x:c>
      <x:c r="Z985" s="58" t="n">
        <x:f>IF(R985="No","",X985-Y985)</x:f>
        <x:v>-336909.8002005045</x:v>
      </x:c>
      <x:c r="AA985" s="58" t="n">
        <x:f>IF(R985="No","",MAX(0,-Z985))</x:f>
        <x:v>336909.8002005045</x:v>
      </x:c>
      <x:c r="AB985" s="52" t="n">
        <x:f>IF(OR(R985="No",U985*S985=0),"",AA985/(U985*S985))</x:f>
        <x:v>0.012576507200541022</x:v>
      </x:c>
      <x:c r="AC985" s="54" t="n">
        <x:f>IF(OR(R985="No",S985-T985*Assumptions!$B$9&lt;=0),"",AA985/(Assumptions!$B$8*(S985-T985*Assumptions!$B$9)))</x:f>
        <x:v>111.8725573875594</x:v>
      </x:c>
      <x:c r="AD985" s="52" t="n">
        <x:f>IF(OR(R985="No",U985*S985=0),"",AA985/(U985*S985))</x:f>
        <x:v>0.012576507200541022</x:v>
      </x:c>
      <x:c r="AE985" s="50" t="str">
        <x:f>IF(R985="No","No finance data",IF(AB985&gt;=10%,"Severe",IF(AB985&gt;=5%,"High",IF(AB985&gt;=2%,"Moderate","Low"))))</x:f>
        <x:v>Low</x:v>
      </x:c>
      <x:c r="AF985" s="60" t="n">
        <x:v>40.701452</x:v>
      </x:c>
      <x:c r="AG985" s="60" t="n">
        <x:v>-99.098699</x:v>
      </x:c>
      <x:c r="AH985" s="44" t="str">
        <x:v>Undergraduate tuition-contribution proxy only; not an audited total institutional budget.</x:v>
      </x:c>
    </x:row>
    <x:row r="986">
      <x:c r="A986" s="16" t="n">
        <x:v>181394</x:v>
      </x:c>
      <x:c r="B986" s="16" t="str">
        <x:v>University of Nebraska at Omaha</x:v>
      </x:c>
      <x:c r="C986" s="16" t="str">
        <x:v>NE</x:v>
      </x:c>
      <x:c r="D986" s="16" t="str">
        <x:v>Public</x:v>
      </x:c>
      <x:c r="E986" s="34" t="n">
        <x:v>12287</x:v>
      </x:c>
      <x:c r="F986" s="21" t="n">
        <x:v>0.8725</x:v>
      </x:c>
      <x:c r="G986" s="16" t="str">
        <x:v>Statewide</x:v>
      </x:c>
      <x:c r="H986" s="36" t="n">
        <x:f>IF(G986="National",Assumptions!$B$11,IF(G986="Statewide",Assumptions!$B$12,Assumptions!$B$13))</x:f>
        <x:v>0.6</x:v>
      </x:c>
      <x:c r="I986" s="21" t="n">
        <x:v>-0.02286991997489407</x:v>
      </x:c>
      <x:c r="J986" s="21" t="n">
        <x:v>-0.018947120665306794</x:v>
      </x:c>
      <x:c r="K986" s="21" t="n">
        <x:v>-0.08743919661070143</x:v>
      </x:c>
      <x:c r="L986" s="36" t="n">
        <x:f>IF(Assumptions!$B$4=2030,I986,IF(Assumptions!$B$4=2035,J986,K986))</x:f>
        <x:v>-0.018947120665306794</x:v>
      </x:c>
      <x:c r="M986" s="36" t="n">
        <x:f>Assumptions!$B$19</x:f>
        <x:v>-0.04739891965741583</x:v>
      </x:c>
      <x:c r="N986" s="52" t="n">
        <x:f>H986*L986+(1-H986)*M986+O986</x:f>
        <x:v>-0.030327840262150407</x:v>
      </x:c>
      <x:c r="O986" s="36" t="n">
        <x:f>Assumptions!$B$10</x:f>
        <x:v>0</x:v>
      </x:c>
      <x:c r="P986" s="54" t="n">
        <x:f>E986*(1+N986)</x:f>
        <x:v>11914.361826698958</x:v>
      </x:c>
      <x:c r="Q986" s="54" t="n">
        <x:f>P986-E986</x:f>
        <x:v>-372.6381733010421</x:v>
      </x:c>
      <x:c r="R986" s="16" t="str">
        <x:v>Yes</x:v>
      </x:c>
      <x:c r="S986" s="56" t="n">
        <x:v>7881</x:v>
      </x:c>
      <x:c r="T986" s="56" t="n">
        <x:v>9643</x:v>
      </x:c>
      <x:c r="U986" s="40" t="n">
        <x:f>E986*Assumptions!$B$8</x:f>
        <x:v>10443.949999999999</x:v>
      </x:c>
      <x:c r="V986" s="40" t="n">
        <x:f>P986*Assumptions!$B$8</x:f>
        <x:v>10127.207552694113</x:v>
      </x:c>
      <x:c r="W986" s="54" t="n">
        <x:f>V986-U986</x:f>
        <x:v>-316.74244730588543</x:v>
      </x:c>
      <x:c r="X986" s="58" t="n">
        <x:f>IF(R986="No","",W986*S986)</x:f>
        <x:v>-2496247.227217683</x:v>
      </x:c>
      <x:c r="Y986" s="58" t="n">
        <x:f>IF(R986="No","",W986*T986*Assumptions!$B$9)</x:f>
        <x:v>-916304.2258111959</x:v>
      </x:c>
      <x:c r="Z986" s="58" t="n">
        <x:f>IF(R986="No","",X986-Y986)</x:f>
        <x:v>-1579943.001406487</x:v>
      </x:c>
      <x:c r="AA986" s="58" t="n">
        <x:f>IF(R986="No","",MAX(0,-Z986))</x:f>
        <x:v>1579943.001406487</x:v>
      </x:c>
      <x:c r="AB986" s="52" t="n">
        <x:f>IF(OR(R986="No",U986*S986=0),"",AA986/(U986*S986))</x:f>
        <x:v>0.019195317854540327</x:v>
      </x:c>
      <x:c r="AC986" s="54" t="n">
        <x:f>IF(OR(R986="No",S986-T986*Assumptions!$B$9&lt;=0),"",AA986/(Assumptions!$B$8*(S986-T986*Assumptions!$B$9)))</x:f>
        <x:v>372.63817330104166</x:v>
      </x:c>
      <x:c r="AD986" s="52" t="n">
        <x:f>IF(OR(R986="No",U986*S986=0),"",AA986/(U986*S986))</x:f>
        <x:v>0.019195317854540327</x:v>
      </x:c>
      <x:c r="AE986" s="50" t="str">
        <x:f>IF(R986="No","No finance data",IF(AB986&gt;=10%,"Severe",IF(AB986&gt;=5%,"High",IF(AB986&gt;=2%,"Moderate","Low"))))</x:f>
        <x:v>Low</x:v>
      </x:c>
      <x:c r="AF986" s="60" t="n">
        <x:v>41.258769</x:v>
      </x:c>
      <x:c r="AG986" s="60" t="n">
        <x:v>-96.008516</x:v>
      </x:c>
      <x:c r="AH986" s="44" t="str">
        <x:v>Undergraduate tuition-contribution proxy only; not an audited total institutional budget.</x:v>
      </x:c>
    </x:row>
    <x:row r="987">
      <x:c r="A987" s="16" t="n">
        <x:v>181464</x:v>
      </x:c>
      <x:c r="B987" s="16" t="str">
        <x:v>University of Nebraska-Lincoln</x:v>
      </x:c>
      <x:c r="C987" s="16" t="str">
        <x:v>NE</x:v>
      </x:c>
      <x:c r="D987" s="16" t="str">
        <x:v>Public</x:v>
      </x:c>
      <x:c r="E987" s="34" t="n">
        <x:v>20182</x:v>
      </x:c>
      <x:c r="F987" s="21" t="n">
        <x:v>0.8107</x:v>
      </x:c>
      <x:c r="G987" s="16" t="str">
        <x:v>Statewide</x:v>
      </x:c>
      <x:c r="H987" s="36" t="n">
        <x:f>IF(G987="National",Assumptions!$B$11,IF(G987="Statewide",Assumptions!$B$12,Assumptions!$B$13))</x:f>
        <x:v>0.6</x:v>
      </x:c>
      <x:c r="I987" s="21" t="n">
        <x:v>-0.02286991997489407</x:v>
      </x:c>
      <x:c r="J987" s="21" t="n">
        <x:v>-0.018947120665306794</x:v>
      </x:c>
      <x:c r="K987" s="21" t="n">
        <x:v>-0.08743919661070143</x:v>
      </x:c>
      <x:c r="L987" s="36" t="n">
        <x:f>IF(Assumptions!$B$4=2030,I987,IF(Assumptions!$B$4=2035,J987,K987))</x:f>
        <x:v>-0.018947120665306794</x:v>
      </x:c>
      <x:c r="M987" s="36" t="n">
        <x:f>Assumptions!$B$19</x:f>
        <x:v>-0.04739891965741583</x:v>
      </x:c>
      <x:c r="N987" s="52" t="n">
        <x:f>H987*L987+(1-H987)*M987+O987</x:f>
        <x:v>-0.030327840262150407</x:v>
      </x:c>
      <x:c r="O987" s="36" t="n">
        <x:f>Assumptions!$B$10</x:f>
        <x:v>0</x:v>
      </x:c>
      <x:c r="P987" s="54" t="n">
        <x:f>E987*(1+N987)</x:f>
        <x:v>19569.92352782928</x:v>
      </x:c>
      <x:c r="Q987" s="54" t="n">
        <x:f>P987-E987</x:f>
        <x:v>-612.0764721707201</x:v>
      </x:c>
      <x:c r="R987" s="16" t="str">
        <x:v>Yes</x:v>
      </x:c>
      <x:c r="S987" s="56" t="n">
        <x:v>10602</x:v>
      </x:c>
      <x:c r="T987" s="56" t="n">
        <x:v>11981</x:v>
      </x:c>
      <x:c r="U987" s="40" t="n">
        <x:f>E987*Assumptions!$B$8</x:f>
        <x:v>17154.7</x:v>
      </x:c>
      <x:c r="V987" s="40" t="n">
        <x:f>P987*Assumptions!$B$8</x:f>
        <x:v>16634.434998654888</x:v>
      </x:c>
      <x:c r="W987" s="54" t="n">
        <x:f>V987-U987</x:f>
        <x:v>-520.265001345113</x:v>
      </x:c>
      <x:c r="X987" s="58" t="n">
        <x:f>IF(R987="No","",W987*S987)</x:f>
        <x:v>-5515849.544260887</x:v>
      </x:c>
      <x:c r="Y987" s="58" t="n">
        <x:f>IF(R987="No","",W987*T987*Assumptions!$B$9)</x:f>
        <x:v>-1869988.4943347394</x:v>
      </x:c>
      <x:c r="Z987" s="58" t="n">
        <x:f>IF(R987="No","",X987-Y987)</x:f>
        <x:v>-3645861.049926148</x:v>
      </x:c>
      <x:c r="AA987" s="58" t="n">
        <x:f>IF(R987="No","",MAX(0,-Z987))</x:f>
        <x:v>3645861.049926148</x:v>
      </x:c>
      <x:c r="AB987" s="52" t="n">
        <x:f>IF(OR(R987="No",U987*S987=0),"",AA987/(U987*S987))</x:f>
        <x:v>0.020046067365126576</x:v>
      </x:c>
      <x:c r="AC987" s="54" t="n">
        <x:f>IF(OR(R987="No",S987-T987*Assumptions!$B$9&lt;=0),"",AA987/(Assumptions!$B$8*(S987-T987*Assumptions!$B$9)))</x:f>
        <x:v>612.0764721707211</x:v>
      </x:c>
      <x:c r="AD987" s="52" t="n">
        <x:f>IF(OR(R987="No",U987*S987=0),"",AA987/(U987*S987))</x:f>
        <x:v>0.020046067365126576</x:v>
      </x:c>
      <x:c r="AE987" s="50" t="str">
        <x:f>IF(R987="No","No finance data",IF(AB987&gt;=10%,"Severe",IF(AB987&gt;=5%,"High",IF(AB987&gt;=2%,"Moderate","Low"))))</x:f>
        <x:v>Moderate</x:v>
      </x:c>
      <x:c r="AF987" s="60" t="n">
        <x:v>40.817598</x:v>
      </x:c>
      <x:c r="AG987" s="60" t="n">
        <x:v>-96.700508</x:v>
      </x:c>
      <x:c r="AH987" s="44" t="str">
        <x:v>Undergraduate tuition-contribution proxy only; not an audited total institutional budget.</x:v>
      </x:c>
    </x:row>
    <x:row r="988">
      <x:c r="A988" s="16" t="n">
        <x:v>181783</x:v>
      </x:c>
      <x:c r="B988" s="16" t="str">
        <x:v>Wayne State College</x:v>
      </x:c>
      <x:c r="C988" s="16" t="str">
        <x:v>NE</x:v>
      </x:c>
      <x:c r="D988" s="16" t="str">
        <x:v>Public</x:v>
      </x:c>
      <x:c r="E988" s="34" t="n">
        <x:v>2783</x:v>
      </x:c>
      <x:c r="F988" s="21"/>
      <x:c r="G988" s="16" t="str">
        <x:v>Regional</x:v>
      </x:c>
      <x:c r="H988" s="36" t="n">
        <x:f>IF(G988="National",Assumptions!$B$11,IF(G988="Statewide",Assumptions!$B$12,Assumptions!$B$13))</x:f>
        <x:v>0.85</x:v>
      </x:c>
      <x:c r="I988" s="21" t="n">
        <x:v>-0.02286991997489407</x:v>
      </x:c>
      <x:c r="J988" s="21" t="n">
        <x:v>-0.018947120665306794</x:v>
      </x:c>
      <x:c r="K988" s="21" t="n">
        <x:v>-0.08743919661070143</x:v>
      </x:c>
      <x:c r="L988" s="36" t="n">
        <x:f>IF(Assumptions!$B$4=2030,I988,IF(Assumptions!$B$4=2035,J988,K988))</x:f>
        <x:v>-0.018947120665306794</x:v>
      </x:c>
      <x:c r="M988" s="36" t="n">
        <x:f>Assumptions!$B$19</x:f>
        <x:v>-0.04739891965741583</x:v>
      </x:c>
      <x:c r="N988" s="52" t="n">
        <x:f>H988*L988+(1-H988)*M988+O988</x:f>
        <x:v>-0.02321489051412315</x:v>
      </x:c>
      <x:c r="O988" s="36" t="n">
        <x:f>Assumptions!$B$10</x:f>
        <x:v>0</x:v>
      </x:c>
      <x:c r="P988" s="54" t="n">
        <x:f>E988*(1+N988)</x:f>
        <x:v>2718.392959699195</x:v>
      </x:c>
      <x:c r="Q988" s="54" t="n">
        <x:f>P988-E988</x:f>
        <x:v>-64.60704030080478</x:v>
      </x:c>
      <x:c r="R988" s="16" t="str">
        <x:v>Yes</x:v>
      </x:c>
      <x:c r="S988" s="56" t="n">
        <x:v>5057</x:v>
      </x:c>
      <x:c r="T988" s="56" t="n">
        <x:v>6586</x:v>
      </x:c>
      <x:c r="U988" s="40" t="n">
        <x:f>E988*Assumptions!$B$8</x:f>
        <x:v>2365.5499999999997</x:v>
      </x:c>
      <x:c r="V988" s="40" t="n">
        <x:f>P988*Assumptions!$B$8</x:f>
        <x:v>2310.634015744316</x:v>
      </x:c>
      <x:c r="W988" s="54" t="n">
        <x:f>V988-U988</x:f>
        <x:v>-54.915984255683725</x:v>
      </x:c>
      <x:c r="X988" s="58" t="n">
        <x:f>IF(R988="No","",W988*S988)</x:f>
        <x:v>-277710.1323809926</x:v>
      </x:c>
      <x:c r="Y988" s="58" t="n">
        <x:f>IF(R988="No","",W988*T988*Assumptions!$B$9)</x:f>
        <x:v>-108503.0016923799</x:v>
      </x:c>
      <x:c r="Z988" s="58" t="n">
        <x:f>IF(R988="No","",X988-Y988)</x:f>
        <x:v>-169207.1306886127</x:v>
      </x:c>
      <x:c r="AA988" s="58" t="n">
        <x:f>IF(R988="No","",MAX(0,-Z988))</x:f>
        <x:v>169207.1306886127</x:v>
      </x:c>
      <x:c r="AB988" s="52" t="n">
        <x:f>IF(OR(R988="No",U988*S988=0),"",AA988/(U988*S988))</x:f>
        <x:v>0.014144694611848108</x:v>
      </x:c>
      <x:c r="AC988" s="54" t="n">
        <x:f>IF(OR(R988="No",S988-T988*Assumptions!$B$9&lt;=0),"",AA988/(Assumptions!$B$8*(S988-T988*Assumptions!$B$9)))</x:f>
        <x:v>64.60704030080439</x:v>
      </x:c>
      <x:c r="AD988" s="52" t="n">
        <x:f>IF(OR(R988="No",U988*S988=0),"",AA988/(U988*S988))</x:f>
        <x:v>0.014144694611848108</x:v>
      </x:c>
      <x:c r="AE988" s="50" t="str">
        <x:f>IF(R988="No","No finance data",IF(AB988&gt;=10%,"Severe",IF(AB988&gt;=5%,"High",IF(AB988&gt;=2%,"Moderate","Low"))))</x:f>
        <x:v>Low</x:v>
      </x:c>
      <x:c r="AF988" s="60" t="n">
        <x:v>42.241556</x:v>
      </x:c>
      <x:c r="AG988" s="60" t="n">
        <x:v>-97.015122</x:v>
      </x:c>
      <x:c r="AH988" s="44" t="str">
        <x:v>Undergraduate tuition-contribution proxy only; not an audited total institutional budget.</x:v>
      </x:c>
    </x:row>
    <x:row r="989">
      <x:c r="A989" s="16" t="n">
        <x:v>181853</x:v>
      </x:c>
      <x:c r="B989" s="16" t="str">
        <x:v>York College</x:v>
      </x:c>
      <x:c r="C989" s="16" t="str">
        <x:v>NE</x:v>
      </x:c>
      <x:c r="D989" s="16" t="str">
        <x:v>Private nonprofit</x:v>
      </x:c>
      <x:c r="E989" s="34" t="n">
        <x:v>404</x:v>
      </x:c>
      <x:c r="F989" s="21"/>
      <x:c r="G989" s="16" t="str">
        <x:v>Regional</x:v>
      </x:c>
      <x:c r="H989" s="36" t="n">
        <x:f>IF(G989="National",Assumptions!$B$11,IF(G989="Statewide",Assumptions!$B$12,Assumptions!$B$13))</x:f>
        <x:v>0.85</x:v>
      </x:c>
      <x:c r="I989" s="21" t="n">
        <x:v>-0.02286991997489407</x:v>
      </x:c>
      <x:c r="J989" s="21" t="n">
        <x:v>-0.018947120665306794</x:v>
      </x:c>
      <x:c r="K989" s="21" t="n">
        <x:v>-0.08743919661070143</x:v>
      </x:c>
      <x:c r="L989" s="36" t="n">
        <x:f>IF(Assumptions!$B$4=2030,I989,IF(Assumptions!$B$4=2035,J989,K989))</x:f>
        <x:v>-0.018947120665306794</x:v>
      </x:c>
      <x:c r="M989" s="36" t="n">
        <x:f>Assumptions!$B$19</x:f>
        <x:v>-0.04739891965741583</x:v>
      </x:c>
      <x:c r="N989" s="52" t="n">
        <x:f>H989*L989+(1-H989)*M989+O989</x:f>
        <x:v>-0.02321489051412315</x:v>
      </x:c>
      <x:c r="O989" s="36" t="n">
        <x:f>Assumptions!$B$10</x:f>
        <x:v>0</x:v>
      </x:c>
      <x:c r="P989" s="54" t="n">
        <x:f>E989*(1+N989)</x:f>
        <x:v>394.62118423229424</x:v>
      </x:c>
      <x:c r="Q989" s="54" t="n">
        <x:f>P989-E989</x:f>
        <x:v>-9.37881576770576</x:v>
      </x:c>
      <x:c r="R989" s="16" t="str">
        <x:v>No</x:v>
      </x:c>
      <x:c r="S989" s="56"/>
      <x:c r="T989" s="56"/>
      <x:c r="U989" s="40" t="n">
        <x:f>E989*Assumptions!$B$8</x:f>
        <x:v>343.4</x:v>
      </x:c>
      <x:c r="V989" s="40" t="n">
        <x:f>P989*Assumptions!$B$8</x:f>
        <x:v>335.4280065974501</x:v>
      </x:c>
      <x:c r="W989" s="54" t="n">
        <x:f>V989-U989</x:f>
        <x:v>-7.971993402549856</x:v>
      </x:c>
      <x:c r="X989" s="58" t="str">
        <x:f>IF(R989="No","",W989*S989)</x:f>
      </x:c>
      <x:c r="Y989" s="58" t="str">
        <x:f>IF(R989="No","",W989*T989*Assumptions!$B$9)</x:f>
      </x:c>
      <x:c r="Z989" s="58" t="str">
        <x:f>IF(R989="No","",X989-Y989)</x:f>
      </x:c>
      <x:c r="AA989" s="58" t="str">
        <x:f>IF(R989="No","",MAX(0,-Z989))</x:f>
      </x:c>
      <x:c r="AB989" s="52" t="str">
        <x:f>IF(OR(R989="No",U989*S989=0),"",AA989/(U989*S989))</x:f>
      </x:c>
      <x:c r="AC989" s="54" t="str">
        <x:f>IF(OR(R989="No",S989-T989*Assumptions!$B$9&lt;=0),"",AA989/(Assumptions!$B$8*(S989-T989*Assumptions!$B$9)))</x:f>
      </x:c>
      <x:c r="AD989" s="52" t="str">
        <x:f>IF(OR(R989="No",U989*S989=0),"",AA989/(U989*S989))</x:f>
      </x:c>
      <x:c r="AE989" s="50" t="str">
        <x:f>IF(R989="No","No finance data",IF(AB989&gt;=10%,"Severe",IF(AB989&gt;=5%,"High",IF(AB989&gt;=2%,"Moderate","Low"))))</x:f>
        <x:v>No finance data</x:v>
      </x:c>
      <x:c r="AF989" s="60"/>
      <x:c r="AG989" s="60"/>
      <x:c r="AH989" s="44" t="str">
        <x:v>Undergraduate tuition-contribution proxy only; not an audited total institutional budget.</x:v>
      </x:c>
    </x:row>
    <x:row r="990">
      <x:c r="A990" s="16" t="n">
        <x:v>182634</x:v>
      </x:c>
      <x:c r="B990" s="16" t="str">
        <x:v>Colby-Sawyer College</x:v>
      </x:c>
      <x:c r="C990" s="16" t="str">
        <x:v>NH</x:v>
      </x:c>
      <x:c r="D990" s="16" t="str">
        <x:v>Private nonprofit</x:v>
      </x:c>
      <x:c r="E990" s="34" t="n">
        <x:v>1205</x:v>
      </x:c>
      <x:c r="F990" s="21" t="n">
        <x:v>0.9307</x:v>
      </x:c>
      <x:c r="G990" s="16" t="str">
        <x:v>Regional</x:v>
      </x:c>
      <x:c r="H990" s="36" t="n">
        <x:f>IF(G990="National",Assumptions!$B$11,IF(G990="Statewide",Assumptions!$B$12,Assumptions!$B$13))</x:f>
        <x:v>0.85</x:v>
      </x:c>
      <x:c r="I990" s="21" t="n">
        <x:v>-0.07013738250180768</x:v>
      </x:c>
      <x:c r="J990" s="21" t="n">
        <x:v>-0.06382699007427861</x:v>
      </x:c>
      <x:c r="K990" s="21" t="n">
        <x:v>-0.08210083481233155</x:v>
      </x:c>
      <x:c r="L990" s="36" t="n">
        <x:f>IF(Assumptions!$B$4=2030,I990,IF(Assumptions!$B$4=2035,J990,K990))</x:f>
        <x:v>-0.06382699007427861</x:v>
      </x:c>
      <x:c r="M990" s="36" t="n">
        <x:f>Assumptions!$B$19</x:f>
        <x:v>-0.04739891965741583</x:v>
      </x:c>
      <x:c r="N990" s="52" t="n">
        <x:f>H990*L990+(1-H990)*M990+O990</x:f>
        <x:v>-0.0613627795117492</x:v>
      </x:c>
      <x:c r="O990" s="36" t="n">
        <x:f>Assumptions!$B$10</x:f>
        <x:v>0</x:v>
      </x:c>
      <x:c r="P990" s="54" t="n">
        <x:f>E990*(1+N990)</x:f>
        <x:v>1131.0578506883423</x:v>
      </x:c>
      <x:c r="Q990" s="54" t="n">
        <x:f>P990-E990</x:f>
        <x:v>-73.94214931165766</x:v>
      </x:c>
      <x:c r="R990" s="16" t="str">
        <x:v>Yes</x:v>
      </x:c>
      <x:c r="S990" s="56" t="n">
        <x:v>11744</x:v>
      </x:c>
      <x:c r="T990" s="56" t="n">
        <x:v>10075</x:v>
      </x:c>
      <x:c r="U990" s="40" t="n">
        <x:f>E990*Assumptions!$B$8</x:f>
        <x:v>1024.25</x:v>
      </x:c>
      <x:c r="V990" s="40" t="n">
        <x:f>P990*Assumptions!$B$8</x:f>
        <x:v>961.399173085091</x:v>
      </x:c>
      <x:c r="W990" s="54" t="n">
        <x:f>V990-U990</x:f>
        <x:v>-62.85082691490902</x:v>
      </x:c>
      <x:c r="X990" s="58" t="n">
        <x:f>IF(R990="No","",W990*S990)</x:f>
        <x:v>-738120.1112886915</x:v>
      </x:c>
      <x:c r="Y990" s="58" t="n">
        <x:f>IF(R990="No","",W990*T990*Assumptions!$B$9)</x:f>
        <x:v>-189966.62435031252</x:v>
      </x:c>
      <x:c r="Z990" s="58" t="n">
        <x:f>IF(R990="No","",X990-Y990)</x:f>
        <x:v>-548153.486938379</x:v>
      </x:c>
      <x:c r="AA990" s="58" t="n">
        <x:f>IF(R990="No","",MAX(0,-Z990))</x:f>
        <x:v>548153.486938379</x:v>
      </x:c>
      <x:c r="AB990" s="52" t="n">
        <x:f>IF(OR(R990="No",U990*S990=0),"",AA990/(U990*S990))</x:f>
        <x:v>0.045570119338532</x:v>
      </x:c>
      <x:c r="AC990" s="54" t="n">
        <x:f>IF(OR(R990="No",S990-T990*Assumptions!$B$9&lt;=0),"",AA990/(Assumptions!$B$8*(S990-T990*Assumptions!$B$9)))</x:f>
        <x:v>73.94214931165767</x:v>
      </x:c>
      <x:c r="AD990" s="52" t="n">
        <x:f>IF(OR(R990="No",U990*S990=0),"",AA990/(U990*S990))</x:f>
        <x:v>0.045570119338532</x:v>
      </x:c>
      <x:c r="AE990" s="50" t="str">
        <x:f>IF(R990="No","No finance data",IF(AB990&gt;=10%,"Severe",IF(AB990&gt;=5%,"High",IF(AB990&gt;=2%,"Moderate","Low"))))</x:f>
        <x:v>Moderate</x:v>
      </x:c>
      <x:c r="AF990" s="60" t="n">
        <x:v>43.411663</x:v>
      </x:c>
      <x:c r="AG990" s="60" t="n">
        <x:v>-71.975805</x:v>
      </x:c>
      <x:c r="AH990" s="44" t="str">
        <x:v>Undergraduate tuition-contribution proxy only; not an audited total institutional budget.</x:v>
      </x:c>
    </x:row>
    <x:row r="991">
      <x:c r="A991" s="16" t="n">
        <x:v>182670</x:v>
      </x:c>
      <x:c r="B991" s="16" t="str">
        <x:v>Dartmouth College</x:v>
      </x:c>
      <x:c r="C991" s="16" t="str">
        <x:v>NH</x:v>
      </x:c>
      <x:c r="D991" s="16" t="str">
        <x:v>Private nonprofit</x:v>
      </x:c>
      <x:c r="E991" s="34" t="n">
        <x:v>4214</x:v>
      </x:c>
      <x:c r="F991" s="21" t="n">
        <x:v>0.0617</x:v>
      </x:c>
      <x:c r="G991" s="16" t="str">
        <x:v>National</x:v>
      </x:c>
      <x:c r="H991" s="36" t="n">
        <x:f>IF(G991="National",Assumptions!$B$11,IF(G991="Statewide",Assumptions!$B$12,Assumptions!$B$13))</x:f>
        <x:v>0.25</x:v>
      </x:c>
      <x:c r="I991" s="21" t="n">
        <x:v>-0.07013738250180768</x:v>
      </x:c>
      <x:c r="J991" s="21" t="n">
        <x:v>-0.06382699007427861</x:v>
      </x:c>
      <x:c r="K991" s="21" t="n">
        <x:v>-0.08210083481233155</x:v>
      </x:c>
      <x:c r="L991" s="36" t="n">
        <x:f>IF(Assumptions!$B$4=2030,I991,IF(Assumptions!$B$4=2035,J991,K991))</x:f>
        <x:v>-0.06382699007427861</x:v>
      </x:c>
      <x:c r="M991" s="36" t="n">
        <x:f>Assumptions!$B$19</x:f>
        <x:v>-0.04739891965741583</x:v>
      </x:c>
      <x:c r="N991" s="52" t="n">
        <x:f>H991*L991+(1-H991)*M991+O991</x:f>
        <x:v>-0.051505937261631524</x:v>
      </x:c>
      <x:c r="O991" s="36" t="n">
        <x:f>Assumptions!$B$10</x:f>
        <x:v>0</x:v>
      </x:c>
      <x:c r="P991" s="54" t="n">
        <x:f>E991*(1+N991)</x:f>
        <x:v>3996.9539803794846</x:v>
      </x:c>
      <x:c r="Q991" s="54" t="n">
        <x:f>P991-E991</x:f>
        <x:v>-217.04601962051538</x:v>
      </x:c>
      <x:c r="R991" s="16" t="str">
        <x:v>Yes</x:v>
      </x:c>
      <x:c r="S991" s="56" t="n">
        <x:v>35405</x:v>
      </x:c>
      <x:c r="T991" s="56" t="n">
        <x:v>28821</x:v>
      </x:c>
      <x:c r="U991" s="40" t="n">
        <x:f>E991*Assumptions!$B$8</x:f>
        <x:v>3581.9</x:v>
      </x:c>
      <x:c r="V991" s="40" t="n">
        <x:f>P991*Assumptions!$B$8</x:f>
        <x:v>3397.410883322562</x:v>
      </x:c>
      <x:c r="W991" s="54" t="n">
        <x:f>V991-U991</x:f>
        <x:v>-184.48911667743823</x:v>
      </x:c>
      <x:c r="X991" s="58" t="n">
        <x:f>IF(R991="No","",W991*S991)</x:f>
        <x:v>-6531837.175964701</x:v>
      </x:c>
      <x:c r="Y991" s="58" t="n">
        <x:f>IF(R991="No","",W991*T991*Assumptions!$B$9)</x:f>
        <x:v>-1595148.2495281342</x:v>
      </x:c>
      <x:c r="Z991" s="58" t="n">
        <x:f>IF(R991="No","",X991-Y991)</x:f>
        <x:v>-4936688.926436567</x:v>
      </x:c>
      <x:c r="AA991" s="58" t="n">
        <x:f>IF(R991="No","",MAX(0,-Z991))</x:f>
        <x:v>4936688.926436567</x:v>
      </x:c>
      <x:c r="AB991" s="52" t="n">
        <x:f>IF(OR(R991="No",U991*S991=0),"",AA991/(U991*S991))</x:f>
        <x:v>0.0389276069313041</x:v>
      </x:c>
      <x:c r="AC991" s="54" t="n">
        <x:f>IF(OR(R991="No",S991-T991*Assumptions!$B$9&lt;=0),"",AA991/(Assumptions!$B$8*(S991-T991*Assumptions!$B$9)))</x:f>
        <x:v>217.04601962051558</x:v>
      </x:c>
      <x:c r="AD991" s="52" t="n">
        <x:f>IF(OR(R991="No",U991*S991=0),"",AA991/(U991*S991))</x:f>
        <x:v>0.0389276069313041</x:v>
      </x:c>
      <x:c r="AE991" s="50" t="str">
        <x:f>IF(R991="No","No finance data",IF(AB991&gt;=10%,"Severe",IF(AB991&gt;=5%,"High",IF(AB991&gt;=2%,"Moderate","Low"))))</x:f>
        <x:v>Moderate</x:v>
      </x:c>
      <x:c r="AF991" s="60" t="n">
        <x:v>43.704115</x:v>
      </x:c>
      <x:c r="AG991" s="60" t="n">
        <x:v>-72.289949</x:v>
      </x:c>
      <x:c r="AH991" s="44" t="str">
        <x:v>Undergraduate tuition-contribution proxy only; not an audited total institutional budget.</x:v>
      </x:c>
    </x:row>
    <x:row r="992">
      <x:c r="A992" s="16" t="n">
        <x:v>182795</x:v>
      </x:c>
      <x:c r="B992" s="16" t="str">
        <x:v>Franklin Pierce University</x:v>
      </x:c>
      <x:c r="C992" s="16" t="str">
        <x:v>NH</x:v>
      </x:c>
      <x:c r="D992" s="16" t="str">
        <x:v>Private nonprofit</x:v>
      </x:c>
      <x:c r="E992" s="34" t="n">
        <x:v>1661</x:v>
      </x:c>
      <x:c r="F992" s="21" t="n">
        <x:v>0.8853</x:v>
      </x:c>
      <x:c r="G992" s="16" t="str">
        <x:v>Regional</x:v>
      </x:c>
      <x:c r="H992" s="36" t="n">
        <x:f>IF(G992="National",Assumptions!$B$11,IF(G992="Statewide",Assumptions!$B$12,Assumptions!$B$13))</x:f>
        <x:v>0.85</x:v>
      </x:c>
      <x:c r="I992" s="21" t="n">
        <x:v>-0.07013738250180768</x:v>
      </x:c>
      <x:c r="J992" s="21" t="n">
        <x:v>-0.06382699007427861</x:v>
      </x:c>
      <x:c r="K992" s="21" t="n">
        <x:v>-0.08210083481233155</x:v>
      </x:c>
      <x:c r="L992" s="36" t="n">
        <x:f>IF(Assumptions!$B$4=2030,I992,IF(Assumptions!$B$4=2035,J992,K992))</x:f>
        <x:v>-0.06382699007427861</x:v>
      </x:c>
      <x:c r="M992" s="36" t="n">
        <x:f>Assumptions!$B$19</x:f>
        <x:v>-0.04739891965741583</x:v>
      </x:c>
      <x:c r="N992" s="52" t="n">
        <x:f>H992*L992+(1-H992)*M992+O992</x:f>
        <x:v>-0.0613627795117492</x:v>
      </x:c>
      <x:c r="O992" s="36" t="n">
        <x:f>Assumptions!$B$10</x:f>
        <x:v>0</x:v>
      </x:c>
      <x:c r="P992" s="54" t="n">
        <x:f>E992*(1+N992)</x:f>
        <x:v>1559.0764232309846</x:v>
      </x:c>
      <x:c r="Q992" s="54" t="n">
        <x:f>P992-E992</x:f>
        <x:v>-101.92357676901543</x:v>
      </x:c>
      <x:c r="R992" s="16" t="str">
        <x:v>Yes</x:v>
      </x:c>
      <x:c r="S992" s="56" t="n">
        <x:v>15467</x:v>
      </x:c>
      <x:c r="T992" s="56" t="n">
        <x:v>7981</x:v>
      </x:c>
      <x:c r="U992" s="40" t="n">
        <x:f>E992*Assumptions!$B$8</x:f>
        <x:v>1411.85</x:v>
      </x:c>
      <x:c r="V992" s="40" t="n">
        <x:f>P992*Assumptions!$B$8</x:f>
        <x:v>1325.214959746337</x:v>
      </x:c>
      <x:c r="W992" s="54" t="n">
        <x:f>V992-U992</x:f>
        <x:v>-86.63504025366296</x:v>
      </x:c>
      <x:c r="X992" s="58" t="n">
        <x:f>IF(R992="No","",W992*S992)</x:f>
        <x:v>-1339984.167603405</x:v>
      </x:c>
      <x:c r="Y992" s="58" t="n">
        <x:f>IF(R992="No","",W992*T992*Assumptions!$B$9)</x:f>
        <x:v>-207430.27687934524</x:v>
      </x:c>
      <x:c r="Z992" s="58" t="n">
        <x:f>IF(R992="No","",X992-Y992)</x:f>
        <x:v>-1132553.8907240597</x:v>
      </x:c>
      <x:c r="AA992" s="58" t="n">
        <x:f>IF(R992="No","",MAX(0,-Z992))</x:f>
        <x:v>1132553.8907240597</x:v>
      </x:c>
      <x:c r="AB992" s="52" t="n">
        <x:f>IF(OR(R992="No",U992*S992=0),"",AA992/(U992*S992))</x:f>
        <x:v>0.05186378791771141</x:v>
      </x:c>
      <x:c r="AC992" s="54" t="n">
        <x:f>IF(OR(R992="No",S992-T992*Assumptions!$B$9&lt;=0),"",AA992/(Assumptions!$B$8*(S992-T992*Assumptions!$B$9)))</x:f>
        <x:v>101.92357676901524</x:v>
      </x:c>
      <x:c r="AD992" s="52" t="n">
        <x:f>IF(OR(R992="No",U992*S992=0),"",AA992/(U992*S992))</x:f>
        <x:v>0.05186378791771141</x:v>
      </x:c>
      <x:c r="AE992" s="50" t="str">
        <x:f>IF(R992="No","No finance data",IF(AB992&gt;=10%,"Severe",IF(AB992&gt;=5%,"High",IF(AB992&gt;=2%,"Moderate","Low"))))</x:f>
        <x:v>High</x:v>
      </x:c>
      <x:c r="AF992" s="60" t="n">
        <x:v>42.78014</x:v>
      </x:c>
      <x:c r="AG992" s="60" t="n">
        <x:v>-72.058011</x:v>
      </x:c>
      <x:c r="AH992" s="44" t="str">
        <x:v>Undergraduate tuition-contribution proxy only; not an audited total institutional budget.</x:v>
      </x:c>
    </x:row>
    <x:row r="993">
      <x:c r="A993" s="16" t="n">
        <x:v>183257</x:v>
      </x:c>
      <x:c r="B993" s="16" t="str">
        <x:v>Granite State College</x:v>
      </x:c>
      <x:c r="C993" s="16" t="str">
        <x:v>NH</x:v>
      </x:c>
      <x:c r="D993" s="16" t="str">
        <x:v>Public</x:v>
      </x:c>
      <x:c r="E993" s="34" t="n">
        <x:v>1813</x:v>
      </x:c>
      <x:c r="F993" s="21"/>
      <x:c r="G993" s="16" t="str">
        <x:v>Regional</x:v>
      </x:c>
      <x:c r="H993" s="36" t="n">
        <x:f>IF(G993="National",Assumptions!$B$11,IF(G993="Statewide",Assumptions!$B$12,Assumptions!$B$13))</x:f>
        <x:v>0.85</x:v>
      </x:c>
      <x:c r="I993" s="21" t="n">
        <x:v>-0.07013738250180768</x:v>
      </x:c>
      <x:c r="J993" s="21" t="n">
        <x:v>-0.06382699007427861</x:v>
      </x:c>
      <x:c r="K993" s="21" t="n">
        <x:v>-0.08210083481233155</x:v>
      </x:c>
      <x:c r="L993" s="36" t="n">
        <x:f>IF(Assumptions!$B$4=2030,I993,IF(Assumptions!$B$4=2035,J993,K993))</x:f>
        <x:v>-0.06382699007427861</x:v>
      </x:c>
      <x:c r="M993" s="36" t="n">
        <x:f>Assumptions!$B$19</x:f>
        <x:v>-0.04739891965741583</x:v>
      </x:c>
      <x:c r="N993" s="52" t="n">
        <x:f>H993*L993+(1-H993)*M993+O993</x:f>
        <x:v>-0.0613627795117492</x:v>
      </x:c>
      <x:c r="O993" s="36" t="n">
        <x:f>Assumptions!$B$10</x:f>
        <x:v>0</x:v>
      </x:c>
      <x:c r="P993" s="54" t="n">
        <x:f>E993*(1+N993)</x:f>
        <x:v>1701.7492807451988</x:v>
      </x:c>
      <x:c r="Q993" s="54" t="n">
        <x:f>P993-E993</x:f>
        <x:v>-111.2507192548012</x:v>
      </x:c>
      <x:c r="R993" s="16" t="str">
        <x:v>Yes</x:v>
      </x:c>
      <x:c r="S993" s="56" t="n">
        <x:v>6749</x:v>
      </x:c>
      <x:c r="T993" s="56" t="n">
        <x:v>2527</x:v>
      </x:c>
      <x:c r="U993" s="40" t="n">
        <x:f>E993*Assumptions!$B$8</x:f>
        <x:v>1541.05</x:v>
      </x:c>
      <x:c r="V993" s="40" t="n">
        <x:f>P993*Assumptions!$B$8</x:f>
        <x:v>1446.4868886334189</x:v>
      </x:c>
      <x:c r="W993" s="54" t="n">
        <x:f>V993-U993</x:f>
        <x:v>-94.5631113665811</x:v>
      </x:c>
      <x:c r="X993" s="58" t="n">
        <x:f>IF(R993="No","",W993*S993)</x:f>
        <x:v>-638206.4386130559</x:v>
      </x:c>
      <x:c r="Y993" s="58" t="n">
        <x:f>IF(R993="No","",W993*T993*Assumptions!$B$9)</x:f>
        <x:v>-71688.29472700512</x:v>
      </x:c>
      <x:c r="Z993" s="58" t="n">
        <x:f>IF(R993="No","",X993-Y993)</x:f>
        <x:v>-566518.1438860507</x:v>
      </x:c>
      <x:c r="AA993" s="58" t="n">
        <x:f>IF(R993="No","",MAX(0,-Z993))</x:f>
        <x:v>566518.1438860507</x:v>
      </x:c>
      <x:c r="AB993" s="52" t="n">
        <x:f>IF(OR(R993="No",U993*S993=0),"",AA993/(U993*S993))</x:f>
        <x:v>0.05447003641679334</x:v>
      </x:c>
      <x:c r="AC993" s="54" t="n">
        <x:f>IF(OR(R993="No",S993-T993*Assumptions!$B$9&lt;=0),"",AA993/(Assumptions!$B$8*(S993-T993*Assumptions!$B$9)))</x:f>
        <x:v>111.2507192548013</x:v>
      </x:c>
      <x:c r="AD993" s="52" t="n">
        <x:f>IF(OR(R993="No",U993*S993=0),"",AA993/(U993*S993))</x:f>
        <x:v>0.05447003641679334</x:v>
      </x:c>
      <x:c r="AE993" s="50" t="str">
        <x:f>IF(R993="No","No finance data",IF(AB993&gt;=10%,"Severe",IF(AB993&gt;=5%,"High",IF(AB993&gt;=2%,"Moderate","Low"))))</x:f>
        <x:v>High</x:v>
      </x:c>
      <x:c r="AF993" s="60" t="n">
        <x:v>43.19291</x:v>
      </x:c>
      <x:c r="AG993" s="60" t="n">
        <x:v>-71.527241</x:v>
      </x:c>
      <x:c r="AH993" s="44" t="str">
        <x:v>Undergraduate tuition-contribution proxy only; not an audited total institutional budget.</x:v>
      </x:c>
    </x:row>
    <x:row r="994">
      <x:c r="A994" s="16" t="n">
        <x:v>183062</x:v>
      </x:c>
      <x:c r="B994" s="16" t="str">
        <x:v>Keene State College</x:v>
      </x:c>
      <x:c r="C994" s="16" t="str">
        <x:v>NH</x:v>
      </x:c>
      <x:c r="D994" s="16" t="str">
        <x:v>Public</x:v>
      </x:c>
      <x:c r="E994" s="34" t="n">
        <x:v>4186</x:v>
      </x:c>
      <x:c r="F994" s="21" t="n">
        <x:v>0.8809</x:v>
      </x:c>
      <x:c r="G994" s="16" t="str">
        <x:v>Regional</x:v>
      </x:c>
      <x:c r="H994" s="36" t="n">
        <x:f>IF(G994="National",Assumptions!$B$11,IF(G994="Statewide",Assumptions!$B$12,Assumptions!$B$13))</x:f>
        <x:v>0.85</x:v>
      </x:c>
      <x:c r="I994" s="21" t="n">
        <x:v>-0.07013738250180768</x:v>
      </x:c>
      <x:c r="J994" s="21" t="n">
        <x:v>-0.06382699007427861</x:v>
      </x:c>
      <x:c r="K994" s="21" t="n">
        <x:v>-0.08210083481233155</x:v>
      </x:c>
      <x:c r="L994" s="36" t="n">
        <x:f>IF(Assumptions!$B$4=2030,I994,IF(Assumptions!$B$4=2035,J994,K994))</x:f>
        <x:v>-0.06382699007427861</x:v>
      </x:c>
      <x:c r="M994" s="36" t="n">
        <x:f>Assumptions!$B$19</x:f>
        <x:v>-0.04739891965741583</x:v>
      </x:c>
      <x:c r="N994" s="52" t="n">
        <x:f>H994*L994+(1-H994)*M994+O994</x:f>
        <x:v>-0.0613627795117492</x:v>
      </x:c>
      <x:c r="O994" s="36" t="n">
        <x:f>Assumptions!$B$10</x:f>
        <x:v>0</x:v>
      </x:c>
      <x:c r="P994" s="54" t="n">
        <x:f>E994*(1+N994)</x:f>
        <x:v>3929.135404963818</x:v>
      </x:c>
      <x:c r="Q994" s="54" t="n">
        <x:f>P994-E994</x:f>
        <x:v>-256.864595036182</x:v>
      </x:c>
      <x:c r="R994" s="16" t="str">
        <x:v>Yes</x:v>
      </x:c>
      <x:c r="S994" s="56" t="n">
        <x:v>9300</x:v>
      </x:c>
      <x:c r="T994" s="56" t="n">
        <x:v>11935</x:v>
      </x:c>
      <x:c r="U994" s="40" t="n">
        <x:f>E994*Assumptions!$B$8</x:f>
        <x:v>3558.1</x:v>
      </x:c>
      <x:c r="V994" s="40" t="n">
        <x:f>P994*Assumptions!$B$8</x:f>
        <x:v>3339.7650942192454</x:v>
      </x:c>
      <x:c r="W994" s="54" t="n">
        <x:f>V994-U994</x:f>
        <x:v>-218.33490578075453</x:v>
      </x:c>
      <x:c r="X994" s="58" t="n">
        <x:f>IF(R994="No","",W994*S994)</x:f>
        <x:v>-2030514.623761017</x:v>
      </x:c>
      <x:c r="Y994" s="58" t="n">
        <x:f>IF(R994="No","",W994*T994*Assumptions!$B$9)</x:f>
        <x:v>-781748.1301479916</x:v>
      </x:c>
      <x:c r="Z994" s="58" t="n">
        <x:f>IF(R994="No","",X994-Y994)</x:f>
        <x:v>-1248766.4936130256</x:v>
      </x:c>
      <x:c r="AA994" s="58" t="n">
        <x:f>IF(R994="No","",MAX(0,-Z994))</x:f>
        <x:v>1248766.4936130256</x:v>
      </x:c>
      <x:c r="AB994" s="52" t="n">
        <x:f>IF(OR(R994="No",U994*S994=0),"",AA994/(U994*S994))</x:f>
        <x:v>0.03773810939972571</x:v>
      </x:c>
      <x:c r="AC994" s="54" t="n">
        <x:f>IF(OR(R994="No",S994-T994*Assumptions!$B$9&lt;=0),"",AA994/(Assumptions!$B$8*(S994-T994*Assumptions!$B$9)))</x:f>
        <x:v>256.8645950361818</x:v>
      </x:c>
      <x:c r="AD994" s="52" t="n">
        <x:f>IF(OR(R994="No",U994*S994=0),"",AA994/(U994*S994))</x:f>
        <x:v>0.03773810939972571</x:v>
      </x:c>
      <x:c r="AE994" s="50" t="str">
        <x:f>IF(R994="No","No finance data",IF(AB994&gt;=10%,"Severe",IF(AB994&gt;=5%,"High",IF(AB994&gt;=2%,"Moderate","Low"))))</x:f>
        <x:v>Moderate</x:v>
      </x:c>
      <x:c r="AF994" s="60" t="n">
        <x:v>42.926452</x:v>
      </x:c>
      <x:c r="AG994" s="60" t="n">
        <x:v>-72.279276</x:v>
      </x:c>
      <x:c r="AH994" s="44" t="str">
        <x:v>Undergraduate tuition-contribution proxy only; not an audited total institutional budget.</x:v>
      </x:c>
    </x:row>
    <x:row r="995">
      <x:c r="A995" s="16" t="n">
        <x:v>182980</x:v>
      </x:c>
      <x:c r="B995" s="16" t="str">
        <x:v>New England College</x:v>
      </x:c>
      <x:c r="C995" s="16" t="str">
        <x:v>NH</x:v>
      </x:c>
      <x:c r="D995" s="16" t="str">
        <x:v>Private nonprofit</x:v>
      </x:c>
      <x:c r="E995" s="34" t="n">
        <x:v>1886</x:v>
      </x:c>
      <x:c r="F995" s="21" t="n">
        <x:v>0.9998</x:v>
      </x:c>
      <x:c r="G995" s="16" t="str">
        <x:v>Regional</x:v>
      </x:c>
      <x:c r="H995" s="36" t="n">
        <x:f>IF(G995="National",Assumptions!$B$11,IF(G995="Statewide",Assumptions!$B$12,Assumptions!$B$13))</x:f>
        <x:v>0.85</x:v>
      </x:c>
      <x:c r="I995" s="21" t="n">
        <x:v>-0.07013738250180768</x:v>
      </x:c>
      <x:c r="J995" s="21" t="n">
        <x:v>-0.06382699007427861</x:v>
      </x:c>
      <x:c r="K995" s="21" t="n">
        <x:v>-0.08210083481233155</x:v>
      </x:c>
      <x:c r="L995" s="36" t="n">
        <x:f>IF(Assumptions!$B$4=2030,I995,IF(Assumptions!$B$4=2035,J995,K995))</x:f>
        <x:v>-0.06382699007427861</x:v>
      </x:c>
      <x:c r="M995" s="36" t="n">
        <x:f>Assumptions!$B$19</x:f>
        <x:v>-0.04739891965741583</x:v>
      </x:c>
      <x:c r="N995" s="52" t="n">
        <x:f>H995*L995+(1-H995)*M995+O995</x:f>
        <x:v>-0.0613627795117492</x:v>
      </x:c>
      <x:c r="O995" s="36" t="n">
        <x:f>Assumptions!$B$10</x:f>
        <x:v>0</x:v>
      </x:c>
      <x:c r="P995" s="54" t="n">
        <x:f>E995*(1+N995)</x:f>
        <x:v>1770.269797840841</x:v>
      </x:c>
      <x:c r="Q995" s="54" t="n">
        <x:f>P995-E995</x:f>
        <x:v>-115.73020215915903</x:v>
      </x:c>
      <x:c r="R995" s="16" t="str">
        <x:v>Yes</x:v>
      </x:c>
      <x:c r="S995" s="56" t="n">
        <x:v>8032</x:v>
      </x:c>
      <x:c r="T995" s="56" t="n">
        <x:v>3173</x:v>
      </x:c>
      <x:c r="U995" s="40" t="n">
        <x:f>E995*Assumptions!$B$8</x:f>
        <x:v>1603.1</x:v>
      </x:c>
      <x:c r="V995" s="40" t="n">
        <x:f>P995*Assumptions!$B$8</x:f>
        <x:v>1504.7293281647148</x:v>
      </x:c>
      <x:c r="W995" s="54" t="n">
        <x:f>V995-U995</x:f>
        <x:v>-98.37067183528507</x:v>
      </x:c>
      <x:c r="X995" s="58" t="n">
        <x:f>IF(R995="No","",W995*S995)</x:f>
        <x:v>-790113.2361810097</x:v>
      </x:c>
      <x:c r="Y995" s="58" t="n">
        <x:f>IF(R995="No","",W995*T995*Assumptions!$B$9)</x:f>
        <x:v>-93639.04252000785</x:v>
      </x:c>
      <x:c r="Z995" s="58" t="n">
        <x:f>IF(R995="No","",X995-Y995)</x:f>
        <x:v>-696474.1936610019</x:v>
      </x:c>
      <x:c r="AA995" s="58" t="n">
        <x:f>IF(R995="No","",MAX(0,-Z995))</x:f>
        <x:v>696474.1936610019</x:v>
      </x:c>
      <x:c r="AB995" s="52" t="n">
        <x:f>IF(OR(R995="No",U995*S995=0),"",AA995/(U995*S995))</x:f>
        <x:v>0.054090465042472016</x:v>
      </x:c>
      <x:c r="AC995" s="54" t="n">
        <x:f>IF(OR(R995="No",S995-T995*Assumptions!$B$9&lt;=0),"",AA995/(Assumptions!$B$8*(S995-T995*Assumptions!$B$9)))</x:f>
        <x:v>115.7302021591589</x:v>
      </x:c>
      <x:c r="AD995" s="52" t="n">
        <x:f>IF(OR(R995="No",U995*S995=0),"",AA995/(U995*S995))</x:f>
        <x:v>0.054090465042472016</x:v>
      </x:c>
      <x:c r="AE995" s="50" t="str">
        <x:f>IF(R995="No","No finance data",IF(AB995&gt;=10%,"Severe",IF(AB995&gt;=5%,"High",IF(AB995&gt;=2%,"Moderate","Low"))))</x:f>
        <x:v>High</x:v>
      </x:c>
      <x:c r="AF995" s="60" t="n">
        <x:v>43.176403</x:v>
      </x:c>
      <x:c r="AG995" s="60" t="n">
        <x:v>-71.822282</x:v>
      </x:c>
      <x:c r="AH995" s="44" t="str">
        <x:v>Undergraduate tuition-contribution proxy only; not an audited total institutional budget.</x:v>
      </x:c>
    </x:row>
    <x:row r="996">
      <x:c r="A996" s="16" t="n">
        <x:v>430810</x:v>
      </x:c>
      <x:c r="B996" s="16" t="str">
        <x:v>New Hampshire Institute of Art</x:v>
      </x:c>
      <x:c r="C996" s="16" t="str">
        <x:v>NH</x:v>
      </x:c>
      <x:c r="D996" s="16" t="str">
        <x:v>Private nonprofit</x:v>
      </x:c>
      <x:c r="E996" s="34" t="n">
        <x:v>380</x:v>
      </x:c>
      <x:c r="F996" s="21"/>
      <x:c r="G996" s="16" t="str">
        <x:v>Regional</x:v>
      </x:c>
      <x:c r="H996" s="36" t="n">
        <x:f>IF(G996="National",Assumptions!$B$11,IF(G996="Statewide",Assumptions!$B$12,Assumptions!$B$13))</x:f>
        <x:v>0.85</x:v>
      </x:c>
      <x:c r="I996" s="21" t="n">
        <x:v>-0.07013738250180768</x:v>
      </x:c>
      <x:c r="J996" s="21" t="n">
        <x:v>-0.06382699007427861</x:v>
      </x:c>
      <x:c r="K996" s="21" t="n">
        <x:v>-0.08210083481233155</x:v>
      </x:c>
      <x:c r="L996" s="36" t="n">
        <x:f>IF(Assumptions!$B$4=2030,I996,IF(Assumptions!$B$4=2035,J996,K996))</x:f>
        <x:v>-0.06382699007427861</x:v>
      </x:c>
      <x:c r="M996" s="36" t="n">
        <x:f>Assumptions!$B$19</x:f>
        <x:v>-0.04739891965741583</x:v>
      </x:c>
      <x:c r="N996" s="52" t="n">
        <x:f>H996*L996+(1-H996)*M996+O996</x:f>
        <x:v>-0.0613627795117492</x:v>
      </x:c>
      <x:c r="O996" s="36" t="n">
        <x:f>Assumptions!$B$10</x:f>
        <x:v>0</x:v>
      </x:c>
      <x:c r="P996" s="54" t="n">
        <x:f>E996*(1+N996)</x:f>
        <x:v>356.6821437855353</x:v>
      </x:c>
      <x:c r="Q996" s="54" t="n">
        <x:f>P996-E996</x:f>
        <x:v>-23.31785621446471</x:v>
      </x:c>
      <x:c r="R996" s="16" t="str">
        <x:v>No</x:v>
      </x:c>
      <x:c r="S996" s="56"/>
      <x:c r="T996" s="56"/>
      <x:c r="U996" s="40" t="n">
        <x:f>E996*Assumptions!$B$8</x:f>
        <x:v>323</x:v>
      </x:c>
      <x:c r="V996" s="40" t="n">
        <x:f>P996*Assumptions!$B$8</x:f>
        <x:v>303.179822217705</x:v>
      </x:c>
      <x:c r="W996" s="54" t="n">
        <x:f>V996-U996</x:f>
        <x:v>-19.82017778229499</x:v>
      </x:c>
      <x:c r="X996" s="58" t="str">
        <x:f>IF(R996="No","",W996*S996)</x:f>
      </x:c>
      <x:c r="Y996" s="58" t="str">
        <x:f>IF(R996="No","",W996*T996*Assumptions!$B$9)</x:f>
      </x:c>
      <x:c r="Z996" s="58" t="str">
        <x:f>IF(R996="No","",X996-Y996)</x:f>
      </x:c>
      <x:c r="AA996" s="58" t="str">
        <x:f>IF(R996="No","",MAX(0,-Z996))</x:f>
      </x:c>
      <x:c r="AB996" s="52" t="str">
        <x:f>IF(OR(R996="No",U996*S996=0),"",AA996/(U996*S996))</x:f>
      </x:c>
      <x:c r="AC996" s="54" t="str">
        <x:f>IF(OR(R996="No",S996-T996*Assumptions!$B$9&lt;=0),"",AA996/(Assumptions!$B$8*(S996-T996*Assumptions!$B$9)))</x:f>
      </x:c>
      <x:c r="AD996" s="52" t="str">
        <x:f>IF(OR(R996="No",U996*S996=0),"",AA996/(U996*S996))</x:f>
      </x:c>
      <x:c r="AE996" s="50" t="str">
        <x:f>IF(R996="No","No finance data",IF(AB996&gt;=10%,"Severe",IF(AB996&gt;=5%,"High",IF(AB996&gt;=2%,"Moderate","Low"))))</x:f>
        <x:v>No finance data</x:v>
      </x:c>
      <x:c r="AF996" s="60"/>
      <x:c r="AG996" s="60"/>
      <x:c r="AH996" s="44" t="str">
        <x:v>Undergraduate tuition-contribution proxy only; not an audited total institutional budget.</x:v>
      </x:c>
    </x:row>
    <x:row r="997">
      <x:c r="A997" s="16" t="n">
        <x:v>183080</x:v>
      </x:c>
      <x:c r="B997" s="16" t="str">
        <x:v>Plymouth State University</x:v>
      </x:c>
      <x:c r="C997" s="16" t="str">
        <x:v>NH</x:v>
      </x:c>
      <x:c r="D997" s="16" t="str">
        <x:v>Public</x:v>
      </x:c>
      <x:c r="E997" s="34" t="n">
        <x:v>4000</x:v>
      </x:c>
      <x:c r="F997" s="21" t="n">
        <x:v>0.9167</x:v>
      </x:c>
      <x:c r="G997" s="16" t="str">
        <x:v>Regional</x:v>
      </x:c>
      <x:c r="H997" s="36" t="n">
        <x:f>IF(G997="National",Assumptions!$B$11,IF(G997="Statewide",Assumptions!$B$12,Assumptions!$B$13))</x:f>
        <x:v>0.85</x:v>
      </x:c>
      <x:c r="I997" s="21" t="n">
        <x:v>-0.07013738250180768</x:v>
      </x:c>
      <x:c r="J997" s="21" t="n">
        <x:v>-0.06382699007427861</x:v>
      </x:c>
      <x:c r="K997" s="21" t="n">
        <x:v>-0.08210083481233155</x:v>
      </x:c>
      <x:c r="L997" s="36" t="n">
        <x:f>IF(Assumptions!$B$4=2030,I997,IF(Assumptions!$B$4=2035,J997,K997))</x:f>
        <x:v>-0.06382699007427861</x:v>
      </x:c>
      <x:c r="M997" s="36" t="n">
        <x:f>Assumptions!$B$19</x:f>
        <x:v>-0.04739891965741583</x:v>
      </x:c>
      <x:c r="N997" s="52" t="n">
        <x:f>H997*L997+(1-H997)*M997+O997</x:f>
        <x:v>-0.0613627795117492</x:v>
      </x:c>
      <x:c r="O997" s="36" t="n">
        <x:f>Assumptions!$B$10</x:f>
        <x:v>0</x:v>
      </x:c>
      <x:c r="P997" s="54" t="n">
        <x:f>E997*(1+N997)</x:f>
        <x:v>3754.5488819530033</x:v>
      </x:c>
      <x:c r="Q997" s="54" t="n">
        <x:f>P997-E997</x:f>
        <x:v>-245.45111804699673</x:v>
      </x:c>
      <x:c r="R997" s="16" t="str">
        <x:v>Yes</x:v>
      </x:c>
      <x:c r="S997" s="56" t="n">
        <x:v>10628</x:v>
      </x:c>
      <x:c r="T997" s="56" t="n">
        <x:v>10088</x:v>
      </x:c>
      <x:c r="U997" s="40" t="n">
        <x:f>E997*Assumptions!$B$8</x:f>
        <x:v>3400</x:v>
      </x:c>
      <x:c r="V997" s="40" t="n">
        <x:f>P997*Assumptions!$B$8</x:f>
        <x:v>3191.366549660053</x:v>
      </x:c>
      <x:c r="W997" s="54" t="n">
        <x:f>V997-U997</x:f>
        <x:v>-208.6334503399471</x:v>
      </x:c>
      <x:c r="X997" s="58" t="n">
        <x:f>IF(R997="No","",W997*S997)</x:f>
        <x:v>-2217356.3102129577</x:v>
      </x:c>
      <x:c r="Y997" s="58" t="n">
        <x:f>IF(R997="No","",W997*T997*Assumptions!$B$9)</x:f>
        <x:v>-631408.2741088159</x:v>
      </x:c>
      <x:c r="Z997" s="58" t="n">
        <x:f>IF(R997="No","",X997-Y997)</x:f>
        <x:v>-1585948.0361041417</x:v>
      </x:c>
      <x:c r="AA997" s="58" t="n">
        <x:f>IF(R997="No","",MAX(0,-Z997))</x:f>
        <x:v>1585948.0361041417</x:v>
      </x:c>
      <x:c r="AB997" s="52" t="n">
        <x:f>IF(OR(R997="No",U997*S997=0),"",AA997/(U997*S997))</x:f>
        <x:v>0.04388928347163269</x:v>
      </x:c>
      <x:c r="AC997" s="54" t="n">
        <x:f>IF(OR(R997="No",S997-T997*Assumptions!$B$9&lt;=0),"",AA997/(Assumptions!$B$8*(S997-T997*Assumptions!$B$9)))</x:f>
        <x:v>245.45111804699656</x:v>
      </x:c>
      <x:c r="AD997" s="52" t="n">
        <x:f>IF(OR(R997="No",U997*S997=0),"",AA997/(U997*S997))</x:f>
        <x:v>0.04388928347163269</x:v>
      </x:c>
      <x:c r="AE997" s="50" t="str">
        <x:f>IF(R997="No","No finance data",IF(AB997&gt;=10%,"Severe",IF(AB997&gt;=5%,"High",IF(AB997&gt;=2%,"Moderate","Low"))))</x:f>
        <x:v>Moderate</x:v>
      </x:c>
      <x:c r="AF997" s="60" t="n">
        <x:v>43.759573</x:v>
      </x:c>
      <x:c r="AG997" s="60" t="n">
        <x:v>-71.690164</x:v>
      </x:c>
      <x:c r="AH997" s="44" t="str">
        <x:v>Undergraduate tuition-contribution proxy only; not an audited total institutional budget.</x:v>
      </x:c>
    </x:row>
    <x:row r="998">
      <x:c r="A998" s="16" t="n">
        <x:v>183211</x:v>
      </x:c>
      <x:c r="B998" s="16" t="str">
        <x:v>Rivier University</x:v>
      </x:c>
      <x:c r="C998" s="16" t="str">
        <x:v>NH</x:v>
      </x:c>
      <x:c r="D998" s="16" t="str">
        <x:v>Private nonprofit</x:v>
      </x:c>
      <x:c r="E998" s="34" t="n">
        <x:v>1344</x:v>
      </x:c>
      <x:c r="F998" s="21" t="n">
        <x:v>0.8368</x:v>
      </x:c>
      <x:c r="G998" s="16" t="str">
        <x:v>Regional</x:v>
      </x:c>
      <x:c r="H998" s="36" t="n">
        <x:f>IF(G998="National",Assumptions!$B$11,IF(G998="Statewide",Assumptions!$B$12,Assumptions!$B$13))</x:f>
        <x:v>0.85</x:v>
      </x:c>
      <x:c r="I998" s="21" t="n">
        <x:v>-0.07013738250180768</x:v>
      </x:c>
      <x:c r="J998" s="21" t="n">
        <x:v>-0.06382699007427861</x:v>
      </x:c>
      <x:c r="K998" s="21" t="n">
        <x:v>-0.08210083481233155</x:v>
      </x:c>
      <x:c r="L998" s="36" t="n">
        <x:f>IF(Assumptions!$B$4=2030,I998,IF(Assumptions!$B$4=2035,J998,K998))</x:f>
        <x:v>-0.06382699007427861</x:v>
      </x:c>
      <x:c r="M998" s="36" t="n">
        <x:f>Assumptions!$B$19</x:f>
        <x:v>-0.04739891965741583</x:v>
      </x:c>
      <x:c r="N998" s="52" t="n">
        <x:f>H998*L998+(1-H998)*M998+O998</x:f>
        <x:v>-0.0613627795117492</x:v>
      </x:c>
      <x:c r="O998" s="36" t="n">
        <x:f>Assumptions!$B$10</x:f>
        <x:v>0</x:v>
      </x:c>
      <x:c r="P998" s="54" t="n">
        <x:f>E998*(1+N998)</x:f>
        <x:v>1261.5284243362091</x:v>
      </x:c>
      <x:c r="Q998" s="54" t="n">
        <x:f>P998-E998</x:f>
        <x:v>-82.47157566379087</x:v>
      </x:c>
      <x:c r="R998" s="16" t="str">
        <x:v>Yes</x:v>
      </x:c>
      <x:c r="S998" s="56" t="n">
        <x:v>15487</x:v>
      </x:c>
      <x:c r="T998" s="56" t="n">
        <x:v>8081</x:v>
      </x:c>
      <x:c r="U998" s="40" t="n">
        <x:f>E998*Assumptions!$B$8</x:f>
        <x:v>1142.3999999999999</x:v>
      </x:c>
      <x:c r="V998" s="40" t="n">
        <x:f>P998*Assumptions!$B$8</x:f>
        <x:v>1072.2991606857777</x:v>
      </x:c>
      <x:c r="W998" s="54" t="n">
        <x:f>V998-U998</x:f>
        <x:v>-70.10083931422218</x:v>
      </x:c>
      <x:c r="X998" s="58" t="n">
        <x:f>IF(R998="No","",W998*S998)</x:f>
        <x:v>-1085651.698459359</x:v>
      </x:c>
      <x:c r="Y998" s="58" t="n">
        <x:f>IF(R998="No","",W998*T998*Assumptions!$B$9)</x:f>
        <x:v>-169945.46474946884</x:v>
      </x:c>
      <x:c r="Z998" s="58" t="n">
        <x:f>IF(R998="No","",X998-Y998)</x:f>
        <x:v>-915706.23370989</x:v>
      </x:c>
      <x:c r="AA998" s="58" t="n">
        <x:f>IF(R998="No","",MAX(0,-Z998))</x:f>
        <x:v>915706.23370989</x:v>
      </x:c>
      <x:c r="AB998" s="52" t="n">
        <x:f>IF(OR(R998="No",U998*S998=0),"",AA998/(U998*S998))</x:f>
        <x:v>0.05175718860516079</x:v>
      </x:c>
      <x:c r="AC998" s="54" t="n">
        <x:f>IF(OR(R998="No",S998-T998*Assumptions!$B$9&lt;=0),"",AA998/(Assumptions!$B$8*(S998-T998*Assumptions!$B$9)))</x:f>
        <x:v>82.4715756637908</x:v>
      </x:c>
      <x:c r="AD998" s="52" t="n">
        <x:f>IF(OR(R998="No",U998*S998=0),"",AA998/(U998*S998))</x:f>
        <x:v>0.05175718860516079</x:v>
      </x:c>
      <x:c r="AE998" s="50" t="str">
        <x:f>IF(R998="No","No finance data",IF(AB998&gt;=10%,"Severe",IF(AB998&gt;=5%,"High",IF(AB998&gt;=2%,"Moderate","Low"))))</x:f>
        <x:v>High</x:v>
      </x:c>
      <x:c r="AF998" s="60" t="n">
        <x:v>42.738676</x:v>
      </x:c>
      <x:c r="AG998" s="60" t="n">
        <x:v>-71.45626</x:v>
      </x:c>
      <x:c r="AH998" s="44" t="str">
        <x:v>Undergraduate tuition-contribution proxy only; not an audited total institutional budget.</x:v>
      </x:c>
    </x:row>
    <x:row r="999">
      <x:c r="A999" s="16" t="n">
        <x:v>183239</x:v>
      </x:c>
      <x:c r="B999" s="16" t="str">
        <x:v>Saint Anselm College</x:v>
      </x:c>
      <x:c r="C999" s="16" t="str">
        <x:v>NH</x:v>
      </x:c>
      <x:c r="D999" s="16" t="str">
        <x:v>Private nonprofit</x:v>
      </x:c>
      <x:c r="E999" s="34" t="n">
        <x:v>1908</x:v>
      </x:c>
      <x:c r="F999" s="21" t="n">
        <x:v>0.7759</x:v>
      </x:c>
      <x:c r="G999" s="16" t="str">
        <x:v>Regional</x:v>
      </x:c>
      <x:c r="H999" s="36" t="n">
        <x:f>IF(G999="National",Assumptions!$B$11,IF(G999="Statewide",Assumptions!$B$12,Assumptions!$B$13))</x:f>
        <x:v>0.85</x:v>
      </x:c>
      <x:c r="I999" s="21" t="n">
        <x:v>-0.07013738250180768</x:v>
      </x:c>
      <x:c r="J999" s="21" t="n">
        <x:v>-0.06382699007427861</x:v>
      </x:c>
      <x:c r="K999" s="21" t="n">
        <x:v>-0.08210083481233155</x:v>
      </x:c>
      <x:c r="L999" s="36" t="n">
        <x:f>IF(Assumptions!$B$4=2030,I999,IF(Assumptions!$B$4=2035,J999,K999))</x:f>
        <x:v>-0.06382699007427861</x:v>
      </x:c>
      <x:c r="M999" s="36" t="n">
        <x:f>Assumptions!$B$19</x:f>
        <x:v>-0.04739891965741583</x:v>
      </x:c>
      <x:c r="N999" s="52" t="n">
        <x:f>H999*L999+(1-H999)*M999+O999</x:f>
        <x:v>-0.0613627795117492</x:v>
      </x:c>
      <x:c r="O999" s="36" t="n">
        <x:f>Assumptions!$B$10</x:f>
        <x:v>0</x:v>
      </x:c>
      <x:c r="P999" s="54" t="n">
        <x:f>E999*(1+N999)</x:f>
        <x:v>1790.9198166915826</x:v>
      </x:c>
      <x:c r="Q999" s="54" t="n">
        <x:f>P999-E999</x:f>
        <x:v>-117.08018330841742</x:v>
      </x:c>
      <x:c r="R999" s="16" t="str">
        <x:v>Yes</x:v>
      </x:c>
      <x:c r="S999" s="56" t="n">
        <x:v>17619</x:v>
      </x:c>
      <x:c r="T999" s="56" t="n">
        <x:v>12724</x:v>
      </x:c>
      <x:c r="U999" s="40" t="n">
        <x:f>E999*Assumptions!$B$8</x:f>
        <x:v>1621.8</x:v>
      </x:c>
      <x:c r="V999" s="40" t="n">
        <x:f>P999*Assumptions!$B$8</x:f>
        <x:v>1522.281844187845</x:v>
      </x:c>
      <x:c r="W999" s="54" t="n">
        <x:f>V999-U999</x:f>
        <x:v>-99.51815581215487</x:v>
      </x:c>
      <x:c r="X999" s="58" t="n">
        <x:f>IF(R999="No","",W999*S999)</x:f>
        <x:v>-1753410.3872543566</x:v>
      </x:c>
      <x:c r="Y999" s="58" t="n">
        <x:f>IF(R999="No","",W999*T999*Assumptions!$B$9)</x:f>
        <x:v>-379880.7043661576</x:v>
      </x:c>
      <x:c r="Z999" s="58" t="n">
        <x:f>IF(R999="No","",X999-Y999)</x:f>
        <x:v>-1373529.682888199</x:v>
      </x:c>
      <x:c r="AA999" s="58" t="n">
        <x:f>IF(R999="No","",MAX(0,-Z999))</x:f>
        <x:v>1373529.682888199</x:v>
      </x:c>
      <x:c r="AB999" s="52" t="n">
        <x:f>IF(OR(R999="No",U999*S999=0),"",AA999/(U999*S999))</x:f>
        <x:v>0.04806838130797777</x:v>
      </x:c>
      <x:c r="AC999" s="54" t="n">
        <x:f>IF(OR(R999="No",S999-T999*Assumptions!$B$9&lt;=0),"",AA999/(Assumptions!$B$8*(S999-T999*Assumptions!$B$9)))</x:f>
        <x:v>117.0801833084175</x:v>
      </x:c>
      <x:c r="AD999" s="52" t="n">
        <x:f>IF(OR(R999="No",U999*S999=0),"",AA999/(U999*S999))</x:f>
        <x:v>0.04806838130797777</x:v>
      </x:c>
      <x:c r="AE999" s="50" t="str">
        <x:f>IF(R999="No","No finance data",IF(AB999&gt;=10%,"Severe",IF(AB999&gt;=5%,"High",IF(AB999&gt;=2%,"Moderate","Low"))))</x:f>
        <x:v>Moderate</x:v>
      </x:c>
      <x:c r="AF999" s="60" t="n">
        <x:v>42.986889</x:v>
      </x:c>
      <x:c r="AG999" s="60" t="n">
        <x:v>-71.503622</x:v>
      </x:c>
      <x:c r="AH999" s="44" t="str">
        <x:v>Undergraduate tuition-contribution proxy only; not an audited total institutional budget.</x:v>
      </x:c>
    </x:row>
    <x:row r="1000">
      <x:c r="A1000" s="16" t="n">
        <x:v>183026</x:v>
      </x:c>
      <x:c r="B1000" s="16" t="str">
        <x:v>Southern New Hampshire University</x:v>
      </x:c>
      <x:c r="C1000" s="16" t="str">
        <x:v>NH</x:v>
      </x:c>
      <x:c r="D1000" s="16" t="str">
        <x:v>Private nonprofit</x:v>
      </x:c>
      <x:c r="E1000" s="34" t="n">
        <x:v>42247</x:v>
      </x:c>
      <x:c r="F1000" s="21" t="n">
        <x:v>0.9207</x:v>
      </x:c>
      <x:c r="G1000" s="16" t="str">
        <x:v>National</x:v>
      </x:c>
      <x:c r="H1000" s="36" t="n">
        <x:f>IF(G1000="National",Assumptions!$B$11,IF(G1000="Statewide",Assumptions!$B$12,Assumptions!$B$13))</x:f>
        <x:v>0.25</x:v>
      </x:c>
      <x:c r="I1000" s="21" t="n">
        <x:v>-0.07013738250180768</x:v>
      </x:c>
      <x:c r="J1000" s="21" t="n">
        <x:v>-0.06382699007427861</x:v>
      </x:c>
      <x:c r="K1000" s="21" t="n">
        <x:v>-0.08210083481233155</x:v>
      </x:c>
      <x:c r="L1000" s="36" t="n">
        <x:f>IF(Assumptions!$B$4=2030,I1000,IF(Assumptions!$B$4=2035,J1000,K1000))</x:f>
        <x:v>-0.06382699007427861</x:v>
      </x:c>
      <x:c r="M1000" s="36" t="n">
        <x:f>Assumptions!$B$19</x:f>
        <x:v>-0.04739891965741583</x:v>
      </x:c>
      <x:c r="N1000" s="52" t="n">
        <x:f>H1000*L1000+(1-H1000)*M1000+O1000</x:f>
        <x:v>-0.051505937261631524</x:v>
      </x:c>
      <x:c r="O1000" s="36" t="n">
        <x:f>Assumptions!$B$10</x:f>
        <x:v>0</x:v>
      </x:c>
      <x:c r="P1000" s="54" t="n">
        <x:f>E1000*(1+N1000)</x:f>
        <x:v>40071.02866850785</x:v>
      </x:c>
      <x:c r="Q1000" s="54" t="n">
        <x:f>P1000-E1000</x:f>
        <x:v>-2175.9713314921464</x:v>
      </x:c>
      <x:c r="R1000" s="16" t="str">
        <x:v>Yes</x:v>
      </x:c>
      <x:c r="S1000" s="56" t="n">
        <x:v>9703</x:v>
      </x:c>
      <x:c r="T1000" s="56" t="n">
        <x:v>1512</x:v>
      </x:c>
      <x:c r="U1000" s="40" t="n">
        <x:f>E1000*Assumptions!$B$8</x:f>
        <x:v>35909.95</x:v>
      </x:c>
      <x:c r="V1000" s="40" t="n">
        <x:f>P1000*Assumptions!$B$8</x:f>
        <x:v>34060.37436823168</x:v>
      </x:c>
      <x:c r="W1000" s="54" t="n">
        <x:f>V1000-U1000</x:f>
        <x:v>-1849.575631768319</x:v>
      </x:c>
      <x:c r="X1000" s="58" t="n">
        <x:f>IF(R1000="No","",W1000*S1000)</x:f>
        <x:v>-17946432.355048</x:v>
      </x:c>
      <x:c r="Y1000" s="58" t="n">
        <x:f>IF(R1000="No","",W1000*T1000*Assumptions!$B$9)</x:f>
        <x:v>-838967.5065701094</x:v>
      </x:c>
      <x:c r="Z1000" s="58" t="n">
        <x:f>IF(R1000="No","",X1000-Y1000)</x:f>
        <x:v>-17107464.848477893</x:v>
      </x:c>
      <x:c r="AA1000" s="58" t="n">
        <x:f>IF(R1000="No","",MAX(0,-Z1000))</x:f>
        <x:v>17107464.848477893</x:v>
      </x:c>
      <x:c r="AB1000" s="52" t="n">
        <x:f>IF(OR(R1000="No",U1000*S1000=0),"",AA1000/(U1000*S1000))</x:f>
        <x:v>0.049098115645442975</x:v>
      </x:c>
      <x:c r="AC1000" s="54" t="n">
        <x:f>IF(OR(R1000="No",S1000-T1000*Assumptions!$B$9&lt;=0),"",AA1000/(Assumptions!$B$8*(S1000-T1000*Assumptions!$B$9)))</x:f>
        <x:v>2175.9713314921405</x:v>
      </x:c>
      <x:c r="AD1000" s="52" t="n">
        <x:f>IF(OR(R1000="No",U1000*S1000=0),"",AA1000/(U1000*S1000))</x:f>
        <x:v>0.049098115645442975</x:v>
      </x:c>
      <x:c r="AE1000" s="50" t="str">
        <x:f>IF(R1000="No","No finance data",IF(AB1000&gt;=10%,"Severe",IF(AB1000&gt;=5%,"High",IF(AB1000&gt;=2%,"Moderate","Low"))))</x:f>
        <x:v>Moderate</x:v>
      </x:c>
      <x:c r="AF1000" s="60" t="n">
        <x:v>43.038922</x:v>
      </x:c>
      <x:c r="AG1000" s="60" t="n">
        <x:v>-71.451842</x:v>
      </x:c>
      <x:c r="AH1000" s="44" t="str">
        <x:v>Undergraduate tuition-contribution proxy only; not an audited total institutional budget.</x:v>
      </x:c>
    </x:row>
    <x:row r="1001">
      <x:c r="A1001" s="16" t="n">
        <x:v>183275</x:v>
      </x:c>
      <x:c r="B1001" s="16" t="str">
        <x:v>Thomas More College of Liberal Arts</x:v>
      </x:c>
      <x:c r="C1001" s="16" t="str">
        <x:v>NH</x:v>
      </x:c>
      <x:c r="D1001" s="16" t="str">
        <x:v>Private nonprofit</x:v>
      </x:c>
      <x:c r="E1001" s="34" t="n">
        <x:v>87</x:v>
      </x:c>
      <x:c r="F1001" s="21"/>
      <x:c r="G1001" s="16" t="str">
        <x:v>Regional</x:v>
      </x:c>
      <x:c r="H1001" s="36" t="n">
        <x:f>IF(G1001="National",Assumptions!$B$11,IF(G1001="Statewide",Assumptions!$B$12,Assumptions!$B$13))</x:f>
        <x:v>0.85</x:v>
      </x:c>
      <x:c r="I1001" s="21" t="n">
        <x:v>-0.07013738250180768</x:v>
      </x:c>
      <x:c r="J1001" s="21" t="n">
        <x:v>-0.06382699007427861</x:v>
      </x:c>
      <x:c r="K1001" s="21" t="n">
        <x:v>-0.08210083481233155</x:v>
      </x:c>
      <x:c r="L1001" s="36" t="n">
        <x:f>IF(Assumptions!$B$4=2030,I1001,IF(Assumptions!$B$4=2035,J1001,K1001))</x:f>
        <x:v>-0.06382699007427861</x:v>
      </x:c>
      <x:c r="M1001" s="36" t="n">
        <x:f>Assumptions!$B$19</x:f>
        <x:v>-0.04739891965741583</x:v>
      </x:c>
      <x:c r="N1001" s="52" t="n">
        <x:f>H1001*L1001+(1-H1001)*M1001+O1001</x:f>
        <x:v>-0.0613627795117492</x:v>
      </x:c>
      <x:c r="O1001" s="36" t="n">
        <x:f>Assumptions!$B$10</x:f>
        <x:v>0</x:v>
      </x:c>
      <x:c r="P1001" s="54" t="n">
        <x:f>E1001*(1+N1001)</x:f>
        <x:v>81.66143818247782</x:v>
      </x:c>
      <x:c r="Q1001" s="54" t="n">
        <x:f>P1001-E1001</x:f>
        <x:v>-5.3385618175221765</x:v>
      </x:c>
      <x:c r="R1001" s="16" t="str">
        <x:v>No</x:v>
      </x:c>
      <x:c r="S1001" s="56"/>
      <x:c r="T1001" s="56"/>
      <x:c r="U1001" s="40" t="n">
        <x:f>E1001*Assumptions!$B$8</x:f>
        <x:v>73.95</x:v>
      </x:c>
      <x:c r="V1001" s="40" t="n">
        <x:f>P1001*Assumptions!$B$8</x:f>
        <x:v>69.41222245510615</x:v>
      </x:c>
      <x:c r="W1001" s="54" t="n">
        <x:f>V1001-U1001</x:f>
        <x:v>-4.537777544893856</x:v>
      </x:c>
      <x:c r="X1001" s="58" t="str">
        <x:f>IF(R1001="No","",W1001*S1001)</x:f>
      </x:c>
      <x:c r="Y1001" s="58" t="str">
        <x:f>IF(R1001="No","",W1001*T1001*Assumptions!$B$9)</x:f>
      </x:c>
      <x:c r="Z1001" s="58" t="str">
        <x:f>IF(R1001="No","",X1001-Y1001)</x:f>
      </x:c>
      <x:c r="AA1001" s="58" t="str">
        <x:f>IF(R1001="No","",MAX(0,-Z1001))</x:f>
      </x:c>
      <x:c r="AB1001" s="52" t="str">
        <x:f>IF(OR(R1001="No",U1001*S1001=0),"",AA1001/(U1001*S1001))</x:f>
      </x:c>
      <x:c r="AC1001" s="54" t="str">
        <x:f>IF(OR(R1001="No",S1001-T1001*Assumptions!$B$9&lt;=0),"",AA1001/(Assumptions!$B$8*(S1001-T1001*Assumptions!$B$9)))</x:f>
      </x:c>
      <x:c r="AD1001" s="52" t="str">
        <x:f>IF(OR(R1001="No",U1001*S1001=0),"",AA1001/(U1001*S1001))</x:f>
      </x:c>
      <x:c r="AE1001" s="50" t="str">
        <x:f>IF(R1001="No","No finance data",IF(AB1001&gt;=10%,"Severe",IF(AB1001&gt;=5%,"High",IF(AB1001&gt;=2%,"Moderate","Low"))))</x:f>
        <x:v>No finance data</x:v>
      </x:c>
      <x:c r="AF1001" s="60"/>
      <x:c r="AG1001" s="60"/>
      <x:c r="AH1001" s="44" t="str">
        <x:v>Undergraduate tuition-contribution proxy only; not an audited total institutional budget.</x:v>
      </x:c>
    </x:row>
    <x:row r="1002">
      <x:c r="A1002" s="16" t="n">
        <x:v>183071</x:v>
      </x:c>
      <x:c r="B1002" s="16" t="str">
        <x:v>University of New Hampshire at Manchester</x:v>
      </x:c>
      <x:c r="C1002" s="16" t="str">
        <x:v>NH</x:v>
      </x:c>
      <x:c r="D1002" s="16" t="str">
        <x:v>Public</x:v>
      </x:c>
      <x:c r="E1002" s="34" t="n">
        <x:v>696</x:v>
      </x:c>
      <x:c r="F1002" s="21" t="n">
        <x:v>0.8264</x:v>
      </x:c>
      <x:c r="G1002" s="16" t="str">
        <x:v>Regional</x:v>
      </x:c>
      <x:c r="H1002" s="36" t="n">
        <x:f>IF(G1002="National",Assumptions!$B$11,IF(G1002="Statewide",Assumptions!$B$12,Assumptions!$B$13))</x:f>
        <x:v>0.85</x:v>
      </x:c>
      <x:c r="I1002" s="21" t="n">
        <x:v>-0.07013738250180768</x:v>
      </x:c>
      <x:c r="J1002" s="21" t="n">
        <x:v>-0.06382699007427861</x:v>
      </x:c>
      <x:c r="K1002" s="21" t="n">
        <x:v>-0.08210083481233155</x:v>
      </x:c>
      <x:c r="L1002" s="36" t="n">
        <x:f>IF(Assumptions!$B$4=2030,I1002,IF(Assumptions!$B$4=2035,J1002,K1002))</x:f>
        <x:v>-0.06382699007427861</x:v>
      </x:c>
      <x:c r="M1002" s="36" t="n">
        <x:f>Assumptions!$B$19</x:f>
        <x:v>-0.04739891965741583</x:v>
      </x:c>
      <x:c r="N1002" s="52" t="n">
        <x:f>H1002*L1002+(1-H1002)*M1002+O1002</x:f>
        <x:v>-0.0613627795117492</x:v>
      </x:c>
      <x:c r="O1002" s="36" t="n">
        <x:f>Assumptions!$B$10</x:f>
        <x:v>0</x:v>
      </x:c>
      <x:c r="P1002" s="54" t="n">
        <x:f>E1002*(1+N1002)</x:f>
        <x:v>653.2915054598226</x:v>
      </x:c>
      <x:c r="Q1002" s="54" t="n">
        <x:f>P1002-E1002</x:f>
        <x:v>-42.70849454017741</x:v>
      </x:c>
      <x:c r="R1002" s="16" t="str">
        <x:v>Yes</x:v>
      </x:c>
      <x:c r="S1002" s="56" t="n">
        <x:v>11610</x:v>
      </x:c>
      <x:c r="T1002" s="56" t="n">
        <x:v>11472</x:v>
      </x:c>
      <x:c r="U1002" s="40" t="n">
        <x:f>E1002*Assumptions!$B$8</x:f>
        <x:v>591.6</x:v>
      </x:c>
      <x:c r="V1002" s="40" t="n">
        <x:f>P1002*Assumptions!$B$8</x:f>
        <x:v>555.2977796408492</x:v>
      </x:c>
      <x:c r="W1002" s="54" t="n">
        <x:f>V1002-U1002</x:f>
        <x:v>-36.30222035915085</x:v>
      </x:c>
      <x:c r="X1002" s="58" t="n">
        <x:f>IF(R1002="No","",W1002*S1002)</x:f>
        <x:v>-421468.7783697414</x:v>
      </x:c>
      <x:c r="Y1002" s="58" t="n">
        <x:f>IF(R1002="No","",W1002*T1002*Assumptions!$B$9)</x:f>
        <x:v>-124937.72158805357</x:v>
      </x:c>
      <x:c r="Z1002" s="58" t="n">
        <x:f>IF(R1002="No","",X1002-Y1002)</x:f>
        <x:v>-296531.05678168783</x:v>
      </x:c>
      <x:c r="AA1002" s="58" t="n">
        <x:f>IF(R1002="No","",MAX(0,-Z1002))</x:f>
        <x:v>296531.05678168783</x:v>
      </x:c>
      <x:c r="AB1002" s="52" t="n">
        <x:f>IF(OR(R1002="No",U1002*S1002=0),"",AA1002/(U1002*S1002))</x:f>
        <x:v>0.04317275867043691</x:v>
      </x:c>
      <x:c r="AC1002" s="54" t="n">
        <x:f>IF(OR(R1002="No",S1002-T1002*Assumptions!$B$9&lt;=0),"",AA1002/(Assumptions!$B$8*(S1002-T1002*Assumptions!$B$9)))</x:f>
        <x:v>42.708494540177476</x:v>
      </x:c>
      <x:c r="AD1002" s="52" t="n">
        <x:f>IF(OR(R1002="No",U1002*S1002=0),"",AA1002/(U1002*S1002))</x:f>
        <x:v>0.04317275867043691</x:v>
      </x:c>
      <x:c r="AE1002" s="50" t="str">
        <x:f>IF(R1002="No","No finance data",IF(AB1002&gt;=10%,"Severe",IF(AB1002&gt;=5%,"High",IF(AB1002&gt;=2%,"Moderate","Low"))))</x:f>
        <x:v>Moderate</x:v>
      </x:c>
      <x:c r="AF1002" s="60" t="n">
        <x:v>42.987209</x:v>
      </x:c>
      <x:c r="AG1002" s="60" t="n">
        <x:v>-71.468755</x:v>
      </x:c>
      <x:c r="AH1002" s="44" t="str">
        <x:v>Undergraduate tuition-contribution proxy only; not an audited total institutional budget.</x:v>
      </x:c>
    </x:row>
    <x:row r="1003">
      <x:c r="A1003" s="16" t="n">
        <x:v>183044</x:v>
      </x:c>
      <x:c r="B1003" s="16" t="str">
        <x:v>University of New Hampshire-Main Campus</x:v>
      </x:c>
      <x:c r="C1003" s="16" t="str">
        <x:v>NH</x:v>
      </x:c>
      <x:c r="D1003" s="16" t="str">
        <x:v>Public</x:v>
      </x:c>
      <x:c r="E1003" s="34" t="n">
        <x:v>12789</x:v>
      </x:c>
      <x:c r="F1003" s="21" t="n">
        <x:v>0.8672</x:v>
      </x:c>
      <x:c r="G1003" s="16" t="str">
        <x:v>Statewide</x:v>
      </x:c>
      <x:c r="H1003" s="36" t="n">
        <x:f>IF(G1003="National",Assumptions!$B$11,IF(G1003="Statewide",Assumptions!$B$12,Assumptions!$B$13))</x:f>
        <x:v>0.6</x:v>
      </x:c>
      <x:c r="I1003" s="21" t="n">
        <x:v>-0.07013738250180768</x:v>
      </x:c>
      <x:c r="J1003" s="21" t="n">
        <x:v>-0.06382699007427861</x:v>
      </x:c>
      <x:c r="K1003" s="21" t="n">
        <x:v>-0.08210083481233155</x:v>
      </x:c>
      <x:c r="L1003" s="36" t="n">
        <x:f>IF(Assumptions!$B$4=2030,I1003,IF(Assumptions!$B$4=2035,J1003,K1003))</x:f>
        <x:v>-0.06382699007427861</x:v>
      </x:c>
      <x:c r="M1003" s="36" t="n">
        <x:f>Assumptions!$B$19</x:f>
        <x:v>-0.04739891965741583</x:v>
      </x:c>
      <x:c r="N1003" s="52" t="n">
        <x:f>H1003*L1003+(1-H1003)*M1003+O1003</x:f>
        <x:v>-0.0572557619075335</x:v>
      </x:c>
      <x:c r="O1003" s="36" t="n">
        <x:f>Assumptions!$B$10</x:f>
        <x:v>0</x:v>
      </x:c>
      <x:c r="P1003" s="54" t="n">
        <x:f>E1003*(1+N1003)</x:f>
        <x:v>12056.756060964555</x:v>
      </x:c>
      <x:c r="Q1003" s="54" t="n">
        <x:f>P1003-E1003</x:f>
        <x:v>-732.2439390354448</x:v>
      </x:c>
      <x:c r="R1003" s="16" t="str">
        <x:v>Yes</x:v>
      </x:c>
      <x:c r="S1003" s="56" t="n">
        <x:v>14099</x:v>
      </x:c>
      <x:c r="T1003" s="56" t="n">
        <x:v>12467</x:v>
      </x:c>
      <x:c r="U1003" s="40" t="n">
        <x:f>E1003*Assumptions!$B$8</x:f>
        <x:v>10870.65</x:v>
      </x:c>
      <x:c r="V1003" s="40" t="n">
        <x:f>P1003*Assumptions!$B$8</x:f>
        <x:v>10248.242651819872</x:v>
      </x:c>
      <x:c r="W1003" s="54" t="n">
        <x:f>V1003-U1003</x:f>
        <x:v>-622.4073481801279</x:v>
      </x:c>
      <x:c r="X1003" s="58" t="n">
        <x:f>IF(R1003="No","",W1003*S1003)</x:f>
        <x:v>-8775321.201991623</x:v>
      </x:c>
      <x:c r="Y1003" s="58" t="n">
        <x:f>IF(R1003="No","",W1003*T1003*Assumptions!$B$9)</x:f>
        <x:v>-2327865.722928496</x:v>
      </x:c>
      <x:c r="Z1003" s="58" t="n">
        <x:f>IF(R1003="No","",X1003-Y1003)</x:f>
        <x:v>-6447455.479063127</x:v>
      </x:c>
      <x:c r="AA1003" s="58" t="n">
        <x:f>IF(R1003="No","",MAX(0,-Z1003))</x:f>
        <x:v>6447455.479063127</x:v>
      </x:c>
      <x:c r="AB1003" s="52" t="n">
        <x:f>IF(OR(R1003="No",U1003*S1003=0),"",AA1003/(U1003*S1003))</x:f>
        <x:v>0.04206728931299721</x:v>
      </x:c>
      <x:c r="AC1003" s="54" t="n">
        <x:f>IF(OR(R1003="No",S1003-T1003*Assumptions!$B$9&lt;=0),"",AA1003/(Assumptions!$B$8*(S1003-T1003*Assumptions!$B$9)))</x:f>
        <x:v>732.2439390354448</x:v>
      </x:c>
      <x:c r="AD1003" s="52" t="n">
        <x:f>IF(OR(R1003="No",U1003*S1003=0),"",AA1003/(U1003*S1003))</x:f>
        <x:v>0.04206728931299721</x:v>
      </x:c>
      <x:c r="AE1003" s="50" t="str">
        <x:f>IF(R1003="No","No finance data",IF(AB1003&gt;=10%,"Severe",IF(AB1003&gt;=5%,"High",IF(AB1003&gt;=2%,"Moderate","Low"))))</x:f>
        <x:v>Moderate</x:v>
      </x:c>
      <x:c r="AF1003" s="60" t="n">
        <x:v>43.135934</x:v>
      </x:c>
      <x:c r="AG1003" s="60" t="n">
        <x:v>-70.932465</x:v>
      </x:c>
      <x:c r="AH1003" s="44" t="str">
        <x:v>Undergraduate tuition-contribution proxy only; not an audited total institutional budget.</x:v>
      </x:c>
    </x:row>
    <x:row r="1004">
      <x:c r="A1004" s="16" t="n">
        <x:v>449658</x:v>
      </x:c>
      <x:c r="B1004" s="16" t="str">
        <x:v>Bais Medrash Toras Chesed</x:v>
      </x:c>
      <x:c r="C1004" s="16" t="str">
        <x:v>NJ</x:v>
      </x:c>
      <x:c r="D1004" s="16" t="str">
        <x:v>Private nonprofit</x:v>
      </x:c>
      <x:c r="E1004" s="34" t="n">
        <x:v>104</x:v>
      </x:c>
      <x:c r="F1004" s="21"/>
      <x:c r="G1004" s="16" t="str">
        <x:v>Regional</x:v>
      </x:c>
      <x:c r="H1004" s="36" t="n">
        <x:f>IF(G1004="National",Assumptions!$B$11,IF(G1004="Statewide",Assumptions!$B$12,Assumptions!$B$13))</x:f>
        <x:v>0.85</x:v>
      </x:c>
      <x:c r="I1004" s="21" t="n">
        <x:v>-0.013084265215690172</x:v>
      </x:c>
      <x:c r="J1004" s="21" t="n">
        <x:v>-0.013930465956343285</x:v>
      </x:c>
      <x:c r="K1004" s="21" t="n">
        <x:v>-0.01756094010172604</x:v>
      </x:c>
      <x:c r="L1004" s="36" t="n">
        <x:f>IF(Assumptions!$B$4=2030,I1004,IF(Assumptions!$B$4=2035,J1004,K1004))</x:f>
        <x:v>-0.013930465956343285</x:v>
      </x:c>
      <x:c r="M1004" s="36" t="n">
        <x:f>Assumptions!$B$19</x:f>
        <x:v>-0.04739891965741583</x:v>
      </x:c>
      <x:c r="N1004" s="52" t="n">
        <x:f>H1004*L1004+(1-H1004)*M1004+O1004</x:f>
        <x:v>-0.01895073401150417</x:v>
      </x:c>
      <x:c r="O1004" s="36" t="n">
        <x:f>Assumptions!$B$10</x:f>
        <x:v>0</x:v>
      </x:c>
      <x:c r="P1004" s="54" t="n">
        <x:f>E1004*(1+N1004)</x:f>
        <x:v>102.02912366280357</x:v>
      </x:c>
      <x:c r="Q1004" s="54" t="n">
        <x:f>P1004-E1004</x:f>
        <x:v>-1.9708763371964295</x:v>
      </x:c>
      <x:c r="R1004" s="16" t="str">
        <x:v>No</x:v>
      </x:c>
      <x:c r="S1004" s="56"/>
      <x:c r="T1004" s="56"/>
      <x:c r="U1004" s="40" t="n">
        <x:f>E1004*Assumptions!$B$8</x:f>
        <x:v>88.39999999999999</x:v>
      </x:c>
      <x:c r="V1004" s="40" t="n">
        <x:f>P1004*Assumptions!$B$8</x:f>
        <x:v>86.72475511338303</x:v>
      </x:c>
      <x:c r="W1004" s="54" t="n">
        <x:f>V1004-U1004</x:f>
        <x:v>-1.6752448866169658</x:v>
      </x:c>
      <x:c r="X1004" s="58" t="str">
        <x:f>IF(R1004="No","",W1004*S1004)</x:f>
      </x:c>
      <x:c r="Y1004" s="58" t="str">
        <x:f>IF(R1004="No","",W1004*T1004*Assumptions!$B$9)</x:f>
      </x:c>
      <x:c r="Z1004" s="58" t="str">
        <x:f>IF(R1004="No","",X1004-Y1004)</x:f>
      </x:c>
      <x:c r="AA1004" s="58" t="str">
        <x:f>IF(R1004="No","",MAX(0,-Z1004))</x:f>
      </x:c>
      <x:c r="AB1004" s="52" t="str">
        <x:f>IF(OR(R1004="No",U1004*S1004=0),"",AA1004/(U1004*S1004))</x:f>
      </x:c>
      <x:c r="AC1004" s="54" t="str">
        <x:f>IF(OR(R1004="No",S1004-T1004*Assumptions!$B$9&lt;=0),"",AA1004/(Assumptions!$B$8*(S1004-T1004*Assumptions!$B$9)))</x:f>
      </x:c>
      <x:c r="AD1004" s="52" t="str">
        <x:f>IF(OR(R1004="No",U1004*S1004=0),"",AA1004/(U1004*S1004))</x:f>
      </x:c>
      <x:c r="AE1004" s="50" t="str">
        <x:f>IF(R1004="No","No finance data",IF(AB1004&gt;=10%,"Severe",IF(AB1004&gt;=5%,"High",IF(AB1004&gt;=2%,"Moderate","Low"))))</x:f>
        <x:v>No finance data</x:v>
      </x:c>
      <x:c r="AF1004" s="60"/>
      <x:c r="AG1004" s="60"/>
      <x:c r="AH1004" s="44" t="str">
        <x:v>Undergraduate tuition-contribution proxy only; not an audited total institutional budget.</x:v>
      </x:c>
    </x:row>
    <x:row r="1005">
      <x:c r="A1005" s="16" t="n">
        <x:v>183804</x:v>
      </x:c>
      <x:c r="B1005" s="16" t="str">
        <x:v>Beth Medrash Govoha</x:v>
      </x:c>
      <x:c r="C1005" s="16" t="str">
        <x:v>NJ</x:v>
      </x:c>
      <x:c r="D1005" s="16" t="str">
        <x:v>Private nonprofit</x:v>
      </x:c>
      <x:c r="E1005" s="34" t="n">
        <x:v>2747</x:v>
      </x:c>
      <x:c r="F1005" s="21"/>
      <x:c r="G1005" s="16" t="str">
        <x:v>Regional</x:v>
      </x:c>
      <x:c r="H1005" s="36" t="n">
        <x:f>IF(G1005="National",Assumptions!$B$11,IF(G1005="Statewide",Assumptions!$B$12,Assumptions!$B$13))</x:f>
        <x:v>0.85</x:v>
      </x:c>
      <x:c r="I1005" s="21" t="n">
        <x:v>-0.013084265215690172</x:v>
      </x:c>
      <x:c r="J1005" s="21" t="n">
        <x:v>-0.013930465956343285</x:v>
      </x:c>
      <x:c r="K1005" s="21" t="n">
        <x:v>-0.01756094010172604</x:v>
      </x:c>
      <x:c r="L1005" s="36" t="n">
        <x:f>IF(Assumptions!$B$4=2030,I1005,IF(Assumptions!$B$4=2035,J1005,K1005))</x:f>
        <x:v>-0.013930465956343285</x:v>
      </x:c>
      <x:c r="M1005" s="36" t="n">
        <x:f>Assumptions!$B$19</x:f>
        <x:v>-0.04739891965741583</x:v>
      </x:c>
      <x:c r="N1005" s="52" t="n">
        <x:f>H1005*L1005+(1-H1005)*M1005+O1005</x:f>
        <x:v>-0.01895073401150417</x:v>
      </x:c>
      <x:c r="O1005" s="36" t="n">
        <x:f>Assumptions!$B$10</x:f>
        <x:v>0</x:v>
      </x:c>
      <x:c r="P1005" s="54" t="n">
        <x:f>E1005*(1+N1005)</x:f>
        <x:v>2694.942333670398</x:v>
      </x:c>
      <x:c r="Q1005" s="54" t="n">
        <x:f>P1005-E1005</x:f>
        <x:v>-52.05766632960194</x:v>
      </x:c>
      <x:c r="R1005" s="16" t="str">
        <x:v>Yes</x:v>
      </x:c>
      <x:c r="S1005" s="56" t="n">
        <x:v>2767</x:v>
      </x:c>
      <x:c r="T1005" s="56" t="n">
        <x:v>1115</x:v>
      </x:c>
      <x:c r="U1005" s="40" t="n">
        <x:f>E1005*Assumptions!$B$8</x:f>
        <x:v>2334.95</x:v>
      </x:c>
      <x:c r="V1005" s="40" t="n">
        <x:f>P1005*Assumptions!$B$8</x:f>
        <x:v>2290.700983619838</x:v>
      </x:c>
      <x:c r="W1005" s="54" t="n">
        <x:f>V1005-U1005</x:f>
        <x:v>-44.24901638016172</x:v>
      </x:c>
      <x:c r="X1005" s="58" t="n">
        <x:f>IF(R1005="No","",W1005*S1005)</x:f>
        <x:v>-122437.02832390748</x:v>
      </x:c>
      <x:c r="Y1005" s="58" t="n">
        <x:f>IF(R1005="No","",W1005*T1005*Assumptions!$B$9)</x:f>
        <x:v>-14801.295979164095</x:v>
      </x:c>
      <x:c r="Z1005" s="58" t="n">
        <x:f>IF(R1005="No","",X1005-Y1005)</x:f>
        <x:v>-107635.73234474339</x:v>
      </x:c>
      <x:c r="AA1005" s="58" t="n">
        <x:f>IF(R1005="No","",MAX(0,-Z1005))</x:f>
        <x:v>107635.73234474339</x:v>
      </x:c>
      <x:c r="AB1005" s="52" t="n">
        <x:f>IF(OR(R1005="No",U1005*S1005=0),"",AA1005/(U1005*S1005))</x:f>
        <x:v>0.016659797789296698</x:v>
      </x:c>
      <x:c r="AC1005" s="54" t="n">
        <x:f>IF(OR(R1005="No",S1005-T1005*Assumptions!$B$9&lt;=0),"",AA1005/(Assumptions!$B$8*(S1005-T1005*Assumptions!$B$9)))</x:f>
        <x:v>52.05766632960203</x:v>
      </x:c>
      <x:c r="AD1005" s="52" t="n">
        <x:f>IF(OR(R1005="No",U1005*S1005=0),"",AA1005/(U1005*S1005))</x:f>
        <x:v>0.016659797789296698</x:v>
      </x:c>
      <x:c r="AE1005" s="50" t="str">
        <x:f>IF(R1005="No","No finance data",IF(AB1005&gt;=10%,"Severe",IF(AB1005&gt;=5%,"High",IF(AB1005&gt;=2%,"Moderate","Low"))))</x:f>
        <x:v>Low</x:v>
      </x:c>
      <x:c r="AF1005" s="60" t="n">
        <x:v>40.095672</x:v>
      </x:c>
      <x:c r="AG1005" s="60" t="n">
        <x:v>-74.221328</x:v>
      </x:c>
      <x:c r="AH1005" s="44" t="str">
        <x:v>Undergraduate tuition-contribution proxy only; not an audited total institutional budget.</x:v>
      </x:c>
    </x:row>
    <x:row r="1006">
      <x:c r="A1006" s="16" t="n">
        <x:v>183822</x:v>
      </x:c>
      <x:c r="B1006" s="16" t="str">
        <x:v>Bloomfield College</x:v>
      </x:c>
      <x:c r="C1006" s="16" t="str">
        <x:v>NJ</x:v>
      </x:c>
      <x:c r="D1006" s="16" t="str">
        <x:v>Private nonprofit</x:v>
      </x:c>
      <x:c r="E1006" s="34" t="n">
        <x:v>1937</x:v>
      </x:c>
      <x:c r="F1006" s="21" t="n">
        <x:v>0.8403</x:v>
      </x:c>
      <x:c r="G1006" s="16" t="str">
        <x:v>Regional</x:v>
      </x:c>
      <x:c r="H1006" s="36" t="n">
        <x:f>IF(G1006="National",Assumptions!$B$11,IF(G1006="Statewide",Assumptions!$B$12,Assumptions!$B$13))</x:f>
        <x:v>0.85</x:v>
      </x:c>
      <x:c r="I1006" s="21" t="n">
        <x:v>-0.013084265215690172</x:v>
      </x:c>
      <x:c r="J1006" s="21" t="n">
        <x:v>-0.013930465956343285</x:v>
      </x:c>
      <x:c r="K1006" s="21" t="n">
        <x:v>-0.01756094010172604</x:v>
      </x:c>
      <x:c r="L1006" s="36" t="n">
        <x:f>IF(Assumptions!$B$4=2030,I1006,IF(Assumptions!$B$4=2035,J1006,K1006))</x:f>
        <x:v>-0.013930465956343285</x:v>
      </x:c>
      <x:c r="M1006" s="36" t="n">
        <x:f>Assumptions!$B$19</x:f>
        <x:v>-0.04739891965741583</x:v>
      </x:c>
      <x:c r="N1006" s="52" t="n">
        <x:f>H1006*L1006+(1-H1006)*M1006+O1006</x:f>
        <x:v>-0.01895073401150417</x:v>
      </x:c>
      <x:c r="O1006" s="36" t="n">
        <x:f>Assumptions!$B$10</x:f>
        <x:v>0</x:v>
      </x:c>
      <x:c r="P1006" s="54" t="n">
        <x:f>E1006*(1+N1006)</x:f>
        <x:v>1900.2924282197164</x:v>
      </x:c>
      <x:c r="Q1006" s="54" t="n">
        <x:f>P1006-E1006</x:f>
        <x:v>-36.707571780283615</x:v>
      </x:c>
      <x:c r="R1006" s="16" t="str">
        <x:v>Yes</x:v>
      </x:c>
      <x:c r="S1006" s="56" t="n">
        <x:v>16901</x:v>
      </x:c>
      <x:c r="T1006" s="56" t="n">
        <x:v>8946</x:v>
      </x:c>
      <x:c r="U1006" s="40" t="n">
        <x:f>E1006*Assumptions!$B$8</x:f>
        <x:v>1646.45</x:v>
      </x:c>
      <x:c r="V1006" s="40" t="n">
        <x:f>P1006*Assumptions!$B$8</x:f>
        <x:v>1615.2485639867589</x:v>
      </x:c>
      <x:c r="W1006" s="54" t="n">
        <x:f>V1006-U1006</x:f>
        <x:v>-31.201436013241164</x:v>
      </x:c>
      <x:c r="X1006" s="58" t="n">
        <x:f>IF(R1006="No","",W1006*S1006)</x:f>
        <x:v>-527335.4700597889</x:v>
      </x:c>
      <x:c r="Y1006" s="58" t="n">
        <x:f>IF(R1006="No","",W1006*T1006*Assumptions!$B$9)</x:f>
        <x:v>-83738.41397233664</x:v>
      </x:c>
      <x:c r="Z1006" s="58" t="n">
        <x:f>IF(R1006="No","",X1006-Y1006)</x:f>
        <x:v>-443597.0560874523</x:v>
      </x:c>
      <x:c r="AA1006" s="58" t="n">
        <x:f>IF(R1006="No","",MAX(0,-Z1006))</x:f>
        <x:v>443597.0560874523</x:v>
      </x:c>
      <x:c r="AB1006" s="52" t="n">
        <x:f>IF(OR(R1006="No",U1006*S1006=0),"",AA1006/(U1006*S1006))</x:f>
        <x:v>0.01594144580725153</x:v>
      </x:c>
      <x:c r="AC1006" s="54" t="n">
        <x:f>IF(OR(R1006="No",S1006-T1006*Assumptions!$B$9&lt;=0),"",AA1006/(Assumptions!$B$8*(S1006-T1006*Assumptions!$B$9)))</x:f>
        <x:v>36.70757178028372</x:v>
      </x:c>
      <x:c r="AD1006" s="52" t="n">
        <x:f>IF(OR(R1006="No",U1006*S1006=0),"",AA1006/(U1006*S1006))</x:f>
        <x:v>0.01594144580725153</x:v>
      </x:c>
      <x:c r="AE1006" s="50" t="str">
        <x:f>IF(R1006="No","No finance data",IF(AB1006&gt;=10%,"Severe",IF(AB1006&gt;=5%,"High",IF(AB1006&gt;=2%,"Moderate","Low"))))</x:f>
        <x:v>Low</x:v>
      </x:c>
      <x:c r="AF1006" s="60" t="n">
        <x:v>40.795105</x:v>
      </x:c>
      <x:c r="AG1006" s="60" t="n">
        <x:v>-74.194309</x:v>
      </x:c>
      <x:c r="AH1006" s="44" t="str">
        <x:v>Undergraduate tuition-contribution proxy only; not an audited total institutional budget.</x:v>
      </x:c>
    </x:row>
    <x:row r="1007">
      <x:c r="A1007" s="16" t="n">
        <x:v>183910</x:v>
      </x:c>
      <x:c r="B1007" s="16" t="str">
        <x:v>Caldwell University</x:v>
      </x:c>
      <x:c r="C1007" s="16" t="str">
        <x:v>NJ</x:v>
      </x:c>
      <x:c r="D1007" s="16" t="str">
        <x:v>Private nonprofit</x:v>
      </x:c>
      <x:c r="E1007" s="34" t="n">
        <x:v>1576</x:v>
      </x:c>
      <x:c r="F1007" s="21" t="n">
        <x:v>0.9596</x:v>
      </x:c>
      <x:c r="G1007" s="16" t="str">
        <x:v>Regional</x:v>
      </x:c>
      <x:c r="H1007" s="36" t="n">
        <x:f>IF(G1007="National",Assumptions!$B$11,IF(G1007="Statewide",Assumptions!$B$12,Assumptions!$B$13))</x:f>
        <x:v>0.85</x:v>
      </x:c>
      <x:c r="I1007" s="21" t="n">
        <x:v>-0.013084265215690172</x:v>
      </x:c>
      <x:c r="J1007" s="21" t="n">
        <x:v>-0.013930465956343285</x:v>
      </x:c>
      <x:c r="K1007" s="21" t="n">
        <x:v>-0.01756094010172604</x:v>
      </x:c>
      <x:c r="L1007" s="36" t="n">
        <x:f>IF(Assumptions!$B$4=2030,I1007,IF(Assumptions!$B$4=2035,J1007,K1007))</x:f>
        <x:v>-0.013930465956343285</x:v>
      </x:c>
      <x:c r="M1007" s="36" t="n">
        <x:f>Assumptions!$B$19</x:f>
        <x:v>-0.04739891965741583</x:v>
      </x:c>
      <x:c r="N1007" s="52" t="n">
        <x:f>H1007*L1007+(1-H1007)*M1007+O1007</x:f>
        <x:v>-0.01895073401150417</x:v>
      </x:c>
      <x:c r="O1007" s="36" t="n">
        <x:f>Assumptions!$B$10</x:f>
        <x:v>0</x:v>
      </x:c>
      <x:c r="P1007" s="54" t="n">
        <x:f>E1007*(1+N1007)</x:f>
        <x:v>1546.1336431978696</x:v>
      </x:c>
      <x:c r="Q1007" s="54" t="n">
        <x:f>P1007-E1007</x:f>
        <x:v>-29.86635680213044</x:v>
      </x:c>
      <x:c r="R1007" s="16" t="str">
        <x:v>Yes</x:v>
      </x:c>
      <x:c r="S1007" s="56" t="n">
        <x:v>16245</x:v>
      </x:c>
      <x:c r="T1007" s="56" t="n">
        <x:v>10816</x:v>
      </x:c>
      <x:c r="U1007" s="40" t="n">
        <x:f>E1007*Assumptions!$B$8</x:f>
        <x:v>1339.6</x:v>
      </x:c>
      <x:c r="V1007" s="40" t="n">
        <x:f>P1007*Assumptions!$B$8</x:f>
        <x:v>1314.2135967181891</x:v>
      </x:c>
      <x:c r="W1007" s="54" t="n">
        <x:f>V1007-U1007</x:f>
        <x:v>-25.38640328181077</x:v>
      </x:c>
      <x:c r="X1007" s="58" t="n">
        <x:f>IF(R1007="No","",W1007*S1007)</x:f>
        <x:v>-412402.121313016</x:v>
      </x:c>
      <x:c r="Y1007" s="58" t="n">
        <x:f>IF(R1007="No","",W1007*T1007*Assumptions!$B$9)</x:f>
        <x:v>-82373.8013688196</x:v>
      </x:c>
      <x:c r="Z1007" s="58" t="n">
        <x:f>IF(R1007="No","",X1007-Y1007)</x:f>
        <x:v>-330028.3199441964</x:v>
      </x:c>
      <x:c r="AA1007" s="58" t="n">
        <x:f>IF(R1007="No","",MAX(0,-Z1007))</x:f>
        <x:v>330028.3199441964</x:v>
      </x:c>
      <x:c r="AB1007" s="52" t="n">
        <x:f>IF(OR(R1007="No",U1007*S1007=0),"",AA1007/(U1007*S1007))</x:f>
        <x:v>0.015165486752622618</x:v>
      </x:c>
      <x:c r="AC1007" s="54" t="n">
        <x:f>IF(OR(R1007="No",S1007-T1007*Assumptions!$B$9&lt;=0),"",AA1007/(Assumptions!$B$8*(S1007-T1007*Assumptions!$B$9)))</x:f>
        <x:v>29.86635680213032</x:v>
      </x:c>
      <x:c r="AD1007" s="52" t="n">
        <x:f>IF(OR(R1007="No",U1007*S1007=0),"",AA1007/(U1007*S1007))</x:f>
        <x:v>0.015165486752622618</x:v>
      </x:c>
      <x:c r="AE1007" s="50" t="str">
        <x:f>IF(R1007="No","No finance data",IF(AB1007&gt;=10%,"Severe",IF(AB1007&gt;=5%,"High",IF(AB1007&gt;=2%,"Moderate","Low"))))</x:f>
        <x:v>Low</x:v>
      </x:c>
      <x:c r="AF1007" s="60" t="n">
        <x:v>40.832753</x:v>
      </x:c>
      <x:c r="AG1007" s="60" t="n">
        <x:v>-74.272571</x:v>
      </x:c>
      <x:c r="AH1007" s="44" t="str">
        <x:v>Undergraduate tuition-contribution proxy only; not an audited total institutional budget.</x:v>
      </x:c>
    </x:row>
    <x:row r="1008">
      <x:c r="A1008" s="16" t="n">
        <x:v>183974</x:v>
      </x:c>
      <x:c r="B1008" s="16" t="str">
        <x:v>Centenary University</x:v>
      </x:c>
      <x:c r="C1008" s="16" t="str">
        <x:v>NJ</x:v>
      </x:c>
      <x:c r="D1008" s="16" t="str">
        <x:v>Private nonprofit</x:v>
      </x:c>
      <x:c r="E1008" s="34" t="n">
        <x:v>1548</x:v>
      </x:c>
      <x:c r="F1008" s="21" t="n">
        <x:v>0.9762</x:v>
      </x:c>
      <x:c r="G1008" s="16" t="str">
        <x:v>Regional</x:v>
      </x:c>
      <x:c r="H1008" s="36" t="n">
        <x:f>IF(G1008="National",Assumptions!$B$11,IF(G1008="Statewide",Assumptions!$B$12,Assumptions!$B$13))</x:f>
        <x:v>0.85</x:v>
      </x:c>
      <x:c r="I1008" s="21" t="n">
        <x:v>-0.013084265215690172</x:v>
      </x:c>
      <x:c r="J1008" s="21" t="n">
        <x:v>-0.013930465956343285</x:v>
      </x:c>
      <x:c r="K1008" s="21" t="n">
        <x:v>-0.01756094010172604</x:v>
      </x:c>
      <x:c r="L1008" s="36" t="n">
        <x:f>IF(Assumptions!$B$4=2030,I1008,IF(Assumptions!$B$4=2035,J1008,K1008))</x:f>
        <x:v>-0.013930465956343285</x:v>
      </x:c>
      <x:c r="M1008" s="36" t="n">
        <x:f>Assumptions!$B$19</x:f>
        <x:v>-0.04739891965741583</x:v>
      </x:c>
      <x:c r="N1008" s="52" t="n">
        <x:f>H1008*L1008+(1-H1008)*M1008+O1008</x:f>
        <x:v>-0.01895073401150417</x:v>
      </x:c>
      <x:c r="O1008" s="36" t="n">
        <x:f>Assumptions!$B$10</x:f>
        <x:v>0</x:v>
      </x:c>
      <x:c r="P1008" s="54" t="n">
        <x:f>E1008*(1+N1008)</x:f>
        <x:v>1518.6642637501916</x:v>
      </x:c>
      <x:c r="Q1008" s="54" t="n">
        <x:f>P1008-E1008</x:f>
        <x:v>-29.335736249808406</x:v>
      </x:c>
      <x:c r="R1008" s="16" t="str">
        <x:v>Yes</x:v>
      </x:c>
      <x:c r="S1008" s="56" t="n">
        <x:v>16682</x:v>
      </x:c>
      <x:c r="T1008" s="56" t="n">
        <x:v>9767</x:v>
      </x:c>
      <x:c r="U1008" s="40" t="n">
        <x:f>E1008*Assumptions!$B$8</x:f>
        <x:v>1315.8</x:v>
      </x:c>
      <x:c r="V1008" s="40" t="n">
        <x:f>P1008*Assumptions!$B$8</x:f>
        <x:v>1290.864624187663</x:v>
      </x:c>
      <x:c r="W1008" s="54" t="n">
        <x:f>V1008-U1008</x:f>
        <x:v>-24.935375812337043</x:v>
      </x:c>
      <x:c r="X1008" s="58" t="n">
        <x:f>IF(R1008="No","",W1008*S1008)</x:f>
        <x:v>-415971.93930140656</x:v>
      </x:c>
      <x:c r="Y1008" s="58" t="n">
        <x:f>IF(R1008="No","",W1008*T1008*Assumptions!$B$9)</x:f>
        <x:v>-73063.14466772877</x:v>
      </x:c>
      <x:c r="Z1008" s="58" t="n">
        <x:f>IF(R1008="No","",X1008-Y1008)</x:f>
        <x:v>-342908.7946336778</x:v>
      </x:c>
      <x:c r="AA1008" s="58" t="n">
        <x:f>IF(R1008="No","",MAX(0,-Z1008))</x:f>
        <x:v>342908.7946336778</x:v>
      </x:c>
      <x:c r="AB1008" s="52" t="n">
        <x:f>IF(OR(R1008="No",U1008*S1008=0),"",AA1008/(U1008*S1008))</x:f>
        <x:v>0.015622143571082768</x:v>
      </x:c>
      <x:c r="AC1008" s="54" t="n">
        <x:f>IF(OR(R1008="No",S1008-T1008*Assumptions!$B$9&lt;=0),"",AA1008/(Assumptions!$B$8*(S1008-T1008*Assumptions!$B$9)))</x:f>
        <x:v>29.33573624980829</x:v>
      </x:c>
      <x:c r="AD1008" s="52" t="n">
        <x:f>IF(OR(R1008="No",U1008*S1008=0),"",AA1008/(U1008*S1008))</x:f>
        <x:v>0.015622143571082768</x:v>
      </x:c>
      <x:c r="AE1008" s="50" t="str">
        <x:f>IF(R1008="No","No finance data",IF(AB1008&gt;=10%,"Severe",IF(AB1008&gt;=5%,"High",IF(AB1008&gt;=2%,"Moderate","Low"))))</x:f>
        <x:v>Low</x:v>
      </x:c>
      <x:c r="AF1008" s="60" t="n">
        <x:v>40.84764</x:v>
      </x:c>
      <x:c r="AG1008" s="60" t="n">
        <x:v>-74.833644</x:v>
      </x:c>
      <x:c r="AH1008" s="44" t="str">
        <x:v>Undergraduate tuition-contribution proxy only; not an audited total institutional budget.</x:v>
      </x:c>
    </x:row>
    <x:row r="1009">
      <x:c r="A1009" s="16" t="n">
        <x:v>186618</x:v>
      </x:c>
      <x:c r="B1009" s="16" t="str">
        <x:v>College of Saint Elizabeth</x:v>
      </x:c>
      <x:c r="C1009" s="16" t="str">
        <x:v>NJ</x:v>
      </x:c>
      <x:c r="D1009" s="16" t="str">
        <x:v>Private nonprofit</x:v>
      </x:c>
      <x:c r="E1009" s="34" t="n">
        <x:v>778</x:v>
      </x:c>
      <x:c r="F1009" s="21" t="n">
        <x:v>0.737</x:v>
      </x:c>
      <x:c r="G1009" s="16" t="str">
        <x:v>Regional</x:v>
      </x:c>
      <x:c r="H1009" s="36" t="n">
        <x:f>IF(G1009="National",Assumptions!$B$11,IF(G1009="Statewide",Assumptions!$B$12,Assumptions!$B$13))</x:f>
        <x:v>0.85</x:v>
      </x:c>
      <x:c r="I1009" s="21" t="n">
        <x:v>-0.013084265215690172</x:v>
      </x:c>
      <x:c r="J1009" s="21" t="n">
        <x:v>-0.013930465956343285</x:v>
      </x:c>
      <x:c r="K1009" s="21" t="n">
        <x:v>-0.01756094010172604</x:v>
      </x:c>
      <x:c r="L1009" s="36" t="n">
        <x:f>IF(Assumptions!$B$4=2030,I1009,IF(Assumptions!$B$4=2035,J1009,K1009))</x:f>
        <x:v>-0.013930465956343285</x:v>
      </x:c>
      <x:c r="M1009" s="36" t="n">
        <x:f>Assumptions!$B$19</x:f>
        <x:v>-0.04739891965741583</x:v>
      </x:c>
      <x:c r="N1009" s="52" t="n">
        <x:f>H1009*L1009+(1-H1009)*M1009+O1009</x:f>
        <x:v>-0.01895073401150417</x:v>
      </x:c>
      <x:c r="O1009" s="36" t="n">
        <x:f>Assumptions!$B$10</x:f>
        <x:v>0</x:v>
      </x:c>
      <x:c r="P1009" s="54" t="n">
        <x:f>E1009*(1+N1009)</x:f>
        <x:v>763.2563289390498</x:v>
      </x:c>
      <x:c r="Q1009" s="54" t="n">
        <x:f>P1009-E1009</x:f>
        <x:v>-14.743671060950192</x:v>
      </x:c>
      <x:c r="R1009" s="16" t="str">
        <x:v>Yes</x:v>
      </x:c>
      <x:c r="S1009" s="56" t="n">
        <x:v>18669</x:v>
      </x:c>
      <x:c r="T1009" s="56" t="n">
        <x:v>10693</x:v>
      </x:c>
      <x:c r="U1009" s="40" t="n">
        <x:f>E1009*Assumptions!$B$8</x:f>
        <x:v>661.3</x:v>
      </x:c>
      <x:c r="V1009" s="40" t="n">
        <x:f>P1009*Assumptions!$B$8</x:f>
        <x:v>648.7678795981923</x:v>
      </x:c>
      <x:c r="W1009" s="54" t="n">
        <x:f>V1009-U1009</x:f>
        <x:v>-12.532120401807674</x:v>
      </x:c>
      <x:c r="X1009" s="58" t="n">
        <x:f>IF(R1009="No","",W1009*S1009)</x:f>
        <x:v>-233962.15578134748</x:v>
      </x:c>
      <x:c r="Y1009" s="58" t="n">
        <x:f>IF(R1009="No","",W1009*T1009*Assumptions!$B$9)</x:f>
        <x:v>-40201.789036958835</x:v>
      </x:c>
      <x:c r="Z1009" s="58" t="n">
        <x:f>IF(R1009="No","",X1009-Y1009)</x:f>
        <x:v>-193760.36674438865</x:v>
      </x:c>
      <x:c r="AA1009" s="58" t="n">
        <x:f>IF(R1009="No","",MAX(0,-Z1009))</x:f>
        <x:v>193760.36674438865</x:v>
      </x:c>
      <x:c r="AB1009" s="52" t="n">
        <x:f>IF(OR(R1009="No",U1009*S1009=0),"",AA1009/(U1009*S1009))</x:f>
        <x:v>0.0156944235698359</x:v>
      </x:c>
      <x:c r="AC1009" s="54" t="n">
        <x:f>IF(OR(R1009="No",S1009-T1009*Assumptions!$B$9&lt;=0),"",AA1009/(Assumptions!$B$8*(S1009-T1009*Assumptions!$B$9)))</x:f>
        <x:v>14.743671060950208</x:v>
      </x:c>
      <x:c r="AD1009" s="52" t="n">
        <x:f>IF(OR(R1009="No",U1009*S1009=0),"",AA1009/(U1009*S1009))</x:f>
        <x:v>0.0156944235698359</x:v>
      </x:c>
      <x:c r="AE1009" s="50" t="str">
        <x:f>IF(R1009="No","No finance data",IF(AB1009&gt;=10%,"Severe",IF(AB1009&gt;=5%,"High",IF(AB1009&gt;=2%,"Moderate","Low"))))</x:f>
        <x:v>Low</x:v>
      </x:c>
      <x:c r="AF1009" s="60" t="n">
        <x:v>40.78182</x:v>
      </x:c>
      <x:c r="AG1009" s="60" t="n">
        <x:v>-74.438221</x:v>
      </x:c>
      <x:c r="AH1009" s="44" t="str">
        <x:v>Undergraduate tuition-contribution proxy only; not an audited total institutional budget.</x:v>
      </x:c>
    </x:row>
    <x:row r="1010">
      <x:c r="A1010" s="16" t="n">
        <x:v>184348</x:v>
      </x:c>
      <x:c r="B1010" s="16" t="str">
        <x:v>Drew University</x:v>
      </x:c>
      <x:c r="C1010" s="16" t="str">
        <x:v>NJ</x:v>
      </x:c>
      <x:c r="D1010" s="16" t="str">
        <x:v>Private nonprofit</x:v>
      </x:c>
      <x:c r="E1010" s="34" t="n">
        <x:v>1346</x:v>
      </x:c>
      <x:c r="F1010" s="21" t="n">
        <x:v>0.797</x:v>
      </x:c>
      <x:c r="G1010" s="16" t="str">
        <x:v>Regional</x:v>
      </x:c>
      <x:c r="H1010" s="36" t="n">
        <x:f>IF(G1010="National",Assumptions!$B$11,IF(G1010="Statewide",Assumptions!$B$12,Assumptions!$B$13))</x:f>
        <x:v>0.85</x:v>
      </x:c>
      <x:c r="I1010" s="21" t="n">
        <x:v>-0.013084265215690172</x:v>
      </x:c>
      <x:c r="J1010" s="21" t="n">
        <x:v>-0.013930465956343285</x:v>
      </x:c>
      <x:c r="K1010" s="21" t="n">
        <x:v>-0.01756094010172604</x:v>
      </x:c>
      <x:c r="L1010" s="36" t="n">
        <x:f>IF(Assumptions!$B$4=2030,I1010,IF(Assumptions!$B$4=2035,J1010,K1010))</x:f>
        <x:v>-0.013930465956343285</x:v>
      </x:c>
      <x:c r="M1010" s="36" t="n">
        <x:f>Assumptions!$B$19</x:f>
        <x:v>-0.04739891965741583</x:v>
      </x:c>
      <x:c r="N1010" s="52" t="n">
        <x:f>H1010*L1010+(1-H1010)*M1010+O1010</x:f>
        <x:v>-0.01895073401150417</x:v>
      </x:c>
      <x:c r="O1010" s="36" t="n">
        <x:f>Assumptions!$B$10</x:f>
        <x:v>0</x:v>
      </x:c>
      <x:c r="P1010" s="54" t="n">
        <x:f>E1010*(1+N1010)</x:f>
        <x:v>1320.4923120205153</x:v>
      </x:c>
      <x:c r="Q1010" s="54" t="n">
        <x:f>P1010-E1010</x:f>
        <x:v>-25.507687979484672</x:v>
      </x:c>
      <x:c r="R1010" s="16" t="str">
        <x:v>Yes</x:v>
      </x:c>
      <x:c r="S1010" s="56" t="n">
        <x:v>15762</x:v>
      </x:c>
      <x:c r="T1010" s="56" t="n">
        <x:v>9916</x:v>
      </x:c>
      <x:c r="U1010" s="40" t="n">
        <x:f>E1010*Assumptions!$B$8</x:f>
        <x:v>1144.1</x:v>
      </x:c>
      <x:c r="V1010" s="40" t="n">
        <x:f>P1010*Assumptions!$B$8</x:f>
        <x:v>1122.418465217438</x:v>
      </x:c>
      <x:c r="W1010" s="54" t="n">
        <x:f>V1010-U1010</x:f>
        <x:v>-21.681534782561812</x:v>
      </x:c>
      <x:c r="X1010" s="58" t="n">
        <x:f>IF(R1010="No","",W1010*S1010)</x:f>
        <x:v>-341744.3512427393</x:v>
      </x:c>
      <x:c r="Y1010" s="58" t="n">
        <x:f>IF(R1010="No","",W1010*T1010*Assumptions!$B$9)</x:f>
        <x:v>-64498.229671164874</x:v>
      </x:c>
      <x:c r="Z1010" s="58" t="n">
        <x:f>IF(R1010="No","",X1010-Y1010)</x:f>
        <x:v>-277246.1215715744</x:v>
      </x:c>
      <x:c r="AA1010" s="58" t="n">
        <x:f>IF(R1010="No","",MAX(0,-Z1010))</x:f>
        <x:v>277246.1215715744</x:v>
      </x:c>
      <x:c r="AB1010" s="52" t="n">
        <x:f>IF(OR(R1010="No",U1010*S1010=0),"",AA1010/(U1010*S1010))</x:f>
        <x:v>0.015374116606515983</x:v>
      </x:c>
      <x:c r="AC1010" s="54" t="n">
        <x:f>IF(OR(R1010="No",S1010-T1010*Assumptions!$B$9&lt;=0),"",AA1010/(Assumptions!$B$8*(S1010-T1010*Assumptions!$B$9)))</x:f>
        <x:v>25.507687979484484</x:v>
      </x:c>
      <x:c r="AD1010" s="52" t="n">
        <x:f>IF(OR(R1010="No",U1010*S1010=0),"",AA1010/(U1010*S1010))</x:f>
        <x:v>0.015374116606515983</x:v>
      </x:c>
      <x:c r="AE1010" s="50" t="str">
        <x:f>IF(R1010="No","No finance data",IF(AB1010&gt;=10%,"Severe",IF(AB1010&gt;=5%,"High",IF(AB1010&gt;=2%,"Moderate","Low"))))</x:f>
        <x:v>Low</x:v>
      </x:c>
      <x:c r="AF1010" s="60" t="n">
        <x:v>40.761829</x:v>
      </x:c>
      <x:c r="AG1010" s="60" t="n">
        <x:v>-74.424584</x:v>
      </x:c>
      <x:c r="AH1010" s="44" t="str">
        <x:v>Undergraduate tuition-contribution proxy only; not an audited total institutional budget.</x:v>
      </x:c>
    </x:row>
    <x:row r="1011">
      <x:c r="A1011" s="16" t="n">
        <x:v>184694</x:v>
      </x:c>
      <x:c r="B1011" s="16" t="str">
        <x:v>Fairleigh Dickinson University-Florham Campus</x:v>
      </x:c>
      <x:c r="C1011" s="16" t="str">
        <x:v>NJ</x:v>
      </x:c>
      <x:c r="D1011" s="16" t="str">
        <x:v>Private nonprofit</x:v>
      </x:c>
      <x:c r="E1011" s="34" t="n">
        <x:v>2505</x:v>
      </x:c>
      <x:c r="F1011" s="21" t="n">
        <x:v>0.8456</x:v>
      </x:c>
      <x:c r="G1011" s="16" t="str">
        <x:v>Regional</x:v>
      </x:c>
      <x:c r="H1011" s="36" t="n">
        <x:f>IF(G1011="National",Assumptions!$B$11,IF(G1011="Statewide",Assumptions!$B$12,Assumptions!$B$13))</x:f>
        <x:v>0.85</x:v>
      </x:c>
      <x:c r="I1011" s="21" t="n">
        <x:v>-0.013084265215690172</x:v>
      </x:c>
      <x:c r="J1011" s="21" t="n">
        <x:v>-0.013930465956343285</x:v>
      </x:c>
      <x:c r="K1011" s="21" t="n">
        <x:v>-0.01756094010172604</x:v>
      </x:c>
      <x:c r="L1011" s="36" t="n">
        <x:f>IF(Assumptions!$B$4=2030,I1011,IF(Assumptions!$B$4=2035,J1011,K1011))</x:f>
        <x:v>-0.013930465956343285</x:v>
      </x:c>
      <x:c r="M1011" s="36" t="n">
        <x:f>Assumptions!$B$19</x:f>
        <x:v>-0.04739891965741583</x:v>
      </x:c>
      <x:c r="N1011" s="52" t="n">
        <x:f>H1011*L1011+(1-H1011)*M1011+O1011</x:f>
        <x:v>-0.01895073401150417</x:v>
      </x:c>
      <x:c r="O1011" s="36" t="n">
        <x:f>Assumptions!$B$10</x:f>
        <x:v>0</x:v>
      </x:c>
      <x:c r="P1011" s="54" t="n">
        <x:f>E1011*(1+N1011)</x:f>
        <x:v>2457.528411301182</x:v>
      </x:c>
      <x:c r="Q1011" s="54" t="n">
        <x:f>P1011-E1011</x:f>
        <x:v>-47.47158869881787</x:v>
      </x:c>
      <x:c r="R1011" s="16" t="str">
        <x:v>Yes</x:v>
      </x:c>
      <x:c r="S1011" s="56" t="n">
        <x:v>22081</x:v>
      </x:c>
      <x:c r="T1011" s="56" t="n">
        <x:v>10420</x:v>
      </x:c>
      <x:c r="U1011" s="40" t="n">
        <x:f>E1011*Assumptions!$B$8</x:f>
        <x:v>2129.25</x:v>
      </x:c>
      <x:c r="V1011" s="40" t="n">
        <x:f>P1011*Assumptions!$B$8</x:f>
        <x:v>2088.899149606005</x:v>
      </x:c>
      <x:c r="W1011" s="54" t="n">
        <x:f>V1011-U1011</x:f>
        <x:v>-40.35085039399519</x:v>
      </x:c>
      <x:c r="X1011" s="58" t="n">
        <x:f>IF(R1011="No","",W1011*S1011)</x:f>
        <x:v>-890987.1275498078</x:v>
      </x:c>
      <x:c r="Y1011" s="58" t="n">
        <x:f>IF(R1011="No","",W1011*T1011*Assumptions!$B$9)</x:f>
        <x:v>-126136.75833162895</x:v>
      </x:c>
      <x:c r="Z1011" s="58" t="n">
        <x:f>IF(R1011="No","",X1011-Y1011)</x:f>
        <x:v>-764850.3692181788</x:v>
      </x:c>
      <x:c r="AA1011" s="58" t="n">
        <x:f>IF(R1011="No","",MAX(0,-Z1011))</x:f>
        <x:v>764850.3692181788</x:v>
      </x:c>
      <x:c r="AB1011" s="52" t="n">
        <x:f>IF(OR(R1011="No",U1011*S1011=0),"",AA1011/(U1011*S1011))</x:f>
        <x:v>0.016267884751055704</x:v>
      </x:c>
      <x:c r="AC1011" s="54" t="n">
        <x:f>IF(OR(R1011="No",S1011-T1011*Assumptions!$B$9&lt;=0),"",AA1011/(Assumptions!$B$8*(S1011-T1011*Assumptions!$B$9)))</x:f>
        <x:v>47.47158869881787</x:v>
      </x:c>
      <x:c r="AD1011" s="52" t="n">
        <x:f>IF(OR(R1011="No",U1011*S1011=0),"",AA1011/(U1011*S1011))</x:f>
        <x:v>0.016267884751055704</x:v>
      </x:c>
      <x:c r="AE1011" s="50" t="str">
        <x:f>IF(R1011="No","No finance data",IF(AB1011&gt;=10%,"Severe",IF(AB1011&gt;=5%,"High",IF(AB1011&gt;=2%,"Moderate","Low"))))</x:f>
        <x:v>Low</x:v>
      </x:c>
      <x:c r="AF1011" s="60" t="n">
        <x:v>40.774498</x:v>
      </x:c>
      <x:c r="AG1011" s="60" t="n">
        <x:v>-74.432121</x:v>
      </x:c>
      <x:c r="AH1011" s="44" t="str">
        <x:v>Undergraduate tuition-contribution proxy only; not an audited total institutional budget.</x:v>
      </x:c>
    </x:row>
    <x:row r="1012">
      <x:c r="A1012" s="16" t="n">
        <x:v>184603</x:v>
      </x:c>
      <x:c r="B1012" s="16" t="str">
        <x:v>Fairleigh Dickinson University-Metropolitan Campus</x:v>
      </x:c>
      <x:c r="C1012" s="16" t="str">
        <x:v>NJ</x:v>
      </x:c>
      <x:c r="D1012" s="16" t="str">
        <x:v>Private nonprofit</x:v>
      </x:c>
      <x:c r="E1012" s="34" t="n">
        <x:v>3707</x:v>
      </x:c>
      <x:c r="F1012" s="21" t="n">
        <x:v>0.8473</x:v>
      </x:c>
      <x:c r="G1012" s="16" t="str">
        <x:v>Regional</x:v>
      </x:c>
      <x:c r="H1012" s="36" t="n">
        <x:f>IF(G1012="National",Assumptions!$B$11,IF(G1012="Statewide",Assumptions!$B$12,Assumptions!$B$13))</x:f>
        <x:v>0.85</x:v>
      </x:c>
      <x:c r="I1012" s="21" t="n">
        <x:v>-0.013084265215690172</x:v>
      </x:c>
      <x:c r="J1012" s="21" t="n">
        <x:v>-0.013930465956343285</x:v>
      </x:c>
      <x:c r="K1012" s="21" t="n">
        <x:v>-0.01756094010172604</x:v>
      </x:c>
      <x:c r="L1012" s="36" t="n">
        <x:f>IF(Assumptions!$B$4=2030,I1012,IF(Assumptions!$B$4=2035,J1012,K1012))</x:f>
        <x:v>-0.013930465956343285</x:v>
      </x:c>
      <x:c r="M1012" s="36" t="n">
        <x:f>Assumptions!$B$19</x:f>
        <x:v>-0.04739891965741583</x:v>
      </x:c>
      <x:c r="N1012" s="52" t="n">
        <x:f>H1012*L1012+(1-H1012)*M1012+O1012</x:f>
        <x:v>-0.01895073401150417</x:v>
      </x:c>
      <x:c r="O1012" s="36" t="n">
        <x:f>Assumptions!$B$10</x:f>
        <x:v>0</x:v>
      </x:c>
      <x:c r="P1012" s="54" t="n">
        <x:f>E1012*(1+N1012)</x:f>
        <x:v>3636.749629019354</x:v>
      </x:c>
      <x:c r="Q1012" s="54" t="n">
        <x:f>P1012-E1012</x:f>
        <x:v>-70.25037098064604</x:v>
      </x:c>
      <x:c r="R1012" s="16" t="str">
        <x:v>Yes</x:v>
      </x:c>
      <x:c r="S1012" s="56" t="n">
        <x:v>17318</x:v>
      </x:c>
      <x:c r="T1012" s="56" t="n">
        <x:v>8172</x:v>
      </x:c>
      <x:c r="U1012" s="40" t="n">
        <x:f>E1012*Assumptions!$B$8</x:f>
        <x:v>3150.95</x:v>
      </x:c>
      <x:c r="V1012" s="40" t="n">
        <x:f>P1012*Assumptions!$B$8</x:f>
        <x:v>3091.237184666451</x:v>
      </x:c>
      <x:c r="W1012" s="54" t="n">
        <x:f>V1012-U1012</x:f>
        <x:v>-59.71281533354886</x:v>
      </x:c>
      <x:c r="X1012" s="58" t="n">
        <x:f>IF(R1012="No","",W1012*S1012)</x:f>
        <x:v>-1034106.5359463992</x:v>
      </x:c>
      <x:c r="Y1012" s="58" t="n">
        <x:f>IF(R1012="No","",W1012*T1012*Assumptions!$B$9)</x:f>
        <x:v>-146391.9380717284</x:v>
      </x:c>
      <x:c r="Z1012" s="58" t="n">
        <x:f>IF(R1012="No","",X1012-Y1012)</x:f>
        <x:v>-887714.5978746708</x:v>
      </x:c>
      <x:c r="AA1012" s="58" t="n">
        <x:f>IF(R1012="No","",MAX(0,-Z1012))</x:f>
        <x:v>887714.5978746708</x:v>
      </x:c>
      <x:c r="AB1012" s="52" t="n">
        <x:f>IF(OR(R1012="No",U1012*S1012=0),"",AA1012/(U1012*S1012))</x:f>
        <x:v>0.016267998158483926</x:v>
      </x:c>
      <x:c r="AC1012" s="54" t="n">
        <x:f>IF(OR(R1012="No",S1012-T1012*Assumptions!$B$9&lt;=0),"",AA1012/(Assumptions!$B$8*(S1012-T1012*Assumptions!$B$9)))</x:f>
        <x:v>70.25037098064573</x:v>
      </x:c>
      <x:c r="AD1012" s="52" t="n">
        <x:f>IF(OR(R1012="No",U1012*S1012=0),"",AA1012/(U1012*S1012))</x:f>
        <x:v>0.016267998158483926</x:v>
      </x:c>
      <x:c r="AE1012" s="50" t="str">
        <x:f>IF(R1012="No","No finance data",IF(AB1012&gt;=10%,"Severe",IF(AB1012&gt;=5%,"High",IF(AB1012&gt;=2%,"Moderate","Low"))))</x:f>
        <x:v>Low</x:v>
      </x:c>
      <x:c r="AF1012" s="60" t="n">
        <x:v>40.897209</x:v>
      </x:c>
      <x:c r="AG1012" s="60" t="n">
        <x:v>-74.028986</x:v>
      </x:c>
      <x:c r="AH1012" s="44" t="str">
        <x:v>Undergraduate tuition-contribution proxy only; not an audited total institutional budget.</x:v>
      </x:c>
    </x:row>
    <x:row r="1013">
      <x:c r="A1013" s="16" t="n">
        <x:v>184612</x:v>
      </x:c>
      <x:c r="B1013" s="16" t="str">
        <x:v>Felician University</x:v>
      </x:c>
      <x:c r="C1013" s="16" t="str">
        <x:v>NJ</x:v>
      </x:c>
      <x:c r="D1013" s="16" t="str">
        <x:v>Private nonprofit</x:v>
      </x:c>
      <x:c r="E1013" s="34" t="n">
        <x:v>1600</x:v>
      </x:c>
      <x:c r="F1013" s="21" t="n">
        <x:v>0.9198</x:v>
      </x:c>
      <x:c r="G1013" s="16" t="str">
        <x:v>Regional</x:v>
      </x:c>
      <x:c r="H1013" s="36" t="n">
        <x:f>IF(G1013="National",Assumptions!$B$11,IF(G1013="Statewide",Assumptions!$B$12,Assumptions!$B$13))</x:f>
        <x:v>0.85</x:v>
      </x:c>
      <x:c r="I1013" s="21" t="n">
        <x:v>-0.013084265215690172</x:v>
      </x:c>
      <x:c r="J1013" s="21" t="n">
        <x:v>-0.013930465956343285</x:v>
      </x:c>
      <x:c r="K1013" s="21" t="n">
        <x:v>-0.01756094010172604</x:v>
      </x:c>
      <x:c r="L1013" s="36" t="n">
        <x:f>IF(Assumptions!$B$4=2030,I1013,IF(Assumptions!$B$4=2035,J1013,K1013))</x:f>
        <x:v>-0.013930465956343285</x:v>
      </x:c>
      <x:c r="M1013" s="36" t="n">
        <x:f>Assumptions!$B$19</x:f>
        <x:v>-0.04739891965741583</x:v>
      </x:c>
      <x:c r="N1013" s="52" t="n">
        <x:f>H1013*L1013+(1-H1013)*M1013+O1013</x:f>
        <x:v>-0.01895073401150417</x:v>
      </x:c>
      <x:c r="O1013" s="36" t="n">
        <x:f>Assumptions!$B$10</x:f>
        <x:v>0</x:v>
      </x:c>
      <x:c r="P1013" s="54" t="n">
        <x:f>E1013*(1+N1013)</x:f>
        <x:v>1569.6788255815934</x:v>
      </x:c>
      <x:c r="Q1013" s="54" t="n">
        <x:f>P1013-E1013</x:f>
        <x:v>-30.3211744184066</x:v>
      </x:c>
      <x:c r="R1013" s="16" t="str">
        <x:v>Yes</x:v>
      </x:c>
      <x:c r="S1013" s="56" t="n">
        <x:v>15478</x:v>
      </x:c>
      <x:c r="T1013" s="56" t="n">
        <x:v>6805</x:v>
      </x:c>
      <x:c r="U1013" s="40" t="n">
        <x:f>E1013*Assumptions!$B$8</x:f>
        <x:v>1360</x:v>
      </x:c>
      <x:c r="V1013" s="40" t="n">
        <x:f>P1013*Assumptions!$B$8</x:f>
        <x:v>1334.2270017443543</x:v>
      </x:c>
      <x:c r="W1013" s="54" t="n">
        <x:f>V1013-U1013</x:f>
        <x:v>-25.77299825564569</x:v>
      </x:c>
      <x:c r="X1013" s="58" t="n">
        <x:f>IF(R1013="No","",W1013*S1013)</x:f>
        <x:v>-398914.46700088395</x:v>
      </x:c>
      <x:c r="Y1013" s="58" t="n">
        <x:f>IF(R1013="No","",W1013*T1013*Assumptions!$B$9)</x:f>
        <x:v>-52615.57593890067</x:v>
      </x:c>
      <x:c r="Z1013" s="58" t="n">
        <x:f>IF(R1013="No","",X1013-Y1013)</x:f>
        <x:v>-346298.8910619833</x:v>
      </x:c>
      <x:c r="AA1013" s="58" t="n">
        <x:f>IF(R1013="No","",MAX(0,-Z1013))</x:f>
        <x:v>346298.8910619833</x:v>
      </x:c>
      <x:c r="AB1013" s="52" t="n">
        <x:f>IF(OR(R1013="No",U1013*S1013=0),"",AA1013/(U1013*S1013))</x:f>
        <x:v>0.016451191209818836</x:v>
      </x:c>
      <x:c r="AC1013" s="54" t="n">
        <x:f>IF(OR(R1013="No",S1013-T1013*Assumptions!$B$9&lt;=0),"",AA1013/(Assumptions!$B$8*(S1013-T1013*Assumptions!$B$9)))</x:f>
        <x:v>30.321174418406695</x:v>
      </x:c>
      <x:c r="AD1013" s="52" t="n">
        <x:f>IF(OR(R1013="No",U1013*S1013=0),"",AA1013/(U1013*S1013))</x:f>
        <x:v>0.016451191209818836</x:v>
      </x:c>
      <x:c r="AE1013" s="50" t="str">
        <x:f>IF(R1013="No","No finance data",IF(AB1013&gt;=10%,"Severe",IF(AB1013&gt;=5%,"High",IF(AB1013&gt;=2%,"Moderate","Low"))))</x:f>
        <x:v>Low</x:v>
      </x:c>
      <x:c r="AF1013" s="60" t="n">
        <x:v>40.867272</x:v>
      </x:c>
      <x:c r="AG1013" s="60" t="n">
        <x:v>-74.096452</x:v>
      </x:c>
      <x:c r="AH1013" s="44" t="str">
        <x:v>Undergraduate tuition-contribution proxy only; not an audited total institutional budget.</x:v>
      </x:c>
    </x:row>
    <x:row r="1014">
      <x:c r="A1014" s="16" t="n">
        <x:v>184773</x:v>
      </x:c>
      <x:c r="B1014" s="16" t="str">
        <x:v>Georgian Court University</x:v>
      </x:c>
      <x:c r="C1014" s="16" t="str">
        <x:v>NJ</x:v>
      </x:c>
      <x:c r="D1014" s="16" t="str">
        <x:v>Private nonprofit</x:v>
      </x:c>
      <x:c r="E1014" s="34" t="n">
        <x:v>1352</x:v>
      </x:c>
      <x:c r="F1014" s="21" t="n">
        <x:v>0.796</x:v>
      </x:c>
      <x:c r="G1014" s="16" t="str">
        <x:v>Regional</x:v>
      </x:c>
      <x:c r="H1014" s="36" t="n">
        <x:f>IF(G1014="National",Assumptions!$B$11,IF(G1014="Statewide",Assumptions!$B$12,Assumptions!$B$13))</x:f>
        <x:v>0.85</x:v>
      </x:c>
      <x:c r="I1014" s="21" t="n">
        <x:v>-0.013084265215690172</x:v>
      </x:c>
      <x:c r="J1014" s="21" t="n">
        <x:v>-0.013930465956343285</x:v>
      </x:c>
      <x:c r="K1014" s="21" t="n">
        <x:v>-0.01756094010172604</x:v>
      </x:c>
      <x:c r="L1014" s="36" t="n">
        <x:f>IF(Assumptions!$B$4=2030,I1014,IF(Assumptions!$B$4=2035,J1014,K1014))</x:f>
        <x:v>-0.013930465956343285</x:v>
      </x:c>
      <x:c r="M1014" s="36" t="n">
        <x:f>Assumptions!$B$19</x:f>
        <x:v>-0.04739891965741583</x:v>
      </x:c>
      <x:c r="N1014" s="52" t="n">
        <x:f>H1014*L1014+(1-H1014)*M1014+O1014</x:f>
        <x:v>-0.01895073401150417</x:v>
      </x:c>
      <x:c r="O1014" s="36" t="n">
        <x:f>Assumptions!$B$10</x:f>
        <x:v>0</x:v>
      </x:c>
      <x:c r="P1014" s="54" t="n">
        <x:f>E1014*(1+N1014)</x:f>
        <x:v>1326.3786076164463</x:v>
      </x:c>
      <x:c r="Q1014" s="54" t="n">
        <x:f>P1014-E1014</x:f>
        <x:v>-25.62139238355371</x:v>
      </x:c>
      <x:c r="R1014" s="16" t="str">
        <x:v>Yes</x:v>
      </x:c>
      <x:c r="S1014" s="56" t="n">
        <x:v>18177</x:v>
      </x:c>
      <x:c r="T1014" s="56" t="n">
        <x:v>8064</x:v>
      </x:c>
      <x:c r="U1014" s="40" t="n">
        <x:f>E1014*Assumptions!$B$8</x:f>
        <x:v>1149.2</x:v>
      </x:c>
      <x:c r="V1014" s="40" t="n">
        <x:f>P1014*Assumptions!$B$8</x:f>
        <x:v>1127.4218164739793</x:v>
      </x:c>
      <x:c r="W1014" s="54" t="n">
        <x:f>V1014-U1014</x:f>
        <x:v>-21.77818352602071</x:v>
      </x:c>
      <x:c r="X1014" s="58" t="n">
        <x:f>IF(R1014="No","",W1014*S1014)</x:f>
        <x:v>-395862.04195247847</x:v>
      </x:c>
      <x:c r="Y1014" s="58" t="n">
        <x:f>IF(R1014="No","",W1014*T1014*Assumptions!$B$9)</x:f>
        <x:v>-52685.78158614931</x:v>
      </x:c>
      <x:c r="Z1014" s="58" t="n">
        <x:f>IF(R1014="No","",X1014-Y1014)</x:f>
        <x:v>-343176.26036632917</x:v>
      </x:c>
      <x:c r="AA1014" s="58" t="n">
        <x:f>IF(R1014="No","",MAX(0,-Z1014))</x:f>
        <x:v>343176.26036632917</x:v>
      </x:c>
      <x:c r="AB1014" s="52" t="n">
        <x:f>IF(OR(R1014="No",U1014*S1014=0),"",AA1014/(U1014*S1014))</x:f>
        <x:v>0.016428556769900536</x:v>
      </x:c>
      <x:c r="AC1014" s="54" t="n">
        <x:f>IF(OR(R1014="No",S1014-T1014*Assumptions!$B$9&lt;=0),"",AA1014/(Assumptions!$B$8*(S1014-T1014*Assumptions!$B$9)))</x:f>
        <x:v>25.62139238355378</x:v>
      </x:c>
      <x:c r="AD1014" s="52" t="n">
        <x:f>IF(OR(R1014="No",U1014*S1014=0),"",AA1014/(U1014*S1014))</x:f>
        <x:v>0.016428556769900536</x:v>
      </x:c>
      <x:c r="AE1014" s="50" t="str">
        <x:f>IF(R1014="No","No finance data",IF(AB1014&gt;=10%,"Severe",IF(AB1014&gt;=5%,"High",IF(AB1014&gt;=2%,"Moderate","Low"))))</x:f>
        <x:v>Low</x:v>
      </x:c>
      <x:c r="AF1014" s="60" t="n">
        <x:v>40.099617</x:v>
      </x:c>
      <x:c r="AG1014" s="60" t="n">
        <x:v>-74.228186</x:v>
      </x:c>
      <x:c r="AH1014" s="44" t="str">
        <x:v>Undergraduate tuition-contribution proxy only; not an audited total institutional budget.</x:v>
      </x:c>
    </x:row>
    <x:row r="1015">
      <x:c r="A1015" s="16" t="n">
        <x:v>185262</x:v>
      </x:c>
      <x:c r="B1015" s="16" t="str">
        <x:v>Kean University</x:v>
      </x:c>
      <x:c r="C1015" s="16" t="str">
        <x:v>NJ</x:v>
      </x:c>
      <x:c r="D1015" s="16" t="str">
        <x:v>Public</x:v>
      </x:c>
      <x:c r="E1015" s="34" t="n">
        <x:v>11755</x:v>
      </x:c>
      <x:c r="F1015" s="21" t="n">
        <x:v>0.7916</x:v>
      </x:c>
      <x:c r="G1015" s="16" t="str">
        <x:v>Statewide</x:v>
      </x:c>
      <x:c r="H1015" s="36" t="n">
        <x:f>IF(G1015="National",Assumptions!$B$11,IF(G1015="Statewide",Assumptions!$B$12,Assumptions!$B$13))</x:f>
        <x:v>0.6</x:v>
      </x:c>
      <x:c r="I1015" s="21" t="n">
        <x:v>-0.013084265215690172</x:v>
      </x:c>
      <x:c r="J1015" s="21" t="n">
        <x:v>-0.013930465956343285</x:v>
      </x:c>
      <x:c r="K1015" s="21" t="n">
        <x:v>-0.01756094010172604</x:v>
      </x:c>
      <x:c r="L1015" s="36" t="n">
        <x:f>IF(Assumptions!$B$4=2030,I1015,IF(Assumptions!$B$4=2035,J1015,K1015))</x:f>
        <x:v>-0.013930465956343285</x:v>
      </x:c>
      <x:c r="M1015" s="36" t="n">
        <x:f>Assumptions!$B$19</x:f>
        <x:v>-0.04739891965741583</x:v>
      </x:c>
      <x:c r="N1015" s="52" t="n">
        <x:f>H1015*L1015+(1-H1015)*M1015+O1015</x:f>
        <x:v>-0.027317847436772305</x:v>
      </x:c>
      <x:c r="O1015" s="36" t="n">
        <x:f>Assumptions!$B$10</x:f>
        <x:v>0</x:v>
      </x:c>
      <x:c r="P1015" s="54" t="n">
        <x:f>E1015*(1+N1015)</x:f>
        <x:v>11433.87870338074</x:v>
      </x:c>
      <x:c r="Q1015" s="54" t="n">
        <x:f>P1015-E1015</x:f>
        <x:v>-321.12129661925974</x:v>
      </x:c>
      <x:c r="R1015" s="16" t="str">
        <x:v>Yes</x:v>
      </x:c>
      <x:c r="S1015" s="56" t="n">
        <x:v>10047</x:v>
      </x:c>
      <x:c r="T1015" s="56" t="n">
        <x:v>10019</x:v>
      </x:c>
      <x:c r="U1015" s="40" t="n">
        <x:f>E1015*Assumptions!$B$8</x:f>
        <x:v>9991.75</x:v>
      </x:c>
      <x:c r="V1015" s="40" t="n">
        <x:f>P1015*Assumptions!$B$8</x:f>
        <x:v>9718.79689787363</x:v>
      </x:c>
      <x:c r="W1015" s="54" t="n">
        <x:f>V1015-U1015</x:f>
        <x:v>-272.95310212637014</x:v>
      </x:c>
      <x:c r="X1015" s="58" t="n">
        <x:f>IF(R1015="No","",W1015*S1015)</x:f>
        <x:v>-2742359.817063641</x:v>
      </x:c>
      <x:c r="Y1015" s="58" t="n">
        <x:f>IF(R1015="No","",W1015*T1015*Assumptions!$B$9)</x:f>
        <x:v>-820415.1390612307</x:v>
      </x:c>
      <x:c r="Z1015" s="58" t="n">
        <x:f>IF(R1015="No","",X1015-Y1015)</x:f>
        <x:v>-1921944.67800241</x:v>
      </x:c>
      <x:c r="AA1015" s="58" t="n">
        <x:f>IF(R1015="No","",MAX(0,-Z1015))</x:f>
        <x:v>1921944.67800241</x:v>
      </x:c>
      <x:c r="AB1015" s="52" t="n">
        <x:f>IF(OR(R1015="No",U1015*S1015=0),"",AA1015/(U1015*S1015))</x:f>
        <x:v>0.019145332851253624</x:v>
      </x:c>
      <x:c r="AC1015" s="54" t="n">
        <x:f>IF(OR(R1015="No",S1015-T1015*Assumptions!$B$9&lt;=0),"",AA1015/(Assumptions!$B$8*(S1015-T1015*Assumptions!$B$9)))</x:f>
        <x:v>321.121296619259</x:v>
      </x:c>
      <x:c r="AD1015" s="52" t="n">
        <x:f>IF(OR(R1015="No",U1015*S1015=0),"",AA1015/(U1015*S1015))</x:f>
        <x:v>0.019145332851253624</x:v>
      </x:c>
      <x:c r="AE1015" s="50" t="str">
        <x:f>IF(R1015="No","No finance data",IF(AB1015&gt;=10%,"Severe",IF(AB1015&gt;=5%,"High",IF(AB1015&gt;=2%,"Moderate","Low"))))</x:f>
        <x:v>Low</x:v>
      </x:c>
      <x:c r="AF1015" s="60" t="n">
        <x:v>40.677981</x:v>
      </x:c>
      <x:c r="AG1015" s="60" t="n">
        <x:v>-74.233503</x:v>
      </x:c>
      <x:c r="AH1015" s="44" t="str">
        <x:v>Undergraduate tuition-contribution proxy only; not an audited total institutional budget.</x:v>
      </x:c>
    </x:row>
    <x:row r="1016">
      <x:c r="A1016" s="16" t="n">
        <x:v>461847</x:v>
      </x:c>
      <x:c r="B1016" s="16" t="str">
        <x:v>Mesivta Keser Torah</x:v>
      </x:c>
      <x:c r="C1016" s="16" t="str">
        <x:v>NJ</x:v>
      </x:c>
      <x:c r="D1016" s="16" t="str">
        <x:v>Private nonprofit</x:v>
      </x:c>
      <x:c r="E1016" s="34" t="n">
        <x:v>34</x:v>
      </x:c>
      <x:c r="F1016" s="21"/>
      <x:c r="G1016" s="16" t="str">
        <x:v>Regional</x:v>
      </x:c>
      <x:c r="H1016" s="36" t="n">
        <x:f>IF(G1016="National",Assumptions!$B$11,IF(G1016="Statewide",Assumptions!$B$12,Assumptions!$B$13))</x:f>
        <x:v>0.85</x:v>
      </x:c>
      <x:c r="I1016" s="21" t="n">
        <x:v>-0.013084265215690172</x:v>
      </x:c>
      <x:c r="J1016" s="21" t="n">
        <x:v>-0.013930465956343285</x:v>
      </x:c>
      <x:c r="K1016" s="21" t="n">
        <x:v>-0.01756094010172604</x:v>
      </x:c>
      <x:c r="L1016" s="36" t="n">
        <x:f>IF(Assumptions!$B$4=2030,I1016,IF(Assumptions!$B$4=2035,J1016,K1016))</x:f>
        <x:v>-0.013930465956343285</x:v>
      </x:c>
      <x:c r="M1016" s="36" t="n">
        <x:f>Assumptions!$B$19</x:f>
        <x:v>-0.04739891965741583</x:v>
      </x:c>
      <x:c r="N1016" s="52" t="n">
        <x:f>H1016*L1016+(1-H1016)*M1016+O1016</x:f>
        <x:v>-0.01895073401150417</x:v>
      </x:c>
      <x:c r="O1016" s="36" t="n">
        <x:f>Assumptions!$B$10</x:f>
        <x:v>0</x:v>
      </x:c>
      <x:c r="P1016" s="54" t="n">
        <x:f>E1016*(1+N1016)</x:f>
        <x:v>33.35567504360886</x:v>
      </x:c>
      <x:c r="Q1016" s="54" t="n">
        <x:f>P1016-E1016</x:f>
        <x:v>-0.644324956391138</x:v>
      </x:c>
      <x:c r="R1016" s="16" t="str">
        <x:v>No</x:v>
      </x:c>
      <x:c r="S1016" s="56"/>
      <x:c r="T1016" s="56"/>
      <x:c r="U1016" s="40" t="n">
        <x:f>E1016*Assumptions!$B$8</x:f>
        <x:v>28.9</x:v>
      </x:c>
      <x:c r="V1016" s="40" t="n">
        <x:f>P1016*Assumptions!$B$8</x:f>
        <x:v>28.352323787067533</x:v>
      </x:c>
      <x:c r="W1016" s="54" t="n">
        <x:f>V1016-U1016</x:f>
        <x:v>-0.5476762129324655</x:v>
      </x:c>
      <x:c r="X1016" s="58" t="str">
        <x:f>IF(R1016="No","",W1016*S1016)</x:f>
      </x:c>
      <x:c r="Y1016" s="58" t="str">
        <x:f>IF(R1016="No","",W1016*T1016*Assumptions!$B$9)</x:f>
      </x:c>
      <x:c r="Z1016" s="58" t="str">
        <x:f>IF(R1016="No","",X1016-Y1016)</x:f>
      </x:c>
      <x:c r="AA1016" s="58" t="str">
        <x:f>IF(R1016="No","",MAX(0,-Z1016))</x:f>
      </x:c>
      <x:c r="AB1016" s="52" t="str">
        <x:f>IF(OR(R1016="No",U1016*S1016=0),"",AA1016/(U1016*S1016))</x:f>
      </x:c>
      <x:c r="AC1016" s="54" t="str">
        <x:f>IF(OR(R1016="No",S1016-T1016*Assumptions!$B$9&lt;=0),"",AA1016/(Assumptions!$B$8*(S1016-T1016*Assumptions!$B$9)))</x:f>
      </x:c>
      <x:c r="AD1016" s="52" t="str">
        <x:f>IF(OR(R1016="No",U1016*S1016=0),"",AA1016/(U1016*S1016))</x:f>
      </x:c>
      <x:c r="AE1016" s="50" t="str">
        <x:f>IF(R1016="No","No finance data",IF(AB1016&gt;=10%,"Severe",IF(AB1016&gt;=5%,"High",IF(AB1016&gt;=2%,"Moderate","Low"))))</x:f>
        <x:v>No finance data</x:v>
      </x:c>
      <x:c r="AF1016" s="60"/>
      <x:c r="AG1016" s="60"/>
      <x:c r="AH1016" s="44" t="str">
        <x:v>Undergraduate tuition-contribution proxy only; not an audited total institutional budget.</x:v>
      </x:c>
    </x:row>
    <x:row r="1017">
      <x:c r="A1017" s="16" t="n">
        <x:v>185572</x:v>
      </x:c>
      <x:c r="B1017" s="16" t="str">
        <x:v>Monmouth University</x:v>
      </x:c>
      <x:c r="C1017" s="16" t="str">
        <x:v>NJ</x:v>
      </x:c>
      <x:c r="D1017" s="16" t="str">
        <x:v>Private nonprofit</x:v>
      </x:c>
      <x:c r="E1017" s="34" t="n">
        <x:v>4661</x:v>
      </x:c>
      <x:c r="F1017" s="21" t="n">
        <x:v>0.8354</x:v>
      </x:c>
      <x:c r="G1017" s="16" t="str">
        <x:v>Regional</x:v>
      </x:c>
      <x:c r="H1017" s="36" t="n">
        <x:f>IF(G1017="National",Assumptions!$B$11,IF(G1017="Statewide",Assumptions!$B$12,Assumptions!$B$13))</x:f>
        <x:v>0.85</x:v>
      </x:c>
      <x:c r="I1017" s="21" t="n">
        <x:v>-0.013084265215690172</x:v>
      </x:c>
      <x:c r="J1017" s="21" t="n">
        <x:v>-0.013930465956343285</x:v>
      </x:c>
      <x:c r="K1017" s="21" t="n">
        <x:v>-0.01756094010172604</x:v>
      </x:c>
      <x:c r="L1017" s="36" t="n">
        <x:f>IF(Assumptions!$B$4=2030,I1017,IF(Assumptions!$B$4=2035,J1017,K1017))</x:f>
        <x:v>-0.013930465956343285</x:v>
      </x:c>
      <x:c r="M1017" s="36" t="n">
        <x:f>Assumptions!$B$19</x:f>
        <x:v>-0.04739891965741583</x:v>
      </x:c>
      <x:c r="N1017" s="52" t="n">
        <x:f>H1017*L1017+(1-H1017)*M1017+O1017</x:f>
        <x:v>-0.01895073401150417</x:v>
      </x:c>
      <x:c r="O1017" s="36" t="n">
        <x:f>Assumptions!$B$10</x:f>
        <x:v>0</x:v>
      </x:c>
      <x:c r="P1017" s="54" t="n">
        <x:f>E1017*(1+N1017)</x:f>
        <x:v>4572.670628772379</x:v>
      </x:c>
      <x:c r="Q1017" s="54" t="n">
        <x:f>P1017-E1017</x:f>
        <x:v>-88.32937122762087</x:v>
      </x:c>
      <x:c r="R1017" s="16" t="str">
        <x:v>Yes</x:v>
      </x:c>
      <x:c r="S1017" s="56" t="n">
        <x:v>23881</x:v>
      </x:c>
      <x:c r="T1017" s="56" t="n">
        <x:v>12195</x:v>
      </x:c>
      <x:c r="U1017" s="40" t="n">
        <x:f>E1017*Assumptions!$B$8</x:f>
        <x:v>3961.85</x:v>
      </x:c>
      <x:c r="V1017" s="40" t="n">
        <x:f>P1017*Assumptions!$B$8</x:f>
        <x:v>3886.7700344565224</x:v>
      </x:c>
      <x:c r="W1017" s="54" t="n">
        <x:f>V1017-U1017</x:f>
        <x:v>-75.07996554347756</x:v>
      </x:c>
      <x:c r="X1017" s="58" t="n">
        <x:f>IF(R1017="No","",W1017*S1017)</x:f>
        <x:v>-1792984.6571437875</x:v>
      </x:c>
      <x:c r="Y1017" s="58" t="n">
        <x:f>IF(R1017="No","",W1017*T1017*Assumptions!$B$9)</x:f>
        <x:v>-274680.05394081265</x:v>
      </x:c>
      <x:c r="Z1017" s="58" t="n">
        <x:f>IF(R1017="No","",X1017-Y1017)</x:f>
        <x:v>-1518304.603202975</x:v>
      </x:c>
      <x:c r="AA1017" s="58" t="n">
        <x:f>IF(R1017="No","",MAX(0,-Z1017))</x:f>
        <x:v>1518304.603202975</x:v>
      </x:c>
      <x:c r="AB1017" s="52" t="n">
        <x:f>IF(OR(R1017="No",U1017*S1017=0),"",AA1017/(U1017*S1017))</x:f>
        <x:v>0.016047536474504496</x:v>
      </x:c>
      <x:c r="AC1017" s="54" t="n">
        <x:f>IF(OR(R1017="No",S1017-T1017*Assumptions!$B$9&lt;=0),"",AA1017/(Assumptions!$B$8*(S1017-T1017*Assumptions!$B$9)))</x:f>
        <x:v>88.32937122762065</x:v>
      </x:c>
      <x:c r="AD1017" s="52" t="n">
        <x:f>IF(OR(R1017="No",U1017*S1017=0),"",AA1017/(U1017*S1017))</x:f>
        <x:v>0.016047536474504496</x:v>
      </x:c>
      <x:c r="AE1017" s="50" t="str">
        <x:f>IF(R1017="No","No finance data",IF(AB1017&gt;=10%,"Severe",IF(AB1017&gt;=5%,"High",IF(AB1017&gt;=2%,"Moderate","Low"))))</x:f>
        <x:v>Low</x:v>
      </x:c>
      <x:c r="AF1017" s="60" t="n">
        <x:v>40.280066</x:v>
      </x:c>
      <x:c r="AG1017" s="60" t="n">
        <x:v>-74.006447</x:v>
      </x:c>
      <x:c r="AH1017" s="44" t="str">
        <x:v>Undergraduate tuition-contribution proxy only; not an audited total institutional budget.</x:v>
      </x:c>
    </x:row>
    <x:row r="1018">
      <x:c r="A1018" s="16" t="n">
        <x:v>185590</x:v>
      </x:c>
      <x:c r="B1018" s="16" t="str">
        <x:v>Montclair State University</x:v>
      </x:c>
      <x:c r="C1018" s="16" t="str">
        <x:v>NJ</x:v>
      </x:c>
      <x:c r="D1018" s="16" t="str">
        <x:v>Public</x:v>
      </x:c>
      <x:c r="E1018" s="34" t="n">
        <x:v>16129</x:v>
      </x:c>
      <x:c r="F1018" s="21" t="n">
        <x:v>0.9061</x:v>
      </x:c>
      <x:c r="G1018" s="16" t="str">
        <x:v>Statewide</x:v>
      </x:c>
      <x:c r="H1018" s="36" t="n">
        <x:f>IF(G1018="National",Assumptions!$B$11,IF(G1018="Statewide",Assumptions!$B$12,Assumptions!$B$13))</x:f>
        <x:v>0.6</x:v>
      </x:c>
      <x:c r="I1018" s="21" t="n">
        <x:v>-0.013084265215690172</x:v>
      </x:c>
      <x:c r="J1018" s="21" t="n">
        <x:v>-0.013930465956343285</x:v>
      </x:c>
      <x:c r="K1018" s="21" t="n">
        <x:v>-0.01756094010172604</x:v>
      </x:c>
      <x:c r="L1018" s="36" t="n">
        <x:f>IF(Assumptions!$B$4=2030,I1018,IF(Assumptions!$B$4=2035,J1018,K1018))</x:f>
        <x:v>-0.013930465956343285</x:v>
      </x:c>
      <x:c r="M1018" s="36" t="n">
        <x:f>Assumptions!$B$19</x:f>
        <x:v>-0.04739891965741583</x:v>
      </x:c>
      <x:c r="N1018" s="52" t="n">
        <x:f>H1018*L1018+(1-H1018)*M1018+O1018</x:f>
        <x:v>-0.027317847436772305</x:v>
      </x:c>
      <x:c r="O1018" s="36" t="n">
        <x:f>Assumptions!$B$10</x:f>
        <x:v>0</x:v>
      </x:c>
      <x:c r="P1018" s="54" t="n">
        <x:f>E1018*(1+N1018)</x:f>
        <x:v>15688.390438692299</x:v>
      </x:c>
      <x:c r="Q1018" s="54" t="n">
        <x:f>P1018-E1018</x:f>
        <x:v>-440.60956130770137</x:v>
      </x:c>
      <x:c r="R1018" s="16" t="str">
        <x:v>Yes</x:v>
      </x:c>
      <x:c r="S1018" s="56" t="n">
        <x:v>9572</x:v>
      </x:c>
      <x:c r="T1018" s="56" t="n">
        <x:v>9057</x:v>
      </x:c>
      <x:c r="U1018" s="40" t="n">
        <x:f>E1018*Assumptions!$B$8</x:f>
        <x:v>13709.65</x:v>
      </x:c>
      <x:c r="V1018" s="40" t="n">
        <x:f>P1018*Assumptions!$B$8</x:f>
        <x:v>13335.131872888454</x:v>
      </x:c>
      <x:c r="W1018" s="54" t="n">
        <x:f>V1018-U1018</x:f>
        <x:v>-374.51812711154525</x:v>
      </x:c>
      <x:c r="X1018" s="58" t="n">
        <x:f>IF(R1018="No","",W1018*S1018)</x:f>
        <x:v>-3584887.512711711</x:v>
      </x:c>
      <x:c r="Y1018" s="58" t="n">
        <x:f>IF(R1018="No","",W1018*T1018*Assumptions!$B$9)</x:f>
        <x:v>-1017603.2031747795</x:v>
      </x:c>
      <x:c r="Z1018" s="58" t="n">
        <x:f>IF(R1018="No","",X1018-Y1018)</x:f>
        <x:v>-2567284.3095369316</x:v>
      </x:c>
      <x:c r="AA1018" s="58" t="n">
        <x:f>IF(R1018="No","",MAX(0,-Z1018))</x:f>
        <x:v>2567284.3095369316</x:v>
      </x:c>
      <x:c r="AB1018" s="52" t="n">
        <x:f>IF(OR(R1018="No",U1018*S1018=0),"",AA1018/(U1018*S1018))</x:f>
        <x:v>0.019563425866520098</x:v>
      </x:c>
      <x:c r="AC1018" s="54" t="n">
        <x:f>IF(OR(R1018="No",S1018-T1018*Assumptions!$B$9&lt;=0),"",AA1018/(Assumptions!$B$8*(S1018-T1018*Assumptions!$B$9)))</x:f>
        <x:v>440.6095613077003</x:v>
      </x:c>
      <x:c r="AD1018" s="52" t="n">
        <x:f>IF(OR(R1018="No",U1018*S1018=0),"",AA1018/(U1018*S1018))</x:f>
        <x:v>0.019563425866520098</x:v>
      </x:c>
      <x:c r="AE1018" s="50" t="str">
        <x:f>IF(R1018="No","No finance data",IF(AB1018&gt;=10%,"Severe",IF(AB1018&gt;=5%,"High",IF(AB1018&gt;=2%,"Moderate","Low"))))</x:f>
        <x:v>Low</x:v>
      </x:c>
      <x:c r="AF1018" s="60" t="n">
        <x:v>40.860414</x:v>
      </x:c>
      <x:c r="AG1018" s="60" t="n">
        <x:v>-74.198141</x:v>
      </x:c>
      <x:c r="AH1018" s="44" t="str">
        <x:v>Undergraduate tuition-contribution proxy only; not an audited total institutional budget.</x:v>
      </x:c>
    </x:row>
    <x:row r="1019">
      <x:c r="A1019" s="16" t="n">
        <x:v>185129</x:v>
      </x:c>
      <x:c r="B1019" s="16" t="str">
        <x:v>New Jersey City University</x:v>
      </x:c>
      <x:c r="C1019" s="16" t="str">
        <x:v>NJ</x:v>
      </x:c>
      <x:c r="D1019" s="16" t="str">
        <x:v>Public</x:v>
      </x:c>
      <x:c r="E1019" s="34" t="n">
        <x:v>6201</x:v>
      </x:c>
      <x:c r="F1019" s="21" t="n">
        <x:v>0.9066</x:v>
      </x:c>
      <x:c r="G1019" s="16" t="str">
        <x:v>Statewide</x:v>
      </x:c>
      <x:c r="H1019" s="36" t="n">
        <x:f>IF(G1019="National",Assumptions!$B$11,IF(G1019="Statewide",Assumptions!$B$12,Assumptions!$B$13))</x:f>
        <x:v>0.6</x:v>
      </x:c>
      <x:c r="I1019" s="21" t="n">
        <x:v>-0.013084265215690172</x:v>
      </x:c>
      <x:c r="J1019" s="21" t="n">
        <x:v>-0.013930465956343285</x:v>
      </x:c>
      <x:c r="K1019" s="21" t="n">
        <x:v>-0.01756094010172604</x:v>
      </x:c>
      <x:c r="L1019" s="36" t="n">
        <x:f>IF(Assumptions!$B$4=2030,I1019,IF(Assumptions!$B$4=2035,J1019,K1019))</x:f>
        <x:v>-0.013930465956343285</x:v>
      </x:c>
      <x:c r="M1019" s="36" t="n">
        <x:f>Assumptions!$B$19</x:f>
        <x:v>-0.04739891965741583</x:v>
      </x:c>
      <x:c r="N1019" s="52" t="n">
        <x:f>H1019*L1019+(1-H1019)*M1019+O1019</x:f>
        <x:v>-0.027317847436772305</x:v>
      </x:c>
      <x:c r="O1019" s="36" t="n">
        <x:f>Assumptions!$B$10</x:f>
        <x:v>0</x:v>
      </x:c>
      <x:c r="P1019" s="54" t="n">
        <x:f>E1019*(1+N1019)</x:f>
        <x:v>6031.602028044575</x:v>
      </x:c>
      <x:c r="Q1019" s="54" t="n">
        <x:f>P1019-E1019</x:f>
        <x:v>-169.39797195542542</x:v>
      </x:c>
      <x:c r="R1019" s="16" t="str">
        <x:v>Yes</x:v>
      </x:c>
      <x:c r="S1019" s="56" t="n">
        <x:v>8517</x:v>
      </x:c>
      <x:c r="T1019" s="56" t="n">
        <x:v>9432</x:v>
      </x:c>
      <x:c r="U1019" s="40" t="n">
        <x:f>E1019*Assumptions!$B$8</x:f>
        <x:v>5270.849999999999</x:v>
      </x:c>
      <x:c r="V1019" s="40" t="n">
        <x:f>P1019*Assumptions!$B$8</x:f>
        <x:v>5126.861723837888</x:v>
      </x:c>
      <x:c r="W1019" s="54" t="n">
        <x:f>V1019-U1019</x:f>
        <x:v>-143.9882761621111</x:v>
      </x:c>
      <x:c r="X1019" s="58" t="n">
        <x:f>IF(R1019="No","",W1019*S1019)</x:f>
        <x:v>-1226348.1480727002</x:v>
      </x:c>
      <x:c r="Y1019" s="58" t="n">
        <x:f>IF(R1019="No","",W1019*T1019*Assumptions!$B$9)</x:f>
        <x:v>-407429.2262283096</x:v>
      </x:c>
      <x:c r="Z1019" s="58" t="n">
        <x:f>IF(R1019="No","",X1019-Y1019)</x:f>
        <x:v>-818918.9218443907</x:v>
      </x:c>
      <x:c r="AA1019" s="58" t="n">
        <x:f>IF(R1019="No","",MAX(0,-Z1019))</x:f>
        <x:v>818918.9218443907</x:v>
      </x:c>
      <x:c r="AB1019" s="52" t="n">
        <x:f>IF(OR(R1019="No",U1019*S1019=0),"",AA1019/(U1019*S1019))</x:f>
        <x:v>0.01824204831653148</x:v>
      </x:c>
      <x:c r="AC1019" s="54" t="n">
        <x:f>IF(OR(R1019="No",S1019-T1019*Assumptions!$B$9&lt;=0),"",AA1019/(Assumptions!$B$8*(S1019-T1019*Assumptions!$B$9)))</x:f>
        <x:v>169.39797195542482</x:v>
      </x:c>
      <x:c r="AD1019" s="52" t="n">
        <x:f>IF(OR(R1019="No",U1019*S1019=0),"",AA1019/(U1019*S1019))</x:f>
        <x:v>0.01824204831653148</x:v>
      </x:c>
      <x:c r="AE1019" s="50" t="str">
        <x:f>IF(R1019="No","No finance data",IF(AB1019&gt;=10%,"Severe",IF(AB1019&gt;=5%,"High",IF(AB1019&gt;=2%,"Moderate","Low"))))</x:f>
        <x:v>Low</x:v>
      </x:c>
      <x:c r="AF1019" s="60" t="n">
        <x:v>40.709937</x:v>
      </x:c>
      <x:c r="AG1019" s="60" t="n">
        <x:v>-74.08727</x:v>
      </x:c>
      <x:c r="AH1019" s="44" t="str">
        <x:v>Undergraduate tuition-contribution proxy only; not an audited total institutional budget.</x:v>
      </x:c>
    </x:row>
    <x:row r="1020">
      <x:c r="A1020" s="16" t="n">
        <x:v>185828</x:v>
      </x:c>
      <x:c r="B1020" s="16" t="str">
        <x:v>New Jersey Institute of Technology</x:v>
      </x:c>
      <x:c r="C1020" s="16" t="str">
        <x:v>NJ</x:v>
      </x:c>
      <x:c r="D1020" s="16" t="str">
        <x:v>Public</x:v>
      </x:c>
      <x:c r="E1020" s="34" t="n">
        <x:v>7049</x:v>
      </x:c>
      <x:c r="F1020" s="21" t="n">
        <x:v>0.6914</x:v>
      </x:c>
      <x:c r="G1020" s="16" t="str">
        <x:v>Statewide</x:v>
      </x:c>
      <x:c r="H1020" s="36" t="n">
        <x:f>IF(G1020="National",Assumptions!$B$11,IF(G1020="Statewide",Assumptions!$B$12,Assumptions!$B$13))</x:f>
        <x:v>0.6</x:v>
      </x:c>
      <x:c r="I1020" s="21" t="n">
        <x:v>-0.013084265215690172</x:v>
      </x:c>
      <x:c r="J1020" s="21" t="n">
        <x:v>-0.013930465956343285</x:v>
      </x:c>
      <x:c r="K1020" s="21" t="n">
        <x:v>-0.01756094010172604</x:v>
      </x:c>
      <x:c r="L1020" s="36" t="n">
        <x:f>IF(Assumptions!$B$4=2030,I1020,IF(Assumptions!$B$4=2035,J1020,K1020))</x:f>
        <x:v>-0.013930465956343285</x:v>
      </x:c>
      <x:c r="M1020" s="36" t="n">
        <x:f>Assumptions!$B$19</x:f>
        <x:v>-0.04739891965741583</x:v>
      </x:c>
      <x:c r="N1020" s="52" t="n">
        <x:f>H1020*L1020+(1-H1020)*M1020+O1020</x:f>
        <x:v>-0.027317847436772305</x:v>
      </x:c>
      <x:c r="O1020" s="36" t="n">
        <x:f>Assumptions!$B$10</x:f>
        <x:v>0</x:v>
      </x:c>
      <x:c r="P1020" s="54" t="n">
        <x:f>E1020*(1+N1020)</x:f>
        <x:v>6856.436493418191</x:v>
      </x:c>
      <x:c r="Q1020" s="54" t="n">
        <x:f>P1020-E1020</x:f>
        <x:v>-192.56350658180872</x:v>
      </x:c>
      <x:c r="R1020" s="16" t="str">
        <x:v>Yes</x:v>
      </x:c>
      <x:c r="S1020" s="56" t="n">
        <x:v>13704</x:v>
      </x:c>
      <x:c r="T1020" s="56" t="n">
        <x:v>14167</x:v>
      </x:c>
      <x:c r="U1020" s="40" t="n">
        <x:f>E1020*Assumptions!$B$8</x:f>
        <x:v>5991.65</x:v>
      </x:c>
      <x:c r="V1020" s="40" t="n">
        <x:f>P1020*Assumptions!$B$8</x:f>
        <x:v>5827.971019405462</x:v>
      </x:c>
      <x:c r="W1020" s="54" t="n">
        <x:f>V1020-U1020</x:f>
        <x:v>-163.67898059453728</x:v>
      </x:c>
      <x:c r="X1020" s="58" t="n">
        <x:f>IF(R1020="No","",W1020*S1020)</x:f>
        <x:v>-2243056.750067539</x:v>
      </x:c>
      <x:c r="Y1020" s="58" t="n">
        <x:f>IF(R1020="No","",W1020*T1020*Assumptions!$B$9)</x:f>
        <x:v>-695652.0354248428</x:v>
      </x:c>
      <x:c r="Z1020" s="58" t="n">
        <x:f>IF(R1020="No","",X1020-Y1020)</x:f>
        <x:v>-1547404.714642696</x:v>
      </x:c>
      <x:c r="AA1020" s="58" t="n">
        <x:f>IF(R1020="No","",MAX(0,-Z1020))</x:f>
        <x:v>1547404.714642696</x:v>
      </x:c>
      <x:c r="AB1020" s="52" t="n">
        <x:f>IF(OR(R1020="No",U1020*S1020=0),"",AA1020/(U1020*S1020))</x:f>
        <x:v>0.018845606967491428</x:v>
      </x:c>
      <x:c r="AC1020" s="54" t="n">
        <x:f>IF(OR(R1020="No",S1020-T1020*Assumptions!$B$9&lt;=0),"",AA1020/(Assumptions!$B$8*(S1020-T1020*Assumptions!$B$9)))</x:f>
        <x:v>192.56350658180855</x:v>
      </x:c>
      <x:c r="AD1020" s="52" t="n">
        <x:f>IF(OR(R1020="No",U1020*S1020=0),"",AA1020/(U1020*S1020))</x:f>
        <x:v>0.018845606967491428</x:v>
      </x:c>
      <x:c r="AE1020" s="50" t="str">
        <x:f>IF(R1020="No","No finance data",IF(AB1020&gt;=10%,"Severe",IF(AB1020&gt;=5%,"High",IF(AB1020&gt;=2%,"Moderate","Low"))))</x:f>
        <x:v>Low</x:v>
      </x:c>
      <x:c r="AF1020" s="60" t="n">
        <x:v>40.741997</x:v>
      </x:c>
      <x:c r="AG1020" s="60" t="n">
        <x:v>-74.177113</x:v>
      </x:c>
      <x:c r="AH1020" s="44" t="str">
        <x:v>Undergraduate tuition-contribution proxy only; not an audited total institutional budget.</x:v>
      </x:c>
    </x:row>
    <x:row r="1021">
      <x:c r="A1021" s="16" t="n">
        <x:v>440794</x:v>
      </x:c>
      <x:c r="B1021" s="16" t="str">
        <x:v>Pillar College</x:v>
      </x:c>
      <x:c r="C1021" s="16" t="str">
        <x:v>NJ</x:v>
      </x:c>
      <x:c r="D1021" s="16" t="str">
        <x:v>Private nonprofit</x:v>
      </x:c>
      <x:c r="E1021" s="34" t="n">
        <x:v>371</x:v>
      </x:c>
      <x:c r="F1021" s="21"/>
      <x:c r="G1021" s="16" t="str">
        <x:v>Regional</x:v>
      </x:c>
      <x:c r="H1021" s="36" t="n">
        <x:f>IF(G1021="National",Assumptions!$B$11,IF(G1021="Statewide",Assumptions!$B$12,Assumptions!$B$13))</x:f>
        <x:v>0.85</x:v>
      </x:c>
      <x:c r="I1021" s="21" t="n">
        <x:v>-0.013084265215690172</x:v>
      </x:c>
      <x:c r="J1021" s="21" t="n">
        <x:v>-0.013930465956343285</x:v>
      </x:c>
      <x:c r="K1021" s="21" t="n">
        <x:v>-0.01756094010172604</x:v>
      </x:c>
      <x:c r="L1021" s="36" t="n">
        <x:f>IF(Assumptions!$B$4=2030,I1021,IF(Assumptions!$B$4=2035,J1021,K1021))</x:f>
        <x:v>-0.013930465956343285</x:v>
      </x:c>
      <x:c r="M1021" s="36" t="n">
        <x:f>Assumptions!$B$19</x:f>
        <x:v>-0.04739891965741583</x:v>
      </x:c>
      <x:c r="N1021" s="52" t="n">
        <x:f>H1021*L1021+(1-H1021)*M1021+O1021</x:f>
        <x:v>-0.01895073401150417</x:v>
      </x:c>
      <x:c r="O1021" s="36" t="n">
        <x:f>Assumptions!$B$10</x:f>
        <x:v>0</x:v>
      </x:c>
      <x:c r="P1021" s="54" t="n">
        <x:f>E1021*(1+N1021)</x:f>
        <x:v>363.96927768173197</x:v>
      </x:c>
      <x:c r="Q1021" s="54" t="n">
        <x:f>P1021-E1021</x:f>
        <x:v>-7.030722318268033</x:v>
      </x:c>
      <x:c r="R1021" s="16" t="str">
        <x:v>No</x:v>
      </x:c>
      <x:c r="S1021" s="56"/>
      <x:c r="T1021" s="56"/>
      <x:c r="U1021" s="40" t="n">
        <x:f>E1021*Assumptions!$B$8</x:f>
        <x:v>315.34999999999997</x:v>
      </x:c>
      <x:c r="V1021" s="40" t="n">
        <x:f>P1021*Assumptions!$B$8</x:f>
        <x:v>309.37388602947215</x:v>
      </x:c>
      <x:c r="W1021" s="54" t="n">
        <x:f>V1021-U1021</x:f>
        <x:v>-5.97611397052782</x:v>
      </x:c>
      <x:c r="X1021" s="58" t="str">
        <x:f>IF(R1021="No","",W1021*S1021)</x:f>
      </x:c>
      <x:c r="Y1021" s="58" t="str">
        <x:f>IF(R1021="No","",W1021*T1021*Assumptions!$B$9)</x:f>
      </x:c>
      <x:c r="Z1021" s="58" t="str">
        <x:f>IF(R1021="No","",X1021-Y1021)</x:f>
      </x:c>
      <x:c r="AA1021" s="58" t="str">
        <x:f>IF(R1021="No","",MAX(0,-Z1021))</x:f>
      </x:c>
      <x:c r="AB1021" s="52" t="str">
        <x:f>IF(OR(R1021="No",U1021*S1021=0),"",AA1021/(U1021*S1021))</x:f>
      </x:c>
      <x:c r="AC1021" s="54" t="str">
        <x:f>IF(OR(R1021="No",S1021-T1021*Assumptions!$B$9&lt;=0),"",AA1021/(Assumptions!$B$8*(S1021-T1021*Assumptions!$B$9)))</x:f>
      </x:c>
      <x:c r="AD1021" s="52" t="str">
        <x:f>IF(OR(R1021="No",U1021*S1021=0),"",AA1021/(U1021*S1021))</x:f>
      </x:c>
      <x:c r="AE1021" s="50" t="str">
        <x:f>IF(R1021="No","No finance data",IF(AB1021&gt;=10%,"Severe",IF(AB1021&gt;=5%,"High",IF(AB1021&gt;=2%,"Moderate","Low"))))</x:f>
        <x:v>No finance data</x:v>
      </x:c>
      <x:c r="AF1021" s="60"/>
      <x:c r="AG1021" s="60"/>
      <x:c r="AH1021" s="44" t="str">
        <x:v>Undergraduate tuition-contribution proxy only; not an audited total institutional budget.</x:v>
      </x:c>
    </x:row>
    <x:row r="1022">
      <x:c r="A1022" s="16" t="n">
        <x:v>186131</x:v>
      </x:c>
      <x:c r="B1022" s="16" t="str">
        <x:v>Princeton University</x:v>
      </x:c>
      <x:c r="C1022" s="16" t="str">
        <x:v>NJ</x:v>
      </x:c>
      <x:c r="D1022" s="16" t="str">
        <x:v>Private nonprofit</x:v>
      </x:c>
      <x:c r="E1022" s="34" t="n">
        <x:v>5260</x:v>
      </x:c>
      <x:c r="F1022" s="21" t="n">
        <x:v>0.0438</x:v>
      </x:c>
      <x:c r="G1022" s="16" t="str">
        <x:v>National</x:v>
      </x:c>
      <x:c r="H1022" s="36" t="n">
        <x:f>IF(G1022="National",Assumptions!$B$11,IF(G1022="Statewide",Assumptions!$B$12,Assumptions!$B$13))</x:f>
        <x:v>0.25</x:v>
      </x:c>
      <x:c r="I1022" s="21" t="n">
        <x:v>-0.013084265215690172</x:v>
      </x:c>
      <x:c r="J1022" s="21" t="n">
        <x:v>-0.013930465956343285</x:v>
      </x:c>
      <x:c r="K1022" s="21" t="n">
        <x:v>-0.01756094010172604</x:v>
      </x:c>
      <x:c r="L1022" s="36" t="n">
        <x:f>IF(Assumptions!$B$4=2030,I1022,IF(Assumptions!$B$4=2035,J1022,K1022))</x:f>
        <x:v>-0.013930465956343285</x:v>
      </x:c>
      <x:c r="M1022" s="36" t="n">
        <x:f>Assumptions!$B$19</x:f>
        <x:v>-0.04739891965741583</x:v>
      </x:c>
      <x:c r="N1022" s="52" t="n">
        <x:f>H1022*L1022+(1-H1022)*M1022+O1022</x:f>
        <x:v>-0.03903180623214769</x:v>
      </x:c>
      <x:c r="O1022" s="36" t="n">
        <x:f>Assumptions!$B$10</x:f>
        <x:v>0</x:v>
      </x:c>
      <x:c r="P1022" s="54" t="n">
        <x:f>E1022*(1+N1022)</x:f>
        <x:v>5054.692699218903</x:v>
      </x:c>
      <x:c r="Q1022" s="54" t="n">
        <x:f>P1022-E1022</x:f>
        <x:v>-205.30730078109718</x:v>
      </x:c>
      <x:c r="R1022" s="16" t="str">
        <x:v>Yes</x:v>
      </x:c>
      <x:c r="S1022" s="56" t="n">
        <x:v>13290</x:v>
      </x:c>
      <x:c r="T1022" s="56" t="n">
        <x:v>70945</x:v>
      </x:c>
      <x:c r="U1022" s="40" t="n">
        <x:f>E1022*Assumptions!$B$8</x:f>
        <x:v>4471</x:v>
      </x:c>
      <x:c r="V1022" s="40" t="n">
        <x:f>P1022*Assumptions!$B$8</x:f>
        <x:v>4296.488794336067</x:v>
      </x:c>
      <x:c r="W1022" s="54" t="n">
        <x:f>V1022-U1022</x:f>
        <x:v>-174.51120566393274</x:v>
      </x:c>
      <x:c r="X1022" s="58" t="n">
        <x:f>IF(R1022="No","",W1022*S1022)</x:f>
        <x:v>-2319253.9232736663</x:v>
      </x:c>
      <x:c r="Y1022" s="58" t="n">
        <x:f>IF(R1022="No","",W1022*T1022*Assumptions!$B$9)</x:f>
        <x:v>-3714209.2457483127</x:v>
      </x:c>
      <x:c r="Z1022" s="58" t="n">
        <x:f>IF(R1022="No","",X1022-Y1022)</x:f>
        <x:v>1394955.3224746464</x:v>
      </x:c>
      <x:c r="AA1022" s="58" t="n">
        <x:f>IF(R1022="No","",MAX(0,-Z1022))</x:f>
        <x:v>0</x:v>
      </x:c>
      <x:c r="AB1022" s="52" t="n">
        <x:f>IF(OR(R1022="No",U1022*S1022=0),"",AA1022/(U1022*S1022))</x:f>
        <x:v>0</x:v>
      </x:c>
      <x:c r="AC1022" s="54" t="str">
        <x:f>IF(OR(R1022="No",S1022-T1022*Assumptions!$B$9&lt;=0),"",AA1022/(Assumptions!$B$8*(S1022-T1022*Assumptions!$B$9)))</x:f>
      </x:c>
      <x:c r="AD1022" s="52" t="n">
        <x:f>IF(OR(R1022="No",U1022*S1022=0),"",AA1022/(U1022*S1022))</x:f>
        <x:v>0</x:v>
      </x:c>
      <x:c r="AE1022" s="50" t="str">
        <x:f>IF(R1022="No","No finance data",IF(AB1022&gt;=10%,"Severe",IF(AB1022&gt;=5%,"High",IF(AB1022&gt;=2%,"Moderate","Low"))))</x:f>
        <x:v>Low</x:v>
      </x:c>
      <x:c r="AF1022" s="60" t="n">
        <x:v>40.348732</x:v>
      </x:c>
      <x:c r="AG1022" s="60" t="n">
        <x:v>-74.659365</x:v>
      </x:c>
      <x:c r="AH1022" s="44" t="str">
        <x:v>Undergraduate tuition-contribution proxy only; not an audited total institutional budget.</x:v>
      </x:c>
    </x:row>
    <x:row r="1023">
      <x:c r="A1023" s="16" t="n">
        <x:v>384421</x:v>
      </x:c>
      <x:c r="B1023" s="16" t="str">
        <x:v>Rabbi Jacob Joseph School</x:v>
      </x:c>
      <x:c r="C1023" s="16" t="str">
        <x:v>NJ</x:v>
      </x:c>
      <x:c r="D1023" s="16" t="str">
        <x:v>Private nonprofit</x:v>
      </x:c>
      <x:c r="E1023" s="34" t="n">
        <x:v>98</x:v>
      </x:c>
      <x:c r="F1023" s="21"/>
      <x:c r="G1023" s="16" t="str">
        <x:v>Regional</x:v>
      </x:c>
      <x:c r="H1023" s="36" t="n">
        <x:f>IF(G1023="National",Assumptions!$B$11,IF(G1023="Statewide",Assumptions!$B$12,Assumptions!$B$13))</x:f>
        <x:v>0.85</x:v>
      </x:c>
      <x:c r="I1023" s="21" t="n">
        <x:v>-0.013084265215690172</x:v>
      </x:c>
      <x:c r="J1023" s="21" t="n">
        <x:v>-0.013930465956343285</x:v>
      </x:c>
      <x:c r="K1023" s="21" t="n">
        <x:v>-0.01756094010172604</x:v>
      </x:c>
      <x:c r="L1023" s="36" t="n">
        <x:f>IF(Assumptions!$B$4=2030,I1023,IF(Assumptions!$B$4=2035,J1023,K1023))</x:f>
        <x:v>-0.013930465956343285</x:v>
      </x:c>
      <x:c r="M1023" s="36" t="n">
        <x:f>Assumptions!$B$19</x:f>
        <x:v>-0.04739891965741583</x:v>
      </x:c>
      <x:c r="N1023" s="52" t="n">
        <x:f>H1023*L1023+(1-H1023)*M1023+O1023</x:f>
        <x:v>-0.01895073401150417</x:v>
      </x:c>
      <x:c r="O1023" s="36" t="n">
        <x:f>Assumptions!$B$10</x:f>
        <x:v>0</x:v>
      </x:c>
      <x:c r="P1023" s="54" t="n">
        <x:f>E1023*(1+N1023)</x:f>
        <x:v>96.1428280668726</x:v>
      </x:c>
      <x:c r="Q1023" s="54" t="n">
        <x:f>P1023-E1023</x:f>
        <x:v>-1.857171933127404</x:v>
      </x:c>
      <x:c r="R1023" s="16" t="str">
        <x:v>No</x:v>
      </x:c>
      <x:c r="S1023" s="56"/>
      <x:c r="T1023" s="56"/>
      <x:c r="U1023" s="40" t="n">
        <x:f>E1023*Assumptions!$B$8</x:f>
        <x:v>83.3</x:v>
      </x:c>
      <x:c r="V1023" s="40" t="n">
        <x:f>P1023*Assumptions!$B$8</x:f>
        <x:v>81.7214038568417</x:v>
      </x:c>
      <x:c r="W1023" s="54" t="n">
        <x:f>V1023-U1023</x:f>
        <x:v>-1.5785961431582933</x:v>
      </x:c>
      <x:c r="X1023" s="58" t="str">
        <x:f>IF(R1023="No","",W1023*S1023)</x:f>
      </x:c>
      <x:c r="Y1023" s="58" t="str">
        <x:f>IF(R1023="No","",W1023*T1023*Assumptions!$B$9)</x:f>
      </x:c>
      <x:c r="Z1023" s="58" t="str">
        <x:f>IF(R1023="No","",X1023-Y1023)</x:f>
      </x:c>
      <x:c r="AA1023" s="58" t="str">
        <x:f>IF(R1023="No","",MAX(0,-Z1023))</x:f>
      </x:c>
      <x:c r="AB1023" s="52" t="str">
        <x:f>IF(OR(R1023="No",U1023*S1023=0),"",AA1023/(U1023*S1023))</x:f>
      </x:c>
      <x:c r="AC1023" s="54" t="str">
        <x:f>IF(OR(R1023="No",S1023-T1023*Assumptions!$B$9&lt;=0),"",AA1023/(Assumptions!$B$8*(S1023-T1023*Assumptions!$B$9)))</x:f>
      </x:c>
      <x:c r="AD1023" s="52" t="str">
        <x:f>IF(OR(R1023="No",U1023*S1023=0),"",AA1023/(U1023*S1023))</x:f>
      </x:c>
      <x:c r="AE1023" s="50" t="str">
        <x:f>IF(R1023="No","No finance data",IF(AB1023&gt;=10%,"Severe",IF(AB1023&gt;=5%,"High",IF(AB1023&gt;=2%,"Moderate","Low"))))</x:f>
        <x:v>No finance data</x:v>
      </x:c>
      <x:c r="AF1023" s="60"/>
      <x:c r="AG1023" s="60"/>
      <x:c r="AH1023" s="44" t="str">
        <x:v>Undergraduate tuition-contribution proxy only; not an audited total institutional budget.</x:v>
      </x:c>
    </x:row>
    <x:row r="1024">
      <x:c r="A1024" s="16" t="n">
        <x:v>186186</x:v>
      </x:c>
      <x:c r="B1024" s="16" t="str">
        <x:v>Rabbinical College of America</x:v>
      </x:c>
      <x:c r="C1024" s="16" t="str">
        <x:v>NJ</x:v>
      </x:c>
      <x:c r="D1024" s="16" t="str">
        <x:v>Private nonprofit</x:v>
      </x:c>
      <x:c r="E1024" s="34" t="n">
        <x:v>258</x:v>
      </x:c>
      <x:c r="F1024" s="21"/>
      <x:c r="G1024" s="16" t="str">
        <x:v>Regional</x:v>
      </x:c>
      <x:c r="H1024" s="36" t="n">
        <x:f>IF(G1024="National",Assumptions!$B$11,IF(G1024="Statewide",Assumptions!$B$12,Assumptions!$B$13))</x:f>
        <x:v>0.85</x:v>
      </x:c>
      <x:c r="I1024" s="21" t="n">
        <x:v>-0.013084265215690172</x:v>
      </x:c>
      <x:c r="J1024" s="21" t="n">
        <x:v>-0.013930465956343285</x:v>
      </x:c>
      <x:c r="K1024" s="21" t="n">
        <x:v>-0.01756094010172604</x:v>
      </x:c>
      <x:c r="L1024" s="36" t="n">
        <x:f>IF(Assumptions!$B$4=2030,I1024,IF(Assumptions!$B$4=2035,J1024,K1024))</x:f>
        <x:v>-0.013930465956343285</x:v>
      </x:c>
      <x:c r="M1024" s="36" t="n">
        <x:f>Assumptions!$B$19</x:f>
        <x:v>-0.04739891965741583</x:v>
      </x:c>
      <x:c r="N1024" s="52" t="n">
        <x:f>H1024*L1024+(1-H1024)*M1024+O1024</x:f>
        <x:v>-0.01895073401150417</x:v>
      </x:c>
      <x:c r="O1024" s="36" t="n">
        <x:f>Assumptions!$B$10</x:f>
        <x:v>0</x:v>
      </x:c>
      <x:c r="P1024" s="54" t="n">
        <x:f>E1024*(1+N1024)</x:f>
        <x:v>253.11071062503194</x:v>
      </x:c>
      <x:c r="Q1024" s="54" t="n">
        <x:f>P1024-E1024</x:f>
        <x:v>-4.889289374968058</x:v>
      </x:c>
      <x:c r="R1024" s="16" t="str">
        <x:v>No</x:v>
      </x:c>
      <x:c r="S1024" s="56"/>
      <x:c r="T1024" s="56"/>
      <x:c r="U1024" s="40" t="n">
        <x:f>E1024*Assumptions!$B$8</x:f>
        <x:v>219.29999999999998</x:v>
      </x:c>
      <x:c r="V1024" s="40" t="n">
        <x:f>P1024*Assumptions!$B$8</x:f>
        <x:v>215.14410403127715</x:v>
      </x:c>
      <x:c r="W1024" s="54" t="n">
        <x:f>V1024-U1024</x:f>
        <x:v>-4.155895968722831</x:v>
      </x:c>
      <x:c r="X1024" s="58" t="str">
        <x:f>IF(R1024="No","",W1024*S1024)</x:f>
      </x:c>
      <x:c r="Y1024" s="58" t="str">
        <x:f>IF(R1024="No","",W1024*T1024*Assumptions!$B$9)</x:f>
      </x:c>
      <x:c r="Z1024" s="58" t="str">
        <x:f>IF(R1024="No","",X1024-Y1024)</x:f>
      </x:c>
      <x:c r="AA1024" s="58" t="str">
        <x:f>IF(R1024="No","",MAX(0,-Z1024))</x:f>
      </x:c>
      <x:c r="AB1024" s="52" t="str">
        <x:f>IF(OR(R1024="No",U1024*S1024=0),"",AA1024/(U1024*S1024))</x:f>
      </x:c>
      <x:c r="AC1024" s="54" t="str">
        <x:f>IF(OR(R1024="No",S1024-T1024*Assumptions!$B$9&lt;=0),"",AA1024/(Assumptions!$B$8*(S1024-T1024*Assumptions!$B$9)))</x:f>
      </x:c>
      <x:c r="AD1024" s="52" t="str">
        <x:f>IF(OR(R1024="No",U1024*S1024=0),"",AA1024/(U1024*S1024))</x:f>
      </x:c>
      <x:c r="AE1024" s="50" t="str">
        <x:f>IF(R1024="No","No finance data",IF(AB1024&gt;=10%,"Severe",IF(AB1024&gt;=5%,"High",IF(AB1024&gt;=2%,"Moderate","Low"))))</x:f>
        <x:v>No finance data</x:v>
      </x:c>
      <x:c r="AF1024" s="60"/>
      <x:c r="AG1024" s="60"/>
      <x:c r="AH1024" s="44" t="str">
        <x:v>Undergraduate tuition-contribution proxy only; not an audited total institutional budget.</x:v>
      </x:c>
    </x:row>
    <x:row r="1025">
      <x:c r="A1025" s="16" t="n">
        <x:v>186201</x:v>
      </x:c>
      <x:c r="B1025" s="16" t="str">
        <x:v>Ramapo College of New Jersey</x:v>
      </x:c>
      <x:c r="C1025" s="16" t="str">
        <x:v>NJ</x:v>
      </x:c>
      <x:c r="D1025" s="16" t="str">
        <x:v>Public</x:v>
      </x:c>
      <x:c r="E1025" s="34" t="n">
        <x:v>5425</x:v>
      </x:c>
      <x:c r="F1025" s="21" t="n">
        <x:v>0.701</x:v>
      </x:c>
      <x:c r="G1025" s="16" t="str">
        <x:v>Statewide</x:v>
      </x:c>
      <x:c r="H1025" s="36" t="n">
        <x:f>IF(G1025="National",Assumptions!$B$11,IF(G1025="Statewide",Assumptions!$B$12,Assumptions!$B$13))</x:f>
        <x:v>0.6</x:v>
      </x:c>
      <x:c r="I1025" s="21" t="n">
        <x:v>-0.013084265215690172</x:v>
      </x:c>
      <x:c r="J1025" s="21" t="n">
        <x:v>-0.013930465956343285</x:v>
      </x:c>
      <x:c r="K1025" s="21" t="n">
        <x:v>-0.01756094010172604</x:v>
      </x:c>
      <x:c r="L1025" s="36" t="n">
        <x:f>IF(Assumptions!$B$4=2030,I1025,IF(Assumptions!$B$4=2035,J1025,K1025))</x:f>
        <x:v>-0.013930465956343285</x:v>
      </x:c>
      <x:c r="M1025" s="36" t="n">
        <x:f>Assumptions!$B$19</x:f>
        <x:v>-0.04739891965741583</x:v>
      </x:c>
      <x:c r="N1025" s="52" t="n">
        <x:f>H1025*L1025+(1-H1025)*M1025+O1025</x:f>
        <x:v>-0.027317847436772305</x:v>
      </x:c>
      <x:c r="O1025" s="36" t="n">
        <x:f>Assumptions!$B$10</x:f>
        <x:v>0</x:v>
      </x:c>
      <x:c r="P1025" s="54" t="n">
        <x:f>E1025*(1+N1025)</x:f>
        <x:v>5276.80067765551</x:v>
      </x:c>
      <x:c r="Q1025" s="54" t="n">
        <x:f>P1025-E1025</x:f>
        <x:v>-148.1993223444897</x:v>
      </x:c>
      <x:c r="R1025" s="16" t="str">
        <x:v>Yes</x:v>
      </x:c>
      <x:c r="S1025" s="56" t="n">
        <x:v>9527</x:v>
      </x:c>
      <x:c r="T1025" s="56" t="n">
        <x:v>10875</x:v>
      </x:c>
      <x:c r="U1025" s="40" t="n">
        <x:f>E1025*Assumptions!$B$8</x:f>
        <x:v>4611.25</x:v>
      </x:c>
      <x:c r="V1025" s="40" t="n">
        <x:f>P1025*Assumptions!$B$8</x:f>
        <x:v>4485.280576007183</x:v>
      </x:c>
      <x:c r="W1025" s="54" t="n">
        <x:f>V1025-U1025</x:f>
        <x:v>-125.9694239928167</x:v>
      </x:c>
      <x:c r="X1025" s="58" t="n">
        <x:f>IF(R1025="No","",W1025*S1025)</x:f>
        <x:v>-1200110.7023795648</x:v>
      </x:c>
      <x:c r="Y1025" s="58" t="n">
        <x:f>IF(R1025="No","",W1025*T1025*Assumptions!$B$9)</x:f>
        <x:v>-410975.24577656446</x:v>
      </x:c>
      <x:c r="Z1025" s="58" t="n">
        <x:f>IF(R1025="No","",X1025-Y1025)</x:f>
        <x:v>-789135.4566030003</x:v>
      </x:c>
      <x:c r="AA1025" s="58" t="n">
        <x:f>IF(R1025="No","",MAX(0,-Z1025))</x:f>
        <x:v>789135.4566030003</x:v>
      </x:c>
      <x:c r="AB1025" s="52" t="n">
        <x:f>IF(OR(R1025="No",U1025*S1025=0),"",AA1025/(U1025*S1025))</x:f>
        <x:v>0.017962911227843045</x:v>
      </x:c>
      <x:c r="AC1025" s="54" t="n">
        <x:f>IF(OR(R1025="No",S1025-T1025*Assumptions!$B$9&lt;=0),"",AA1025/(Assumptions!$B$8*(S1025-T1025*Assumptions!$B$9)))</x:f>
        <x:v>148.19932234449024</x:v>
      </x:c>
      <x:c r="AD1025" s="52" t="n">
        <x:f>IF(OR(R1025="No",U1025*S1025=0),"",AA1025/(U1025*S1025))</x:f>
        <x:v>0.017962911227843045</x:v>
      </x:c>
      <x:c r="AE1025" s="50" t="str">
        <x:f>IF(R1025="No","No finance data",IF(AB1025&gt;=10%,"Severe",IF(AB1025&gt;=5%,"High",IF(AB1025&gt;=2%,"Moderate","Low"))))</x:f>
        <x:v>Low</x:v>
      </x:c>
      <x:c r="AF1025" s="60" t="n">
        <x:v>41.080942</x:v>
      </x:c>
      <x:c r="AG1025" s="60" t="n">
        <x:v>-74.174086</x:v>
      </x:c>
      <x:c r="AH1025" s="44" t="str">
        <x:v>Undergraduate tuition-contribution proxy only; not an audited total institutional budget.</x:v>
      </x:c>
    </x:row>
    <x:row r="1026">
      <x:c r="A1026" s="16" t="n">
        <x:v>186283</x:v>
      </x:c>
      <x:c r="B1026" s="16" t="str">
        <x:v>Rider University</x:v>
      </x:c>
      <x:c r="C1026" s="16" t="str">
        <x:v>NJ</x:v>
      </x:c>
      <x:c r="D1026" s="16" t="str">
        <x:v>Private nonprofit</x:v>
      </x:c>
      <x:c r="E1026" s="34" t="n">
        <x:v>4039</x:v>
      </x:c>
      <x:c r="F1026" s="21" t="n">
        <x:v>0.8195</x:v>
      </x:c>
      <x:c r="G1026" s="16" t="str">
        <x:v>Regional</x:v>
      </x:c>
      <x:c r="H1026" s="36" t="n">
        <x:f>IF(G1026="National",Assumptions!$B$11,IF(G1026="Statewide",Assumptions!$B$12,Assumptions!$B$13))</x:f>
        <x:v>0.85</x:v>
      </x:c>
      <x:c r="I1026" s="21" t="n">
        <x:v>-0.013084265215690172</x:v>
      </x:c>
      <x:c r="J1026" s="21" t="n">
        <x:v>-0.013930465956343285</x:v>
      </x:c>
      <x:c r="K1026" s="21" t="n">
        <x:v>-0.01756094010172604</x:v>
      </x:c>
      <x:c r="L1026" s="36" t="n">
        <x:f>IF(Assumptions!$B$4=2030,I1026,IF(Assumptions!$B$4=2035,J1026,K1026))</x:f>
        <x:v>-0.013930465956343285</x:v>
      </x:c>
      <x:c r="M1026" s="36" t="n">
        <x:f>Assumptions!$B$19</x:f>
        <x:v>-0.04739891965741583</x:v>
      </x:c>
      <x:c r="N1026" s="52" t="n">
        <x:f>H1026*L1026+(1-H1026)*M1026+O1026</x:f>
        <x:v>-0.01895073401150417</x:v>
      </x:c>
      <x:c r="O1026" s="36" t="n">
        <x:f>Assumptions!$B$10</x:f>
        <x:v>0</x:v>
      </x:c>
      <x:c r="P1026" s="54" t="n">
        <x:f>E1026*(1+N1026)</x:f>
        <x:v>3962.4579853275345</x:v>
      </x:c>
      <x:c r="Q1026" s="54" t="n">
        <x:f>P1026-E1026</x:f>
        <x:v>-76.54201467246548</x:v>
      </x:c>
      <x:c r="R1026" s="16" t="str">
        <x:v>Yes</x:v>
      </x:c>
      <x:c r="S1026" s="56" t="n">
        <x:v>20221</x:v>
      </x:c>
      <x:c r="T1026" s="56" t="n">
        <x:v>13607</x:v>
      </x:c>
      <x:c r="U1026" s="40" t="n">
        <x:f>E1026*Assumptions!$B$8</x:f>
        <x:v>3433.15</x:v>
      </x:c>
      <x:c r="V1026" s="40" t="n">
        <x:f>P1026*Assumptions!$B$8</x:f>
        <x:v>3368.0892875284044</x:v>
      </x:c>
      <x:c r="W1026" s="54" t="n">
        <x:f>V1026-U1026</x:f>
        <x:v>-65.0607124715957</x:v>
      </x:c>
      <x:c r="X1026" s="58" t="n">
        <x:f>IF(R1026="No","",W1026*S1026)</x:f>
        <x:v>-1315592.6668881369</x:v>
      </x:c>
      <x:c r="Y1026" s="58" t="n">
        <x:f>IF(R1026="No","",W1026*T1026*Assumptions!$B$9)</x:f>
        <x:v>-265584.33438030083</x:v>
      </x:c>
      <x:c r="Z1026" s="58" t="n">
        <x:f>IF(R1026="No","",X1026-Y1026)</x:f>
        <x:v>-1050008.3325078362</x:v>
      </x:c>
      <x:c r="AA1026" s="58" t="n">
        <x:f>IF(R1026="No","",MAX(0,-Z1026))</x:f>
        <x:v>1050008.3325078362</x:v>
      </x:c>
      <x:c r="AB1026" s="52" t="n">
        <x:f>IF(OR(R1026="No",U1026*S1026=0),"",AA1026/(U1026*S1026))</x:f>
        <x:v>0.015125068054906555</x:v>
      </x:c>
      <x:c r="AC1026" s="54" t="n">
        <x:f>IF(OR(R1026="No",S1026-T1026*Assumptions!$B$9&lt;=0),"",AA1026/(Assumptions!$B$8*(S1026-T1026*Assumptions!$B$9)))</x:f>
        <x:v>76.54201467246556</x:v>
      </x:c>
      <x:c r="AD1026" s="52" t="n">
        <x:f>IF(OR(R1026="No",U1026*S1026=0),"",AA1026/(U1026*S1026))</x:f>
        <x:v>0.015125068054906555</x:v>
      </x:c>
      <x:c r="AE1026" s="50" t="str">
        <x:f>IF(R1026="No","No finance data",IF(AB1026&gt;=10%,"Severe",IF(AB1026&gt;=5%,"High",IF(AB1026&gt;=2%,"Moderate","Low"))))</x:f>
        <x:v>Low</x:v>
      </x:c>
      <x:c r="AF1026" s="60" t="n">
        <x:v>40.278796</x:v>
      </x:c>
      <x:c r="AG1026" s="60" t="n">
        <x:v>-74.737833</x:v>
      </x:c>
      <x:c r="AH1026" s="44" t="str">
        <x:v>Undergraduate tuition-contribution proxy only; not an audited total institutional budget.</x:v>
      </x:c>
    </x:row>
    <x:row r="1027">
      <x:c r="A1027" s="16" t="n">
        <x:v>184782</x:v>
      </x:c>
      <x:c r="B1027" s="16" t="str">
        <x:v>Rowan University</x:v>
      </x:c>
      <x:c r="C1027" s="16" t="str">
        <x:v>NJ</x:v>
      </x:c>
      <x:c r="D1027" s="16" t="str">
        <x:v>Public</x:v>
      </x:c>
      <x:c r="E1027" s="34" t="n">
        <x:v>12912</x:v>
      </x:c>
      <x:c r="F1027" s="21" t="n">
        <x:v>0.8377</x:v>
      </x:c>
      <x:c r="G1027" s="16" t="str">
        <x:v>Statewide</x:v>
      </x:c>
      <x:c r="H1027" s="36" t="n">
        <x:f>IF(G1027="National",Assumptions!$B$11,IF(G1027="Statewide",Assumptions!$B$12,Assumptions!$B$13))</x:f>
        <x:v>0.6</x:v>
      </x:c>
      <x:c r="I1027" s="21" t="n">
        <x:v>-0.013084265215690172</x:v>
      </x:c>
      <x:c r="J1027" s="21" t="n">
        <x:v>-0.013930465956343285</x:v>
      </x:c>
      <x:c r="K1027" s="21" t="n">
        <x:v>-0.01756094010172604</x:v>
      </x:c>
      <x:c r="L1027" s="36" t="n">
        <x:f>IF(Assumptions!$B$4=2030,I1027,IF(Assumptions!$B$4=2035,J1027,K1027))</x:f>
        <x:v>-0.013930465956343285</x:v>
      </x:c>
      <x:c r="M1027" s="36" t="n">
        <x:f>Assumptions!$B$19</x:f>
        <x:v>-0.04739891965741583</x:v>
      </x:c>
      <x:c r="N1027" s="52" t="n">
        <x:f>H1027*L1027+(1-H1027)*M1027+O1027</x:f>
        <x:v>-0.027317847436772305</x:v>
      </x:c>
      <x:c r="O1027" s="36" t="n">
        <x:f>Assumptions!$B$10</x:f>
        <x:v>0</x:v>
      </x:c>
      <x:c r="P1027" s="54" t="n">
        <x:f>E1027*(1+N1027)</x:f>
        <x:v>12559.271953896396</x:v>
      </x:c>
      <x:c r="Q1027" s="54" t="n">
        <x:f>P1027-E1027</x:f>
        <x:v>-352.72804610360436</x:v>
      </x:c>
      <x:c r="R1027" s="16" t="str">
        <x:v>Yes</x:v>
      </x:c>
      <x:c r="S1027" s="56" t="n">
        <x:v>12870</x:v>
      </x:c>
      <x:c r="T1027" s="56" t="n">
        <x:v>13194</x:v>
      </x:c>
      <x:c r="U1027" s="40" t="n">
        <x:f>E1027*Assumptions!$B$8</x:f>
        <x:v>10975.199999999999</x:v>
      </x:c>
      <x:c r="V1027" s="40" t="n">
        <x:f>P1027*Assumptions!$B$8</x:f>
        <x:v>10675.381160811936</x:v>
      </x:c>
      <x:c r="W1027" s="54" t="n">
        <x:f>V1027-U1027</x:f>
        <x:v>-299.81883918806307</x:v>
      </x:c>
      <x:c r="X1027" s="58" t="n">
        <x:f>IF(R1027="No","",W1027*S1027)</x:f>
        <x:v>-3858668.4603503714</x:v>
      </x:c>
      <x:c r="Y1027" s="58" t="n">
        <x:f>IF(R1027="No","",W1027*T1027*Assumptions!$B$9)</x:f>
        <x:v>-1186742.9292741911</x:v>
      </x:c>
      <x:c r="Z1027" s="58" t="n">
        <x:f>IF(R1027="No","",X1027-Y1027)</x:f>
        <x:v>-2671925.5310761803</x:v>
      </x:c>
      <x:c r="AA1027" s="58" t="n">
        <x:f>IF(R1027="No","",MAX(0,-Z1027))</x:f>
        <x:v>2671925.5310761803</x:v>
      </x:c>
      <x:c r="AB1027" s="52" t="n">
        <x:f>IF(OR(R1027="No",U1027*S1027=0),"",AA1027/(U1027*S1027))</x:f>
        <x:v>0.018916176595728605</x:v>
      </x:c>
      <x:c r="AC1027" s="54" t="n">
        <x:f>IF(OR(R1027="No",S1027-T1027*Assumptions!$B$9&lt;=0),"",AA1027/(Assumptions!$B$8*(S1027-T1027*Assumptions!$B$9)))</x:f>
        <x:v>352.7280461036036</x:v>
      </x:c>
      <x:c r="AD1027" s="52" t="n">
        <x:f>IF(OR(R1027="No",U1027*S1027=0),"",AA1027/(U1027*S1027))</x:f>
        <x:v>0.018916176595728605</x:v>
      </x:c>
      <x:c r="AE1027" s="50" t="str">
        <x:f>IF(R1027="No","No finance data",IF(AB1027&gt;=10%,"Severe",IF(AB1027&gt;=5%,"High",IF(AB1027&gt;=2%,"Moderate","Low"))))</x:f>
        <x:v>Low</x:v>
      </x:c>
      <x:c r="AF1027" s="60" t="n">
        <x:v>39.709108</x:v>
      </x:c>
      <x:c r="AG1027" s="60" t="n">
        <x:v>-75.119119</x:v>
      </x:c>
      <x:c r="AH1027" s="44" t="str">
        <x:v>Undergraduate tuition-contribution proxy only; not an audited total institutional budget.</x:v>
      </x:c>
    </x:row>
    <x:row r="1028">
      <x:c r="A1028" s="16" t="n">
        <x:v>186371</x:v>
      </x:c>
      <x:c r="B1028" s="16" t="str">
        <x:v>Rutgers University-Camden</x:v>
      </x:c>
      <x:c r="C1028" s="16" t="str">
        <x:v>NJ</x:v>
      </x:c>
      <x:c r="D1028" s="16" t="str">
        <x:v>Public</x:v>
      </x:c>
      <x:c r="E1028" s="34" t="n">
        <x:v>4835</x:v>
      </x:c>
      <x:c r="F1028" s="21" t="n">
        <x:v>0.787</x:v>
      </x:c>
      <x:c r="G1028" s="16" t="str">
        <x:v>Regional</x:v>
      </x:c>
      <x:c r="H1028" s="36" t="n">
        <x:f>IF(G1028="National",Assumptions!$B$11,IF(G1028="Statewide",Assumptions!$B$12,Assumptions!$B$13))</x:f>
        <x:v>0.85</x:v>
      </x:c>
      <x:c r="I1028" s="21" t="n">
        <x:v>-0.013084265215690172</x:v>
      </x:c>
      <x:c r="J1028" s="21" t="n">
        <x:v>-0.013930465956343285</x:v>
      </x:c>
      <x:c r="K1028" s="21" t="n">
        <x:v>-0.01756094010172604</x:v>
      </x:c>
      <x:c r="L1028" s="36" t="n">
        <x:f>IF(Assumptions!$B$4=2030,I1028,IF(Assumptions!$B$4=2035,J1028,K1028))</x:f>
        <x:v>-0.013930465956343285</x:v>
      </x:c>
      <x:c r="M1028" s="36" t="n">
        <x:f>Assumptions!$B$19</x:f>
        <x:v>-0.04739891965741583</x:v>
      </x:c>
      <x:c r="N1028" s="52" t="n">
        <x:f>H1028*L1028+(1-H1028)*M1028+O1028</x:f>
        <x:v>-0.01895073401150417</x:v>
      </x:c>
      <x:c r="O1028" s="36" t="n">
        <x:f>Assumptions!$B$10</x:f>
        <x:v>0</x:v>
      </x:c>
      <x:c r="P1028" s="54" t="n">
        <x:f>E1028*(1+N1028)</x:f>
        <x:v>4743.373201054377</x:v>
      </x:c>
      <x:c r="Q1028" s="54" t="n">
        <x:f>P1028-E1028</x:f>
        <x:v>-91.6267989456228</x:v>
      </x:c>
      <x:c r="R1028" s="16" t="str">
        <x:v>Yes</x:v>
      </x:c>
      <x:c r="S1028" s="56" t="n">
        <x:v>14576</x:v>
      </x:c>
      <x:c r="T1028" s="56" t="n">
        <x:v>13455</x:v>
      </x:c>
      <x:c r="U1028" s="40" t="n">
        <x:f>E1028*Assumptions!$B$8</x:f>
        <x:v>4109.75</x:v>
      </x:c>
      <x:c r="V1028" s="40" t="n">
        <x:f>P1028*Assumptions!$B$8</x:f>
        <x:v>4031.8672208962207</x:v>
      </x:c>
      <x:c r="W1028" s="54" t="n">
        <x:f>V1028-U1028</x:f>
        <x:v>-77.88277910377928</x:v>
      </x:c>
      <x:c r="X1028" s="58" t="n">
        <x:f>IF(R1028="No","",W1028*S1028)</x:f>
        <x:v>-1135219.388216687</x:v>
      </x:c>
      <x:c r="Y1028" s="58" t="n">
        <x:f>IF(R1028="No","",W1028*T1028*Assumptions!$B$9)</x:f>
        <x:v>-314373.8378524051</x:v>
      </x:c>
      <x:c r="Z1028" s="58" t="n">
        <x:f>IF(R1028="No","",X1028-Y1028)</x:f>
        <x:v>-820845.5503642817</x:v>
      </x:c>
      <x:c r="AA1028" s="58" t="n">
        <x:f>IF(R1028="No","",MAX(0,-Z1028))</x:f>
        <x:v>820845.5503642817</x:v>
      </x:c>
      <x:c r="AB1028" s="52" t="n">
        <x:f>IF(OR(R1028="No",U1028*S1028=0),"",AA1028/(U1028*S1028))</x:f>
        <x:v>0.013702748429901773</x:v>
      </x:c>
      <x:c r="AC1028" s="54" t="n">
        <x:f>IF(OR(R1028="No",S1028-T1028*Assumptions!$B$9&lt;=0),"",AA1028/(Assumptions!$B$8*(S1028-T1028*Assumptions!$B$9)))</x:f>
        <x:v>91.6267989456227</x:v>
      </x:c>
      <x:c r="AD1028" s="52" t="n">
        <x:f>IF(OR(R1028="No",U1028*S1028=0),"",AA1028/(U1028*S1028))</x:f>
        <x:v>0.013702748429901773</x:v>
      </x:c>
      <x:c r="AE1028" s="50" t="str">
        <x:f>IF(R1028="No","No finance data",IF(AB1028&gt;=10%,"Severe",IF(AB1028&gt;=5%,"High",IF(AB1028&gt;=2%,"Moderate","Low"))))</x:f>
        <x:v>Low</x:v>
      </x:c>
      <x:c r="AF1028" s="60" t="n">
        <x:v>39.948064</x:v>
      </x:c>
      <x:c r="AG1028" s="60" t="n">
        <x:v>-75.12224</x:v>
      </x:c>
      <x:c r="AH1028" s="44" t="str">
        <x:v>Undergraduate tuition-contribution proxy only; not an audited total institutional budget.</x:v>
      </x:c>
    </x:row>
    <x:row r="1029">
      <x:c r="A1029" s="16" t="n">
        <x:v>186380</x:v>
      </x:c>
      <x:c r="B1029" s="16" t="str">
        <x:v>Rutgers University-New Brunswick</x:v>
      </x:c>
      <x:c r="C1029" s="16" t="str">
        <x:v>NJ</x:v>
      </x:c>
      <x:c r="D1029" s="16" t="str">
        <x:v>Public</x:v>
      </x:c>
      <x:c r="E1029" s="34" t="n">
        <x:v>35102</x:v>
      </x:c>
      <x:c r="F1029" s="21" t="n">
        <x:v>0.6816</x:v>
      </x:c>
      <x:c r="G1029" s="16" t="str">
        <x:v>National</x:v>
      </x:c>
      <x:c r="H1029" s="36" t="n">
        <x:f>IF(G1029="National",Assumptions!$B$11,IF(G1029="Statewide",Assumptions!$B$12,Assumptions!$B$13))</x:f>
        <x:v>0.25</x:v>
      </x:c>
      <x:c r="I1029" s="21" t="n">
        <x:v>-0.013084265215690172</x:v>
      </x:c>
      <x:c r="J1029" s="21" t="n">
        <x:v>-0.013930465956343285</x:v>
      </x:c>
      <x:c r="K1029" s="21" t="n">
        <x:v>-0.01756094010172604</x:v>
      </x:c>
      <x:c r="L1029" s="36" t="n">
        <x:f>IF(Assumptions!$B$4=2030,I1029,IF(Assumptions!$B$4=2035,J1029,K1029))</x:f>
        <x:v>-0.013930465956343285</x:v>
      </x:c>
      <x:c r="M1029" s="36" t="n">
        <x:f>Assumptions!$B$19</x:f>
        <x:v>-0.04739891965741583</x:v>
      </x:c>
      <x:c r="N1029" s="52" t="n">
        <x:f>H1029*L1029+(1-H1029)*M1029+O1029</x:f>
        <x:v>-0.03903180623214769</x:v>
      </x:c>
      <x:c r="O1029" s="36" t="n">
        <x:f>Assumptions!$B$10</x:f>
        <x:v>0</x:v>
      </x:c>
      <x:c r="P1029" s="54" t="n">
        <x:f>E1029*(1+N1029)</x:f>
        <x:v>33731.90553763915</x:v>
      </x:c>
      <x:c r="Q1029" s="54" t="n">
        <x:f>P1029-E1029</x:f>
        <x:v>-1370.094462360852</x:v>
      </x:c>
      <x:c r="R1029" s="16" t="str">
        <x:v>Yes</x:v>
      </x:c>
      <x:c r="S1029" s="56" t="n">
        <x:v>14239</x:v>
      </x:c>
      <x:c r="T1029" s="56" t="n">
        <x:v>15585</x:v>
      </x:c>
      <x:c r="U1029" s="40" t="n">
        <x:f>E1029*Assumptions!$B$8</x:f>
        <x:v>29836.7</x:v>
      </x:c>
      <x:c r="V1029" s="40" t="n">
        <x:f>P1029*Assumptions!$B$8</x:f>
        <x:v>28672.119706993275</x:v>
      </x:c>
      <x:c r="W1029" s="54" t="n">
        <x:f>V1029-U1029</x:f>
        <x:v>-1164.5802930067257</x:v>
      </x:c>
      <x:c r="X1029" s="58" t="n">
        <x:f>IF(R1029="No","",W1029*S1029)</x:f>
        <x:v>-16582458.792122766</x:v>
      </x:c>
      <x:c r="Y1029" s="58" t="n">
        <x:f>IF(R1029="No","",W1029*T1029*Assumptions!$B$9)</x:f>
        <x:v>-5444995.159952946</x:v>
      </x:c>
      <x:c r="Z1029" s="58" t="n">
        <x:f>IF(R1029="No","",X1029-Y1029)</x:f>
        <x:v>-11137463.63216982</x:v>
      </x:c>
      <x:c r="AA1029" s="58" t="n">
        <x:f>IF(R1029="No","",MAX(0,-Z1029))</x:f>
        <x:v>11137463.63216982</x:v>
      </x:c>
      <x:c r="AB1029" s="52" t="n">
        <x:f>IF(OR(R1029="No",U1029*S1029=0),"",AA1029/(U1029*S1029))</x:f>
        <x:v>0.026215371788829687</x:v>
      </x:c>
      <x:c r="AC1029" s="54" t="n">
        <x:f>IF(OR(R1029="No",S1029-T1029*Assumptions!$B$9&lt;=0),"",AA1029/(Assumptions!$B$8*(S1029-T1029*Assumptions!$B$9)))</x:f>
        <x:v>1370.0944623608536</x:v>
      </x:c>
      <x:c r="AD1029" s="52" t="n">
        <x:f>IF(OR(R1029="No",U1029*S1029=0),"",AA1029/(U1029*S1029))</x:f>
        <x:v>0.026215371788829687</x:v>
      </x:c>
      <x:c r="AE1029" s="50" t="str">
        <x:f>IF(R1029="No","No finance data",IF(AB1029&gt;=10%,"Severe",IF(AB1029&gt;=5%,"High",IF(AB1029&gt;=2%,"Moderate","Low"))))</x:f>
        <x:v>Moderate</x:v>
      </x:c>
      <x:c r="AF1029" s="60" t="n">
        <x:v>40.498769</x:v>
      </x:c>
      <x:c r="AG1029" s="60" t="n">
        <x:v>-74.446251</x:v>
      </x:c>
      <x:c r="AH1029" s="44" t="str">
        <x:v>Undergraduate tuition-contribution proxy only; not an audited total institutional budget.</x:v>
      </x:c>
    </x:row>
    <x:row r="1030">
      <x:c r="A1030" s="16" t="n">
        <x:v>186399</x:v>
      </x:c>
      <x:c r="B1030" s="16" t="str">
        <x:v>Rutgers University-Newark</x:v>
      </x:c>
      <x:c r="C1030" s="16" t="str">
        <x:v>NJ</x:v>
      </x:c>
      <x:c r="D1030" s="16" t="str">
        <x:v>Public</x:v>
      </x:c>
      <x:c r="E1030" s="34" t="n">
        <x:v>7208</x:v>
      </x:c>
      <x:c r="F1030" s="21" t="n">
        <x:v>0.7743</x:v>
      </x:c>
      <x:c r="G1030" s="16" t="str">
        <x:v>Statewide</x:v>
      </x:c>
      <x:c r="H1030" s="36" t="n">
        <x:f>IF(G1030="National",Assumptions!$B$11,IF(G1030="Statewide",Assumptions!$B$12,Assumptions!$B$13))</x:f>
        <x:v>0.6</x:v>
      </x:c>
      <x:c r="I1030" s="21" t="n">
        <x:v>-0.013084265215690172</x:v>
      </x:c>
      <x:c r="J1030" s="21" t="n">
        <x:v>-0.013930465956343285</x:v>
      </x:c>
      <x:c r="K1030" s="21" t="n">
        <x:v>-0.01756094010172604</x:v>
      </x:c>
      <x:c r="L1030" s="36" t="n">
        <x:f>IF(Assumptions!$B$4=2030,I1030,IF(Assumptions!$B$4=2035,J1030,K1030))</x:f>
        <x:v>-0.013930465956343285</x:v>
      </x:c>
      <x:c r="M1030" s="36" t="n">
        <x:f>Assumptions!$B$19</x:f>
        <x:v>-0.04739891965741583</x:v>
      </x:c>
      <x:c r="N1030" s="52" t="n">
        <x:f>H1030*L1030+(1-H1030)*M1030+O1030</x:f>
        <x:v>-0.027317847436772305</x:v>
      </x:c>
      <x:c r="O1030" s="36" t="n">
        <x:f>Assumptions!$B$10</x:f>
        <x:v>0</x:v>
      </x:c>
      <x:c r="P1030" s="54" t="n">
        <x:f>E1030*(1+N1030)</x:f>
        <x:v>7011.092955675745</x:v>
      </x:c>
      <x:c r="Q1030" s="54" t="n">
        <x:f>P1030-E1030</x:f>
        <x:v>-196.90704432425537</x:v>
      </x:c>
      <x:c r="R1030" s="16" t="str">
        <x:v>Yes</x:v>
      </x:c>
      <x:c r="S1030" s="56" t="n">
        <x:v>19488</x:v>
      </x:c>
      <x:c r="T1030" s="56" t="n">
        <x:v>14245</x:v>
      </x:c>
      <x:c r="U1030" s="40" t="n">
        <x:f>E1030*Assumptions!$B$8</x:f>
        <x:v>6126.8</x:v>
      </x:c>
      <x:c r="V1030" s="40" t="n">
        <x:f>P1030*Assumptions!$B$8</x:f>
        <x:v>5959.429012324383</x:v>
      </x:c>
      <x:c r="W1030" s="54" t="n">
        <x:f>V1030-U1030</x:f>
        <x:v>-167.37098767561747</x:v>
      </x:c>
      <x:c r="X1030" s="58" t="n">
        <x:f>IF(R1030="No","",W1030*S1030)</x:f>
        <x:v>-3261725.8078224333</x:v>
      </x:c>
      <x:c r="Y1030" s="58" t="n">
        <x:f>IF(R1030="No","",W1030*T1030*Assumptions!$B$9)</x:f>
        <x:v>-715259.9158317512</x:v>
      </x:c>
      <x:c r="Z1030" s="58" t="n">
        <x:f>IF(R1030="No","",X1030-Y1030)</x:f>
        <x:v>-2546465.891990682</x:v>
      </x:c>
      <x:c r="AA1030" s="58" t="n">
        <x:f>IF(R1030="No","",MAX(0,-Z1030))</x:f>
        <x:v>2546465.891990682</x:v>
      </x:c>
      <x:c r="AB1030" s="52" t="n">
        <x:f>IF(OR(R1030="No",U1030*S1030=0),"",AA1030/(U1030*S1030))</x:f>
        <x:v>0.021327349642178493</x:v>
      </x:c>
      <x:c r="AC1030" s="54" t="n">
        <x:f>IF(OR(R1030="No",S1030-T1030*Assumptions!$B$9&lt;=0),"",AA1030/(Assumptions!$B$8*(S1030-T1030*Assumptions!$B$9)))</x:f>
        <x:v>196.90704432425588</x:v>
      </x:c>
      <x:c r="AD1030" s="52" t="n">
        <x:f>IF(OR(R1030="No",U1030*S1030=0),"",AA1030/(U1030*S1030))</x:f>
        <x:v>0.021327349642178493</x:v>
      </x:c>
      <x:c r="AE1030" s="50" t="str">
        <x:f>IF(R1030="No","No finance data",IF(AB1030&gt;=10%,"Severe",IF(AB1030&gt;=5%,"High",IF(AB1030&gt;=2%,"Moderate","Low"))))</x:f>
        <x:v>Moderate</x:v>
      </x:c>
      <x:c r="AF1030" s="60" t="n">
        <x:v>40.739122</x:v>
      </x:c>
      <x:c r="AG1030" s="60" t="n">
        <x:v>-74.175809</x:v>
      </x:c>
      <x:c r="AH1030" s="44" t="str">
        <x:v>Undergraduate tuition-contribution proxy only; not an audited total institutional budget.</x:v>
      </x:c>
    </x:row>
    <x:row r="1031">
      <x:c r="A1031" s="16" t="n">
        <x:v>186432</x:v>
      </x:c>
      <x:c r="B1031" s="16" t="str">
        <x:v>Saint Peter's University</x:v>
      </x:c>
      <x:c r="C1031" s="16" t="str">
        <x:v>NJ</x:v>
      </x:c>
      <x:c r="D1031" s="16" t="str">
        <x:v>Private nonprofit</x:v>
      </x:c>
      <x:c r="E1031" s="34" t="n">
        <x:v>2424</x:v>
      </x:c>
      <x:c r="F1031" s="21" t="n">
        <x:v>0.9284</x:v>
      </x:c>
      <x:c r="G1031" s="16" t="str">
        <x:v>Regional</x:v>
      </x:c>
      <x:c r="H1031" s="36" t="n">
        <x:f>IF(G1031="National",Assumptions!$B$11,IF(G1031="Statewide",Assumptions!$B$12,Assumptions!$B$13))</x:f>
        <x:v>0.85</x:v>
      </x:c>
      <x:c r="I1031" s="21" t="n">
        <x:v>-0.013084265215690172</x:v>
      </x:c>
      <x:c r="J1031" s="21" t="n">
        <x:v>-0.013930465956343285</x:v>
      </x:c>
      <x:c r="K1031" s="21" t="n">
        <x:v>-0.01756094010172604</x:v>
      </x:c>
      <x:c r="L1031" s="36" t="n">
        <x:f>IF(Assumptions!$B$4=2030,I1031,IF(Assumptions!$B$4=2035,J1031,K1031))</x:f>
        <x:v>-0.013930465956343285</x:v>
      </x:c>
      <x:c r="M1031" s="36" t="n">
        <x:f>Assumptions!$B$19</x:f>
        <x:v>-0.04739891965741583</x:v>
      </x:c>
      <x:c r="N1031" s="52" t="n">
        <x:f>H1031*L1031+(1-H1031)*M1031+O1031</x:f>
        <x:v>-0.01895073401150417</x:v>
      </x:c>
      <x:c r="O1031" s="36" t="n">
        <x:f>Assumptions!$B$10</x:f>
        <x:v>0</x:v>
      </x:c>
      <x:c r="P1031" s="54" t="n">
        <x:f>E1031*(1+N1031)</x:f>
        <x:v>2378.063420756114</x:v>
      </x:c>
      <x:c r="Q1031" s="54" t="n">
        <x:f>P1031-E1031</x:f>
        <x:v>-45.93657924388617</x:v>
      </x:c>
      <x:c r="R1031" s="16" t="str">
        <x:v>Yes</x:v>
      </x:c>
      <x:c r="S1031" s="56" t="n">
        <x:v>16709</x:v>
      </x:c>
      <x:c r="T1031" s="56" t="n">
        <x:v>7462</x:v>
      </x:c>
      <x:c r="U1031" s="40" t="n">
        <x:f>E1031*Assumptions!$B$8</x:f>
        <x:v>2060.4</x:v>
      </x:c>
      <x:c r="V1031" s="40" t="n">
        <x:f>P1031*Assumptions!$B$8</x:f>
        <x:v>2021.3539076426966</x:v>
      </x:c>
      <x:c r="W1031" s="54" t="n">
        <x:f>V1031-U1031</x:f>
        <x:v>-39.04609235730345</x:v>
      </x:c>
      <x:c r="X1031" s="58" t="n">
        <x:f>IF(R1031="No","",W1031*S1031)</x:f>
        <x:v>-652421.1571981834</x:v>
      </x:c>
      <x:c r="Y1031" s="58" t="n">
        <x:f>IF(R1031="No","",W1031*T1031*Assumptions!$B$9)</x:f>
        <x:v>-87408.58235105951</x:v>
      </x:c>
      <x:c r="Z1031" s="58" t="n">
        <x:f>IF(R1031="No","",X1031-Y1031)</x:f>
        <x:v>-565012.5748471238</x:v>
      </x:c>
      <x:c r="AA1031" s="58" t="n">
        <x:f>IF(R1031="No","",MAX(0,-Z1031))</x:f>
        <x:v>565012.5748471238</x:v>
      </x:c>
      <x:c r="AB1031" s="52" t="n">
        <x:f>IF(OR(R1031="No",U1031*S1031=0),"",AA1031/(U1031*S1031))</x:f>
        <x:v>0.01641179612424871</x:v>
      </x:c>
      <x:c r="AC1031" s="54" t="n">
        <x:f>IF(OR(R1031="No",S1031-T1031*Assumptions!$B$9&lt;=0),"",AA1031/(Assumptions!$B$8*(S1031-T1031*Assumptions!$B$9)))</x:f>
        <x:v>45.936579243886406</x:v>
      </x:c>
      <x:c r="AD1031" s="52" t="n">
        <x:f>IF(OR(R1031="No",U1031*S1031=0),"",AA1031/(U1031*S1031))</x:f>
        <x:v>0.01641179612424871</x:v>
      </x:c>
      <x:c r="AE1031" s="50" t="str">
        <x:f>IF(R1031="No","No finance data",IF(AB1031&gt;=10%,"Severe",IF(AB1031&gt;=5%,"High",IF(AB1031&gt;=2%,"Moderate","Low"))))</x:f>
        <x:v>Low</x:v>
      </x:c>
      <x:c r="AF1031" s="60" t="n">
        <x:v>40.727105</x:v>
      </x:c>
      <x:c r="AG1031" s="60" t="n">
        <x:v>-74.071541</x:v>
      </x:c>
      <x:c r="AH1031" s="44" t="str">
        <x:v>Undergraduate tuition-contribution proxy only; not an audited total institutional budget.</x:v>
      </x:c>
    </x:row>
    <x:row r="1032">
      <x:c r="A1032" s="16" t="n">
        <x:v>186584</x:v>
      </x:c>
      <x:c r="B1032" s="16" t="str">
        <x:v>Seton Hall University</x:v>
      </x:c>
      <x:c r="C1032" s="16" t="str">
        <x:v>NJ</x:v>
      </x:c>
      <x:c r="D1032" s="16" t="str">
        <x:v>Private nonprofit</x:v>
      </x:c>
      <x:c r="E1032" s="34" t="n">
        <x:v>5818</x:v>
      </x:c>
      <x:c r="F1032" s="21" t="n">
        <x:v>0.7661</x:v>
      </x:c>
      <x:c r="G1032" s="16" t="str">
        <x:v>Regional</x:v>
      </x:c>
      <x:c r="H1032" s="36" t="n">
        <x:f>IF(G1032="National",Assumptions!$B$11,IF(G1032="Statewide",Assumptions!$B$12,Assumptions!$B$13))</x:f>
        <x:v>0.85</x:v>
      </x:c>
      <x:c r="I1032" s="21" t="n">
        <x:v>-0.013084265215690172</x:v>
      </x:c>
      <x:c r="J1032" s="21" t="n">
        <x:v>-0.013930465956343285</x:v>
      </x:c>
      <x:c r="K1032" s="21" t="n">
        <x:v>-0.01756094010172604</x:v>
      </x:c>
      <x:c r="L1032" s="36" t="n">
        <x:f>IF(Assumptions!$B$4=2030,I1032,IF(Assumptions!$B$4=2035,J1032,K1032))</x:f>
        <x:v>-0.013930465956343285</x:v>
      </x:c>
      <x:c r="M1032" s="36" t="n">
        <x:f>Assumptions!$B$19</x:f>
        <x:v>-0.04739891965741583</x:v>
      </x:c>
      <x:c r="N1032" s="52" t="n">
        <x:f>H1032*L1032+(1-H1032)*M1032+O1032</x:f>
        <x:v>-0.01895073401150417</x:v>
      </x:c>
      <x:c r="O1032" s="36" t="n">
        <x:f>Assumptions!$B$10</x:f>
        <x:v>0</x:v>
      </x:c>
      <x:c r="P1032" s="54" t="n">
        <x:f>E1032*(1+N1032)</x:f>
        <x:v>5707.744629521068</x:v>
      </x:c>
      <x:c r="Q1032" s="54" t="n">
        <x:f>P1032-E1032</x:f>
        <x:v>-110.25537047893158</x:v>
      </x:c>
      <x:c r="R1032" s="16" t="str">
        <x:v>Yes</x:v>
      </x:c>
      <x:c r="S1032" s="56" t="n">
        <x:v>25009</x:v>
      </x:c>
      <x:c r="T1032" s="56" t="n">
        <x:v>11751</x:v>
      </x:c>
      <x:c r="U1032" s="40" t="n">
        <x:f>E1032*Assumptions!$B$8</x:f>
        <x:v>4945.3</x:v>
      </x:c>
      <x:c r="V1032" s="40" t="n">
        <x:f>P1032*Assumptions!$B$8</x:f>
        <x:v>4851.582935092908</x:v>
      </x:c>
      <x:c r="W1032" s="54" t="n">
        <x:f>V1032-U1032</x:f>
        <x:v>-93.71706490709221</x:v>
      </x:c>
      <x:c r="X1032" s="58" t="n">
        <x:f>IF(R1032="No","",W1032*S1032)</x:f>
        <x:v>-2343770.076261469</x:v>
      </x:c>
      <x:c r="Y1032" s="58" t="n">
        <x:f>IF(R1032="No","",W1032*T1032*Assumptions!$B$9)</x:f>
        <x:v>-330380.76891697216</x:v>
      </x:c>
      <x:c r="Z1032" s="58" t="n">
        <x:f>IF(R1032="No","",X1032-Y1032)</x:f>
        <x:v>-2013389.307344497</x:v>
      </x:c>
      <x:c r="AA1032" s="58" t="n">
        <x:f>IF(R1032="No","",MAX(0,-Z1032))</x:f>
        <x:v>2013389.307344497</x:v>
      </x:c>
      <x:c r="AB1032" s="52" t="n">
        <x:f>IF(OR(R1032="No",U1032*S1032=0),"",AA1032/(U1032*S1032))</x:f>
        <x:v>0.016279414781996678</x:v>
      </x:c>
      <x:c r="AC1032" s="54" t="n">
        <x:f>IF(OR(R1032="No",S1032-T1032*Assumptions!$B$9&lt;=0),"",AA1032/(Assumptions!$B$8*(S1032-T1032*Assumptions!$B$9)))</x:f>
        <x:v>110.25537047893201</x:v>
      </x:c>
      <x:c r="AD1032" s="52" t="n">
        <x:f>IF(OR(R1032="No",U1032*S1032=0),"",AA1032/(U1032*S1032))</x:f>
        <x:v>0.016279414781996678</x:v>
      </x:c>
      <x:c r="AE1032" s="50" t="str">
        <x:f>IF(R1032="No","No finance data",IF(AB1032&gt;=10%,"Severe",IF(AB1032&gt;=5%,"High",IF(AB1032&gt;=2%,"Moderate","Low"))))</x:f>
        <x:v>Low</x:v>
      </x:c>
      <x:c r="AF1032" s="60" t="n">
        <x:v>40.742336</x:v>
      </x:c>
      <x:c r="AG1032" s="60" t="n">
        <x:v>-74.246027</x:v>
      </x:c>
      <x:c r="AH1032" s="44" t="str">
        <x:v>Undergraduate tuition-contribution proxy only; not an audited total institutional budget.</x:v>
      </x:c>
    </x:row>
    <x:row r="1033">
      <x:c r="A1033" s="16" t="n">
        <x:v>186867</x:v>
      </x:c>
      <x:c r="B1033" s="16" t="str">
        <x:v>Stevens Institute of Technology</x:v>
      </x:c>
      <x:c r="C1033" s="16" t="str">
        <x:v>NJ</x:v>
      </x:c>
      <x:c r="D1033" s="16" t="str">
        <x:v>Private nonprofit</x:v>
      </x:c>
      <x:c r="E1033" s="34" t="n">
        <x:v>2956</x:v>
      </x:c>
      <x:c r="F1033" s="21" t="n">
        <x:v>0.5269</x:v>
      </x:c>
      <x:c r="G1033" s="16" t="str">
        <x:v>Regional</x:v>
      </x:c>
      <x:c r="H1033" s="36" t="n">
        <x:f>IF(G1033="National",Assumptions!$B$11,IF(G1033="Statewide",Assumptions!$B$12,Assumptions!$B$13))</x:f>
        <x:v>0.85</x:v>
      </x:c>
      <x:c r="I1033" s="21" t="n">
        <x:v>-0.013084265215690172</x:v>
      </x:c>
      <x:c r="J1033" s="21" t="n">
        <x:v>-0.013930465956343285</x:v>
      </x:c>
      <x:c r="K1033" s="21" t="n">
        <x:v>-0.01756094010172604</x:v>
      </x:c>
      <x:c r="L1033" s="36" t="n">
        <x:f>IF(Assumptions!$B$4=2030,I1033,IF(Assumptions!$B$4=2035,J1033,K1033))</x:f>
        <x:v>-0.013930465956343285</x:v>
      </x:c>
      <x:c r="M1033" s="36" t="n">
        <x:f>Assumptions!$B$19</x:f>
        <x:v>-0.04739891965741583</x:v>
      </x:c>
      <x:c r="N1033" s="52" t="n">
        <x:f>H1033*L1033+(1-H1033)*M1033+O1033</x:f>
        <x:v>-0.01895073401150417</x:v>
      </x:c>
      <x:c r="O1033" s="36" t="n">
        <x:f>Assumptions!$B$10</x:f>
        <x:v>0</x:v>
      </x:c>
      <x:c r="P1033" s="54" t="n">
        <x:f>E1033*(1+N1033)</x:f>
        <x:v>2899.981630261994</x:v>
      </x:c>
      <x:c r="Q1033" s="54" t="n">
        <x:f>P1033-E1033</x:f>
        <x:v>-56.018369738006186</x:v>
      </x:c>
      <x:c r="R1033" s="16" t="str">
        <x:v>Yes</x:v>
      </x:c>
      <x:c r="S1033" s="56" t="n">
        <x:v>26833</x:v>
      </x:c>
      <x:c r="T1033" s="56" t="n">
        <x:v>12718</x:v>
      </x:c>
      <x:c r="U1033" s="40" t="n">
        <x:f>E1033*Assumptions!$B$8</x:f>
        <x:v>2512.6</x:v>
      </x:c>
      <x:c r="V1033" s="40" t="n">
        <x:f>P1033*Assumptions!$B$8</x:f>
        <x:v>2464.9843857226947</x:v>
      </x:c>
      <x:c r="W1033" s="54" t="n">
        <x:f>V1033-U1033</x:f>
        <x:v>-47.61561427730521</x:v>
      </x:c>
      <x:c r="X1033" s="58" t="n">
        <x:f>IF(R1033="No","",W1033*S1033)</x:f>
        <x:v>-1277669.7779029307</x:v>
      </x:c>
      <x:c r="Y1033" s="58" t="n">
        <x:f>IF(R1033="No","",W1033*T1033*Assumptions!$B$9)</x:f>
        <x:v>-181672.61471363032</x:v>
      </x:c>
      <x:c r="Z1033" s="58" t="n">
        <x:f>IF(R1033="No","",X1033-Y1033)</x:f>
        <x:v>-1095997.1631893003</x:v>
      </x:c>
      <x:c r="AA1033" s="58" t="n">
        <x:f>IF(R1033="No","",MAX(0,-Z1033))</x:f>
        <x:v>1095997.1631893003</x:v>
      </x:c>
      <x:c r="AB1033" s="52" t="n">
        <x:f>IF(OR(R1033="No",U1033*S1033=0),"",AA1033/(U1033*S1033))</x:f>
        <x:v>0.016256118033138183</x:v>
      </x:c>
      <x:c r="AC1033" s="54" t="n">
        <x:f>IF(OR(R1033="No",S1033-T1033*Assumptions!$B$9&lt;=0),"",AA1033/(Assumptions!$B$8*(S1033-T1033*Assumptions!$B$9)))</x:f>
        <x:v>56.01836973800613</x:v>
      </x:c>
      <x:c r="AD1033" s="52" t="n">
        <x:f>IF(OR(R1033="No",U1033*S1033=0),"",AA1033/(U1033*S1033))</x:f>
        <x:v>0.016256118033138183</x:v>
      </x:c>
      <x:c r="AE1033" s="50" t="str">
        <x:f>IF(R1033="No","No finance data",IF(AB1033&gt;=10%,"Severe",IF(AB1033&gt;=5%,"High",IF(AB1033&gt;=2%,"Moderate","Low"))))</x:f>
        <x:v>Low</x:v>
      </x:c>
      <x:c r="AF1033" s="60" t="n">
        <x:v>40.744776</x:v>
      </x:c>
      <x:c r="AG1033" s="60" t="n">
        <x:v>-74.025334</x:v>
      </x:c>
      <x:c r="AH1033" s="44" t="str">
        <x:v>Undergraduate tuition-contribution proxy only; not an audited total institutional budget.</x:v>
      </x:c>
    </x:row>
    <x:row r="1034">
      <x:c r="A1034" s="16" t="n">
        <x:v>186876</x:v>
      </x:c>
      <x:c r="B1034" s="16" t="str">
        <x:v>Stockton University</x:v>
      </x:c>
      <x:c r="C1034" s="16" t="str">
        <x:v>NJ</x:v>
      </x:c>
      <x:c r="D1034" s="16" t="str">
        <x:v>Public</x:v>
      </x:c>
      <x:c r="E1034" s="34" t="n">
        <x:v>7765</x:v>
      </x:c>
      <x:c r="F1034" s="21" t="n">
        <x:v>0.8454</x:v>
      </x:c>
      <x:c r="G1034" s="16" t="str">
        <x:v>Statewide</x:v>
      </x:c>
      <x:c r="H1034" s="36" t="n">
        <x:f>IF(G1034="National",Assumptions!$B$11,IF(G1034="Statewide",Assumptions!$B$12,Assumptions!$B$13))</x:f>
        <x:v>0.6</x:v>
      </x:c>
      <x:c r="I1034" s="21" t="n">
        <x:v>-0.013084265215690172</x:v>
      </x:c>
      <x:c r="J1034" s="21" t="n">
        <x:v>-0.013930465956343285</x:v>
      </x:c>
      <x:c r="K1034" s="21" t="n">
        <x:v>-0.01756094010172604</x:v>
      </x:c>
      <x:c r="L1034" s="36" t="n">
        <x:f>IF(Assumptions!$B$4=2030,I1034,IF(Assumptions!$B$4=2035,J1034,K1034))</x:f>
        <x:v>-0.013930465956343285</x:v>
      </x:c>
      <x:c r="M1034" s="36" t="n">
        <x:f>Assumptions!$B$19</x:f>
        <x:v>-0.04739891965741583</x:v>
      </x:c>
      <x:c r="N1034" s="52" t="n">
        <x:f>H1034*L1034+(1-H1034)*M1034+O1034</x:f>
        <x:v>-0.027317847436772305</x:v>
      </x:c>
      <x:c r="O1034" s="36" t="n">
        <x:f>Assumptions!$B$10</x:f>
        <x:v>0</x:v>
      </x:c>
      <x:c r="P1034" s="54" t="n">
        <x:f>E1034*(1+N1034)</x:f>
        <x:v>7552.876914653462</x:v>
      </x:c>
      <x:c r="Q1034" s="54" t="n">
        <x:f>P1034-E1034</x:f>
        <x:v>-212.12308534653766</x:v>
      </x:c>
      <x:c r="R1034" s="16" t="str">
        <x:v>Yes</x:v>
      </x:c>
      <x:c r="S1034" s="56" t="n">
        <x:v>9747</x:v>
      </x:c>
      <x:c r="T1034" s="56" t="n">
        <x:v>7538</x:v>
      </x:c>
      <x:c r="U1034" s="40" t="n">
        <x:f>E1034*Assumptions!$B$8</x:f>
        <x:v>6600.25</x:v>
      </x:c>
      <x:c r="V1034" s="40" t="n">
        <x:f>P1034*Assumptions!$B$8</x:f>
        <x:v>6419.945377455443</x:v>
      </x:c>
      <x:c r="W1034" s="54" t="n">
        <x:f>V1034-U1034</x:f>
        <x:v>-180.30462254455688</x:v>
      </x:c>
      <x:c r="X1034" s="58" t="n">
        <x:f>IF(R1034="No","",W1034*S1034)</x:f>
        <x:v>-1757429.1559417958</x:v>
      </x:c>
      <x:c r="Y1034" s="58" t="n">
        <x:f>IF(R1034="No","",W1034*T1034*Assumptions!$B$9)</x:f>
        <x:v>-407740.8734222609</x:v>
      </x:c>
      <x:c r="Z1034" s="58" t="n">
        <x:f>IF(R1034="No","",X1034-Y1034)</x:f>
        <x:v>-1349688.282519535</x:v>
      </x:c>
      <x:c r="AA1034" s="58" t="n">
        <x:f>IF(R1034="No","",MAX(0,-Z1034))</x:f>
        <x:v>1349688.282519535</x:v>
      </x:c>
      <x:c r="AB1034" s="52" t="n">
        <x:f>IF(OR(R1034="No",U1034*S1034=0),"",AA1034/(U1034*S1034))</x:f>
        <x:v>0.02097983777292534</x:v>
      </x:c>
      <x:c r="AC1034" s="54" t="n">
        <x:f>IF(OR(R1034="No",S1034-T1034*Assumptions!$B$9&lt;=0),"",AA1034/(Assumptions!$B$8*(S1034-T1034*Assumptions!$B$9)))</x:f>
        <x:v>212.1230853465375</x:v>
      </x:c>
      <x:c r="AD1034" s="52" t="n">
        <x:f>IF(OR(R1034="No",U1034*S1034=0),"",AA1034/(U1034*S1034))</x:f>
        <x:v>0.02097983777292534</x:v>
      </x:c>
      <x:c r="AE1034" s="50" t="str">
        <x:f>IF(R1034="No","No finance data",IF(AB1034&gt;=10%,"Severe",IF(AB1034&gt;=5%,"High",IF(AB1034&gt;=2%,"Moderate","Low"))))</x:f>
        <x:v>Moderate</x:v>
      </x:c>
      <x:c r="AF1034" s="60" t="n">
        <x:v>39.492036</x:v>
      </x:c>
      <x:c r="AG1034" s="60" t="n">
        <x:v>-74.531087</x:v>
      </x:c>
      <x:c r="AH1034" s="44" t="str">
        <x:v>Undergraduate tuition-contribution proxy only; not an audited total institutional budget.</x:v>
      </x:c>
    </x:row>
    <x:row r="1035">
      <x:c r="A1035" s="16" t="n">
        <x:v>186900</x:v>
      </x:c>
      <x:c r="B1035" s="16" t="str">
        <x:v>Talmudical Academy-New Jersey</x:v>
      </x:c>
      <x:c r="C1035" s="16" t="str">
        <x:v>NJ</x:v>
      </x:c>
      <x:c r="D1035" s="16" t="str">
        <x:v>Private nonprofit</x:v>
      </x:c>
      <x:c r="E1035" s="34" t="n">
        <x:v>66</x:v>
      </x:c>
      <x:c r="F1035" s="21"/>
      <x:c r="G1035" s="16" t="str">
        <x:v>Regional</x:v>
      </x:c>
      <x:c r="H1035" s="36" t="n">
        <x:f>IF(G1035="National",Assumptions!$B$11,IF(G1035="Statewide",Assumptions!$B$12,Assumptions!$B$13))</x:f>
        <x:v>0.85</x:v>
      </x:c>
      <x:c r="I1035" s="21" t="n">
        <x:v>-0.013084265215690172</x:v>
      </x:c>
      <x:c r="J1035" s="21" t="n">
        <x:v>-0.013930465956343285</x:v>
      </x:c>
      <x:c r="K1035" s="21" t="n">
        <x:v>-0.01756094010172604</x:v>
      </x:c>
      <x:c r="L1035" s="36" t="n">
        <x:f>IF(Assumptions!$B$4=2030,I1035,IF(Assumptions!$B$4=2035,J1035,K1035))</x:f>
        <x:v>-0.013930465956343285</x:v>
      </x:c>
      <x:c r="M1035" s="36" t="n">
        <x:f>Assumptions!$B$19</x:f>
        <x:v>-0.04739891965741583</x:v>
      </x:c>
      <x:c r="N1035" s="52" t="n">
        <x:f>H1035*L1035+(1-H1035)*M1035+O1035</x:f>
        <x:v>-0.01895073401150417</x:v>
      </x:c>
      <x:c r="O1035" s="36" t="n">
        <x:f>Assumptions!$B$10</x:f>
        <x:v>0</x:v>
      </x:c>
      <x:c r="P1035" s="54" t="n">
        <x:f>E1035*(1+N1035)</x:f>
        <x:v>64.74925155524073</x:v>
      </x:c>
      <x:c r="Q1035" s="54" t="n">
        <x:f>P1035-E1035</x:f>
        <x:v>-1.2507484447592674</x:v>
      </x:c>
      <x:c r="R1035" s="16" t="str">
        <x:v>No</x:v>
      </x:c>
      <x:c r="S1035" s="56"/>
      <x:c r="T1035" s="56"/>
      <x:c r="U1035" s="40" t="n">
        <x:f>E1035*Assumptions!$B$8</x:f>
        <x:v>56.1</x:v>
      </x:c>
      <x:c r="V1035" s="40" t="n">
        <x:f>P1035*Assumptions!$B$8</x:f>
        <x:v>55.03686382195462</x:v>
      </x:c>
      <x:c r="W1035" s="54" t="n">
        <x:f>V1035-U1035</x:f>
        <x:v>-1.063136178045383</x:v>
      </x:c>
      <x:c r="X1035" s="58" t="str">
        <x:f>IF(R1035="No","",W1035*S1035)</x:f>
      </x:c>
      <x:c r="Y1035" s="58" t="str">
        <x:f>IF(R1035="No","",W1035*T1035*Assumptions!$B$9)</x:f>
      </x:c>
      <x:c r="Z1035" s="58" t="str">
        <x:f>IF(R1035="No","",X1035-Y1035)</x:f>
      </x:c>
      <x:c r="AA1035" s="58" t="str">
        <x:f>IF(R1035="No","",MAX(0,-Z1035))</x:f>
      </x:c>
      <x:c r="AB1035" s="52" t="str">
        <x:f>IF(OR(R1035="No",U1035*S1035=0),"",AA1035/(U1035*S1035))</x:f>
      </x:c>
      <x:c r="AC1035" s="54" t="str">
        <x:f>IF(OR(R1035="No",S1035-T1035*Assumptions!$B$9&lt;=0),"",AA1035/(Assumptions!$B$8*(S1035-T1035*Assumptions!$B$9)))</x:f>
      </x:c>
      <x:c r="AD1035" s="52" t="str">
        <x:f>IF(OR(R1035="No",U1035*S1035=0),"",AA1035/(U1035*S1035))</x:f>
      </x:c>
      <x:c r="AE1035" s="50" t="str">
        <x:f>IF(R1035="No","No finance data",IF(AB1035&gt;=10%,"Severe",IF(AB1035&gt;=5%,"High",IF(AB1035&gt;=2%,"Moderate","Low"))))</x:f>
        <x:v>No finance data</x:v>
      </x:c>
      <x:c r="AF1035" s="60"/>
      <x:c r="AG1035" s="60"/>
      <x:c r="AH1035" s="44" t="str">
        <x:v>Undergraduate tuition-contribution proxy only; not an audited total institutional budget.</x:v>
      </x:c>
    </x:row>
    <x:row r="1036">
      <x:c r="A1036" s="16" t="n">
        <x:v>187134</x:v>
      </x:c>
      <x:c r="B1036" s="16" t="str">
        <x:v>The College of New Jersey</x:v>
      </x:c>
      <x:c r="C1036" s="16" t="str">
        <x:v>NJ</x:v>
      </x:c>
      <x:c r="D1036" s="16" t="str">
        <x:v>Public</x:v>
      </x:c>
      <x:c r="E1036" s="34" t="n">
        <x:v>6590</x:v>
      </x:c>
      <x:c r="F1036" s="21" t="n">
        <x:v>0.6198</x:v>
      </x:c>
      <x:c r="G1036" s="16" t="str">
        <x:v>Statewide</x:v>
      </x:c>
      <x:c r="H1036" s="36" t="n">
        <x:f>IF(G1036="National",Assumptions!$B$11,IF(G1036="Statewide",Assumptions!$B$12,Assumptions!$B$13))</x:f>
        <x:v>0.6</x:v>
      </x:c>
      <x:c r="I1036" s="21" t="n">
        <x:v>-0.013084265215690172</x:v>
      </x:c>
      <x:c r="J1036" s="21" t="n">
        <x:v>-0.013930465956343285</x:v>
      </x:c>
      <x:c r="K1036" s="21" t="n">
        <x:v>-0.01756094010172604</x:v>
      </x:c>
      <x:c r="L1036" s="36" t="n">
        <x:f>IF(Assumptions!$B$4=2030,I1036,IF(Assumptions!$B$4=2035,J1036,K1036))</x:f>
        <x:v>-0.013930465956343285</x:v>
      </x:c>
      <x:c r="M1036" s="36" t="n">
        <x:f>Assumptions!$B$19</x:f>
        <x:v>-0.04739891965741583</x:v>
      </x:c>
      <x:c r="N1036" s="52" t="n">
        <x:f>H1036*L1036+(1-H1036)*M1036+O1036</x:f>
        <x:v>-0.027317847436772305</x:v>
      </x:c>
      <x:c r="O1036" s="36" t="n">
        <x:f>Assumptions!$B$10</x:f>
        <x:v>0</x:v>
      </x:c>
      <x:c r="P1036" s="54" t="n">
        <x:f>E1036*(1+N1036)</x:f>
        <x:v>6409.97538539167</x:v>
      </x:c>
      <x:c r="Q1036" s="54" t="n">
        <x:f>P1036-E1036</x:f>
        <x:v>-180.02461460833</x:v>
      </x:c>
      <x:c r="R1036" s="16" t="str">
        <x:v>Yes</x:v>
      </x:c>
      <x:c r="S1036" s="56" t="n">
        <x:v>12350</x:v>
      </x:c>
      <x:c r="T1036" s="56" t="n">
        <x:v>9176</x:v>
      </x:c>
      <x:c r="U1036" s="40" t="n">
        <x:f>E1036*Assumptions!$B$8</x:f>
        <x:v>5601.5</x:v>
      </x:c>
      <x:c r="V1036" s="40" t="n">
        <x:f>P1036*Assumptions!$B$8</x:f>
        <x:v>5448.47907758292</x:v>
      </x:c>
      <x:c r="W1036" s="54" t="n">
        <x:f>V1036-U1036</x:f>
        <x:v>-153.02092241708033</x:v>
      </x:c>
      <x:c r="X1036" s="58" t="n">
        <x:f>IF(R1036="No","",W1036*S1036)</x:f>
        <x:v>-1889808.391850942</x:v>
      </x:c>
      <x:c r="Y1036" s="58" t="n">
        <x:f>IF(R1036="No","",W1036*T1036*Assumptions!$B$9)</x:f>
        <x:v>-421235.9952297387</x:v>
      </x:c>
      <x:c r="Z1036" s="58" t="n">
        <x:f>IF(R1036="No","",X1036-Y1036)</x:f>
        <x:v>-1468572.3966212033</x:v>
      </x:c>
      <x:c r="AA1036" s="58" t="n">
        <x:f>IF(R1036="No","",MAX(0,-Z1036))</x:f>
        <x:v>1468572.3966212033</x:v>
      </x:c>
      <x:c r="AB1036" s="52" t="n">
        <x:f>IF(OR(R1036="No",U1036*S1036=0),"",AA1036/(U1036*S1036))</x:f>
        <x:v>0.02122873242268758</x:v>
      </x:c>
      <x:c r="AC1036" s="54" t="n">
        <x:f>IF(OR(R1036="No",S1036-T1036*Assumptions!$B$9&lt;=0),"",AA1036/(Assumptions!$B$8*(S1036-T1036*Assumptions!$B$9)))</x:f>
        <x:v>180.02461460832978</x:v>
      </x:c>
      <x:c r="AD1036" s="52" t="n">
        <x:f>IF(OR(R1036="No",U1036*S1036=0),"",AA1036/(U1036*S1036))</x:f>
        <x:v>0.02122873242268758</x:v>
      </x:c>
      <x:c r="AE1036" s="50" t="str">
        <x:f>IF(R1036="No","No finance data",IF(AB1036&gt;=10%,"Severe",IF(AB1036&gt;=5%,"High",IF(AB1036&gt;=2%,"Moderate","Low"))))</x:f>
        <x:v>Moderate</x:v>
      </x:c>
      <x:c r="AF1036" s="60" t="n">
        <x:v>40.268651</x:v>
      </x:c>
      <x:c r="AG1036" s="60" t="n">
        <x:v>-74.778791</x:v>
      </x:c>
      <x:c r="AH1036" s="44" t="str">
        <x:v>Undergraduate tuition-contribution proxy only; not an audited total institutional budget.</x:v>
      </x:c>
    </x:row>
    <x:row r="1037">
      <x:c r="A1037" s="16" t="n">
        <x:v>187046</x:v>
      </x:c>
      <x:c r="B1037" s="16" t="str">
        <x:v>Thomas Edison State University</x:v>
      </x:c>
      <x:c r="C1037" s="16" t="str">
        <x:v>NJ</x:v>
      </x:c>
      <x:c r="D1037" s="16" t="str">
        <x:v>Public</x:v>
      </x:c>
      <x:c r="E1037" s="34" t="n">
        <x:v>12283</x:v>
      </x:c>
      <x:c r="F1037" s="21"/>
      <x:c r="G1037" s="16" t="str">
        <x:v>Statewide</x:v>
      </x:c>
      <x:c r="H1037" s="36" t="n">
        <x:f>IF(G1037="National",Assumptions!$B$11,IF(G1037="Statewide",Assumptions!$B$12,Assumptions!$B$13))</x:f>
        <x:v>0.6</x:v>
      </x:c>
      <x:c r="I1037" s="21" t="n">
        <x:v>-0.013084265215690172</x:v>
      </x:c>
      <x:c r="J1037" s="21" t="n">
        <x:v>-0.013930465956343285</x:v>
      </x:c>
      <x:c r="K1037" s="21" t="n">
        <x:v>-0.01756094010172604</x:v>
      </x:c>
      <x:c r="L1037" s="36" t="n">
        <x:f>IF(Assumptions!$B$4=2030,I1037,IF(Assumptions!$B$4=2035,J1037,K1037))</x:f>
        <x:v>-0.013930465956343285</x:v>
      </x:c>
      <x:c r="M1037" s="36" t="n">
        <x:f>Assumptions!$B$19</x:f>
        <x:v>-0.04739891965741583</x:v>
      </x:c>
      <x:c r="N1037" s="52" t="n">
        <x:f>H1037*L1037+(1-H1037)*M1037+O1037</x:f>
        <x:v>-0.027317847436772305</x:v>
      </x:c>
      <x:c r="O1037" s="36" t="n">
        <x:f>Assumptions!$B$10</x:f>
        <x:v>0</x:v>
      </x:c>
      <x:c r="P1037" s="54" t="n">
        <x:f>E1037*(1+N1037)</x:f>
        <x:v>11947.454879934125</x:v>
      </x:c>
      <x:c r="Q1037" s="54" t="n">
        <x:f>P1037-E1037</x:f>
        <x:v>-335.5451200658754</x:v>
      </x:c>
      <x:c r="R1037" s="16" t="str">
        <x:v>Yes</x:v>
      </x:c>
      <x:c r="S1037" s="56" t="n">
        <x:v>11640</x:v>
      </x:c>
      <x:c r="T1037" s="56" t="n">
        <x:v>0</x:v>
      </x:c>
      <x:c r="U1037" s="40" t="n">
        <x:f>E1037*Assumptions!$B$8</x:f>
        <x:v>10440.55</x:v>
      </x:c>
      <x:c r="V1037" s="40" t="n">
        <x:f>P1037*Assumptions!$B$8</x:f>
        <x:v>10155.336647944006</x:v>
      </x:c>
      <x:c r="W1037" s="54" t="n">
        <x:f>V1037-U1037</x:f>
        <x:v>-285.2133520559928</x:v>
      </x:c>
      <x:c r="X1037" s="58" t="n">
        <x:f>IF(R1037="No","",W1037*S1037)</x:f>
        <x:v>-3319883.417931756</x:v>
      </x:c>
      <x:c r="Y1037" s="58" t="n">
        <x:f>IF(R1037="No","",W1037*T1037*Assumptions!$B$9)</x:f>
        <x:v>0</x:v>
      </x:c>
      <x:c r="Z1037" s="58" t="n">
        <x:f>IF(R1037="No","",X1037-Y1037)</x:f>
        <x:v>-3319883.417931756</x:v>
      </x:c>
      <x:c r="AA1037" s="58" t="n">
        <x:f>IF(R1037="No","",MAX(0,-Z1037))</x:f>
        <x:v>3319883.417931756</x:v>
      </x:c>
      <x:c r="AB1037" s="52" t="n">
        <x:f>IF(OR(R1037="No",U1037*S1037=0),"",AA1037/(U1037*S1037))</x:f>
        <x:v>0.02731784743677228</x:v>
      </x:c>
      <x:c r="AC1037" s="54" t="n">
        <x:f>IF(OR(R1037="No",S1037-T1037*Assumptions!$B$9&lt;=0),"",AA1037/(Assumptions!$B$8*(S1037-T1037*Assumptions!$B$9)))</x:f>
        <x:v>335.54512006587385</x:v>
      </x:c>
      <x:c r="AD1037" s="52" t="n">
        <x:f>IF(OR(R1037="No",U1037*S1037=0),"",AA1037/(U1037*S1037))</x:f>
        <x:v>0.02731784743677228</x:v>
      </x:c>
      <x:c r="AE1037" s="50" t="str">
        <x:f>IF(R1037="No","No finance data",IF(AB1037&gt;=10%,"Severe",IF(AB1037&gt;=5%,"High",IF(AB1037&gt;=2%,"Moderate","Low"))))</x:f>
        <x:v>Moderate</x:v>
      </x:c>
      <x:c r="AF1037" s="60" t="n">
        <x:v>40.220487</x:v>
      </x:c>
      <x:c r="AG1037" s="60" t="n">
        <x:v>-74.768562</x:v>
      </x:c>
      <x:c r="AH1037" s="44" t="str">
        <x:v>Undergraduate tuition-contribution proxy only; not an audited total institutional budget.</x:v>
      </x:c>
    </x:row>
    <x:row r="1038">
      <x:c r="A1038" s="16" t="n">
        <x:v>187444</x:v>
      </x:c>
      <x:c r="B1038" s="16" t="str">
        <x:v>William Paterson University of New Jersey</x:v>
      </x:c>
      <x:c r="C1038" s="16" t="str">
        <x:v>NJ</x:v>
      </x:c>
      <x:c r="D1038" s="16" t="str">
        <x:v>Public</x:v>
      </x:c>
      <x:c r="E1038" s="34" t="n">
        <x:v>9279</x:v>
      </x:c>
      <x:c r="F1038" s="21" t="n">
        <x:v>0.8326</x:v>
      </x:c>
      <x:c r="G1038" s="16" t="str">
        <x:v>Statewide</x:v>
      </x:c>
      <x:c r="H1038" s="36" t="n">
        <x:f>IF(G1038="National",Assumptions!$B$11,IF(G1038="Statewide",Assumptions!$B$12,Assumptions!$B$13))</x:f>
        <x:v>0.6</x:v>
      </x:c>
      <x:c r="I1038" s="21" t="n">
        <x:v>-0.013084265215690172</x:v>
      </x:c>
      <x:c r="J1038" s="21" t="n">
        <x:v>-0.013930465956343285</x:v>
      </x:c>
      <x:c r="K1038" s="21" t="n">
        <x:v>-0.01756094010172604</x:v>
      </x:c>
      <x:c r="L1038" s="36" t="n">
        <x:f>IF(Assumptions!$B$4=2030,I1038,IF(Assumptions!$B$4=2035,J1038,K1038))</x:f>
        <x:v>-0.013930465956343285</x:v>
      </x:c>
      <x:c r="M1038" s="36" t="n">
        <x:f>Assumptions!$B$19</x:f>
        <x:v>-0.04739891965741583</x:v>
      </x:c>
      <x:c r="N1038" s="52" t="n">
        <x:f>H1038*L1038+(1-H1038)*M1038+O1038</x:f>
        <x:v>-0.027317847436772305</x:v>
      </x:c>
      <x:c r="O1038" s="36" t="n">
        <x:f>Assumptions!$B$10</x:f>
        <x:v>0</x:v>
      </x:c>
      <x:c r="P1038" s="54" t="n">
        <x:f>E1038*(1+N1038)</x:f>
        <x:v>9025.517693634189</x:v>
      </x:c>
      <x:c r="Q1038" s="54" t="n">
        <x:f>P1038-E1038</x:f>
        <x:v>-253.48230636581138</x:v>
      </x:c>
      <x:c r="R1038" s="16" t="str">
        <x:v>Yes</x:v>
      </x:c>
      <x:c r="S1038" s="56" t="n">
        <x:v>10090</x:v>
      </x:c>
      <x:c r="T1038" s="56" t="n">
        <x:v>11932</x:v>
      </x:c>
      <x:c r="U1038" s="40" t="n">
        <x:f>E1038*Assumptions!$B$8</x:f>
        <x:v>7887.15</x:v>
      </x:c>
      <x:c r="V1038" s="40" t="n">
        <x:f>P1038*Assumptions!$B$8</x:f>
        <x:v>7671.69003958906</x:v>
      </x:c>
      <x:c r="W1038" s="54" t="n">
        <x:f>V1038-U1038</x:f>
        <x:v>-215.45996041093986</x:v>
      </x:c>
      <x:c r="X1038" s="58" t="n">
        <x:f>IF(R1038="No","",W1038*S1038)</x:f>
        <x:v>-2173991.000546383</x:v>
      </x:c>
      <x:c r="Y1038" s="58" t="n">
        <x:f>IF(R1038="No","",W1038*T1038*Assumptions!$B$9)</x:f>
        <x:v>-771260.4742870003</x:v>
      </x:c>
      <x:c r="Z1038" s="58" t="n">
        <x:f>IF(R1038="No","",X1038-Y1038)</x:f>
        <x:v>-1402730.526259383</x:v>
      </x:c>
      <x:c r="AA1038" s="58" t="n">
        <x:f>IF(R1038="No","",MAX(0,-Z1038))</x:f>
        <x:v>1402730.526259383</x:v>
      </x:c>
      <x:c r="AB1038" s="52" t="n">
        <x:f>IF(OR(R1038="No",U1038*S1038=0),"",AA1038/(U1038*S1038))</x:f>
        <x:v>0.01762637402897556</x:v>
      </x:c>
      <x:c r="AC1038" s="54" t="n">
        <x:f>IF(OR(R1038="No",S1038-T1038*Assumptions!$B$9&lt;=0),"",AA1038/(Assumptions!$B$8*(S1038-T1038*Assumptions!$B$9)))</x:f>
        <x:v>253.48230636581164</x:v>
      </x:c>
      <x:c r="AD1038" s="52" t="n">
        <x:f>IF(OR(R1038="No",U1038*S1038=0),"",AA1038/(U1038*S1038))</x:f>
        <x:v>0.01762637402897556</x:v>
      </x:c>
      <x:c r="AE1038" s="50" t="str">
        <x:f>IF(R1038="No","No finance data",IF(AB1038&gt;=10%,"Severe",IF(AB1038&gt;=5%,"High",IF(AB1038&gt;=2%,"Moderate","Low"))))</x:f>
        <x:v>Low</x:v>
      </x:c>
      <x:c r="AF1038" s="60" t="n">
        <x:v>40.945255</x:v>
      </x:c>
      <x:c r="AG1038" s="60" t="n">
        <x:v>-74.200248</x:v>
      </x:c>
      <x:c r="AH1038" s="44" t="str">
        <x:v>Undergraduate tuition-contribution proxy only; not an audited total institutional budget.</x:v>
      </x:c>
    </x:row>
    <x:row r="1039">
      <x:c r="A1039" s="16" t="n">
        <x:v>476692</x:v>
      </x:c>
      <x:c r="B1039" s="16" t="str">
        <x:v>Yeshiva Gedolah Zichron Leyma</x:v>
      </x:c>
      <x:c r="C1039" s="16" t="str">
        <x:v>NJ</x:v>
      </x:c>
      <x:c r="D1039" s="16" t="str">
        <x:v>Private nonprofit</x:v>
      </x:c>
      <x:c r="E1039" s="34" t="n">
        <x:v>21</x:v>
      </x:c>
      <x:c r="F1039" s="21"/>
      <x:c r="G1039" s="16" t="str">
        <x:v>Regional</x:v>
      </x:c>
      <x:c r="H1039" s="36" t="n">
        <x:f>IF(G1039="National",Assumptions!$B$11,IF(G1039="Statewide",Assumptions!$B$12,Assumptions!$B$13))</x:f>
        <x:v>0.85</x:v>
      </x:c>
      <x:c r="I1039" s="21" t="n">
        <x:v>-0.013084265215690172</x:v>
      </x:c>
      <x:c r="J1039" s="21" t="n">
        <x:v>-0.013930465956343285</x:v>
      </x:c>
      <x:c r="K1039" s="21" t="n">
        <x:v>-0.01756094010172604</x:v>
      </x:c>
      <x:c r="L1039" s="36" t="n">
        <x:f>IF(Assumptions!$B$4=2030,I1039,IF(Assumptions!$B$4=2035,J1039,K1039))</x:f>
        <x:v>-0.013930465956343285</x:v>
      </x:c>
      <x:c r="M1039" s="36" t="n">
        <x:f>Assumptions!$B$19</x:f>
        <x:v>-0.04739891965741583</x:v>
      </x:c>
      <x:c r="N1039" s="52" t="n">
        <x:f>H1039*L1039+(1-H1039)*M1039+O1039</x:f>
        <x:v>-0.01895073401150417</x:v>
      </x:c>
      <x:c r="O1039" s="36" t="n">
        <x:f>Assumptions!$B$10</x:f>
        <x:v>0</x:v>
      </x:c>
      <x:c r="P1039" s="54" t="n">
        <x:f>E1039*(1+N1039)</x:f>
        <x:v>20.602034585758414</x:v>
      </x:c>
      <x:c r="Q1039" s="54" t="n">
        <x:f>P1039-E1039</x:f>
        <x:v>-0.39796541424158605</x:v>
      </x:c>
      <x:c r="R1039" s="16" t="str">
        <x:v>No</x:v>
      </x:c>
      <x:c r="S1039" s="56"/>
      <x:c r="T1039" s="56"/>
      <x:c r="U1039" s="40" t="n">
        <x:f>E1039*Assumptions!$B$8</x:f>
        <x:v>17.849999999999998</x:v>
      </x:c>
      <x:c r="V1039" s="40" t="n">
        <x:f>P1039*Assumptions!$B$8</x:f>
        <x:v>17.51172939789465</x:v>
      </x:c>
      <x:c r="W1039" s="54" t="n">
        <x:f>V1039-U1039</x:f>
        <x:v>-0.33827060210534654</x:v>
      </x:c>
      <x:c r="X1039" s="58" t="str">
        <x:f>IF(R1039="No","",W1039*S1039)</x:f>
      </x:c>
      <x:c r="Y1039" s="58" t="str">
        <x:f>IF(R1039="No","",W1039*T1039*Assumptions!$B$9)</x:f>
      </x:c>
      <x:c r="Z1039" s="58" t="str">
        <x:f>IF(R1039="No","",X1039-Y1039)</x:f>
      </x:c>
      <x:c r="AA1039" s="58" t="str">
        <x:f>IF(R1039="No","",MAX(0,-Z1039))</x:f>
      </x:c>
      <x:c r="AB1039" s="52" t="str">
        <x:f>IF(OR(R1039="No",U1039*S1039=0),"",AA1039/(U1039*S1039))</x:f>
      </x:c>
      <x:c r="AC1039" s="54" t="str">
        <x:f>IF(OR(R1039="No",S1039-T1039*Assumptions!$B$9&lt;=0),"",AA1039/(Assumptions!$B$8*(S1039-T1039*Assumptions!$B$9)))</x:f>
      </x:c>
      <x:c r="AD1039" s="52" t="str">
        <x:f>IF(OR(R1039="No",U1039*S1039=0),"",AA1039/(U1039*S1039))</x:f>
      </x:c>
      <x:c r="AE1039" s="50" t="str">
        <x:f>IF(R1039="No","No finance data",IF(AB1039&gt;=10%,"Severe",IF(AB1039&gt;=5%,"High",IF(AB1039&gt;=2%,"Moderate","Low"))))</x:f>
        <x:v>No finance data</x:v>
      </x:c>
      <x:c r="AF1039" s="60"/>
      <x:c r="AG1039" s="60"/>
      <x:c r="AH1039" s="44" t="str">
        <x:v>Undergraduate tuition-contribution proxy only; not an audited total institutional budget.</x:v>
      </x:c>
    </x:row>
    <x:row r="1040">
      <x:c r="A1040" s="16" t="n">
        <x:v>451398</x:v>
      </x:c>
      <x:c r="B1040" s="16" t="str">
        <x:v>Yeshiva Toras Chaim</x:v>
      </x:c>
      <x:c r="C1040" s="16" t="str">
        <x:v>NJ</x:v>
      </x:c>
      <x:c r="D1040" s="16" t="str">
        <x:v>Private nonprofit</x:v>
      </x:c>
      <x:c r="E1040" s="34" t="n">
        <x:v>211</x:v>
      </x:c>
      <x:c r="F1040" s="21"/>
      <x:c r="G1040" s="16" t="str">
        <x:v>Regional</x:v>
      </x:c>
      <x:c r="H1040" s="36" t="n">
        <x:f>IF(G1040="National",Assumptions!$B$11,IF(G1040="Statewide",Assumptions!$B$12,Assumptions!$B$13))</x:f>
        <x:v>0.85</x:v>
      </x:c>
      <x:c r="I1040" s="21" t="n">
        <x:v>-0.013084265215690172</x:v>
      </x:c>
      <x:c r="J1040" s="21" t="n">
        <x:v>-0.013930465956343285</x:v>
      </x:c>
      <x:c r="K1040" s="21" t="n">
        <x:v>-0.01756094010172604</x:v>
      </x:c>
      <x:c r="L1040" s="36" t="n">
        <x:f>IF(Assumptions!$B$4=2030,I1040,IF(Assumptions!$B$4=2035,J1040,K1040))</x:f>
        <x:v>-0.013930465956343285</x:v>
      </x:c>
      <x:c r="M1040" s="36" t="n">
        <x:f>Assumptions!$B$19</x:f>
        <x:v>-0.04739891965741583</x:v>
      </x:c>
      <x:c r="N1040" s="52" t="n">
        <x:f>H1040*L1040+(1-H1040)*M1040+O1040</x:f>
        <x:v>-0.01895073401150417</x:v>
      </x:c>
      <x:c r="O1040" s="36" t="n">
        <x:f>Assumptions!$B$10</x:f>
        <x:v>0</x:v>
      </x:c>
      <x:c r="P1040" s="54" t="n">
        <x:f>E1040*(1+N1040)</x:f>
        <x:v>207.00139512357262</x:v>
      </x:c>
      <x:c r="Q1040" s="54" t="n">
        <x:f>P1040-E1040</x:f>
        <x:v>-3.998604876427379</x:v>
      </x:c>
      <x:c r="R1040" s="16" t="str">
        <x:v>No</x:v>
      </x:c>
      <x:c r="S1040" s="56"/>
      <x:c r="T1040" s="56"/>
      <x:c r="U1040" s="40" t="n">
        <x:f>E1040*Assumptions!$B$8</x:f>
        <x:v>179.35</x:v>
      </x:c>
      <x:c r="V1040" s="40" t="n">
        <x:f>P1040*Assumptions!$B$8</x:f>
        <x:v>175.95118585503673</x:v>
      </x:c>
      <x:c r="W1040" s="54" t="n">
        <x:f>V1040-U1040</x:f>
        <x:v>-3.398814144963268</x:v>
      </x:c>
      <x:c r="X1040" s="58" t="str">
        <x:f>IF(R1040="No","",W1040*S1040)</x:f>
      </x:c>
      <x:c r="Y1040" s="58" t="str">
        <x:f>IF(R1040="No","",W1040*T1040*Assumptions!$B$9)</x:f>
      </x:c>
      <x:c r="Z1040" s="58" t="str">
        <x:f>IF(R1040="No","",X1040-Y1040)</x:f>
      </x:c>
      <x:c r="AA1040" s="58" t="str">
        <x:f>IF(R1040="No","",MAX(0,-Z1040))</x:f>
      </x:c>
      <x:c r="AB1040" s="52" t="str">
        <x:f>IF(OR(R1040="No",U1040*S1040=0),"",AA1040/(U1040*S1040))</x:f>
      </x:c>
      <x:c r="AC1040" s="54" t="str">
        <x:f>IF(OR(R1040="No",S1040-T1040*Assumptions!$B$9&lt;=0),"",AA1040/(Assumptions!$B$8*(S1040-T1040*Assumptions!$B$9)))</x:f>
      </x:c>
      <x:c r="AD1040" s="52" t="str">
        <x:f>IF(OR(R1040="No",U1040*S1040=0),"",AA1040/(U1040*S1040))</x:f>
      </x:c>
      <x:c r="AE1040" s="50" t="str">
        <x:f>IF(R1040="No","No finance data",IF(AB1040&gt;=10%,"Severe",IF(AB1040&gt;=5%,"High",IF(AB1040&gt;=2%,"Moderate","Low"))))</x:f>
        <x:v>No finance data</x:v>
      </x:c>
      <x:c r="AF1040" s="60"/>
      <x:c r="AG1040" s="60"/>
      <x:c r="AH1040" s="44" t="str">
        <x:v>Undergraduate tuition-contribution proxy only; not an audited total institutional budget.</x:v>
      </x:c>
    </x:row>
    <x:row r="1041">
      <x:c r="A1041" s="16" t="n">
        <x:v>481438</x:v>
      </x:c>
      <x:c r="B1041" s="16" t="str">
        <x:v>Yeshiva Yesodei Hatorah</x:v>
      </x:c>
      <x:c r="C1041" s="16" t="str">
        <x:v>NJ</x:v>
      </x:c>
      <x:c r="D1041" s="16" t="str">
        <x:v>Private nonprofit</x:v>
      </x:c>
      <x:c r="E1041" s="34" t="n">
        <x:v>56</x:v>
      </x:c>
      <x:c r="F1041" s="21"/>
      <x:c r="G1041" s="16" t="str">
        <x:v>Regional</x:v>
      </x:c>
      <x:c r="H1041" s="36" t="n">
        <x:f>IF(G1041="National",Assumptions!$B$11,IF(G1041="Statewide",Assumptions!$B$12,Assumptions!$B$13))</x:f>
        <x:v>0.85</x:v>
      </x:c>
      <x:c r="I1041" s="21" t="n">
        <x:v>-0.013084265215690172</x:v>
      </x:c>
      <x:c r="J1041" s="21" t="n">
        <x:v>-0.013930465956343285</x:v>
      </x:c>
      <x:c r="K1041" s="21" t="n">
        <x:v>-0.01756094010172604</x:v>
      </x:c>
      <x:c r="L1041" s="36" t="n">
        <x:f>IF(Assumptions!$B$4=2030,I1041,IF(Assumptions!$B$4=2035,J1041,K1041))</x:f>
        <x:v>-0.013930465956343285</x:v>
      </x:c>
      <x:c r="M1041" s="36" t="n">
        <x:f>Assumptions!$B$19</x:f>
        <x:v>-0.04739891965741583</x:v>
      </x:c>
      <x:c r="N1041" s="52" t="n">
        <x:f>H1041*L1041+(1-H1041)*M1041+O1041</x:f>
        <x:v>-0.01895073401150417</x:v>
      </x:c>
      <x:c r="O1041" s="36" t="n">
        <x:f>Assumptions!$B$10</x:f>
        <x:v>0</x:v>
      </x:c>
      <x:c r="P1041" s="54" t="n">
        <x:f>E1041*(1+N1041)</x:f>
        <x:v>54.93875889535577</x:v>
      </x:c>
      <x:c r="Q1041" s="54" t="n">
        <x:f>P1041-E1041</x:f>
        <x:v>-1.0612411046442318</x:v>
      </x:c>
      <x:c r="R1041" s="16" t="str">
        <x:v>No</x:v>
      </x:c>
      <x:c r="S1041" s="56"/>
      <x:c r="T1041" s="56"/>
      <x:c r="U1041" s="40" t="n">
        <x:f>E1041*Assumptions!$B$8</x:f>
        <x:v>47.6</x:v>
      </x:c>
      <x:c r="V1041" s="40" t="n">
        <x:f>P1041*Assumptions!$B$8</x:f>
        <x:v>46.6979450610524</x:v>
      </x:c>
      <x:c r="W1041" s="54" t="n">
        <x:f>V1041-U1041</x:f>
        <x:v>-0.9020549389476002</x:v>
      </x:c>
      <x:c r="X1041" s="58" t="str">
        <x:f>IF(R1041="No","",W1041*S1041)</x:f>
      </x:c>
      <x:c r="Y1041" s="58" t="str">
        <x:f>IF(R1041="No","",W1041*T1041*Assumptions!$B$9)</x:f>
      </x:c>
      <x:c r="Z1041" s="58" t="str">
        <x:f>IF(R1041="No","",X1041-Y1041)</x:f>
      </x:c>
      <x:c r="AA1041" s="58" t="str">
        <x:f>IF(R1041="No","",MAX(0,-Z1041))</x:f>
      </x:c>
      <x:c r="AB1041" s="52" t="str">
        <x:f>IF(OR(R1041="No",U1041*S1041=0),"",AA1041/(U1041*S1041))</x:f>
      </x:c>
      <x:c r="AC1041" s="54" t="str">
        <x:f>IF(OR(R1041="No",S1041-T1041*Assumptions!$B$9&lt;=0),"",AA1041/(Assumptions!$B$8*(S1041-T1041*Assumptions!$B$9)))</x:f>
      </x:c>
      <x:c r="AD1041" s="52" t="str">
        <x:f>IF(OR(R1041="No",U1041*S1041=0),"",AA1041/(U1041*S1041))</x:f>
      </x:c>
      <x:c r="AE1041" s="50" t="str">
        <x:f>IF(R1041="No","No finance data",IF(AB1041&gt;=10%,"Severe",IF(AB1041&gt;=5%,"High",IF(AB1041&gt;=2%,"Moderate","Low"))))</x:f>
        <x:v>No finance data</x:v>
      </x:c>
      <x:c r="AF1041" s="60"/>
      <x:c r="AG1041" s="60"/>
      <x:c r="AH1041" s="44" t="str">
        <x:v>Undergraduate tuition-contribution proxy only; not an audited total institutional budget.</x:v>
      </x:c>
    </x:row>
    <x:row r="1042">
      <x:c r="A1042" s="16" t="n">
        <x:v>451370</x:v>
      </x:c>
      <x:c r="B1042" s="16" t="str">
        <x:v>Yeshivas Be'er Yitzchok</x:v>
      </x:c>
      <x:c r="C1042" s="16" t="str">
        <x:v>NJ</x:v>
      </x:c>
      <x:c r="D1042" s="16" t="str">
        <x:v>Private nonprofit</x:v>
      </x:c>
      <x:c r="E1042" s="34" t="n">
        <x:v>49</x:v>
      </x:c>
      <x:c r="F1042" s="21"/>
      <x:c r="G1042" s="16" t="str">
        <x:v>Regional</x:v>
      </x:c>
      <x:c r="H1042" s="36" t="n">
        <x:f>IF(G1042="National",Assumptions!$B$11,IF(G1042="Statewide",Assumptions!$B$12,Assumptions!$B$13))</x:f>
        <x:v>0.85</x:v>
      </x:c>
      <x:c r="I1042" s="21" t="n">
        <x:v>-0.013084265215690172</x:v>
      </x:c>
      <x:c r="J1042" s="21" t="n">
        <x:v>-0.013930465956343285</x:v>
      </x:c>
      <x:c r="K1042" s="21" t="n">
        <x:v>-0.01756094010172604</x:v>
      </x:c>
      <x:c r="L1042" s="36" t="n">
        <x:f>IF(Assumptions!$B$4=2030,I1042,IF(Assumptions!$B$4=2035,J1042,K1042))</x:f>
        <x:v>-0.013930465956343285</x:v>
      </x:c>
      <x:c r="M1042" s="36" t="n">
        <x:f>Assumptions!$B$19</x:f>
        <x:v>-0.04739891965741583</x:v>
      </x:c>
      <x:c r="N1042" s="52" t="n">
        <x:f>H1042*L1042+(1-H1042)*M1042+O1042</x:f>
        <x:v>-0.01895073401150417</x:v>
      </x:c>
      <x:c r="O1042" s="36" t="n">
        <x:f>Assumptions!$B$10</x:f>
        <x:v>0</x:v>
      </x:c>
      <x:c r="P1042" s="54" t="n">
        <x:f>E1042*(1+N1042)</x:f>
        <x:v>48.0714140334363</x:v>
      </x:c>
      <x:c r="Q1042" s="54" t="n">
        <x:f>P1042-E1042</x:f>
        <x:v>-0.928585966563702</x:v>
      </x:c>
      <x:c r="R1042" s="16" t="str">
        <x:v>No</x:v>
      </x:c>
      <x:c r="S1042" s="56"/>
      <x:c r="T1042" s="56"/>
      <x:c r="U1042" s="40" t="n">
        <x:f>E1042*Assumptions!$B$8</x:f>
        <x:v>41.65</x:v>
      </x:c>
      <x:c r="V1042" s="40" t="n">
        <x:f>P1042*Assumptions!$B$8</x:f>
        <x:v>40.86070192842085</x:v>
      </x:c>
      <x:c r="W1042" s="54" t="n">
        <x:f>V1042-U1042</x:f>
        <x:v>-0.7892980715791467</x:v>
      </x:c>
      <x:c r="X1042" s="58" t="str">
        <x:f>IF(R1042="No","",W1042*S1042)</x:f>
      </x:c>
      <x:c r="Y1042" s="58" t="str">
        <x:f>IF(R1042="No","",W1042*T1042*Assumptions!$B$9)</x:f>
      </x:c>
      <x:c r="Z1042" s="58" t="str">
        <x:f>IF(R1042="No","",X1042-Y1042)</x:f>
      </x:c>
      <x:c r="AA1042" s="58" t="str">
        <x:f>IF(R1042="No","",MAX(0,-Z1042))</x:f>
      </x:c>
      <x:c r="AB1042" s="52" t="str">
        <x:f>IF(OR(R1042="No",U1042*S1042=0),"",AA1042/(U1042*S1042))</x:f>
      </x:c>
      <x:c r="AC1042" s="54" t="str">
        <x:f>IF(OR(R1042="No",S1042-T1042*Assumptions!$B$9&lt;=0),"",AA1042/(Assumptions!$B$8*(S1042-T1042*Assumptions!$B$9)))</x:f>
      </x:c>
      <x:c r="AD1042" s="52" t="str">
        <x:f>IF(OR(R1042="No",U1042*S1042=0),"",AA1042/(U1042*S1042))</x:f>
      </x:c>
      <x:c r="AE1042" s="50" t="str">
        <x:f>IF(R1042="No","No finance data",IF(AB1042&gt;=10%,"Severe",IF(AB1042&gt;=5%,"High",IF(AB1042&gt;=2%,"Moderate","Low"))))</x:f>
        <x:v>No finance data</x:v>
      </x:c>
      <x:c r="AF1042" s="60"/>
      <x:c r="AG1042" s="60"/>
      <x:c r="AH1042" s="44" t="str">
        <x:v>Undergraduate tuition-contribution proxy only; not an audited total institutional budget.</x:v>
      </x:c>
    </x:row>
    <x:row r="1043">
      <x:c r="A1043" s="16" t="n">
        <x:v>187648</x:v>
      </x:c>
      <x:c r="B1043" s="16" t="str">
        <x:v>Eastern New Mexico University-Main Campus</x:v>
      </x:c>
      <x:c r="C1043" s="16" t="str">
        <x:v>NM</x:v>
      </x:c>
      <x:c r="D1043" s="16" t="str">
        <x:v>Public</x:v>
      </x:c>
      <x:c r="E1043" s="34" t="n">
        <x:v>3627</x:v>
      </x:c>
      <x:c r="F1043" s="21" t="n">
        <x:v>0.325</x:v>
      </x:c>
      <x:c r="G1043" s="16" t="str">
        <x:v>National</x:v>
      </x:c>
      <x:c r="H1043" s="36" t="n">
        <x:f>IF(G1043="National",Assumptions!$B$11,IF(G1043="Statewide",Assumptions!$B$12,Assumptions!$B$13))</x:f>
        <x:v>0.25</x:v>
      </x:c>
      <x:c r="I1043" s="21" t="n">
        <x:v>-0.06894684595253131</x:v>
      </x:c>
      <x:c r="J1043" s="21" t="n">
        <x:v>-0.1234545618626478</x:v>
      </x:c>
      <x:c r="K1043" s="21" t="n">
        <x:v>-0.2282284992329212</x:v>
      </x:c>
      <x:c r="L1043" s="36" t="n">
        <x:f>IF(Assumptions!$B$4=2030,I1043,IF(Assumptions!$B$4=2035,J1043,K1043))</x:f>
        <x:v>-0.1234545618626478</x:v>
      </x:c>
      <x:c r="M1043" s="36" t="n">
        <x:f>Assumptions!$B$19</x:f>
        <x:v>-0.04739891965741583</x:v>
      </x:c>
      <x:c r="N1043" s="52" t="n">
        <x:f>H1043*L1043+(1-H1043)*M1043+O1043</x:f>
        <x:v>-0.06641283020872382</x:v>
      </x:c>
      <x:c r="O1043" s="36" t="n">
        <x:f>Assumptions!$B$10</x:f>
        <x:v>0</x:v>
      </x:c>
      <x:c r="P1043" s="54" t="n">
        <x:f>E1043*(1+N1043)</x:f>
        <x:v>3386.120664832959</x:v>
      </x:c>
      <x:c r="Q1043" s="54" t="n">
        <x:f>P1043-E1043</x:f>
        <x:v>-240.87933516704106</x:v>
      </x:c>
      <x:c r="R1043" s="16" t="str">
        <x:v>Yes</x:v>
      </x:c>
      <x:c r="S1043" s="56" t="n">
        <x:v>5217</x:v>
      </x:c>
      <x:c r="T1043" s="56" t="n">
        <x:v>6333</x:v>
      </x:c>
      <x:c r="U1043" s="40" t="n">
        <x:f>E1043*Assumptions!$B$8</x:f>
        <x:v>3082.95</x:v>
      </x:c>
      <x:c r="V1043" s="40" t="n">
        <x:f>P1043*Assumptions!$B$8</x:f>
        <x:v>2878.202565108015</x:v>
      </x:c>
      <x:c r="W1043" s="54" t="n">
        <x:f>V1043-U1043</x:f>
        <x:v>-204.747434891985</x:v>
      </x:c>
      <x:c r="X1043" s="58" t="n">
        <x:f>IF(R1043="No","",W1043*S1043)</x:f>
        <x:v>-1068167.3678314858</x:v>
      </x:c>
      <x:c r="Y1043" s="58" t="n">
        <x:f>IF(R1043="No","",W1043*T1043*Assumptions!$B$9)</x:f>
        <x:v>-388999.65155128227</x:v>
      </x:c>
      <x:c r="Z1043" s="58" t="n">
        <x:f>IF(R1043="No","",X1043-Y1043)</x:f>
        <x:v>-679167.7162802035</x:v>
      </x:c>
      <x:c r="AA1043" s="58" t="n">
        <x:f>IF(R1043="No","",MAX(0,-Z1043))</x:f>
        <x:v>679167.7162802035</x:v>
      </x:c>
      <x:c r="AB1043" s="52" t="n">
        <x:f>IF(OR(R1043="No",U1043*S1043=0),"",AA1043/(U1043*S1043))</x:f>
        <x:v>0.042226950179290346</x:v>
      </x:c>
      <x:c r="AC1043" s="54" t="n">
        <x:f>IF(OR(R1043="No",S1043-T1043*Assumptions!$B$9&lt;=0),"",AA1043/(Assumptions!$B$8*(S1043-T1043*Assumptions!$B$9)))</x:f>
        <x:v>240.87933516704118</x:v>
      </x:c>
      <x:c r="AD1043" s="52" t="n">
        <x:f>IF(OR(R1043="No",U1043*S1043=0),"",AA1043/(U1043*S1043))</x:f>
        <x:v>0.042226950179290346</x:v>
      </x:c>
      <x:c r="AE1043" s="50" t="str">
        <x:f>IF(R1043="No","No finance data",IF(AB1043&gt;=10%,"Severe",IF(AB1043&gt;=5%,"High",IF(AB1043&gt;=2%,"Moderate","Low"))))</x:f>
        <x:v>Moderate</x:v>
      </x:c>
      <x:c r="AF1043" s="60" t="n">
        <x:v>34.175592</x:v>
      </x:c>
      <x:c r="AG1043" s="60" t="n">
        <x:v>-103.34819</x:v>
      </x:c>
      <x:c r="AH1043" s="44" t="str">
        <x:v>Undergraduate tuition-contribution proxy only; not an audited total institutional budget.</x:v>
      </x:c>
    </x:row>
    <x:row r="1044">
      <x:c r="A1044" s="16" t="n">
        <x:v>187745</x:v>
      </x:c>
      <x:c r="B1044" s="16" t="str">
        <x:v>Institute of American Indian and Alaska Native Culture and Arts Development</x:v>
      </x:c>
      <x:c r="C1044" s="16" t="str">
        <x:v>NM</x:v>
      </x:c>
      <x:c r="D1044" s="16" t="str">
        <x:v>Public</x:v>
      </x:c>
      <x:c r="E1044" s="34" t="n">
        <x:v>263</x:v>
      </x:c>
      <x:c r="F1044" s="21"/>
      <x:c r="G1044" s="16" t="str">
        <x:v>Regional</x:v>
      </x:c>
      <x:c r="H1044" s="36" t="n">
        <x:f>IF(G1044="National",Assumptions!$B$11,IF(G1044="Statewide",Assumptions!$B$12,Assumptions!$B$13))</x:f>
        <x:v>0.85</x:v>
      </x:c>
      <x:c r="I1044" s="21" t="n">
        <x:v>-0.06894684595253131</x:v>
      </x:c>
      <x:c r="J1044" s="21" t="n">
        <x:v>-0.1234545618626478</x:v>
      </x:c>
      <x:c r="K1044" s="21" t="n">
        <x:v>-0.2282284992329212</x:v>
      </x:c>
      <x:c r="L1044" s="36" t="n">
        <x:f>IF(Assumptions!$B$4=2030,I1044,IF(Assumptions!$B$4=2035,J1044,K1044))</x:f>
        <x:v>-0.1234545618626478</x:v>
      </x:c>
      <x:c r="M1044" s="36" t="n">
        <x:f>Assumptions!$B$19</x:f>
        <x:v>-0.04739891965741583</x:v>
      </x:c>
      <x:c r="N1044" s="52" t="n">
        <x:f>H1044*L1044+(1-H1044)*M1044+O1044</x:f>
        <x:v>-0.112046215531863</x:v>
      </x:c>
      <x:c r="O1044" s="36" t="n">
        <x:f>Assumptions!$B$10</x:f>
        <x:v>0</x:v>
      </x:c>
      <x:c r="P1044" s="54" t="n">
        <x:f>E1044*(1+N1044)</x:f>
        <x:v>233.53184531512002</x:v>
      </x:c>
      <x:c r="Q1044" s="54" t="n">
        <x:f>P1044-E1044</x:f>
        <x:v>-29.468154684879977</x:v>
      </x:c>
      <x:c r="R1044" s="16" t="str">
        <x:v>No</x:v>
      </x:c>
      <x:c r="S1044" s="56"/>
      <x:c r="T1044" s="56"/>
      <x:c r="U1044" s="40" t="n">
        <x:f>E1044*Assumptions!$B$8</x:f>
        <x:v>223.54999999999998</x:v>
      </x:c>
      <x:c r="V1044" s="40" t="n">
        <x:f>P1044*Assumptions!$B$8</x:f>
        <x:v>198.50206851785202</x:v>
      </x:c>
      <x:c r="W1044" s="54" t="n">
        <x:f>V1044-U1044</x:f>
        <x:v>-25.04793148214796</x:v>
      </x:c>
      <x:c r="X1044" s="58" t="str">
        <x:f>IF(R1044="No","",W1044*S1044)</x:f>
      </x:c>
      <x:c r="Y1044" s="58" t="str">
        <x:f>IF(R1044="No","",W1044*T1044*Assumptions!$B$9)</x:f>
      </x:c>
      <x:c r="Z1044" s="58" t="str">
        <x:f>IF(R1044="No","",X1044-Y1044)</x:f>
      </x:c>
      <x:c r="AA1044" s="58" t="str">
        <x:f>IF(R1044="No","",MAX(0,-Z1044))</x:f>
      </x:c>
      <x:c r="AB1044" s="52" t="str">
        <x:f>IF(OR(R1044="No",U1044*S1044=0),"",AA1044/(U1044*S1044))</x:f>
      </x:c>
      <x:c r="AC1044" s="54" t="str">
        <x:f>IF(OR(R1044="No",S1044-T1044*Assumptions!$B$9&lt;=0),"",AA1044/(Assumptions!$B$8*(S1044-T1044*Assumptions!$B$9)))</x:f>
      </x:c>
      <x:c r="AD1044" s="52" t="str">
        <x:f>IF(OR(R1044="No",U1044*S1044=0),"",AA1044/(U1044*S1044))</x:f>
      </x:c>
      <x:c r="AE1044" s="50" t="str">
        <x:f>IF(R1044="No","No finance data",IF(AB1044&gt;=10%,"Severe",IF(AB1044&gt;=5%,"High",IF(AB1044&gt;=2%,"Moderate","Low"))))</x:f>
        <x:v>No finance data</x:v>
      </x:c>
      <x:c r="AF1044" s="60"/>
      <x:c r="AG1044" s="60"/>
      <x:c r="AH1044" s="44" t="str">
        <x:v>Undergraduate tuition-contribution proxy only; not an audited total institutional budget.</x:v>
      </x:c>
    </x:row>
    <x:row r="1045">
      <x:c r="A1045" s="16" t="n">
        <x:v>187897</x:v>
      </x:c>
      <x:c r="B1045" s="16" t="str">
        <x:v>New Mexico Highlands University</x:v>
      </x:c>
      <x:c r="C1045" s="16" t="str">
        <x:v>NM</x:v>
      </x:c>
      <x:c r="D1045" s="16" t="str">
        <x:v>Public</x:v>
      </x:c>
      <x:c r="E1045" s="34" t="n">
        <x:v>2128</x:v>
      </x:c>
      <x:c r="F1045" s="21"/>
      <x:c r="G1045" s="16" t="str">
        <x:v>Regional</x:v>
      </x:c>
      <x:c r="H1045" s="36" t="n">
        <x:f>IF(G1045="National",Assumptions!$B$11,IF(G1045="Statewide",Assumptions!$B$12,Assumptions!$B$13))</x:f>
        <x:v>0.85</x:v>
      </x:c>
      <x:c r="I1045" s="21" t="n">
        <x:v>-0.06894684595253131</x:v>
      </x:c>
      <x:c r="J1045" s="21" t="n">
        <x:v>-0.1234545618626478</x:v>
      </x:c>
      <x:c r="K1045" s="21" t="n">
        <x:v>-0.2282284992329212</x:v>
      </x:c>
      <x:c r="L1045" s="36" t="n">
        <x:f>IF(Assumptions!$B$4=2030,I1045,IF(Assumptions!$B$4=2035,J1045,K1045))</x:f>
        <x:v>-0.1234545618626478</x:v>
      </x:c>
      <x:c r="M1045" s="36" t="n">
        <x:f>Assumptions!$B$19</x:f>
        <x:v>-0.04739891965741583</x:v>
      </x:c>
      <x:c r="N1045" s="52" t="n">
        <x:f>H1045*L1045+(1-H1045)*M1045+O1045</x:f>
        <x:v>-0.112046215531863</x:v>
      </x:c>
      <x:c r="O1045" s="36" t="n">
        <x:f>Assumptions!$B$10</x:f>
        <x:v>0</x:v>
      </x:c>
      <x:c r="P1045" s="54" t="n">
        <x:f>E1045*(1+N1045)</x:f>
        <x:v>1889.5656533481956</x:v>
      </x:c>
      <x:c r="Q1045" s="54" t="n">
        <x:f>P1045-E1045</x:f>
        <x:v>-238.4343466518044</x:v>
      </x:c>
      <x:c r="R1045" s="16" t="str">
        <x:v>Yes</x:v>
      </x:c>
      <x:c r="S1045" s="56" t="n">
        <x:v>7064</x:v>
      </x:c>
      <x:c r="T1045" s="56" t="n">
        <x:v>10714</x:v>
      </x:c>
      <x:c r="U1045" s="40" t="n">
        <x:f>E1045*Assumptions!$B$8</x:f>
        <x:v>1808.8</x:v>
      </x:c>
      <x:c r="V1045" s="40" t="n">
        <x:f>P1045*Assumptions!$B$8</x:f>
        <x:v>1606.1308053459663</x:v>
      </x:c>
      <x:c r="W1045" s="54" t="n">
        <x:f>V1045-U1045</x:f>
        <x:v>-202.66919465403362</x:v>
      </x:c>
      <x:c r="X1045" s="58" t="n">
        <x:f>IF(R1045="No","",W1045*S1045)</x:f>
        <x:v>-1431655.1910360935</x:v>
      </x:c>
      <x:c r="Y1045" s="58" t="n">
        <x:f>IF(R1045="No","",W1045*T1045*Assumptions!$B$9)</x:f>
        <x:v>-651419.3254569949</x:v>
      </x:c>
      <x:c r="Z1045" s="58" t="n">
        <x:f>IF(R1045="No","",X1045-Y1045)</x:f>
        <x:v>-780235.8655790986</x:v>
      </x:c>
      <x:c r="AA1045" s="58" t="n">
        <x:f>IF(R1045="No","",MAX(0,-Z1045))</x:f>
        <x:v>780235.8655790986</x:v>
      </x:c>
      <x:c r="AB1045" s="52" t="n">
        <x:f>IF(OR(R1045="No",U1045*S1045=0),"",AA1045/(U1045*S1045))</x:f>
        <x:v>0.061063918538302064</x:v>
      </x:c>
      <x:c r="AC1045" s="54" t="n">
        <x:f>IF(OR(R1045="No",S1045-T1045*Assumptions!$B$9&lt;=0),"",AA1045/(Assumptions!$B$8*(S1045-T1045*Assumptions!$B$9)))</x:f>
        <x:v>238.43434665180425</x:v>
      </x:c>
      <x:c r="AD1045" s="52" t="n">
        <x:f>IF(OR(R1045="No",U1045*S1045=0),"",AA1045/(U1045*S1045))</x:f>
        <x:v>0.061063918538302064</x:v>
      </x:c>
      <x:c r="AE1045" s="50" t="str">
        <x:f>IF(R1045="No","No finance data",IF(AB1045&gt;=10%,"Severe",IF(AB1045&gt;=5%,"High",IF(AB1045&gt;=2%,"Moderate","Low"))))</x:f>
        <x:v>High</x:v>
      </x:c>
      <x:c r="AF1045" s="60" t="n">
        <x:v>35.596233</x:v>
      </x:c>
      <x:c r="AG1045" s="60" t="n">
        <x:v>-105.219197</x:v>
      </x:c>
      <x:c r="AH1045" s="44" t="str">
        <x:v>Undergraduate tuition-contribution proxy only; not an audited total institutional budget.</x:v>
      </x:c>
    </x:row>
    <x:row r="1046">
      <x:c r="A1046" s="16" t="n">
        <x:v>187967</x:v>
      </x:c>
      <x:c r="B1046" s="16" t="str">
        <x:v>New Mexico Institute of Mining and Technology</x:v>
      </x:c>
      <x:c r="C1046" s="16" t="str">
        <x:v>NM</x:v>
      </x:c>
      <x:c r="D1046" s="16" t="str">
        <x:v>Public</x:v>
      </x:c>
      <x:c r="E1046" s="34" t="n">
        <x:v>1502</x:v>
      </x:c>
      <x:c r="F1046" s="21" t="n">
        <x:v>0.9672</x:v>
      </x:c>
      <x:c r="G1046" s="16" t="str">
        <x:v>Regional</x:v>
      </x:c>
      <x:c r="H1046" s="36" t="n">
        <x:f>IF(G1046="National",Assumptions!$B$11,IF(G1046="Statewide",Assumptions!$B$12,Assumptions!$B$13))</x:f>
        <x:v>0.85</x:v>
      </x:c>
      <x:c r="I1046" s="21" t="n">
        <x:v>-0.06894684595253131</x:v>
      </x:c>
      <x:c r="J1046" s="21" t="n">
        <x:v>-0.1234545618626478</x:v>
      </x:c>
      <x:c r="K1046" s="21" t="n">
        <x:v>-0.2282284992329212</x:v>
      </x:c>
      <x:c r="L1046" s="36" t="n">
        <x:f>IF(Assumptions!$B$4=2030,I1046,IF(Assumptions!$B$4=2035,J1046,K1046))</x:f>
        <x:v>-0.1234545618626478</x:v>
      </x:c>
      <x:c r="M1046" s="36" t="n">
        <x:f>Assumptions!$B$19</x:f>
        <x:v>-0.04739891965741583</x:v>
      </x:c>
      <x:c r="N1046" s="52" t="n">
        <x:f>H1046*L1046+(1-H1046)*M1046+O1046</x:f>
        <x:v>-0.112046215531863</x:v>
      </x:c>
      <x:c r="O1046" s="36" t="n">
        <x:f>Assumptions!$B$10</x:f>
        <x:v>0</x:v>
      </x:c>
      <x:c r="P1046" s="54" t="n">
        <x:f>E1046*(1+N1046)</x:f>
        <x:v>1333.7065842711418</x:v>
      </x:c>
      <x:c r="Q1046" s="54" t="n">
        <x:f>P1046-E1046</x:f>
        <x:v>-168.29341572885824</x:v>
      </x:c>
      <x:c r="R1046" s="16" t="str">
        <x:v>Yes</x:v>
      </x:c>
      <x:c r="S1046" s="56" t="n">
        <x:v>6489</x:v>
      </x:c>
      <x:c r="T1046" s="56" t="n">
        <x:v>11883</x:v>
      </x:c>
      <x:c r="U1046" s="40" t="n">
        <x:f>E1046*Assumptions!$B$8</x:f>
        <x:v>1276.7</x:v>
      </x:c>
      <x:c r="V1046" s="40" t="n">
        <x:f>P1046*Assumptions!$B$8</x:f>
        <x:v>1133.6505966304705</x:v>
      </x:c>
      <x:c r="W1046" s="54" t="n">
        <x:f>V1046-U1046</x:f>
        <x:v>-143.0494033695295</x:v>
      </x:c>
      <x:c r="X1046" s="58" t="n">
        <x:f>IF(R1046="No","",W1046*S1046)</x:f>
        <x:v>-928247.578464877</x:v>
      </x:c>
      <x:c r="Y1046" s="58" t="n">
        <x:f>IF(R1046="No","",W1046*T1046*Assumptions!$B$9)</x:f>
        <x:v>-509956.8180720357</x:v>
      </x:c>
      <x:c r="Z1046" s="58" t="n">
        <x:f>IF(R1046="No","",X1046-Y1046)</x:f>
        <x:v>-418290.7603928413</x:v>
      </x:c>
      <x:c r="AA1046" s="58" t="n">
        <x:f>IF(R1046="No","",MAX(0,-Z1046))</x:f>
        <x:v>418290.7603928413</x:v>
      </x:c>
      <x:c r="AB1046" s="52" t="n">
        <x:f>IF(OR(R1046="No",U1046*S1046=0),"",AA1046/(U1046*S1046))</x:f>
        <x:v>0.050490728746605124</x:v>
      </x:c>
      <x:c r="AC1046" s="54" t="n">
        <x:f>IF(OR(R1046="No",S1046-T1046*Assumptions!$B$9&lt;=0),"",AA1046/(Assumptions!$B$8*(S1046-T1046*Assumptions!$B$9)))</x:f>
        <x:v>168.2934157288583</x:v>
      </x:c>
      <x:c r="AD1046" s="52" t="n">
        <x:f>IF(OR(R1046="No",U1046*S1046=0),"",AA1046/(U1046*S1046))</x:f>
        <x:v>0.050490728746605124</x:v>
      </x:c>
      <x:c r="AE1046" s="50" t="str">
        <x:f>IF(R1046="No","No finance data",IF(AB1046&gt;=10%,"Severe",IF(AB1046&gt;=5%,"High",IF(AB1046&gt;=2%,"Moderate","Low"))))</x:f>
        <x:v>High</x:v>
      </x:c>
      <x:c r="AF1046" s="60" t="n">
        <x:v>34.067041</x:v>
      </x:c>
      <x:c r="AG1046" s="60" t="n">
        <x:v>-106.905211</x:v>
      </x:c>
      <x:c r="AH1046" s="44" t="str">
        <x:v>Undergraduate tuition-contribution proxy only; not an audited total institutional budget.</x:v>
      </x:c>
    </x:row>
    <x:row r="1047">
      <x:c r="A1047" s="16" t="n">
        <x:v>188030</x:v>
      </x:c>
      <x:c r="B1047" s="16" t="str">
        <x:v>New Mexico State University-Main Campus</x:v>
      </x:c>
      <x:c r="C1047" s="16" t="str">
        <x:v>NM</x:v>
      </x:c>
      <x:c r="D1047" s="16" t="str">
        <x:v>Public</x:v>
      </x:c>
      <x:c r="E1047" s="34" t="n">
        <x:v>11887</x:v>
      </x:c>
      <x:c r="F1047" s="21" t="n">
        <x:v>0.5726</x:v>
      </x:c>
      <x:c r="G1047" s="16" t="str">
        <x:v>Statewide</x:v>
      </x:c>
      <x:c r="H1047" s="36" t="n">
        <x:f>IF(G1047="National",Assumptions!$B$11,IF(G1047="Statewide",Assumptions!$B$12,Assumptions!$B$13))</x:f>
        <x:v>0.6</x:v>
      </x:c>
      <x:c r="I1047" s="21" t="n">
        <x:v>-0.06894684595253131</x:v>
      </x:c>
      <x:c r="J1047" s="21" t="n">
        <x:v>-0.1234545618626478</x:v>
      </x:c>
      <x:c r="K1047" s="21" t="n">
        <x:v>-0.2282284992329212</x:v>
      </x:c>
      <x:c r="L1047" s="36" t="n">
        <x:f>IF(Assumptions!$B$4=2030,I1047,IF(Assumptions!$B$4=2035,J1047,K1047))</x:f>
        <x:v>-0.1234545618626478</x:v>
      </x:c>
      <x:c r="M1047" s="36" t="n">
        <x:f>Assumptions!$B$19</x:f>
        <x:v>-0.04739891965741583</x:v>
      </x:c>
      <x:c r="N1047" s="52" t="n">
        <x:f>H1047*L1047+(1-H1047)*M1047+O1047</x:f>
        <x:v>-0.09303230498055501</x:v>
      </x:c>
      <x:c r="O1047" s="36" t="n">
        <x:f>Assumptions!$B$10</x:f>
        <x:v>0</x:v>
      </x:c>
      <x:c r="P1047" s="54" t="n">
        <x:f>E1047*(1+N1047)</x:f>
        <x:v>10781.124990696142</x:v>
      </x:c>
      <x:c r="Q1047" s="54" t="n">
        <x:f>P1047-E1047</x:f>
        <x:v>-1105.875009303858</x:v>
      </x:c>
      <x:c r="R1047" s="16" t="str">
        <x:v>Yes</x:v>
      </x:c>
      <x:c r="S1047" s="56" t="n">
        <x:v>5174</x:v>
      </x:c>
      <x:c r="T1047" s="56" t="n">
        <x:v>9222</x:v>
      </x:c>
      <x:c r="U1047" s="40" t="n">
        <x:f>E1047*Assumptions!$B$8</x:f>
        <x:v>10103.949999999999</x:v>
      </x:c>
      <x:c r="V1047" s="40" t="n">
        <x:f>P1047*Assumptions!$B$8</x:f>
        <x:v>9163.956242091721</x:v>
      </x:c>
      <x:c r="W1047" s="54" t="n">
        <x:f>V1047-U1047</x:f>
        <x:v>-939.993757908278</x:v>
      </x:c>
      <x:c r="X1047" s="58" t="n">
        <x:f>IF(R1047="No","",W1047*S1047)</x:f>
        <x:v>-4863527.703417431</x:v>
      </x:c>
      <x:c r="Y1047" s="58" t="n">
        <x:f>IF(R1047="No","",W1047*T1047*Assumptions!$B$9)</x:f>
        <x:v>-2600586.730629042</x:v>
      </x:c>
      <x:c r="Z1047" s="58" t="n">
        <x:f>IF(R1047="No","",X1047-Y1047)</x:f>
        <x:v>-2262940.972788389</x:v>
      </x:c>
      <x:c r="AA1047" s="58" t="n">
        <x:f>IF(R1047="No","",MAX(0,-Z1047))</x:f>
        <x:v>2262940.972788389</x:v>
      </x:c>
      <x:c r="AB1047" s="52" t="n">
        <x:f>IF(OR(R1047="No",U1047*S1047=0),"",AA1047/(U1047*S1047))</x:f>
        <x:v>0.04328681310595052</x:v>
      </x:c>
      <x:c r="AC1047" s="54" t="n">
        <x:f>IF(OR(R1047="No",S1047-T1047*Assumptions!$B$9&lt;=0),"",AA1047/(Assumptions!$B$8*(S1047-T1047*Assumptions!$B$9)))</x:f>
        <x:v>1105.8750093038566</x:v>
      </x:c>
      <x:c r="AD1047" s="52" t="n">
        <x:f>IF(OR(R1047="No",U1047*S1047=0),"",AA1047/(U1047*S1047))</x:f>
        <x:v>0.04328681310595052</x:v>
      </x:c>
      <x:c r="AE1047" s="50" t="str">
        <x:f>IF(R1047="No","No finance data",IF(AB1047&gt;=10%,"Severe",IF(AB1047&gt;=5%,"High",IF(AB1047&gt;=2%,"Moderate","Low"))))</x:f>
        <x:v>Moderate</x:v>
      </x:c>
      <x:c r="AF1047" s="60" t="n">
        <x:v>32.281568</x:v>
      </x:c>
      <x:c r="AG1047" s="60" t="n">
        <x:v>-106.752069</x:v>
      </x:c>
      <x:c r="AH1047" s="44" t="str">
        <x:v>Undergraduate tuition-contribution proxy only; not an audited total institutional budget.</x:v>
      </x:c>
    </x:row>
    <x:row r="1048">
      <x:c r="A1048" s="16" t="n">
        <x:v>245652</x:v>
      </x:c>
      <x:c r="B1048" s="16" t="str">
        <x:v>St. John's College</x:v>
      </x:c>
      <x:c r="C1048" s="16" t="str">
        <x:v>NM</x:v>
      </x:c>
      <x:c r="D1048" s="16" t="str">
        <x:v>Private nonprofit</x:v>
      </x:c>
      <x:c r="E1048" s="34" t="n">
        <x:v>324</x:v>
      </x:c>
      <x:c r="F1048" s="21"/>
      <x:c r="G1048" s="16" t="str">
        <x:v>Regional</x:v>
      </x:c>
      <x:c r="H1048" s="36" t="n">
        <x:f>IF(G1048="National",Assumptions!$B$11,IF(G1048="Statewide",Assumptions!$B$12,Assumptions!$B$13))</x:f>
        <x:v>0.85</x:v>
      </x:c>
      <x:c r="I1048" s="21" t="n">
        <x:v>-0.06894684595253131</x:v>
      </x:c>
      <x:c r="J1048" s="21" t="n">
        <x:v>-0.1234545618626478</x:v>
      </x:c>
      <x:c r="K1048" s="21" t="n">
        <x:v>-0.2282284992329212</x:v>
      </x:c>
      <x:c r="L1048" s="36" t="n">
        <x:f>IF(Assumptions!$B$4=2030,I1048,IF(Assumptions!$B$4=2035,J1048,K1048))</x:f>
        <x:v>-0.1234545618626478</x:v>
      </x:c>
      <x:c r="M1048" s="36" t="n">
        <x:f>Assumptions!$B$19</x:f>
        <x:v>-0.04739891965741583</x:v>
      </x:c>
      <x:c r="N1048" s="52" t="n">
        <x:f>H1048*L1048+(1-H1048)*M1048+O1048</x:f>
        <x:v>-0.112046215531863</x:v>
      </x:c>
      <x:c r="O1048" s="36" t="n">
        <x:f>Assumptions!$B$10</x:f>
        <x:v>0</x:v>
      </x:c>
      <x:c r="P1048" s="54" t="n">
        <x:f>E1048*(1+N1048)</x:f>
        <x:v>287.69702616767637</x:v>
      </x:c>
      <x:c r="Q1048" s="54" t="n">
        <x:f>P1048-E1048</x:f>
        <x:v>-36.30297383232363</x:v>
      </x:c>
      <x:c r="R1048" s="16" t="str">
        <x:v>No</x:v>
      </x:c>
      <x:c r="S1048" s="56"/>
      <x:c r="T1048" s="56"/>
      <x:c r="U1048" s="40" t="n">
        <x:f>E1048*Assumptions!$B$8</x:f>
        <x:v>275.4</x:v>
      </x:c>
      <x:c r="V1048" s="40" t="n">
        <x:f>P1048*Assumptions!$B$8</x:f>
        <x:v>244.5424722425249</x:v>
      </x:c>
      <x:c r="W1048" s="54" t="n">
        <x:f>V1048-U1048</x:f>
        <x:v>-30.857527757475083</x:v>
      </x:c>
      <x:c r="X1048" s="58" t="str">
        <x:f>IF(R1048="No","",W1048*S1048)</x:f>
      </x:c>
      <x:c r="Y1048" s="58" t="str">
        <x:f>IF(R1048="No","",W1048*T1048*Assumptions!$B$9)</x:f>
      </x:c>
      <x:c r="Z1048" s="58" t="str">
        <x:f>IF(R1048="No","",X1048-Y1048)</x:f>
      </x:c>
      <x:c r="AA1048" s="58" t="str">
        <x:f>IF(R1048="No","",MAX(0,-Z1048))</x:f>
      </x:c>
      <x:c r="AB1048" s="52" t="str">
        <x:f>IF(OR(R1048="No",U1048*S1048=0),"",AA1048/(U1048*S1048))</x:f>
      </x:c>
      <x:c r="AC1048" s="54" t="str">
        <x:f>IF(OR(R1048="No",S1048-T1048*Assumptions!$B$9&lt;=0),"",AA1048/(Assumptions!$B$8*(S1048-T1048*Assumptions!$B$9)))</x:f>
      </x:c>
      <x:c r="AD1048" s="52" t="str">
        <x:f>IF(OR(R1048="No",U1048*S1048=0),"",AA1048/(U1048*S1048))</x:f>
      </x:c>
      <x:c r="AE1048" s="50" t="str">
        <x:f>IF(R1048="No","No finance data",IF(AB1048&gt;=10%,"Severe",IF(AB1048&gt;=5%,"High",IF(AB1048&gt;=2%,"Moderate","Low"))))</x:f>
        <x:v>No finance data</x:v>
      </x:c>
      <x:c r="AF1048" s="60"/>
      <x:c r="AG1048" s="60"/>
      <x:c r="AH1048" s="44" t="str">
        <x:v>Undergraduate tuition-contribution proxy only; not an audited total institutional budget.</x:v>
      </x:c>
    </x:row>
    <x:row r="1049">
      <x:c r="A1049" s="16" t="n">
        <x:v>187985</x:v>
      </x:c>
      <x:c r="B1049" s="16" t="str">
        <x:v>University of New Mexico-Main Campus</x:v>
      </x:c>
      <x:c r="C1049" s="16" t="str">
        <x:v>NM</x:v>
      </x:c>
      <x:c r="D1049" s="16" t="str">
        <x:v>Public</x:v>
      </x:c>
      <x:c r="E1049" s="34" t="n">
        <x:v>19886</x:v>
      </x:c>
      <x:c r="F1049" s="21" t="n">
        <x:v>0.9727</x:v>
      </x:c>
      <x:c r="G1049" s="16" t="str">
        <x:v>Statewide</x:v>
      </x:c>
      <x:c r="H1049" s="36" t="n">
        <x:f>IF(G1049="National",Assumptions!$B$11,IF(G1049="Statewide",Assumptions!$B$12,Assumptions!$B$13))</x:f>
        <x:v>0.6</x:v>
      </x:c>
      <x:c r="I1049" s="21" t="n">
        <x:v>-0.06894684595253131</x:v>
      </x:c>
      <x:c r="J1049" s="21" t="n">
        <x:v>-0.1234545618626478</x:v>
      </x:c>
      <x:c r="K1049" s="21" t="n">
        <x:v>-0.2282284992329212</x:v>
      </x:c>
      <x:c r="L1049" s="36" t="n">
        <x:f>IF(Assumptions!$B$4=2030,I1049,IF(Assumptions!$B$4=2035,J1049,K1049))</x:f>
        <x:v>-0.1234545618626478</x:v>
      </x:c>
      <x:c r="M1049" s="36" t="n">
        <x:f>Assumptions!$B$19</x:f>
        <x:v>-0.04739891965741583</x:v>
      </x:c>
      <x:c r="N1049" s="52" t="n">
        <x:f>H1049*L1049+(1-H1049)*M1049+O1049</x:f>
        <x:v>-0.09303230498055501</x:v>
      </x:c>
      <x:c r="O1049" s="36" t="n">
        <x:f>Assumptions!$B$10</x:f>
        <x:v>0</x:v>
      </x:c>
      <x:c r="P1049" s="54" t="n">
        <x:f>E1049*(1+N1049)</x:f>
        <x:v>18035.959583156684</x:v>
      </x:c>
      <x:c r="Q1049" s="54" t="n">
        <x:f>P1049-E1049</x:f>
        <x:v>-1850.040416843316</x:v>
      </x:c>
      <x:c r="R1049" s="16" t="str">
        <x:v>Yes</x:v>
      </x:c>
      <x:c r="S1049" s="56" t="n">
        <x:v>6811</x:v>
      </x:c>
      <x:c r="T1049" s="56" t="n">
        <x:v>13263</x:v>
      </x:c>
      <x:c r="U1049" s="40" t="n">
        <x:f>E1049*Assumptions!$B$8</x:f>
        <x:v>16903.1</x:v>
      </x:c>
      <x:c r="V1049" s="40" t="n">
        <x:f>P1049*Assumptions!$B$8</x:f>
        <x:v>15330.56564568318</x:v>
      </x:c>
      <x:c r="W1049" s="54" t="n">
        <x:f>V1049-U1049</x:f>
        <x:v>-1572.5343543168183</x:v>
      </x:c>
      <x:c r="X1049" s="58" t="n">
        <x:f>IF(R1049="No","",W1049*S1049)</x:f>
        <x:v>-10710531.48725185</x:v>
      </x:c>
      <x:c r="Y1049" s="58" t="n">
        <x:f>IF(R1049="No","",W1049*T1049*Assumptions!$B$9)</x:f>
        <x:v>-6256956.942391188</x:v>
      </x:c>
      <x:c r="Z1049" s="58" t="n">
        <x:f>IF(R1049="No","",X1049-Y1049)</x:f>
        <x:v>-4453574.544860662</x:v>
      </x:c>
      <x:c r="AA1049" s="58" t="n">
        <x:f>IF(R1049="No","",MAX(0,-Z1049))</x:f>
        <x:v>4453574.544860662</x:v>
      </x:c>
      <x:c r="AB1049" s="52" t="n">
        <x:f>IF(OR(R1049="No",U1049*S1049=0),"",AA1049/(U1049*S1049))</x:f>
        <x:v>0.03868400982754804</x:v>
      </x:c>
      <x:c r="AC1049" s="54" t="n">
        <x:f>IF(OR(R1049="No",S1049-T1049*Assumptions!$B$9&lt;=0),"",AA1049/(Assumptions!$B$8*(S1049-T1049*Assumptions!$B$9)))</x:f>
        <x:v>1850.0404168433158</x:v>
      </x:c>
      <x:c r="AD1049" s="52" t="n">
        <x:f>IF(OR(R1049="No",U1049*S1049=0),"",AA1049/(U1049*S1049))</x:f>
        <x:v>0.03868400982754804</x:v>
      </x:c>
      <x:c r="AE1049" s="50" t="str">
        <x:f>IF(R1049="No","No finance data",IF(AB1049&gt;=10%,"Severe",IF(AB1049&gt;=5%,"High",IF(AB1049&gt;=2%,"Moderate","Low"))))</x:f>
        <x:v>Moderate</x:v>
      </x:c>
      <x:c r="AF1049" s="60" t="n">
        <x:v>35.083868</x:v>
      </x:c>
      <x:c r="AG1049" s="60" t="n">
        <x:v>-106.620155</x:v>
      </x:c>
      <x:c r="AH1049" s="44" t="str">
        <x:v>Undergraduate tuition-contribution proxy only; not an audited total institutional budget.</x:v>
      </x:c>
    </x:row>
    <x:row r="1050">
      <x:c r="A1050" s="16" t="n">
        <x:v>188182</x:v>
      </x:c>
      <x:c r="B1050" s="16" t="str">
        <x:v>University of the Southwest</x:v>
      </x:c>
      <x:c r="C1050" s="16" t="str">
        <x:v>NM</x:v>
      </x:c>
      <x:c r="D1050" s="16" t="str">
        <x:v>Private nonprofit</x:v>
      </x:c>
      <x:c r="E1050" s="34" t="n">
        <x:v>446</x:v>
      </x:c>
      <x:c r="F1050" s="21"/>
      <x:c r="G1050" s="16" t="str">
        <x:v>Regional</x:v>
      </x:c>
      <x:c r="H1050" s="36" t="n">
        <x:f>IF(G1050="National",Assumptions!$B$11,IF(G1050="Statewide",Assumptions!$B$12,Assumptions!$B$13))</x:f>
        <x:v>0.85</x:v>
      </x:c>
      <x:c r="I1050" s="21" t="n">
        <x:v>-0.06894684595253131</x:v>
      </x:c>
      <x:c r="J1050" s="21" t="n">
        <x:v>-0.1234545618626478</x:v>
      </x:c>
      <x:c r="K1050" s="21" t="n">
        <x:v>-0.2282284992329212</x:v>
      </x:c>
      <x:c r="L1050" s="36" t="n">
        <x:f>IF(Assumptions!$B$4=2030,I1050,IF(Assumptions!$B$4=2035,J1050,K1050))</x:f>
        <x:v>-0.1234545618626478</x:v>
      </x:c>
      <x:c r="M1050" s="36" t="n">
        <x:f>Assumptions!$B$19</x:f>
        <x:v>-0.04739891965741583</x:v>
      </x:c>
      <x:c r="N1050" s="52" t="n">
        <x:f>H1050*L1050+(1-H1050)*M1050+O1050</x:f>
        <x:v>-0.112046215531863</x:v>
      </x:c>
      <x:c r="O1050" s="36" t="n">
        <x:f>Assumptions!$B$10</x:f>
        <x:v>0</x:v>
      </x:c>
      <x:c r="P1050" s="54" t="n">
        <x:f>E1050*(1+N1050)</x:f>
        <x:v>396.0273878727891</x:v>
      </x:c>
      <x:c r="Q1050" s="54" t="n">
        <x:f>P1050-E1050</x:f>
        <x:v>-49.97261212721088</x:v>
      </x:c>
      <x:c r="R1050" s="16" t="str">
        <x:v>No</x:v>
      </x:c>
      <x:c r="S1050" s="56"/>
      <x:c r="T1050" s="56"/>
      <x:c r="U1050" s="40" t="n">
        <x:f>E1050*Assumptions!$B$8</x:f>
        <x:v>379.09999999999997</x:v>
      </x:c>
      <x:c r="V1050" s="40" t="n">
        <x:f>P1050*Assumptions!$B$8</x:f>
        <x:v>336.6232796918707</x:v>
      </x:c>
      <x:c r="W1050" s="54" t="n">
        <x:f>V1050-U1050</x:f>
        <x:v>-42.476720308129245</x:v>
      </x:c>
      <x:c r="X1050" s="58" t="str">
        <x:f>IF(R1050="No","",W1050*S1050)</x:f>
      </x:c>
      <x:c r="Y1050" s="58" t="str">
        <x:f>IF(R1050="No","",W1050*T1050*Assumptions!$B$9)</x:f>
      </x:c>
      <x:c r="Z1050" s="58" t="str">
        <x:f>IF(R1050="No","",X1050-Y1050)</x:f>
      </x:c>
      <x:c r="AA1050" s="58" t="str">
        <x:f>IF(R1050="No","",MAX(0,-Z1050))</x:f>
      </x:c>
      <x:c r="AB1050" s="52" t="str">
        <x:f>IF(OR(R1050="No",U1050*S1050=0),"",AA1050/(U1050*S1050))</x:f>
      </x:c>
      <x:c r="AC1050" s="54" t="str">
        <x:f>IF(OR(R1050="No",S1050-T1050*Assumptions!$B$9&lt;=0),"",AA1050/(Assumptions!$B$8*(S1050-T1050*Assumptions!$B$9)))</x:f>
      </x:c>
      <x:c r="AD1050" s="52" t="str">
        <x:f>IF(OR(R1050="No",U1050*S1050=0),"",AA1050/(U1050*S1050))</x:f>
      </x:c>
      <x:c r="AE1050" s="50" t="str">
        <x:f>IF(R1050="No","No finance data",IF(AB1050&gt;=10%,"Severe",IF(AB1050&gt;=5%,"High",IF(AB1050&gt;=2%,"Moderate","Low"))))</x:f>
        <x:v>No finance data</x:v>
      </x:c>
      <x:c r="AF1050" s="60"/>
      <x:c r="AG1050" s="60"/>
      <x:c r="AH1050" s="44" t="str">
        <x:v>Undergraduate tuition-contribution proxy only; not an audited total institutional budget.</x:v>
      </x:c>
    </x:row>
    <x:row r="1051">
      <x:c r="A1051" s="16" t="n">
        <x:v>188304</x:v>
      </x:c>
      <x:c r="B1051" s="16" t="str">
        <x:v>Western New Mexico University</x:v>
      </x:c>
      <x:c r="C1051" s="16" t="str">
        <x:v>NM</x:v>
      </x:c>
      <x:c r="D1051" s="16" t="str">
        <x:v>Public</x:v>
      </x:c>
      <x:c r="E1051" s="34" t="n">
        <x:v>1866</x:v>
      </x:c>
      <x:c r="F1051" s="21"/>
      <x:c r="G1051" s="16" t="str">
        <x:v>Regional</x:v>
      </x:c>
      <x:c r="H1051" s="36" t="n">
        <x:f>IF(G1051="National",Assumptions!$B$11,IF(G1051="Statewide",Assumptions!$B$12,Assumptions!$B$13))</x:f>
        <x:v>0.85</x:v>
      </x:c>
      <x:c r="I1051" s="21" t="n">
        <x:v>-0.06894684595253131</x:v>
      </x:c>
      <x:c r="J1051" s="21" t="n">
        <x:v>-0.1234545618626478</x:v>
      </x:c>
      <x:c r="K1051" s="21" t="n">
        <x:v>-0.2282284992329212</x:v>
      </x:c>
      <x:c r="L1051" s="36" t="n">
        <x:f>IF(Assumptions!$B$4=2030,I1051,IF(Assumptions!$B$4=2035,J1051,K1051))</x:f>
        <x:v>-0.1234545618626478</x:v>
      </x:c>
      <x:c r="M1051" s="36" t="n">
        <x:f>Assumptions!$B$19</x:f>
        <x:v>-0.04739891965741583</x:v>
      </x:c>
      <x:c r="N1051" s="52" t="n">
        <x:f>H1051*L1051+(1-H1051)*M1051+O1051</x:f>
        <x:v>-0.112046215531863</x:v>
      </x:c>
      <x:c r="O1051" s="36" t="n">
        <x:f>Assumptions!$B$10</x:f>
        <x:v>0</x:v>
      </x:c>
      <x:c r="P1051" s="54" t="n">
        <x:f>E1051*(1+N1051)</x:f>
        <x:v>1656.9217618175437</x:v>
      </x:c>
      <x:c r="Q1051" s="54" t="n">
        <x:f>P1051-E1051</x:f>
        <x:v>-209.0782381824563</x:v>
      </x:c>
      <x:c r="R1051" s="16" t="str">
        <x:v>Yes</x:v>
      </x:c>
      <x:c r="S1051" s="56" t="n">
        <x:v>5794</x:v>
      </x:c>
      <x:c r="T1051" s="56" t="n">
        <x:v>7545</x:v>
      </x:c>
      <x:c r="U1051" s="40" t="n">
        <x:f>E1051*Assumptions!$B$8</x:f>
        <x:v>1586.1</x:v>
      </x:c>
      <x:c r="V1051" s="40" t="n">
        <x:f>P1051*Assumptions!$B$8</x:f>
        <x:v>1408.3834975449122</x:v>
      </x:c>
      <x:c r="W1051" s="54" t="n">
        <x:f>V1051-U1051</x:f>
        <x:v>-177.71650245508772</x:v>
      </x:c>
      <x:c r="X1051" s="58" t="n">
        <x:f>IF(R1051="No","",W1051*S1051)</x:f>
        <x:v>-1029689.4152247782</x:v>
      </x:c>
      <x:c r="Y1051" s="58" t="n">
        <x:f>IF(R1051="No","",W1051*T1051*Assumptions!$B$9)</x:f>
        <x:v>-402261.30330709106</x:v>
      </x:c>
      <x:c r="Z1051" s="58" t="n">
        <x:f>IF(R1051="No","",X1051-Y1051)</x:f>
        <x:v>-627428.1119176871</x:v>
      </x:c>
      <x:c r="AA1051" s="58" t="n">
        <x:f>IF(R1051="No","",MAX(0,-Z1051))</x:f>
        <x:v>627428.1119176871</x:v>
      </x:c>
      <x:c r="AB1051" s="52" t="n">
        <x:f>IF(OR(R1051="No",U1051*S1051=0),"",AA1051/(U1051*S1051))</x:f>
        <x:v>0.06827393233262717</x:v>
      </x:c>
      <x:c r="AC1051" s="54" t="n">
        <x:f>IF(OR(R1051="No",S1051-T1051*Assumptions!$B$9&lt;=0),"",AA1051/(Assumptions!$B$8*(S1051-T1051*Assumptions!$B$9)))</x:f>
        <x:v>209.07823818245615</x:v>
      </x:c>
      <x:c r="AD1051" s="52" t="n">
        <x:f>IF(OR(R1051="No",U1051*S1051=0),"",AA1051/(U1051*S1051))</x:f>
        <x:v>0.06827393233262717</x:v>
      </x:c>
      <x:c r="AE1051" s="50" t="str">
        <x:f>IF(R1051="No","No finance data",IF(AB1051&gt;=10%,"Severe",IF(AB1051&gt;=5%,"High",IF(AB1051&gt;=2%,"Moderate","Low"))))</x:f>
        <x:v>High</x:v>
      </x:c>
      <x:c r="AF1051" s="60" t="n">
        <x:v>32.7767</x:v>
      </x:c>
      <x:c r="AG1051" s="60" t="n">
        <x:v>-108.283284</x:v>
      </x:c>
      <x:c r="AH1051" s="44" t="str">
        <x:v>Undergraduate tuition-contribution proxy only; not an audited total institutional budget.</x:v>
      </x:c>
    </x:row>
    <x:row r="1052">
      <x:c r="A1052" s="16" t="n">
        <x:v>441900</x:v>
      </x:c>
      <x:c r="B1052" s="16" t="str">
        <x:v>Nevada State College</x:v>
      </x:c>
      <x:c r="C1052" s="16" t="str">
        <x:v>NV</x:v>
      </x:c>
      <x:c r="D1052" s="16" t="str">
        <x:v>Public</x:v>
      </x:c>
      <x:c r="E1052" s="34" t="n">
        <x:v>3187</x:v>
      </x:c>
      <x:c r="F1052" s="21" t="n">
        <x:v>0.7902</x:v>
      </x:c>
      <x:c r="G1052" s="16" t="str">
        <x:v>Regional</x:v>
      </x:c>
      <x:c r="H1052" s="36" t="n">
        <x:f>IF(G1052="National",Assumptions!$B$11,IF(G1052="Statewide",Assumptions!$B$12,Assumptions!$B$13))</x:f>
        <x:v>0.85</x:v>
      </x:c>
      <x:c r="I1052" s="21" t="n">
        <x:v>-0.038049597274748104</x:v>
      </x:c>
      <x:c r="J1052" s="21" t="n">
        <x:v>-0.009815525852362894</x:v>
      </x:c>
      <x:c r="K1052" s="21" t="n">
        <x:v>-0.12942059528277372</x:v>
      </x:c>
      <x:c r="L1052" s="36" t="n">
        <x:f>IF(Assumptions!$B$4=2030,I1052,IF(Assumptions!$B$4=2035,J1052,K1052))</x:f>
        <x:v>-0.009815525852362894</x:v>
      </x:c>
      <x:c r="M1052" s="36" t="n">
        <x:f>Assumptions!$B$19</x:f>
        <x:v>-0.04739891965741583</x:v>
      </x:c>
      <x:c r="N1052" s="52" t="n">
        <x:f>H1052*L1052+(1-H1052)*M1052+O1052</x:f>
        <x:v>-0.015453034923120834</x:v>
      </x:c>
      <x:c r="O1052" s="36" t="n">
        <x:f>Assumptions!$B$10</x:f>
        <x:v>0</x:v>
      </x:c>
      <x:c r="P1052" s="54" t="n">
        <x:f>E1052*(1+N1052)</x:f>
        <x:v>3137.751177700014</x:v>
      </x:c>
      <x:c r="Q1052" s="54" t="n">
        <x:f>P1052-E1052</x:f>
        <x:v>-49.24882229998593</x:v>
      </x:c>
      <x:c r="R1052" s="16" t="str">
        <x:v>Yes</x:v>
      </x:c>
      <x:c r="S1052" s="56" t="n">
        <x:v>3506</x:v>
      </x:c>
      <x:c r="T1052" s="56" t="n">
        <x:v>4574</x:v>
      </x:c>
      <x:c r="U1052" s="40" t="n">
        <x:f>E1052*Assumptions!$B$8</x:f>
        <x:v>2708.95</x:v>
      </x:c>
      <x:c r="V1052" s="40" t="n">
        <x:f>P1052*Assumptions!$B$8</x:f>
        <x:v>2667.088501045012</x:v>
      </x:c>
      <x:c r="W1052" s="54" t="n">
        <x:f>V1052-U1052</x:f>
        <x:v>-41.86149895498784</x:v>
      </x:c>
      <x:c r="X1052" s="58" t="n">
        <x:f>IF(R1052="No","",W1052*S1052)</x:f>
        <x:v>-146766.41533618735</x:v>
      </x:c>
      <x:c r="Y1052" s="58" t="n">
        <x:f>IF(R1052="No","",W1052*T1052*Assumptions!$B$9)</x:f>
        <x:v>-57442.348866034314</x:v>
      </x:c>
      <x:c r="Z1052" s="58" t="n">
        <x:f>IF(R1052="No","",X1052-Y1052)</x:f>
        <x:v>-89324.06647015303</x:v>
      </x:c>
      <x:c r="AA1052" s="58" t="n">
        <x:f>IF(R1052="No","",MAX(0,-Z1052))</x:f>
        <x:v>89324.06647015303</x:v>
      </x:c>
      <x:c r="AB1052" s="52" t="n">
        <x:f>IF(OR(R1052="No",U1052*S1052=0),"",AA1052/(U1052*S1052))</x:f>
        <x:v>0.009404930381903868</x:v>
      </x:c>
      <x:c r="AC1052" s="54" t="n">
        <x:f>IF(OR(R1052="No",S1052-T1052*Assumptions!$B$9&lt;=0),"",AA1052/(Assumptions!$B$8*(S1052-T1052*Assumptions!$B$9)))</x:f>
        <x:v>49.24882229998568</x:v>
      </x:c>
      <x:c r="AD1052" s="52" t="n">
        <x:f>IF(OR(R1052="No",U1052*S1052=0),"",AA1052/(U1052*S1052))</x:f>
        <x:v>0.009404930381903868</x:v>
      </x:c>
      <x:c r="AE1052" s="50" t="str">
        <x:f>IF(R1052="No","No finance data",IF(AB1052&gt;=10%,"Severe",IF(AB1052&gt;=5%,"High",IF(AB1052&gt;=2%,"Moderate","Low"))))</x:f>
        <x:v>Low</x:v>
      </x:c>
      <x:c r="AF1052" s="60" t="n">
        <x:v>35.982345</x:v>
      </x:c>
      <x:c r="AG1052" s="60" t="n">
        <x:v>-114.938044</x:v>
      </x:c>
      <x:c r="AH1052" s="44" t="str">
        <x:v>Undergraduate tuition-contribution proxy only; not an audited total institutional budget.</x:v>
      </x:c>
    </x:row>
    <x:row r="1053">
      <x:c r="A1053" s="16" t="n">
        <x:v>445735</x:v>
      </x:c>
      <x:c r="B1053" s="16" t="str">
        <x:v>Roseman University of Health Sciences</x:v>
      </x:c>
      <x:c r="C1053" s="16" t="str">
        <x:v>NV</x:v>
      </x:c>
      <x:c r="D1053" s="16" t="str">
        <x:v>Private nonprofit</x:v>
      </x:c>
      <x:c r="E1053" s="34" t="n">
        <x:v>312</x:v>
      </x:c>
      <x:c r="F1053" s="21"/>
      <x:c r="G1053" s="16" t="str">
        <x:v>Regional</x:v>
      </x:c>
      <x:c r="H1053" s="36" t="n">
        <x:f>IF(G1053="National",Assumptions!$B$11,IF(G1053="Statewide",Assumptions!$B$12,Assumptions!$B$13))</x:f>
        <x:v>0.85</x:v>
      </x:c>
      <x:c r="I1053" s="21" t="n">
        <x:v>-0.038049597274748104</x:v>
      </x:c>
      <x:c r="J1053" s="21" t="n">
        <x:v>-0.009815525852362894</x:v>
      </x:c>
      <x:c r="K1053" s="21" t="n">
        <x:v>-0.12942059528277372</x:v>
      </x:c>
      <x:c r="L1053" s="36" t="n">
        <x:f>IF(Assumptions!$B$4=2030,I1053,IF(Assumptions!$B$4=2035,J1053,K1053))</x:f>
        <x:v>-0.009815525852362894</x:v>
      </x:c>
      <x:c r="M1053" s="36" t="n">
        <x:f>Assumptions!$B$19</x:f>
        <x:v>-0.04739891965741583</x:v>
      </x:c>
      <x:c r="N1053" s="52" t="n">
        <x:f>H1053*L1053+(1-H1053)*M1053+O1053</x:f>
        <x:v>-0.015453034923120834</x:v>
      </x:c>
      <x:c r="O1053" s="36" t="n">
        <x:f>Assumptions!$B$10</x:f>
        <x:v>0</x:v>
      </x:c>
      <x:c r="P1053" s="54" t="n">
        <x:f>E1053*(1+N1053)</x:f>
        <x:v>307.17865310398633</x:v>
      </x:c>
      <x:c r="Q1053" s="54" t="n">
        <x:f>P1053-E1053</x:f>
        <x:v>-4.821346896013665</x:v>
      </x:c>
      <x:c r="R1053" s="16" t="str">
        <x:v>Yes</x:v>
      </x:c>
      <x:c r="S1053" s="56" t="n">
        <x:v>48265</x:v>
      </x:c>
      <x:c r="T1053" s="56" t="n">
        <x:v>18528</x:v>
      </x:c>
      <x:c r="U1053" s="40" t="n">
        <x:f>E1053*Assumptions!$B$8</x:f>
        <x:v>265.2</x:v>
      </x:c>
      <x:c r="V1053" s="40" t="n">
        <x:f>P1053*Assumptions!$B$8</x:f>
        <x:v>261.1018551383884</x:v>
      </x:c>
      <x:c r="W1053" s="54" t="n">
        <x:f>V1053-U1053</x:f>
        <x:v>-4.098144861611615</x:v>
      </x:c>
      <x:c r="X1053" s="58" t="n">
        <x:f>IF(R1053="No","",W1053*S1053)</x:f>
        <x:v>-197796.96174568462</x:v>
      </x:c>
      <x:c r="Y1053" s="58" t="n">
        <x:f>IF(R1053="No","",W1053*T1053*Assumptions!$B$9)</x:f>
        <x:v>-22779.128398782002</x:v>
      </x:c>
      <x:c r="Z1053" s="58" t="n">
        <x:f>IF(R1053="No","",X1053-Y1053)</x:f>
        <x:v>-175017.83334690263</x:v>
      </x:c>
      <x:c r="AA1053" s="58" t="n">
        <x:f>IF(R1053="No","",MAX(0,-Z1053))</x:f>
        <x:v>175017.83334690263</x:v>
      </x:c>
      <x:c r="AB1053" s="52" t="n">
        <x:f>IF(OR(R1053="No",U1053*S1053=0),"",AA1053/(U1053*S1053))</x:f>
        <x:v>0.013673398554806744</x:v>
      </x:c>
      <x:c r="AC1053" s="54" t="n">
        <x:f>IF(OR(R1053="No",S1053-T1053*Assumptions!$B$9&lt;=0),"",AA1053/(Assumptions!$B$8*(S1053-T1053*Assumptions!$B$9)))</x:f>
        <x:v>4.821346896013665</x:v>
      </x:c>
      <x:c r="AD1053" s="52" t="n">
        <x:f>IF(OR(R1053="No",U1053*S1053=0),"",AA1053/(U1053*S1053))</x:f>
        <x:v>0.013673398554806744</x:v>
      </x:c>
      <x:c r="AE1053" s="50" t="str">
        <x:f>IF(R1053="No","No finance data",IF(AB1053&gt;=10%,"Severe",IF(AB1053&gt;=5%,"High",IF(AB1053&gt;=2%,"Moderate","Low"))))</x:f>
        <x:v>Low</x:v>
      </x:c>
      <x:c r="AF1053" s="60" t="n">
        <x:v>36.073182</x:v>
      </x:c>
      <x:c r="AG1053" s="60" t="n">
        <x:v>-115.064633</x:v>
      </x:c>
      <x:c r="AH1053" s="44" t="str">
        <x:v>Undergraduate tuition-contribution proxy only; not an audited total institutional budget.</x:v>
      </x:c>
    </x:row>
    <x:row r="1054">
      <x:c r="A1054" s="16" t="n">
        <x:v>182458</x:v>
      </x:c>
      <x:c r="B1054" s="16" t="str">
        <x:v>Sierra Nevada College</x:v>
      </x:c>
      <x:c r="C1054" s="16" t="str">
        <x:v>NV</x:v>
      </x:c>
      <x:c r="D1054" s="16" t="str">
        <x:v>Private nonprofit</x:v>
      </x:c>
      <x:c r="E1054" s="34" t="n">
        <x:v>498</x:v>
      </x:c>
      <x:c r="F1054" s="21"/>
      <x:c r="G1054" s="16" t="str">
        <x:v>Regional</x:v>
      </x:c>
      <x:c r="H1054" s="36" t="n">
        <x:f>IF(G1054="National",Assumptions!$B$11,IF(G1054="Statewide",Assumptions!$B$12,Assumptions!$B$13))</x:f>
        <x:v>0.85</x:v>
      </x:c>
      <x:c r="I1054" s="21" t="n">
        <x:v>-0.038049597274748104</x:v>
      </x:c>
      <x:c r="J1054" s="21" t="n">
        <x:v>-0.009815525852362894</x:v>
      </x:c>
      <x:c r="K1054" s="21" t="n">
        <x:v>-0.12942059528277372</x:v>
      </x:c>
      <x:c r="L1054" s="36" t="n">
        <x:f>IF(Assumptions!$B$4=2030,I1054,IF(Assumptions!$B$4=2035,J1054,K1054))</x:f>
        <x:v>-0.009815525852362894</x:v>
      </x:c>
      <x:c r="M1054" s="36" t="n">
        <x:f>Assumptions!$B$19</x:f>
        <x:v>-0.04739891965741583</x:v>
      </x:c>
      <x:c r="N1054" s="52" t="n">
        <x:f>H1054*L1054+(1-H1054)*M1054+O1054</x:f>
        <x:v>-0.015453034923120834</x:v>
      </x:c>
      <x:c r="O1054" s="36" t="n">
        <x:f>Assumptions!$B$10</x:f>
        <x:v>0</x:v>
      </x:c>
      <x:c r="P1054" s="54" t="n">
        <x:f>E1054*(1+N1054)</x:f>
        <x:v>490.3043886082859</x:v>
      </x:c>
      <x:c r="Q1054" s="54" t="n">
        <x:f>P1054-E1054</x:f>
        <x:v>-7.695611391714124</x:v>
      </x:c>
      <x:c r="R1054" s="16" t="str">
        <x:v>No</x:v>
      </x:c>
      <x:c r="S1054" s="56"/>
      <x:c r="T1054" s="56"/>
      <x:c r="U1054" s="40" t="n">
        <x:f>E1054*Assumptions!$B$8</x:f>
        <x:v>423.3</x:v>
      </x:c>
      <x:c r="V1054" s="40" t="n">
        <x:f>P1054*Assumptions!$B$8</x:f>
        <x:v>416.758730317043</x:v>
      </x:c>
      <x:c r="W1054" s="54" t="n">
        <x:f>V1054-U1054</x:f>
        <x:v>-6.541269682957022</x:v>
      </x:c>
      <x:c r="X1054" s="58" t="str">
        <x:f>IF(R1054="No","",W1054*S1054)</x:f>
      </x:c>
      <x:c r="Y1054" s="58" t="str">
        <x:f>IF(R1054="No","",W1054*T1054*Assumptions!$B$9)</x:f>
      </x:c>
      <x:c r="Z1054" s="58" t="str">
        <x:f>IF(R1054="No","",X1054-Y1054)</x:f>
      </x:c>
      <x:c r="AA1054" s="58" t="str">
        <x:f>IF(R1054="No","",MAX(0,-Z1054))</x:f>
      </x:c>
      <x:c r="AB1054" s="52" t="str">
        <x:f>IF(OR(R1054="No",U1054*S1054=0),"",AA1054/(U1054*S1054))</x:f>
      </x:c>
      <x:c r="AC1054" s="54" t="str">
        <x:f>IF(OR(R1054="No",S1054-T1054*Assumptions!$B$9&lt;=0),"",AA1054/(Assumptions!$B$8*(S1054-T1054*Assumptions!$B$9)))</x:f>
      </x:c>
      <x:c r="AD1054" s="52" t="str">
        <x:f>IF(OR(R1054="No",U1054*S1054=0),"",AA1054/(U1054*S1054))</x:f>
      </x:c>
      <x:c r="AE1054" s="50" t="str">
        <x:f>IF(R1054="No","No finance data",IF(AB1054&gt;=10%,"Severe",IF(AB1054&gt;=5%,"High",IF(AB1054&gt;=2%,"Moderate","Low"))))</x:f>
        <x:v>No finance data</x:v>
      </x:c>
      <x:c r="AF1054" s="60"/>
      <x:c r="AG1054" s="60"/>
      <x:c r="AH1054" s="44" t="str">
        <x:v>Undergraduate tuition-contribution proxy only; not an audited total institutional budget.</x:v>
      </x:c>
    </x:row>
    <x:row r="1055">
      <x:c r="A1055" s="16" t="n">
        <x:v>459824</x:v>
      </x:c>
      <x:c r="B1055" s="16" t="str">
        <x:v>Touro University Nevada</x:v>
      </x:c>
      <x:c r="C1055" s="16" t="str">
        <x:v>NV</x:v>
      </x:c>
      <x:c r="D1055" s="16" t="str">
        <x:v>Private nonprofit</x:v>
      </x:c>
      <x:c r="E1055" s="34" t="n">
        <x:v>66</x:v>
      </x:c>
      <x:c r="F1055" s="21"/>
      <x:c r="G1055" s="16" t="str">
        <x:v>Regional</x:v>
      </x:c>
      <x:c r="H1055" s="36" t="n">
        <x:f>IF(G1055="National",Assumptions!$B$11,IF(G1055="Statewide",Assumptions!$B$12,Assumptions!$B$13))</x:f>
        <x:v>0.85</x:v>
      </x:c>
      <x:c r="I1055" s="21" t="n">
        <x:v>-0.038049597274748104</x:v>
      </x:c>
      <x:c r="J1055" s="21" t="n">
        <x:v>-0.009815525852362894</x:v>
      </x:c>
      <x:c r="K1055" s="21" t="n">
        <x:v>-0.12942059528277372</x:v>
      </x:c>
      <x:c r="L1055" s="36" t="n">
        <x:f>IF(Assumptions!$B$4=2030,I1055,IF(Assumptions!$B$4=2035,J1055,K1055))</x:f>
        <x:v>-0.009815525852362894</x:v>
      </x:c>
      <x:c r="M1055" s="36" t="n">
        <x:f>Assumptions!$B$19</x:f>
        <x:v>-0.04739891965741583</x:v>
      </x:c>
      <x:c r="N1055" s="52" t="n">
        <x:f>H1055*L1055+(1-H1055)*M1055+O1055</x:f>
        <x:v>-0.015453034923120834</x:v>
      </x:c>
      <x:c r="O1055" s="36" t="n">
        <x:f>Assumptions!$B$10</x:f>
        <x:v>0</x:v>
      </x:c>
      <x:c r="P1055" s="54" t="n">
        <x:f>E1055*(1+N1055)</x:f>
        <x:v>64.98009969507403</x:v>
      </x:c>
      <x:c r="Q1055" s="54" t="n">
        <x:f>P1055-E1055</x:f>
        <x:v>-1.0199003049259687</x:v>
      </x:c>
      <x:c r="R1055" s="16" t="str">
        <x:v>No</x:v>
      </x:c>
      <x:c r="S1055" s="56"/>
      <x:c r="T1055" s="56"/>
      <x:c r="U1055" s="40" t="n">
        <x:f>E1055*Assumptions!$B$8</x:f>
        <x:v>56.1</x:v>
      </x:c>
      <x:c r="V1055" s="40" t="n">
        <x:f>P1055*Assumptions!$B$8</x:f>
        <x:v>55.23308474081293</x:v>
      </x:c>
      <x:c r="W1055" s="54" t="n">
        <x:f>V1055-U1055</x:f>
        <x:v>-0.8669152591870741</x:v>
      </x:c>
      <x:c r="X1055" s="58" t="str">
        <x:f>IF(R1055="No","",W1055*S1055)</x:f>
      </x:c>
      <x:c r="Y1055" s="58" t="str">
        <x:f>IF(R1055="No","",W1055*T1055*Assumptions!$B$9)</x:f>
      </x:c>
      <x:c r="Z1055" s="58" t="str">
        <x:f>IF(R1055="No","",X1055-Y1055)</x:f>
      </x:c>
      <x:c r="AA1055" s="58" t="str">
        <x:f>IF(R1055="No","",MAX(0,-Z1055))</x:f>
      </x:c>
      <x:c r="AB1055" s="52" t="str">
        <x:f>IF(OR(R1055="No",U1055*S1055=0),"",AA1055/(U1055*S1055))</x:f>
      </x:c>
      <x:c r="AC1055" s="54" t="str">
        <x:f>IF(OR(R1055="No",S1055-T1055*Assumptions!$B$9&lt;=0),"",AA1055/(Assumptions!$B$8*(S1055-T1055*Assumptions!$B$9)))</x:f>
      </x:c>
      <x:c r="AD1055" s="52" t="str">
        <x:f>IF(OR(R1055="No",U1055*S1055=0),"",AA1055/(U1055*S1055))</x:f>
      </x:c>
      <x:c r="AE1055" s="50" t="str">
        <x:f>IF(R1055="No","No finance data",IF(AB1055&gt;=10%,"Severe",IF(AB1055&gt;=5%,"High",IF(AB1055&gt;=2%,"Moderate","Low"))))</x:f>
        <x:v>No finance data</x:v>
      </x:c>
      <x:c r="AF1055" s="60"/>
      <x:c r="AG1055" s="60"/>
      <x:c r="AH1055" s="44" t="str">
        <x:v>Undergraduate tuition-contribution proxy only; not an audited total institutional budget.</x:v>
      </x:c>
    </x:row>
    <x:row r="1056">
      <x:c r="A1056" s="16" t="n">
        <x:v>182281</x:v>
      </x:c>
      <x:c r="B1056" s="16" t="str">
        <x:v>University of Nevada-Las Vegas</x:v>
      </x:c>
      <x:c r="C1056" s="16" t="str">
        <x:v>NV</x:v>
      </x:c>
      <x:c r="D1056" s="16" t="str">
        <x:v>Public</x:v>
      </x:c>
      <x:c r="E1056" s="34" t="n">
        <x:v>23325</x:v>
      </x:c>
      <x:c r="F1056" s="21" t="n">
        <x:v>0.8348</x:v>
      </x:c>
      <x:c r="G1056" s="16" t="str">
        <x:v>Statewide</x:v>
      </x:c>
      <x:c r="H1056" s="36" t="n">
        <x:f>IF(G1056="National",Assumptions!$B$11,IF(G1056="Statewide",Assumptions!$B$12,Assumptions!$B$13))</x:f>
        <x:v>0.6</x:v>
      </x:c>
      <x:c r="I1056" s="21" t="n">
        <x:v>-0.038049597274748104</x:v>
      </x:c>
      <x:c r="J1056" s="21" t="n">
        <x:v>-0.009815525852362894</x:v>
      </x:c>
      <x:c r="K1056" s="21" t="n">
        <x:v>-0.12942059528277372</x:v>
      </x:c>
      <x:c r="L1056" s="36" t="n">
        <x:f>IF(Assumptions!$B$4=2030,I1056,IF(Assumptions!$B$4=2035,J1056,K1056))</x:f>
        <x:v>-0.009815525852362894</x:v>
      </x:c>
      <x:c r="M1056" s="36" t="n">
        <x:f>Assumptions!$B$19</x:f>
        <x:v>-0.04739891965741583</x:v>
      </x:c>
      <x:c r="N1056" s="52" t="n">
        <x:f>H1056*L1056+(1-H1056)*M1056+O1056</x:f>
        <x:v>-0.02484888337438407</x:v>
      </x:c>
      <x:c r="O1056" s="36" t="n">
        <x:f>Assumptions!$B$10</x:f>
        <x:v>0</x:v>
      </x:c>
      <x:c r="P1056" s="54" t="n">
        <x:f>E1056*(1+N1056)</x:f>
        <x:v>22745.39979529249</x:v>
      </x:c>
      <x:c r="Q1056" s="54" t="n">
        <x:f>P1056-E1056</x:f>
        <x:v>-579.600204707509</x:v>
      </x:c>
      <x:c r="R1056" s="16" t="str">
        <x:v>Yes</x:v>
      </x:c>
      <x:c r="S1056" s="56" t="n">
        <x:v>7479</x:v>
      </x:c>
      <x:c r="T1056" s="56" t="n">
        <x:v>12269</x:v>
      </x:c>
      <x:c r="U1056" s="40" t="n">
        <x:f>E1056*Assumptions!$B$8</x:f>
        <x:v>19826.25</x:v>
      </x:c>
      <x:c r="V1056" s="40" t="n">
        <x:f>P1056*Assumptions!$B$8</x:f>
        <x:v>19333.589825998617</x:v>
      </x:c>
      <x:c r="W1056" s="54" t="n">
        <x:f>V1056-U1056</x:f>
        <x:v>-492.660174001383</x:v>
      </x:c>
      <x:c r="X1056" s="58" t="n">
        <x:f>IF(R1056="No","",W1056*S1056)</x:f>
        <x:v>-3684605.441356343</x:v>
      </x:c>
      <x:c r="Y1056" s="58" t="n">
        <x:f>IF(R1056="No","",W1056*T1056*Assumptions!$B$9)</x:f>
        <x:v>-1813334.3024468902</x:v>
      </x:c>
      <x:c r="Z1056" s="58" t="n">
        <x:f>IF(R1056="No","",X1056-Y1056)</x:f>
        <x:v>-1871271.138909453</x:v>
      </x:c>
      <x:c r="AA1056" s="58" t="n">
        <x:f>IF(R1056="No","",MAX(0,-Z1056))</x:f>
        <x:v>1871271.138909453</x:v>
      </x:c>
      <x:c r="AB1056" s="52" t="n">
        <x:f>IF(OR(R1056="No",U1056*S1056=0),"",AA1056/(U1056*S1056))</x:f>
        <x:v>0.012619803947175181</x:v>
      </x:c>
      <x:c r="AC1056" s="54" t="n">
        <x:f>IF(OR(R1056="No",S1056-T1056*Assumptions!$B$9&lt;=0),"",AA1056/(Assumptions!$B$8*(S1056-T1056*Assumptions!$B$9)))</x:f>
        <x:v>579.6002047075094</x:v>
      </x:c>
      <x:c r="AD1056" s="52" t="n">
        <x:f>IF(OR(R1056="No",U1056*S1056=0),"",AA1056/(U1056*S1056))</x:f>
        <x:v>0.012619803947175181</x:v>
      </x:c>
      <x:c r="AE1056" s="50" t="str">
        <x:f>IF(R1056="No","No finance data",IF(AB1056&gt;=10%,"Severe",IF(AB1056&gt;=5%,"High",IF(AB1056&gt;=2%,"Moderate","Low"))))</x:f>
        <x:v>Low</x:v>
      </x:c>
      <x:c r="AF1056" s="60" t="n">
        <x:v>36.106047</x:v>
      </x:c>
      <x:c r="AG1056" s="60" t="n">
        <x:v>-115.138462</x:v>
      </x:c>
      <x:c r="AH1056" s="44" t="str">
        <x:v>Undergraduate tuition-contribution proxy only; not an audited total institutional budget.</x:v>
      </x:c>
    </x:row>
    <x:row r="1057">
      <x:c r="A1057" s="16" t="n">
        <x:v>182290</x:v>
      </x:c>
      <x:c r="B1057" s="16" t="str">
        <x:v>University of Nevada-Reno</x:v>
      </x:c>
      <x:c r="C1057" s="16" t="str">
        <x:v>NV</x:v>
      </x:c>
      <x:c r="D1057" s="16" t="str">
        <x:v>Public</x:v>
      </x:c>
      <x:c r="E1057" s="34" t="n">
        <x:v>17295</x:v>
      </x:c>
      <x:c r="F1057" s="21" t="n">
        <x:v>0.8816</x:v>
      </x:c>
      <x:c r="G1057" s="16" t="str">
        <x:v>Statewide</x:v>
      </x:c>
      <x:c r="H1057" s="36" t="n">
        <x:f>IF(G1057="National",Assumptions!$B$11,IF(G1057="Statewide",Assumptions!$B$12,Assumptions!$B$13))</x:f>
        <x:v>0.6</x:v>
      </x:c>
      <x:c r="I1057" s="21" t="n">
        <x:v>-0.038049597274748104</x:v>
      </x:c>
      <x:c r="J1057" s="21" t="n">
        <x:v>-0.009815525852362894</x:v>
      </x:c>
      <x:c r="K1057" s="21" t="n">
        <x:v>-0.12942059528277372</x:v>
      </x:c>
      <x:c r="L1057" s="36" t="n">
        <x:f>IF(Assumptions!$B$4=2030,I1057,IF(Assumptions!$B$4=2035,J1057,K1057))</x:f>
        <x:v>-0.009815525852362894</x:v>
      </x:c>
      <x:c r="M1057" s="36" t="n">
        <x:f>Assumptions!$B$19</x:f>
        <x:v>-0.04739891965741583</x:v>
      </x:c>
      <x:c r="N1057" s="52" t="n">
        <x:f>H1057*L1057+(1-H1057)*M1057+O1057</x:f>
        <x:v>-0.02484888337438407</x:v>
      </x:c>
      <x:c r="O1057" s="36" t="n">
        <x:f>Assumptions!$B$10</x:f>
        <x:v>0</x:v>
      </x:c>
      <x:c r="P1057" s="54" t="n">
        <x:f>E1057*(1+N1057)</x:f>
        <x:v>16865.238562040027</x:v>
      </x:c>
      <x:c r="Q1057" s="54" t="n">
        <x:f>P1057-E1057</x:f>
        <x:v>-429.7614379599727</x:v>
      </x:c>
      <x:c r="R1057" s="16" t="str">
        <x:v>Yes</x:v>
      </x:c>
      <x:c r="S1057" s="56" t="n">
        <x:v>8227</x:v>
      </x:c>
      <x:c r="T1057" s="56" t="n">
        <x:v>12091</x:v>
      </x:c>
      <x:c r="U1057" s="40" t="n">
        <x:f>E1057*Assumptions!$B$8</x:f>
        <x:v>14700.75</x:v>
      </x:c>
      <x:c r="V1057" s="40" t="n">
        <x:f>P1057*Assumptions!$B$8</x:f>
        <x:v>14335.452777734023</x:v>
      </x:c>
      <x:c r="W1057" s="54" t="n">
        <x:f>V1057-U1057</x:f>
        <x:v>-365.2972222659773</x:v>
      </x:c>
      <x:c r="X1057" s="58" t="n">
        <x:f>IF(R1057="No","",W1057*S1057)</x:f>
        <x:v>-3005300.2475821953</x:v>
      </x:c>
      <x:c r="Y1057" s="58" t="n">
        <x:f>IF(R1057="No","",W1057*T1057*Assumptions!$B$9)</x:f>
        <x:v>-1325042.6143253795</x:v>
      </x:c>
      <x:c r="Z1057" s="58" t="n">
        <x:f>IF(R1057="No","",X1057-Y1057)</x:f>
        <x:v>-1680257.6332568158</x:v>
      </x:c>
      <x:c r="AA1057" s="58" t="n">
        <x:f>IF(R1057="No","",MAX(0,-Z1057))</x:f>
        <x:v>1680257.6332568158</x:v>
      </x:c>
      <x:c r="AB1057" s="52" t="n">
        <x:f>IF(OR(R1057="No",U1057*S1057=0),"",AA1057/(U1057*S1057))</x:f>
        <x:v>0.01389296327423783</x:v>
      </x:c>
      <x:c r="AC1057" s="54" t="n">
        <x:f>IF(OR(R1057="No",S1057-T1057*Assumptions!$B$9&lt;=0),"",AA1057/(Assumptions!$B$8*(S1057-T1057*Assumptions!$B$9)))</x:f>
        <x:v>429.76143795997325</x:v>
      </x:c>
      <x:c r="AD1057" s="52" t="n">
        <x:f>IF(OR(R1057="No",U1057*S1057=0),"",AA1057/(U1057*S1057))</x:f>
        <x:v>0.01389296327423783</x:v>
      </x:c>
      <x:c r="AE1057" s="50" t="str">
        <x:f>IF(R1057="No","No finance data",IF(AB1057&gt;=10%,"Severe",IF(AB1057&gt;=5%,"High",IF(AB1057&gt;=2%,"Moderate","Low"))))</x:f>
        <x:v>Low</x:v>
      </x:c>
      <x:c r="AF1057" s="60" t="n">
        <x:v>39.543642</x:v>
      </x:c>
      <x:c r="AG1057" s="60" t="n">
        <x:v>-119.815377</x:v>
      </x:c>
      <x:c r="AH1057" s="44" t="str">
        <x:v>Undergraduate tuition-contribution proxy only; not an audited total institutional budget.</x:v>
      </x:c>
    </x:row>
    <x:row r="1058">
      <x:c r="A1058" s="16" t="n">
        <x:v>188429</x:v>
      </x:c>
      <x:c r="B1058" s="16" t="str">
        <x:v>Adelphi University</x:v>
      </x:c>
      <x:c r="C1058" s="16" t="str">
        <x:v>NY</x:v>
      </x:c>
      <x:c r="D1058" s="16" t="str">
        <x:v>Private nonprofit</x:v>
      </x:c>
      <x:c r="E1058" s="34" t="n">
        <x:v>4813</x:v>
      </x:c>
      <x:c r="F1058" s="21" t="n">
        <x:v>0.7746</x:v>
      </x:c>
      <x:c r="G1058" s="16" t="str">
        <x:v>Regional</x:v>
      </x:c>
      <x:c r="H1058" s="36" t="n">
        <x:f>IF(G1058="National",Assumptions!$B$11,IF(G1058="Statewide",Assumptions!$B$12,Assumptions!$B$13))</x:f>
        <x:v>0.85</x:v>
      </x:c>
      <x:c r="I1058" s="21" t="n">
        <x:v>-0.08678079290324192</x:v>
      </x:c>
      <x:c r="J1058" s="21" t="n">
        <x:v>-0.14585233360743566</x:v>
      </x:c>
      <x:c r="K1058" s="21" t="n">
        <x:v>-0.24979193142458445</x:v>
      </x:c>
      <x:c r="L1058" s="36" t="n">
        <x:f>IF(Assumptions!$B$4=2030,I1058,IF(Assumptions!$B$4=2035,J1058,K1058))</x:f>
        <x:v>-0.14585233360743566</x:v>
      </x:c>
      <x:c r="M1058" s="36" t="n">
        <x:f>Assumptions!$B$19</x:f>
        <x:v>-0.04739891965741583</x:v>
      </x:c>
      <x:c r="N1058" s="52" t="n">
        <x:f>H1058*L1058+(1-H1058)*M1058+O1058</x:f>
        <x:v>-0.13108432151493268</x:v>
      </x:c>
      <x:c r="O1058" s="36" t="n">
        <x:f>Assumptions!$B$10</x:f>
        <x:v>0</x:v>
      </x:c>
      <x:c r="P1058" s="54" t="n">
        <x:f>E1058*(1+N1058)</x:f>
        <x:v>4182.091160548629</x:v>
      </x:c>
      <x:c r="Q1058" s="54" t="n">
        <x:f>P1058-E1058</x:f>
        <x:v>-630.908839451371</x:v>
      </x:c>
      <x:c r="R1058" s="16" t="str">
        <x:v>Yes</x:v>
      </x:c>
      <x:c r="S1058" s="56" t="n">
        <x:v>25299</x:v>
      </x:c>
      <x:c r="T1058" s="56" t="n">
        <x:v>14175</x:v>
      </x:c>
      <x:c r="U1058" s="40" t="n">
        <x:f>E1058*Assumptions!$B$8</x:f>
        <x:v>4091.0499999999997</x:v>
      </x:c>
      <x:c r="V1058" s="40" t="n">
        <x:f>P1058*Assumptions!$B$8</x:f>
        <x:v>3554.7774864663347</x:v>
      </x:c>
      <x:c r="W1058" s="54" t="n">
        <x:f>V1058-U1058</x:f>
        <x:v>-536.272513533665</x:v>
      </x:c>
      <x:c r="X1058" s="58" t="n">
        <x:f>IF(R1058="No","",W1058*S1058)</x:f>
        <x:v>-13567158.319888191</x:v>
      </x:c>
      <x:c r="Y1058" s="58" t="n">
        <x:f>IF(R1058="No","",W1058*T1058*Assumptions!$B$9)</x:f>
        <x:v>-2280498.8638019105</x:v>
      </x:c>
      <x:c r="Z1058" s="58" t="n">
        <x:f>IF(R1058="No","",X1058-Y1058)</x:f>
        <x:v>-11286659.456086282</x:v>
      </x:c>
      <x:c r="AA1058" s="58" t="n">
        <x:f>IF(R1058="No","",MAX(0,-Z1058))</x:f>
        <x:v>11286659.456086282</x:v>
      </x:c>
      <x:c r="AB1058" s="52" t="n">
        <x:f>IF(OR(R1058="No",U1058*S1058=0),"",AA1058/(U1058*S1058))</x:f>
        <x:v>0.1090504040777908</x:v>
      </x:c>
      <x:c r="AC1058" s="54" t="n">
        <x:f>IF(OR(R1058="No",S1058-T1058*Assumptions!$B$9&lt;=0),"",AA1058/(Assumptions!$B$8*(S1058-T1058*Assumptions!$B$9)))</x:f>
        <x:v>630.9088394513707</x:v>
      </x:c>
      <x:c r="AD1058" s="52" t="n">
        <x:f>IF(OR(R1058="No",U1058*S1058=0),"",AA1058/(U1058*S1058))</x:f>
        <x:v>0.1090504040777908</x:v>
      </x:c>
      <x:c r="AE1058" s="50" t="str">
        <x:f>IF(R1058="No","No finance data",IF(AB1058&gt;=10%,"Severe",IF(AB1058&gt;=5%,"High",IF(AB1058&gt;=2%,"Moderate","Low"))))</x:f>
        <x:v>Severe</x:v>
      </x:c>
      <x:c r="AF1058" s="60" t="n">
        <x:v>40.721439</x:v>
      </x:c>
      <x:c r="AG1058" s="60" t="n">
        <x:v>-73.653321</x:v>
      </x:c>
      <x:c r="AH1058" s="44" t="str">
        <x:v>Undergraduate tuition-contribution proxy only; not an audited total institutional budget.</x:v>
      </x:c>
    </x:row>
    <x:row r="1059">
      <x:c r="A1059" s="16" t="n">
        <x:v>188526</x:v>
      </x:c>
      <x:c r="B1059" s="16" t="str">
        <x:v>Albany College of Pharmacy and Health Sciences</x:v>
      </x:c>
      <x:c r="C1059" s="16" t="str">
        <x:v>NY</x:v>
      </x:c>
      <x:c r="D1059" s="16" t="str">
        <x:v>Private nonprofit</x:v>
      </x:c>
      <x:c r="E1059" s="34" t="n">
        <x:v>1001</x:v>
      </x:c>
      <x:c r="F1059" s="21" t="n">
        <x:v>0.7182</x:v>
      </x:c>
      <x:c r="G1059" s="16" t="str">
        <x:v>Regional</x:v>
      </x:c>
      <x:c r="H1059" s="36" t="n">
        <x:f>IF(G1059="National",Assumptions!$B$11,IF(G1059="Statewide",Assumptions!$B$12,Assumptions!$B$13))</x:f>
        <x:v>0.85</x:v>
      </x:c>
      <x:c r="I1059" s="21" t="n">
        <x:v>-0.08678079290324192</x:v>
      </x:c>
      <x:c r="J1059" s="21" t="n">
        <x:v>-0.14585233360743566</x:v>
      </x:c>
      <x:c r="K1059" s="21" t="n">
        <x:v>-0.24979193142458445</x:v>
      </x:c>
      <x:c r="L1059" s="36" t="n">
        <x:f>IF(Assumptions!$B$4=2030,I1059,IF(Assumptions!$B$4=2035,J1059,K1059))</x:f>
        <x:v>-0.14585233360743566</x:v>
      </x:c>
      <x:c r="M1059" s="36" t="n">
        <x:f>Assumptions!$B$19</x:f>
        <x:v>-0.04739891965741583</x:v>
      </x:c>
      <x:c r="N1059" s="52" t="n">
        <x:f>H1059*L1059+(1-H1059)*M1059+O1059</x:f>
        <x:v>-0.13108432151493268</x:v>
      </x:c>
      <x:c r="O1059" s="36" t="n">
        <x:f>Assumptions!$B$10</x:f>
        <x:v>0</x:v>
      </x:c>
      <x:c r="P1059" s="54" t="n">
        <x:f>E1059*(1+N1059)</x:f>
        <x:v>869.7845941635524</x:v>
      </x:c>
      <x:c r="Q1059" s="54" t="n">
        <x:f>P1059-E1059</x:f>
        <x:v>-131.21540583644764</x:v>
      </x:c>
      <x:c r="R1059" s="16" t="str">
        <x:v>Yes</x:v>
      </x:c>
      <x:c r="S1059" s="56" t="n">
        <x:v>25242</x:v>
      </x:c>
      <x:c r="T1059" s="56" t="n">
        <x:v>19020</x:v>
      </x:c>
      <x:c r="U1059" s="40" t="n">
        <x:f>E1059*Assumptions!$B$8</x:f>
        <x:v>850.85</x:v>
      </x:c>
      <x:c r="V1059" s="40" t="n">
        <x:f>P1059*Assumptions!$B$8</x:f>
        <x:v>739.3169050390195</x:v>
      </x:c>
      <x:c r="W1059" s="54" t="n">
        <x:f>V1059-U1059</x:f>
        <x:v>-111.53309496098052</x:v>
      </x:c>
      <x:c r="X1059" s="58" t="n">
        <x:f>IF(R1059="No","",W1059*S1059)</x:f>
        <x:v>-2815318.3830050705</x:v>
      </x:c>
      <x:c r="Y1059" s="58" t="n">
        <x:f>IF(R1059="No","",W1059*T1059*Assumptions!$B$9)</x:f>
        <x:v>-636407.8398473548</x:v>
      </x:c>
      <x:c r="Z1059" s="58" t="n">
        <x:f>IF(R1059="No","",X1059-Y1059)</x:f>
        <x:v>-2178910.543157716</x:v>
      </x:c>
      <x:c r="AA1059" s="58" t="n">
        <x:f>IF(R1059="No","",MAX(0,-Z1059))</x:f>
        <x:v>2178910.543157716</x:v>
      </x:c>
      <x:c r="AB1059" s="52" t="n">
        <x:f>IF(OR(R1059="No",U1059*S1059=0),"",AA1059/(U1059*S1059))</x:f>
        <x:v>0.10145247227302617</x:v>
      </x:c>
      <x:c r="AC1059" s="54" t="n">
        <x:f>IF(OR(R1059="No",S1059-T1059*Assumptions!$B$9&lt;=0),"",AA1059/(Assumptions!$B$8*(S1059-T1059*Assumptions!$B$9)))</x:f>
        <x:v>131.2154058364477</x:v>
      </x:c>
      <x:c r="AD1059" s="52" t="n">
        <x:f>IF(OR(R1059="No",U1059*S1059=0),"",AA1059/(U1059*S1059))</x:f>
        <x:v>0.10145247227302617</x:v>
      </x:c>
      <x:c r="AE1059" s="50" t="str">
        <x:f>IF(R1059="No","No finance data",IF(AB1059&gt;=10%,"Severe",IF(AB1059&gt;=5%,"High",IF(AB1059&gt;=2%,"Moderate","Low"))))</x:f>
        <x:v>Severe</x:v>
      </x:c>
      <x:c r="AF1059" s="60" t="n">
        <x:v>42.650371</x:v>
      </x:c>
      <x:c r="AG1059" s="60" t="n">
        <x:v>-73.779063</x:v>
      </x:c>
      <x:c r="AH1059" s="44" t="str">
        <x:v>Undergraduate tuition-contribution proxy only; not an audited total institutional budget.</x:v>
      </x:c>
    </x:row>
    <x:row r="1060">
      <x:c r="A1060" s="16" t="n">
        <x:v>188641</x:v>
      </x:c>
      <x:c r="B1060" s="16" t="str">
        <x:v>Alfred University</x:v>
      </x:c>
      <x:c r="C1060" s="16" t="str">
        <x:v>NY</x:v>
      </x:c>
      <x:c r="D1060" s="16" t="str">
        <x:v>Private nonprofit</x:v>
      </x:c>
      <x:c r="E1060" s="34" t="n">
        <x:v>1754</x:v>
      </x:c>
      <x:c r="F1060" s="21" t="n">
        <x:v>0.6716</x:v>
      </x:c>
      <x:c r="G1060" s="16" t="str">
        <x:v>Regional</x:v>
      </x:c>
      <x:c r="H1060" s="36" t="n">
        <x:f>IF(G1060="National",Assumptions!$B$11,IF(G1060="Statewide",Assumptions!$B$12,Assumptions!$B$13))</x:f>
        <x:v>0.85</x:v>
      </x:c>
      <x:c r="I1060" s="21" t="n">
        <x:v>-0.08678079290324192</x:v>
      </x:c>
      <x:c r="J1060" s="21" t="n">
        <x:v>-0.14585233360743566</x:v>
      </x:c>
      <x:c r="K1060" s="21" t="n">
        <x:v>-0.24979193142458445</x:v>
      </x:c>
      <x:c r="L1060" s="36" t="n">
        <x:f>IF(Assumptions!$B$4=2030,I1060,IF(Assumptions!$B$4=2035,J1060,K1060))</x:f>
        <x:v>-0.14585233360743566</x:v>
      </x:c>
      <x:c r="M1060" s="36" t="n">
        <x:f>Assumptions!$B$19</x:f>
        <x:v>-0.04739891965741583</x:v>
      </x:c>
      <x:c r="N1060" s="52" t="n">
        <x:f>H1060*L1060+(1-H1060)*M1060+O1060</x:f>
        <x:v>-0.13108432151493268</x:v>
      </x:c>
      <x:c r="O1060" s="36" t="n">
        <x:f>Assumptions!$B$10</x:f>
        <x:v>0</x:v>
      </x:c>
      <x:c r="P1060" s="54" t="n">
        <x:f>E1060*(1+N1060)</x:f>
        <x:v>1524.078100062808</x:v>
      </x:c>
      <x:c r="Q1060" s="54" t="n">
        <x:f>P1060-E1060</x:f>
        <x:v>-229.92189993719194</x:v>
      </x:c>
      <x:c r="R1060" s="16" t="str">
        <x:v>Yes</x:v>
      </x:c>
      <x:c r="S1060" s="56" t="n">
        <x:v>10214</x:v>
      </x:c>
      <x:c r="T1060" s="56" t="n">
        <x:v>11189</x:v>
      </x:c>
      <x:c r="U1060" s="40" t="n">
        <x:f>E1060*Assumptions!$B$8</x:f>
        <x:v>1490.8999999999999</x:v>
      </x:c>
      <x:c r="V1060" s="40" t="n">
        <x:f>P1060*Assumptions!$B$8</x:f>
        <x:v>1295.4663850533868</x:v>
      </x:c>
      <x:c r="W1060" s="54" t="n">
        <x:f>V1060-U1060</x:f>
        <x:v>-195.43361494661303</x:v>
      </x:c>
      <x:c r="X1060" s="58" t="n">
        <x:f>IF(R1060="No","",W1060*S1060)</x:f>
        <x:v>-1996158.9430647055</x:v>
      </x:c>
      <x:c r="Y1060" s="58" t="n">
        <x:f>IF(R1060="No","",W1060*T1060*Assumptions!$B$9)</x:f>
        <x:v>-656012.0152912961</x:v>
      </x:c>
      <x:c r="Z1060" s="58" t="n">
        <x:f>IF(R1060="No","",X1060-Y1060)</x:f>
        <x:v>-1340146.9277734095</x:v>
      </x:c>
      <x:c r="AA1060" s="58" t="n">
        <x:f>IF(R1060="No","",MAX(0,-Z1060))</x:f>
        <x:v>1340146.9277734095</x:v>
      </x:c>
      <x:c r="AB1060" s="52" t="n">
        <x:f>IF(OR(R1060="No",U1060*S1060=0),"",AA1060/(U1060*S1060))</x:f>
        <x:v>0.0880051417587965</x:v>
      </x:c>
      <x:c r="AC1060" s="54" t="n">
        <x:f>IF(OR(R1060="No",S1060-T1060*Assumptions!$B$9&lt;=0),"",AA1060/(Assumptions!$B$8*(S1060-T1060*Assumptions!$B$9)))</x:f>
        <x:v>229.9218999371918</x:v>
      </x:c>
      <x:c r="AD1060" s="52" t="n">
        <x:f>IF(OR(R1060="No",U1060*S1060=0),"",AA1060/(U1060*S1060))</x:f>
        <x:v>0.0880051417587965</x:v>
      </x:c>
      <x:c r="AE1060" s="50" t="str">
        <x:f>IF(R1060="No","No finance data",IF(AB1060&gt;=10%,"Severe",IF(AB1060&gt;=5%,"High",IF(AB1060&gt;=2%,"Moderate","Low"))))</x:f>
        <x:v>High</x:v>
      </x:c>
      <x:c r="AF1060" s="60" t="n">
        <x:v>42.254476</x:v>
      </x:c>
      <x:c r="AG1060" s="60" t="n">
        <x:v>-77.788106</x:v>
      </x:c>
      <x:c r="AH1060" s="44" t="str">
        <x:v>Undergraduate tuition-contribution proxy only; not an audited total institutional budget.</x:v>
      </x:c>
    </x:row>
    <x:row r="1061">
      <x:c r="A1061" s="16" t="n">
        <x:v>245777</x:v>
      </x:c>
      <x:c r="B1061" s="16" t="str">
        <x:v>Bais Medrash Elyon</x:v>
      </x:c>
      <x:c r="C1061" s="16" t="str">
        <x:v>NY</x:v>
      </x:c>
      <x:c r="D1061" s="16" t="str">
        <x:v>Private nonprofit</x:v>
      </x:c>
      <x:c r="E1061" s="34" t="n">
        <x:v>64</x:v>
      </x:c>
      <x:c r="F1061" s="21"/>
      <x:c r="G1061" s="16" t="str">
        <x:v>Regional</x:v>
      </x:c>
      <x:c r="H1061" s="36" t="n">
        <x:f>IF(G1061="National",Assumptions!$B$11,IF(G1061="Statewide",Assumptions!$B$12,Assumptions!$B$13))</x:f>
        <x:v>0.85</x:v>
      </x:c>
      <x:c r="I1061" s="21" t="n">
        <x:v>-0.08678079290324192</x:v>
      </x:c>
      <x:c r="J1061" s="21" t="n">
        <x:v>-0.14585233360743566</x:v>
      </x:c>
      <x:c r="K1061" s="21" t="n">
        <x:v>-0.24979193142458445</x:v>
      </x:c>
      <x:c r="L1061" s="36" t="n">
        <x:f>IF(Assumptions!$B$4=2030,I1061,IF(Assumptions!$B$4=2035,J1061,K1061))</x:f>
        <x:v>-0.14585233360743566</x:v>
      </x:c>
      <x:c r="M1061" s="36" t="n">
        <x:f>Assumptions!$B$19</x:f>
        <x:v>-0.04739891965741583</x:v>
      </x:c>
      <x:c r="N1061" s="52" t="n">
        <x:f>H1061*L1061+(1-H1061)*M1061+O1061</x:f>
        <x:v>-0.13108432151493268</x:v>
      </x:c>
      <x:c r="O1061" s="36" t="n">
        <x:f>Assumptions!$B$10</x:f>
        <x:v>0</x:v>
      </x:c>
      <x:c r="P1061" s="54" t="n">
        <x:f>E1061*(1+N1061)</x:f>
        <x:v>55.61060342304431</x:v>
      </x:c>
      <x:c r="Q1061" s="54" t="n">
        <x:f>P1061-E1061</x:f>
        <x:v>-8.38939657695569</x:v>
      </x:c>
      <x:c r="R1061" s="16" t="str">
        <x:v>No</x:v>
      </x:c>
      <x:c r="S1061" s="56"/>
      <x:c r="T1061" s="56"/>
      <x:c r="U1061" s="40" t="n">
        <x:f>E1061*Assumptions!$B$8</x:f>
        <x:v>54.4</x:v>
      </x:c>
      <x:c r="V1061" s="40" t="n">
        <x:f>P1061*Assumptions!$B$8</x:f>
        <x:v>47.269012909587666</x:v>
      </x:c>
      <x:c r="W1061" s="54" t="n">
        <x:f>V1061-U1061</x:f>
        <x:v>-7.130987090412333</x:v>
      </x:c>
      <x:c r="X1061" s="58" t="str">
        <x:f>IF(R1061="No","",W1061*S1061)</x:f>
      </x:c>
      <x:c r="Y1061" s="58" t="str">
        <x:f>IF(R1061="No","",W1061*T1061*Assumptions!$B$9)</x:f>
      </x:c>
      <x:c r="Z1061" s="58" t="str">
        <x:f>IF(R1061="No","",X1061-Y1061)</x:f>
      </x:c>
      <x:c r="AA1061" s="58" t="str">
        <x:f>IF(R1061="No","",MAX(0,-Z1061))</x:f>
      </x:c>
      <x:c r="AB1061" s="52" t="str">
        <x:f>IF(OR(R1061="No",U1061*S1061=0),"",AA1061/(U1061*S1061))</x:f>
      </x:c>
      <x:c r="AC1061" s="54" t="str">
        <x:f>IF(OR(R1061="No",S1061-T1061*Assumptions!$B$9&lt;=0),"",AA1061/(Assumptions!$B$8*(S1061-T1061*Assumptions!$B$9)))</x:f>
      </x:c>
      <x:c r="AD1061" s="52" t="str">
        <x:f>IF(OR(R1061="No",U1061*S1061=0),"",AA1061/(U1061*S1061))</x:f>
      </x:c>
      <x:c r="AE1061" s="50" t="str">
        <x:f>IF(R1061="No","No finance data",IF(AB1061&gt;=10%,"Severe",IF(AB1061&gt;=5%,"High",IF(AB1061&gt;=2%,"Moderate","Low"))))</x:f>
        <x:v>No finance data</x:v>
      </x:c>
      <x:c r="AF1061" s="60"/>
      <x:c r="AG1061" s="60"/>
      <x:c r="AH1061" s="44" t="str">
        <x:v>Undergraduate tuition-contribution proxy only; not an audited total institutional budget.</x:v>
      </x:c>
    </x:row>
    <x:row r="1062">
      <x:c r="A1062" s="16" t="n">
        <x:v>189088</x:v>
      </x:c>
      <x:c r="B1062" s="16" t="str">
        <x:v>Bard College</x:v>
      </x:c>
      <x:c r="C1062" s="16" t="str">
        <x:v>NY</x:v>
      </x:c>
      <x:c r="D1062" s="16" t="str">
        <x:v>Private nonprofit</x:v>
      </x:c>
      <x:c r="E1062" s="34" t="n">
        <x:v>1976</x:v>
      </x:c>
      <x:c r="F1062" s="21" t="n">
        <x:v>0.5992</x:v>
      </x:c>
      <x:c r="G1062" s="16" t="str">
        <x:v>Regional</x:v>
      </x:c>
      <x:c r="H1062" s="36" t="n">
        <x:f>IF(G1062="National",Assumptions!$B$11,IF(G1062="Statewide",Assumptions!$B$12,Assumptions!$B$13))</x:f>
        <x:v>0.85</x:v>
      </x:c>
      <x:c r="I1062" s="21" t="n">
        <x:v>-0.08678079290324192</x:v>
      </x:c>
      <x:c r="J1062" s="21" t="n">
        <x:v>-0.14585233360743566</x:v>
      </x:c>
      <x:c r="K1062" s="21" t="n">
        <x:v>-0.24979193142458445</x:v>
      </x:c>
      <x:c r="L1062" s="36" t="n">
        <x:f>IF(Assumptions!$B$4=2030,I1062,IF(Assumptions!$B$4=2035,J1062,K1062))</x:f>
        <x:v>-0.14585233360743566</x:v>
      </x:c>
      <x:c r="M1062" s="36" t="n">
        <x:f>Assumptions!$B$19</x:f>
        <x:v>-0.04739891965741583</x:v>
      </x:c>
      <x:c r="N1062" s="52" t="n">
        <x:f>H1062*L1062+(1-H1062)*M1062+O1062</x:f>
        <x:v>-0.13108432151493268</x:v>
      </x:c>
      <x:c r="O1062" s="36" t="n">
        <x:f>Assumptions!$B$10</x:f>
        <x:v>0</x:v>
      </x:c>
      <x:c r="P1062" s="54" t="n">
        <x:f>E1062*(1+N1062)</x:f>
        <x:v>1716.977380686493</x:v>
      </x:c>
      <x:c r="Q1062" s="54" t="n">
        <x:f>P1062-E1062</x:f>
        <x:v>-259.022619313507</x:v>
      </x:c>
      <x:c r="R1062" s="16" t="str">
        <x:v>Yes</x:v>
      </x:c>
      <x:c r="S1062" s="56" t="n">
        <x:v>15138</x:v>
      </x:c>
      <x:c r="T1062" s="56" t="n">
        <x:v>36144</x:v>
      </x:c>
      <x:c r="U1062" s="40" t="n">
        <x:f>E1062*Assumptions!$B$8</x:f>
        <x:v>1679.6</x:v>
      </x:c>
      <x:c r="V1062" s="40" t="n">
        <x:f>P1062*Assumptions!$B$8</x:f>
        <x:v>1459.430773583519</x:v>
      </x:c>
      <x:c r="W1062" s="54" t="n">
        <x:f>V1062-U1062</x:f>
        <x:v>-220.1692264164808</x:v>
      </x:c>
      <x:c r="X1062" s="58" t="n">
        <x:f>IF(R1062="No","",W1062*S1062)</x:f>
        <x:v>-3332921.7494926862</x:v>
      </x:c>
      <x:c r="Y1062" s="58" t="n">
        <x:f>IF(R1062="No","",W1062*T1062*Assumptions!$B$9)</x:f>
        <x:v>-2387338.9558791844</x:v>
      </x:c>
      <x:c r="Z1062" s="58" t="n">
        <x:f>IF(R1062="No","",X1062-Y1062)</x:f>
        <x:v>-945582.7936135018</x:v>
      </x:c>
      <x:c r="AA1062" s="58" t="n">
        <x:f>IF(R1062="No","",MAX(0,-Z1062))</x:f>
        <x:v>945582.7936135018</x:v>
      </x:c>
      <x:c r="AB1062" s="52" t="n">
        <x:f>IF(OR(R1062="No",U1062*S1062=0),"",AA1062/(U1062*S1062))</x:f>
        <x:v>0.03718991571160871</x:v>
      </x:c>
      <x:c r="AC1062" s="54" t="n">
        <x:f>IF(OR(R1062="No",S1062-T1062*Assumptions!$B$9&lt;=0),"",AA1062/(Assumptions!$B$8*(S1062-T1062*Assumptions!$B$9)))</x:f>
        <x:v>259.02261931350677</x:v>
      </x:c>
      <x:c r="AD1062" s="52" t="n">
        <x:f>IF(OR(R1062="No",U1062*S1062=0),"",AA1062/(U1062*S1062))</x:f>
        <x:v>0.03718991571160871</x:v>
      </x:c>
      <x:c r="AE1062" s="50" t="str">
        <x:f>IF(R1062="No","No finance data",IF(AB1062&gt;=10%,"Severe",IF(AB1062&gt;=5%,"High",IF(AB1062&gt;=2%,"Moderate","Low"))))</x:f>
        <x:v>Moderate</x:v>
      </x:c>
      <x:c r="AF1062" s="60" t="n">
        <x:v>42.020386</x:v>
      </x:c>
      <x:c r="AG1062" s="60" t="n">
        <x:v>-73.909927</x:v>
      </x:c>
      <x:c r="AH1062" s="44" t="str">
        <x:v>Undergraduate tuition-contribution proxy only; not an audited total institutional budget.</x:v>
      </x:c>
    </x:row>
    <x:row r="1063">
      <x:c r="A1063" s="16" t="n">
        <x:v>189097</x:v>
      </x:c>
      <x:c r="B1063" s="16" t="str">
        <x:v>Barnard College</x:v>
      </x:c>
      <x:c r="C1063" s="16" t="str">
        <x:v>NY</x:v>
      </x:c>
      <x:c r="D1063" s="16" t="str">
        <x:v>Private nonprofit</x:v>
      </x:c>
      <x:c r="E1063" s="34" t="n">
        <x:v>2536</x:v>
      </x:c>
      <x:c r="F1063" s="21" t="n">
        <x:v>0.1147</x:v>
      </x:c>
      <x:c r="G1063" s="16" t="str">
        <x:v>National</x:v>
      </x:c>
      <x:c r="H1063" s="36" t="n">
        <x:f>IF(G1063="National",Assumptions!$B$11,IF(G1063="Statewide",Assumptions!$B$12,Assumptions!$B$13))</x:f>
        <x:v>0.25</x:v>
      </x:c>
      <x:c r="I1063" s="21" t="n">
        <x:v>-0.08678079290324192</x:v>
      </x:c>
      <x:c r="J1063" s="21" t="n">
        <x:v>-0.14585233360743566</x:v>
      </x:c>
      <x:c r="K1063" s="21" t="n">
        <x:v>-0.24979193142458445</x:v>
      </x:c>
      <x:c r="L1063" s="36" t="n">
        <x:f>IF(Assumptions!$B$4=2030,I1063,IF(Assumptions!$B$4=2035,J1063,K1063))</x:f>
        <x:v>-0.14585233360743566</x:v>
      </x:c>
      <x:c r="M1063" s="36" t="n">
        <x:f>Assumptions!$B$19</x:f>
        <x:v>-0.04739891965741583</x:v>
      </x:c>
      <x:c r="N1063" s="52" t="n">
        <x:f>H1063*L1063+(1-H1063)*M1063+O1063</x:f>
        <x:v>-0.07201227314492079</x:v>
      </x:c>
      <x:c r="O1063" s="36" t="n">
        <x:f>Assumptions!$B$10</x:f>
        <x:v>0</x:v>
      </x:c>
      <x:c r="P1063" s="54" t="n">
        <x:f>E1063*(1+N1063)</x:f>
        <x:v>2353.376875304481</x:v>
      </x:c>
      <x:c r="Q1063" s="54" t="n">
        <x:f>P1063-E1063</x:f>
        <x:v>-182.62312469551898</x:v>
      </x:c>
      <x:c r="R1063" s="16" t="str">
        <x:v>Yes</x:v>
      </x:c>
      <x:c r="S1063" s="56" t="n">
        <x:v>41834</x:v>
      </x:c>
      <x:c r="T1063" s="56" t="n">
        <x:v>25557</x:v>
      </x:c>
      <x:c r="U1063" s="40" t="n">
        <x:f>E1063*Assumptions!$B$8</x:f>
        <x:v>2155.6</x:v>
      </x:c>
      <x:c r="V1063" s="40" t="n">
        <x:f>P1063*Assumptions!$B$8</x:f>
        <x:v>2000.3703440088088</x:v>
      </x:c>
      <x:c r="W1063" s="54" t="n">
        <x:f>V1063-U1063</x:f>
        <x:v>-155.22965599119107</x:v>
      </x:c>
      <x:c r="X1063" s="58" t="n">
        <x:f>IF(R1063="No","",W1063*S1063)</x:f>
        <x:v>-6493877.428735487</x:v>
      </x:c>
      <x:c r="Y1063" s="58" t="n">
        <x:f>IF(R1063="No","",W1063*T1063*Assumptions!$B$9)</x:f>
        <x:v>-1190161.295450061</x:v>
      </x:c>
      <x:c r="Z1063" s="58" t="n">
        <x:f>IF(R1063="No","",X1063-Y1063)</x:f>
        <x:v>-5303716.133285426</x:v>
      </x:c>
      <x:c r="AA1063" s="58" t="n">
        <x:f>IF(R1063="No","",MAX(0,-Z1063))</x:f>
        <x:v>5303716.133285426</x:v>
      </x:c>
      <x:c r="AB1063" s="52" t="n">
        <x:f>IF(OR(R1063="No",U1063*S1063=0),"",AA1063/(U1063*S1063))</x:f>
        <x:v>0.05881426914268756</x:v>
      </x:c>
      <x:c r="AC1063" s="54" t="n">
        <x:f>IF(OR(R1063="No",S1063-T1063*Assumptions!$B$9&lt;=0),"",AA1063/(Assumptions!$B$8*(S1063-T1063*Assumptions!$B$9)))</x:f>
        <x:v>182.62312469551887</x:v>
      </x:c>
      <x:c r="AD1063" s="52" t="n">
        <x:f>IF(OR(R1063="No",U1063*S1063=0),"",AA1063/(U1063*S1063))</x:f>
        <x:v>0.05881426914268756</x:v>
      </x:c>
      <x:c r="AE1063" s="50" t="str">
        <x:f>IF(R1063="No","No finance data",IF(AB1063&gt;=10%,"Severe",IF(AB1063&gt;=5%,"High",IF(AB1063&gt;=2%,"Moderate","Low"))))</x:f>
        <x:v>High</x:v>
      </x:c>
      <x:c r="AF1063" s="60" t="n">
        <x:v>40.810098</x:v>
      </x:c>
      <x:c r="AG1063" s="60" t="n">
        <x:v>-73.963346</x:v>
      </x:c>
      <x:c r="AH1063" s="44" t="str">
        <x:v>Undergraduate tuition-contribution proxy only; not an audited total institutional budget.</x:v>
      </x:c>
    </x:row>
    <x:row r="1064">
      <x:c r="A1064" s="16" t="n">
        <x:v>476717</x:v>
      </x:c>
      <x:c r="B1064" s="16" t="str">
        <x:v>Be'er Yaakov Talmudic Seminary</x:v>
      </x:c>
      <x:c r="C1064" s="16" t="str">
        <x:v>NY</x:v>
      </x:c>
      <x:c r="D1064" s="16" t="str">
        <x:v>Private nonprofit</x:v>
      </x:c>
      <x:c r="E1064" s="34" t="n">
        <x:v>469</x:v>
      </x:c>
      <x:c r="F1064" s="21"/>
      <x:c r="G1064" s="16" t="str">
        <x:v>Regional</x:v>
      </x:c>
      <x:c r="H1064" s="36" t="n">
        <x:f>IF(G1064="National",Assumptions!$B$11,IF(G1064="Statewide",Assumptions!$B$12,Assumptions!$B$13))</x:f>
        <x:v>0.85</x:v>
      </x:c>
      <x:c r="I1064" s="21" t="n">
        <x:v>-0.08678079290324192</x:v>
      </x:c>
      <x:c r="J1064" s="21" t="n">
        <x:v>-0.14585233360743566</x:v>
      </x:c>
      <x:c r="K1064" s="21" t="n">
        <x:v>-0.24979193142458445</x:v>
      </x:c>
      <x:c r="L1064" s="36" t="n">
        <x:f>IF(Assumptions!$B$4=2030,I1064,IF(Assumptions!$B$4=2035,J1064,K1064))</x:f>
        <x:v>-0.14585233360743566</x:v>
      </x:c>
      <x:c r="M1064" s="36" t="n">
        <x:f>Assumptions!$B$19</x:f>
        <x:v>-0.04739891965741583</x:v>
      </x:c>
      <x:c r="N1064" s="52" t="n">
        <x:f>H1064*L1064+(1-H1064)*M1064+O1064</x:f>
        <x:v>-0.13108432151493268</x:v>
      </x:c>
      <x:c r="O1064" s="36" t="n">
        <x:f>Assumptions!$B$10</x:f>
        <x:v>0</x:v>
      </x:c>
      <x:c r="P1064" s="54" t="n">
        <x:f>E1064*(1+N1064)</x:f>
        <x:v>407.5214532094966</x:v>
      </x:c>
      <x:c r="Q1064" s="54" t="n">
        <x:f>P1064-E1064</x:f>
        <x:v>-61.4785467905034</x:v>
      </x:c>
      <x:c r="R1064" s="16" t="str">
        <x:v>Yes</x:v>
      </x:c>
      <x:c r="S1064" s="56" t="n">
        <x:v>13820</x:v>
      </x:c>
      <x:c r="T1064" s="56" t="n">
        <x:v>4059</x:v>
      </x:c>
      <x:c r="U1064" s="40" t="n">
        <x:f>E1064*Assumptions!$B$8</x:f>
        <x:v>398.65</x:v>
      </x:c>
      <x:c r="V1064" s="40" t="n">
        <x:f>P1064*Assumptions!$B$8</x:f>
        <x:v>346.3932352280721</x:v>
      </x:c>
      <x:c r="W1064" s="54" t="n">
        <x:f>V1064-U1064</x:f>
        <x:v>-52.25676477192786</x:v>
      </x:c>
      <x:c r="X1064" s="58" t="n">
        <x:f>IF(R1064="No","",W1064*S1064)</x:f>
        <x:v>-722188.4891480431</x:v>
      </x:c>
      <x:c r="Y1064" s="58" t="n">
        <x:f>IF(R1064="No","",W1064*T1064*Assumptions!$B$9)</x:f>
        <x:v>-63633.06246277655</x:v>
      </x:c>
      <x:c r="Z1064" s="58" t="n">
        <x:f>IF(R1064="No","",X1064-Y1064)</x:f>
        <x:v>-658555.4266852665</x:v>
      </x:c>
      <x:c r="AA1064" s="58" t="n">
        <x:f>IF(R1064="No","",MAX(0,-Z1064))</x:f>
        <x:v>658555.4266852665</x:v>
      </x:c>
      <x:c r="AB1064" s="52" t="n">
        <x:f>IF(OR(R1064="No",U1064*S1064=0),"",AA1064/(U1064*S1064))</x:f>
        <x:v>0.1195342941409287</x:v>
      </x:c>
      <x:c r="AC1064" s="54" t="n">
        <x:f>IF(OR(R1064="No",S1064-T1064*Assumptions!$B$9&lt;=0),"",AA1064/(Assumptions!$B$8*(S1064-T1064*Assumptions!$B$9)))</x:f>
        <x:v>61.47854679050337</x:v>
      </x:c>
      <x:c r="AD1064" s="52" t="n">
        <x:f>IF(OR(R1064="No",U1064*S1064=0),"",AA1064/(U1064*S1064))</x:f>
        <x:v>0.1195342941409287</x:v>
      </x:c>
      <x:c r="AE1064" s="50" t="str">
        <x:f>IF(R1064="No","No finance data",IF(AB1064&gt;=10%,"Severe",IF(AB1064&gt;=5%,"High",IF(AB1064&gt;=2%,"Moderate","Low"))))</x:f>
        <x:v>Severe</x:v>
      </x:c>
      <x:c r="AF1064" s="60" t="n">
        <x:v>41.138206</x:v>
      </x:c>
      <x:c r="AG1064" s="60" t="n">
        <x:v>-74.029573</x:v>
      </x:c>
      <x:c r="AH1064" s="44" t="str">
        <x:v>Undergraduate tuition-contribution proxy only; not an audited total institutional budget.</x:v>
      </x:c>
    </x:row>
    <x:row r="1065">
      <x:c r="A1065" s="16" t="n">
        <x:v>444413</x:v>
      </x:c>
      <x:c r="B1065" s="16" t="str">
        <x:v>Beis Medrash Heichal Dovid</x:v>
      </x:c>
      <x:c r="C1065" s="16" t="str">
        <x:v>NY</x:v>
      </x:c>
      <x:c r="D1065" s="16" t="str">
        <x:v>Private nonprofit</x:v>
      </x:c>
      <x:c r="E1065" s="34" t="n">
        <x:v>105</x:v>
      </x:c>
      <x:c r="F1065" s="21"/>
      <x:c r="G1065" s="16" t="str">
        <x:v>Regional</x:v>
      </x:c>
      <x:c r="H1065" s="36" t="n">
        <x:f>IF(G1065="National",Assumptions!$B$11,IF(G1065="Statewide",Assumptions!$B$12,Assumptions!$B$13))</x:f>
        <x:v>0.85</x:v>
      </x:c>
      <x:c r="I1065" s="21" t="n">
        <x:v>-0.08678079290324192</x:v>
      </x:c>
      <x:c r="J1065" s="21" t="n">
        <x:v>-0.14585233360743566</x:v>
      </x:c>
      <x:c r="K1065" s="21" t="n">
        <x:v>-0.24979193142458445</x:v>
      </x:c>
      <x:c r="L1065" s="36" t="n">
        <x:f>IF(Assumptions!$B$4=2030,I1065,IF(Assumptions!$B$4=2035,J1065,K1065))</x:f>
        <x:v>-0.14585233360743566</x:v>
      </x:c>
      <x:c r="M1065" s="36" t="n">
        <x:f>Assumptions!$B$19</x:f>
        <x:v>-0.04739891965741583</x:v>
      </x:c>
      <x:c r="N1065" s="52" t="n">
        <x:f>H1065*L1065+(1-H1065)*M1065+O1065</x:f>
        <x:v>-0.13108432151493268</x:v>
      </x:c>
      <x:c r="O1065" s="36" t="n">
        <x:f>Assumptions!$B$10</x:f>
        <x:v>0</x:v>
      </x:c>
      <x:c r="P1065" s="54" t="n">
        <x:f>E1065*(1+N1065)</x:f>
        <x:v>91.23614624093207</x:v>
      </x:c>
      <x:c r="Q1065" s="54" t="n">
        <x:f>P1065-E1065</x:f>
        <x:v>-13.763853759067928</x:v>
      </x:c>
      <x:c r="R1065" s="16" t="str">
        <x:v>No</x:v>
      </x:c>
      <x:c r="S1065" s="56"/>
      <x:c r="T1065" s="56"/>
      <x:c r="U1065" s="40" t="n">
        <x:f>E1065*Assumptions!$B$8</x:f>
        <x:v>89.25</x:v>
      </x:c>
      <x:c r="V1065" s="40" t="n">
        <x:f>P1065*Assumptions!$B$8</x:f>
        <x:v>77.55072430479225</x:v>
      </x:c>
      <x:c r="W1065" s="54" t="n">
        <x:f>V1065-U1065</x:f>
        <x:v>-11.699275695207746</x:v>
      </x:c>
      <x:c r="X1065" s="58" t="str">
        <x:f>IF(R1065="No","",W1065*S1065)</x:f>
      </x:c>
      <x:c r="Y1065" s="58" t="str">
        <x:f>IF(R1065="No","",W1065*T1065*Assumptions!$B$9)</x:f>
      </x:c>
      <x:c r="Z1065" s="58" t="str">
        <x:f>IF(R1065="No","",X1065-Y1065)</x:f>
      </x:c>
      <x:c r="AA1065" s="58" t="str">
        <x:f>IF(R1065="No","",MAX(0,-Z1065))</x:f>
      </x:c>
      <x:c r="AB1065" s="52" t="str">
        <x:f>IF(OR(R1065="No",U1065*S1065=0),"",AA1065/(U1065*S1065))</x:f>
      </x:c>
      <x:c r="AC1065" s="54" t="str">
        <x:f>IF(OR(R1065="No",S1065-T1065*Assumptions!$B$9&lt;=0),"",AA1065/(Assumptions!$B$8*(S1065-T1065*Assumptions!$B$9)))</x:f>
      </x:c>
      <x:c r="AD1065" s="52" t="str">
        <x:f>IF(OR(R1065="No",U1065*S1065=0),"",AA1065/(U1065*S1065))</x:f>
      </x:c>
      <x:c r="AE1065" s="50" t="str">
        <x:f>IF(R1065="No","No finance data",IF(AB1065&gt;=10%,"Severe",IF(AB1065&gt;=5%,"High",IF(AB1065&gt;=2%,"Moderate","Low"))))</x:f>
        <x:v>No finance data</x:v>
      </x:c>
      <x:c r="AF1065" s="60"/>
      <x:c r="AG1065" s="60"/>
      <x:c r="AH1065" s="44" t="str">
        <x:v>Undergraduate tuition-contribution proxy only; not an audited total institutional budget.</x:v>
      </x:c>
    </x:row>
    <x:row r="1066">
      <x:c r="A1066" s="16" t="n">
        <x:v>485999</x:v>
      </x:c>
      <x:c r="B1066" s="16" t="str">
        <x:v>Bet Medrash Gadol Ateret Torah</x:v>
      </x:c>
      <x:c r="C1066" s="16" t="str">
        <x:v>NY</x:v>
      </x:c>
      <x:c r="D1066" s="16" t="str">
        <x:v>Private nonprofit</x:v>
      </x:c>
      <x:c r="E1066" s="34" t="n">
        <x:v>124</x:v>
      </x:c>
      <x:c r="F1066" s="21"/>
      <x:c r="G1066" s="16" t="str">
        <x:v>Regional</x:v>
      </x:c>
      <x:c r="H1066" s="36" t="n">
        <x:f>IF(G1066="National",Assumptions!$B$11,IF(G1066="Statewide",Assumptions!$B$12,Assumptions!$B$13))</x:f>
        <x:v>0.85</x:v>
      </x:c>
      <x:c r="I1066" s="21" t="n">
        <x:v>-0.08678079290324192</x:v>
      </x:c>
      <x:c r="J1066" s="21" t="n">
        <x:v>-0.14585233360743566</x:v>
      </x:c>
      <x:c r="K1066" s="21" t="n">
        <x:v>-0.24979193142458445</x:v>
      </x:c>
      <x:c r="L1066" s="36" t="n">
        <x:f>IF(Assumptions!$B$4=2030,I1066,IF(Assumptions!$B$4=2035,J1066,K1066))</x:f>
        <x:v>-0.14585233360743566</x:v>
      </x:c>
      <x:c r="M1066" s="36" t="n">
        <x:f>Assumptions!$B$19</x:f>
        <x:v>-0.04739891965741583</x:v>
      </x:c>
      <x:c r="N1066" s="52" t="n">
        <x:f>H1066*L1066+(1-H1066)*M1066+O1066</x:f>
        <x:v>-0.13108432151493268</x:v>
      </x:c>
      <x:c r="O1066" s="36" t="n">
        <x:f>Assumptions!$B$10</x:f>
        <x:v>0</x:v>
      </x:c>
      <x:c r="P1066" s="54" t="n">
        <x:f>E1066*(1+N1066)</x:f>
        <x:v>107.74554413214835</x:v>
      </x:c>
      <x:c r="Q1066" s="54" t="n">
        <x:f>P1066-E1066</x:f>
        <x:v>-16.254455867851647</x:v>
      </x:c>
      <x:c r="R1066" s="16" t="str">
        <x:v>No</x:v>
      </x:c>
      <x:c r="S1066" s="56"/>
      <x:c r="T1066" s="56"/>
      <x:c r="U1066" s="40" t="n">
        <x:f>E1066*Assumptions!$B$8</x:f>
        <x:v>105.39999999999999</x:v>
      </x:c>
      <x:c r="V1066" s="40" t="n">
        <x:f>P1066*Assumptions!$B$8</x:f>
        <x:v>91.5837125123261</x:v>
      </x:c>
      <x:c r="W1066" s="54" t="n">
        <x:f>V1066-U1066</x:f>
        <x:v>-13.81628748767389</x:v>
      </x:c>
      <x:c r="X1066" s="58" t="str">
        <x:f>IF(R1066="No","",W1066*S1066)</x:f>
      </x:c>
      <x:c r="Y1066" s="58" t="str">
        <x:f>IF(R1066="No","",W1066*T1066*Assumptions!$B$9)</x:f>
      </x:c>
      <x:c r="Z1066" s="58" t="str">
        <x:f>IF(R1066="No","",X1066-Y1066)</x:f>
      </x:c>
      <x:c r="AA1066" s="58" t="str">
        <x:f>IF(R1066="No","",MAX(0,-Z1066))</x:f>
      </x:c>
      <x:c r="AB1066" s="52" t="str">
        <x:f>IF(OR(R1066="No",U1066*S1066=0),"",AA1066/(U1066*S1066))</x:f>
      </x:c>
      <x:c r="AC1066" s="54" t="str">
        <x:f>IF(OR(R1066="No",S1066-T1066*Assumptions!$B$9&lt;=0),"",AA1066/(Assumptions!$B$8*(S1066-T1066*Assumptions!$B$9)))</x:f>
      </x:c>
      <x:c r="AD1066" s="52" t="str">
        <x:f>IF(OR(R1066="No",U1066*S1066=0),"",AA1066/(U1066*S1066))</x:f>
      </x:c>
      <x:c r="AE1066" s="50" t="str">
        <x:f>IF(R1066="No","No finance data",IF(AB1066&gt;=10%,"Severe",IF(AB1066&gt;=5%,"High",IF(AB1066&gt;=2%,"Moderate","Low"))))</x:f>
        <x:v>No finance data</x:v>
      </x:c>
      <x:c r="AF1066" s="60"/>
      <x:c r="AG1066" s="60"/>
      <x:c r="AH1066" s="44" t="str">
        <x:v>Undergraduate tuition-contribution proxy only; not an audited total institutional budget.</x:v>
      </x:c>
    </x:row>
    <x:row r="1067">
      <x:c r="A1067" s="16" t="n">
        <x:v>189273</x:v>
      </x:c>
      <x:c r="B1067" s="16" t="str">
        <x:v>Beth Hamedrash Shaarei Yosher Institute</x:v>
      </x:c>
      <x:c r="C1067" s="16" t="str">
        <x:v>NY</x:v>
      </x:c>
      <x:c r="D1067" s="16" t="str">
        <x:v>Private nonprofit</x:v>
      </x:c>
      <x:c r="E1067" s="34" t="n">
        <x:v>44</x:v>
      </x:c>
      <x:c r="F1067" s="21"/>
      <x:c r="G1067" s="16" t="str">
        <x:v>Regional</x:v>
      </x:c>
      <x:c r="H1067" s="36" t="n">
        <x:f>IF(G1067="National",Assumptions!$B$11,IF(G1067="Statewide",Assumptions!$B$12,Assumptions!$B$13))</x:f>
        <x:v>0.85</x:v>
      </x:c>
      <x:c r="I1067" s="21" t="n">
        <x:v>-0.08678079290324192</x:v>
      </x:c>
      <x:c r="J1067" s="21" t="n">
        <x:v>-0.14585233360743566</x:v>
      </x:c>
      <x:c r="K1067" s="21" t="n">
        <x:v>-0.24979193142458445</x:v>
      </x:c>
      <x:c r="L1067" s="36" t="n">
        <x:f>IF(Assumptions!$B$4=2030,I1067,IF(Assumptions!$B$4=2035,J1067,K1067))</x:f>
        <x:v>-0.14585233360743566</x:v>
      </x:c>
      <x:c r="M1067" s="36" t="n">
        <x:f>Assumptions!$B$19</x:f>
        <x:v>-0.04739891965741583</x:v>
      </x:c>
      <x:c r="N1067" s="52" t="n">
        <x:f>H1067*L1067+(1-H1067)*M1067+O1067</x:f>
        <x:v>-0.13108432151493268</x:v>
      </x:c>
      <x:c r="O1067" s="36" t="n">
        <x:f>Assumptions!$B$10</x:f>
        <x:v>0</x:v>
      </x:c>
      <x:c r="P1067" s="54" t="n">
        <x:f>E1067*(1+N1067)</x:f>
        <x:v>38.23228985334296</x:v>
      </x:c>
      <x:c r="Q1067" s="54" t="n">
        <x:f>P1067-E1067</x:f>
        <x:v>-5.767710146657038</x:v>
      </x:c>
      <x:c r="R1067" s="16" t="str">
        <x:v>No</x:v>
      </x:c>
      <x:c r="S1067" s="56"/>
      <x:c r="T1067" s="56"/>
      <x:c r="U1067" s="40" t="n">
        <x:f>E1067*Assumptions!$B$8</x:f>
        <x:v>37.4</x:v>
      </x:c>
      <x:c r="V1067" s="40" t="n">
        <x:f>P1067*Assumptions!$B$8</x:f>
        <x:v>32.49744637534152</x:v>
      </x:c>
      <x:c r="W1067" s="54" t="n">
        <x:f>V1067-U1067</x:f>
        <x:v>-4.902553624658481</x:v>
      </x:c>
      <x:c r="X1067" s="58" t="str">
        <x:f>IF(R1067="No","",W1067*S1067)</x:f>
      </x:c>
      <x:c r="Y1067" s="58" t="str">
        <x:f>IF(R1067="No","",W1067*T1067*Assumptions!$B$9)</x:f>
      </x:c>
      <x:c r="Z1067" s="58" t="str">
        <x:f>IF(R1067="No","",X1067-Y1067)</x:f>
      </x:c>
      <x:c r="AA1067" s="58" t="str">
        <x:f>IF(R1067="No","",MAX(0,-Z1067))</x:f>
      </x:c>
      <x:c r="AB1067" s="52" t="str">
        <x:f>IF(OR(R1067="No",U1067*S1067=0),"",AA1067/(U1067*S1067))</x:f>
      </x:c>
      <x:c r="AC1067" s="54" t="str">
        <x:f>IF(OR(R1067="No",S1067-T1067*Assumptions!$B$9&lt;=0),"",AA1067/(Assumptions!$B$8*(S1067-T1067*Assumptions!$B$9)))</x:f>
      </x:c>
      <x:c r="AD1067" s="52" t="str">
        <x:f>IF(OR(R1067="No",U1067*S1067=0),"",AA1067/(U1067*S1067))</x:f>
      </x:c>
      <x:c r="AE1067" s="50" t="str">
        <x:f>IF(R1067="No","No finance data",IF(AB1067&gt;=10%,"Severe",IF(AB1067&gt;=5%,"High",IF(AB1067&gt;=2%,"Moderate","Low"))))</x:f>
        <x:v>No finance data</x:v>
      </x:c>
      <x:c r="AF1067" s="60"/>
      <x:c r="AG1067" s="60"/>
      <x:c r="AH1067" s="44" t="str">
        <x:v>Undergraduate tuition-contribution proxy only; not an audited total institutional budget.</x:v>
      </x:c>
    </x:row>
    <x:row r="1068">
      <x:c r="A1068" s="16" t="n">
        <x:v>189264</x:v>
      </x:c>
      <x:c r="B1068" s="16" t="str">
        <x:v>Beth Hatalmud Rabbinical College</x:v>
      </x:c>
      <x:c r="C1068" s="16" t="str">
        <x:v>NY</x:v>
      </x:c>
      <x:c r="D1068" s="16" t="str">
        <x:v>Private nonprofit</x:v>
      </x:c>
      <x:c r="E1068" s="34" t="n">
        <x:v>25</x:v>
      </x:c>
      <x:c r="F1068" s="21"/>
      <x:c r="G1068" s="16" t="str">
        <x:v>Regional</x:v>
      </x:c>
      <x:c r="H1068" s="36" t="n">
        <x:f>IF(G1068="National",Assumptions!$B$11,IF(G1068="Statewide",Assumptions!$B$12,Assumptions!$B$13))</x:f>
        <x:v>0.85</x:v>
      </x:c>
      <x:c r="I1068" s="21" t="n">
        <x:v>-0.08678079290324192</x:v>
      </x:c>
      <x:c r="J1068" s="21" t="n">
        <x:v>-0.14585233360743566</x:v>
      </x:c>
      <x:c r="K1068" s="21" t="n">
        <x:v>-0.24979193142458445</x:v>
      </x:c>
      <x:c r="L1068" s="36" t="n">
        <x:f>IF(Assumptions!$B$4=2030,I1068,IF(Assumptions!$B$4=2035,J1068,K1068))</x:f>
        <x:v>-0.14585233360743566</x:v>
      </x:c>
      <x:c r="M1068" s="36" t="n">
        <x:f>Assumptions!$B$19</x:f>
        <x:v>-0.04739891965741583</x:v>
      </x:c>
      <x:c r="N1068" s="52" t="n">
        <x:f>H1068*L1068+(1-H1068)*M1068+O1068</x:f>
        <x:v>-0.13108432151493268</x:v>
      </x:c>
      <x:c r="O1068" s="36" t="n">
        <x:f>Assumptions!$B$10</x:f>
        <x:v>0</x:v>
      </x:c>
      <x:c r="P1068" s="54" t="n">
        <x:f>E1068*(1+N1068)</x:f>
        <x:v>21.722891962126685</x:v>
      </x:c>
      <x:c r="Q1068" s="54" t="n">
        <x:f>P1068-E1068</x:f>
        <x:v>-3.2771080378733153</x:v>
      </x:c>
      <x:c r="R1068" s="16" t="str">
        <x:v>No</x:v>
      </x:c>
      <x:c r="S1068" s="56"/>
      <x:c r="T1068" s="56"/>
      <x:c r="U1068" s="40" t="n">
        <x:f>E1068*Assumptions!$B$8</x:f>
        <x:v>21.25</x:v>
      </x:c>
      <x:c r="V1068" s="40" t="n">
        <x:f>P1068*Assumptions!$B$8</x:f>
        <x:v>18.46445816780768</x:v>
      </x:c>
      <x:c r="W1068" s="54" t="n">
        <x:f>V1068-U1068</x:f>
        <x:v>-2.785541832192319</x:v>
      </x:c>
      <x:c r="X1068" s="58" t="str">
        <x:f>IF(R1068="No","",W1068*S1068)</x:f>
      </x:c>
      <x:c r="Y1068" s="58" t="str">
        <x:f>IF(R1068="No","",W1068*T1068*Assumptions!$B$9)</x:f>
      </x:c>
      <x:c r="Z1068" s="58" t="str">
        <x:f>IF(R1068="No","",X1068-Y1068)</x:f>
      </x:c>
      <x:c r="AA1068" s="58" t="str">
        <x:f>IF(R1068="No","",MAX(0,-Z1068))</x:f>
      </x:c>
      <x:c r="AB1068" s="52" t="str">
        <x:f>IF(OR(R1068="No",U1068*S1068=0),"",AA1068/(U1068*S1068))</x:f>
      </x:c>
      <x:c r="AC1068" s="54" t="str">
        <x:f>IF(OR(R1068="No",S1068-T1068*Assumptions!$B$9&lt;=0),"",AA1068/(Assumptions!$B$8*(S1068-T1068*Assumptions!$B$9)))</x:f>
      </x:c>
      <x:c r="AD1068" s="52" t="str">
        <x:f>IF(OR(R1068="No",U1068*S1068=0),"",AA1068/(U1068*S1068))</x:f>
      </x:c>
      <x:c r="AE1068" s="50" t="str">
        <x:f>IF(R1068="No","No finance data",IF(AB1068&gt;=10%,"Severe",IF(AB1068&gt;=5%,"High",IF(AB1068&gt;=2%,"Moderate","Low"))))</x:f>
        <x:v>No finance data</x:v>
      </x:c>
      <x:c r="AF1068" s="60"/>
      <x:c r="AG1068" s="60"/>
      <x:c r="AH1068" s="44" t="str">
        <x:v>Undergraduate tuition-contribution proxy only; not an audited total institutional budget.</x:v>
      </x:c>
    </x:row>
    <x:row r="1069">
      <x:c r="A1069" s="16" t="n">
        <x:v>486196</x:v>
      </x:c>
      <x:c r="B1069" s="16" t="str">
        <x:v>Beth Medrash Meor Yitzchok</x:v>
      </x:c>
      <x:c r="C1069" s="16" t="str">
        <x:v>NY</x:v>
      </x:c>
      <x:c r="D1069" s="16" t="str">
        <x:v>Private nonprofit</x:v>
      </x:c>
      <x:c r="E1069" s="34" t="n">
        <x:v>162</x:v>
      </x:c>
      <x:c r="F1069" s="21"/>
      <x:c r="G1069" s="16" t="str">
        <x:v>Regional</x:v>
      </x:c>
      <x:c r="H1069" s="36" t="n">
        <x:f>IF(G1069="National",Assumptions!$B$11,IF(G1069="Statewide",Assumptions!$B$12,Assumptions!$B$13))</x:f>
        <x:v>0.85</x:v>
      </x:c>
      <x:c r="I1069" s="21" t="n">
        <x:v>-0.08678079290324192</x:v>
      </x:c>
      <x:c r="J1069" s="21" t="n">
        <x:v>-0.14585233360743566</x:v>
      </x:c>
      <x:c r="K1069" s="21" t="n">
        <x:v>-0.24979193142458445</x:v>
      </x:c>
      <x:c r="L1069" s="36" t="n">
        <x:f>IF(Assumptions!$B$4=2030,I1069,IF(Assumptions!$B$4=2035,J1069,K1069))</x:f>
        <x:v>-0.14585233360743566</x:v>
      </x:c>
      <x:c r="M1069" s="36" t="n">
        <x:f>Assumptions!$B$19</x:f>
        <x:v>-0.04739891965741583</x:v>
      </x:c>
      <x:c r="N1069" s="52" t="n">
        <x:f>H1069*L1069+(1-H1069)*M1069+O1069</x:f>
        <x:v>-0.13108432151493268</x:v>
      </x:c>
      <x:c r="O1069" s="36" t="n">
        <x:f>Assumptions!$B$10</x:f>
        <x:v>0</x:v>
      </x:c>
      <x:c r="P1069" s="54" t="n">
        <x:f>E1069*(1+N1069)</x:f>
        <x:v>140.76433991458092</x:v>
      </x:c>
      <x:c r="Q1069" s="54" t="n">
        <x:f>P1069-E1069</x:f>
        <x:v>-21.235660085419084</x:v>
      </x:c>
      <x:c r="R1069" s="16" t="str">
        <x:v>No</x:v>
      </x:c>
      <x:c r="S1069" s="56"/>
      <x:c r="T1069" s="56"/>
      <x:c r="U1069" s="40" t="n">
        <x:f>E1069*Assumptions!$B$8</x:f>
        <x:v>137.7</x:v>
      </x:c>
      <x:c r="V1069" s="40" t="n">
        <x:f>P1069*Assumptions!$B$8</x:f>
        <x:v>119.64968892739377</x:v>
      </x:c>
      <x:c r="W1069" s="54" t="n">
        <x:f>V1069-U1069</x:f>
        <x:v>-18.05031107260622</x:v>
      </x:c>
      <x:c r="X1069" s="58" t="str">
        <x:f>IF(R1069="No","",W1069*S1069)</x:f>
      </x:c>
      <x:c r="Y1069" s="58" t="str">
        <x:f>IF(R1069="No","",W1069*T1069*Assumptions!$B$9)</x:f>
      </x:c>
      <x:c r="Z1069" s="58" t="str">
        <x:f>IF(R1069="No","",X1069-Y1069)</x:f>
      </x:c>
      <x:c r="AA1069" s="58" t="str">
        <x:f>IF(R1069="No","",MAX(0,-Z1069))</x:f>
      </x:c>
      <x:c r="AB1069" s="52" t="str">
        <x:f>IF(OR(R1069="No",U1069*S1069=0),"",AA1069/(U1069*S1069))</x:f>
      </x:c>
      <x:c r="AC1069" s="54" t="str">
        <x:f>IF(OR(R1069="No",S1069-T1069*Assumptions!$B$9&lt;=0),"",AA1069/(Assumptions!$B$8*(S1069-T1069*Assumptions!$B$9)))</x:f>
      </x:c>
      <x:c r="AD1069" s="52" t="str">
        <x:f>IF(OR(R1069="No",U1069*S1069=0),"",AA1069/(U1069*S1069))</x:f>
      </x:c>
      <x:c r="AE1069" s="50" t="str">
        <x:f>IF(R1069="No","No finance data",IF(AB1069&gt;=10%,"Severe",IF(AB1069&gt;=5%,"High",IF(AB1069&gt;=2%,"Moderate","Low"))))</x:f>
        <x:v>No finance data</x:v>
      </x:c>
      <x:c r="AF1069" s="60"/>
      <x:c r="AG1069" s="60"/>
      <x:c r="AH1069" s="44" t="str">
        <x:v>Undergraduate tuition-contribution proxy only; not an audited total institutional budget.</x:v>
      </x:c>
    </x:row>
    <x:row r="1070">
      <x:c r="A1070" s="16" t="n">
        <x:v>190512</x:v>
      </x:c>
      <x:c r="B1070" s="16" t="str">
        <x:v>CUNY Bernard M Baruch College</x:v>
      </x:c>
      <x:c r="C1070" s="16" t="str">
        <x:v>NY</x:v>
      </x:c>
      <x:c r="D1070" s="16" t="str">
        <x:v>Public</x:v>
      </x:c>
      <x:c r="E1070" s="34" t="n">
        <x:v>14896</x:v>
      </x:c>
      <x:c r="F1070" s="21" t="n">
        <x:v>0.5056</x:v>
      </x:c>
      <x:c r="G1070" s="16" t="str">
        <x:v>Statewide</x:v>
      </x:c>
      <x:c r="H1070" s="36" t="n">
        <x:f>IF(G1070="National",Assumptions!$B$11,IF(G1070="Statewide",Assumptions!$B$12,Assumptions!$B$13))</x:f>
        <x:v>0.6</x:v>
      </x:c>
      <x:c r="I1070" s="21" t="n">
        <x:v>-0.08678079290324192</x:v>
      </x:c>
      <x:c r="J1070" s="21" t="n">
        <x:v>-0.14585233360743566</x:v>
      </x:c>
      <x:c r="K1070" s="21" t="n">
        <x:v>-0.24979193142458445</x:v>
      </x:c>
      <x:c r="L1070" s="36" t="n">
        <x:f>IF(Assumptions!$B$4=2030,I1070,IF(Assumptions!$B$4=2035,J1070,K1070))</x:f>
        <x:v>-0.14585233360743566</x:v>
      </x:c>
      <x:c r="M1070" s="36" t="n">
        <x:f>Assumptions!$B$19</x:f>
        <x:v>-0.04739891965741583</x:v>
      </x:c>
      <x:c r="N1070" s="52" t="n">
        <x:f>H1070*L1070+(1-H1070)*M1070+O1070</x:f>
        <x:v>-0.10647096802742773</x:v>
      </x:c>
      <x:c r="O1070" s="36" t="n">
        <x:f>Assumptions!$B$10</x:f>
        <x:v>0</x:v>
      </x:c>
      <x:c r="P1070" s="54" t="n">
        <x:f>E1070*(1+N1070)</x:f>
        <x:v>13310.008460263436</x:v>
      </x:c>
      <x:c r="Q1070" s="54" t="n">
        <x:f>P1070-E1070</x:f>
        <x:v>-1585.991539736564</x:v>
      </x:c>
      <x:c r="R1070" s="16" t="str">
        <x:v>Yes</x:v>
      </x:c>
      <x:c r="S1070" s="56" t="n">
        <x:v>6444</x:v>
      </x:c>
      <x:c r="T1070" s="56" t="n">
        <x:v>9915</x:v>
      </x:c>
      <x:c r="U1070" s="40" t="n">
        <x:f>E1070*Assumptions!$B$8</x:f>
        <x:v>12661.6</x:v>
      </x:c>
      <x:c r="V1070" s="40" t="n">
        <x:f>P1070*Assumptions!$B$8</x:f>
        <x:v>11313.50719122392</x:v>
      </x:c>
      <x:c r="W1070" s="54" t="n">
        <x:f>V1070-U1070</x:f>
        <x:v>-1348.0928087760803</x:v>
      </x:c>
      <x:c r="X1070" s="58" t="n">
        <x:f>IF(R1070="No","",W1070*S1070)</x:f>
        <x:v>-8687110.059753062</x:v>
      </x:c>
      <x:c r="Y1070" s="58" t="n">
        <x:f>IF(R1070="No","",W1070*T1070*Assumptions!$B$9)</x:f>
        <x:v>-4009902.059704451</x:v>
      </x:c>
      <x:c r="Z1070" s="58" t="n">
        <x:f>IF(R1070="No","",X1070-Y1070)</x:f>
        <x:v>-4677208.000048611</x:v>
      </x:c>
      <x:c r="AA1070" s="58" t="n">
        <x:f>IF(R1070="No","",MAX(0,-Z1070))</x:f>
        <x:v>4677208.000048611</x:v>
      </x:c>
      <x:c r="AB1070" s="52" t="n">
        <x:f>IF(OR(R1070="No",U1070*S1070=0),"",AA1070/(U1070*S1070))</x:f>
        <x:v>0.0573248019197953</x:v>
      </x:c>
      <x:c r="AC1070" s="54" t="n">
        <x:f>IF(OR(R1070="No",S1070-T1070*Assumptions!$B$9&lt;=0),"",AA1070/(Assumptions!$B$8*(S1070-T1070*Assumptions!$B$9)))</x:f>
        <x:v>1585.9915397365653</x:v>
      </x:c>
      <x:c r="AD1070" s="52" t="n">
        <x:f>IF(OR(R1070="No",U1070*S1070=0),"",AA1070/(U1070*S1070))</x:f>
        <x:v>0.0573248019197953</x:v>
      </x:c>
      <x:c r="AE1070" s="50" t="str">
        <x:f>IF(R1070="No","No finance data",IF(AB1070&gt;=10%,"Severe",IF(AB1070&gt;=5%,"High",IF(AB1070&gt;=2%,"Moderate","Low"))))</x:f>
        <x:v>High</x:v>
      </x:c>
      <x:c r="AF1070" s="60" t="n">
        <x:v>40.740238</x:v>
      </x:c>
      <x:c r="AG1070" s="60" t="n">
        <x:v>-73.983417</x:v>
      </x:c>
      <x:c r="AH1070" s="44" t="str">
        <x:v>Undergraduate tuition-contribution proxy only; not an audited total institutional budget.</x:v>
      </x:c>
    </x:row>
    <x:row r="1071">
      <x:c r="A1071" s="16" t="n">
        <x:v>190549</x:v>
      </x:c>
      <x:c r="B1071" s="16" t="str">
        <x:v>CUNY Brooklyn College</x:v>
      </x:c>
      <x:c r="C1071" s="16" t="str">
        <x:v>NY</x:v>
      </x:c>
      <x:c r="D1071" s="16" t="str">
        <x:v>Public</x:v>
      </x:c>
      <x:c r="E1071" s="34" t="n">
        <x:v>13172</x:v>
      </x:c>
      <x:c r="F1071" s="21" t="n">
        <x:v>0.5136</x:v>
      </x:c>
      <x:c r="G1071" s="16" t="str">
        <x:v>Statewide</x:v>
      </x:c>
      <x:c r="H1071" s="36" t="n">
        <x:f>IF(G1071="National",Assumptions!$B$11,IF(G1071="Statewide",Assumptions!$B$12,Assumptions!$B$13))</x:f>
        <x:v>0.6</x:v>
      </x:c>
      <x:c r="I1071" s="21" t="n">
        <x:v>-0.08678079290324192</x:v>
      </x:c>
      <x:c r="J1071" s="21" t="n">
        <x:v>-0.14585233360743566</x:v>
      </x:c>
      <x:c r="K1071" s="21" t="n">
        <x:v>-0.24979193142458445</x:v>
      </x:c>
      <x:c r="L1071" s="36" t="n">
        <x:f>IF(Assumptions!$B$4=2030,I1071,IF(Assumptions!$B$4=2035,J1071,K1071))</x:f>
        <x:v>-0.14585233360743566</x:v>
      </x:c>
      <x:c r="M1071" s="36" t="n">
        <x:f>Assumptions!$B$19</x:f>
        <x:v>-0.04739891965741583</x:v>
      </x:c>
      <x:c r="N1071" s="52" t="n">
        <x:f>H1071*L1071+(1-H1071)*M1071+O1071</x:f>
        <x:v>-0.10647096802742773</x:v>
      </x:c>
      <x:c r="O1071" s="36" t="n">
        <x:f>Assumptions!$B$10</x:f>
        <x:v>0</x:v>
      </x:c>
      <x:c r="P1071" s="54" t="n">
        <x:f>E1071*(1+N1071)</x:f>
        <x:v>11769.564409142722</x:v>
      </x:c>
      <x:c r="Q1071" s="54" t="n">
        <x:f>P1071-E1071</x:f>
        <x:v>-1402.435590857278</x:v>
      </x:c>
      <x:c r="R1071" s="16" t="str">
        <x:v>Yes</x:v>
      </x:c>
      <x:c r="S1071" s="56" t="n">
        <x:v>4223</x:v>
      </x:c>
      <x:c r="T1071" s="56" t="n">
        <x:v>10757</x:v>
      </x:c>
      <x:c r="U1071" s="40" t="n">
        <x:f>E1071*Assumptions!$B$8</x:f>
        <x:v>11196.199999999999</x:v>
      </x:c>
      <x:c r="V1071" s="40" t="n">
        <x:f>P1071*Assumptions!$B$8</x:f>
        <x:v>10004.129747771314</x:v>
      </x:c>
      <x:c r="W1071" s="54" t="n">
        <x:f>V1071-U1071</x:f>
        <x:v>-1192.0702522286847</x:v>
      </x:c>
      <x:c r="X1071" s="58" t="n">
        <x:f>IF(R1071="No","",W1071*S1071)</x:f>
        <x:v>-5034112.675161735</x:v>
      </x:c>
      <x:c r="Y1071" s="58" t="n">
        <x:f>IF(R1071="No","",W1071*T1071*Assumptions!$B$9)</x:f>
        <x:v>-3846929.910967188</x:v>
      </x:c>
      <x:c r="Z1071" s="58" t="n">
        <x:f>IF(R1071="No","",X1071-Y1071)</x:f>
        <x:v>-1187182.7641945472</x:v>
      </x:c>
      <x:c r="AA1071" s="58" t="n">
        <x:f>IF(R1071="No","",MAX(0,-Z1071))</x:f>
        <x:v>1187182.7641945472</x:v>
      </x:c>
      <x:c r="AB1071" s="52" t="n">
        <x:f>IF(OR(R1071="No",U1071*S1071=0),"",AA1071/(U1071*S1071))</x:f>
        <x:v>0.025108793999174792</x:v>
      </x:c>
      <x:c r="AC1071" s="54" t="n">
        <x:f>IF(OR(R1071="No",S1071-T1071*Assumptions!$B$9&lt;=0),"",AA1071/(Assumptions!$B$8*(S1071-T1071*Assumptions!$B$9)))</x:f>
        <x:v>1402.435590857276</x:v>
      </x:c>
      <x:c r="AD1071" s="52" t="n">
        <x:f>IF(OR(R1071="No",U1071*S1071=0),"",AA1071/(U1071*S1071))</x:f>
        <x:v>0.025108793999174792</x:v>
      </x:c>
      <x:c r="AE1071" s="50" t="str">
        <x:f>IF(R1071="No","No finance data",IF(AB1071&gt;=10%,"Severe",IF(AB1071&gt;=5%,"High",IF(AB1071&gt;=2%,"Moderate","Low"))))</x:f>
        <x:v>Moderate</x:v>
      </x:c>
      <x:c r="AF1071" s="60" t="n">
        <x:v>40.631517</x:v>
      </x:c>
      <x:c r="AG1071" s="60" t="n">
        <x:v>-73.949898</x:v>
      </x:c>
      <x:c r="AH1071" s="44" t="str">
        <x:v>Undergraduate tuition-contribution proxy only; not an audited total institutional budget.</x:v>
      </x:c>
    </x:row>
    <x:row r="1072">
      <x:c r="A1072" s="16" t="n">
        <x:v>190567</x:v>
      </x:c>
      <x:c r="B1072" s="16" t="str">
        <x:v>CUNY City College</x:v>
      </x:c>
      <x:c r="C1072" s="16" t="str">
        <x:v>NY</x:v>
      </x:c>
      <x:c r="D1072" s="16" t="str">
        <x:v>Public</x:v>
      </x:c>
      <x:c r="E1072" s="34" t="n">
        <x:v>12468</x:v>
      </x:c>
      <x:c r="F1072" s="21" t="n">
        <x:v>0.6406</x:v>
      </x:c>
      <x:c r="G1072" s="16" t="str">
        <x:v>Statewide</x:v>
      </x:c>
      <x:c r="H1072" s="36" t="n">
        <x:f>IF(G1072="National",Assumptions!$B$11,IF(G1072="Statewide",Assumptions!$B$12,Assumptions!$B$13))</x:f>
        <x:v>0.6</x:v>
      </x:c>
      <x:c r="I1072" s="21" t="n">
        <x:v>-0.08678079290324192</x:v>
      </x:c>
      <x:c r="J1072" s="21" t="n">
        <x:v>-0.14585233360743566</x:v>
      </x:c>
      <x:c r="K1072" s="21" t="n">
        <x:v>-0.24979193142458445</x:v>
      </x:c>
      <x:c r="L1072" s="36" t="n">
        <x:f>IF(Assumptions!$B$4=2030,I1072,IF(Assumptions!$B$4=2035,J1072,K1072))</x:f>
        <x:v>-0.14585233360743566</x:v>
      </x:c>
      <x:c r="M1072" s="36" t="n">
        <x:f>Assumptions!$B$19</x:f>
        <x:v>-0.04739891965741583</x:v>
      </x:c>
      <x:c r="N1072" s="52" t="n">
        <x:f>H1072*L1072+(1-H1072)*M1072+O1072</x:f>
        <x:v>-0.10647096802742773</x:v>
      </x:c>
      <x:c r="O1072" s="36" t="n">
        <x:f>Assumptions!$B$10</x:f>
        <x:v>0</x:v>
      </x:c>
      <x:c r="P1072" s="54" t="n">
        <x:f>E1072*(1+N1072)</x:f>
        <x:v>11140.519970634032</x:v>
      </x:c>
      <x:c r="Q1072" s="54" t="n">
        <x:f>P1072-E1072</x:f>
        <x:v>-1327.4800293659682</x:v>
      </x:c>
      <x:c r="R1072" s="16" t="str">
        <x:v>Yes</x:v>
      </x:c>
      <x:c r="S1072" s="56" t="n">
        <x:v>5174</x:v>
      </x:c>
      <x:c r="T1072" s="56" t="n">
        <x:v>20441</x:v>
      </x:c>
      <x:c r="U1072" s="40" t="n">
        <x:f>E1072*Assumptions!$B$8</x:f>
        <x:v>10597.8</x:v>
      </x:c>
      <x:c r="V1072" s="40" t="n">
        <x:f>P1072*Assumptions!$B$8</x:f>
        <x:v>9469.441975038926</x:v>
      </x:c>
      <x:c r="W1072" s="54" t="n">
        <x:f>V1072-U1072</x:f>
        <x:v>-1128.3580249610732</x:v>
      </x:c>
      <x:c r="X1072" s="58" t="n">
        <x:f>IF(R1072="No","",W1072*S1072)</x:f>
        <x:v>-5838124.421148593</x:v>
      </x:c>
      <x:c r="Y1072" s="58" t="n">
        <x:f>IF(R1072="No","",W1072*T1072*Assumptions!$B$9)</x:f>
        <x:v>-6919429.916468789</x:v>
      </x:c>
      <x:c r="Z1072" s="58" t="n">
        <x:f>IF(R1072="No","",X1072-Y1072)</x:f>
        <x:v>1081305.4953201963</x:v>
      </x:c>
      <x:c r="AA1072" s="58" t="n">
        <x:f>IF(R1072="No","",MAX(0,-Z1072))</x:f>
        <x:v>0</x:v>
      </x:c>
      <x:c r="AB1072" s="52" t="n">
        <x:f>IF(OR(R1072="No",U1072*S1072=0),"",AA1072/(U1072*S1072))</x:f>
        <x:v>0</x:v>
      </x:c>
      <x:c r="AC1072" s="54" t="str">
        <x:f>IF(OR(R1072="No",S1072-T1072*Assumptions!$B$9&lt;=0),"",AA1072/(Assumptions!$B$8*(S1072-T1072*Assumptions!$B$9)))</x:f>
      </x:c>
      <x:c r="AD1072" s="52" t="n">
        <x:f>IF(OR(R1072="No",U1072*S1072=0),"",AA1072/(U1072*S1072))</x:f>
        <x:v>0</x:v>
      </x:c>
      <x:c r="AE1072" s="50" t="str">
        <x:f>IF(R1072="No","No finance data",IF(AB1072&gt;=10%,"Severe",IF(AB1072&gt;=5%,"High",IF(AB1072&gt;=2%,"Moderate","Low"))))</x:f>
        <x:v>Low</x:v>
      </x:c>
      <x:c r="AF1072" s="60" t="n">
        <x:v>40.819846</x:v>
      </x:c>
      <x:c r="AG1072" s="60" t="n">
        <x:v>-73.948542</x:v>
      </x:c>
      <x:c r="AH1072" s="44" t="str">
        <x:v>Undergraduate tuition-contribution proxy only; not an audited total institutional budget.</x:v>
      </x:c>
    </x:row>
    <x:row r="1073">
      <x:c r="A1073" s="16" t="n">
        <x:v>190576</x:v>
      </x:c>
      <x:c r="B1073" s="16" t="str">
        <x:v>CUNY Graduate School and University Center</x:v>
      </x:c>
      <x:c r="C1073" s="16" t="str">
        <x:v>NY</x:v>
      </x:c>
      <x:c r="D1073" s="16" t="str">
        <x:v>Public</x:v>
      </x:c>
      <x:c r="E1073" s="34" t="n">
        <x:v>1463</x:v>
      </x:c>
      <x:c r="F1073" s="21"/>
      <x:c r="G1073" s="16" t="str">
        <x:v>Regional</x:v>
      </x:c>
      <x:c r="H1073" s="36" t="n">
        <x:f>IF(G1073="National",Assumptions!$B$11,IF(G1073="Statewide",Assumptions!$B$12,Assumptions!$B$13))</x:f>
        <x:v>0.85</x:v>
      </x:c>
      <x:c r="I1073" s="21" t="n">
        <x:v>-0.08678079290324192</x:v>
      </x:c>
      <x:c r="J1073" s="21" t="n">
        <x:v>-0.14585233360743566</x:v>
      </x:c>
      <x:c r="K1073" s="21" t="n">
        <x:v>-0.24979193142458445</x:v>
      </x:c>
      <x:c r="L1073" s="36" t="n">
        <x:f>IF(Assumptions!$B$4=2030,I1073,IF(Assumptions!$B$4=2035,J1073,K1073))</x:f>
        <x:v>-0.14585233360743566</x:v>
      </x:c>
      <x:c r="M1073" s="36" t="n">
        <x:f>Assumptions!$B$19</x:f>
        <x:v>-0.04739891965741583</x:v>
      </x:c>
      <x:c r="N1073" s="52" t="n">
        <x:f>H1073*L1073+(1-H1073)*M1073+O1073</x:f>
        <x:v>-0.13108432151493268</x:v>
      </x:c>
      <x:c r="O1073" s="36" t="n">
        <x:f>Assumptions!$B$10</x:f>
        <x:v>0</x:v>
      </x:c>
      <x:c r="P1073" s="54" t="n">
        <x:f>E1073*(1+N1073)</x:f>
        <x:v>1271.2236376236535</x:v>
      </x:c>
      <x:c r="Q1073" s="54" t="n">
        <x:f>P1073-E1073</x:f>
        <x:v>-191.77636237634647</x:v>
      </x:c>
      <x:c r="R1073" s="16" t="str">
        <x:v>Yes</x:v>
      </x:c>
      <x:c r="S1073" s="56" t="n">
        <x:v>7930</x:v>
      </x:c>
      <x:c r="T1073" s="56" t="n">
        <x:v>37780</x:v>
      </x:c>
      <x:c r="U1073" s="40" t="n">
        <x:f>E1073*Assumptions!$B$8</x:f>
        <x:v>1243.55</x:v>
      </x:c>
      <x:c r="V1073" s="40" t="n">
        <x:f>P1073*Assumptions!$B$8</x:f>
        <x:v>1080.5400919801054</x:v>
      </x:c>
      <x:c r="W1073" s="54" t="n">
        <x:f>V1073-U1073</x:f>
        <x:v>-163.0099080198945</x:v>
      </x:c>
      <x:c r="X1073" s="58" t="n">
        <x:f>IF(R1073="No","",W1073*S1073)</x:f>
        <x:v>-1292668.5705977634</x:v>
      </x:c>
      <x:c r="Y1073" s="58" t="n">
        <x:f>IF(R1073="No","",W1073*T1073*Assumptions!$B$9)</x:f>
        <x:v>-1847554.2974974844</x:v>
      </x:c>
      <x:c r="Z1073" s="58" t="n">
        <x:f>IF(R1073="No","",X1073-Y1073)</x:f>
        <x:v>554885.726899721</x:v>
      </x:c>
      <x:c r="AA1073" s="58" t="n">
        <x:f>IF(R1073="No","",MAX(0,-Z1073))</x:f>
        <x:v>0</x:v>
      </x:c>
      <x:c r="AB1073" s="52" t="n">
        <x:f>IF(OR(R1073="No",U1073*S1073=0),"",AA1073/(U1073*S1073))</x:f>
        <x:v>0</x:v>
      </x:c>
      <x:c r="AC1073" s="54" t="str">
        <x:f>IF(OR(R1073="No",S1073-T1073*Assumptions!$B$9&lt;=0),"",AA1073/(Assumptions!$B$8*(S1073-T1073*Assumptions!$B$9)))</x:f>
      </x:c>
      <x:c r="AD1073" s="52" t="n">
        <x:f>IF(OR(R1073="No",U1073*S1073=0),"",AA1073/(U1073*S1073))</x:f>
        <x:v>0</x:v>
      </x:c>
      <x:c r="AE1073" s="50" t="str">
        <x:f>IF(R1073="No","No finance data",IF(AB1073&gt;=10%,"Severe",IF(AB1073&gt;=5%,"High",IF(AB1073&gt;=2%,"Moderate","Low"))))</x:f>
        <x:v>Low</x:v>
      </x:c>
      <x:c r="AF1073" s="60" t="n">
        <x:v>40.748612</x:v>
      </x:c>
      <x:c r="AG1073" s="60" t="n">
        <x:v>-73.983822</x:v>
      </x:c>
      <x:c r="AH1073" s="44" t="str">
        <x:v>Undergraduate tuition-contribution proxy only; not an audited total institutional budget.</x:v>
      </x:c>
    </x:row>
    <x:row r="1074">
      <x:c r="A1074" s="16" t="n">
        <x:v>190594</x:v>
      </x:c>
      <x:c r="B1074" s="16" t="str">
        <x:v>CUNY Hunter College</x:v>
      </x:c>
      <x:c r="C1074" s="16" t="str">
        <x:v>NY</x:v>
      </x:c>
      <x:c r="D1074" s="16" t="str">
        <x:v>Public</x:v>
      </x:c>
      <x:c r="E1074" s="34" t="n">
        <x:v>15465</x:v>
      </x:c>
      <x:c r="F1074" s="21" t="n">
        <x:v>0.459</x:v>
      </x:c>
      <x:c r="G1074" s="16" t="str">
        <x:v>Statewide</x:v>
      </x:c>
      <x:c r="H1074" s="36" t="n">
        <x:f>IF(G1074="National",Assumptions!$B$11,IF(G1074="Statewide",Assumptions!$B$12,Assumptions!$B$13))</x:f>
        <x:v>0.6</x:v>
      </x:c>
      <x:c r="I1074" s="21" t="n">
        <x:v>-0.08678079290324192</x:v>
      </x:c>
      <x:c r="J1074" s="21" t="n">
        <x:v>-0.14585233360743566</x:v>
      </x:c>
      <x:c r="K1074" s="21" t="n">
        <x:v>-0.24979193142458445</x:v>
      </x:c>
      <x:c r="L1074" s="36" t="n">
        <x:f>IF(Assumptions!$B$4=2030,I1074,IF(Assumptions!$B$4=2035,J1074,K1074))</x:f>
        <x:v>-0.14585233360743566</x:v>
      </x:c>
      <x:c r="M1074" s="36" t="n">
        <x:f>Assumptions!$B$19</x:f>
        <x:v>-0.04739891965741583</x:v>
      </x:c>
      <x:c r="N1074" s="52" t="n">
        <x:f>H1074*L1074+(1-H1074)*M1074+O1074</x:f>
        <x:v>-0.10647096802742773</x:v>
      </x:c>
      <x:c r="O1074" s="36" t="n">
        <x:f>Assumptions!$B$10</x:f>
        <x:v>0</x:v>
      </x:c>
      <x:c r="P1074" s="54" t="n">
        <x:f>E1074*(1+N1074)</x:f>
        <x:v>13818.42647945583</x:v>
      </x:c>
      <x:c r="Q1074" s="54" t="n">
        <x:f>P1074-E1074</x:f>
        <x:v>-1646.5735205441706</x:v>
      </x:c>
      <x:c r="R1074" s="16" t="str">
        <x:v>Yes</x:v>
      </x:c>
      <x:c r="S1074" s="56" t="n">
        <x:v>5930</x:v>
      </x:c>
      <x:c r="T1074" s="56" t="n">
        <x:v>9842</x:v>
      </x:c>
      <x:c r="U1074" s="40" t="n">
        <x:f>E1074*Assumptions!$B$8</x:f>
        <x:v>13145.25</x:v>
      </x:c>
      <x:c r="V1074" s="40" t="n">
        <x:f>P1074*Assumptions!$B$8</x:f>
        <x:v>11745.662507537454</x:v>
      </x:c>
      <x:c r="W1074" s="54" t="n">
        <x:f>V1074-U1074</x:f>
        <x:v>-1399.587492462546</x:v>
      </x:c>
      <x:c r="X1074" s="58" t="n">
        <x:f>IF(R1074="No","",W1074*S1074)</x:f>
        <x:v>-8299553.830302897</x:v>
      </x:c>
      <x:c r="Y1074" s="58" t="n">
        <x:f>IF(R1074="No","",W1074*T1074*Assumptions!$B$9)</x:f>
        <x:v>-4132422.030244913</x:v>
      </x:c>
      <x:c r="Z1074" s="58" t="n">
        <x:f>IF(R1074="No","",X1074-Y1074)</x:f>
        <x:v>-4167131.800057984</x:v>
      </x:c>
      <x:c r="AA1074" s="58" t="n">
        <x:f>IF(R1074="No","",MAX(0,-Z1074))</x:f>
        <x:v>4167131.800057984</x:v>
      </x:c>
      <x:c r="AB1074" s="52" t="n">
        <x:f>IF(OR(R1074="No",U1074*S1074=0),"",AA1074/(U1074*S1074))</x:f>
        <x:v>0.05345812145107313</x:v>
      </x:c>
      <x:c r="AC1074" s="54" t="n">
        <x:f>IF(OR(R1074="No",S1074-T1074*Assumptions!$B$9&lt;=0),"",AA1074/(Assumptions!$B$8*(S1074-T1074*Assumptions!$B$9)))</x:f>
        <x:v>1646.5735205441715</x:v>
      </x:c>
      <x:c r="AD1074" s="52" t="n">
        <x:f>IF(OR(R1074="No",U1074*S1074=0),"",AA1074/(U1074*S1074))</x:f>
        <x:v>0.05345812145107313</x:v>
      </x:c>
      <x:c r="AE1074" s="50" t="str">
        <x:f>IF(R1074="No","No finance data",IF(AB1074&gt;=10%,"Severe",IF(AB1074&gt;=5%,"High",IF(AB1074&gt;=2%,"Moderate","Low"))))</x:f>
        <x:v>High</x:v>
      </x:c>
      <x:c r="AF1074" s="60" t="n">
        <x:v>40.768669</x:v>
      </x:c>
      <x:c r="AG1074" s="60" t="n">
        <x:v>-73.964795</x:v>
      </x:c>
      <x:c r="AH1074" s="44" t="str">
        <x:v>Undergraduate tuition-contribution proxy only; not an audited total institutional budget.</x:v>
      </x:c>
    </x:row>
    <x:row r="1075">
      <x:c r="A1075" s="16" t="n">
        <x:v>190600</x:v>
      </x:c>
      <x:c r="B1075" s="16" t="str">
        <x:v>CUNY John Jay College of Criminal Justice</x:v>
      </x:c>
      <x:c r="C1075" s="16" t="str">
        <x:v>NY</x:v>
      </x:c>
      <x:c r="D1075" s="16" t="str">
        <x:v>Public</x:v>
      </x:c>
      <x:c r="E1075" s="34" t="n">
        <x:v>12545</x:v>
      </x:c>
      <x:c r="F1075" s="21" t="n">
        <x:v>0.4458</x:v>
      </x:c>
      <x:c r="G1075" s="16" t="str">
        <x:v>Statewide</x:v>
      </x:c>
      <x:c r="H1075" s="36" t="n">
        <x:f>IF(G1075="National",Assumptions!$B$11,IF(G1075="Statewide",Assumptions!$B$12,Assumptions!$B$13))</x:f>
        <x:v>0.6</x:v>
      </x:c>
      <x:c r="I1075" s="21" t="n">
        <x:v>-0.08678079290324192</x:v>
      </x:c>
      <x:c r="J1075" s="21" t="n">
        <x:v>-0.14585233360743566</x:v>
      </x:c>
      <x:c r="K1075" s="21" t="n">
        <x:v>-0.24979193142458445</x:v>
      </x:c>
      <x:c r="L1075" s="36" t="n">
        <x:f>IF(Assumptions!$B$4=2030,I1075,IF(Assumptions!$B$4=2035,J1075,K1075))</x:f>
        <x:v>-0.14585233360743566</x:v>
      </x:c>
      <x:c r="M1075" s="36" t="n">
        <x:f>Assumptions!$B$19</x:f>
        <x:v>-0.04739891965741583</x:v>
      </x:c>
      <x:c r="N1075" s="52" t="n">
        <x:f>H1075*L1075+(1-H1075)*M1075+O1075</x:f>
        <x:v>-0.10647096802742773</x:v>
      </x:c>
      <x:c r="O1075" s="36" t="n">
        <x:f>Assumptions!$B$10</x:f>
        <x:v>0</x:v>
      </x:c>
      <x:c r="P1075" s="54" t="n">
        <x:f>E1075*(1+N1075)</x:f>
        <x:v>11209.32170609592</x:v>
      </x:c>
      <x:c r="Q1075" s="54" t="n">
        <x:f>P1075-E1075</x:f>
        <x:v>-1335.6782939040804</x:v>
      </x:c>
      <x:c r="R1075" s="16" t="str">
        <x:v>Yes</x:v>
      </x:c>
      <x:c r="S1075" s="56" t="n">
        <x:v>3710</x:v>
      </x:c>
      <x:c r="T1075" s="56" t="n">
        <x:v>12711</x:v>
      </x:c>
      <x:c r="U1075" s="40" t="n">
        <x:f>E1075*Assumptions!$B$8</x:f>
        <x:v>10663.25</x:v>
      </x:c>
      <x:c r="V1075" s="40" t="n">
        <x:f>P1075*Assumptions!$B$8</x:f>
        <x:v>9527.923450181532</x:v>
      </x:c>
      <x:c r="W1075" s="54" t="n">
        <x:f>V1075-U1075</x:f>
        <x:v>-1135.3265498184683</x:v>
      </x:c>
      <x:c r="X1075" s="58" t="n">
        <x:f>IF(R1075="No","",W1075*S1075)</x:f>
        <x:v>-4212061.499826517</x:v>
      </x:c>
      <x:c r="Y1075" s="58" t="n">
        <x:f>IF(R1075="No","",W1075*T1075*Assumptions!$B$9)</x:f>
        <x:v>-4329340.732422764</x:v>
      </x:c>
      <x:c r="Z1075" s="58" t="n">
        <x:f>IF(R1075="No","",X1075-Y1075)</x:f>
        <x:v>117279.23259624746</x:v>
      </x:c>
      <x:c r="AA1075" s="58" t="n">
        <x:f>IF(R1075="No","",MAX(0,-Z1075))</x:f>
        <x:v>0</x:v>
      </x:c>
      <x:c r="AB1075" s="52" t="n">
        <x:f>IF(OR(R1075="No",U1075*S1075=0),"",AA1075/(U1075*S1075))</x:f>
        <x:v>0</x:v>
      </x:c>
      <x:c r="AC1075" s="54" t="str">
        <x:f>IF(OR(R1075="No",S1075-T1075*Assumptions!$B$9&lt;=0),"",AA1075/(Assumptions!$B$8*(S1075-T1075*Assumptions!$B$9)))</x:f>
      </x:c>
      <x:c r="AD1075" s="52" t="n">
        <x:f>IF(OR(R1075="No",U1075*S1075=0),"",AA1075/(U1075*S1075))</x:f>
        <x:v>0</x:v>
      </x:c>
      <x:c r="AE1075" s="50" t="str">
        <x:f>IF(R1075="No","No finance data",IF(AB1075&gt;=10%,"Severe",IF(AB1075&gt;=5%,"High",IF(AB1075&gt;=2%,"Moderate","Low"))))</x:f>
        <x:v>Low</x:v>
      </x:c>
      <x:c r="AF1075" s="60" t="n">
        <x:v>40.770351</x:v>
      </x:c>
      <x:c r="AG1075" s="60" t="n">
        <x:v>-73.98841</x:v>
      </x:c>
      <x:c r="AH1075" s="44" t="str">
        <x:v>Undergraduate tuition-contribution proxy only; not an audited total institutional budget.</x:v>
      </x:c>
    </x:row>
    <x:row r="1076">
      <x:c r="A1076" s="16" t="n">
        <x:v>190637</x:v>
      </x:c>
      <x:c r="B1076" s="16" t="str">
        <x:v>CUNY Lehman College</x:v>
      </x:c>
      <x:c r="C1076" s="16" t="str">
        <x:v>NY</x:v>
      </x:c>
      <x:c r="D1076" s="16" t="str">
        <x:v>Public</x:v>
      </x:c>
      <x:c r="E1076" s="34" t="n">
        <x:v>9874</x:v>
      </x:c>
      <x:c r="F1076" s="21" t="n">
        <x:v>0.5789</x:v>
      </x:c>
      <x:c r="G1076" s="16" t="str">
        <x:v>Statewide</x:v>
      </x:c>
      <x:c r="H1076" s="36" t="n">
        <x:f>IF(G1076="National",Assumptions!$B$11,IF(G1076="Statewide",Assumptions!$B$12,Assumptions!$B$13))</x:f>
        <x:v>0.6</x:v>
      </x:c>
      <x:c r="I1076" s="21" t="n">
        <x:v>-0.08678079290324192</x:v>
      </x:c>
      <x:c r="J1076" s="21" t="n">
        <x:v>-0.14585233360743566</x:v>
      </x:c>
      <x:c r="K1076" s="21" t="n">
        <x:v>-0.24979193142458445</x:v>
      </x:c>
      <x:c r="L1076" s="36" t="n">
        <x:f>IF(Assumptions!$B$4=2030,I1076,IF(Assumptions!$B$4=2035,J1076,K1076))</x:f>
        <x:v>-0.14585233360743566</x:v>
      </x:c>
      <x:c r="M1076" s="36" t="n">
        <x:f>Assumptions!$B$19</x:f>
        <x:v>-0.04739891965741583</x:v>
      </x:c>
      <x:c r="N1076" s="52" t="n">
        <x:f>H1076*L1076+(1-H1076)*M1076+O1076</x:f>
        <x:v>-0.10647096802742773</x:v>
      </x:c>
      <x:c r="O1076" s="36" t="n">
        <x:f>Assumptions!$B$10</x:f>
        <x:v>0</x:v>
      </x:c>
      <x:c r="P1076" s="54" t="n">
        <x:f>E1076*(1+N1076)</x:f>
        <x:v>8822.705661697179</x:v>
      </x:c>
      <x:c r="Q1076" s="54" t="n">
        <x:f>P1076-E1076</x:f>
        <x:v>-1051.2943383028214</x:v>
      </x:c>
      <x:c r="R1076" s="16" t="str">
        <x:v>Yes</x:v>
      </x:c>
      <x:c r="S1076" s="56" t="n">
        <x:v>4503</x:v>
      </x:c>
      <x:c r="T1076" s="56" t="n">
        <x:v>11933</x:v>
      </x:c>
      <x:c r="U1076" s="40" t="n">
        <x:f>E1076*Assumptions!$B$8</x:f>
        <x:v>8392.9</x:v>
      </x:c>
      <x:c r="V1076" s="40" t="n">
        <x:f>P1076*Assumptions!$B$8</x:f>
        <x:v>7499.299812442601</x:v>
      </x:c>
      <x:c r="W1076" s="54" t="n">
        <x:f>V1076-U1076</x:f>
        <x:v>-893.6001875573984</x:v>
      </x:c>
      <x:c r="X1076" s="58" t="n">
        <x:f>IF(R1076="No","",W1076*S1076)</x:f>
        <x:v>-4023881.644570965</x:v>
      </x:c>
      <x:c r="Y1076" s="58" t="n">
        <x:f>IF(R1076="No","",W1076*T1076*Assumptions!$B$9)</x:f>
        <x:v>-3198999.31143673</x:v>
      </x:c>
      <x:c r="Z1076" s="58" t="n">
        <x:f>IF(R1076="No","",X1076-Y1076)</x:f>
        <x:v>-824882.3331342349</x:v>
      </x:c>
      <x:c r="AA1076" s="58" t="n">
        <x:f>IF(R1076="No","",MAX(0,-Z1076))</x:f>
        <x:v>824882.3331342349</x:v>
      </x:c>
      <x:c r="AB1076" s="52" t="n">
        <x:f>IF(OR(R1076="No",U1076*S1076=0),"",AA1076/(U1076*S1076))</x:f>
        <x:v>0.021826193778840465</x:v>
      </x:c>
      <x:c r="AC1076" s="54" t="n">
        <x:f>IF(OR(R1076="No",S1076-T1076*Assumptions!$B$9&lt;=0),"",AA1076/(Assumptions!$B$8*(S1076-T1076*Assumptions!$B$9)))</x:f>
        <x:v>1051.2943383028223</x:v>
      </x:c>
      <x:c r="AD1076" s="52" t="n">
        <x:f>IF(OR(R1076="No",U1076*S1076=0),"",AA1076/(U1076*S1076))</x:f>
        <x:v>0.021826193778840465</x:v>
      </x:c>
      <x:c r="AE1076" s="50" t="str">
        <x:f>IF(R1076="No","No finance data",IF(AB1076&gt;=10%,"Severe",IF(AB1076&gt;=5%,"High",IF(AB1076&gt;=2%,"Moderate","Low"))))</x:f>
        <x:v>Moderate</x:v>
      </x:c>
      <x:c r="AF1076" s="60" t="n">
        <x:v>40.872962</x:v>
      </x:c>
      <x:c r="AG1076" s="60" t="n">
        <x:v>-73.895379</x:v>
      </x:c>
      <x:c r="AH1076" s="44" t="str">
        <x:v>Undergraduate tuition-contribution proxy only; not an audited total institutional budget.</x:v>
      </x:c>
    </x:row>
    <x:row r="1077">
      <x:c r="A1077" s="16" t="n">
        <x:v>190646</x:v>
      </x:c>
      <x:c r="B1077" s="16" t="str">
        <x:v>CUNY Medgar Evers College</x:v>
      </x:c>
      <x:c r="C1077" s="16" t="str">
        <x:v>NY</x:v>
      </x:c>
      <x:c r="D1077" s="16" t="str">
        <x:v>Public</x:v>
      </x:c>
      <x:c r="E1077" s="34" t="n">
        <x:v>6257</x:v>
      </x:c>
      <x:c r="F1077" s="21" t="n">
        <x:v>0.8587</x:v>
      </x:c>
      <x:c r="G1077" s="16" t="str">
        <x:v>Statewide</x:v>
      </x:c>
      <x:c r="H1077" s="36" t="n">
        <x:f>IF(G1077="National",Assumptions!$B$11,IF(G1077="Statewide",Assumptions!$B$12,Assumptions!$B$13))</x:f>
        <x:v>0.6</x:v>
      </x:c>
      <x:c r="I1077" s="21" t="n">
        <x:v>-0.08678079290324192</x:v>
      </x:c>
      <x:c r="J1077" s="21" t="n">
        <x:v>-0.14585233360743566</x:v>
      </x:c>
      <x:c r="K1077" s="21" t="n">
        <x:v>-0.24979193142458445</x:v>
      </x:c>
      <x:c r="L1077" s="36" t="n">
        <x:f>IF(Assumptions!$B$4=2030,I1077,IF(Assumptions!$B$4=2035,J1077,K1077))</x:f>
        <x:v>-0.14585233360743566</x:v>
      </x:c>
      <x:c r="M1077" s="36" t="n">
        <x:f>Assumptions!$B$19</x:f>
        <x:v>-0.04739891965741583</x:v>
      </x:c>
      <x:c r="N1077" s="52" t="n">
        <x:f>H1077*L1077+(1-H1077)*M1077+O1077</x:f>
        <x:v>-0.10647096802742773</x:v>
      </x:c>
      <x:c r="O1077" s="36" t="n">
        <x:f>Assumptions!$B$10</x:f>
        <x:v>0</x:v>
      </x:c>
      <x:c r="P1077" s="54" t="n">
        <x:f>E1077*(1+N1077)</x:f>
        <x:v>5590.811153052385</x:v>
      </x:c>
      <x:c r="Q1077" s="54" t="n">
        <x:f>P1077-E1077</x:f>
        <x:v>-666.1888469476153</x:v>
      </x:c>
      <x:c r="R1077" s="16" t="str">
        <x:v>Yes</x:v>
      </x:c>
      <x:c r="S1077" s="56" t="n">
        <x:v>3458</x:v>
      </x:c>
      <x:c r="T1077" s="56" t="n">
        <x:v>17369</x:v>
      </x:c>
      <x:c r="U1077" s="40" t="n">
        <x:f>E1077*Assumptions!$B$8</x:f>
        <x:v>5318.45</x:v>
      </x:c>
      <x:c r="V1077" s="40" t="n">
        <x:f>P1077*Assumptions!$B$8</x:f>
        <x:v>4752.1894800945265</x:v>
      </x:c>
      <x:c r="W1077" s="54" t="n">
        <x:f>V1077-U1077</x:f>
        <x:v>-566.2605199054733</x:v>
      </x:c>
      <x:c r="X1077" s="58" t="n">
        <x:f>IF(R1077="No","",W1077*S1077)</x:f>
        <x:v>-1958128.8778331266</x:v>
      </x:c>
      <x:c r="Y1077" s="58" t="n">
        <x:f>IF(R1077="No","",W1077*T1077*Assumptions!$B$9)</x:f>
        <x:v>-2950613.69107145</x:v>
      </x:c>
      <x:c r="Z1077" s="58" t="n">
        <x:f>IF(R1077="No","",X1077-Y1077)</x:f>
        <x:v>992484.8132383232</x:v>
      </x:c>
      <x:c r="AA1077" s="58" t="n">
        <x:f>IF(R1077="No","",MAX(0,-Z1077))</x:f>
        <x:v>0</x:v>
      </x:c>
      <x:c r="AB1077" s="52" t="n">
        <x:f>IF(OR(R1077="No",U1077*S1077=0),"",AA1077/(U1077*S1077))</x:f>
        <x:v>0</x:v>
      </x:c>
      <x:c r="AC1077" s="54" t="str">
        <x:f>IF(OR(R1077="No",S1077-T1077*Assumptions!$B$9&lt;=0),"",AA1077/(Assumptions!$B$8*(S1077-T1077*Assumptions!$B$9)))</x:f>
      </x:c>
      <x:c r="AD1077" s="52" t="n">
        <x:f>IF(OR(R1077="No",U1077*S1077=0),"",AA1077/(U1077*S1077))</x:f>
        <x:v>0</x:v>
      </x:c>
      <x:c r="AE1077" s="50" t="str">
        <x:f>IF(R1077="No","No finance data",IF(AB1077&gt;=10%,"Severe",IF(AB1077&gt;=5%,"High",IF(AB1077&gt;=2%,"Moderate","Low"))))</x:f>
        <x:v>Low</x:v>
      </x:c>
      <x:c r="AF1077" s="60" t="n">
        <x:v>40.666256</x:v>
      </x:c>
      <x:c r="AG1077" s="60" t="n">
        <x:v>-73.957076</x:v>
      </x:c>
      <x:c r="AH1077" s="44" t="str">
        <x:v>Undergraduate tuition-contribution proxy only; not an audited total institutional budget.</x:v>
      </x:c>
    </x:row>
    <x:row r="1078">
      <x:c r="A1078" s="16" t="n">
        <x:v>190655</x:v>
      </x:c>
      <x:c r="B1078" s="16" t="str">
        <x:v>CUNY New York City College of Technology</x:v>
      </x:c>
      <x:c r="C1078" s="16" t="str">
        <x:v>NY</x:v>
      </x:c>
      <x:c r="D1078" s="16" t="str">
        <x:v>Public</x:v>
      </x:c>
      <x:c r="E1078" s="34" t="n">
        <x:v>16297</x:v>
      </x:c>
      <x:c r="F1078" s="21" t="n">
        <x:v>0.825</x:v>
      </x:c>
      <x:c r="G1078" s="16" t="str">
        <x:v>Statewide</x:v>
      </x:c>
      <x:c r="H1078" s="36" t="n">
        <x:f>IF(G1078="National",Assumptions!$B$11,IF(G1078="Statewide",Assumptions!$B$12,Assumptions!$B$13))</x:f>
        <x:v>0.6</x:v>
      </x:c>
      <x:c r="I1078" s="21" t="n">
        <x:v>-0.08678079290324192</x:v>
      </x:c>
      <x:c r="J1078" s="21" t="n">
        <x:v>-0.14585233360743566</x:v>
      </x:c>
      <x:c r="K1078" s="21" t="n">
        <x:v>-0.24979193142458445</x:v>
      </x:c>
      <x:c r="L1078" s="36" t="n">
        <x:f>IF(Assumptions!$B$4=2030,I1078,IF(Assumptions!$B$4=2035,J1078,K1078))</x:f>
        <x:v>-0.14585233360743566</x:v>
      </x:c>
      <x:c r="M1078" s="36" t="n">
        <x:f>Assumptions!$B$19</x:f>
        <x:v>-0.04739891965741583</x:v>
      </x:c>
      <x:c r="N1078" s="52" t="n">
        <x:f>H1078*L1078+(1-H1078)*M1078+O1078</x:f>
        <x:v>-0.10647096802742773</x:v>
      </x:c>
      <x:c r="O1078" s="36" t="n">
        <x:f>Assumptions!$B$10</x:f>
        <x:v>0</x:v>
      </x:c>
      <x:c r="P1078" s="54" t="n">
        <x:f>E1078*(1+N1078)</x:f>
        <x:v>14561.84263405701</x:v>
      </x:c>
      <x:c r="Q1078" s="54" t="n">
        <x:f>P1078-E1078</x:f>
        <x:v>-1735.1573659429905</x:v>
      </x:c>
      <x:c r="R1078" s="16" t="str">
        <x:v>Yes</x:v>
      </x:c>
      <x:c r="S1078" s="56" t="n">
        <x:v>3791</x:v>
      </x:c>
      <x:c r="T1078" s="56" t="n">
        <x:v>12458</x:v>
      </x:c>
      <x:c r="U1078" s="40" t="n">
        <x:f>E1078*Assumptions!$B$8</x:f>
        <x:v>13852.449999999999</x:v>
      </x:c>
      <x:c r="V1078" s="40" t="n">
        <x:f>P1078*Assumptions!$B$8</x:f>
        <x:v>12377.566238948457</x:v>
      </x:c>
      <x:c r="W1078" s="54" t="n">
        <x:f>V1078-U1078</x:f>
        <x:v>-1474.883761051542</x:v>
      </x:c>
      <x:c r="X1078" s="58" t="n">
        <x:f>IF(R1078="No","",W1078*S1078)</x:f>
        <x:v>-5591284.338146396</x:v>
      </x:c>
      <x:c r="Y1078" s="58" t="n">
        <x:f>IF(R1078="No","",W1078*T1078*Assumptions!$B$9)</x:f>
        <x:v>-5512230.568554033</x:v>
      </x:c>
      <x:c r="Z1078" s="58" t="n">
        <x:f>IF(R1078="No","",X1078-Y1078)</x:f>
        <x:v>-79053.76959236339</x:v>
      </x:c>
      <x:c r="AA1078" s="58" t="n">
        <x:f>IF(R1078="No","",MAX(0,-Z1078))</x:f>
        <x:v>79053.76959236339</x:v>
      </x:c>
      <x:c r="AB1078" s="52" t="n">
        <x:f>IF(OR(R1078="No",U1078*S1078=0),"",AA1078/(U1078*S1078))</x:f>
        <x:v>0.001505366364091317</x:v>
      </x:c>
      <x:c r="AC1078" s="54" t="n">
        <x:f>IF(OR(R1078="No",S1078-T1078*Assumptions!$B$9&lt;=0),"",AA1078/(Assumptions!$B$8*(S1078-T1078*Assumptions!$B$9)))</x:f>
        <x:v>1735.157365942995</x:v>
      </x:c>
      <x:c r="AD1078" s="52" t="n">
        <x:f>IF(OR(R1078="No",U1078*S1078=0),"",AA1078/(U1078*S1078))</x:f>
        <x:v>0.001505366364091317</x:v>
      </x:c>
      <x:c r="AE1078" s="50" t="str">
        <x:f>IF(R1078="No","No finance data",IF(AB1078&gt;=10%,"Severe",IF(AB1078&gt;=5%,"High",IF(AB1078&gt;=2%,"Moderate","Low"))))</x:f>
        <x:v>Low</x:v>
      </x:c>
      <x:c r="AF1078" s="60" t="n">
        <x:v>40.695483</x:v>
      </x:c>
      <x:c r="AG1078" s="60" t="n">
        <x:v>-73.987856</x:v>
      </x:c>
      <x:c r="AH1078" s="44" t="str">
        <x:v>Undergraduate tuition-contribution proxy only; not an audited total institutional budget.</x:v>
      </x:c>
    </x:row>
    <x:row r="1079">
      <x:c r="A1079" s="16" t="n">
        <x:v>190664</x:v>
      </x:c>
      <x:c r="B1079" s="16" t="str">
        <x:v>CUNY Queens College</x:v>
      </x:c>
      <x:c r="C1079" s="16" t="str">
        <x:v>NY</x:v>
      </x:c>
      <x:c r="D1079" s="16" t="str">
        <x:v>Public</x:v>
      </x:c>
      <x:c r="E1079" s="34" t="n">
        <x:v>15148</x:v>
      </x:c>
      <x:c r="F1079" s="21" t="n">
        <x:v>0.6078</x:v>
      </x:c>
      <x:c r="G1079" s="16" t="str">
        <x:v>Statewide</x:v>
      </x:c>
      <x:c r="H1079" s="36" t="n">
        <x:f>IF(G1079="National",Assumptions!$B$11,IF(G1079="Statewide",Assumptions!$B$12,Assumptions!$B$13))</x:f>
        <x:v>0.6</x:v>
      </x:c>
      <x:c r="I1079" s="21" t="n">
        <x:v>-0.08678079290324192</x:v>
      </x:c>
      <x:c r="J1079" s="21" t="n">
        <x:v>-0.14585233360743566</x:v>
      </x:c>
      <x:c r="K1079" s="21" t="n">
        <x:v>-0.24979193142458445</x:v>
      </x:c>
      <x:c r="L1079" s="36" t="n">
        <x:f>IF(Assumptions!$B$4=2030,I1079,IF(Assumptions!$B$4=2035,J1079,K1079))</x:f>
        <x:v>-0.14585233360743566</x:v>
      </x:c>
      <x:c r="M1079" s="36" t="n">
        <x:f>Assumptions!$B$19</x:f>
        <x:v>-0.04739891965741583</x:v>
      </x:c>
      <x:c r="N1079" s="52" t="n">
        <x:f>H1079*L1079+(1-H1079)*M1079+O1079</x:f>
        <x:v>-0.10647096802742773</x:v>
      </x:c>
      <x:c r="O1079" s="36" t="n">
        <x:f>Assumptions!$B$10</x:f>
        <x:v>0</x:v>
      </x:c>
      <x:c r="P1079" s="54" t="n">
        <x:f>E1079*(1+N1079)</x:f>
        <x:v>13535.177776320525</x:v>
      </x:c>
      <x:c r="Q1079" s="54" t="n">
        <x:f>P1079-E1079</x:f>
        <x:v>-1612.8222236794754</x:v>
      </x:c>
      <x:c r="R1079" s="16" t="str">
        <x:v>Yes</x:v>
      </x:c>
      <x:c r="S1079" s="56" t="n">
        <x:v>4717</x:v>
      </x:c>
      <x:c r="T1079" s="56" t="n">
        <x:v>9737</x:v>
      </x:c>
      <x:c r="U1079" s="40" t="n">
        <x:f>E1079*Assumptions!$B$8</x:f>
        <x:v>12875.8</x:v>
      </x:c>
      <x:c r="V1079" s="40" t="n">
        <x:f>P1079*Assumptions!$B$8</x:f>
        <x:v>11504.901109872446</x:v>
      </x:c>
      <x:c r="W1079" s="54" t="n">
        <x:f>V1079-U1079</x:f>
        <x:v>-1370.8988901275534</x:v>
      </x:c>
      <x:c r="X1079" s="58" t="n">
        <x:f>IF(R1079="No","",W1079*S1079)</x:f>
        <x:v>-6466530.06473167</x:v>
      </x:c>
      <x:c r="Y1079" s="58" t="n">
        <x:f>IF(R1079="No","",W1079*T1079*Assumptions!$B$9)</x:f>
        <x:v>-4004532.747951596</x:v>
      </x:c>
      <x:c r="Z1079" s="58" t="n">
        <x:f>IF(R1079="No","",X1079-Y1079)</x:f>
        <x:v>-2461997.3167800736</x:v>
      </x:c>
      <x:c r="AA1079" s="58" t="n">
        <x:f>IF(R1079="No","",MAX(0,-Z1079))</x:f>
        <x:v>2461997.3167800736</x:v>
      </x:c>
      <x:c r="AB1079" s="52" t="n">
        <x:f>IF(OR(R1079="No",U1079*S1079=0),"",AA1079/(U1079*S1079))</x:f>
        <x:v>0.04053661468739823</x:v>
      </x:c>
      <x:c r="AC1079" s="54" t="n">
        <x:f>IF(OR(R1079="No",S1079-T1079*Assumptions!$B$9&lt;=0),"",AA1079/(Assumptions!$B$8*(S1079-T1079*Assumptions!$B$9)))</x:f>
        <x:v>1612.8222236794747</x:v>
      </x:c>
      <x:c r="AD1079" s="52" t="n">
        <x:f>IF(OR(R1079="No",U1079*S1079=0),"",AA1079/(U1079*S1079))</x:f>
        <x:v>0.04053661468739823</x:v>
      </x:c>
      <x:c r="AE1079" s="50" t="str">
        <x:f>IF(R1079="No","No finance data",IF(AB1079&gt;=10%,"Severe",IF(AB1079&gt;=5%,"High",IF(AB1079&gt;=2%,"Moderate","Low"))))</x:f>
        <x:v>Moderate</x:v>
      </x:c>
      <x:c r="AF1079" s="60" t="n">
        <x:v>40.736416</x:v>
      </x:c>
      <x:c r="AG1079" s="60" t="n">
        <x:v>-73.820053</x:v>
      </x:c>
      <x:c r="AH1079" s="44" t="str">
        <x:v>Undergraduate tuition-contribution proxy only; not an audited total institutional budget.</x:v>
      </x:c>
    </x:row>
    <x:row r="1080">
      <x:c r="A1080" s="16" t="n">
        <x:v>190691</x:v>
      </x:c>
      <x:c r="B1080" s="16" t="str">
        <x:v>CUNY York College</x:v>
      </x:c>
      <x:c r="C1080" s="16" t="str">
        <x:v>NY</x:v>
      </x:c>
      <x:c r="D1080" s="16" t="str">
        <x:v>Public</x:v>
      </x:c>
      <x:c r="E1080" s="34" t="n">
        <x:v>7264</x:v>
      </x:c>
      <x:c r="F1080" s="21" t="n">
        <x:v>0.6702</x:v>
      </x:c>
      <x:c r="G1080" s="16" t="str">
        <x:v>Statewide</x:v>
      </x:c>
      <x:c r="H1080" s="36" t="n">
        <x:f>IF(G1080="National",Assumptions!$B$11,IF(G1080="Statewide",Assumptions!$B$12,Assumptions!$B$13))</x:f>
        <x:v>0.6</x:v>
      </x:c>
      <x:c r="I1080" s="21" t="n">
        <x:v>-0.08678079290324192</x:v>
      </x:c>
      <x:c r="J1080" s="21" t="n">
        <x:v>-0.14585233360743566</x:v>
      </x:c>
      <x:c r="K1080" s="21" t="n">
        <x:v>-0.24979193142458445</x:v>
      </x:c>
      <x:c r="L1080" s="36" t="n">
        <x:f>IF(Assumptions!$B$4=2030,I1080,IF(Assumptions!$B$4=2035,J1080,K1080))</x:f>
        <x:v>-0.14585233360743566</x:v>
      </x:c>
      <x:c r="M1080" s="36" t="n">
        <x:f>Assumptions!$B$19</x:f>
        <x:v>-0.04739891965741583</x:v>
      </x:c>
      <x:c r="N1080" s="52" t="n">
        <x:f>H1080*L1080+(1-H1080)*M1080+O1080</x:f>
        <x:v>-0.10647096802742773</x:v>
      </x:c>
      <x:c r="O1080" s="36" t="n">
        <x:f>Assumptions!$B$10</x:f>
        <x:v>0</x:v>
      </x:c>
      <x:c r="P1080" s="54" t="n">
        <x:f>E1080*(1+N1080)</x:f>
        <x:v>6490.594888248765</x:v>
      </x:c>
      <x:c r="Q1080" s="54" t="n">
        <x:f>P1080-E1080</x:f>
        <x:v>-773.4051117512354</x:v>
      </x:c>
      <x:c r="R1080" s="16" t="str">
        <x:v>Yes</x:v>
      </x:c>
      <x:c r="S1080" s="56" t="n">
        <x:v>3663</x:v>
      </x:c>
      <x:c r="T1080" s="56" t="n">
        <x:v>11916</x:v>
      </x:c>
      <x:c r="U1080" s="40" t="n">
        <x:f>E1080*Assumptions!$B$8</x:f>
        <x:v>6174.4</x:v>
      </x:c>
      <x:c r="V1080" s="40" t="n">
        <x:f>P1080*Assumptions!$B$8</x:f>
        <x:v>5517.00565501145</x:v>
      </x:c>
      <x:c r="W1080" s="54" t="n">
        <x:f>V1080-U1080</x:f>
        <x:v>-657.3943449885501</x:v>
      </x:c>
      <x:c r="X1080" s="58" t="n">
        <x:f>IF(R1080="No","",W1080*S1080)</x:f>
        <x:v>-2408035.485693059</x:v>
      </x:c>
      <x:c r="Y1080" s="58" t="n">
        <x:f>IF(R1080="No","",W1080*T1080*Assumptions!$B$9)</x:f>
        <x:v>-2350053.304465069</x:v>
      </x:c>
      <x:c r="Z1080" s="58" t="n">
        <x:f>IF(R1080="No","",X1080-Y1080)</x:f>
        <x:v>-57982.18122798996</x:v>
      </x:c>
      <x:c r="AA1080" s="58" t="n">
        <x:f>IF(R1080="No","",MAX(0,-Z1080))</x:f>
        <x:v>57982.18122798996</x:v>
      </x:c>
      <x:c r="AB1080" s="52" t="n">
        <x:f>IF(OR(R1080="No",U1080*S1080=0),"",AA1080/(U1080*S1080))</x:f>
        <x:v>0.0025636744144196303</x:v>
      </x:c>
      <x:c r="AC1080" s="54" t="n">
        <x:f>IF(OR(R1080="No",S1080-T1080*Assumptions!$B$9&lt;=0),"",AA1080/(Assumptions!$B$8*(S1080-T1080*Assumptions!$B$9)))</x:f>
        <x:v>773.405111751231</x:v>
      </x:c>
      <x:c r="AD1080" s="52" t="n">
        <x:f>IF(OR(R1080="No",U1080*S1080=0),"",AA1080/(U1080*S1080))</x:f>
        <x:v>0.0025636744144196303</x:v>
      </x:c>
      <x:c r="AE1080" s="50" t="str">
        <x:f>IF(R1080="No","No finance data",IF(AB1080&gt;=10%,"Severe",IF(AB1080&gt;=5%,"High",IF(AB1080&gt;=2%,"Moderate","Low"))))</x:f>
        <x:v>Low</x:v>
      </x:c>
      <x:c r="AF1080" s="60" t="n">
        <x:v>40.701576</x:v>
      </x:c>
      <x:c r="AG1080" s="60" t="n">
        <x:v>-73.796313</x:v>
      </x:c>
      <x:c r="AH1080" s="44" t="str">
        <x:v>Undergraduate tuition-contribution proxy only; not an audited total institutional budget.</x:v>
      </x:c>
    </x:row>
    <x:row r="1081">
      <x:c r="A1081" s="16" t="n">
        <x:v>189705</x:v>
      </x:c>
      <x:c r="B1081" s="16" t="str">
        <x:v>Canisius College</x:v>
      </x:c>
      <x:c r="C1081" s="16" t="str">
        <x:v>NY</x:v>
      </x:c>
      <x:c r="D1081" s="16" t="str">
        <x:v>Private nonprofit</x:v>
      </x:c>
      <x:c r="E1081" s="34" t="n">
        <x:v>2552</x:v>
      </x:c>
      <x:c r="F1081" s="21" t="n">
        <x:v>0.8146</x:v>
      </x:c>
      <x:c r="G1081" s="16" t="str">
        <x:v>Regional</x:v>
      </x:c>
      <x:c r="H1081" s="36" t="n">
        <x:f>IF(G1081="National",Assumptions!$B$11,IF(G1081="Statewide",Assumptions!$B$12,Assumptions!$B$13))</x:f>
        <x:v>0.85</x:v>
      </x:c>
      <x:c r="I1081" s="21" t="n">
        <x:v>-0.08678079290324192</x:v>
      </x:c>
      <x:c r="J1081" s="21" t="n">
        <x:v>-0.14585233360743566</x:v>
      </x:c>
      <x:c r="K1081" s="21" t="n">
        <x:v>-0.24979193142458445</x:v>
      </x:c>
      <x:c r="L1081" s="36" t="n">
        <x:f>IF(Assumptions!$B$4=2030,I1081,IF(Assumptions!$B$4=2035,J1081,K1081))</x:f>
        <x:v>-0.14585233360743566</x:v>
      </x:c>
      <x:c r="M1081" s="36" t="n">
        <x:f>Assumptions!$B$19</x:f>
        <x:v>-0.04739891965741583</x:v>
      </x:c>
      <x:c r="N1081" s="52" t="n">
        <x:f>H1081*L1081+(1-H1081)*M1081+O1081</x:f>
        <x:v>-0.13108432151493268</x:v>
      </x:c>
      <x:c r="O1081" s="36" t="n">
        <x:f>Assumptions!$B$10</x:f>
        <x:v>0</x:v>
      </x:c>
      <x:c r="P1081" s="54" t="n">
        <x:f>E1081*(1+N1081)</x:f>
        <x:v>2217.4728114938916</x:v>
      </x:c>
      <x:c r="Q1081" s="54" t="n">
        <x:f>P1081-E1081</x:f>
        <x:v>-334.52718850610836</x:v>
      </x:c>
      <x:c r="R1081" s="16" t="str">
        <x:v>Yes</x:v>
      </x:c>
      <x:c r="S1081" s="56" t="n">
        <x:v>16217</x:v>
      </x:c>
      <x:c r="T1081" s="56" t="n">
        <x:v>8074</x:v>
      </x:c>
      <x:c r="U1081" s="40" t="n">
        <x:f>E1081*Assumptions!$B$8</x:f>
        <x:v>2169.2</x:v>
      </x:c>
      <x:c r="V1081" s="40" t="n">
        <x:f>P1081*Assumptions!$B$8</x:f>
        <x:v>1884.851889769808</x:v>
      </x:c>
      <x:c r="W1081" s="54" t="n">
        <x:f>V1081-U1081</x:f>
        <x:v>-284.3481102301919</x:v>
      </x:c>
      <x:c r="X1081" s="58" t="n">
        <x:f>IF(R1081="No","",W1081*S1081)</x:f>
        <x:v>-4611273.303603021</x:v>
      </x:c>
      <x:c r="Y1081" s="58" t="n">
        <x:f>IF(R1081="No","",W1081*T1081*Assumptions!$B$9)</x:f>
        <x:v>-688747.9925995707</x:v>
      </x:c>
      <x:c r="Z1081" s="58" t="n">
        <x:f>IF(R1081="No","",X1081-Y1081)</x:f>
        <x:v>-3922525.311003451</x:v>
      </x:c>
      <x:c r="AA1081" s="58" t="n">
        <x:f>IF(R1081="No","",MAX(0,-Z1081))</x:f>
        <x:v>3922525.311003451</x:v>
      </x:c>
      <x:c r="AB1081" s="52" t="n">
        <x:f>IF(OR(R1081="No",U1081*S1081=0),"",AA1081/(U1081*S1081))</x:f>
        <x:v>0.11150533381230762</x:v>
      </x:c>
      <x:c r="AC1081" s="54" t="n">
        <x:f>IF(OR(R1081="No",S1081-T1081*Assumptions!$B$9&lt;=0),"",AA1081/(Assumptions!$B$8*(S1081-T1081*Assumptions!$B$9)))</x:f>
        <x:v>334.5271885061081</x:v>
      </x:c>
      <x:c r="AD1081" s="52" t="n">
        <x:f>IF(OR(R1081="No",U1081*S1081=0),"",AA1081/(U1081*S1081))</x:f>
        <x:v>0.11150533381230762</x:v>
      </x:c>
      <x:c r="AE1081" s="50" t="str">
        <x:f>IF(R1081="No","No finance data",IF(AB1081&gt;=10%,"Severe",IF(AB1081&gt;=5%,"High",IF(AB1081&gt;=2%,"Moderate","Low"))))</x:f>
        <x:v>Severe</x:v>
      </x:c>
      <x:c r="AF1081" s="60" t="n">
        <x:v>42.925206</x:v>
      </x:c>
      <x:c r="AG1081" s="60" t="n">
        <x:v>-78.852577</x:v>
      </x:c>
      <x:c r="AH1081" s="44" t="str">
        <x:v>Undergraduate tuition-contribution proxy only; not an audited total institutional budget.</x:v>
      </x:c>
    </x:row>
    <x:row r="1082">
      <x:c r="A1082" s="16" t="n">
        <x:v>189848</x:v>
      </x:c>
      <x:c r="B1082" s="16" t="str">
        <x:v>Cazenovia College</x:v>
      </x:c>
      <x:c r="C1082" s="16" t="str">
        <x:v>NY</x:v>
      </x:c>
      <x:c r="D1082" s="16" t="str">
        <x:v>Private nonprofit</x:v>
      </x:c>
      <x:c r="E1082" s="34" t="n">
        <x:v>1050</x:v>
      </x:c>
      <x:c r="F1082" s="21" t="n">
        <x:v>0.6761</x:v>
      </x:c>
      <x:c r="G1082" s="16" t="str">
        <x:v>Regional</x:v>
      </x:c>
      <x:c r="H1082" s="36" t="n">
        <x:f>IF(G1082="National",Assumptions!$B$11,IF(G1082="Statewide",Assumptions!$B$12,Assumptions!$B$13))</x:f>
        <x:v>0.85</x:v>
      </x:c>
      <x:c r="I1082" s="21" t="n">
        <x:v>-0.08678079290324192</x:v>
      </x:c>
      <x:c r="J1082" s="21" t="n">
        <x:v>-0.14585233360743566</x:v>
      </x:c>
      <x:c r="K1082" s="21" t="n">
        <x:v>-0.24979193142458445</x:v>
      </x:c>
      <x:c r="L1082" s="36" t="n">
        <x:f>IF(Assumptions!$B$4=2030,I1082,IF(Assumptions!$B$4=2035,J1082,K1082))</x:f>
        <x:v>-0.14585233360743566</x:v>
      </x:c>
      <x:c r="M1082" s="36" t="n">
        <x:f>Assumptions!$B$19</x:f>
        <x:v>-0.04739891965741583</x:v>
      </x:c>
      <x:c r="N1082" s="52" t="n">
        <x:f>H1082*L1082+(1-H1082)*M1082+O1082</x:f>
        <x:v>-0.13108432151493268</x:v>
      </x:c>
      <x:c r="O1082" s="36" t="n">
        <x:f>Assumptions!$B$10</x:f>
        <x:v>0</x:v>
      </x:c>
      <x:c r="P1082" s="54" t="n">
        <x:f>E1082*(1+N1082)</x:f>
        <x:v>912.3614624093207</x:v>
      </x:c>
      <x:c r="Q1082" s="54" t="n">
        <x:f>P1082-E1082</x:f>
        <x:v>-137.63853759067933</x:v>
      </x:c>
      <x:c r="R1082" s="16" t="str">
        <x:v>Yes</x:v>
      </x:c>
      <x:c r="S1082" s="56" t="n">
        <x:v>10802</x:v>
      </x:c>
      <x:c r="T1082" s="56" t="n">
        <x:v>13059</x:v>
      </x:c>
      <x:c r="U1082" s="40" t="n">
        <x:f>E1082*Assumptions!$B$8</x:f>
        <x:v>892.5</x:v>
      </x:c>
      <x:c r="V1082" s="40" t="n">
        <x:f>P1082*Assumptions!$B$8</x:f>
        <x:v>775.5072430479225</x:v>
      </x:c>
      <x:c r="W1082" s="54" t="n">
        <x:f>V1082-U1082</x:f>
        <x:v>-116.99275695207746</x:v>
      </x:c>
      <x:c r="X1082" s="58" t="n">
        <x:f>IF(R1082="No","",W1082*S1082)</x:f>
        <x:v>-1263755.7605963408</x:v>
      </x:c>
      <x:c r="Y1082" s="58" t="n">
        <x:f>IF(R1082="No","",W1082*T1082*Assumptions!$B$9)</x:f>
        <x:v>-458342.52391115384</x:v>
      </x:c>
      <x:c r="Z1082" s="58" t="n">
        <x:f>IF(R1082="No","",X1082-Y1082)</x:f>
        <x:v>-805413.2366851869</x:v>
      </x:c>
      <x:c r="AA1082" s="58" t="n">
        <x:f>IF(R1082="No","",MAX(0,-Z1082))</x:f>
        <x:v>805413.2366851869</x:v>
      </x:c>
      <x:c r="AB1082" s="52" t="n">
        <x:f>IF(OR(R1082="No",U1082*S1082=0),"",AA1082/(U1082*S1082))</x:f>
        <x:v>0.08354228796567778</x:v>
      </x:c>
      <x:c r="AC1082" s="54" t="n">
        <x:f>IF(OR(R1082="No",S1082-T1082*Assumptions!$B$9&lt;=0),"",AA1082/(Assumptions!$B$8*(S1082-T1082*Assumptions!$B$9)))</x:f>
        <x:v>137.63853759067936</x:v>
      </x:c>
      <x:c r="AD1082" s="52" t="n">
        <x:f>IF(OR(R1082="No",U1082*S1082=0),"",AA1082/(U1082*S1082))</x:f>
        <x:v>0.08354228796567778</x:v>
      </x:c>
      <x:c r="AE1082" s="50" t="str">
        <x:f>IF(R1082="No","No finance data",IF(AB1082&gt;=10%,"Severe",IF(AB1082&gt;=5%,"High",IF(AB1082&gt;=2%,"Moderate","Low"))))</x:f>
        <x:v>High</x:v>
      </x:c>
      <x:c r="AF1082" s="60" t="n">
        <x:v>42.932489</x:v>
      </x:c>
      <x:c r="AG1082" s="60" t="n">
        <x:v>-75.854882</x:v>
      </x:c>
      <x:c r="AH1082" s="44" t="str">
        <x:v>Undergraduate tuition-contribution proxy only; not an audited total institutional budget.</x:v>
      </x:c>
    </x:row>
    <x:row r="1083">
      <x:c r="A1083" s="16" t="n">
        <x:v>189857</x:v>
      </x:c>
      <x:c r="B1083" s="16" t="str">
        <x:v>Central Yeshiva Tomchei Tmimim Lubavitz</x:v>
      </x:c>
      <x:c r="C1083" s="16" t="str">
        <x:v>NY</x:v>
      </x:c>
      <x:c r="D1083" s="16" t="str">
        <x:v>Private nonprofit</x:v>
      </x:c>
      <x:c r="E1083" s="34" t="n">
        <x:v>513</x:v>
      </x:c>
      <x:c r="F1083" s="21" t="n">
        <x:v>0.9222</x:v>
      </x:c>
      <x:c r="G1083" s="16" t="str">
        <x:v>Regional</x:v>
      </x:c>
      <x:c r="H1083" s="36" t="n">
        <x:f>IF(G1083="National",Assumptions!$B$11,IF(G1083="Statewide",Assumptions!$B$12,Assumptions!$B$13))</x:f>
        <x:v>0.85</x:v>
      </x:c>
      <x:c r="I1083" s="21" t="n">
        <x:v>-0.08678079290324192</x:v>
      </x:c>
      <x:c r="J1083" s="21" t="n">
        <x:v>-0.14585233360743566</x:v>
      </x:c>
      <x:c r="K1083" s="21" t="n">
        <x:v>-0.24979193142458445</x:v>
      </x:c>
      <x:c r="L1083" s="36" t="n">
        <x:f>IF(Assumptions!$B$4=2030,I1083,IF(Assumptions!$B$4=2035,J1083,K1083))</x:f>
        <x:v>-0.14585233360743566</x:v>
      </x:c>
      <x:c r="M1083" s="36" t="n">
        <x:f>Assumptions!$B$19</x:f>
        <x:v>-0.04739891965741583</x:v>
      </x:c>
      <x:c r="N1083" s="52" t="n">
        <x:f>H1083*L1083+(1-H1083)*M1083+O1083</x:f>
        <x:v>-0.13108432151493268</x:v>
      </x:c>
      <x:c r="O1083" s="36" t="n">
        <x:f>Assumptions!$B$10</x:f>
        <x:v>0</x:v>
      </x:c>
      <x:c r="P1083" s="54" t="n">
        <x:f>E1083*(1+N1083)</x:f>
        <x:v>445.75374306283953</x:v>
      </x:c>
      <x:c r="Q1083" s="54" t="n">
        <x:f>P1083-E1083</x:f>
        <x:v>-67.24625693716047</x:v>
      </x:c>
      <x:c r="R1083" s="16" t="str">
        <x:v>Yes</x:v>
      </x:c>
      <x:c r="S1083" s="56" t="n">
        <x:v>8313</x:v>
      </x:c>
      <x:c r="T1083" s="56" t="n">
        <x:v>1692</x:v>
      </x:c>
      <x:c r="U1083" s="40" t="n">
        <x:f>E1083*Assumptions!$B$8</x:f>
        <x:v>436.05</x:v>
      </x:c>
      <x:c r="V1083" s="40" t="n">
        <x:f>P1083*Assumptions!$B$8</x:f>
        <x:v>378.8906816034136</x:v>
      </x:c>
      <x:c r="W1083" s="54" t="n">
        <x:f>V1083-U1083</x:f>
        <x:v>-57.1593183965864</x:v>
      </x:c>
      <x:c r="X1083" s="58" t="n">
        <x:f>IF(R1083="No","",W1083*S1083)</x:f>
        <x:v>-475165.41383082274</x:v>
      </x:c>
      <x:c r="Y1083" s="58" t="n">
        <x:f>IF(R1083="No","",W1083*T1083*Assumptions!$B$9)</x:f>
        <x:v>-29014.070018107253</x:v>
      </x:c>
      <x:c r="Z1083" s="58" t="n">
        <x:f>IF(R1083="No","",X1083-Y1083)</x:f>
        <x:v>-446151.3438127155</x:v>
      </x:c>
      <x:c r="AA1083" s="58" t="n">
        <x:f>IF(R1083="No","",MAX(0,-Z1083))</x:f>
        <x:v>446151.3438127155</x:v>
      </x:c>
      <x:c r="AB1083" s="52" t="n">
        <x:f>IF(OR(R1083="No",U1083*S1083=0),"",AA1083/(U1083*S1083))</x:f>
        <x:v>0.12308018322538863</x:v>
      </x:c>
      <x:c r="AC1083" s="54" t="n">
        <x:f>IF(OR(R1083="No",S1083-T1083*Assumptions!$B$9&lt;=0),"",AA1083/(Assumptions!$B$8*(S1083-T1083*Assumptions!$B$9)))</x:f>
        <x:v>67.24625693716048</x:v>
      </x:c>
      <x:c r="AD1083" s="52" t="n">
        <x:f>IF(OR(R1083="No",U1083*S1083=0),"",AA1083/(U1083*S1083))</x:f>
        <x:v>0.12308018322538863</x:v>
      </x:c>
      <x:c r="AE1083" s="50" t="str">
        <x:f>IF(R1083="No","No finance data",IF(AB1083&gt;=10%,"Severe",IF(AB1083&gt;=5%,"High",IF(AB1083&gt;=2%,"Moderate","Low"))))</x:f>
        <x:v>Severe</x:v>
      </x:c>
      <x:c r="AF1083" s="60" t="n">
        <x:v>40.669694</x:v>
      </x:c>
      <x:c r="AG1083" s="60" t="n">
        <x:v>-73.938778</x:v>
      </x:c>
      <x:c r="AH1083" s="44" t="str">
        <x:v>Undergraduate tuition-contribution proxy only; not an audited total institutional budget.</x:v>
      </x:c>
    </x:row>
    <x:row r="1084">
      <x:c r="A1084" s="16" t="n">
        <x:v>190044</x:v>
      </x:c>
      <x:c r="B1084" s="16" t="str">
        <x:v>Clarkson University</x:v>
      </x:c>
      <x:c r="C1084" s="16" t="str">
        <x:v>NY</x:v>
      </x:c>
      <x:c r="D1084" s="16" t="str">
        <x:v>Private nonprofit</x:v>
      </x:c>
      <x:c r="E1084" s="34" t="n">
        <x:v>3153</x:v>
      </x:c>
      <x:c r="F1084" s="21" t="n">
        <x:v>0.7458</x:v>
      </x:c>
      <x:c r="G1084" s="16" t="str">
        <x:v>Regional</x:v>
      </x:c>
      <x:c r="H1084" s="36" t="n">
        <x:f>IF(G1084="National",Assumptions!$B$11,IF(G1084="Statewide",Assumptions!$B$12,Assumptions!$B$13))</x:f>
        <x:v>0.85</x:v>
      </x:c>
      <x:c r="I1084" s="21" t="n">
        <x:v>-0.08678079290324192</x:v>
      </x:c>
      <x:c r="J1084" s="21" t="n">
        <x:v>-0.14585233360743566</x:v>
      </x:c>
      <x:c r="K1084" s="21" t="n">
        <x:v>-0.24979193142458445</x:v>
      </x:c>
      <x:c r="L1084" s="36" t="n">
        <x:f>IF(Assumptions!$B$4=2030,I1084,IF(Assumptions!$B$4=2035,J1084,K1084))</x:f>
        <x:v>-0.14585233360743566</x:v>
      </x:c>
      <x:c r="M1084" s="36" t="n">
        <x:f>Assumptions!$B$19</x:f>
        <x:v>-0.04739891965741583</x:v>
      </x:c>
      <x:c r="N1084" s="52" t="n">
        <x:f>H1084*L1084+(1-H1084)*M1084+O1084</x:f>
        <x:v>-0.13108432151493268</x:v>
      </x:c>
      <x:c r="O1084" s="36" t="n">
        <x:f>Assumptions!$B$10</x:f>
        <x:v>0</x:v>
      </x:c>
      <x:c r="P1084" s="54" t="n">
        <x:f>E1084*(1+N1084)</x:f>
        <x:v>2739.6911342634176</x:v>
      </x:c>
      <x:c r="Q1084" s="54" t="n">
        <x:f>P1084-E1084</x:f>
        <x:v>-413.30886573658245</x:v>
      </x:c>
      <x:c r="R1084" s="16" t="str">
        <x:v>Yes</x:v>
      </x:c>
      <x:c r="S1084" s="56" t="n">
        <x:v>17124</x:v>
      </x:c>
      <x:c r="T1084" s="56" t="n">
        <x:v>14424</x:v>
      </x:c>
      <x:c r="U1084" s="40" t="n">
        <x:f>E1084*Assumptions!$B$8</x:f>
        <x:v>2680.0499999999997</x:v>
      </x:c>
      <x:c r="V1084" s="40" t="n">
        <x:f>P1084*Assumptions!$B$8</x:f>
        <x:v>2328.737464123905</x:v>
      </x:c>
      <x:c r="W1084" s="54" t="n">
        <x:f>V1084-U1084</x:f>
        <x:v>-351.3125358760949</x:v>
      </x:c>
      <x:c r="X1084" s="58" t="n">
        <x:f>IF(R1084="No","",W1084*S1084)</x:f>
        <x:v>-6015875.864342249</x:v>
      </x:c>
      <x:c r="Y1084" s="58" t="n">
        <x:f>IF(R1084="No","",W1084*T1084*Assumptions!$B$9)</x:f>
        <x:v>-1520199.6052430377</x:v>
      </x:c>
      <x:c r="Z1084" s="58" t="n">
        <x:f>IF(R1084="No","",X1084-Y1084)</x:f>
        <x:v>-4495676.259099212</x:v>
      </x:c>
      <x:c r="AA1084" s="58" t="n">
        <x:f>IF(R1084="No","",MAX(0,-Z1084))</x:f>
        <x:v>4495676.259099212</x:v>
      </x:c>
      <x:c r="AB1084" s="52" t="n">
        <x:f>IF(OR(R1084="No",U1084*S1084=0),"",AA1084/(U1084*S1084))</x:f>
        <x:v>0.09795957986231539</x:v>
      </x:c>
      <x:c r="AC1084" s="54" t="n">
        <x:f>IF(OR(R1084="No",S1084-T1084*Assumptions!$B$9&lt;=0),"",AA1084/(Assumptions!$B$8*(S1084-T1084*Assumptions!$B$9)))</x:f>
        <x:v>413.30886573658233</x:v>
      </x:c>
      <x:c r="AD1084" s="52" t="n">
        <x:f>IF(OR(R1084="No",U1084*S1084=0),"",AA1084/(U1084*S1084))</x:f>
        <x:v>0.09795957986231539</x:v>
      </x:c>
      <x:c r="AE1084" s="50" t="str">
        <x:f>IF(R1084="No","No finance data",IF(AB1084&gt;=10%,"Severe",IF(AB1084&gt;=5%,"High",IF(AB1084&gt;=2%,"Moderate","Low"))))</x:f>
        <x:v>High</x:v>
      </x:c>
      <x:c r="AF1084" s="60" t="n">
        <x:v>44.662716</x:v>
      </x:c>
      <x:c r="AG1084" s="60" t="n">
        <x:v>-74.999359</x:v>
      </x:c>
      <x:c r="AH1084" s="44" t="str">
        <x:v>Undergraduate tuition-contribution proxy only; not an audited total institutional budget.</x:v>
      </x:c>
    </x:row>
    <x:row r="1085">
      <x:c r="A1085" s="16" t="n">
        <x:v>190099</x:v>
      </x:c>
      <x:c r="B1085" s="16" t="str">
        <x:v>Colgate University</x:v>
      </x:c>
      <x:c r="C1085" s="16" t="str">
        <x:v>NY</x:v>
      </x:c>
      <x:c r="D1085" s="16" t="str">
        <x:v>Private nonprofit</x:v>
      </x:c>
      <x:c r="E1085" s="34" t="n">
        <x:v>2834</x:v>
      </x:c>
      <x:c r="F1085" s="21" t="n">
        <x:v>0.1719</x:v>
      </x:c>
      <x:c r="G1085" s="16" t="str">
        <x:v>National</x:v>
      </x:c>
      <x:c r="H1085" s="36" t="n">
        <x:f>IF(G1085="National",Assumptions!$B$11,IF(G1085="Statewide",Assumptions!$B$12,Assumptions!$B$13))</x:f>
        <x:v>0.25</x:v>
      </x:c>
      <x:c r="I1085" s="21" t="n">
        <x:v>-0.08678079290324192</x:v>
      </x:c>
      <x:c r="J1085" s="21" t="n">
        <x:v>-0.14585233360743566</x:v>
      </x:c>
      <x:c r="K1085" s="21" t="n">
        <x:v>-0.24979193142458445</x:v>
      </x:c>
      <x:c r="L1085" s="36" t="n">
        <x:f>IF(Assumptions!$B$4=2030,I1085,IF(Assumptions!$B$4=2035,J1085,K1085))</x:f>
        <x:v>-0.14585233360743566</x:v>
      </x:c>
      <x:c r="M1085" s="36" t="n">
        <x:f>Assumptions!$B$19</x:f>
        <x:v>-0.04739891965741583</x:v>
      </x:c>
      <x:c r="N1085" s="52" t="n">
        <x:f>H1085*L1085+(1-H1085)*M1085+O1085</x:f>
        <x:v>-0.07201227314492079</x:v>
      </x:c>
      <x:c r="O1085" s="36" t="n">
        <x:f>Assumptions!$B$10</x:f>
        <x:v>0</x:v>
      </x:c>
      <x:c r="P1085" s="54" t="n">
        <x:f>E1085*(1+N1085)</x:f>
        <x:v>2629.917217907295</x:v>
      </x:c>
      <x:c r="Q1085" s="54" t="n">
        <x:f>P1085-E1085</x:f>
        <x:v>-204.0827820927052</x:v>
      </x:c>
      <x:c r="R1085" s="16" t="str">
        <x:v>Yes</x:v>
      </x:c>
      <x:c r="S1085" s="56" t="n">
        <x:v>46642</x:v>
      </x:c>
      <x:c r="T1085" s="56" t="n">
        <x:v>22762</x:v>
      </x:c>
      <x:c r="U1085" s="40" t="n">
        <x:f>E1085*Assumptions!$B$8</x:f>
        <x:v>2408.9</x:v>
      </x:c>
      <x:c r="V1085" s="40" t="n">
        <x:f>P1085*Assumptions!$B$8</x:f>
        <x:v>2235.4296352212004</x:v>
      </x:c>
      <x:c r="W1085" s="54" t="n">
        <x:f>V1085-U1085</x:f>
        <x:v>-173.47036477879965</x:v>
      </x:c>
      <x:c r="X1085" s="58" t="n">
        <x:f>IF(R1085="No","",W1085*S1085)</x:f>
        <x:v>-8091004.754012773</x:v>
      </x:c>
      <x:c r="Y1085" s="58" t="n">
        <x:f>IF(R1085="No","",W1085*T1085*Assumptions!$B$9)</x:f>
        <x:v>-1184559.7329285112</x:v>
      </x:c>
      <x:c r="Z1085" s="58" t="n">
        <x:f>IF(R1085="No","",X1085-Y1085)</x:f>
        <x:v>-6906445.021084262</x:v>
      </x:c>
      <x:c r="AA1085" s="58" t="n">
        <x:f>IF(R1085="No","",MAX(0,-Z1085))</x:f>
        <x:v>6906445.021084262</x:v>
      </x:c>
      <x:c r="AB1085" s="52" t="n">
        <x:f>IF(OR(R1085="No",U1085*S1085=0),"",AA1085/(U1085*S1085))</x:f>
        <x:v>0.06146935027717484</x:v>
      </x:c>
      <x:c r="AC1085" s="54" t="n">
        <x:f>IF(OR(R1085="No",S1085-T1085*Assumptions!$B$9&lt;=0),"",AA1085/(Assumptions!$B$8*(S1085-T1085*Assumptions!$B$9)))</x:f>
        <x:v>204.0827820927055</x:v>
      </x:c>
      <x:c r="AD1085" s="52" t="n">
        <x:f>IF(OR(R1085="No",U1085*S1085=0),"",AA1085/(U1085*S1085))</x:f>
        <x:v>0.06146935027717484</x:v>
      </x:c>
      <x:c r="AE1085" s="50" t="str">
        <x:f>IF(R1085="No","No finance data",IF(AB1085&gt;=10%,"Severe",IF(AB1085&gt;=5%,"High",IF(AB1085&gt;=2%,"Moderate","Low"))))</x:f>
        <x:v>High</x:v>
      </x:c>
      <x:c r="AF1085" s="60" t="n">
        <x:v>42.819475</x:v>
      </x:c>
      <x:c r="AG1085" s="60" t="n">
        <x:v>-75.536346</x:v>
      </x:c>
      <x:c r="AH1085" s="44" t="str">
        <x:v>Undergraduate tuition-contribution proxy only; not an audited total institutional budget.</x:v>
      </x:c>
    </x:row>
    <x:row r="1086">
      <x:c r="A1086" s="16" t="n">
        <x:v>193399</x:v>
      </x:c>
      <x:c r="B1086" s="16" t="str">
        <x:v>College of Mount Saint Vincent</x:v>
      </x:c>
      <x:c r="C1086" s="16" t="str">
        <x:v>NY</x:v>
      </x:c>
      <x:c r="D1086" s="16" t="str">
        <x:v>Private nonprofit</x:v>
      </x:c>
      <x:c r="E1086" s="34" t="n">
        <x:v>1586</x:v>
      </x:c>
      <x:c r="F1086" s="21" t="n">
        <x:v>0.8211</x:v>
      </x:c>
      <x:c r="G1086" s="16" t="str">
        <x:v>Regional</x:v>
      </x:c>
      <x:c r="H1086" s="36" t="n">
        <x:f>IF(G1086="National",Assumptions!$B$11,IF(G1086="Statewide",Assumptions!$B$12,Assumptions!$B$13))</x:f>
        <x:v>0.85</x:v>
      </x:c>
      <x:c r="I1086" s="21" t="n">
        <x:v>-0.08678079290324192</x:v>
      </x:c>
      <x:c r="J1086" s="21" t="n">
        <x:v>-0.14585233360743566</x:v>
      </x:c>
      <x:c r="K1086" s="21" t="n">
        <x:v>-0.24979193142458445</x:v>
      </x:c>
      <x:c r="L1086" s="36" t="n">
        <x:f>IF(Assumptions!$B$4=2030,I1086,IF(Assumptions!$B$4=2035,J1086,K1086))</x:f>
        <x:v>-0.14585233360743566</x:v>
      </x:c>
      <x:c r="M1086" s="36" t="n">
        <x:f>Assumptions!$B$19</x:f>
        <x:v>-0.04739891965741583</x:v>
      </x:c>
      <x:c r="N1086" s="52" t="n">
        <x:f>H1086*L1086+(1-H1086)*M1086+O1086</x:f>
        <x:v>-0.13108432151493268</x:v>
      </x:c>
      <x:c r="O1086" s="36" t="n">
        <x:f>Assumptions!$B$10</x:f>
        <x:v>0</x:v>
      </x:c>
      <x:c r="P1086" s="54" t="n">
        <x:f>E1086*(1+N1086)</x:f>
        <x:v>1378.1002660773167</x:v>
      </x:c>
      <x:c r="Q1086" s="54" t="n">
        <x:f>P1086-E1086</x:f>
        <x:v>-207.89973392268325</x:v>
      </x:c>
      <x:c r="R1086" s="16" t="str">
        <x:v>Yes</x:v>
      </x:c>
      <x:c r="S1086" s="56" t="n">
        <x:v>15041</x:v>
      </x:c>
      <x:c r="T1086" s="56" t="n">
        <x:v>7512</x:v>
      </x:c>
      <x:c r="U1086" s="40" t="n">
        <x:f>E1086*Assumptions!$B$8</x:f>
        <x:v>1348.1</x:v>
      </x:c>
      <x:c r="V1086" s="40" t="n">
        <x:f>P1086*Assumptions!$B$8</x:f>
        <x:v>1171.3852261657191</x:v>
      </x:c>
      <x:c r="W1086" s="54" t="n">
        <x:f>V1086-U1086</x:f>
        <x:v>-176.71477383428078</x:v>
      </x:c>
      <x:c r="X1086" s="58" t="n">
        <x:f>IF(R1086="No","",W1086*S1086)</x:f>
        <x:v>-2657966.913241417</x:v>
      </x:c>
      <x:c r="Y1086" s="58" t="n">
        <x:f>IF(R1086="No","",W1086*T1086*Assumptions!$B$9)</x:f>
        <x:v>-398244.41431293514</x:v>
      </x:c>
      <x:c r="Z1086" s="58" t="n">
        <x:f>IF(R1086="No","",X1086-Y1086)</x:f>
        <x:v>-2259722.498928482</x:v>
      </x:c>
      <x:c r="AA1086" s="58" t="n">
        <x:f>IF(R1086="No","",MAX(0,-Z1086))</x:f>
        <x:v>2259722.498928482</x:v>
      </x:c>
      <x:c r="AB1086" s="52" t="n">
        <x:f>IF(OR(R1086="No",U1086*S1086=0),"",AA1086/(U1086*S1086))</x:f>
        <x:v>0.11144389687787054</x:v>
      </x:c>
      <x:c r="AC1086" s="54" t="n">
        <x:f>IF(OR(R1086="No",S1086-T1086*Assumptions!$B$9&lt;=0),"",AA1086/(Assumptions!$B$8*(S1086-T1086*Assumptions!$B$9)))</x:f>
        <x:v>207.8997339226833</x:v>
      </x:c>
      <x:c r="AD1086" s="52" t="n">
        <x:f>IF(OR(R1086="No",U1086*S1086=0),"",AA1086/(U1086*S1086))</x:f>
        <x:v>0.11144389687787054</x:v>
      </x:c>
      <x:c r="AE1086" s="50" t="str">
        <x:f>IF(R1086="No","No finance data",IF(AB1086&gt;=10%,"Severe",IF(AB1086&gt;=5%,"High",IF(AB1086&gt;=2%,"Moderate","Low"))))</x:f>
        <x:v>Severe</x:v>
      </x:c>
      <x:c r="AF1086" s="60" t="n">
        <x:v>40.913657</x:v>
      </x:c>
      <x:c r="AG1086" s="60" t="n">
        <x:v>-73.908887</x:v>
      </x:c>
      <x:c r="AH1086" s="44" t="str">
        <x:v>Undergraduate tuition-contribution proxy only; not an audited total institutional budget.</x:v>
      </x:c>
    </x:row>
    <x:row r="1087">
      <x:c r="A1087" s="16" t="n">
        <x:v>190558</x:v>
      </x:c>
      <x:c r="B1087" s="16" t="str">
        <x:v>College of Staten Island CUNY</x:v>
      </x:c>
      <x:c r="C1087" s="16" t="str">
        <x:v>NY</x:v>
      </x:c>
      <x:c r="D1087" s="16" t="str">
        <x:v>Public</x:v>
      </x:c>
      <x:c r="E1087" s="34" t="n">
        <x:v>12321</x:v>
      </x:c>
      <x:c r="F1087" s="21"/>
      <x:c r="G1087" s="16" t="str">
        <x:v>Statewide</x:v>
      </x:c>
      <x:c r="H1087" s="36" t="n">
        <x:f>IF(G1087="National",Assumptions!$B$11,IF(G1087="Statewide",Assumptions!$B$12,Assumptions!$B$13))</x:f>
        <x:v>0.6</x:v>
      </x:c>
      <x:c r="I1087" s="21" t="n">
        <x:v>-0.08678079290324192</x:v>
      </x:c>
      <x:c r="J1087" s="21" t="n">
        <x:v>-0.14585233360743566</x:v>
      </x:c>
      <x:c r="K1087" s="21" t="n">
        <x:v>-0.24979193142458445</x:v>
      </x:c>
      <x:c r="L1087" s="36" t="n">
        <x:f>IF(Assumptions!$B$4=2030,I1087,IF(Assumptions!$B$4=2035,J1087,K1087))</x:f>
        <x:v>-0.14585233360743566</x:v>
      </x:c>
      <x:c r="M1087" s="36" t="n">
        <x:f>Assumptions!$B$19</x:f>
        <x:v>-0.04739891965741583</x:v>
      </x:c>
      <x:c r="N1087" s="52" t="n">
        <x:f>H1087*L1087+(1-H1087)*M1087+O1087</x:f>
        <x:v>-0.10647096802742773</x:v>
      </x:c>
      <x:c r="O1087" s="36" t="n">
        <x:f>Assumptions!$B$10</x:f>
        <x:v>0</x:v>
      </x:c>
      <x:c r="P1087" s="54" t="n">
        <x:f>E1087*(1+N1087)</x:f>
        <x:v>11009.171202934063</x:v>
      </x:c>
      <x:c r="Q1087" s="54" t="n">
        <x:f>P1087-E1087</x:f>
        <x:v>-1311.8287970659367</x:v>
      </x:c>
      <x:c r="R1087" s="16" t="str">
        <x:v>Yes</x:v>
      </x:c>
      <x:c r="S1087" s="56" t="n">
        <x:v>4205</x:v>
      </x:c>
      <x:c r="T1087" s="56" t="n">
        <x:v>10946</x:v>
      </x:c>
      <x:c r="U1087" s="40" t="n">
        <x:f>E1087*Assumptions!$B$8</x:f>
        <x:v>10472.85</x:v>
      </x:c>
      <x:c r="V1087" s="40" t="n">
        <x:f>P1087*Assumptions!$B$8</x:f>
        <x:v>9357.795522493954</x:v>
      </x:c>
      <x:c r="W1087" s="54" t="n">
        <x:f>V1087-U1087</x:f>
        <x:v>-1115.0544775060462</x:v>
      </x:c>
      <x:c r="X1087" s="58" t="n">
        <x:f>IF(R1087="No","",W1087*S1087)</x:f>
        <x:v>-4688804.077912924</x:v>
      </x:c>
      <x:c r="Y1087" s="58" t="n">
        <x:f>IF(R1087="No","",W1087*T1087*Assumptions!$B$9)</x:f>
        <x:v>-3661615.893234354</x:v>
      </x:c>
      <x:c r="Z1087" s="58" t="n">
        <x:f>IF(R1087="No","",X1087-Y1087)</x:f>
        <x:v>-1027188.1846785699</x:v>
      </x:c>
      <x:c r="AA1087" s="58" t="n">
        <x:f>IF(R1087="No","",MAX(0,-Z1087))</x:f>
        <x:v>1027188.1846785699</x:v>
      </x:c>
      <x:c r="AB1087" s="52" t="n">
        <x:f>IF(OR(R1087="No",U1087*S1087=0),"",AA1087/(U1087*S1087))</x:f>
        <x:v>0.02332486462470069</x:v>
      </x:c>
      <x:c r="AC1087" s="54" t="n">
        <x:f>IF(OR(R1087="No",S1087-T1087*Assumptions!$B$9&lt;=0),"",AA1087/(Assumptions!$B$8*(S1087-T1087*Assumptions!$B$9)))</x:f>
        <x:v>1311.8287970659364</x:v>
      </x:c>
      <x:c r="AD1087" s="52" t="n">
        <x:f>IF(OR(R1087="No",U1087*S1087=0),"",AA1087/(U1087*S1087))</x:f>
        <x:v>0.02332486462470069</x:v>
      </x:c>
      <x:c r="AE1087" s="50" t="str">
        <x:f>IF(R1087="No","No finance data",IF(AB1087&gt;=10%,"Severe",IF(AB1087&gt;=5%,"High",IF(AB1087&gt;=2%,"Moderate","Low"))))</x:f>
        <x:v>Moderate</x:v>
      </x:c>
      <x:c r="AF1087" s="60" t="n">
        <x:v>40.601831</x:v>
      </x:c>
      <x:c r="AG1087" s="60" t="n">
        <x:v>-74.14849</x:v>
      </x:c>
      <x:c r="AH1087" s="44" t="str">
        <x:v>Undergraduate tuition-contribution proxy only; not an audited total institutional budget.</x:v>
      </x:c>
    </x:row>
    <x:row r="1088">
      <x:c r="A1088" s="16" t="n">
        <x:v>190150</x:v>
      </x:c>
      <x:c r="B1088" s="16" t="str">
        <x:v>Columbia University in the City of New York</x:v>
      </x:c>
      <x:c r="C1088" s="16" t="str">
        <x:v>NY</x:v>
      </x:c>
      <x:c r="D1088" s="16" t="str">
        <x:v>Private nonprofit</x:v>
      </x:c>
      <x:c r="E1088" s="34" t="n">
        <x:v>8102</x:v>
      </x:c>
      <x:c r="F1088" s="21" t="n">
        <x:v>0.0413</x:v>
      </x:c>
      <x:c r="G1088" s="16" t="str">
        <x:v>National</x:v>
      </x:c>
      <x:c r="H1088" s="36" t="n">
        <x:f>IF(G1088="National",Assumptions!$B$11,IF(G1088="Statewide",Assumptions!$B$12,Assumptions!$B$13))</x:f>
        <x:v>0.25</x:v>
      </x:c>
      <x:c r="I1088" s="21" t="n">
        <x:v>-0.08678079290324192</x:v>
      </x:c>
      <x:c r="J1088" s="21" t="n">
        <x:v>-0.14585233360743566</x:v>
      </x:c>
      <x:c r="K1088" s="21" t="n">
        <x:v>-0.24979193142458445</x:v>
      </x:c>
      <x:c r="L1088" s="36" t="n">
        <x:f>IF(Assumptions!$B$4=2030,I1088,IF(Assumptions!$B$4=2035,J1088,K1088))</x:f>
        <x:v>-0.14585233360743566</x:v>
      </x:c>
      <x:c r="M1088" s="36" t="n">
        <x:f>Assumptions!$B$19</x:f>
        <x:v>-0.04739891965741583</x:v>
      </x:c>
      <x:c r="N1088" s="52" t="n">
        <x:f>H1088*L1088+(1-H1088)*M1088+O1088</x:f>
        <x:v>-0.07201227314492079</x:v>
      </x:c>
      <x:c r="O1088" s="36" t="n">
        <x:f>Assumptions!$B$10</x:f>
        <x:v>0</x:v>
      </x:c>
      <x:c r="P1088" s="54" t="n">
        <x:f>E1088*(1+N1088)</x:f>
        <x:v>7518.556562979852</x:v>
      </x:c>
      <x:c r="Q1088" s="54" t="n">
        <x:f>P1088-E1088</x:f>
        <x:v>-583.4434370201479</x:v>
      </x:c>
      <x:c r="R1088" s="16" t="str">
        <x:v>Yes</x:v>
      </x:c>
      <x:c r="S1088" s="56" t="n">
        <x:v>39652</x:v>
      </x:c>
      <x:c r="T1088" s="56" t="n">
        <x:v>103877</x:v>
      </x:c>
      <x:c r="U1088" s="40" t="n">
        <x:f>E1088*Assumptions!$B$8</x:f>
        <x:v>6886.7</x:v>
      </x:c>
      <x:c r="V1088" s="40" t="n">
        <x:f>P1088*Assumptions!$B$8</x:f>
        <x:v>6390.773078532874</x:v>
      </x:c>
      <x:c r="W1088" s="54" t="n">
        <x:f>V1088-U1088</x:f>
        <x:v>-495.9269214671258</x:v>
      </x:c>
      <x:c r="X1088" s="58" t="n">
        <x:f>IF(R1088="No","",W1088*S1088)</x:f>
        <x:v>-19664494.29001447</x:v>
      </x:c>
      <x:c r="Y1088" s="58" t="n">
        <x:f>IF(R1088="No","",W1088*T1088*Assumptions!$B$9)</x:f>
        <x:v>-15454620.246372188</x:v>
      </x:c>
      <x:c r="Z1088" s="58" t="n">
        <x:f>IF(R1088="No","",X1088-Y1088)</x:f>
        <x:v>-4209874.043642284</x:v>
      </x:c>
      <x:c r="AA1088" s="58" t="n">
        <x:f>IF(R1088="No","",MAX(0,-Z1088))</x:f>
        <x:v>4209874.043642284</x:v>
      </x:c>
      <x:c r="AB1088" s="52" t="n">
        <x:f>IF(OR(R1088="No",U1088*S1088=0),"",AA1088/(U1088*S1088))</x:f>
        <x:v>0.015416750365679358</x:v>
      </x:c>
      <x:c r="AC1088" s="54" t="n">
        <x:f>IF(OR(R1088="No",S1088-T1088*Assumptions!$B$9&lt;=0),"",AA1088/(Assumptions!$B$8*(S1088-T1088*Assumptions!$B$9)))</x:f>
        <x:v>583.4434370201479</x:v>
      </x:c>
      <x:c r="AD1088" s="52" t="n">
        <x:f>IF(OR(R1088="No",U1088*S1088=0),"",AA1088/(U1088*S1088))</x:f>
        <x:v>0.015416750365679358</x:v>
      </x:c>
      <x:c r="AE1088" s="50" t="str">
        <x:f>IF(R1088="No","No finance data",IF(AB1088&gt;=10%,"Severe",IF(AB1088&gt;=5%,"High",IF(AB1088&gt;=2%,"Moderate","Low"))))</x:f>
        <x:v>Low</x:v>
      </x:c>
      <x:c r="AF1088" s="60" t="n">
        <x:v>40.808286</x:v>
      </x:c>
      <x:c r="AG1088" s="60" t="n">
        <x:v>-73.961885</x:v>
      </x:c>
      <x:c r="AH1088" s="44" t="str">
        <x:v>Undergraduate tuition-contribution proxy only; not an audited total institutional budget.</x:v>
      </x:c>
    </x:row>
    <x:row r="1089">
      <x:c r="A1089" s="16" t="n">
        <x:v>190248</x:v>
      </x:c>
      <x:c r="B1089" s="16" t="str">
        <x:v>Concordia College-New York</x:v>
      </x:c>
      <x:c r="C1089" s="16" t="str">
        <x:v>NY</x:v>
      </x:c>
      <x:c r="D1089" s="16" t="str">
        <x:v>Private nonprofit</x:v>
      </x:c>
      <x:c r="E1089" s="34" t="n">
        <x:v>886</x:v>
      </x:c>
      <x:c r="F1089" s="21"/>
      <x:c r="G1089" s="16" t="str">
        <x:v>Regional</x:v>
      </x:c>
      <x:c r="H1089" s="36" t="n">
        <x:f>IF(G1089="National",Assumptions!$B$11,IF(G1089="Statewide",Assumptions!$B$12,Assumptions!$B$13))</x:f>
        <x:v>0.85</x:v>
      </x:c>
      <x:c r="I1089" s="21" t="n">
        <x:v>-0.08678079290324192</x:v>
      </x:c>
      <x:c r="J1089" s="21" t="n">
        <x:v>-0.14585233360743566</x:v>
      </x:c>
      <x:c r="K1089" s="21" t="n">
        <x:v>-0.24979193142458445</x:v>
      </x:c>
      <x:c r="L1089" s="36" t="n">
        <x:f>IF(Assumptions!$B$4=2030,I1089,IF(Assumptions!$B$4=2035,J1089,K1089))</x:f>
        <x:v>-0.14585233360743566</x:v>
      </x:c>
      <x:c r="M1089" s="36" t="n">
        <x:f>Assumptions!$B$19</x:f>
        <x:v>-0.04739891965741583</x:v>
      </x:c>
      <x:c r="N1089" s="52" t="n">
        <x:f>H1089*L1089+(1-H1089)*M1089+O1089</x:f>
        <x:v>-0.13108432151493268</x:v>
      </x:c>
      <x:c r="O1089" s="36" t="n">
        <x:f>Assumptions!$B$10</x:f>
        <x:v>0</x:v>
      </x:c>
      <x:c r="P1089" s="54" t="n">
        <x:f>E1089*(1+N1089)</x:f>
        <x:v>769.8592911377697</x:v>
      </x:c>
      <x:c r="Q1089" s="54" t="n">
        <x:f>P1089-E1089</x:f>
        <x:v>-116.14070886223033</x:v>
      </x:c>
      <x:c r="R1089" s="16" t="str">
        <x:v>No</x:v>
      </x:c>
      <x:c r="S1089" s="56"/>
      <x:c r="T1089" s="56"/>
      <x:c r="U1089" s="40" t="n">
        <x:f>E1089*Assumptions!$B$8</x:f>
        <x:v>753.1</x:v>
      </x:c>
      <x:c r="V1089" s="40" t="n">
        <x:f>P1089*Assumptions!$B$8</x:f>
        <x:v>654.3803974671042</x:v>
      </x:c>
      <x:c r="W1089" s="54" t="n">
        <x:f>V1089-U1089</x:f>
        <x:v>-98.7196025328958</x:v>
      </x:c>
      <x:c r="X1089" s="58" t="str">
        <x:f>IF(R1089="No","",W1089*S1089)</x:f>
      </x:c>
      <x:c r="Y1089" s="58" t="str">
        <x:f>IF(R1089="No","",W1089*T1089*Assumptions!$B$9)</x:f>
      </x:c>
      <x:c r="Z1089" s="58" t="str">
        <x:f>IF(R1089="No","",X1089-Y1089)</x:f>
      </x:c>
      <x:c r="AA1089" s="58" t="str">
        <x:f>IF(R1089="No","",MAX(0,-Z1089))</x:f>
      </x:c>
      <x:c r="AB1089" s="52" t="str">
        <x:f>IF(OR(R1089="No",U1089*S1089=0),"",AA1089/(U1089*S1089))</x:f>
      </x:c>
      <x:c r="AC1089" s="54" t="str">
        <x:f>IF(OR(R1089="No",S1089-T1089*Assumptions!$B$9&lt;=0),"",AA1089/(Assumptions!$B$8*(S1089-T1089*Assumptions!$B$9)))</x:f>
      </x:c>
      <x:c r="AD1089" s="52" t="str">
        <x:f>IF(OR(R1089="No",U1089*S1089=0),"",AA1089/(U1089*S1089))</x:f>
      </x:c>
      <x:c r="AE1089" s="50" t="str">
        <x:f>IF(R1089="No","No finance data",IF(AB1089&gt;=10%,"Severe",IF(AB1089&gt;=5%,"High",IF(AB1089&gt;=2%,"Moderate","Low"))))</x:f>
        <x:v>No finance data</x:v>
      </x:c>
      <x:c r="AF1089" s="60"/>
      <x:c r="AG1089" s="60"/>
      <x:c r="AH1089" s="44" t="str">
        <x:v>Undergraduate tuition-contribution proxy only; not an audited total institutional budget.</x:v>
      </x:c>
    </x:row>
    <x:row r="1090">
      <x:c r="A1090" s="16" t="n">
        <x:v>190372</x:v>
      </x:c>
      <x:c r="B1090" s="16" t="str">
        <x:v>Cooper Union for the Advancement of Science and Art</x:v>
      </x:c>
      <x:c r="C1090" s="16" t="str">
        <x:v>NY</x:v>
      </x:c>
      <x:c r="D1090" s="16" t="str">
        <x:v>Private nonprofit</x:v>
      </x:c>
      <x:c r="E1090" s="34" t="n">
        <x:v>873</x:v>
      </x:c>
      <x:c r="F1090" s="21" t="n">
        <x:v>0.1468</x:v>
      </x:c>
      <x:c r="G1090" s="16" t="str">
        <x:v>National</x:v>
      </x:c>
      <x:c r="H1090" s="36" t="n">
        <x:f>IF(G1090="National",Assumptions!$B$11,IF(G1090="Statewide",Assumptions!$B$12,Assumptions!$B$13))</x:f>
        <x:v>0.25</x:v>
      </x:c>
      <x:c r="I1090" s="21" t="n">
        <x:v>-0.08678079290324192</x:v>
      </x:c>
      <x:c r="J1090" s="21" t="n">
        <x:v>-0.14585233360743566</x:v>
      </x:c>
      <x:c r="K1090" s="21" t="n">
        <x:v>-0.24979193142458445</x:v>
      </x:c>
      <x:c r="L1090" s="36" t="n">
        <x:f>IF(Assumptions!$B$4=2030,I1090,IF(Assumptions!$B$4=2035,J1090,K1090))</x:f>
        <x:v>-0.14585233360743566</x:v>
      </x:c>
      <x:c r="M1090" s="36" t="n">
        <x:f>Assumptions!$B$19</x:f>
        <x:v>-0.04739891965741583</x:v>
      </x:c>
      <x:c r="N1090" s="52" t="n">
        <x:f>H1090*L1090+(1-H1090)*M1090+O1090</x:f>
        <x:v>-0.07201227314492079</x:v>
      </x:c>
      <x:c r="O1090" s="36" t="n">
        <x:f>Assumptions!$B$10</x:f>
        <x:v>0</x:v>
      </x:c>
      <x:c r="P1090" s="54" t="n">
        <x:f>E1090*(1+N1090)</x:f>
        <x:v>810.1332855444841</x:v>
      </x:c>
      <x:c r="Q1090" s="54" t="n">
        <x:f>P1090-E1090</x:f>
        <x:v>-62.866714455515876</x:v>
      </x:c>
      <x:c r="R1090" s="16" t="str">
        <x:v>Yes</x:v>
      </x:c>
      <x:c r="S1090" s="56" t="n">
        <x:v>13514</x:v>
      </x:c>
      <x:c r="T1090" s="56" t="n">
        <x:v>33265</x:v>
      </x:c>
      <x:c r="U1090" s="40" t="n">
        <x:f>E1090*Assumptions!$B$8</x:f>
        <x:v>742.05</x:v>
      </x:c>
      <x:c r="V1090" s="40" t="n">
        <x:f>P1090*Assumptions!$B$8</x:f>
        <x:v>688.6132927128115</x:v>
      </x:c>
      <x:c r="W1090" s="54" t="n">
        <x:f>V1090-U1090</x:f>
        <x:v>-53.43670728718848</x:v>
      </x:c>
      <x:c r="X1090" s="58" t="n">
        <x:f>IF(R1090="No","",W1090*S1090)</x:f>
        <x:v>-722143.6622790651</x:v>
      </x:c>
      <x:c r="Y1090" s="58" t="n">
        <x:f>IF(R1090="No","",W1090*T1090*Assumptions!$B$9)</x:f>
        <x:v>-533271.6203724975</x:v>
      </x:c>
      <x:c r="Z1090" s="58" t="n">
        <x:f>IF(R1090="No","",X1090-Y1090)</x:f>
        <x:v>-188872.04190656764</x:v>
      </x:c>
      <x:c r="AA1090" s="58" t="n">
        <x:f>IF(R1090="No","",MAX(0,-Z1090))</x:f>
        <x:v>188872.04190656764</x:v>
      </x:c>
      <x:c r="AB1090" s="52" t="n">
        <x:f>IF(OR(R1090="No",U1090*S1090=0),"",AA1090/(U1090*S1090))</x:f>
        <x:v>0.018834348041343978</x:v>
      </x:c>
      <x:c r="AC1090" s="54" t="n">
        <x:f>IF(OR(R1090="No",S1090-T1090*Assumptions!$B$9&lt;=0),"",AA1090/(Assumptions!$B$8*(S1090-T1090*Assumptions!$B$9)))</x:f>
        <x:v>62.86671445551585</x:v>
      </x:c>
      <x:c r="AD1090" s="52" t="n">
        <x:f>IF(OR(R1090="No",U1090*S1090=0),"",AA1090/(U1090*S1090))</x:f>
        <x:v>0.018834348041343978</x:v>
      </x:c>
      <x:c r="AE1090" s="50" t="str">
        <x:f>IF(R1090="No","No finance data",IF(AB1090&gt;=10%,"Severe",IF(AB1090&gt;=5%,"High",IF(AB1090&gt;=2%,"Moderate","Low"))))</x:f>
        <x:v>Low</x:v>
      </x:c>
      <x:c r="AF1090" s="60" t="n">
        <x:v>40.728148</x:v>
      </x:c>
      <x:c r="AG1090" s="60" t="n">
        <x:v>-73.991609</x:v>
      </x:c>
      <x:c r="AH1090" s="44" t="str">
        <x:v>Undergraduate tuition-contribution proxy only; not an audited total institutional budget.</x:v>
      </x:c>
    </x:row>
    <x:row r="1091">
      <x:c r="A1091" s="16" t="n">
        <x:v>190415</x:v>
      </x:c>
      <x:c r="B1091" s="16" t="str">
        <x:v>Cornell University</x:v>
      </x:c>
      <x:c r="C1091" s="16" t="str">
        <x:v>NY</x:v>
      </x:c>
      <x:c r="D1091" s="16" t="str">
        <x:v>Private nonprofit</x:v>
      </x:c>
      <x:c r="E1091" s="34" t="n">
        <x:v>14226</x:v>
      </x:c>
      <x:c r="F1091" s="21" t="n">
        <x:v>0.0869</x:v>
      </x:c>
      <x:c r="G1091" s="16" t="str">
        <x:v>National</x:v>
      </x:c>
      <x:c r="H1091" s="36" t="n">
        <x:f>IF(G1091="National",Assumptions!$B$11,IF(G1091="Statewide",Assumptions!$B$12,Assumptions!$B$13))</x:f>
        <x:v>0.25</x:v>
      </x:c>
      <x:c r="I1091" s="21" t="n">
        <x:v>-0.08678079290324192</x:v>
      </x:c>
      <x:c r="J1091" s="21" t="n">
        <x:v>-0.14585233360743566</x:v>
      </x:c>
      <x:c r="K1091" s="21" t="n">
        <x:v>-0.24979193142458445</x:v>
      </x:c>
      <x:c r="L1091" s="36" t="n">
        <x:f>IF(Assumptions!$B$4=2030,I1091,IF(Assumptions!$B$4=2035,J1091,K1091))</x:f>
        <x:v>-0.14585233360743566</x:v>
      </x:c>
      <x:c r="M1091" s="36" t="n">
        <x:f>Assumptions!$B$19</x:f>
        <x:v>-0.04739891965741583</x:v>
      </x:c>
      <x:c r="N1091" s="52" t="n">
        <x:f>H1091*L1091+(1-H1091)*M1091+O1091</x:f>
        <x:v>-0.07201227314492079</x:v>
      </x:c>
      <x:c r="O1091" s="36" t="n">
        <x:f>Assumptions!$B$10</x:f>
        <x:v>0</x:v>
      </x:c>
      <x:c r="P1091" s="54" t="n">
        <x:f>E1091*(1+N1091)</x:f>
        <x:v>13201.553402240357</x:v>
      </x:c>
      <x:c r="Q1091" s="54" t="n">
        <x:f>P1091-E1091</x:f>
        <x:v>-1024.4465977596428</x:v>
      </x:c>
      <x:c r="R1091" s="16" t="str">
        <x:v>Yes</x:v>
      </x:c>
      <x:c r="S1091" s="56" t="n">
        <x:v>31789</x:v>
      </x:c>
      <x:c r="T1091" s="56" t="n">
        <x:v>31240</x:v>
      </x:c>
      <x:c r="U1091" s="40" t="n">
        <x:f>E1091*Assumptions!$B$8</x:f>
        <x:v>12092.1</x:v>
      </x:c>
      <x:c r="V1091" s="40" t="n">
        <x:f>P1091*Assumptions!$B$8</x:f>
        <x:v>11221.320391904303</x:v>
      </x:c>
      <x:c r="W1091" s="54" t="n">
        <x:f>V1091-U1091</x:f>
        <x:v>-870.7796080956978</x:v>
      </x:c>
      <x:c r="X1091" s="58" t="n">
        <x:f>IF(R1091="No","",W1091*S1091)</x:f>
        <x:v>-27681212.961754136</x:v>
      </x:c>
      <x:c r="Y1091" s="58" t="n">
        <x:f>IF(R1091="No","",W1091*T1091*Assumptions!$B$9)</x:f>
        <x:v>-8160946.4870728785</x:v>
      </x:c>
      <x:c r="Z1091" s="58" t="n">
        <x:f>IF(R1091="No","",X1091-Y1091)</x:f>
        <x:v>-19520266.47468126</x:v>
      </x:c>
      <x:c r="AA1091" s="58" t="n">
        <x:f>IF(R1091="No","",MAX(0,-Z1091))</x:f>
        <x:v>19520266.47468126</x:v>
      </x:c>
      <x:c r="AB1091" s="52" t="n">
        <x:f>IF(OR(R1091="No",U1091*S1091=0),"",AA1091/(U1091*S1091))</x:f>
        <x:v>0.05078168948660516</x:v>
      </x:c>
      <x:c r="AC1091" s="54" t="n">
        <x:f>IF(OR(R1091="No",S1091-T1091*Assumptions!$B$9&lt;=0),"",AA1091/(Assumptions!$B$8*(S1091-T1091*Assumptions!$B$9)))</x:f>
        <x:v>1024.4465977596444</x:v>
      </x:c>
      <x:c r="AD1091" s="52" t="n">
        <x:f>IF(OR(R1091="No",U1091*S1091=0),"",AA1091/(U1091*S1091))</x:f>
        <x:v>0.05078168948660516</x:v>
      </x:c>
      <x:c r="AE1091" s="50" t="str">
        <x:f>IF(R1091="No","No finance data",IF(AB1091&gt;=10%,"Severe",IF(AB1091&gt;=5%,"High",IF(AB1091&gt;=2%,"Moderate","Low"))))</x:f>
        <x:v>High</x:v>
      </x:c>
      <x:c r="AF1091" s="60" t="n">
        <x:v>42.4472</x:v>
      </x:c>
      <x:c r="AG1091" s="60" t="n">
        <x:v>-76.483084</x:v>
      </x:c>
      <x:c r="AH1091" s="44" t="str">
        <x:v>Undergraduate tuition-contribution proxy only; not an audited total institutional budget.</x:v>
      </x:c>
    </x:row>
    <x:row r="1092">
      <x:c r="A1092" s="16" t="n">
        <x:v>190716</x:v>
      </x:c>
      <x:c r="B1092" s="16" t="str">
        <x:v>D'Youville College</x:v>
      </x:c>
      <x:c r="C1092" s="16" t="str">
        <x:v>NY</x:v>
      </x:c>
      <x:c r="D1092" s="16" t="str">
        <x:v>Private nonprofit</x:v>
      </x:c>
      <x:c r="E1092" s="34" t="n">
        <x:v>1707</x:v>
      </x:c>
      <x:c r="F1092" s="21" t="n">
        <x:v>0.9245</x:v>
      </x:c>
      <x:c r="G1092" s="16" t="str">
        <x:v>Regional</x:v>
      </x:c>
      <x:c r="H1092" s="36" t="n">
        <x:f>IF(G1092="National",Assumptions!$B$11,IF(G1092="Statewide",Assumptions!$B$12,Assumptions!$B$13))</x:f>
        <x:v>0.85</x:v>
      </x:c>
      <x:c r="I1092" s="21" t="n">
        <x:v>-0.08678079290324192</x:v>
      </x:c>
      <x:c r="J1092" s="21" t="n">
        <x:v>-0.14585233360743566</x:v>
      </x:c>
      <x:c r="K1092" s="21" t="n">
        <x:v>-0.24979193142458445</x:v>
      </x:c>
      <x:c r="L1092" s="36" t="n">
        <x:f>IF(Assumptions!$B$4=2030,I1092,IF(Assumptions!$B$4=2035,J1092,K1092))</x:f>
        <x:v>-0.14585233360743566</x:v>
      </x:c>
      <x:c r="M1092" s="36" t="n">
        <x:f>Assumptions!$B$19</x:f>
        <x:v>-0.04739891965741583</x:v>
      </x:c>
      <x:c r="N1092" s="52" t="n">
        <x:f>H1092*L1092+(1-H1092)*M1092+O1092</x:f>
        <x:v>-0.13108432151493268</x:v>
      </x:c>
      <x:c r="O1092" s="36" t="n">
        <x:f>Assumptions!$B$10</x:f>
        <x:v>0</x:v>
      </x:c>
      <x:c r="P1092" s="54" t="n">
        <x:f>E1092*(1+N1092)</x:f>
        <x:v>1483.23906317401</x:v>
      </x:c>
      <x:c r="Q1092" s="54" t="n">
        <x:f>P1092-E1092</x:f>
        <x:v>-223.76093682599003</x:v>
      </x:c>
      <x:c r="R1092" s="16" t="str">
        <x:v>Yes</x:v>
      </x:c>
      <x:c r="S1092" s="56" t="n">
        <x:v>20890</x:v>
      </x:c>
      <x:c r="T1092" s="56" t="n">
        <x:v>13786</x:v>
      </x:c>
      <x:c r="U1092" s="40" t="n">
        <x:f>E1092*Assumptions!$B$8</x:f>
        <x:v>1450.95</x:v>
      </x:c>
      <x:c r="V1092" s="40" t="n">
        <x:f>P1092*Assumptions!$B$8</x:f>
        <x:v>1260.7532036979085</x:v>
      </x:c>
      <x:c r="W1092" s="54" t="n">
        <x:f>V1092-U1092</x:f>
        <x:v>-190.19679630209157</x:v>
      </x:c>
      <x:c r="X1092" s="58" t="n">
        <x:f>IF(R1092="No","",W1092*S1092)</x:f>
        <x:v>-3973211.074750693</x:v>
      </x:c>
      <x:c r="Y1092" s="58" t="n">
        <x:f>IF(R1092="No","",W1092*T1092*Assumptions!$B$9)</x:f>
        <x:v>-786615.9101461902</x:v>
      </x:c>
      <x:c r="Z1092" s="58" t="n">
        <x:f>IF(R1092="No","",X1092-Y1092)</x:f>
        <x:v>-3186595.1646045027</x:v>
      </x:c>
      <x:c r="AA1092" s="58" t="n">
        <x:f>IF(R1092="No","",MAX(0,-Z1092))</x:f>
        <x:v>3186595.1646045027</x:v>
      </x:c>
      <x:c r="AB1092" s="52" t="n">
        <x:f>IF(OR(R1092="No",U1092*S1092=0),"",AA1092/(U1092*S1092))</x:f>
        <x:v>0.10513226134636118</x:v>
      </x:c>
      <x:c r="AC1092" s="54" t="n">
        <x:f>IF(OR(R1092="No",S1092-T1092*Assumptions!$B$9&lt;=0),"",AA1092/(Assumptions!$B$8*(S1092-T1092*Assumptions!$B$9)))</x:f>
        <x:v>223.7609368259901</x:v>
      </x:c>
      <x:c r="AD1092" s="52" t="n">
        <x:f>IF(OR(R1092="No",U1092*S1092=0),"",AA1092/(U1092*S1092))</x:f>
        <x:v>0.10513226134636118</x:v>
      </x:c>
      <x:c r="AE1092" s="50" t="str">
        <x:f>IF(R1092="No","No finance data",IF(AB1092&gt;=10%,"Severe",IF(AB1092&gt;=5%,"High",IF(AB1092&gt;=2%,"Moderate","Low"))))</x:f>
        <x:v>Severe</x:v>
      </x:c>
      <x:c r="AF1092" s="60" t="n">
        <x:v>42.902636</x:v>
      </x:c>
      <x:c r="AG1092" s="60" t="n">
        <x:v>-78.890868</x:v>
      </x:c>
      <x:c r="AH1092" s="44" t="str">
        <x:v>Undergraduate tuition-contribution proxy only; not an audited total institutional budget.</x:v>
      </x:c>
    </x:row>
    <x:row r="1093">
      <x:c r="A1093" s="16" t="n">
        <x:v>190725</x:v>
      </x:c>
      <x:c r="B1093" s="16" t="str">
        <x:v>Daemen College</x:v>
      </x:c>
      <x:c r="C1093" s="16" t="str">
        <x:v>NY</x:v>
      </x:c>
      <x:c r="D1093" s="16" t="str">
        <x:v>Private nonprofit</x:v>
      </x:c>
      <x:c r="E1093" s="34" t="n">
        <x:v>1968</x:v>
      </x:c>
      <x:c r="F1093" s="21" t="n">
        <x:v>0.7844</x:v>
      </x:c>
      <x:c r="G1093" s="16" t="str">
        <x:v>Regional</x:v>
      </x:c>
      <x:c r="H1093" s="36" t="n">
        <x:f>IF(G1093="National",Assumptions!$B$11,IF(G1093="Statewide",Assumptions!$B$12,Assumptions!$B$13))</x:f>
        <x:v>0.85</x:v>
      </x:c>
      <x:c r="I1093" s="21" t="n">
        <x:v>-0.08678079290324192</x:v>
      </x:c>
      <x:c r="J1093" s="21" t="n">
        <x:v>-0.14585233360743566</x:v>
      </x:c>
      <x:c r="K1093" s="21" t="n">
        <x:v>-0.24979193142458445</x:v>
      </x:c>
      <x:c r="L1093" s="36" t="n">
        <x:f>IF(Assumptions!$B$4=2030,I1093,IF(Assumptions!$B$4=2035,J1093,K1093))</x:f>
        <x:v>-0.14585233360743566</x:v>
      </x:c>
      <x:c r="M1093" s="36" t="n">
        <x:f>Assumptions!$B$19</x:f>
        <x:v>-0.04739891965741583</x:v>
      </x:c>
      <x:c r="N1093" s="52" t="n">
        <x:f>H1093*L1093+(1-H1093)*M1093+O1093</x:f>
        <x:v>-0.13108432151493268</x:v>
      </x:c>
      <x:c r="O1093" s="36" t="n">
        <x:f>Assumptions!$B$10</x:f>
        <x:v>0</x:v>
      </x:c>
      <x:c r="P1093" s="54" t="n">
        <x:f>E1093*(1+N1093)</x:f>
        <x:v>1710.0260552586126</x:v>
      </x:c>
      <x:c r="Q1093" s="54" t="n">
        <x:f>P1093-E1093</x:f>
        <x:v>-257.9739447413874</x:v>
      </x:c>
      <x:c r="R1093" s="16" t="str">
        <x:v>Yes</x:v>
      </x:c>
      <x:c r="S1093" s="56" t="n">
        <x:v>15224</x:v>
      </x:c>
      <x:c r="T1093" s="56" t="n">
        <x:v>9430</x:v>
      </x:c>
      <x:c r="U1093" s="40" t="n">
        <x:f>E1093*Assumptions!$B$8</x:f>
        <x:v>1672.8</x:v>
      </x:c>
      <x:c r="V1093" s="40" t="n">
        <x:f>P1093*Assumptions!$B$8</x:f>
        <x:v>1453.5221469698206</x:v>
      </x:c>
      <x:c r="W1093" s="54" t="n">
        <x:f>V1093-U1093</x:f>
        <x:v>-219.27785303017936</x:v>
      </x:c>
      <x:c r="X1093" s="58" t="n">
        <x:f>IF(R1093="No","",W1093*S1093)</x:f>
        <x:v>-3338286.0345314504</x:v>
      </x:c>
      <x:c r="Y1093" s="58" t="n">
        <x:f>IF(R1093="No","",W1093*T1093*Assumptions!$B$9)</x:f>
        <x:v>-620337.0462223773</x:v>
      </x:c>
      <x:c r="Z1093" s="58" t="n">
        <x:f>IF(R1093="No","",X1093-Y1093)</x:f>
        <x:v>-2717948.9883090733</x:v>
      </x:c>
      <x:c r="AA1093" s="58" t="n">
        <x:f>IF(R1093="No","",MAX(0,-Z1093))</x:f>
        <x:v>2717948.9883090733</x:v>
      </x:c>
      <x:c r="AB1093" s="52" t="n">
        <x:f>IF(OR(R1093="No",U1093*S1093=0),"",AA1093/(U1093*S1093))</x:f>
        <x:v>0.10672557574734567</x:v>
      </x:c>
      <x:c r="AC1093" s="54" t="n">
        <x:f>IF(OR(R1093="No",S1093-T1093*Assumptions!$B$9&lt;=0),"",AA1093/(Assumptions!$B$8*(S1093-T1093*Assumptions!$B$9)))</x:f>
        <x:v>257.97394474138747</x:v>
      </x:c>
      <x:c r="AD1093" s="52" t="n">
        <x:f>IF(OR(R1093="No",U1093*S1093=0),"",AA1093/(U1093*S1093))</x:f>
        <x:v>0.10672557574734567</x:v>
      </x:c>
      <x:c r="AE1093" s="50" t="str">
        <x:f>IF(R1093="No","No finance data",IF(AB1093&gt;=10%,"Severe",IF(AB1093&gt;=5%,"High",IF(AB1093&gt;=2%,"Moderate","Low"))))</x:f>
        <x:v>Severe</x:v>
      </x:c>
      <x:c r="AF1093" s="60" t="n">
        <x:v>42.965605</x:v>
      </x:c>
      <x:c r="AG1093" s="60" t="n">
        <x:v>-78.788111</x:v>
      </x:c>
      <x:c r="AH1093" s="44" t="str">
        <x:v>Undergraduate tuition-contribution proxy only; not an audited total institutional budget.</x:v>
      </x:c>
    </x:row>
    <x:row r="1094">
      <x:c r="A1094" s="16" t="n">
        <x:v>194569</x:v>
      </x:c>
      <x:c r="B1094" s="16" t="str">
        <x:v>Davis College</x:v>
      </x:c>
      <x:c r="C1094" s="16" t="str">
        <x:v>NY</x:v>
      </x:c>
      <x:c r="D1094" s="16" t="str">
        <x:v>Private nonprofit</x:v>
      </x:c>
      <x:c r="E1094" s="34" t="n">
        <x:v>231</x:v>
      </x:c>
      <x:c r="F1094" s="21"/>
      <x:c r="G1094" s="16" t="str">
        <x:v>Regional</x:v>
      </x:c>
      <x:c r="H1094" s="36" t="n">
        <x:f>IF(G1094="National",Assumptions!$B$11,IF(G1094="Statewide",Assumptions!$B$12,Assumptions!$B$13))</x:f>
        <x:v>0.85</x:v>
      </x:c>
      <x:c r="I1094" s="21" t="n">
        <x:v>-0.08678079290324192</x:v>
      </x:c>
      <x:c r="J1094" s="21" t="n">
        <x:v>-0.14585233360743566</x:v>
      </x:c>
      <x:c r="K1094" s="21" t="n">
        <x:v>-0.24979193142458445</x:v>
      </x:c>
      <x:c r="L1094" s="36" t="n">
        <x:f>IF(Assumptions!$B$4=2030,I1094,IF(Assumptions!$B$4=2035,J1094,K1094))</x:f>
        <x:v>-0.14585233360743566</x:v>
      </x:c>
      <x:c r="M1094" s="36" t="n">
        <x:f>Assumptions!$B$19</x:f>
        <x:v>-0.04739891965741583</x:v>
      </x:c>
      <x:c r="N1094" s="52" t="n">
        <x:f>H1094*L1094+(1-H1094)*M1094+O1094</x:f>
        <x:v>-0.13108432151493268</x:v>
      </x:c>
      <x:c r="O1094" s="36" t="n">
        <x:f>Assumptions!$B$10</x:f>
        <x:v>0</x:v>
      </x:c>
      <x:c r="P1094" s="54" t="n">
        <x:f>E1094*(1+N1094)</x:f>
        <x:v>200.71952173005056</x:v>
      </x:c>
      <x:c r="Q1094" s="54" t="n">
        <x:f>P1094-E1094</x:f>
        <x:v>-30.28047826994944</x:v>
      </x:c>
      <x:c r="R1094" s="16" t="str">
        <x:v>No</x:v>
      </x:c>
      <x:c r="S1094" s="56"/>
      <x:c r="T1094" s="56"/>
      <x:c r="U1094" s="40" t="n">
        <x:f>E1094*Assumptions!$B$8</x:f>
        <x:v>196.35</x:v>
      </x:c>
      <x:c r="V1094" s="40" t="n">
        <x:f>P1094*Assumptions!$B$8</x:f>
        <x:v>170.61159347054297</x:v>
      </x:c>
      <x:c r="W1094" s="54" t="n">
        <x:f>V1094-U1094</x:f>
        <x:v>-25.738406529457023</x:v>
      </x:c>
      <x:c r="X1094" s="58" t="str">
        <x:f>IF(R1094="No","",W1094*S1094)</x:f>
      </x:c>
      <x:c r="Y1094" s="58" t="str">
        <x:f>IF(R1094="No","",W1094*T1094*Assumptions!$B$9)</x:f>
      </x:c>
      <x:c r="Z1094" s="58" t="str">
        <x:f>IF(R1094="No","",X1094-Y1094)</x:f>
      </x:c>
      <x:c r="AA1094" s="58" t="str">
        <x:f>IF(R1094="No","",MAX(0,-Z1094))</x:f>
      </x:c>
      <x:c r="AB1094" s="52" t="str">
        <x:f>IF(OR(R1094="No",U1094*S1094=0),"",AA1094/(U1094*S1094))</x:f>
      </x:c>
      <x:c r="AC1094" s="54" t="str">
        <x:f>IF(OR(R1094="No",S1094-T1094*Assumptions!$B$9&lt;=0),"",AA1094/(Assumptions!$B$8*(S1094-T1094*Assumptions!$B$9)))</x:f>
      </x:c>
      <x:c r="AD1094" s="52" t="str">
        <x:f>IF(OR(R1094="No",U1094*S1094=0),"",AA1094/(U1094*S1094))</x:f>
      </x:c>
      <x:c r="AE1094" s="50" t="str">
        <x:f>IF(R1094="No","No finance data",IF(AB1094&gt;=10%,"Severe",IF(AB1094&gt;=5%,"High",IF(AB1094&gt;=2%,"Moderate","Low"))))</x:f>
        <x:v>No finance data</x:v>
      </x:c>
      <x:c r="AF1094" s="60"/>
      <x:c r="AG1094" s="60"/>
      <x:c r="AH1094" s="44" t="str">
        <x:v>Undergraduate tuition-contribution proxy only; not an audited total institutional budget.</x:v>
      </x:c>
    </x:row>
    <x:row r="1095">
      <x:c r="A1095" s="16" t="n">
        <x:v>190761</x:v>
      </x:c>
      <x:c r="B1095" s="16" t="str">
        <x:v>Dominican College of Blauvelt</x:v>
      </x:c>
      <x:c r="C1095" s="16" t="str">
        <x:v>NY</x:v>
      </x:c>
      <x:c r="D1095" s="16" t="str">
        <x:v>Private nonprofit</x:v>
      </x:c>
      <x:c r="E1095" s="34" t="n">
        <x:v>1534</x:v>
      </x:c>
      <x:c r="F1095" s="21" t="n">
        <x:v>0.756</x:v>
      </x:c>
      <x:c r="G1095" s="16" t="str">
        <x:v>Regional</x:v>
      </x:c>
      <x:c r="H1095" s="36" t="n">
        <x:f>IF(G1095="National",Assumptions!$B$11,IF(G1095="Statewide",Assumptions!$B$12,Assumptions!$B$13))</x:f>
        <x:v>0.85</x:v>
      </x:c>
      <x:c r="I1095" s="21" t="n">
        <x:v>-0.08678079290324192</x:v>
      </x:c>
      <x:c r="J1095" s="21" t="n">
        <x:v>-0.14585233360743566</x:v>
      </x:c>
      <x:c r="K1095" s="21" t="n">
        <x:v>-0.24979193142458445</x:v>
      </x:c>
      <x:c r="L1095" s="36" t="n">
        <x:f>IF(Assumptions!$B$4=2030,I1095,IF(Assumptions!$B$4=2035,J1095,K1095))</x:f>
        <x:v>-0.14585233360743566</x:v>
      </x:c>
      <x:c r="M1095" s="36" t="n">
        <x:f>Assumptions!$B$19</x:f>
        <x:v>-0.04739891965741583</x:v>
      </x:c>
      <x:c r="N1095" s="52" t="n">
        <x:f>H1095*L1095+(1-H1095)*M1095+O1095</x:f>
        <x:v>-0.13108432151493268</x:v>
      </x:c>
      <x:c r="O1095" s="36" t="n">
        <x:f>Assumptions!$B$10</x:f>
        <x:v>0</x:v>
      </x:c>
      <x:c r="P1095" s="54" t="n">
        <x:f>E1095*(1+N1095)</x:f>
        <x:v>1332.9166507960933</x:v>
      </x:c>
      <x:c r="Q1095" s="54" t="n">
        <x:f>P1095-E1095</x:f>
        <x:v>-201.08334920390666</x:v>
      </x:c>
      <x:c r="R1095" s="16" t="str">
        <x:v>Yes</x:v>
      </x:c>
      <x:c r="S1095" s="56" t="n">
        <x:v>18865</x:v>
      </x:c>
      <x:c r="T1095" s="56" t="n">
        <x:v>7803</x:v>
      </x:c>
      <x:c r="U1095" s="40" t="n">
        <x:f>E1095*Assumptions!$B$8</x:f>
        <x:v>1303.8999999999999</x:v>
      </x:c>
      <x:c r="V1095" s="40" t="n">
        <x:f>P1095*Assumptions!$B$8</x:f>
        <x:v>1132.9791531766793</x:v>
      </x:c>
      <x:c r="W1095" s="54" t="n">
        <x:f>V1095-U1095</x:f>
        <x:v>-170.92084682332052</x:v>
      </x:c>
      <x:c r="X1095" s="58" t="n">
        <x:f>IF(R1095="No","",W1095*S1095)</x:f>
        <x:v>-3224421.7753219414</x:v>
      </x:c>
      <x:c r="Y1095" s="58" t="n">
        <x:f>IF(R1095="No","",W1095*T1095*Assumptions!$B$9)</x:f>
        <x:v>-400108.610328711</x:v>
      </x:c>
      <x:c r="Z1095" s="58" t="n">
        <x:f>IF(R1095="No","",X1095-Y1095)</x:f>
        <x:v>-2824313.1649932303</x:v>
      </x:c>
      <x:c r="AA1095" s="58" t="n">
        <x:f>IF(R1095="No","",MAX(0,-Z1095))</x:f>
        <x:v>2824313.1649932303</x:v>
      </x:c>
      <x:c r="AB1095" s="52" t="n">
        <x:f>IF(OR(R1095="No",U1095*S1095=0),"",AA1095/(U1095*S1095))</x:f>
        <x:v>0.1148184700315344</x:v>
      </x:c>
      <x:c r="AC1095" s="54" t="n">
        <x:f>IF(OR(R1095="No",S1095-T1095*Assumptions!$B$9&lt;=0),"",AA1095/(Assumptions!$B$8*(S1095-T1095*Assumptions!$B$9)))</x:f>
        <x:v>201.0833492039065</x:v>
      </x:c>
      <x:c r="AD1095" s="52" t="n">
        <x:f>IF(OR(R1095="No",U1095*S1095=0),"",AA1095/(U1095*S1095))</x:f>
        <x:v>0.1148184700315344</x:v>
      </x:c>
      <x:c r="AE1095" s="50" t="str">
        <x:f>IF(R1095="No","No finance data",IF(AB1095&gt;=10%,"Severe",IF(AB1095&gt;=5%,"High",IF(AB1095&gt;=2%,"Moderate","Low"))))</x:f>
        <x:v>Severe</x:v>
      </x:c>
      <x:c r="AF1095" s="60" t="n">
        <x:v>41.047419</x:v>
      </x:c>
      <x:c r="AG1095" s="60" t="n">
        <x:v>-73.950555</x:v>
      </x:c>
      <x:c r="AH1095" s="44" t="str">
        <x:v>Undergraduate tuition-contribution proxy only; not an audited total institutional budget.</x:v>
      </x:c>
    </x:row>
    <x:row r="1096">
      <x:c r="A1096" s="16" t="n">
        <x:v>190770</x:v>
      </x:c>
      <x:c r="B1096" s="16" t="str">
        <x:v>Dowling College</x:v>
      </x:c>
      <x:c r="C1096" s="16" t="str">
        <x:v>NY</x:v>
      </x:c>
      <x:c r="D1096" s="16" t="str">
        <x:v>Private nonprofit</x:v>
      </x:c>
      <x:c r="E1096" s="34" t="n">
        <x:v>1152</x:v>
      </x:c>
      <x:c r="F1096" s="21"/>
      <x:c r="G1096" s="16" t="str">
        <x:v>Regional</x:v>
      </x:c>
      <x:c r="H1096" s="36" t="n">
        <x:f>IF(G1096="National",Assumptions!$B$11,IF(G1096="Statewide",Assumptions!$B$12,Assumptions!$B$13))</x:f>
        <x:v>0.85</x:v>
      </x:c>
      <x:c r="I1096" s="21" t="n">
        <x:v>-0.08678079290324192</x:v>
      </x:c>
      <x:c r="J1096" s="21" t="n">
        <x:v>-0.14585233360743566</x:v>
      </x:c>
      <x:c r="K1096" s="21" t="n">
        <x:v>-0.24979193142458445</x:v>
      </x:c>
      <x:c r="L1096" s="36" t="n">
        <x:f>IF(Assumptions!$B$4=2030,I1096,IF(Assumptions!$B$4=2035,J1096,K1096))</x:f>
        <x:v>-0.14585233360743566</x:v>
      </x:c>
      <x:c r="M1096" s="36" t="n">
        <x:f>Assumptions!$B$19</x:f>
        <x:v>-0.04739891965741583</x:v>
      </x:c>
      <x:c r="N1096" s="52" t="n">
        <x:f>H1096*L1096+(1-H1096)*M1096+O1096</x:f>
        <x:v>-0.13108432151493268</x:v>
      </x:c>
      <x:c r="O1096" s="36" t="n">
        <x:f>Assumptions!$B$10</x:f>
        <x:v>0</x:v>
      </x:c>
      <x:c r="P1096" s="54" t="n">
        <x:f>E1096*(1+N1096)</x:f>
        <x:v>1000.9908616147976</x:v>
      </x:c>
      <x:c r="Q1096" s="54" t="n">
        <x:f>P1096-E1096</x:f>
        <x:v>-151.0091383852024</x:v>
      </x:c>
      <x:c r="R1096" s="16" t="str">
        <x:v>No</x:v>
      </x:c>
      <x:c r="S1096" s="56"/>
      <x:c r="T1096" s="56"/>
      <x:c r="U1096" s="40" t="n">
        <x:f>E1096*Assumptions!$B$8</x:f>
        <x:v>979.1999999999999</x:v>
      </x:c>
      <x:c r="V1096" s="40" t="n">
        <x:f>P1096*Assumptions!$B$8</x:f>
        <x:v>850.842232372578</x:v>
      </x:c>
      <x:c r="W1096" s="54" t="n">
        <x:f>V1096-U1096</x:f>
        <x:v>-128.35776762742194</x:v>
      </x:c>
      <x:c r="X1096" s="58" t="str">
        <x:f>IF(R1096="No","",W1096*S1096)</x:f>
      </x:c>
      <x:c r="Y1096" s="58" t="str">
        <x:f>IF(R1096="No","",W1096*T1096*Assumptions!$B$9)</x:f>
      </x:c>
      <x:c r="Z1096" s="58" t="str">
        <x:f>IF(R1096="No","",X1096-Y1096)</x:f>
      </x:c>
      <x:c r="AA1096" s="58" t="str">
        <x:f>IF(R1096="No","",MAX(0,-Z1096))</x:f>
      </x:c>
      <x:c r="AB1096" s="52" t="str">
        <x:f>IF(OR(R1096="No",U1096*S1096=0),"",AA1096/(U1096*S1096))</x:f>
      </x:c>
      <x:c r="AC1096" s="54" t="str">
        <x:f>IF(OR(R1096="No",S1096-T1096*Assumptions!$B$9&lt;=0),"",AA1096/(Assumptions!$B$8*(S1096-T1096*Assumptions!$B$9)))</x:f>
      </x:c>
      <x:c r="AD1096" s="52" t="str">
        <x:f>IF(OR(R1096="No",U1096*S1096=0),"",AA1096/(U1096*S1096))</x:f>
      </x:c>
      <x:c r="AE1096" s="50" t="str">
        <x:f>IF(R1096="No","No finance data",IF(AB1096&gt;=10%,"Severe",IF(AB1096&gt;=5%,"High",IF(AB1096&gt;=2%,"Moderate","Low"))))</x:f>
        <x:v>No finance data</x:v>
      </x:c>
      <x:c r="AF1096" s="60"/>
      <x:c r="AG1096" s="60"/>
      <x:c r="AH1096" s="44" t="str">
        <x:v>Undergraduate tuition-contribution proxy only; not an audited total institutional budget.</x:v>
      </x:c>
    </x:row>
    <x:row r="1097">
      <x:c r="A1097" s="16" t="n">
        <x:v>190983</x:v>
      </x:c>
      <x:c r="B1097" s="16" t="str">
        <x:v>Elmira College</x:v>
      </x:c>
      <x:c r="C1097" s="16" t="str">
        <x:v>NY</x:v>
      </x:c>
      <x:c r="D1097" s="16" t="str">
        <x:v>Private nonprofit</x:v>
      </x:c>
      <x:c r="E1097" s="34" t="n">
        <x:v>1252</x:v>
      </x:c>
      <x:c r="F1097" s="21" t="n">
        <x:v>0.9378</x:v>
      </x:c>
      <x:c r="G1097" s="16" t="str">
        <x:v>Regional</x:v>
      </x:c>
      <x:c r="H1097" s="36" t="n">
        <x:f>IF(G1097="National",Assumptions!$B$11,IF(G1097="Statewide",Assumptions!$B$12,Assumptions!$B$13))</x:f>
        <x:v>0.85</x:v>
      </x:c>
      <x:c r="I1097" s="21" t="n">
        <x:v>-0.08678079290324192</x:v>
      </x:c>
      <x:c r="J1097" s="21" t="n">
        <x:v>-0.14585233360743566</x:v>
      </x:c>
      <x:c r="K1097" s="21" t="n">
        <x:v>-0.24979193142458445</x:v>
      </x:c>
      <x:c r="L1097" s="36" t="n">
        <x:f>IF(Assumptions!$B$4=2030,I1097,IF(Assumptions!$B$4=2035,J1097,K1097))</x:f>
        <x:v>-0.14585233360743566</x:v>
      </x:c>
      <x:c r="M1097" s="36" t="n">
        <x:f>Assumptions!$B$19</x:f>
        <x:v>-0.04739891965741583</x:v>
      </x:c>
      <x:c r="N1097" s="52" t="n">
        <x:f>H1097*L1097+(1-H1097)*M1097+O1097</x:f>
        <x:v>-0.13108432151493268</x:v>
      </x:c>
      <x:c r="O1097" s="36" t="n">
        <x:f>Assumptions!$B$10</x:f>
        <x:v>0</x:v>
      </x:c>
      <x:c r="P1097" s="54" t="n">
        <x:f>E1097*(1+N1097)</x:f>
        <x:v>1087.8824294633043</x:v>
      </x:c>
      <x:c r="Q1097" s="54" t="n">
        <x:f>P1097-E1097</x:f>
        <x:v>-164.11757053669567</x:v>
      </x:c>
      <x:c r="R1097" s="16" t="str">
        <x:v>Yes</x:v>
      </x:c>
      <x:c r="S1097" s="56" t="n">
        <x:v>14525</x:v>
      </x:c>
      <x:c r="T1097" s="56" t="n">
        <x:v>7219</x:v>
      </x:c>
      <x:c r="U1097" s="40" t="n">
        <x:f>E1097*Assumptions!$B$8</x:f>
        <x:v>1064.2</x:v>
      </x:c>
      <x:c r="V1097" s="40" t="n">
        <x:f>P1097*Assumptions!$B$8</x:f>
        <x:v>924.7000650438086</x:v>
      </x:c>
      <x:c r="W1097" s="54" t="n">
        <x:f>V1097-U1097</x:f>
        <x:v>-139.4999349561914</x:v>
      </x:c>
      <x:c r="X1097" s="58" t="n">
        <x:f>IF(R1097="No","",W1097*S1097)</x:f>
        <x:v>-2026236.55523868</x:v>
      </x:c>
      <x:c r="Y1097" s="58" t="n">
        <x:f>IF(R1097="No","",W1097*T1097*Assumptions!$B$9)</x:f>
        <x:v>-302115.0091346237</x:v>
      </x:c>
      <x:c r="Z1097" s="58" t="n">
        <x:f>IF(R1097="No","",X1097-Y1097)</x:f>
        <x:v>-1724121.5461040563</x:v>
      </x:c>
      <x:c r="AA1097" s="58" t="n">
        <x:f>IF(R1097="No","",MAX(0,-Z1097))</x:f>
        <x:v>1724121.5461040563</x:v>
      </x:c>
      <x:c r="AB1097" s="52" t="n">
        <x:f>IF(OR(R1097="No",U1097*S1097=0),"",AA1097/(U1097*S1097))</x:f>
        <x:v>0.11153944612044804</x:v>
      </x:c>
      <x:c r="AC1097" s="54" t="n">
        <x:f>IF(OR(R1097="No",S1097-T1097*Assumptions!$B$9&lt;=0),"",AA1097/(Assumptions!$B$8*(S1097-T1097*Assumptions!$B$9)))</x:f>
        <x:v>164.11757053669578</x:v>
      </x:c>
      <x:c r="AD1097" s="52" t="n">
        <x:f>IF(OR(R1097="No",U1097*S1097=0),"",AA1097/(U1097*S1097))</x:f>
        <x:v>0.11153944612044804</x:v>
      </x:c>
      <x:c r="AE1097" s="50" t="str">
        <x:f>IF(R1097="No","No finance data",IF(AB1097&gt;=10%,"Severe",IF(AB1097&gt;=5%,"High",IF(AB1097&gt;=2%,"Moderate","Low"))))</x:f>
        <x:v>Severe</x:v>
      </x:c>
      <x:c r="AF1097" s="60" t="n">
        <x:v>42.0961</x:v>
      </x:c>
      <x:c r="AG1097" s="60" t="n">
        <x:v>-76.813459</x:v>
      </x:c>
      <x:c r="AH1097" s="44" t="str">
        <x:v>Undergraduate tuition-contribution proxy only; not an audited total institutional budget.</x:v>
      </x:c>
    </x:row>
    <x:row r="1098">
      <x:c r="A1098" s="16" t="n">
        <x:v>196680</x:v>
      </x:c>
      <x:c r="B1098" s="16" t="str">
        <x:v>Excelsior College</x:v>
      </x:c>
      <x:c r="C1098" s="16" t="str">
        <x:v>NY</x:v>
      </x:c>
      <x:c r="D1098" s="16" t="str">
        <x:v>Private nonprofit</x:v>
      </x:c>
      <x:c r="E1098" s="34" t="n">
        <x:v>39735</x:v>
      </x:c>
      <x:c r="F1098" s="21"/>
      <x:c r="G1098" s="16" t="str">
        <x:v>National</x:v>
      </x:c>
      <x:c r="H1098" s="36" t="n">
        <x:f>IF(G1098="National",Assumptions!$B$11,IF(G1098="Statewide",Assumptions!$B$12,Assumptions!$B$13))</x:f>
        <x:v>0.25</x:v>
      </x:c>
      <x:c r="I1098" s="21" t="n">
        <x:v>-0.08678079290324192</x:v>
      </x:c>
      <x:c r="J1098" s="21" t="n">
        <x:v>-0.14585233360743566</x:v>
      </x:c>
      <x:c r="K1098" s="21" t="n">
        <x:v>-0.24979193142458445</x:v>
      </x:c>
      <x:c r="L1098" s="36" t="n">
        <x:f>IF(Assumptions!$B$4=2030,I1098,IF(Assumptions!$B$4=2035,J1098,K1098))</x:f>
        <x:v>-0.14585233360743566</x:v>
      </x:c>
      <x:c r="M1098" s="36" t="n">
        <x:f>Assumptions!$B$19</x:f>
        <x:v>-0.04739891965741583</x:v>
      </x:c>
      <x:c r="N1098" s="52" t="n">
        <x:f>H1098*L1098+(1-H1098)*M1098+O1098</x:f>
        <x:v>-0.07201227314492079</x:v>
      </x:c>
      <x:c r="O1098" s="36" t="n">
        <x:f>Assumptions!$B$10</x:f>
        <x:v>0</x:v>
      </x:c>
      <x:c r="P1098" s="54" t="n">
        <x:f>E1098*(1+N1098)</x:f>
        <x:v>36873.59232658657</x:v>
      </x:c>
      <x:c r="Q1098" s="54" t="n">
        <x:f>P1098-E1098</x:f>
        <x:v>-2861.4076734134287</x:v>
      </x:c>
      <x:c r="R1098" s="16" t="str">
        <x:v>Yes</x:v>
      </x:c>
      <x:c r="S1098" s="56" t="n">
        <x:v>12055</x:v>
      </x:c>
      <x:c r="T1098" s="56" t="n">
        <x:v>2197</x:v>
      </x:c>
      <x:c r="U1098" s="40" t="n">
        <x:f>E1098*Assumptions!$B$8</x:f>
        <x:v>33774.75</x:v>
      </x:c>
      <x:c r="V1098" s="40" t="n">
        <x:f>P1098*Assumptions!$B$8</x:f>
        <x:v>31342.553477598583</x:v>
      </x:c>
      <x:c r="W1098" s="54" t="n">
        <x:f>V1098-U1098</x:f>
        <x:v>-2432.1965224014166</x:v>
      </x:c>
      <x:c r="X1098" s="58" t="n">
        <x:f>IF(R1098="No","",W1098*S1098)</x:f>
        <x:v>-29320129.077549078</x:v>
      </x:c>
      <x:c r="Y1098" s="58" t="n">
        <x:f>IF(R1098="No","",W1098*T1098*Assumptions!$B$9)</x:f>
        <x:v>-1603060.7279147736</x:v>
      </x:c>
      <x:c r="Z1098" s="58" t="n">
        <x:f>IF(R1098="No","",X1098-Y1098)</x:f>
        <x:v>-27717068.349634305</x:v>
      </x:c>
      <x:c r="AA1098" s="58" t="n">
        <x:f>IF(R1098="No","",MAX(0,-Z1098))</x:f>
        <x:v>27717068.349634305</x:v>
      </x:c>
      <x:c r="AB1098" s="52" t="n">
        <x:f>IF(OR(R1098="No",U1098*S1098=0),"",AA1098/(U1098*S1098))</x:f>
        <x:v>0.06807504467293272</x:v>
      </x:c>
      <x:c r="AC1098" s="54" t="n">
        <x:f>IF(OR(R1098="No",S1098-T1098*Assumptions!$B$9&lt;=0),"",AA1098/(Assumptions!$B$8*(S1098-T1098*Assumptions!$B$9)))</x:f>
        <x:v>2861.4076734134314</x:v>
      </x:c>
      <x:c r="AD1098" s="52" t="n">
        <x:f>IF(OR(R1098="No",U1098*S1098=0),"",AA1098/(U1098*S1098))</x:f>
        <x:v>0.06807504467293272</x:v>
      </x:c>
      <x:c r="AE1098" s="50" t="str">
        <x:f>IF(R1098="No","No finance data",IF(AB1098&gt;=10%,"Severe",IF(AB1098&gt;=5%,"High",IF(AB1098&gt;=2%,"Moderate","Low"))))</x:f>
        <x:v>High</x:v>
      </x:c>
      <x:c r="AF1098" s="60" t="n">
        <x:v>42.705487</x:v>
      </x:c>
      <x:c r="AG1098" s="60" t="n">
        <x:v>-73.862981</x:v>
      </x:c>
      <x:c r="AH1098" s="44" t="str">
        <x:v>Undergraduate tuition-contribution proxy only; not an audited total institutional budget.</x:v>
      </x:c>
    </x:row>
    <x:row r="1099">
      <x:c r="A1099" s="16" t="n">
        <x:v>196042</x:v>
      </x:c>
      <x:c r="B1099" s="16" t="str">
        <x:v>Farmingdale State College</x:v>
      </x:c>
      <x:c r="C1099" s="16" t="str">
        <x:v>NY</x:v>
      </x:c>
      <x:c r="D1099" s="16" t="str">
        <x:v>Public</x:v>
      </x:c>
      <x:c r="E1099" s="34" t="n">
        <x:v>7977</x:v>
      </x:c>
      <x:c r="F1099" s="21" t="n">
        <x:v>0.7251</x:v>
      </x:c>
      <x:c r="G1099" s="16" t="str">
        <x:v>Statewide</x:v>
      </x:c>
      <x:c r="H1099" s="36" t="n">
        <x:f>IF(G1099="National",Assumptions!$B$11,IF(G1099="Statewide",Assumptions!$B$12,Assumptions!$B$13))</x:f>
        <x:v>0.6</x:v>
      </x:c>
      <x:c r="I1099" s="21" t="n">
        <x:v>-0.08678079290324192</x:v>
      </x:c>
      <x:c r="J1099" s="21" t="n">
        <x:v>-0.14585233360743566</x:v>
      </x:c>
      <x:c r="K1099" s="21" t="n">
        <x:v>-0.24979193142458445</x:v>
      </x:c>
      <x:c r="L1099" s="36" t="n">
        <x:f>IF(Assumptions!$B$4=2030,I1099,IF(Assumptions!$B$4=2035,J1099,K1099))</x:f>
        <x:v>-0.14585233360743566</x:v>
      </x:c>
      <x:c r="M1099" s="36" t="n">
        <x:f>Assumptions!$B$19</x:f>
        <x:v>-0.04739891965741583</x:v>
      </x:c>
      <x:c r="N1099" s="52" t="n">
        <x:f>H1099*L1099+(1-H1099)*M1099+O1099</x:f>
        <x:v>-0.10647096802742773</x:v>
      </x:c>
      <x:c r="O1099" s="36" t="n">
        <x:f>Assumptions!$B$10</x:f>
        <x:v>0</x:v>
      </x:c>
      <x:c r="P1099" s="54" t="n">
        <x:f>E1099*(1+N1099)</x:f>
        <x:v>7127.681088045209</x:v>
      </x:c>
      <x:c r="Q1099" s="54" t="n">
        <x:f>P1099-E1099</x:f>
        <x:v>-849.3189119547906</x:v>
      </x:c>
      <x:c r="R1099" s="16" t="str">
        <x:v>Yes</x:v>
      </x:c>
      <x:c r="S1099" s="56" t="n">
        <x:v>5717</x:v>
      </x:c>
      <x:c r="T1099" s="56" t="n">
        <x:v>9933</x:v>
      </x:c>
      <x:c r="U1099" s="40" t="n">
        <x:f>E1099*Assumptions!$B$8</x:f>
        <x:v>6780.45</x:v>
      </x:c>
      <x:c r="V1099" s="40" t="n">
        <x:f>P1099*Assumptions!$B$8</x:f>
        <x:v>6058.528924838428</x:v>
      </x:c>
      <x:c r="W1099" s="54" t="n">
        <x:f>V1099-U1099</x:f>
        <x:v>-721.9210751615719</x:v>
      </x:c>
      <x:c r="X1099" s="58" t="n">
        <x:f>IF(R1099="No","",W1099*S1099)</x:f>
        <x:v>-4127222.786698707</x:v>
      </x:c>
      <x:c r="Y1099" s="58" t="n">
        <x:f>IF(R1099="No","",W1099*T1099*Assumptions!$B$9)</x:f>
        <x:v>-2151252.611873968</x:v>
      </x:c>
      <x:c r="Z1099" s="58" t="n">
        <x:f>IF(R1099="No","",X1099-Y1099)</x:f>
        <x:v>-1975970.1748247389</x:v>
      </x:c>
      <x:c r="AA1099" s="58" t="n">
        <x:f>IF(R1099="No","",MAX(0,-Z1099))</x:f>
        <x:v>1975970.1748247389</x:v>
      </x:c>
      <x:c r="AB1099" s="52" t="n">
        <x:f>IF(OR(R1099="No",U1099*S1099=0),"",AA1099/(U1099*S1099))</x:f>
        <x:v>0.050974582226320155</x:v>
      </x:c>
      <x:c r="AC1099" s="54" t="n">
        <x:f>IF(OR(R1099="No",S1099-T1099*Assumptions!$B$9&lt;=0),"",AA1099/(Assumptions!$B$8*(S1099-T1099*Assumptions!$B$9)))</x:f>
        <x:v>849.3189119547907</x:v>
      </x:c>
      <x:c r="AD1099" s="52" t="n">
        <x:f>IF(OR(R1099="No",U1099*S1099=0),"",AA1099/(U1099*S1099))</x:f>
        <x:v>0.050974582226320155</x:v>
      </x:c>
      <x:c r="AE1099" s="50" t="str">
        <x:f>IF(R1099="No","No finance data",IF(AB1099&gt;=10%,"Severe",IF(AB1099&gt;=5%,"High",IF(AB1099&gt;=2%,"Moderate","Low"))))</x:f>
        <x:v>High</x:v>
      </x:c>
      <x:c r="AF1099" s="60" t="n">
        <x:v>40.754224</x:v>
      </x:c>
      <x:c r="AG1099" s="60" t="n">
        <x:v>-73.42832</x:v>
      </x:c>
      <x:c r="AH1099" s="44" t="str">
        <x:v>Undergraduate tuition-contribution proxy only; not an audited total institutional budget.</x:v>
      </x:c>
    </x:row>
    <x:row r="1100">
      <x:c r="A1100" s="16" t="n">
        <x:v>191241</x:v>
      </x:c>
      <x:c r="B1100" s="16" t="str">
        <x:v>Fordham University</x:v>
      </x:c>
      <x:c r="C1100" s="16" t="str">
        <x:v>NY</x:v>
      </x:c>
      <x:c r="D1100" s="16" t="str">
        <x:v>Private nonprofit</x:v>
      </x:c>
      <x:c r="E1100" s="34" t="n">
        <x:v>8701</x:v>
      </x:c>
      <x:c r="F1100" s="21" t="n">
        <x:v>0.583</x:v>
      </x:c>
      <x:c r="G1100" s="16" t="str">
        <x:v>Statewide</x:v>
      </x:c>
      <x:c r="H1100" s="36" t="n">
        <x:f>IF(G1100="National",Assumptions!$B$11,IF(G1100="Statewide",Assumptions!$B$12,Assumptions!$B$13))</x:f>
        <x:v>0.6</x:v>
      </x:c>
      <x:c r="I1100" s="21" t="n">
        <x:v>-0.08678079290324192</x:v>
      </x:c>
      <x:c r="J1100" s="21" t="n">
        <x:v>-0.14585233360743566</x:v>
      </x:c>
      <x:c r="K1100" s="21" t="n">
        <x:v>-0.24979193142458445</x:v>
      </x:c>
      <x:c r="L1100" s="36" t="n">
        <x:f>IF(Assumptions!$B$4=2030,I1100,IF(Assumptions!$B$4=2035,J1100,K1100))</x:f>
        <x:v>-0.14585233360743566</x:v>
      </x:c>
      <x:c r="M1100" s="36" t="n">
        <x:f>Assumptions!$B$19</x:f>
        <x:v>-0.04739891965741583</x:v>
      </x:c>
      <x:c r="N1100" s="52" t="n">
        <x:f>H1100*L1100+(1-H1100)*M1100+O1100</x:f>
        <x:v>-0.10647096802742773</x:v>
      </x:c>
      <x:c r="O1100" s="36" t="n">
        <x:f>Assumptions!$B$10</x:f>
        <x:v>0</x:v>
      </x:c>
      <x:c r="P1100" s="54" t="n">
        <x:f>E1100*(1+N1100)</x:f>
        <x:v>7774.596107193352</x:v>
      </x:c>
      <x:c r="Q1100" s="54" t="n">
        <x:f>P1100-E1100</x:f>
        <x:v>-926.4038928066484</x:v>
      </x:c>
      <x:c r="R1100" s="16" t="str">
        <x:v>Yes</x:v>
      </x:c>
      <x:c r="S1100" s="56" t="n">
        <x:v>28867</x:v>
      </x:c>
      <x:c r="T1100" s="56" t="n">
        <x:v>17921</x:v>
      </x:c>
      <x:c r="U1100" s="40" t="n">
        <x:f>E1100*Assumptions!$B$8</x:f>
        <x:v>7395.849999999999</x:v>
      </x:c>
      <x:c r="V1100" s="40" t="n">
        <x:f>P1100*Assumptions!$B$8</x:f>
        <x:v>6608.406691114349</x:v>
      </x:c>
      <x:c r="W1100" s="54" t="n">
        <x:f>V1100-U1100</x:f>
        <x:v>-787.4433088856504</x:v>
      </x:c>
      <x:c r="X1100" s="58" t="n">
        <x:f>IF(R1100="No","",W1100*S1100)</x:f>
        <x:v>-22731125.997602068</x:v>
      </x:c>
      <x:c r="Y1100" s="58" t="n">
        <x:f>IF(R1100="No","",W1100*T1100*Assumptions!$B$9)</x:f>
        <x:v>-4233531.461561922</x:v>
      </x:c>
      <x:c r="Z1100" s="58" t="n">
        <x:f>IF(R1100="No","",X1100-Y1100)</x:f>
        <x:v>-18497594.536040146</x:v>
      </x:c>
      <x:c r="AA1100" s="58" t="n">
        <x:f>IF(R1100="No","",MAX(0,-Z1100))</x:f>
        <x:v>18497594.536040146</x:v>
      </x:c>
      <x:c r="AB1100" s="52" t="n">
        <x:f>IF(OR(R1100="No",U1100*S1100=0),"",AA1100/(U1100*S1100))</x:f>
        <x:v>0.08664140952097181</x:v>
      </x:c>
      <x:c r="AC1100" s="54" t="n">
        <x:f>IF(OR(R1100="No",S1100-T1100*Assumptions!$B$9&lt;=0),"",AA1100/(Assumptions!$B$8*(S1100-T1100*Assumptions!$B$9)))</x:f>
        <x:v>926.4038928066474</x:v>
      </x:c>
      <x:c r="AD1100" s="52" t="n">
        <x:f>IF(OR(R1100="No",U1100*S1100=0),"",AA1100/(U1100*S1100))</x:f>
        <x:v>0.08664140952097181</x:v>
      </x:c>
      <x:c r="AE1100" s="50" t="str">
        <x:f>IF(R1100="No","No finance data",IF(AB1100&gt;=10%,"Severe",IF(AB1100&gt;=5%,"High",IF(AB1100&gt;=2%,"Moderate","Low"))))</x:f>
        <x:v>High</x:v>
      </x:c>
      <x:c r="AF1100" s="60" t="n">
        <x:v>40.859354</x:v>
      </x:c>
      <x:c r="AG1100" s="60" t="n">
        <x:v>-73.882705</x:v>
      </x:c>
      <x:c r="AH1100" s="44" t="str">
        <x:v>Undergraduate tuition-contribution proxy only; not an audited total institutional budget.</x:v>
      </x:c>
    </x:row>
    <x:row r="1101">
      <x:c r="A1101" s="16" t="n">
        <x:v>191515</x:v>
      </x:c>
      <x:c r="B1101" s="16" t="str">
        <x:v>Hamilton College</x:v>
      </x:c>
      <x:c r="C1101" s="16" t="str">
        <x:v>NY</x:v>
      </x:c>
      <x:c r="D1101" s="16" t="str">
        <x:v>Private nonprofit</x:v>
      </x:c>
      <x:c r="E1101" s="34" t="n">
        <x:v>1861</x:v>
      </x:c>
      <x:c r="F1101" s="21" t="n">
        <x:v>0.1407</x:v>
      </x:c>
      <x:c r="G1101" s="16" t="str">
        <x:v>National</x:v>
      </x:c>
      <x:c r="H1101" s="36" t="n">
        <x:f>IF(G1101="National",Assumptions!$B$11,IF(G1101="Statewide",Assumptions!$B$12,Assumptions!$B$13))</x:f>
        <x:v>0.25</x:v>
      </x:c>
      <x:c r="I1101" s="21" t="n">
        <x:v>-0.08678079290324192</x:v>
      </x:c>
      <x:c r="J1101" s="21" t="n">
        <x:v>-0.14585233360743566</x:v>
      </x:c>
      <x:c r="K1101" s="21" t="n">
        <x:v>-0.24979193142458445</x:v>
      </x:c>
      <x:c r="L1101" s="36" t="n">
        <x:f>IF(Assumptions!$B$4=2030,I1101,IF(Assumptions!$B$4=2035,J1101,K1101))</x:f>
        <x:v>-0.14585233360743566</x:v>
      </x:c>
      <x:c r="M1101" s="36" t="n">
        <x:f>Assumptions!$B$19</x:f>
        <x:v>-0.04739891965741583</x:v>
      </x:c>
      <x:c r="N1101" s="52" t="n">
        <x:f>H1101*L1101+(1-H1101)*M1101+O1101</x:f>
        <x:v>-0.07201227314492079</x:v>
      </x:c>
      <x:c r="O1101" s="36" t="n">
        <x:f>Assumptions!$B$10</x:f>
        <x:v>0</x:v>
      </x:c>
      <x:c r="P1101" s="54" t="n">
        <x:f>E1101*(1+N1101)</x:f>
        <x:v>1726.9851596773024</x:v>
      </x:c>
      <x:c r="Q1101" s="54" t="n">
        <x:f>P1101-E1101</x:f>
        <x:v>-134.01484032269764</x:v>
      </x:c>
      <x:c r="R1101" s="16" t="str">
        <x:v>Yes</x:v>
      </x:c>
      <x:c r="S1101" s="56" t="n">
        <x:v>35768</x:v>
      </x:c>
      <x:c r="T1101" s="56" t="n">
        <x:v>27868</x:v>
      </x:c>
      <x:c r="U1101" s="40" t="n">
        <x:f>E1101*Assumptions!$B$8</x:f>
        <x:v>1581.85</x:v>
      </x:c>
      <x:c r="V1101" s="40" t="n">
        <x:f>P1101*Assumptions!$B$8</x:f>
        <x:v>1467.937385725707</x:v>
      </x:c>
      <x:c r="W1101" s="54" t="n">
        <x:f>V1101-U1101</x:f>
        <x:v>-113.91261427429299</x:v>
      </x:c>
      <x:c r="X1101" s="58" t="n">
        <x:f>IF(R1101="No","",W1101*S1101)</x:f>
        <x:v>-4074426.387362912</x:v>
      </x:c>
      <x:c r="Y1101" s="58" t="n">
        <x:f>IF(R1101="No","",W1101*T1101*Assumptions!$B$9)</x:f>
        <x:v>-952355.0203787992</x:v>
      </x:c>
      <x:c r="Z1101" s="58" t="n">
        <x:f>IF(R1101="No","",X1101-Y1101)</x:f>
        <x:v>-3122071.3669841127</x:v>
      </x:c>
      <x:c r="AA1101" s="58" t="n">
        <x:f>IF(R1101="No","",MAX(0,-Z1101))</x:f>
        <x:v>3122071.3669841127</x:v>
      </x:c>
      <x:c r="AB1101" s="52" t="n">
        <x:f>IF(OR(R1101="No",U1101*S1101=0),"",AA1101/(U1101*S1101))</x:f>
        <x:v>0.055180149224075485</x:v>
      </x:c>
      <x:c r="AC1101" s="54" t="n">
        <x:f>IF(OR(R1101="No",S1101-T1101*Assumptions!$B$9&lt;=0),"",AA1101/(Assumptions!$B$8*(S1101-T1101*Assumptions!$B$9)))</x:f>
        <x:v>134.01484032269764</x:v>
      </x:c>
      <x:c r="AD1101" s="52" t="n">
        <x:f>IF(OR(R1101="No",U1101*S1101=0),"",AA1101/(U1101*S1101))</x:f>
        <x:v>0.055180149224075485</x:v>
      </x:c>
      <x:c r="AE1101" s="50" t="str">
        <x:f>IF(R1101="No","No finance data",IF(AB1101&gt;=10%,"Severe",IF(AB1101&gt;=5%,"High",IF(AB1101&gt;=2%,"Moderate","Low"))))</x:f>
        <x:v>High</x:v>
      </x:c>
      <x:c r="AF1101" s="60" t="n">
        <x:v>43.050245</x:v>
      </x:c>
      <x:c r="AG1101" s="60" t="n">
        <x:v>-75.408195</x:v>
      </x:c>
      <x:c r="AH1101" s="44" t="str">
        <x:v>Undergraduate tuition-contribution proxy only; not an audited total institutional budget.</x:v>
      </x:c>
    </x:row>
    <x:row r="1102">
      <x:c r="A1102" s="16" t="n">
        <x:v>191533</x:v>
      </x:c>
      <x:c r="B1102" s="16" t="str">
        <x:v>Hartwick College</x:v>
      </x:c>
      <x:c r="C1102" s="16" t="str">
        <x:v>NY</x:v>
      </x:c>
      <x:c r="D1102" s="16" t="str">
        <x:v>Private nonprofit</x:v>
      </x:c>
      <x:c r="E1102" s="34" t="n">
        <x:v>1384</x:v>
      </x:c>
      <x:c r="F1102" s="21" t="n">
        <x:v>0.9561</x:v>
      </x:c>
      <x:c r="G1102" s="16" t="str">
        <x:v>Regional</x:v>
      </x:c>
      <x:c r="H1102" s="36" t="n">
        <x:f>IF(G1102="National",Assumptions!$B$11,IF(G1102="Statewide",Assumptions!$B$12,Assumptions!$B$13))</x:f>
        <x:v>0.85</x:v>
      </x:c>
      <x:c r="I1102" s="21" t="n">
        <x:v>-0.08678079290324192</x:v>
      </x:c>
      <x:c r="J1102" s="21" t="n">
        <x:v>-0.14585233360743566</x:v>
      </x:c>
      <x:c r="K1102" s="21" t="n">
        <x:v>-0.24979193142458445</x:v>
      </x:c>
      <x:c r="L1102" s="36" t="n">
        <x:f>IF(Assumptions!$B$4=2030,I1102,IF(Assumptions!$B$4=2035,J1102,K1102))</x:f>
        <x:v>-0.14585233360743566</x:v>
      </x:c>
      <x:c r="M1102" s="36" t="n">
        <x:f>Assumptions!$B$19</x:f>
        <x:v>-0.04739891965741583</x:v>
      </x:c>
      <x:c r="N1102" s="52" t="n">
        <x:f>H1102*L1102+(1-H1102)*M1102+O1102</x:f>
        <x:v>-0.13108432151493268</x:v>
      </x:c>
      <x:c r="O1102" s="36" t="n">
        <x:f>Assumptions!$B$10</x:f>
        <x:v>0</x:v>
      </x:c>
      <x:c r="P1102" s="54" t="n">
        <x:f>E1102*(1+N1102)</x:f>
        <x:v>1202.5792990233333</x:v>
      </x:c>
      <x:c r="Q1102" s="54" t="n">
        <x:f>P1102-E1102</x:f>
        <x:v>-181.4207009766667</x:v>
      </x:c>
      <x:c r="R1102" s="16" t="str">
        <x:v>Yes</x:v>
      </x:c>
      <x:c r="S1102" s="56" t="n">
        <x:v>21273</x:v>
      </x:c>
      <x:c r="T1102" s="56" t="n">
        <x:v>14264</x:v>
      </x:c>
      <x:c r="U1102" s="40" t="n">
        <x:f>E1102*Assumptions!$B$8</x:f>
        <x:v>1176.3999999999999</x:v>
      </x:c>
      <x:c r="V1102" s="40" t="n">
        <x:f>P1102*Assumptions!$B$8</x:f>
        <x:v>1022.1924041698333</x:v>
      </x:c>
      <x:c r="W1102" s="54" t="n">
        <x:f>V1102-U1102</x:f>
        <x:v>-154.2075958301666</x:v>
      </x:c>
      <x:c r="X1102" s="58" t="n">
        <x:f>IF(R1102="No","",W1102*S1102)</x:f>
        <x:v>-3280458.1860951344</x:v>
      </x:c>
      <x:c r="Y1102" s="58" t="n">
        <x:f>IF(R1102="No","",W1102*T1102*Assumptions!$B$9)</x:f>
        <x:v>-659885.1440764489</x:v>
      </x:c>
      <x:c r="Z1102" s="58" t="n">
        <x:f>IF(R1102="No","",X1102-Y1102)</x:f>
        <x:v>-2620573.0420186855</x:v>
      </x:c>
      <x:c r="AA1102" s="58" t="n">
        <x:f>IF(R1102="No","",MAX(0,-Z1102))</x:f>
        <x:v>2620573.0420186855</x:v>
      </x:c>
      <x:c r="AB1102" s="52" t="n">
        <x:f>IF(OR(R1102="No",U1102*S1102=0),"",AA1102/(U1102*S1102))</x:f>
        <x:v>0.10471587190149301</x:v>
      </x:c>
      <x:c r="AC1102" s="54" t="n">
        <x:f>IF(OR(R1102="No",S1102-T1102*Assumptions!$B$9&lt;=0),"",AA1102/(Assumptions!$B$8*(S1102-T1102*Assumptions!$B$9)))</x:f>
        <x:v>181.4207009766666</x:v>
      </x:c>
      <x:c r="AD1102" s="52" t="n">
        <x:f>IF(OR(R1102="No",U1102*S1102=0),"",AA1102/(U1102*S1102))</x:f>
        <x:v>0.10471587190149301</x:v>
      </x:c>
      <x:c r="AE1102" s="50" t="str">
        <x:f>IF(R1102="No","No finance data",IF(AB1102&gt;=10%,"Severe",IF(AB1102&gt;=5%,"High",IF(AB1102&gt;=2%,"Moderate","Low"))))</x:f>
        <x:v>Severe</x:v>
      </x:c>
      <x:c r="AF1102" s="60" t="n">
        <x:v>42.457599</x:v>
      </x:c>
      <x:c r="AG1102" s="60" t="n">
        <x:v>-75.071994</x:v>
      </x:c>
      <x:c r="AH1102" s="44" t="str">
        <x:v>Undergraduate tuition-contribution proxy only; not an audited total institutional budget.</x:v>
      </x:c>
    </x:row>
    <x:row r="1103">
      <x:c r="A1103" s="16" t="n">
        <x:v>191621</x:v>
      </x:c>
      <x:c r="B1103" s="16" t="str">
        <x:v>Hilbert College</x:v>
      </x:c>
      <x:c r="C1103" s="16" t="str">
        <x:v>NY</x:v>
      </x:c>
      <x:c r="D1103" s="16" t="str">
        <x:v>Private nonprofit</x:v>
      </x:c>
      <x:c r="E1103" s="34" t="n">
        <x:v>874</x:v>
      </x:c>
      <x:c r="F1103" s="21" t="n">
        <x:v>0.9264</x:v>
      </x:c>
      <x:c r="G1103" s="16" t="str">
        <x:v>Regional</x:v>
      </x:c>
      <x:c r="H1103" s="36" t="n">
        <x:f>IF(G1103="National",Assumptions!$B$11,IF(G1103="Statewide",Assumptions!$B$12,Assumptions!$B$13))</x:f>
        <x:v>0.85</x:v>
      </x:c>
      <x:c r="I1103" s="21" t="n">
        <x:v>-0.08678079290324192</x:v>
      </x:c>
      <x:c r="J1103" s="21" t="n">
        <x:v>-0.14585233360743566</x:v>
      </x:c>
      <x:c r="K1103" s="21" t="n">
        <x:v>-0.24979193142458445</x:v>
      </x:c>
      <x:c r="L1103" s="36" t="n">
        <x:f>IF(Assumptions!$B$4=2030,I1103,IF(Assumptions!$B$4=2035,J1103,K1103))</x:f>
        <x:v>-0.14585233360743566</x:v>
      </x:c>
      <x:c r="M1103" s="36" t="n">
        <x:f>Assumptions!$B$19</x:f>
        <x:v>-0.04739891965741583</x:v>
      </x:c>
      <x:c r="N1103" s="52" t="n">
        <x:f>H1103*L1103+(1-H1103)*M1103+O1103</x:f>
        <x:v>-0.13108432151493268</x:v>
      </x:c>
      <x:c r="O1103" s="36" t="n">
        <x:f>Assumptions!$B$10</x:f>
        <x:v>0</x:v>
      </x:c>
      <x:c r="P1103" s="54" t="n">
        <x:f>E1103*(1+N1103)</x:f>
        <x:v>759.4323029959488</x:v>
      </x:c>
      <x:c r="Q1103" s="54" t="n">
        <x:f>P1103-E1103</x:f>
        <x:v>-114.56769700405118</x:v>
      </x:c>
      <x:c r="R1103" s="16" t="str">
        <x:v>Yes</x:v>
      </x:c>
      <x:c r="S1103" s="56" t="n">
        <x:v>12089</x:v>
      </x:c>
      <x:c r="T1103" s="56" t="n">
        <x:v>6735</x:v>
      </x:c>
      <x:c r="U1103" s="40" t="n">
        <x:f>E1103*Assumptions!$B$8</x:f>
        <x:v>742.9</x:v>
      </x:c>
      <x:c r="V1103" s="40" t="n">
        <x:f>P1103*Assumptions!$B$8</x:f>
        <x:v>645.5174575465564</x:v>
      </x:c>
      <x:c r="W1103" s="54" t="n">
        <x:f>V1103-U1103</x:f>
        <x:v>-97.38254245344353</x:v>
      </x:c>
      <x:c r="X1103" s="58" t="n">
        <x:f>IF(R1103="No","",W1103*S1103)</x:f>
        <x:v>-1177257.555719679</x:v>
      </x:c>
      <x:c r="Y1103" s="58" t="n">
        <x:f>IF(R1103="No","",W1103*T1103*Assumptions!$B$9)</x:f>
        <x:v>-196761.42702718265</x:v>
      </x:c>
      <x:c r="Z1103" s="58" t="n">
        <x:f>IF(R1103="No","",X1103-Y1103)</x:f>
        <x:v>-980496.1286924963</x:v>
      </x:c>
      <x:c r="AA1103" s="58" t="n">
        <x:f>IF(R1103="No","",MAX(0,-Z1103))</x:f>
        <x:v>980496.1286924963</x:v>
      </x:c>
      <x:c r="AB1103" s="52" t="n">
        <x:f>IF(OR(R1103="No",U1103*S1103=0),"",AA1103/(U1103*S1103))</x:f>
        <x:v>0.10917548938482095</x:v>
      </x:c>
      <x:c r="AC1103" s="54" t="n">
        <x:f>IF(OR(R1103="No",S1103-T1103*Assumptions!$B$9&lt;=0),"",AA1103/(Assumptions!$B$8*(S1103-T1103*Assumptions!$B$9)))</x:f>
        <x:v>114.56769700405123</x:v>
      </x:c>
      <x:c r="AD1103" s="52" t="n">
        <x:f>IF(OR(R1103="No",U1103*S1103=0),"",AA1103/(U1103*S1103))</x:f>
        <x:v>0.10917548938482095</x:v>
      </x:c>
      <x:c r="AE1103" s="50" t="str">
        <x:f>IF(R1103="No","No finance data",IF(AB1103&gt;=10%,"Severe",IF(AB1103&gt;=5%,"High",IF(AB1103&gt;=2%,"Moderate","Low"))))</x:f>
        <x:v>Severe</x:v>
      </x:c>
      <x:c r="AF1103" s="60" t="n">
        <x:v>42.75464</x:v>
      </x:c>
      <x:c r="AG1103" s="60" t="n">
        <x:v>-78.820257</x:v>
      </x:c>
      <x:c r="AH1103" s="44" t="str">
        <x:v>Undergraduate tuition-contribution proxy only; not an audited total institutional budget.</x:v>
      </x:c>
    </x:row>
    <x:row r="1104">
      <x:c r="A1104" s="16" t="n">
        <x:v>191630</x:v>
      </x:c>
      <x:c r="B1104" s="16" t="str">
        <x:v>Hobart William Smith Colleges</x:v>
      </x:c>
      <x:c r="C1104" s="16" t="str">
        <x:v>NY</x:v>
      </x:c>
      <x:c r="D1104" s="16" t="str">
        <x:v>Private nonprofit</x:v>
      </x:c>
      <x:c r="E1104" s="34" t="n">
        <x:v>2257</x:v>
      </x:c>
      <x:c r="F1104" s="21" t="n">
        <x:v>0.6743</x:v>
      </x:c>
      <x:c r="G1104" s="16" t="str">
        <x:v>Regional</x:v>
      </x:c>
      <x:c r="H1104" s="36" t="n">
        <x:f>IF(G1104="National",Assumptions!$B$11,IF(G1104="Statewide",Assumptions!$B$12,Assumptions!$B$13))</x:f>
        <x:v>0.85</x:v>
      </x:c>
      <x:c r="I1104" s="21" t="n">
        <x:v>-0.08678079290324192</x:v>
      </x:c>
      <x:c r="J1104" s="21" t="n">
        <x:v>-0.14585233360743566</x:v>
      </x:c>
      <x:c r="K1104" s="21" t="n">
        <x:v>-0.24979193142458445</x:v>
      </x:c>
      <x:c r="L1104" s="36" t="n">
        <x:f>IF(Assumptions!$B$4=2030,I1104,IF(Assumptions!$B$4=2035,J1104,K1104))</x:f>
        <x:v>-0.14585233360743566</x:v>
      </x:c>
      <x:c r="M1104" s="36" t="n">
        <x:f>Assumptions!$B$19</x:f>
        <x:v>-0.04739891965741583</x:v>
      </x:c>
      <x:c r="N1104" s="52" t="n">
        <x:f>H1104*L1104+(1-H1104)*M1104+O1104</x:f>
        <x:v>-0.13108432151493268</x:v>
      </x:c>
      <x:c r="O1104" s="36" t="n">
        <x:f>Assumptions!$B$10</x:f>
        <x:v>0</x:v>
      </x:c>
      <x:c r="P1104" s="54" t="n">
        <x:f>E1104*(1+N1104)</x:f>
        <x:v>1961.142686340797</x:v>
      </x:c>
      <x:c r="Q1104" s="54" t="n">
        <x:f>P1104-E1104</x:f>
        <x:v>-295.8573136592031</x:v>
      </x:c>
      <x:c r="R1104" s="16" t="str">
        <x:v>Yes</x:v>
      </x:c>
      <x:c r="S1104" s="56" t="n">
        <x:v>25270</x:v>
      </x:c>
      <x:c r="T1104" s="56" t="n">
        <x:v>15361</x:v>
      </x:c>
      <x:c r="U1104" s="40" t="n">
        <x:f>E1104*Assumptions!$B$8</x:f>
        <x:v>1918.45</x:v>
      </x:c>
      <x:c r="V1104" s="40" t="n">
        <x:f>P1104*Assumptions!$B$8</x:f>
        <x:v>1666.9712833896774</x:v>
      </x:c>
      <x:c r="W1104" s="54" t="n">
        <x:f>V1104-U1104</x:f>
        <x:v>-251.47871661032264</x:v>
      </x:c>
      <x:c r="X1104" s="58" t="n">
        <x:f>IF(R1104="No","",W1104*S1104)</x:f>
        <x:v>-6354867.168742853</x:v>
      </x:c>
      <x:c r="Y1104" s="58" t="n">
        <x:f>IF(R1104="No","",W1104*T1104*Assumptions!$B$9)</x:f>
        <x:v>-1158889.3697553498</x:v>
      </x:c>
      <x:c r="Z1104" s="58" t="n">
        <x:f>IF(R1104="No","",X1104-Y1104)</x:f>
        <x:v>-5195977.798987503</x:v>
      </x:c>
      <x:c r="AA1104" s="58" t="n">
        <x:f>IF(R1104="No","",MAX(0,-Z1104))</x:f>
        <x:v>5195977.798987503</x:v>
      </x:c>
      <x:c r="AB1104" s="52" t="n">
        <x:f>IF(OR(R1104="No",U1104*S1104=0),"",AA1104/(U1104*S1104))</x:f>
        <x:v>0.10717945887792184</x:v>
      </x:c>
      <x:c r="AC1104" s="54" t="n">
        <x:f>IF(OR(R1104="No",S1104-T1104*Assumptions!$B$9&lt;=0),"",AA1104/(Assumptions!$B$8*(S1104-T1104*Assumptions!$B$9)))</x:f>
        <x:v>295.8573136592031</x:v>
      </x:c>
      <x:c r="AD1104" s="52" t="n">
        <x:f>IF(OR(R1104="No",U1104*S1104=0),"",AA1104/(U1104*S1104))</x:f>
        <x:v>0.10717945887792184</x:v>
      </x:c>
      <x:c r="AE1104" s="50" t="str">
        <x:f>IF(R1104="No","No finance data",IF(AB1104&gt;=10%,"Severe",IF(AB1104&gt;=5%,"High",IF(AB1104&gt;=2%,"Moderate","Low"))))</x:f>
        <x:v>Severe</x:v>
      </x:c>
      <x:c r="AF1104" s="60" t="n">
        <x:v>42.858131</x:v>
      </x:c>
      <x:c r="AG1104" s="60" t="n">
        <x:v>-76.985516</x:v>
      </x:c>
      <x:c r="AH1104" s="44" t="str">
        <x:v>Undergraduate tuition-contribution proxy only; not an audited total institutional budget.</x:v>
      </x:c>
    </x:row>
    <x:row r="1105">
      <x:c r="A1105" s="16" t="n">
        <x:v>191649</x:v>
      </x:c>
      <x:c r="B1105" s="16" t="str">
        <x:v>Hofstra University</x:v>
      </x:c>
      <x:c r="C1105" s="16" t="str">
        <x:v>NY</x:v>
      </x:c>
      <x:c r="D1105" s="16" t="str">
        <x:v>Private nonprofit</x:v>
      </x:c>
      <x:c r="E1105" s="34" t="n">
        <x:v>6716</x:v>
      </x:c>
      <x:c r="F1105" s="21" t="n">
        <x:v>0.6776</x:v>
      </x:c>
      <x:c r="G1105" s="16" t="str">
        <x:v>Regional</x:v>
      </x:c>
      <x:c r="H1105" s="36" t="n">
        <x:f>IF(G1105="National",Assumptions!$B$11,IF(G1105="Statewide",Assumptions!$B$12,Assumptions!$B$13))</x:f>
        <x:v>0.85</x:v>
      </x:c>
      <x:c r="I1105" s="21" t="n">
        <x:v>-0.08678079290324192</x:v>
      </x:c>
      <x:c r="J1105" s="21" t="n">
        <x:v>-0.14585233360743566</x:v>
      </x:c>
      <x:c r="K1105" s="21" t="n">
        <x:v>-0.24979193142458445</x:v>
      </x:c>
      <x:c r="L1105" s="36" t="n">
        <x:f>IF(Assumptions!$B$4=2030,I1105,IF(Assumptions!$B$4=2035,J1105,K1105))</x:f>
        <x:v>-0.14585233360743566</x:v>
      </x:c>
      <x:c r="M1105" s="36" t="n">
        <x:f>Assumptions!$B$19</x:f>
        <x:v>-0.04739891965741583</x:v>
      </x:c>
      <x:c r="N1105" s="52" t="n">
        <x:f>H1105*L1105+(1-H1105)*M1105+O1105</x:f>
        <x:v>-0.13108432151493268</x:v>
      </x:c>
      <x:c r="O1105" s="36" t="n">
        <x:f>Assumptions!$B$10</x:f>
        <x:v>0</x:v>
      </x:c>
      <x:c r="P1105" s="54" t="n">
        <x:f>E1105*(1+N1105)</x:f>
        <x:v>5835.637696705712</x:v>
      </x:c>
      <x:c r="Q1105" s="54" t="n">
        <x:f>P1105-E1105</x:f>
        <x:v>-880.3623032942878</x:v>
      </x:c>
      <x:c r="R1105" s="16" t="str">
        <x:v>Yes</x:v>
      </x:c>
      <x:c r="S1105" s="56" t="n">
        <x:v>28689</x:v>
      </x:c>
      <x:c r="T1105" s="56" t="n">
        <x:v>17014</x:v>
      </x:c>
      <x:c r="U1105" s="40" t="n">
        <x:f>E1105*Assumptions!$B$8</x:f>
        <x:v>5708.599999999999</x:v>
      </x:c>
      <x:c r="V1105" s="40" t="n">
        <x:f>P1105*Assumptions!$B$8</x:f>
        <x:v>4960.292042199855</x:v>
      </x:c>
      <x:c r="W1105" s="54" t="n">
        <x:f>V1105-U1105</x:f>
        <x:v>-748.3079578001443</x:v>
      </x:c>
      <x:c r="X1105" s="58" t="n">
        <x:f>IF(R1105="No","",W1105*S1105)</x:f>
        <x:v>-21468207.00132834</x:v>
      </x:c>
      <x:c r="Y1105" s="58" t="n">
        <x:f>IF(R1105="No","",W1105*T1105*Assumptions!$B$9)</x:f>
        <x:v>-3819513.4782034964</x:v>
      </x:c>
      <x:c r="Z1105" s="58" t="n">
        <x:f>IF(R1105="No","",X1105-Y1105)</x:f>
        <x:v>-17648693.523124844</x:v>
      </x:c>
      <x:c r="AA1105" s="58" t="n">
        <x:f>IF(R1105="No","",MAX(0,-Z1105))</x:f>
        <x:v>17648693.523124844</x:v>
      </x:c>
      <x:c r="AB1105" s="52" t="n">
        <x:f>IF(OR(R1105="No",U1105*S1105=0),"",AA1105/(U1105*S1105))</x:f>
        <x:v>0.1077624701476309</x:v>
      </x:c>
      <x:c r="AC1105" s="54" t="n">
        <x:f>IF(OR(R1105="No",S1105-T1105*Assumptions!$B$9&lt;=0),"",AA1105/(Assumptions!$B$8*(S1105-T1105*Assumptions!$B$9)))</x:f>
        <x:v>880.3623032942875</x:v>
      </x:c>
      <x:c r="AD1105" s="52" t="n">
        <x:f>IF(OR(R1105="No",U1105*S1105=0),"",AA1105/(U1105*S1105))</x:f>
        <x:v>0.1077624701476309</x:v>
      </x:c>
      <x:c r="AE1105" s="50" t="str">
        <x:f>IF(R1105="No","No finance data",IF(AB1105&gt;=10%,"Severe",IF(AB1105&gt;=5%,"High",IF(AB1105&gt;=2%,"Moderate","Low"))))</x:f>
        <x:v>Severe</x:v>
      </x:c>
      <x:c r="AF1105" s="60" t="n">
        <x:v>40.715959</x:v>
      </x:c>
      <x:c r="AG1105" s="60" t="n">
        <x:v>-73.60078</x:v>
      </x:c>
      <x:c r="AH1105" s="44" t="str">
        <x:v>Undergraduate tuition-contribution proxy only; not an audited total institutional budget.</x:v>
      </x:c>
    </x:row>
    <x:row r="1106">
      <x:c r="A1106" s="16" t="n">
        <x:v>191676</x:v>
      </x:c>
      <x:c r="B1106" s="16" t="str">
        <x:v>Houghton College</x:v>
      </x:c>
      <x:c r="C1106" s="16" t="str">
        <x:v>NY</x:v>
      </x:c>
      <x:c r="D1106" s="16" t="str">
        <x:v>Private nonprofit</x:v>
      </x:c>
      <x:c r="E1106" s="34" t="n">
        <x:v>1014</x:v>
      </x:c>
      <x:c r="F1106" s="21" t="n">
        <x:v>0.7907</x:v>
      </x:c>
      <x:c r="G1106" s="16" t="str">
        <x:v>Regional</x:v>
      </x:c>
      <x:c r="H1106" s="36" t="n">
        <x:f>IF(G1106="National",Assumptions!$B$11,IF(G1106="Statewide",Assumptions!$B$12,Assumptions!$B$13))</x:f>
        <x:v>0.85</x:v>
      </x:c>
      <x:c r="I1106" s="21" t="n">
        <x:v>-0.08678079290324192</x:v>
      </x:c>
      <x:c r="J1106" s="21" t="n">
        <x:v>-0.14585233360743566</x:v>
      </x:c>
      <x:c r="K1106" s="21" t="n">
        <x:v>-0.24979193142458445</x:v>
      </x:c>
      <x:c r="L1106" s="36" t="n">
        <x:f>IF(Assumptions!$B$4=2030,I1106,IF(Assumptions!$B$4=2035,J1106,K1106))</x:f>
        <x:v>-0.14585233360743566</x:v>
      </x:c>
      <x:c r="M1106" s="36" t="n">
        <x:f>Assumptions!$B$19</x:f>
        <x:v>-0.04739891965741583</x:v>
      </x:c>
      <x:c r="N1106" s="52" t="n">
        <x:f>H1106*L1106+(1-H1106)*M1106+O1106</x:f>
        <x:v>-0.13108432151493268</x:v>
      </x:c>
      <x:c r="O1106" s="36" t="n">
        <x:f>Assumptions!$B$10</x:f>
        <x:v>0</x:v>
      </x:c>
      <x:c r="P1106" s="54" t="n">
        <x:f>E1106*(1+N1106)</x:f>
        <x:v>881.0804979838583</x:v>
      </x:c>
      <x:c r="Q1106" s="54" t="n">
        <x:f>P1106-E1106</x:f>
        <x:v>-132.91950201614168</x:v>
      </x:c>
      <x:c r="R1106" s="16" t="str">
        <x:v>Yes</x:v>
      </x:c>
      <x:c r="S1106" s="56" t="n">
        <x:v>15224</x:v>
      </x:c>
      <x:c r="T1106" s="56" t="n">
        <x:v>10758</x:v>
      </x:c>
      <x:c r="U1106" s="40" t="n">
        <x:f>E1106*Assumptions!$B$8</x:f>
        <x:v>861.9</x:v>
      </x:c>
      <x:c r="V1106" s="40" t="n">
        <x:f>P1106*Assumptions!$B$8</x:f>
        <x:v>748.9184232862796</x:v>
      </x:c>
      <x:c r="W1106" s="54" t="n">
        <x:f>V1106-U1106</x:f>
        <x:v>-112.98157671372041</x:v>
      </x:c>
      <x:c r="X1106" s="58" t="n">
        <x:f>IF(R1106="No","",W1106*S1106)</x:f>
        <x:v>-1720031.5238896797</x:v>
      </x:c>
      <x:c r="Y1106" s="58" t="n">
        <x:f>IF(R1106="No","",W1106*T1106*Assumptions!$B$9)</x:f>
        <x:v>-364636.74068586127</x:v>
      </x:c>
      <x:c r="Z1106" s="58" t="n">
        <x:f>IF(R1106="No","",X1106-Y1106)</x:f>
        <x:v>-1355394.7832038184</x:v>
      </x:c>
      <x:c r="AA1106" s="58" t="n">
        <x:f>IF(R1106="No","",MAX(0,-Z1106))</x:f>
        <x:v>1355394.7832038184</x:v>
      </x:c>
      <x:c r="AB1106" s="52" t="n">
        <x:f>IF(OR(R1106="No",U1106*S1106=0),"",AA1106/(U1106*S1106))</x:f>
        <x:v>0.10329520306660803</x:v>
      </x:c>
      <x:c r="AC1106" s="54" t="n">
        <x:f>IF(OR(R1106="No",S1106-T1106*Assumptions!$B$9&lt;=0),"",AA1106/(Assumptions!$B$8*(S1106-T1106*Assumptions!$B$9)))</x:f>
        <x:v>132.91950201614165</x:v>
      </x:c>
      <x:c r="AD1106" s="52" t="n">
        <x:f>IF(OR(R1106="No",U1106*S1106=0),"",AA1106/(U1106*S1106))</x:f>
        <x:v>0.10329520306660803</x:v>
      </x:c>
      <x:c r="AE1106" s="50" t="str">
        <x:f>IF(R1106="No","No finance data",IF(AB1106&gt;=10%,"Severe",IF(AB1106&gt;=5%,"High",IF(AB1106&gt;=2%,"Moderate","Low"))))</x:f>
        <x:v>Severe</x:v>
      </x:c>
      <x:c r="AF1106" s="60" t="n">
        <x:v>42.426137</x:v>
      </x:c>
      <x:c r="AG1106" s="60" t="n">
        <x:v>-78.155426</x:v>
      </x:c>
      <x:c r="AH1106" s="44" t="str">
        <x:v>Undergraduate tuition-contribution proxy only; not an audited total institutional budget.</x:v>
      </x:c>
    </x:row>
    <x:row r="1107">
      <x:c r="A1107" s="16" t="n">
        <x:v>191931</x:v>
      </x:c>
      <x:c r="B1107" s="16" t="str">
        <x:v>Iona College</x:v>
      </x:c>
      <x:c r="C1107" s="16" t="str">
        <x:v>NY</x:v>
      </x:c>
      <x:c r="D1107" s="16" t="str">
        <x:v>Private nonprofit</x:v>
      </x:c>
      <x:c r="E1107" s="34" t="n">
        <x:v>3018</x:v>
      </x:c>
      <x:c r="F1107" s="21" t="n">
        <x:v>0.9256</x:v>
      </x:c>
      <x:c r="G1107" s="16" t="str">
        <x:v>Regional</x:v>
      </x:c>
      <x:c r="H1107" s="36" t="n">
        <x:f>IF(G1107="National",Assumptions!$B$11,IF(G1107="Statewide",Assumptions!$B$12,Assumptions!$B$13))</x:f>
        <x:v>0.85</x:v>
      </x:c>
      <x:c r="I1107" s="21" t="n">
        <x:v>-0.08678079290324192</x:v>
      </x:c>
      <x:c r="J1107" s="21" t="n">
        <x:v>-0.14585233360743566</x:v>
      </x:c>
      <x:c r="K1107" s="21" t="n">
        <x:v>-0.24979193142458445</x:v>
      </x:c>
      <x:c r="L1107" s="36" t="n">
        <x:f>IF(Assumptions!$B$4=2030,I1107,IF(Assumptions!$B$4=2035,J1107,K1107))</x:f>
        <x:v>-0.14585233360743566</x:v>
      </x:c>
      <x:c r="M1107" s="36" t="n">
        <x:f>Assumptions!$B$19</x:f>
        <x:v>-0.04739891965741583</x:v>
      </x:c>
      <x:c r="N1107" s="52" t="n">
        <x:f>H1107*L1107+(1-H1107)*M1107+O1107</x:f>
        <x:v>-0.13108432151493268</x:v>
      </x:c>
      <x:c r="O1107" s="36" t="n">
        <x:f>Assumptions!$B$10</x:f>
        <x:v>0</x:v>
      </x:c>
      <x:c r="P1107" s="54" t="n">
        <x:f>E1107*(1+N1107)</x:f>
        <x:v>2622.387517667933</x:v>
      </x:c>
      <x:c r="Q1107" s="54" t="n">
        <x:f>P1107-E1107</x:f>
        <x:v>-395.612482332067</x:v>
      </x:c>
      <x:c r="R1107" s="16" t="str">
        <x:v>Yes</x:v>
      </x:c>
      <x:c r="S1107" s="56" t="n">
        <x:v>21552</x:v>
      </x:c>
      <x:c r="T1107" s="56" t="n">
        <x:v>10176</x:v>
      </x:c>
      <x:c r="U1107" s="40" t="n">
        <x:f>E1107*Assumptions!$B$8</x:f>
        <x:v>2565.2999999999997</x:v>
      </x:c>
      <x:c r="V1107" s="40" t="n">
        <x:f>P1107*Assumptions!$B$8</x:f>
        <x:v>2229.029390017743</x:v>
      </x:c>
      <x:c r="W1107" s="54" t="n">
        <x:f>V1107-U1107</x:f>
        <x:v>-336.2706099822567</x:v>
      </x:c>
      <x:c r="X1107" s="58" t="n">
        <x:f>IF(R1107="No","",W1107*S1107)</x:f>
        <x:v>-7247304.186337597</x:v>
      </x:c>
      <x:c r="Y1107" s="58" t="n">
        <x:f>IF(R1107="No","",W1107*T1107*Assumptions!$B$9)</x:f>
        <x:v>-1026566.9181538332</x:v>
      </x:c>
      <x:c r="Z1107" s="58" t="n">
        <x:f>IF(R1107="No","",X1107-Y1107)</x:f>
        <x:v>-6220737.268183763</x:v>
      </x:c>
      <x:c r="AA1107" s="58" t="n">
        <x:f>IF(R1107="No","",MAX(0,-Z1107))</x:f>
        <x:v>6220737.268183763</x:v>
      </x:c>
      <x:c r="AB1107" s="52" t="n">
        <x:f>IF(OR(R1107="No",U1107*S1107=0),"",AA1107/(U1107*S1107))</x:f>
        <x:v>0.1125164755275168</x:v>
      </x:c>
      <x:c r="AC1107" s="54" t="n">
        <x:f>IF(OR(R1107="No",S1107-T1107*Assumptions!$B$9&lt;=0),"",AA1107/(Assumptions!$B$8*(S1107-T1107*Assumptions!$B$9)))</x:f>
        <x:v>395.6124823320667</x:v>
      </x:c>
      <x:c r="AD1107" s="52" t="n">
        <x:f>IF(OR(R1107="No",U1107*S1107=0),"",AA1107/(U1107*S1107))</x:f>
        <x:v>0.1125164755275168</x:v>
      </x:c>
      <x:c r="AE1107" s="50" t="str">
        <x:f>IF(R1107="No","No finance data",IF(AB1107&gt;=10%,"Severe",IF(AB1107&gt;=5%,"High",IF(AB1107&gt;=2%,"Moderate","Low"))))</x:f>
        <x:v>Severe</x:v>
      </x:c>
      <x:c r="AF1107" s="60" t="n">
        <x:v>40.925725</x:v>
      </x:c>
      <x:c r="AG1107" s="60" t="n">
        <x:v>-73.788046</x:v>
      </x:c>
      <x:c r="AH1107" s="44" t="str">
        <x:v>Undergraduate tuition-contribution proxy only; not an audited total institutional budget.</x:v>
      </x:c>
    </x:row>
    <x:row r="1108">
      <x:c r="A1108" s="16" t="n">
        <x:v>191968</x:v>
      </x:c>
      <x:c r="B1108" s="16" t="str">
        <x:v>Ithaca College</x:v>
      </x:c>
      <x:c r="C1108" s="16" t="str">
        <x:v>NY</x:v>
      </x:c>
      <x:c r="D1108" s="16" t="str">
        <x:v>Private nonprofit</x:v>
      </x:c>
      <x:c r="E1108" s="34" t="n">
        <x:v>6279</x:v>
      </x:c>
      <x:c r="F1108" s="21" t="n">
        <x:v>0.7773</x:v>
      </x:c>
      <x:c r="G1108" s="16" t="str">
        <x:v>Regional</x:v>
      </x:c>
      <x:c r="H1108" s="36" t="n">
        <x:f>IF(G1108="National",Assumptions!$B$11,IF(G1108="Statewide",Assumptions!$B$12,Assumptions!$B$13))</x:f>
        <x:v>0.85</x:v>
      </x:c>
      <x:c r="I1108" s="21" t="n">
        <x:v>-0.08678079290324192</x:v>
      </x:c>
      <x:c r="J1108" s="21" t="n">
        <x:v>-0.14585233360743566</x:v>
      </x:c>
      <x:c r="K1108" s="21" t="n">
        <x:v>-0.24979193142458445</x:v>
      </x:c>
      <x:c r="L1108" s="36" t="n">
        <x:f>IF(Assumptions!$B$4=2030,I1108,IF(Assumptions!$B$4=2035,J1108,K1108))</x:f>
        <x:v>-0.14585233360743566</x:v>
      </x:c>
      <x:c r="M1108" s="36" t="n">
        <x:f>Assumptions!$B$19</x:f>
        <x:v>-0.04739891965741583</x:v>
      </x:c>
      <x:c r="N1108" s="52" t="n">
        <x:f>H1108*L1108+(1-H1108)*M1108+O1108</x:f>
        <x:v>-0.13108432151493268</x:v>
      </x:c>
      <x:c r="O1108" s="36" t="n">
        <x:f>Assumptions!$B$10</x:f>
        <x:v>0</x:v>
      </x:c>
      <x:c r="P1108" s="54" t="n">
        <x:f>E1108*(1+N1108)</x:f>
        <x:v>5455.921545207738</x:v>
      </x:c>
      <x:c r="Q1108" s="54" t="n">
        <x:f>P1108-E1108</x:f>
        <x:v>-823.0784547922622</x:v>
      </x:c>
      <x:c r="R1108" s="16" t="str">
        <x:v>Yes</x:v>
      </x:c>
      <x:c r="S1108" s="56" t="n">
        <x:v>20705</x:v>
      </x:c>
      <x:c r="T1108" s="56" t="n">
        <x:v>13970</x:v>
      </x:c>
      <x:c r="U1108" s="40" t="n">
        <x:f>E1108*Assumptions!$B$8</x:f>
        <x:v>5337.15</x:v>
      </x:c>
      <x:c r="V1108" s="40" t="n">
        <x:f>P1108*Assumptions!$B$8</x:f>
        <x:v>4637.5333134265775</x:v>
      </x:c>
      <x:c r="W1108" s="54" t="n">
        <x:f>V1108-U1108</x:f>
        <x:v>-699.6166865734222</x:v>
      </x:c>
      <x:c r="X1108" s="58" t="n">
        <x:f>IF(R1108="No","",W1108*S1108)</x:f>
        <x:v>-14485563.495502707</x:v>
      </x:c>
      <x:c r="Y1108" s="58" t="n">
        <x:f>IF(R1108="No","",W1108*T1108*Assumptions!$B$9)</x:f>
        <x:v>-2932093.5334292124</x:v>
      </x:c>
      <x:c r="Z1108" s="58" t="n">
        <x:f>IF(R1108="No","",X1108-Y1108)</x:f>
        <x:v>-11553469.962073494</x:v>
      </x:c>
      <x:c r="AA1108" s="58" t="n">
        <x:f>IF(R1108="No","",MAX(0,-Z1108))</x:f>
        <x:v>11553469.962073494</x:v>
      </x:c>
      <x:c r="AB1108" s="52" t="n">
        <x:f>IF(OR(R1108="No",U1108*S1108=0),"",AA1108/(U1108*S1108))</x:f>
        <x:v>0.10455090487793268</x:v>
      </x:c>
      <x:c r="AC1108" s="54" t="n">
        <x:f>IF(OR(R1108="No",S1108-T1108*Assumptions!$B$9&lt;=0),"",AA1108/(Assumptions!$B$8*(S1108-T1108*Assumptions!$B$9)))</x:f>
        <x:v>823.0784547922614</x:v>
      </x:c>
      <x:c r="AD1108" s="52" t="n">
        <x:f>IF(OR(R1108="No",U1108*S1108=0),"",AA1108/(U1108*S1108))</x:f>
        <x:v>0.10455090487793268</x:v>
      </x:c>
      <x:c r="AE1108" s="50" t="str">
        <x:f>IF(R1108="No","No finance data",IF(AB1108&gt;=10%,"Severe",IF(AB1108&gt;=5%,"High",IF(AB1108&gt;=2%,"Moderate","Low"))))</x:f>
        <x:v>Severe</x:v>
      </x:c>
      <x:c r="AF1108" s="60" t="n">
        <x:v>42.422154</x:v>
      </x:c>
      <x:c r="AG1108" s="60" t="n">
        <x:v>-76.494136</x:v>
      </x:c>
      <x:c r="AH1108" s="44" t="str">
        <x:v>Undergraduate tuition-contribution proxy only; not an audited total institutional budget.</x:v>
      </x:c>
    </x:row>
    <x:row r="1109">
      <x:c r="A1109" s="16" t="n">
        <x:v>192040</x:v>
      </x:c>
      <x:c r="B1109" s="16" t="str">
        <x:v>Jewish Theological Seminary of America</x:v>
      </x:c>
      <x:c r="C1109" s="16" t="str">
        <x:v>NY</x:v>
      </x:c>
      <x:c r="D1109" s="16" t="str">
        <x:v>Private nonprofit</x:v>
      </x:c>
      <x:c r="E1109" s="34" t="n">
        <x:v>152</x:v>
      </x:c>
      <x:c r="F1109" s="21"/>
      <x:c r="G1109" s="16" t="str">
        <x:v>Regional</x:v>
      </x:c>
      <x:c r="H1109" s="36" t="n">
        <x:f>IF(G1109="National",Assumptions!$B$11,IF(G1109="Statewide",Assumptions!$B$12,Assumptions!$B$13))</x:f>
        <x:v>0.85</x:v>
      </x:c>
      <x:c r="I1109" s="21" t="n">
        <x:v>-0.08678079290324192</x:v>
      </x:c>
      <x:c r="J1109" s="21" t="n">
        <x:v>-0.14585233360743566</x:v>
      </x:c>
      <x:c r="K1109" s="21" t="n">
        <x:v>-0.24979193142458445</x:v>
      </x:c>
      <x:c r="L1109" s="36" t="n">
        <x:f>IF(Assumptions!$B$4=2030,I1109,IF(Assumptions!$B$4=2035,J1109,K1109))</x:f>
        <x:v>-0.14585233360743566</x:v>
      </x:c>
      <x:c r="M1109" s="36" t="n">
        <x:f>Assumptions!$B$19</x:f>
        <x:v>-0.04739891965741583</x:v>
      </x:c>
      <x:c r="N1109" s="52" t="n">
        <x:f>H1109*L1109+(1-H1109)*M1109+O1109</x:f>
        <x:v>-0.13108432151493268</x:v>
      </x:c>
      <x:c r="O1109" s="36" t="n">
        <x:f>Assumptions!$B$10</x:f>
        <x:v>0</x:v>
      </x:c>
      <x:c r="P1109" s="54" t="n">
        <x:f>E1109*(1+N1109)</x:f>
        <x:v>132.07518312973025</x:v>
      </x:c>
      <x:c r="Q1109" s="54" t="n">
        <x:f>P1109-E1109</x:f>
        <x:v>-19.92481687026975</x:v>
      </x:c>
      <x:c r="R1109" s="16" t="str">
        <x:v>No</x:v>
      </x:c>
      <x:c r="S1109" s="56"/>
      <x:c r="T1109" s="56"/>
      <x:c r="U1109" s="40" t="n">
        <x:f>E1109*Assumptions!$B$8</x:f>
        <x:v>129.2</x:v>
      </x:c>
      <x:c r="V1109" s="40" t="n">
        <x:f>P1109*Assumptions!$B$8</x:f>
        <x:v>112.26390566027071</x:v>
      </x:c>
      <x:c r="W1109" s="54" t="n">
        <x:f>V1109-U1109</x:f>
        <x:v>-16.93609433972928</x:v>
      </x:c>
      <x:c r="X1109" s="58" t="str">
        <x:f>IF(R1109="No","",W1109*S1109)</x:f>
      </x:c>
      <x:c r="Y1109" s="58" t="str">
        <x:f>IF(R1109="No","",W1109*T1109*Assumptions!$B$9)</x:f>
      </x:c>
      <x:c r="Z1109" s="58" t="str">
        <x:f>IF(R1109="No","",X1109-Y1109)</x:f>
      </x:c>
      <x:c r="AA1109" s="58" t="str">
        <x:f>IF(R1109="No","",MAX(0,-Z1109))</x:f>
      </x:c>
      <x:c r="AB1109" s="52" t="str">
        <x:f>IF(OR(R1109="No",U1109*S1109=0),"",AA1109/(U1109*S1109))</x:f>
      </x:c>
      <x:c r="AC1109" s="54" t="str">
        <x:f>IF(OR(R1109="No",S1109-T1109*Assumptions!$B$9&lt;=0),"",AA1109/(Assumptions!$B$8*(S1109-T1109*Assumptions!$B$9)))</x:f>
      </x:c>
      <x:c r="AD1109" s="52" t="str">
        <x:f>IF(OR(R1109="No",U1109*S1109=0),"",AA1109/(U1109*S1109))</x:f>
      </x:c>
      <x:c r="AE1109" s="50" t="str">
        <x:f>IF(R1109="No","No finance data",IF(AB1109&gt;=10%,"Severe",IF(AB1109&gt;=5%,"High",IF(AB1109&gt;=2%,"Moderate","Low"))))</x:f>
        <x:v>No finance data</x:v>
      </x:c>
      <x:c r="AF1109" s="60"/>
      <x:c r="AG1109" s="60"/>
      <x:c r="AH1109" s="44" t="str">
        <x:v>Undergraduate tuition-contribution proxy only; not an audited total institutional budget.</x:v>
      </x:c>
    </x:row>
    <x:row r="1110">
      <x:c r="A1110" s="16" t="n">
        <x:v>192165</x:v>
      </x:c>
      <x:c r="B1110" s="16" t="str">
        <x:v>Kehilath Yakov Rabbinical Seminary</x:v>
      </x:c>
      <x:c r="C1110" s="16" t="str">
        <x:v>NY</x:v>
      </x:c>
      <x:c r="D1110" s="16" t="str">
        <x:v>Private nonprofit</x:v>
      </x:c>
      <x:c r="E1110" s="34" t="n">
        <x:v>147</x:v>
      </x:c>
      <x:c r="F1110" s="21"/>
      <x:c r="G1110" s="16" t="str">
        <x:v>Regional</x:v>
      </x:c>
      <x:c r="H1110" s="36" t="n">
        <x:f>IF(G1110="National",Assumptions!$B$11,IF(G1110="Statewide",Assumptions!$B$12,Assumptions!$B$13))</x:f>
        <x:v>0.85</x:v>
      </x:c>
      <x:c r="I1110" s="21" t="n">
        <x:v>-0.08678079290324192</x:v>
      </x:c>
      <x:c r="J1110" s="21" t="n">
        <x:v>-0.14585233360743566</x:v>
      </x:c>
      <x:c r="K1110" s="21" t="n">
        <x:v>-0.24979193142458445</x:v>
      </x:c>
      <x:c r="L1110" s="36" t="n">
        <x:f>IF(Assumptions!$B$4=2030,I1110,IF(Assumptions!$B$4=2035,J1110,K1110))</x:f>
        <x:v>-0.14585233360743566</x:v>
      </x:c>
      <x:c r="M1110" s="36" t="n">
        <x:f>Assumptions!$B$19</x:f>
        <x:v>-0.04739891965741583</x:v>
      </x:c>
      <x:c r="N1110" s="52" t="n">
        <x:f>H1110*L1110+(1-H1110)*M1110+O1110</x:f>
        <x:v>-0.13108432151493268</x:v>
      </x:c>
      <x:c r="O1110" s="36" t="n">
        <x:f>Assumptions!$B$10</x:f>
        <x:v>0</x:v>
      </x:c>
      <x:c r="P1110" s="54" t="n">
        <x:f>E1110*(1+N1110)</x:f>
        <x:v>127.7306047373049</x:v>
      </x:c>
      <x:c r="Q1110" s="54" t="n">
        <x:f>P1110-E1110</x:f>
        <x:v>-19.2693952626951</x:v>
      </x:c>
      <x:c r="R1110" s="16" t="str">
        <x:v>No</x:v>
      </x:c>
      <x:c r="S1110" s="56"/>
      <x:c r="T1110" s="56"/>
      <x:c r="U1110" s="40" t="n">
        <x:f>E1110*Assumptions!$B$8</x:f>
        <x:v>124.95</x:v>
      </x:c>
      <x:c r="V1110" s="40" t="n">
        <x:f>P1110*Assumptions!$B$8</x:f>
        <x:v>108.57101402670916</x:v>
      </x:c>
      <x:c r="W1110" s="54" t="n">
        <x:f>V1110-U1110</x:f>
        <x:v>-16.37898597329084</x:v>
      </x:c>
      <x:c r="X1110" s="58" t="str">
        <x:f>IF(R1110="No","",W1110*S1110)</x:f>
      </x:c>
      <x:c r="Y1110" s="58" t="str">
        <x:f>IF(R1110="No","",W1110*T1110*Assumptions!$B$9)</x:f>
      </x:c>
      <x:c r="Z1110" s="58" t="str">
        <x:f>IF(R1110="No","",X1110-Y1110)</x:f>
      </x:c>
      <x:c r="AA1110" s="58" t="str">
        <x:f>IF(R1110="No","",MAX(0,-Z1110))</x:f>
      </x:c>
      <x:c r="AB1110" s="52" t="str">
        <x:f>IF(OR(R1110="No",U1110*S1110=0),"",AA1110/(U1110*S1110))</x:f>
      </x:c>
      <x:c r="AC1110" s="54" t="str">
        <x:f>IF(OR(R1110="No",S1110-T1110*Assumptions!$B$9&lt;=0),"",AA1110/(Assumptions!$B$8*(S1110-T1110*Assumptions!$B$9)))</x:f>
      </x:c>
      <x:c r="AD1110" s="52" t="str">
        <x:f>IF(OR(R1110="No",U1110*S1110=0),"",AA1110/(U1110*S1110))</x:f>
      </x:c>
      <x:c r="AE1110" s="50" t="str">
        <x:f>IF(R1110="No","No finance data",IF(AB1110&gt;=10%,"Severe",IF(AB1110&gt;=5%,"High",IF(AB1110&gt;=2%,"Moderate","Low"))))</x:f>
        <x:v>No finance data</x:v>
      </x:c>
      <x:c r="AF1110" s="60"/>
      <x:c r="AG1110" s="60"/>
      <x:c r="AH1110" s="44" t="str">
        <x:v>Undergraduate tuition-contribution proxy only; not an audited total institutional budget.</x:v>
      </x:c>
    </x:row>
    <x:row r="1111">
      <x:c r="A1111" s="16" t="n">
        <x:v>192192</x:v>
      </x:c>
      <x:c r="B1111" s="16" t="str">
        <x:v>Keuka College</x:v>
      </x:c>
      <x:c r="C1111" s="16" t="str">
        <x:v>NY</x:v>
      </x:c>
      <x:c r="D1111" s="16" t="str">
        <x:v>Private nonprofit</x:v>
      </x:c>
      <x:c r="E1111" s="34" t="n">
        <x:v>1716</x:v>
      </x:c>
      <x:c r="F1111" s="21" t="n">
        <x:v>0.9364</x:v>
      </x:c>
      <x:c r="G1111" s="16" t="str">
        <x:v>Regional</x:v>
      </x:c>
      <x:c r="H1111" s="36" t="n">
        <x:f>IF(G1111="National",Assumptions!$B$11,IF(G1111="Statewide",Assumptions!$B$12,Assumptions!$B$13))</x:f>
        <x:v>0.85</x:v>
      </x:c>
      <x:c r="I1111" s="21" t="n">
        <x:v>-0.08678079290324192</x:v>
      </x:c>
      <x:c r="J1111" s="21" t="n">
        <x:v>-0.14585233360743566</x:v>
      </x:c>
      <x:c r="K1111" s="21" t="n">
        <x:v>-0.24979193142458445</x:v>
      </x:c>
      <x:c r="L1111" s="36" t="n">
        <x:f>IF(Assumptions!$B$4=2030,I1111,IF(Assumptions!$B$4=2035,J1111,K1111))</x:f>
        <x:v>-0.14585233360743566</x:v>
      </x:c>
      <x:c r="M1111" s="36" t="n">
        <x:f>Assumptions!$B$19</x:f>
        <x:v>-0.04739891965741583</x:v>
      </x:c>
      <x:c r="N1111" s="52" t="n">
        <x:f>H1111*L1111+(1-H1111)*M1111+O1111</x:f>
        <x:v>-0.13108432151493268</x:v>
      </x:c>
      <x:c r="O1111" s="36" t="n">
        <x:f>Assumptions!$B$10</x:f>
        <x:v>0</x:v>
      </x:c>
      <x:c r="P1111" s="54" t="n">
        <x:f>E1111*(1+N1111)</x:f>
        <x:v>1491.0593042803755</x:v>
      </x:c>
      <x:c r="Q1111" s="54" t="n">
        <x:f>P1111-E1111</x:f>
        <x:v>-224.9406957196245</x:v>
      </x:c>
      <x:c r="R1111" s="16" t="str">
        <x:v>Yes</x:v>
      </x:c>
      <x:c r="S1111" s="56" t="n">
        <x:v>15201</x:v>
      </x:c>
      <x:c r="T1111" s="56" t="n">
        <x:v>6977</x:v>
      </x:c>
      <x:c r="U1111" s="40" t="n">
        <x:f>E1111*Assumptions!$B$8</x:f>
        <x:v>1458.6</x:v>
      </x:c>
      <x:c r="V1111" s="40" t="n">
        <x:f>P1111*Assumptions!$B$8</x:f>
        <x:v>1267.400408638319</x:v>
      </x:c>
      <x:c r="W1111" s="54" t="n">
        <x:f>V1111-U1111</x:f>
        <x:v>-191.19959136168086</x:v>
      </x:c>
      <x:c r="X1111" s="58" t="n">
        <x:f>IF(R1111="No","",W1111*S1111)</x:f>
        <x:v>-2906424.9882889106</x:v>
      </x:c>
      <x:c r="Y1111" s="58" t="n">
        <x:f>IF(R1111="No","",W1111*T1111*Assumptions!$B$9)</x:f>
        <x:v>-400199.86467913416</x:v>
      </x:c>
      <x:c r="Z1111" s="58" t="n">
        <x:f>IF(R1111="No","",X1111-Y1111)</x:f>
        <x:v>-2506225.1236097766</x:v>
      </x:c>
      <x:c r="AA1111" s="58" t="n">
        <x:f>IF(R1111="No","",MAX(0,-Z1111))</x:f>
        <x:v>2506225.1236097766</x:v>
      </x:c>
      <x:c r="AB1111" s="52" t="n">
        <x:f>IF(OR(R1111="No",U1111*S1111=0),"",AA1111/(U1111*S1111))</x:f>
        <x:v>0.11303468048059909</x:v>
      </x:c>
      <x:c r="AC1111" s="54" t="n">
        <x:f>IF(OR(R1111="No",S1111-T1111*Assumptions!$B$9&lt;=0),"",AA1111/(Assumptions!$B$8*(S1111-T1111*Assumptions!$B$9)))</x:f>
        <x:v>224.94069571962456</x:v>
      </x:c>
      <x:c r="AD1111" s="52" t="n">
        <x:f>IF(OR(R1111="No",U1111*S1111=0),"",AA1111/(U1111*S1111))</x:f>
        <x:v>0.11303468048059909</x:v>
      </x:c>
      <x:c r="AE1111" s="50" t="str">
        <x:f>IF(R1111="No","No finance data",IF(AB1111&gt;=10%,"Severe",IF(AB1111&gt;=5%,"High",IF(AB1111&gt;=2%,"Moderate","Low"))))</x:f>
        <x:v>Severe</x:v>
      </x:c>
      <x:c r="AF1111" s="60" t="n">
        <x:v>42.615253</x:v>
      </x:c>
      <x:c r="AG1111" s="60" t="n">
        <x:v>-77.090562</x:v>
      </x:c>
      <x:c r="AH1111" s="44" t="str">
        <x:v>Undergraduate tuition-contribution proxy only; not an audited total institutional budget.</x:v>
      </x:c>
    </x:row>
    <x:row r="1112">
      <x:c r="A1112" s="16" t="n">
        <x:v>192563</x:v>
      </x:c>
      <x:c r="B1112" s="16" t="str">
        <x:v>LIU Brentwood</x:v>
      </x:c>
      <x:c r="C1112" s="16" t="str">
        <x:v>NY</x:v>
      </x:c>
      <x:c r="D1112" s="16" t="str">
        <x:v>Private nonprofit</x:v>
      </x:c>
      <x:c r="E1112" s="34" t="n">
        <x:v>10</x:v>
      </x:c>
      <x:c r="F1112" s="21"/>
      <x:c r="G1112" s="16" t="str">
        <x:v>Regional</x:v>
      </x:c>
      <x:c r="H1112" s="36" t="n">
        <x:f>IF(G1112="National",Assumptions!$B$11,IF(G1112="Statewide",Assumptions!$B$12,Assumptions!$B$13))</x:f>
        <x:v>0.85</x:v>
      </x:c>
      <x:c r="I1112" s="21" t="n">
        <x:v>-0.08678079290324192</x:v>
      </x:c>
      <x:c r="J1112" s="21" t="n">
        <x:v>-0.14585233360743566</x:v>
      </x:c>
      <x:c r="K1112" s="21" t="n">
        <x:v>-0.24979193142458445</x:v>
      </x:c>
      <x:c r="L1112" s="36" t="n">
        <x:f>IF(Assumptions!$B$4=2030,I1112,IF(Assumptions!$B$4=2035,J1112,K1112))</x:f>
        <x:v>-0.14585233360743566</x:v>
      </x:c>
      <x:c r="M1112" s="36" t="n">
        <x:f>Assumptions!$B$19</x:f>
        <x:v>-0.04739891965741583</x:v>
      </x:c>
      <x:c r="N1112" s="52" t="n">
        <x:f>H1112*L1112+(1-H1112)*M1112+O1112</x:f>
        <x:v>-0.13108432151493268</x:v>
      </x:c>
      <x:c r="O1112" s="36" t="n">
        <x:f>Assumptions!$B$10</x:f>
        <x:v>0</x:v>
      </x:c>
      <x:c r="P1112" s="54" t="n">
        <x:f>E1112*(1+N1112)</x:f>
        <x:v>8.689156784850674</x:v>
      </x:c>
      <x:c r="Q1112" s="54" t="n">
        <x:f>P1112-E1112</x:f>
        <x:v>-1.3108432151493261</x:v>
      </x:c>
      <x:c r="R1112" s="16" t="str">
        <x:v>No</x:v>
      </x:c>
      <x:c r="S1112" s="56"/>
      <x:c r="T1112" s="56"/>
      <x:c r="U1112" s="40" t="n">
        <x:f>E1112*Assumptions!$B$8</x:f>
        <x:v>8.5</x:v>
      </x:c>
      <x:c r="V1112" s="40" t="n">
        <x:f>P1112*Assumptions!$B$8</x:f>
        <x:v>7.385783267123073</x:v>
      </x:c>
      <x:c r="W1112" s="54" t="n">
        <x:f>V1112-U1112</x:f>
        <x:v>-1.114216732876927</x:v>
      </x:c>
      <x:c r="X1112" s="58" t="str">
        <x:f>IF(R1112="No","",W1112*S1112)</x:f>
      </x:c>
      <x:c r="Y1112" s="58" t="str">
        <x:f>IF(R1112="No","",W1112*T1112*Assumptions!$B$9)</x:f>
      </x:c>
      <x:c r="Z1112" s="58" t="str">
        <x:f>IF(R1112="No","",X1112-Y1112)</x:f>
      </x:c>
      <x:c r="AA1112" s="58" t="str">
        <x:f>IF(R1112="No","",MAX(0,-Z1112))</x:f>
      </x:c>
      <x:c r="AB1112" s="52" t="str">
        <x:f>IF(OR(R1112="No",U1112*S1112=0),"",AA1112/(U1112*S1112))</x:f>
      </x:c>
      <x:c r="AC1112" s="54" t="str">
        <x:f>IF(OR(R1112="No",S1112-T1112*Assumptions!$B$9&lt;=0),"",AA1112/(Assumptions!$B$8*(S1112-T1112*Assumptions!$B$9)))</x:f>
      </x:c>
      <x:c r="AD1112" s="52" t="str">
        <x:f>IF(OR(R1112="No",U1112*S1112=0),"",AA1112/(U1112*S1112))</x:f>
      </x:c>
      <x:c r="AE1112" s="50" t="str">
        <x:f>IF(R1112="No","No finance data",IF(AB1112&gt;=10%,"Severe",IF(AB1112&gt;=5%,"High",IF(AB1112&gt;=2%,"Moderate","Low"))))</x:f>
        <x:v>No finance data</x:v>
      </x:c>
      <x:c r="AF1112" s="60"/>
      <x:c r="AG1112" s="60"/>
      <x:c r="AH1112" s="44" t="str">
        <x:v>Undergraduate tuition-contribution proxy only; not an audited total institutional budget.</x:v>
      </x:c>
    </x:row>
    <x:row r="1113">
      <x:c r="A1113" s="16" t="n">
        <x:v>192439</x:v>
      </x:c>
      <x:c r="B1113" s="16" t="str">
        <x:v>LIU Brooklyn</x:v>
      </x:c>
      <x:c r="C1113" s="16" t="str">
        <x:v>NY</x:v>
      </x:c>
      <x:c r="D1113" s="16" t="str">
        <x:v>Private nonprofit</x:v>
      </x:c>
      <x:c r="E1113" s="34" t="n">
        <x:v>4568</x:v>
      </x:c>
      <x:c r="F1113" s="21"/>
      <x:c r="G1113" s="16" t="str">
        <x:v>Regional</x:v>
      </x:c>
      <x:c r="H1113" s="36" t="n">
        <x:f>IF(G1113="National",Assumptions!$B$11,IF(G1113="Statewide",Assumptions!$B$12,Assumptions!$B$13))</x:f>
        <x:v>0.85</x:v>
      </x:c>
      <x:c r="I1113" s="21" t="n">
        <x:v>-0.08678079290324192</x:v>
      </x:c>
      <x:c r="J1113" s="21" t="n">
        <x:v>-0.14585233360743566</x:v>
      </x:c>
      <x:c r="K1113" s="21" t="n">
        <x:v>-0.24979193142458445</x:v>
      </x:c>
      <x:c r="L1113" s="36" t="n">
        <x:f>IF(Assumptions!$B$4=2030,I1113,IF(Assumptions!$B$4=2035,J1113,K1113))</x:f>
        <x:v>-0.14585233360743566</x:v>
      </x:c>
      <x:c r="M1113" s="36" t="n">
        <x:f>Assumptions!$B$19</x:f>
        <x:v>-0.04739891965741583</x:v>
      </x:c>
      <x:c r="N1113" s="52" t="n">
        <x:f>H1113*L1113+(1-H1113)*M1113+O1113</x:f>
        <x:v>-0.13108432151493268</x:v>
      </x:c>
      <x:c r="O1113" s="36" t="n">
        <x:f>Assumptions!$B$10</x:f>
        <x:v>0</x:v>
      </x:c>
      <x:c r="P1113" s="54" t="n">
        <x:f>E1113*(1+N1113)</x:f>
        <x:v>3969.2068193197874</x:v>
      </x:c>
      <x:c r="Q1113" s="54" t="n">
        <x:f>P1113-E1113</x:f>
        <x:v>-598.7931806802126</x:v>
      </x:c>
      <x:c r="R1113" s="16" t="str">
        <x:v>No</x:v>
      </x:c>
      <x:c r="S1113" s="56"/>
      <x:c r="T1113" s="56"/>
      <x:c r="U1113" s="40" t="n">
        <x:f>E1113*Assumptions!$B$8</x:f>
        <x:v>3882.7999999999997</x:v>
      </x:c>
      <x:c r="V1113" s="40" t="n">
        <x:f>P1113*Assumptions!$B$8</x:f>
        <x:v>3373.825796421819</x:v>
      </x:c>
      <x:c r="W1113" s="54" t="n">
        <x:f>V1113-U1113</x:f>
        <x:v>-508.97420357818055</x:v>
      </x:c>
      <x:c r="X1113" s="58" t="str">
        <x:f>IF(R1113="No","",W1113*S1113)</x:f>
      </x:c>
      <x:c r="Y1113" s="58" t="str">
        <x:f>IF(R1113="No","",W1113*T1113*Assumptions!$B$9)</x:f>
      </x:c>
      <x:c r="Z1113" s="58" t="str">
        <x:f>IF(R1113="No","",X1113-Y1113)</x:f>
      </x:c>
      <x:c r="AA1113" s="58" t="str">
        <x:f>IF(R1113="No","",MAX(0,-Z1113))</x:f>
      </x:c>
      <x:c r="AB1113" s="52" t="str">
        <x:f>IF(OR(R1113="No",U1113*S1113=0),"",AA1113/(U1113*S1113))</x:f>
      </x:c>
      <x:c r="AC1113" s="54" t="str">
        <x:f>IF(OR(R1113="No",S1113-T1113*Assumptions!$B$9&lt;=0),"",AA1113/(Assumptions!$B$8*(S1113-T1113*Assumptions!$B$9)))</x:f>
      </x:c>
      <x:c r="AD1113" s="52" t="str">
        <x:f>IF(OR(R1113="No",U1113*S1113=0),"",AA1113/(U1113*S1113))</x:f>
      </x:c>
      <x:c r="AE1113" s="50" t="str">
        <x:f>IF(R1113="No","No finance data",IF(AB1113&gt;=10%,"Severe",IF(AB1113&gt;=5%,"High",IF(AB1113&gt;=2%,"Moderate","Low"))))</x:f>
        <x:v>No finance data</x:v>
      </x:c>
      <x:c r="AF1113" s="60"/>
      <x:c r="AG1113" s="60"/>
      <x:c r="AH1113" s="44" t="str">
        <x:v>Undergraduate tuition-contribution proxy only; not an audited total institutional budget.</x:v>
      </x:c>
    </x:row>
    <x:row r="1114">
      <x:c r="A1114" s="16" t="n">
        <x:v>192448</x:v>
      </x:c>
      <x:c r="B1114" s="16" t="str">
        <x:v>LIU Post</x:v>
      </x:c>
      <x:c r="C1114" s="16" t="str">
        <x:v>NY</x:v>
      </x:c>
      <x:c r="D1114" s="16" t="str">
        <x:v>Private nonprofit</x:v>
      </x:c>
      <x:c r="E1114" s="34" t="n">
        <x:v>3443</x:v>
      </x:c>
      <x:c r="F1114" s="21" t="n">
        <x:v>0.9332</x:v>
      </x:c>
      <x:c r="G1114" s="16" t="str">
        <x:v>Regional</x:v>
      </x:c>
      <x:c r="H1114" s="36" t="n">
        <x:f>IF(G1114="National",Assumptions!$B$11,IF(G1114="Statewide",Assumptions!$B$12,Assumptions!$B$13))</x:f>
        <x:v>0.85</x:v>
      </x:c>
      <x:c r="I1114" s="21" t="n">
        <x:v>-0.08678079290324192</x:v>
      </x:c>
      <x:c r="J1114" s="21" t="n">
        <x:v>-0.14585233360743566</x:v>
      </x:c>
      <x:c r="K1114" s="21" t="n">
        <x:v>-0.24979193142458445</x:v>
      </x:c>
      <x:c r="L1114" s="36" t="n">
        <x:f>IF(Assumptions!$B$4=2030,I1114,IF(Assumptions!$B$4=2035,J1114,K1114))</x:f>
        <x:v>-0.14585233360743566</x:v>
      </x:c>
      <x:c r="M1114" s="36" t="n">
        <x:f>Assumptions!$B$19</x:f>
        <x:v>-0.04739891965741583</x:v>
      </x:c>
      <x:c r="N1114" s="52" t="n">
        <x:f>H1114*L1114+(1-H1114)*M1114+O1114</x:f>
        <x:v>-0.13108432151493268</x:v>
      </x:c>
      <x:c r="O1114" s="36" t="n">
        <x:f>Assumptions!$B$10</x:f>
        <x:v>0</x:v>
      </x:c>
      <x:c r="P1114" s="54" t="n">
        <x:f>E1114*(1+N1114)</x:f>
        <x:v>2991.676681024087</x:v>
      </x:c>
      <x:c r="Q1114" s="54" t="n">
        <x:f>P1114-E1114</x:f>
        <x:v>-451.323318975913</x:v>
      </x:c>
      <x:c r="R1114" s="16" t="str">
        <x:v>Yes</x:v>
      </x:c>
      <x:c r="S1114" s="56" t="n">
        <x:v>24988</x:v>
      </x:c>
      <x:c r="T1114" s="56" t="n">
        <x:v>12541</x:v>
      </x:c>
      <x:c r="U1114" s="40" t="n">
        <x:f>E1114*Assumptions!$B$8</x:f>
        <x:v>2926.5499999999997</x:v>
      </x:c>
      <x:c r="V1114" s="40" t="n">
        <x:f>P1114*Assumptions!$B$8</x:f>
        <x:v>2542.9251788704737</x:v>
      </x:c>
      <x:c r="W1114" s="54" t="n">
        <x:f>V1114-U1114</x:f>
        <x:v>-383.624821129526</x:v>
      </x:c>
      <x:c r="X1114" s="58" t="n">
        <x:f>IF(R1114="No","",W1114*S1114)</x:f>
        <x:v>-9586017.030384596</x:v>
      </x:c>
      <x:c r="Y1114" s="58" t="n">
        <x:f>IF(R1114="No","",W1114*T1114*Assumptions!$B$9)</x:f>
        <x:v>-1443311.6645356158</x:v>
      </x:c>
      <x:c r="Z1114" s="58" t="n">
        <x:f>IF(R1114="No","",X1114-Y1114)</x:f>
        <x:v>-8142705.365848981</x:v>
      </x:c>
      <x:c r="AA1114" s="58" t="n">
        <x:f>IF(R1114="No","",MAX(0,-Z1114))</x:f>
        <x:v>8142705.365848981</x:v>
      </x:c>
      <x:c r="AB1114" s="52" t="n">
        <x:f>IF(OR(R1114="No",U1114*S1114=0),"",AA1114/(U1114*S1114))</x:f>
        <x:v>0.11134770622616878</x:v>
      </x:c>
      <x:c r="AC1114" s="54" t="n">
        <x:f>IF(OR(R1114="No",S1114-T1114*Assumptions!$B$9&lt;=0),"",AA1114/(Assumptions!$B$8*(S1114-T1114*Assumptions!$B$9)))</x:f>
        <x:v>451.32331897591297</x:v>
      </x:c>
      <x:c r="AD1114" s="52" t="n">
        <x:f>IF(OR(R1114="No",U1114*S1114=0),"",AA1114/(U1114*S1114))</x:f>
        <x:v>0.11134770622616878</x:v>
      </x:c>
      <x:c r="AE1114" s="50" t="str">
        <x:f>IF(R1114="No","No finance data",IF(AB1114&gt;=10%,"Severe",IF(AB1114&gt;=5%,"High",IF(AB1114&gt;=2%,"Moderate","Low"))))</x:f>
        <x:v>Severe</x:v>
      </x:c>
      <x:c r="AF1114" s="60" t="n">
        <x:v>40.820714</x:v>
      </x:c>
      <x:c r="AG1114" s="60" t="n">
        <x:v>-73.593678</x:v>
      </x:c>
      <x:c r="AH1114" s="44" t="str">
        <x:v>Undergraduate tuition-contribution proxy only; not an audited total institutional budget.</x:v>
      </x:c>
    </x:row>
    <x:row r="1115">
      <x:c r="A1115" s="16" t="n">
        <x:v>450766</x:v>
      </x:c>
      <x:c r="B1115" s="16" t="str">
        <x:v>LIU Riverhead</x:v>
      </x:c>
      <x:c r="C1115" s="16" t="str">
        <x:v>NY</x:v>
      </x:c>
      <x:c r="D1115" s="16" t="str">
        <x:v>Private nonprofit</x:v>
      </x:c>
      <x:c r="E1115" s="34" t="n">
        <x:v>39</x:v>
      </x:c>
      <x:c r="F1115" s="21"/>
      <x:c r="G1115" s="16" t="str">
        <x:v>Regional</x:v>
      </x:c>
      <x:c r="H1115" s="36" t="n">
        <x:f>IF(G1115="National",Assumptions!$B$11,IF(G1115="Statewide",Assumptions!$B$12,Assumptions!$B$13))</x:f>
        <x:v>0.85</x:v>
      </x:c>
      <x:c r="I1115" s="21" t="n">
        <x:v>-0.08678079290324192</x:v>
      </x:c>
      <x:c r="J1115" s="21" t="n">
        <x:v>-0.14585233360743566</x:v>
      </x:c>
      <x:c r="K1115" s="21" t="n">
        <x:v>-0.24979193142458445</x:v>
      </x:c>
      <x:c r="L1115" s="36" t="n">
        <x:f>IF(Assumptions!$B$4=2030,I1115,IF(Assumptions!$B$4=2035,J1115,K1115))</x:f>
        <x:v>-0.14585233360743566</x:v>
      </x:c>
      <x:c r="M1115" s="36" t="n">
        <x:f>Assumptions!$B$19</x:f>
        <x:v>-0.04739891965741583</x:v>
      </x:c>
      <x:c r="N1115" s="52" t="n">
        <x:f>H1115*L1115+(1-H1115)*M1115+O1115</x:f>
        <x:v>-0.13108432151493268</x:v>
      </x:c>
      <x:c r="O1115" s="36" t="n">
        <x:f>Assumptions!$B$10</x:f>
        <x:v>0</x:v>
      </x:c>
      <x:c r="P1115" s="54" t="n">
        <x:f>E1115*(1+N1115)</x:f>
        <x:v>33.88771146091763</x:v>
      </x:c>
      <x:c r="Q1115" s="54" t="n">
        <x:f>P1115-E1115</x:f>
        <x:v>-5.112288539082371</x:v>
      </x:c>
      <x:c r="R1115" s="16" t="str">
        <x:v>No</x:v>
      </x:c>
      <x:c r="S1115" s="56"/>
      <x:c r="T1115" s="56"/>
      <x:c r="U1115" s="40" t="n">
        <x:f>E1115*Assumptions!$B$8</x:f>
        <x:v>33.15</x:v>
      </x:c>
      <x:c r="V1115" s="40" t="n">
        <x:f>P1115*Assumptions!$B$8</x:f>
        <x:v>28.804554741779985</x:v>
      </x:c>
      <x:c r="W1115" s="54" t="n">
        <x:f>V1115-U1115</x:f>
        <x:v>-4.345445258220014</x:v>
      </x:c>
      <x:c r="X1115" s="58" t="str">
        <x:f>IF(R1115="No","",W1115*S1115)</x:f>
      </x:c>
      <x:c r="Y1115" s="58" t="str">
        <x:f>IF(R1115="No","",W1115*T1115*Assumptions!$B$9)</x:f>
      </x:c>
      <x:c r="Z1115" s="58" t="str">
        <x:f>IF(R1115="No","",X1115-Y1115)</x:f>
      </x:c>
      <x:c r="AA1115" s="58" t="str">
        <x:f>IF(R1115="No","",MAX(0,-Z1115))</x:f>
      </x:c>
      <x:c r="AB1115" s="52" t="str">
        <x:f>IF(OR(R1115="No",U1115*S1115=0),"",AA1115/(U1115*S1115))</x:f>
      </x:c>
      <x:c r="AC1115" s="54" t="str">
        <x:f>IF(OR(R1115="No",S1115-T1115*Assumptions!$B$9&lt;=0),"",AA1115/(Assumptions!$B$8*(S1115-T1115*Assumptions!$B$9)))</x:f>
      </x:c>
      <x:c r="AD1115" s="52" t="str">
        <x:f>IF(OR(R1115="No",U1115*S1115=0),"",AA1115/(U1115*S1115))</x:f>
      </x:c>
      <x:c r="AE1115" s="50" t="str">
        <x:f>IF(R1115="No","No finance data",IF(AB1115&gt;=10%,"Severe",IF(AB1115&gt;=5%,"High",IF(AB1115&gt;=2%,"Moderate","Low"))))</x:f>
        <x:v>No finance data</x:v>
      </x:c>
      <x:c r="AF1115" s="60"/>
      <x:c r="AG1115" s="60"/>
      <x:c r="AH1115" s="44" t="str">
        <x:v>Undergraduate tuition-contribution proxy only; not an audited total institutional budget.</x:v>
      </x:c>
    </x:row>
    <x:row r="1116">
      <x:c r="A1116" s="16" t="n">
        <x:v>192323</x:v>
      </x:c>
      <x:c r="B1116" s="16" t="str">
        <x:v>Le Moyne College</x:v>
      </x:c>
      <x:c r="C1116" s="16" t="str">
        <x:v>NY</x:v>
      </x:c>
      <x:c r="D1116" s="16" t="str">
        <x:v>Private nonprofit</x:v>
      </x:c>
      <x:c r="E1116" s="34" t="n">
        <x:v>2769</x:v>
      </x:c>
      <x:c r="F1116" s="21" t="n">
        <x:v>0.734</x:v>
      </x:c>
      <x:c r="G1116" s="16" t="str">
        <x:v>Regional</x:v>
      </x:c>
      <x:c r="H1116" s="36" t="n">
        <x:f>IF(G1116="National",Assumptions!$B$11,IF(G1116="Statewide",Assumptions!$B$12,Assumptions!$B$13))</x:f>
        <x:v>0.85</x:v>
      </x:c>
      <x:c r="I1116" s="21" t="n">
        <x:v>-0.08678079290324192</x:v>
      </x:c>
      <x:c r="J1116" s="21" t="n">
        <x:v>-0.14585233360743566</x:v>
      </x:c>
      <x:c r="K1116" s="21" t="n">
        <x:v>-0.24979193142458445</x:v>
      </x:c>
      <x:c r="L1116" s="36" t="n">
        <x:f>IF(Assumptions!$B$4=2030,I1116,IF(Assumptions!$B$4=2035,J1116,K1116))</x:f>
        <x:v>-0.14585233360743566</x:v>
      </x:c>
      <x:c r="M1116" s="36" t="n">
        <x:f>Assumptions!$B$19</x:f>
        <x:v>-0.04739891965741583</x:v>
      </x:c>
      <x:c r="N1116" s="52" t="n">
        <x:f>H1116*L1116+(1-H1116)*M1116+O1116</x:f>
        <x:v>-0.13108432151493268</x:v>
      </x:c>
      <x:c r="O1116" s="36" t="n">
        <x:f>Assumptions!$B$10</x:f>
        <x:v>0</x:v>
      </x:c>
      <x:c r="P1116" s="54" t="n">
        <x:f>E1116*(1+N1116)</x:f>
        <x:v>2406.0275137251515</x:v>
      </x:c>
      <x:c r="Q1116" s="54" t="n">
        <x:f>P1116-E1116</x:f>
        <x:v>-362.9724862748485</x:v>
      </x:c>
      <x:c r="R1116" s="16" t="str">
        <x:v>Yes</x:v>
      </x:c>
      <x:c r="S1116" s="56" t="n">
        <x:v>15686</x:v>
      </x:c>
      <x:c r="T1116" s="56" t="n">
        <x:v>10306</x:v>
      </x:c>
      <x:c r="U1116" s="40" t="n">
        <x:f>E1116*Assumptions!$B$8</x:f>
        <x:v>2353.65</x:v>
      </x:c>
      <x:c r="V1116" s="40" t="n">
        <x:f>P1116*Assumptions!$B$8</x:f>
        <x:v>2045.1233866663788</x:v>
      </x:c>
      <x:c r="W1116" s="54" t="n">
        <x:f>V1116-U1116</x:f>
        <x:v>-308.5266133336213</x:v>
      </x:c>
      <x:c r="X1116" s="58" t="n">
        <x:f>IF(R1116="No","",W1116*S1116)</x:f>
        <x:v>-4839548.456751184</x:v>
      </x:c>
      <x:c r="Y1116" s="58" t="n">
        <x:f>IF(R1116="No","",W1116*T1116*Assumptions!$B$9)</x:f>
        <x:v>-953902.5831048903</x:v>
      </x:c>
      <x:c r="Z1116" s="58" t="n">
        <x:f>IF(R1116="No","",X1116-Y1116)</x:f>
        <x:v>-3885645.8736462933</x:v>
      </x:c>
      <x:c r="AA1116" s="58" t="n">
        <x:f>IF(R1116="No","",MAX(0,-Z1116))</x:f>
        <x:v>3885645.8736462933</x:v>
      </x:c>
      <x:c r="AB1116" s="52" t="n">
        <x:f>IF(OR(R1116="No",U1116*S1116=0),"",AA1116/(U1116*S1116))</x:f>
        <x:v>0.10524685464894588</x:v>
      </x:c>
      <x:c r="AC1116" s="54" t="n">
        <x:f>IF(OR(R1116="No",S1116-T1116*Assumptions!$B$9&lt;=0),"",AA1116/(Assumptions!$B$8*(S1116-T1116*Assumptions!$B$9)))</x:f>
        <x:v>362.97248627484856</x:v>
      </x:c>
      <x:c r="AD1116" s="52" t="n">
        <x:f>IF(OR(R1116="No",U1116*S1116=0),"",AA1116/(U1116*S1116))</x:f>
        <x:v>0.10524685464894588</x:v>
      </x:c>
      <x:c r="AE1116" s="50" t="str">
        <x:f>IF(R1116="No","No finance data",IF(AB1116&gt;=10%,"Severe",IF(AB1116&gt;=5%,"High",IF(AB1116&gt;=2%,"Moderate","Low"))))</x:f>
        <x:v>Severe</x:v>
      </x:c>
      <x:c r="AF1116" s="60" t="n">
        <x:v>43.049192</x:v>
      </x:c>
      <x:c r="AG1116" s="60" t="n">
        <x:v>-76.090435</x:v>
      </x:c>
      <x:c r="AH1116" s="44" t="str">
        <x:v>Undergraduate tuition-contribution proxy only; not an audited total institutional budget.</x:v>
      </x:c>
    </x:row>
    <x:row r="1117">
      <x:c r="A1117" s="16" t="n">
        <x:v>192624</x:v>
      </x:c>
      <x:c r="B1117" s="16" t="str">
        <x:v>Machzikei Hadath Rabbinical College</x:v>
      </x:c>
      <x:c r="C1117" s="16" t="str">
        <x:v>NY</x:v>
      </x:c>
      <x:c r="D1117" s="16" t="str">
        <x:v>Private nonprofit</x:v>
      </x:c>
      <x:c r="E1117" s="34" t="n">
        <x:v>153</x:v>
      </x:c>
      <x:c r="F1117" s="21"/>
      <x:c r="G1117" s="16" t="str">
        <x:v>Regional</x:v>
      </x:c>
      <x:c r="H1117" s="36" t="n">
        <x:f>IF(G1117="National",Assumptions!$B$11,IF(G1117="Statewide",Assumptions!$B$12,Assumptions!$B$13))</x:f>
        <x:v>0.85</x:v>
      </x:c>
      <x:c r="I1117" s="21" t="n">
        <x:v>-0.08678079290324192</x:v>
      </x:c>
      <x:c r="J1117" s="21" t="n">
        <x:v>-0.14585233360743566</x:v>
      </x:c>
      <x:c r="K1117" s="21" t="n">
        <x:v>-0.24979193142458445</x:v>
      </x:c>
      <x:c r="L1117" s="36" t="n">
        <x:f>IF(Assumptions!$B$4=2030,I1117,IF(Assumptions!$B$4=2035,J1117,K1117))</x:f>
        <x:v>-0.14585233360743566</x:v>
      </x:c>
      <x:c r="M1117" s="36" t="n">
        <x:f>Assumptions!$B$19</x:f>
        <x:v>-0.04739891965741583</x:v>
      </x:c>
      <x:c r="N1117" s="52" t="n">
        <x:f>H1117*L1117+(1-H1117)*M1117+O1117</x:f>
        <x:v>-0.13108432151493268</x:v>
      </x:c>
      <x:c r="O1117" s="36" t="n">
        <x:f>Assumptions!$B$10</x:f>
        <x:v>0</x:v>
      </x:c>
      <x:c r="P1117" s="54" t="n">
        <x:f>E1117*(1+N1117)</x:f>
        <x:v>132.9440988082153</x:v>
      </x:c>
      <x:c r="Q1117" s="54" t="n">
        <x:f>P1117-E1117</x:f>
        <x:v>-20.0559011917847</x:v>
      </x:c>
      <x:c r="R1117" s="16" t="str">
        <x:v>No</x:v>
      </x:c>
      <x:c r="S1117" s="56"/>
      <x:c r="T1117" s="56"/>
      <x:c r="U1117" s="40" t="n">
        <x:f>E1117*Assumptions!$B$8</x:f>
        <x:v>130.04999999999998</x:v>
      </x:c>
      <x:c r="V1117" s="40" t="n">
        <x:f>P1117*Assumptions!$B$8</x:f>
        <x:v>113.00248398698301</x:v>
      </x:c>
      <x:c r="W1117" s="54" t="n">
        <x:f>V1117-U1117</x:f>
        <x:v>-17.047516013016974</x:v>
      </x:c>
      <x:c r="X1117" s="58" t="str">
        <x:f>IF(R1117="No","",W1117*S1117)</x:f>
      </x:c>
      <x:c r="Y1117" s="58" t="str">
        <x:f>IF(R1117="No","",W1117*T1117*Assumptions!$B$9)</x:f>
      </x:c>
      <x:c r="Z1117" s="58" t="str">
        <x:f>IF(R1117="No","",X1117-Y1117)</x:f>
      </x:c>
      <x:c r="AA1117" s="58" t="str">
        <x:f>IF(R1117="No","",MAX(0,-Z1117))</x:f>
      </x:c>
      <x:c r="AB1117" s="52" t="str">
        <x:f>IF(OR(R1117="No",U1117*S1117=0),"",AA1117/(U1117*S1117))</x:f>
      </x:c>
      <x:c r="AC1117" s="54" t="str">
        <x:f>IF(OR(R1117="No",S1117-T1117*Assumptions!$B$9&lt;=0),"",AA1117/(Assumptions!$B$8*(S1117-T1117*Assumptions!$B$9)))</x:f>
      </x:c>
      <x:c r="AD1117" s="52" t="str">
        <x:f>IF(OR(R1117="No",U1117*S1117=0),"",AA1117/(U1117*S1117))</x:f>
      </x:c>
      <x:c r="AE1117" s="50" t="str">
        <x:f>IF(R1117="No","No finance data",IF(AB1117&gt;=10%,"Severe",IF(AB1117&gt;=5%,"High",IF(AB1117&gt;=2%,"Moderate","Low"))))</x:f>
        <x:v>No finance data</x:v>
      </x:c>
      <x:c r="AF1117" s="60"/>
      <x:c r="AG1117" s="60"/>
      <x:c r="AH1117" s="44" t="str">
        <x:v>Undergraduate tuition-contribution proxy only; not an audited total institutional budget.</x:v>
      </x:c>
    </x:row>
    <x:row r="1118">
      <x:c r="A1118" s="16" t="n">
        <x:v>192703</x:v>
      </x:c>
      <x:c r="B1118" s="16" t="str">
        <x:v>Manhattan College</x:v>
      </x:c>
      <x:c r="C1118" s="16" t="str">
        <x:v>NY</x:v>
      </x:c>
      <x:c r="D1118" s="16" t="str">
        <x:v>Private nonprofit</x:v>
      </x:c>
      <x:c r="E1118" s="34" t="n">
        <x:v>3576</x:v>
      </x:c>
      <x:c r="F1118" s="21" t="n">
        <x:v>0.7479</x:v>
      </x:c>
      <x:c r="G1118" s="16" t="str">
        <x:v>Regional</x:v>
      </x:c>
      <x:c r="H1118" s="36" t="n">
        <x:f>IF(G1118="National",Assumptions!$B$11,IF(G1118="Statewide",Assumptions!$B$12,Assumptions!$B$13))</x:f>
        <x:v>0.85</x:v>
      </x:c>
      <x:c r="I1118" s="21" t="n">
        <x:v>-0.08678079290324192</x:v>
      </x:c>
      <x:c r="J1118" s="21" t="n">
        <x:v>-0.14585233360743566</x:v>
      </x:c>
      <x:c r="K1118" s="21" t="n">
        <x:v>-0.24979193142458445</x:v>
      </x:c>
      <x:c r="L1118" s="36" t="n">
        <x:f>IF(Assumptions!$B$4=2030,I1118,IF(Assumptions!$B$4=2035,J1118,K1118))</x:f>
        <x:v>-0.14585233360743566</x:v>
      </x:c>
      <x:c r="M1118" s="36" t="n">
        <x:f>Assumptions!$B$19</x:f>
        <x:v>-0.04739891965741583</x:v>
      </x:c>
      <x:c r="N1118" s="52" t="n">
        <x:f>H1118*L1118+(1-H1118)*M1118+O1118</x:f>
        <x:v>-0.13108432151493268</x:v>
      </x:c>
      <x:c r="O1118" s="36" t="n">
        <x:f>Assumptions!$B$10</x:f>
        <x:v>0</x:v>
      </x:c>
      <x:c r="P1118" s="54" t="n">
        <x:f>E1118*(1+N1118)</x:f>
        <x:v>3107.242466262601</x:v>
      </x:c>
      <x:c r="Q1118" s="54" t="n">
        <x:f>P1118-E1118</x:f>
        <x:v>-468.75753373739917</x:v>
      </x:c>
      <x:c r="R1118" s="16" t="str">
        <x:v>Yes</x:v>
      </x:c>
      <x:c r="S1118" s="56" t="n">
        <x:v>22548</x:v>
      </x:c>
      <x:c r="T1118" s="56" t="n">
        <x:v>13777</x:v>
      </x:c>
      <x:c r="U1118" s="40" t="n">
        <x:f>E1118*Assumptions!$B$8</x:f>
        <x:v>3039.6</x:v>
      </x:c>
      <x:c r="V1118" s="40" t="n">
        <x:f>P1118*Assumptions!$B$8</x:f>
        <x:v>2641.1560963232105</x:v>
      </x:c>
      <x:c r="W1118" s="54" t="n">
        <x:f>V1118-U1118</x:f>
        <x:v>-398.44390367678943</x:v>
      </x:c>
      <x:c r="X1118" s="58" t="n">
        <x:f>IF(R1118="No","",W1118*S1118)</x:f>
        <x:v>-8984113.140104247</x:v>
      </x:c>
      <x:c r="Y1118" s="58" t="n">
        <x:f>IF(R1118="No","",W1118*T1118*Assumptions!$B$9)</x:f>
        <x:v>-1646808.4982865385</x:v>
      </x:c>
      <x:c r="Z1118" s="58" t="n">
        <x:f>IF(R1118="No","",X1118-Y1118)</x:f>
        <x:v>-7337304.6418177085</x:v>
      </x:c>
      <x:c r="AA1118" s="58" t="n">
        <x:f>IF(R1118="No","",MAX(0,-Z1118))</x:f>
        <x:v>7337304.6418177085</x:v>
      </x:c>
      <x:c r="AB1118" s="52" t="n">
        <x:f>IF(OR(R1118="No",U1118*S1118=0),"",AA1118/(U1118*S1118))</x:f>
        <x:v>0.10705626540115903</x:v>
      </x:c>
      <x:c r="AC1118" s="54" t="n">
        <x:f>IF(OR(R1118="No",S1118-T1118*Assumptions!$B$9&lt;=0),"",AA1118/(Assumptions!$B$8*(S1118-T1118*Assumptions!$B$9)))</x:f>
        <x:v>468.7575337373992</x:v>
      </x:c>
      <x:c r="AD1118" s="52" t="n">
        <x:f>IF(OR(R1118="No",U1118*S1118=0),"",AA1118/(U1118*S1118))</x:f>
        <x:v>0.10705626540115903</x:v>
      </x:c>
      <x:c r="AE1118" s="50" t="str">
        <x:f>IF(R1118="No","No finance data",IF(AB1118&gt;=10%,"Severe",IF(AB1118&gt;=5%,"High",IF(AB1118&gt;=2%,"Moderate","Low"))))</x:f>
        <x:v>Severe</x:v>
      </x:c>
      <x:c r="AF1118" s="60" t="n">
        <x:v>40.889756</x:v>
      </x:c>
      <x:c r="AG1118" s="60" t="n">
        <x:v>-73.901893</x:v>
      </x:c>
      <x:c r="AH1118" s="44" t="str">
        <x:v>Undergraduate tuition-contribution proxy only; not an audited total institutional budget.</x:v>
      </x:c>
    </x:row>
    <x:row r="1119">
      <x:c r="A1119" s="16" t="n">
        <x:v>192712</x:v>
      </x:c>
      <x:c r="B1119" s="16" t="str">
        <x:v>Manhattan School of Music</x:v>
      </x:c>
      <x:c r="C1119" s="16" t="str">
        <x:v>NY</x:v>
      </x:c>
      <x:c r="D1119" s="16" t="str">
        <x:v>Private nonprofit</x:v>
      </x:c>
      <x:c r="E1119" s="34" t="n">
        <x:v>410</x:v>
      </x:c>
      <x:c r="F1119" s="21"/>
      <x:c r="G1119" s="16" t="str">
        <x:v>Regional</x:v>
      </x:c>
      <x:c r="H1119" s="36" t="n">
        <x:f>IF(G1119="National",Assumptions!$B$11,IF(G1119="Statewide",Assumptions!$B$12,Assumptions!$B$13))</x:f>
        <x:v>0.85</x:v>
      </x:c>
      <x:c r="I1119" s="21" t="n">
        <x:v>-0.08678079290324192</x:v>
      </x:c>
      <x:c r="J1119" s="21" t="n">
        <x:v>-0.14585233360743566</x:v>
      </x:c>
      <x:c r="K1119" s="21" t="n">
        <x:v>-0.24979193142458445</x:v>
      </x:c>
      <x:c r="L1119" s="36" t="n">
        <x:f>IF(Assumptions!$B$4=2030,I1119,IF(Assumptions!$B$4=2035,J1119,K1119))</x:f>
        <x:v>-0.14585233360743566</x:v>
      </x:c>
      <x:c r="M1119" s="36" t="n">
        <x:f>Assumptions!$B$19</x:f>
        <x:v>-0.04739891965741583</x:v>
      </x:c>
      <x:c r="N1119" s="52" t="n">
        <x:f>H1119*L1119+(1-H1119)*M1119+O1119</x:f>
        <x:v>-0.13108432151493268</x:v>
      </x:c>
      <x:c r="O1119" s="36" t="n">
        <x:f>Assumptions!$B$10</x:f>
        <x:v>0</x:v>
      </x:c>
      <x:c r="P1119" s="54" t="n">
        <x:f>E1119*(1+N1119)</x:f>
        <x:v>356.2554281788776</x:v>
      </x:c>
      <x:c r="Q1119" s="54" t="n">
        <x:f>P1119-E1119</x:f>
        <x:v>-53.744571821122406</x:v>
      </x:c>
      <x:c r="R1119" s="16" t="str">
        <x:v>No</x:v>
      </x:c>
      <x:c r="S1119" s="56"/>
      <x:c r="T1119" s="56"/>
      <x:c r="U1119" s="40" t="n">
        <x:f>E1119*Assumptions!$B$8</x:f>
        <x:v>348.5</x:v>
      </x:c>
      <x:c r="V1119" s="40" t="n">
        <x:f>P1119*Assumptions!$B$8</x:f>
        <x:v>302.81711395204593</x:v>
      </x:c>
      <x:c r="W1119" s="54" t="n">
        <x:f>V1119-U1119</x:f>
        <x:v>-45.68288604795407</x:v>
      </x:c>
      <x:c r="X1119" s="58" t="str">
        <x:f>IF(R1119="No","",W1119*S1119)</x:f>
      </x:c>
      <x:c r="Y1119" s="58" t="str">
        <x:f>IF(R1119="No","",W1119*T1119*Assumptions!$B$9)</x:f>
      </x:c>
      <x:c r="Z1119" s="58" t="str">
        <x:f>IF(R1119="No","",X1119-Y1119)</x:f>
      </x:c>
      <x:c r="AA1119" s="58" t="str">
        <x:f>IF(R1119="No","",MAX(0,-Z1119))</x:f>
      </x:c>
      <x:c r="AB1119" s="52" t="str">
        <x:f>IF(OR(R1119="No",U1119*S1119=0),"",AA1119/(U1119*S1119))</x:f>
      </x:c>
      <x:c r="AC1119" s="54" t="str">
        <x:f>IF(OR(R1119="No",S1119-T1119*Assumptions!$B$9&lt;=0),"",AA1119/(Assumptions!$B$8*(S1119-T1119*Assumptions!$B$9)))</x:f>
      </x:c>
      <x:c r="AD1119" s="52" t="str">
        <x:f>IF(OR(R1119="No",U1119*S1119=0),"",AA1119/(U1119*S1119))</x:f>
      </x:c>
      <x:c r="AE1119" s="50" t="str">
        <x:f>IF(R1119="No","No finance data",IF(AB1119&gt;=10%,"Severe",IF(AB1119&gt;=5%,"High",IF(AB1119&gt;=2%,"Moderate","Low"))))</x:f>
        <x:v>No finance data</x:v>
      </x:c>
      <x:c r="AF1119" s="60"/>
      <x:c r="AG1119" s="60"/>
      <x:c r="AH1119" s="44" t="str">
        <x:v>Undergraduate tuition-contribution proxy only; not an audited total institutional budget.</x:v>
      </x:c>
    </x:row>
    <x:row r="1120">
      <x:c r="A1120" s="16" t="n">
        <x:v>192749</x:v>
      </x:c>
      <x:c r="B1120" s="16" t="str">
        <x:v>Manhattanville College</x:v>
      </x:c>
      <x:c r="C1120" s="16" t="str">
        <x:v>NY</x:v>
      </x:c>
      <x:c r="D1120" s="16" t="str">
        <x:v>Private nonprofit</x:v>
      </x:c>
      <x:c r="E1120" s="34" t="n">
        <x:v>1743</x:v>
      </x:c>
      <x:c r="F1120" s="21" t="n">
        <x:v>0.8294</x:v>
      </x:c>
      <x:c r="G1120" s="16" t="str">
        <x:v>Regional</x:v>
      </x:c>
      <x:c r="H1120" s="36" t="n">
        <x:f>IF(G1120="National",Assumptions!$B$11,IF(G1120="Statewide",Assumptions!$B$12,Assumptions!$B$13))</x:f>
        <x:v>0.85</x:v>
      </x:c>
      <x:c r="I1120" s="21" t="n">
        <x:v>-0.08678079290324192</x:v>
      </x:c>
      <x:c r="J1120" s="21" t="n">
        <x:v>-0.14585233360743566</x:v>
      </x:c>
      <x:c r="K1120" s="21" t="n">
        <x:v>-0.24979193142458445</x:v>
      </x:c>
      <x:c r="L1120" s="36" t="n">
        <x:f>IF(Assumptions!$B$4=2030,I1120,IF(Assumptions!$B$4=2035,J1120,K1120))</x:f>
        <x:v>-0.14585233360743566</x:v>
      </x:c>
      <x:c r="M1120" s="36" t="n">
        <x:f>Assumptions!$B$19</x:f>
        <x:v>-0.04739891965741583</x:v>
      </x:c>
      <x:c r="N1120" s="52" t="n">
        <x:f>H1120*L1120+(1-H1120)*M1120+O1120</x:f>
        <x:v>-0.13108432151493268</x:v>
      </x:c>
      <x:c r="O1120" s="36" t="n">
        <x:f>Assumptions!$B$10</x:f>
        <x:v>0</x:v>
      </x:c>
      <x:c r="P1120" s="54" t="n">
        <x:f>E1120*(1+N1120)</x:f>
        <x:v>1514.5200275994723</x:v>
      </x:c>
      <x:c r="Q1120" s="54" t="n">
        <x:f>P1120-E1120</x:f>
        <x:v>-228.47997240052769</x:v>
      </x:c>
      <x:c r="R1120" s="16" t="str">
        <x:v>Yes</x:v>
      </x:c>
      <x:c r="S1120" s="56" t="n">
        <x:v>17666</x:v>
      </x:c>
      <x:c r="T1120" s="56" t="n">
        <x:v>9323</x:v>
      </x:c>
      <x:c r="U1120" s="40" t="n">
        <x:f>E1120*Assumptions!$B$8</x:f>
        <x:v>1481.55</x:v>
      </x:c>
      <x:c r="V1120" s="40" t="n">
        <x:f>P1120*Assumptions!$B$8</x:f>
        <x:v>1287.3420234595515</x:v>
      </x:c>
      <x:c r="W1120" s="54" t="n">
        <x:f>V1120-U1120</x:f>
        <x:v>-194.2079765404485</x:v>
      </x:c>
      <x:c r="X1120" s="58" t="n">
        <x:f>IF(R1120="No","",W1120*S1120)</x:f>
        <x:v>-3430878.113563563</x:v>
      </x:c>
      <x:c r="Y1120" s="58" t="n">
        <x:f>IF(R1120="No","",W1120*T1120*Assumptions!$B$9)</x:f>
        <x:v>-543180.2895859804</x:v>
      </x:c>
      <x:c r="Z1120" s="58" t="n">
        <x:f>IF(R1120="No","",X1120-Y1120)</x:f>
        <x:v>-2887697.823977583</x:v>
      </x:c>
      <x:c r="AA1120" s="58" t="n">
        <x:f>IF(R1120="No","",MAX(0,-Z1120))</x:f>
        <x:v>2887697.823977583</x:v>
      </x:c>
      <x:c r="AB1120" s="52" t="n">
        <x:f>IF(OR(R1120="No",U1120*S1120=0),"",AA1120/(U1120*S1120))</x:f>
        <x:v>0.11033091164030825</x:v>
      </x:c>
      <x:c r="AC1120" s="54" t="n">
        <x:f>IF(OR(R1120="No",S1120-T1120*Assumptions!$B$9&lt;=0),"",AA1120/(Assumptions!$B$8*(S1120-T1120*Assumptions!$B$9)))</x:f>
        <x:v>228.47997240052766</x:v>
      </x:c>
      <x:c r="AD1120" s="52" t="n">
        <x:f>IF(OR(R1120="No",U1120*S1120=0),"",AA1120/(U1120*S1120))</x:f>
        <x:v>0.11033091164030825</x:v>
      </x:c>
      <x:c r="AE1120" s="50" t="str">
        <x:f>IF(R1120="No","No finance data",IF(AB1120&gt;=10%,"Severe",IF(AB1120&gt;=5%,"High",IF(AB1120&gt;=2%,"Moderate","Low"))))</x:f>
        <x:v>Severe</x:v>
      </x:c>
      <x:c r="AF1120" s="60" t="n">
        <x:v>41.032187</x:v>
      </x:c>
      <x:c r="AG1120" s="60" t="n">
        <x:v>-73.715645</x:v>
      </x:c>
      <x:c r="AH1120" s="44" t="str">
        <x:v>Undergraduate tuition-contribution proxy only; not an audited total institutional budget.</x:v>
      </x:c>
    </x:row>
    <x:row r="1121">
      <x:c r="A1121" s="16" t="n">
        <x:v>192819</x:v>
      </x:c>
      <x:c r="B1121" s="16" t="str">
        <x:v>Marist College</x:v>
      </x:c>
      <x:c r="C1121" s="16" t="str">
        <x:v>NY</x:v>
      </x:c>
      <x:c r="D1121" s="16" t="str">
        <x:v>Private nonprofit</x:v>
      </x:c>
      <x:c r="E1121" s="34" t="n">
        <x:v>5206</x:v>
      </x:c>
      <x:c r="F1121" s="21" t="n">
        <x:v>0.5995</x:v>
      </x:c>
      <x:c r="G1121" s="16" t="str">
        <x:v>Regional</x:v>
      </x:c>
      <x:c r="H1121" s="36" t="n">
        <x:f>IF(G1121="National",Assumptions!$B$11,IF(G1121="Statewide",Assumptions!$B$12,Assumptions!$B$13))</x:f>
        <x:v>0.85</x:v>
      </x:c>
      <x:c r="I1121" s="21" t="n">
        <x:v>-0.08678079290324192</x:v>
      </x:c>
      <x:c r="J1121" s="21" t="n">
        <x:v>-0.14585233360743566</x:v>
      </x:c>
      <x:c r="K1121" s="21" t="n">
        <x:v>-0.24979193142458445</x:v>
      </x:c>
      <x:c r="L1121" s="36" t="n">
        <x:f>IF(Assumptions!$B$4=2030,I1121,IF(Assumptions!$B$4=2035,J1121,K1121))</x:f>
        <x:v>-0.14585233360743566</x:v>
      </x:c>
      <x:c r="M1121" s="36" t="n">
        <x:f>Assumptions!$B$19</x:f>
        <x:v>-0.04739891965741583</x:v>
      </x:c>
      <x:c r="N1121" s="52" t="n">
        <x:f>H1121*L1121+(1-H1121)*M1121+O1121</x:f>
        <x:v>-0.13108432151493268</x:v>
      </x:c>
      <x:c r="O1121" s="36" t="n">
        <x:f>Assumptions!$B$10</x:f>
        <x:v>0</x:v>
      </x:c>
      <x:c r="P1121" s="54" t="n">
        <x:f>E1121*(1+N1121)</x:f>
        <x:v>4523.57502219326</x:v>
      </x:c>
      <x:c r="Q1121" s="54" t="n">
        <x:f>P1121-E1121</x:f>
        <x:v>-682.4249778067397</x:v>
      </x:c>
      <x:c r="R1121" s="16" t="str">
        <x:v>Yes</x:v>
      </x:c>
      <x:c r="S1121" s="56" t="n">
        <x:v>23198</x:v>
      </x:c>
      <x:c r="T1121" s="56" t="n">
        <x:v>11731</x:v>
      </x:c>
      <x:c r="U1121" s="40" t="n">
        <x:f>E1121*Assumptions!$B$8</x:f>
        <x:v>4425.099999999999</x:v>
      </x:c>
      <x:c r="V1121" s="40" t="n">
        <x:f>P1121*Assumptions!$B$8</x:f>
        <x:v>3845.0387688642713</x:v>
      </x:c>
      <x:c r="W1121" s="54" t="n">
        <x:f>V1121-U1121</x:f>
        <x:v>-580.0612311357281</x:v>
      </x:c>
      <x:c r="X1121" s="58" t="n">
        <x:f>IF(R1121="No","",W1121*S1121)</x:f>
        <x:v>-13456260.43988662</x:v>
      </x:c>
      <x:c r="Y1121" s="58" t="n">
        <x:f>IF(R1121="No","",W1121*T1121*Assumptions!$B$9)</x:f>
        <x:v>-2041409.4907359679</x:v>
      </x:c>
      <x:c r="Z1121" s="58" t="n">
        <x:f>IF(R1121="No","",X1121-Y1121)</x:f>
        <x:v>-11414850.949150652</x:v>
      </x:c>
      <x:c r="AA1121" s="58" t="n">
        <x:f>IF(R1121="No","",MAX(0,-Z1121))</x:f>
        <x:v>11414850.949150652</x:v>
      </x:c>
      <x:c r="AB1121" s="52" t="n">
        <x:f>IF(OR(R1121="No",U1121*S1121=0),"",AA1121/(U1121*S1121))</x:f>
        <x:v>0.11119790662108388</x:v>
      </x:c>
      <x:c r="AC1121" s="54" t="n">
        <x:f>IF(OR(R1121="No",S1121-T1121*Assumptions!$B$9&lt;=0),"",AA1121/(Assumptions!$B$8*(S1121-T1121*Assumptions!$B$9)))</x:f>
        <x:v>682.4249778067389</x:v>
      </x:c>
      <x:c r="AD1121" s="52" t="n">
        <x:f>IF(OR(R1121="No",U1121*S1121=0),"",AA1121/(U1121*S1121))</x:f>
        <x:v>0.11119790662108388</x:v>
      </x:c>
      <x:c r="AE1121" s="50" t="str">
        <x:f>IF(R1121="No","No finance data",IF(AB1121&gt;=10%,"Severe",IF(AB1121&gt;=5%,"High",IF(AB1121&gt;=2%,"Moderate","Low"))))</x:f>
        <x:v>Severe</x:v>
      </x:c>
      <x:c r="AF1121" s="60" t="n">
        <x:v>41.720937</x:v>
      </x:c>
      <x:c r="AG1121" s="60" t="n">
        <x:v>-73.935484</x:v>
      </x:c>
      <x:c r="AH1121" s="44" t="str">
        <x:v>Undergraduate tuition-contribution proxy only; not an audited total institutional budget.</x:v>
      </x:c>
    </x:row>
    <x:row r="1122">
      <x:c r="A1122" s="16" t="n">
        <x:v>192864</x:v>
      </x:c>
      <x:c r="B1122" s="16" t="str">
        <x:v>Marymount Manhattan College</x:v>
      </x:c>
      <x:c r="C1122" s="16" t="str">
        <x:v>NY</x:v>
      </x:c>
      <x:c r="D1122" s="16" t="str">
        <x:v>Private nonprofit</x:v>
      </x:c>
      <x:c r="E1122" s="34" t="n">
        <x:v>1875</x:v>
      </x:c>
      <x:c r="F1122" s="21" t="n">
        <x:v>0.7691</x:v>
      </x:c>
      <x:c r="G1122" s="16" t="str">
        <x:v>Regional</x:v>
      </x:c>
      <x:c r="H1122" s="36" t="n">
        <x:f>IF(G1122="National",Assumptions!$B$11,IF(G1122="Statewide",Assumptions!$B$12,Assumptions!$B$13))</x:f>
        <x:v>0.85</x:v>
      </x:c>
      <x:c r="I1122" s="21" t="n">
        <x:v>-0.08678079290324192</x:v>
      </x:c>
      <x:c r="J1122" s="21" t="n">
        <x:v>-0.14585233360743566</x:v>
      </x:c>
      <x:c r="K1122" s="21" t="n">
        <x:v>-0.24979193142458445</x:v>
      </x:c>
      <x:c r="L1122" s="36" t="n">
        <x:f>IF(Assumptions!$B$4=2030,I1122,IF(Assumptions!$B$4=2035,J1122,K1122))</x:f>
        <x:v>-0.14585233360743566</x:v>
      </x:c>
      <x:c r="M1122" s="36" t="n">
        <x:f>Assumptions!$B$19</x:f>
        <x:v>-0.04739891965741583</x:v>
      </x:c>
      <x:c r="N1122" s="52" t="n">
        <x:f>H1122*L1122+(1-H1122)*M1122+O1122</x:f>
        <x:v>-0.13108432151493268</x:v>
      </x:c>
      <x:c r="O1122" s="36" t="n">
        <x:f>Assumptions!$B$10</x:f>
        <x:v>0</x:v>
      </x:c>
      <x:c r="P1122" s="54" t="n">
        <x:f>E1122*(1+N1122)</x:f>
        <x:v>1629.2168971595013</x:v>
      </x:c>
      <x:c r="Q1122" s="54" t="n">
        <x:f>P1122-E1122</x:f>
        <x:v>-245.7831028404987</x:v>
      </x:c>
      <x:c r="R1122" s="16" t="str">
        <x:v>Yes</x:v>
      </x:c>
      <x:c r="S1122" s="56" t="n">
        <x:v>21589</x:v>
      </x:c>
      <x:c r="T1122" s="56" t="n">
        <x:v>13784</x:v>
      </x:c>
      <x:c r="U1122" s="40" t="n">
        <x:f>E1122*Assumptions!$B$8</x:f>
        <x:v>1593.75</x:v>
      </x:c>
      <x:c r="V1122" s="40" t="n">
        <x:f>P1122*Assumptions!$B$8</x:f>
        <x:v>1384.834362585576</x:v>
      </x:c>
      <x:c r="W1122" s="54" t="n">
        <x:f>V1122-U1122</x:f>
        <x:v>-208.91563741442405</x:v>
      </x:c>
      <x:c r="X1122" s="58" t="n">
        <x:f>IF(R1122="No","",W1122*S1122)</x:f>
        <x:v>-4510279.696140001</x:v>
      </x:c>
      <x:c r="Y1122" s="58" t="n">
        <x:f>IF(R1122="No","",W1122*T1122*Assumptions!$B$9)</x:f>
        <x:v>-863907.9438361264</x:v>
      </x:c>
      <x:c r="Z1122" s="58" t="n">
        <x:f>IF(R1122="No","",X1122-Y1122)</x:f>
        <x:v>-3646371.752303874</x:v>
      </x:c>
      <x:c r="AA1122" s="58" t="n">
        <x:f>IF(R1122="No","",MAX(0,-Z1122))</x:f>
        <x:v>3646371.752303874</x:v>
      </x:c>
      <x:c r="AB1122" s="52" t="n">
        <x:f>IF(OR(R1122="No",U1122*S1122=0),"",AA1122/(U1122*S1122))</x:f>
        <x:v>0.10597616984841043</x:v>
      </x:c>
      <x:c r="AC1122" s="54" t="n">
        <x:f>IF(OR(R1122="No",S1122-T1122*Assumptions!$B$9&lt;=0),"",AA1122/(Assumptions!$B$8*(S1122-T1122*Assumptions!$B$9)))</x:f>
        <x:v>245.78310284049886</x:v>
      </x:c>
      <x:c r="AD1122" s="52" t="n">
        <x:f>IF(OR(R1122="No",U1122*S1122=0),"",AA1122/(U1122*S1122))</x:f>
        <x:v>0.10597616984841043</x:v>
      </x:c>
      <x:c r="AE1122" s="50" t="str">
        <x:f>IF(R1122="No","No finance data",IF(AB1122&gt;=10%,"Severe",IF(AB1122&gt;=5%,"High",IF(AB1122&gt;=2%,"Moderate","Low"))))</x:f>
        <x:v>Severe</x:v>
      </x:c>
      <x:c r="AF1122" s="60" t="n">
        <x:v>40.768787</x:v>
      </x:c>
      <x:c r="AG1122" s="60" t="n">
        <x:v>-73.959767</x:v>
      </x:c>
      <x:c r="AH1122" s="44" t="str">
        <x:v>Undergraduate tuition-contribution proxy only; not an audited total institutional budget.</x:v>
      </x:c>
    </x:row>
    <x:row r="1123">
      <x:c r="A1123" s="16" t="n">
        <x:v>192925</x:v>
      </x:c>
      <x:c r="B1123" s="16" t="str">
        <x:v>Medaille College</x:v>
      </x:c>
      <x:c r="C1123" s="16" t="str">
        <x:v>NY</x:v>
      </x:c>
      <x:c r="D1123" s="16" t="str">
        <x:v>Private nonprofit</x:v>
      </x:c>
      <x:c r="E1123" s="34" t="n">
        <x:v>1521</x:v>
      </x:c>
      <x:c r="F1123" s="21" t="n">
        <x:v>0.6999</x:v>
      </x:c>
      <x:c r="G1123" s="16" t="str">
        <x:v>Regional</x:v>
      </x:c>
      <x:c r="H1123" s="36" t="n">
        <x:f>IF(G1123="National",Assumptions!$B$11,IF(G1123="Statewide",Assumptions!$B$12,Assumptions!$B$13))</x:f>
        <x:v>0.85</x:v>
      </x:c>
      <x:c r="I1123" s="21" t="n">
        <x:v>-0.08678079290324192</x:v>
      </x:c>
      <x:c r="J1123" s="21" t="n">
        <x:v>-0.14585233360743566</x:v>
      </x:c>
      <x:c r="K1123" s="21" t="n">
        <x:v>-0.24979193142458445</x:v>
      </x:c>
      <x:c r="L1123" s="36" t="n">
        <x:f>IF(Assumptions!$B$4=2030,I1123,IF(Assumptions!$B$4=2035,J1123,K1123))</x:f>
        <x:v>-0.14585233360743566</x:v>
      </x:c>
      <x:c r="M1123" s="36" t="n">
        <x:f>Assumptions!$B$19</x:f>
        <x:v>-0.04739891965741583</x:v>
      </x:c>
      <x:c r="N1123" s="52" t="n">
        <x:f>H1123*L1123+(1-H1123)*M1123+O1123</x:f>
        <x:v>-0.13108432151493268</x:v>
      </x:c>
      <x:c r="O1123" s="36" t="n">
        <x:f>Assumptions!$B$10</x:f>
        <x:v>0</x:v>
      </x:c>
      <x:c r="P1123" s="54" t="n">
        <x:f>E1123*(1+N1123)</x:f>
        <x:v>1321.6207469757874</x:v>
      </x:c>
      <x:c r="Q1123" s="54" t="n">
        <x:f>P1123-E1123</x:f>
        <x:v>-199.37925302421263</x:v>
      </x:c>
      <x:c r="R1123" s="16" t="str">
        <x:v>Yes</x:v>
      </x:c>
      <x:c r="S1123" s="56" t="n">
        <x:v>9966</x:v>
      </x:c>
      <x:c r="T1123" s="56" t="n">
        <x:v>4748</x:v>
      </x:c>
      <x:c r="U1123" s="40" t="n">
        <x:f>E1123*Assumptions!$B$8</x:f>
        <x:v>1292.85</x:v>
      </x:c>
      <x:c r="V1123" s="40" t="n">
        <x:f>P1123*Assumptions!$B$8</x:f>
        <x:v>1123.3776349294192</x:v>
      </x:c>
      <x:c r="W1123" s="54" t="n">
        <x:f>V1123-U1123</x:f>
        <x:v>-169.47236507058074</x:v>
      </x:c>
      <x:c r="X1123" s="58" t="n">
        <x:f>IF(R1123="No","",W1123*S1123)</x:f>
        <x:v>-1688961.5902934077</x:v>
      </x:c>
      <x:c r="Y1123" s="58" t="n">
        <x:f>IF(R1123="No","",W1123*T1123*Assumptions!$B$9)</x:f>
        <x:v>-241396.4368065352</x:v>
      </x:c>
      <x:c r="Z1123" s="58" t="n">
        <x:f>IF(R1123="No","",X1123-Y1123)</x:f>
        <x:v>-1447565.1534868726</x:v>
      </x:c>
      <x:c r="AA1123" s="58" t="n">
        <x:f>IF(R1123="No","",MAX(0,-Z1123))</x:f>
        <x:v>1447565.1534868726</x:v>
      </x:c>
      <x:c r="AB1123" s="52" t="n">
        <x:f>IF(OR(R1123="No",U1123*S1123=0),"",AA1123/(U1123*S1123))</x:f>
        <x:v>0.11234897056511632</x:v>
      </x:c>
      <x:c r="AC1123" s="54" t="n">
        <x:f>IF(OR(R1123="No",S1123-T1123*Assumptions!$B$9&lt;=0),"",AA1123/(Assumptions!$B$8*(S1123-T1123*Assumptions!$B$9)))</x:f>
        <x:v>199.37925302421266</x:v>
      </x:c>
      <x:c r="AD1123" s="52" t="n">
        <x:f>IF(OR(R1123="No",U1123*S1123=0),"",AA1123/(U1123*S1123))</x:f>
        <x:v>0.11234897056511632</x:v>
      </x:c>
      <x:c r="AE1123" s="50" t="str">
        <x:f>IF(R1123="No","No finance data",IF(AB1123&gt;=10%,"Severe",IF(AB1123&gt;=5%,"High",IF(AB1123&gt;=2%,"Moderate","Low"))))</x:f>
        <x:v>Severe</x:v>
      </x:c>
      <x:c r="AF1123" s="60" t="n">
        <x:v>42.92856</x:v>
      </x:c>
      <x:c r="AG1123" s="60" t="n">
        <x:v>-78.855941</x:v>
      </x:c>
      <x:c r="AH1123" s="44" t="str">
        <x:v>Undergraduate tuition-contribution proxy only; not an audited total institutional budget.</x:v>
      </x:c>
    </x:row>
    <x:row r="1124">
      <x:c r="A1124" s="16" t="n">
        <x:v>193016</x:v>
      </x:c>
      <x:c r="B1124" s="16" t="str">
        <x:v>Mercy College</x:v>
      </x:c>
      <x:c r="C1124" s="16" t="str">
        <x:v>NY</x:v>
      </x:c>
      <x:c r="D1124" s="16" t="str">
        <x:v>Private nonprofit</x:v>
      </x:c>
      <x:c r="E1124" s="34" t="n">
        <x:v>6410</x:v>
      </x:c>
      <x:c r="F1124" s="21" t="n">
        <x:v>0.8578</x:v>
      </x:c>
      <x:c r="G1124" s="16" t="str">
        <x:v>Regional</x:v>
      </x:c>
      <x:c r="H1124" s="36" t="n">
        <x:f>IF(G1124="National",Assumptions!$B$11,IF(G1124="Statewide",Assumptions!$B$12,Assumptions!$B$13))</x:f>
        <x:v>0.85</x:v>
      </x:c>
      <x:c r="I1124" s="21" t="n">
        <x:v>-0.08678079290324192</x:v>
      </x:c>
      <x:c r="J1124" s="21" t="n">
        <x:v>-0.14585233360743566</x:v>
      </x:c>
      <x:c r="K1124" s="21" t="n">
        <x:v>-0.24979193142458445</x:v>
      </x:c>
      <x:c r="L1124" s="36" t="n">
        <x:f>IF(Assumptions!$B$4=2030,I1124,IF(Assumptions!$B$4=2035,J1124,K1124))</x:f>
        <x:v>-0.14585233360743566</x:v>
      </x:c>
      <x:c r="M1124" s="36" t="n">
        <x:f>Assumptions!$B$19</x:f>
        <x:v>-0.04739891965741583</x:v>
      </x:c>
      <x:c r="N1124" s="52" t="n">
        <x:f>H1124*L1124+(1-H1124)*M1124+O1124</x:f>
        <x:v>-0.13108432151493268</x:v>
      </x:c>
      <x:c r="O1124" s="36" t="n">
        <x:f>Assumptions!$B$10</x:f>
        <x:v>0</x:v>
      </x:c>
      <x:c r="P1124" s="54" t="n">
        <x:f>E1124*(1+N1124)</x:f>
        <x:v>5569.749499089282</x:v>
      </x:c>
      <x:c r="Q1124" s="54" t="n">
        <x:f>P1124-E1124</x:f>
        <x:v>-840.2505009107181</x:v>
      </x:c>
      <x:c r="R1124" s="16" t="str">
        <x:v>Yes</x:v>
      </x:c>
      <x:c r="S1124" s="56" t="n">
        <x:v>17202</x:v>
      </x:c>
      <x:c r="T1124" s="56" t="n">
        <x:v>7160</x:v>
      </x:c>
      <x:c r="U1124" s="40" t="n">
        <x:f>E1124*Assumptions!$B$8</x:f>
        <x:v>5448.5</x:v>
      </x:c>
      <x:c r="V1124" s="40" t="n">
        <x:f>P1124*Assumptions!$B$8</x:f>
        <x:v>4734.287074225889</x:v>
      </x:c>
      <x:c r="W1124" s="54" t="n">
        <x:f>V1124-U1124</x:f>
        <x:v>-714.2129257741108</x:v>
      </x:c>
      <x:c r="X1124" s="58" t="n">
        <x:f>IF(R1124="No","",W1124*S1124)</x:f>
        <x:v>-12285890.749166254</x:v>
      </x:c>
      <x:c r="Y1124" s="58" t="n">
        <x:f>IF(R1124="No","",W1124*T1124*Assumptions!$B$9)</x:f>
        <x:v>-1534129.3645627897</x:v>
      </x:c>
      <x:c r="Z1124" s="58" t="n">
        <x:f>IF(R1124="No","",X1124-Y1124)</x:f>
        <x:v>-10751761.384603465</x:v>
      </x:c>
      <x:c r="AA1124" s="58" t="n">
        <x:f>IF(R1124="No","",MAX(0,-Z1124))</x:f>
        <x:v>10751761.384603465</x:v>
      </x:c>
      <x:c r="AB1124" s="52" t="n">
        <x:f>IF(OR(R1124="No",U1124*S1124=0),"",AA1124/(U1124*S1124))</x:f>
        <x:v>0.11471592699022189</x:v>
      </x:c>
      <x:c r="AC1124" s="54" t="n">
        <x:f>IF(OR(R1124="No",S1124-T1124*Assumptions!$B$9&lt;=0),"",AA1124/(Assumptions!$B$8*(S1124-T1124*Assumptions!$B$9)))</x:f>
        <x:v>840.2505009107186</x:v>
      </x:c>
      <x:c r="AD1124" s="52" t="n">
        <x:f>IF(OR(R1124="No",U1124*S1124=0),"",AA1124/(U1124*S1124))</x:f>
        <x:v>0.11471592699022189</x:v>
      </x:c>
      <x:c r="AE1124" s="50" t="str">
        <x:f>IF(R1124="No","No finance data",IF(AB1124&gt;=10%,"Severe",IF(AB1124&gt;=5%,"High",IF(AB1124&gt;=2%,"Moderate","Low"))))</x:f>
        <x:v>Severe</x:v>
      </x:c>
      <x:c r="AF1124" s="60" t="n">
        <x:v>41.021626</x:v>
      </x:c>
      <x:c r="AG1124" s="60" t="n">
        <x:v>-73.874447</x:v>
      </x:c>
      <x:c r="AH1124" s="44" t="str">
        <x:v>Undergraduate tuition-contribution proxy only; not an audited total institutional budget.</x:v>
      </x:c>
    </x:row>
    <x:row r="1125">
      <x:c r="A1125" s="16" t="n">
        <x:v>193052</x:v>
      </x:c>
      <x:c r="B1125" s="16" t="str">
        <x:v>Mesivta Torah Vodaath Rabbinical Seminary</x:v>
      </x:c>
      <x:c r="C1125" s="16" t="str">
        <x:v>NY</x:v>
      </x:c>
      <x:c r="D1125" s="16" t="str">
        <x:v>Private nonprofit</x:v>
      </x:c>
      <x:c r="E1125" s="34" t="n">
        <x:v>250</x:v>
      </x:c>
      <x:c r="F1125" s="21"/>
      <x:c r="G1125" s="16" t="str">
        <x:v>Regional</x:v>
      </x:c>
      <x:c r="H1125" s="36" t="n">
        <x:f>IF(G1125="National",Assumptions!$B$11,IF(G1125="Statewide",Assumptions!$B$12,Assumptions!$B$13))</x:f>
        <x:v>0.85</x:v>
      </x:c>
      <x:c r="I1125" s="21" t="n">
        <x:v>-0.08678079290324192</x:v>
      </x:c>
      <x:c r="J1125" s="21" t="n">
        <x:v>-0.14585233360743566</x:v>
      </x:c>
      <x:c r="K1125" s="21" t="n">
        <x:v>-0.24979193142458445</x:v>
      </x:c>
      <x:c r="L1125" s="36" t="n">
        <x:f>IF(Assumptions!$B$4=2030,I1125,IF(Assumptions!$B$4=2035,J1125,K1125))</x:f>
        <x:v>-0.14585233360743566</x:v>
      </x:c>
      <x:c r="M1125" s="36" t="n">
        <x:f>Assumptions!$B$19</x:f>
        <x:v>-0.04739891965741583</x:v>
      </x:c>
      <x:c r="N1125" s="52" t="n">
        <x:f>H1125*L1125+(1-H1125)*M1125+O1125</x:f>
        <x:v>-0.13108432151493268</x:v>
      </x:c>
      <x:c r="O1125" s="36" t="n">
        <x:f>Assumptions!$B$10</x:f>
        <x:v>0</x:v>
      </x:c>
      <x:c r="P1125" s="54" t="n">
        <x:f>E1125*(1+N1125)</x:f>
        <x:v>217.22891962126684</x:v>
      </x:c>
      <x:c r="Q1125" s="54" t="n">
        <x:f>P1125-E1125</x:f>
        <x:v>-32.77108037873316</x:v>
      </x:c>
      <x:c r="R1125" s="16" t="str">
        <x:v>No</x:v>
      </x:c>
      <x:c r="S1125" s="56"/>
      <x:c r="T1125" s="56"/>
      <x:c r="U1125" s="40" t="n">
        <x:f>E1125*Assumptions!$B$8</x:f>
        <x:v>212.5</x:v>
      </x:c>
      <x:c r="V1125" s="40" t="n">
        <x:f>P1125*Assumptions!$B$8</x:f>
        <x:v>184.6445816780768</x:v>
      </x:c>
      <x:c r="W1125" s="54" t="n">
        <x:f>V1125-U1125</x:f>
        <x:v>-27.855418321923196</x:v>
      </x:c>
      <x:c r="X1125" s="58" t="str">
        <x:f>IF(R1125="No","",W1125*S1125)</x:f>
      </x:c>
      <x:c r="Y1125" s="58" t="str">
        <x:f>IF(R1125="No","",W1125*T1125*Assumptions!$B$9)</x:f>
      </x:c>
      <x:c r="Z1125" s="58" t="str">
        <x:f>IF(R1125="No","",X1125-Y1125)</x:f>
      </x:c>
      <x:c r="AA1125" s="58" t="str">
        <x:f>IF(R1125="No","",MAX(0,-Z1125))</x:f>
      </x:c>
      <x:c r="AB1125" s="52" t="str">
        <x:f>IF(OR(R1125="No",U1125*S1125=0),"",AA1125/(U1125*S1125))</x:f>
      </x:c>
      <x:c r="AC1125" s="54" t="str">
        <x:f>IF(OR(R1125="No",S1125-T1125*Assumptions!$B$9&lt;=0),"",AA1125/(Assumptions!$B$8*(S1125-T1125*Assumptions!$B$9)))</x:f>
      </x:c>
      <x:c r="AD1125" s="52" t="str">
        <x:f>IF(OR(R1125="No",U1125*S1125=0),"",AA1125/(U1125*S1125))</x:f>
      </x:c>
      <x:c r="AE1125" s="50" t="str">
        <x:f>IF(R1125="No","No finance data",IF(AB1125&gt;=10%,"Severe",IF(AB1125&gt;=5%,"High",IF(AB1125&gt;=2%,"Moderate","Low"))))</x:f>
        <x:v>No finance data</x:v>
      </x:c>
      <x:c r="AF1125" s="60"/>
      <x:c r="AG1125" s="60"/>
      <x:c r="AH1125" s="44" t="str">
        <x:v>Undergraduate tuition-contribution proxy only; not an audited total institutional budget.</x:v>
      </x:c>
    </x:row>
    <x:row r="1126">
      <x:c r="A1126" s="16" t="n">
        <x:v>193061</x:v>
      </x:c>
      <x:c r="B1126" s="16" t="str">
        <x:v>Mesivta of Eastern Parkway-Yeshiva Zichron Meilech</x:v>
      </x:c>
      <x:c r="C1126" s="16" t="str">
        <x:v>NY</x:v>
      </x:c>
      <x:c r="D1126" s="16" t="str">
        <x:v>Private nonprofit</x:v>
      </x:c>
      <x:c r="E1126" s="34" t="n">
        <x:v>24</x:v>
      </x:c>
      <x:c r="F1126" s="21"/>
      <x:c r="G1126" s="16" t="str">
        <x:v>Regional</x:v>
      </x:c>
      <x:c r="H1126" s="36" t="n">
        <x:f>IF(G1126="National",Assumptions!$B$11,IF(G1126="Statewide",Assumptions!$B$12,Assumptions!$B$13))</x:f>
        <x:v>0.85</x:v>
      </x:c>
      <x:c r="I1126" s="21" t="n">
        <x:v>-0.08678079290324192</x:v>
      </x:c>
      <x:c r="J1126" s="21" t="n">
        <x:v>-0.14585233360743566</x:v>
      </x:c>
      <x:c r="K1126" s="21" t="n">
        <x:v>-0.24979193142458445</x:v>
      </x:c>
      <x:c r="L1126" s="36" t="n">
        <x:f>IF(Assumptions!$B$4=2030,I1126,IF(Assumptions!$B$4=2035,J1126,K1126))</x:f>
        <x:v>-0.14585233360743566</x:v>
      </x:c>
      <x:c r="M1126" s="36" t="n">
        <x:f>Assumptions!$B$19</x:f>
        <x:v>-0.04739891965741583</x:v>
      </x:c>
      <x:c r="N1126" s="52" t="n">
        <x:f>H1126*L1126+(1-H1126)*M1126+O1126</x:f>
        <x:v>-0.13108432151493268</x:v>
      </x:c>
      <x:c r="O1126" s="36" t="n">
        <x:f>Assumptions!$B$10</x:f>
        <x:v>0</x:v>
      </x:c>
      <x:c r="P1126" s="54" t="n">
        <x:f>E1126*(1+N1126)</x:f>
        <x:v>20.853976283641614</x:v>
      </x:c>
      <x:c r="Q1126" s="54" t="n">
        <x:f>P1126-E1126</x:f>
        <x:v>-3.1460237163583855</x:v>
      </x:c>
      <x:c r="R1126" s="16" t="str">
        <x:v>No</x:v>
      </x:c>
      <x:c r="S1126" s="56"/>
      <x:c r="T1126" s="56"/>
      <x:c r="U1126" s="40" t="n">
        <x:f>E1126*Assumptions!$B$8</x:f>
        <x:v>20.4</x:v>
      </x:c>
      <x:c r="V1126" s="40" t="n">
        <x:f>P1126*Assumptions!$B$8</x:f>
        <x:v>17.72587984109537</x:v>
      </x:c>
      <x:c r="W1126" s="54" t="n">
        <x:f>V1126-U1126</x:f>
        <x:v>-2.6741201589046284</x:v>
      </x:c>
      <x:c r="X1126" s="58" t="str">
        <x:f>IF(R1126="No","",W1126*S1126)</x:f>
      </x:c>
      <x:c r="Y1126" s="58" t="str">
        <x:f>IF(R1126="No","",W1126*T1126*Assumptions!$B$9)</x:f>
      </x:c>
      <x:c r="Z1126" s="58" t="str">
        <x:f>IF(R1126="No","",X1126-Y1126)</x:f>
      </x:c>
      <x:c r="AA1126" s="58" t="str">
        <x:f>IF(R1126="No","",MAX(0,-Z1126))</x:f>
      </x:c>
      <x:c r="AB1126" s="52" t="str">
        <x:f>IF(OR(R1126="No",U1126*S1126=0),"",AA1126/(U1126*S1126))</x:f>
      </x:c>
      <x:c r="AC1126" s="54" t="str">
        <x:f>IF(OR(R1126="No",S1126-T1126*Assumptions!$B$9&lt;=0),"",AA1126/(Assumptions!$B$8*(S1126-T1126*Assumptions!$B$9)))</x:f>
      </x:c>
      <x:c r="AD1126" s="52" t="str">
        <x:f>IF(OR(R1126="No",U1126*S1126=0),"",AA1126/(U1126*S1126))</x:f>
      </x:c>
      <x:c r="AE1126" s="50" t="str">
        <x:f>IF(R1126="No","No finance data",IF(AB1126&gt;=10%,"Severe",IF(AB1126&gt;=5%,"High",IF(AB1126&gt;=2%,"Moderate","Low"))))</x:f>
        <x:v>No finance data</x:v>
      </x:c>
      <x:c r="AF1126" s="60"/>
      <x:c r="AG1126" s="60"/>
      <x:c r="AH1126" s="44" t="str">
        <x:v>Undergraduate tuition-contribution proxy only; not an audited total institutional budget.</x:v>
      </x:c>
    </x:row>
    <x:row r="1127">
      <x:c r="A1127" s="16" t="n">
        <x:v>193070</x:v>
      </x:c>
      <x:c r="B1127" s="16" t="str">
        <x:v>Mesivtha Tifereth Jerusalem of America</x:v>
      </x:c>
      <x:c r="C1127" s="16" t="str">
        <x:v>NY</x:v>
      </x:c>
      <x:c r="D1127" s="16" t="str">
        <x:v>Private nonprofit</x:v>
      </x:c>
      <x:c r="E1127" s="34" t="n">
        <x:v>49</x:v>
      </x:c>
      <x:c r="F1127" s="21"/>
      <x:c r="G1127" s="16" t="str">
        <x:v>Regional</x:v>
      </x:c>
      <x:c r="H1127" s="36" t="n">
        <x:f>IF(G1127="National",Assumptions!$B$11,IF(G1127="Statewide",Assumptions!$B$12,Assumptions!$B$13))</x:f>
        <x:v>0.85</x:v>
      </x:c>
      <x:c r="I1127" s="21" t="n">
        <x:v>-0.08678079290324192</x:v>
      </x:c>
      <x:c r="J1127" s="21" t="n">
        <x:v>-0.14585233360743566</x:v>
      </x:c>
      <x:c r="K1127" s="21" t="n">
        <x:v>-0.24979193142458445</x:v>
      </x:c>
      <x:c r="L1127" s="36" t="n">
        <x:f>IF(Assumptions!$B$4=2030,I1127,IF(Assumptions!$B$4=2035,J1127,K1127))</x:f>
        <x:v>-0.14585233360743566</x:v>
      </x:c>
      <x:c r="M1127" s="36" t="n">
        <x:f>Assumptions!$B$19</x:f>
        <x:v>-0.04739891965741583</x:v>
      </x:c>
      <x:c r="N1127" s="52" t="n">
        <x:f>H1127*L1127+(1-H1127)*M1127+O1127</x:f>
        <x:v>-0.13108432151493268</x:v>
      </x:c>
      <x:c r="O1127" s="36" t="n">
        <x:f>Assumptions!$B$10</x:f>
        <x:v>0</x:v>
      </x:c>
      <x:c r="P1127" s="54" t="n">
        <x:f>E1127*(1+N1127)</x:f>
        <x:v>42.5768682457683</x:v>
      </x:c>
      <x:c r="Q1127" s="54" t="n">
        <x:f>P1127-E1127</x:f>
        <x:v>-6.423131754231697</x:v>
      </x:c>
      <x:c r="R1127" s="16" t="str">
        <x:v>No</x:v>
      </x:c>
      <x:c r="S1127" s="56"/>
      <x:c r="T1127" s="56"/>
      <x:c r="U1127" s="40" t="n">
        <x:f>E1127*Assumptions!$B$8</x:f>
        <x:v>41.65</x:v>
      </x:c>
      <x:c r="V1127" s="40" t="n">
        <x:f>P1127*Assumptions!$B$8</x:f>
        <x:v>36.190338008903055</x:v>
      </x:c>
      <x:c r="W1127" s="54" t="n">
        <x:f>V1127-U1127</x:f>
        <x:v>-5.459661991096944</x:v>
      </x:c>
      <x:c r="X1127" s="58" t="str">
        <x:f>IF(R1127="No","",W1127*S1127)</x:f>
      </x:c>
      <x:c r="Y1127" s="58" t="str">
        <x:f>IF(R1127="No","",W1127*T1127*Assumptions!$B$9)</x:f>
      </x:c>
      <x:c r="Z1127" s="58" t="str">
        <x:f>IF(R1127="No","",X1127-Y1127)</x:f>
      </x:c>
      <x:c r="AA1127" s="58" t="str">
        <x:f>IF(R1127="No","",MAX(0,-Z1127))</x:f>
      </x:c>
      <x:c r="AB1127" s="52" t="str">
        <x:f>IF(OR(R1127="No",U1127*S1127=0),"",AA1127/(U1127*S1127))</x:f>
      </x:c>
      <x:c r="AC1127" s="54" t="str">
        <x:f>IF(OR(R1127="No",S1127-T1127*Assumptions!$B$9&lt;=0),"",AA1127/(Assumptions!$B$8*(S1127-T1127*Assumptions!$B$9)))</x:f>
      </x:c>
      <x:c r="AD1127" s="52" t="str">
        <x:f>IF(OR(R1127="No",U1127*S1127=0),"",AA1127/(U1127*S1127))</x:f>
      </x:c>
      <x:c r="AE1127" s="50" t="str">
        <x:f>IF(R1127="No","No finance data",IF(AB1127&gt;=10%,"Severe",IF(AB1127&gt;=5%,"High",IF(AB1127&gt;=2%,"Moderate","Low"))))</x:f>
        <x:v>No finance data</x:v>
      </x:c>
      <x:c r="AF1127" s="60"/>
      <x:c r="AG1127" s="60"/>
      <x:c r="AH1127" s="44" t="str">
        <x:v>Undergraduate tuition-contribution proxy only; not an audited total institutional budget.</x:v>
      </x:c>
    </x:row>
    <x:row r="1128">
      <x:c r="A1128" s="16" t="n">
        <x:v>190114</x:v>
      </x:c>
      <x:c r="B1128" s="16" t="str">
        <x:v>Metropolitan College of New York</x:v>
      </x:c>
      <x:c r="C1128" s="16" t="str">
        <x:v>NY</x:v>
      </x:c>
      <x:c r="D1128" s="16" t="str">
        <x:v>Private nonprofit</x:v>
      </x:c>
      <x:c r="E1128" s="34" t="n">
        <x:v>779</x:v>
      </x:c>
      <x:c r="F1128" s="21"/>
      <x:c r="G1128" s="16" t="str">
        <x:v>Regional</x:v>
      </x:c>
      <x:c r="H1128" s="36" t="n">
        <x:f>IF(G1128="National",Assumptions!$B$11,IF(G1128="Statewide",Assumptions!$B$12,Assumptions!$B$13))</x:f>
        <x:v>0.85</x:v>
      </x:c>
      <x:c r="I1128" s="21" t="n">
        <x:v>-0.08678079290324192</x:v>
      </x:c>
      <x:c r="J1128" s="21" t="n">
        <x:v>-0.14585233360743566</x:v>
      </x:c>
      <x:c r="K1128" s="21" t="n">
        <x:v>-0.24979193142458445</x:v>
      </x:c>
      <x:c r="L1128" s="36" t="n">
        <x:f>IF(Assumptions!$B$4=2030,I1128,IF(Assumptions!$B$4=2035,J1128,K1128))</x:f>
        <x:v>-0.14585233360743566</x:v>
      </x:c>
      <x:c r="M1128" s="36" t="n">
        <x:f>Assumptions!$B$19</x:f>
        <x:v>-0.04739891965741583</x:v>
      </x:c>
      <x:c r="N1128" s="52" t="n">
        <x:f>H1128*L1128+(1-H1128)*M1128+O1128</x:f>
        <x:v>-0.13108432151493268</x:v>
      </x:c>
      <x:c r="O1128" s="36" t="n">
        <x:f>Assumptions!$B$10</x:f>
        <x:v>0</x:v>
      </x:c>
      <x:c r="P1128" s="54" t="n">
        <x:f>E1128*(1+N1128)</x:f>
        <x:v>676.8853135398674</x:v>
      </x:c>
      <x:c r="Q1128" s="54" t="n">
        <x:f>P1128-E1128</x:f>
        <x:v>-102.11468646013259</x:v>
      </x:c>
      <x:c r="R1128" s="16" t="str">
        <x:v>No</x:v>
      </x:c>
      <x:c r="S1128" s="56"/>
      <x:c r="T1128" s="56"/>
      <x:c r="U1128" s="40" t="n">
        <x:f>E1128*Assumptions!$B$8</x:f>
        <x:v>662.15</x:v>
      </x:c>
      <x:c r="V1128" s="40" t="n">
        <x:f>P1128*Assumptions!$B$8</x:f>
        <x:v>575.3525165088873</x:v>
      </x:c>
      <x:c r="W1128" s="54" t="n">
        <x:f>V1128-U1128</x:f>
        <x:v>-86.79748349111264</x:v>
      </x:c>
      <x:c r="X1128" s="58" t="str">
        <x:f>IF(R1128="No","",W1128*S1128)</x:f>
      </x:c>
      <x:c r="Y1128" s="58" t="str">
        <x:f>IF(R1128="No","",W1128*T1128*Assumptions!$B$9)</x:f>
      </x:c>
      <x:c r="Z1128" s="58" t="str">
        <x:f>IF(R1128="No","",X1128-Y1128)</x:f>
      </x:c>
      <x:c r="AA1128" s="58" t="str">
        <x:f>IF(R1128="No","",MAX(0,-Z1128))</x:f>
      </x:c>
      <x:c r="AB1128" s="52" t="str">
        <x:f>IF(OR(R1128="No",U1128*S1128=0),"",AA1128/(U1128*S1128))</x:f>
      </x:c>
      <x:c r="AC1128" s="54" t="str">
        <x:f>IF(OR(R1128="No",S1128-T1128*Assumptions!$B$9&lt;=0),"",AA1128/(Assumptions!$B$8*(S1128-T1128*Assumptions!$B$9)))</x:f>
      </x:c>
      <x:c r="AD1128" s="52" t="str">
        <x:f>IF(OR(R1128="No",U1128*S1128=0),"",AA1128/(U1128*S1128))</x:f>
      </x:c>
      <x:c r="AE1128" s="50" t="str">
        <x:f>IF(R1128="No","No finance data",IF(AB1128&gt;=10%,"Severe",IF(AB1128&gt;=5%,"High",IF(AB1128&gt;=2%,"Moderate","Low"))))</x:f>
        <x:v>No finance data</x:v>
      </x:c>
      <x:c r="AF1128" s="60"/>
      <x:c r="AG1128" s="60"/>
      <x:c r="AH1128" s="44" t="str">
        <x:v>Undergraduate tuition-contribution proxy only; not an audited total institutional budget.</x:v>
      </x:c>
    </x:row>
    <x:row r="1129">
      <x:c r="A1129" s="16" t="n">
        <x:v>193247</x:v>
      </x:c>
      <x:c r="B1129" s="16" t="str">
        <x:v>Mirrer Yeshiva Cent Institute</x:v>
      </x:c>
      <x:c r="C1129" s="16" t="str">
        <x:v>NY</x:v>
      </x:c>
      <x:c r="D1129" s="16" t="str">
        <x:v>Private nonprofit</x:v>
      </x:c>
      <x:c r="E1129" s="34" t="n">
        <x:v>145</x:v>
      </x:c>
      <x:c r="F1129" s="21"/>
      <x:c r="G1129" s="16" t="str">
        <x:v>Regional</x:v>
      </x:c>
      <x:c r="H1129" s="36" t="n">
        <x:f>IF(G1129="National",Assumptions!$B$11,IF(G1129="Statewide",Assumptions!$B$12,Assumptions!$B$13))</x:f>
        <x:v>0.85</x:v>
      </x:c>
      <x:c r="I1129" s="21" t="n">
        <x:v>-0.08678079290324192</x:v>
      </x:c>
      <x:c r="J1129" s="21" t="n">
        <x:v>-0.14585233360743566</x:v>
      </x:c>
      <x:c r="K1129" s="21" t="n">
        <x:v>-0.24979193142458445</x:v>
      </x:c>
      <x:c r="L1129" s="36" t="n">
        <x:f>IF(Assumptions!$B$4=2030,I1129,IF(Assumptions!$B$4=2035,J1129,K1129))</x:f>
        <x:v>-0.14585233360743566</x:v>
      </x:c>
      <x:c r="M1129" s="36" t="n">
        <x:f>Assumptions!$B$19</x:f>
        <x:v>-0.04739891965741583</x:v>
      </x:c>
      <x:c r="N1129" s="52" t="n">
        <x:f>H1129*L1129+(1-H1129)*M1129+O1129</x:f>
        <x:v>-0.13108432151493268</x:v>
      </x:c>
      <x:c r="O1129" s="36" t="n">
        <x:f>Assumptions!$B$10</x:f>
        <x:v>0</x:v>
      </x:c>
      <x:c r="P1129" s="54" t="n">
        <x:f>E1129*(1+N1129)</x:f>
        <x:v>125.99277338033477</x:v>
      </x:c>
      <x:c r="Q1129" s="54" t="n">
        <x:f>P1129-E1129</x:f>
        <x:v>-19.007226619665232</x:v>
      </x:c>
      <x:c r="R1129" s="16" t="str">
        <x:v>No</x:v>
      </x:c>
      <x:c r="S1129" s="56"/>
      <x:c r="T1129" s="56"/>
      <x:c r="U1129" s="40" t="n">
        <x:f>E1129*Assumptions!$B$8</x:f>
        <x:v>123.25</x:v>
      </x:c>
      <x:c r="V1129" s="40" t="n">
        <x:f>P1129*Assumptions!$B$8</x:f>
        <x:v>107.09385737328455</x:v>
      </x:c>
      <x:c r="W1129" s="54" t="n">
        <x:f>V1129-U1129</x:f>
        <x:v>-16.15614262671545</x:v>
      </x:c>
      <x:c r="X1129" s="58" t="str">
        <x:f>IF(R1129="No","",W1129*S1129)</x:f>
      </x:c>
      <x:c r="Y1129" s="58" t="str">
        <x:f>IF(R1129="No","",W1129*T1129*Assumptions!$B$9)</x:f>
      </x:c>
      <x:c r="Z1129" s="58" t="str">
        <x:f>IF(R1129="No","",X1129-Y1129)</x:f>
      </x:c>
      <x:c r="AA1129" s="58" t="str">
        <x:f>IF(R1129="No","",MAX(0,-Z1129))</x:f>
      </x:c>
      <x:c r="AB1129" s="52" t="str">
        <x:f>IF(OR(R1129="No",U1129*S1129=0),"",AA1129/(U1129*S1129))</x:f>
      </x:c>
      <x:c r="AC1129" s="54" t="str">
        <x:f>IF(OR(R1129="No",S1129-T1129*Assumptions!$B$9&lt;=0),"",AA1129/(Assumptions!$B$8*(S1129-T1129*Assumptions!$B$9)))</x:f>
      </x:c>
      <x:c r="AD1129" s="52" t="str">
        <x:f>IF(OR(R1129="No",U1129*S1129=0),"",AA1129/(U1129*S1129))</x:f>
      </x:c>
      <x:c r="AE1129" s="50" t="str">
        <x:f>IF(R1129="No","No finance data",IF(AB1129&gt;=10%,"Severe",IF(AB1129&gt;=5%,"High",IF(AB1129&gt;=2%,"Moderate","Low"))))</x:f>
        <x:v>No finance data</x:v>
      </x:c>
      <x:c r="AF1129" s="60"/>
      <x:c r="AG1129" s="60"/>
      <x:c r="AH1129" s="44" t="str">
        <x:v>Undergraduate tuition-contribution proxy only; not an audited total institutional budget.</x:v>
      </x:c>
    </x:row>
    <x:row r="1130">
      <x:c r="A1130" s="16" t="n">
        <x:v>193292</x:v>
      </x:c>
      <x:c r="B1130" s="16" t="str">
        <x:v>Molloy College</x:v>
      </x:c>
      <x:c r="C1130" s="16" t="str">
        <x:v>NY</x:v>
      </x:c>
      <x:c r="D1130" s="16" t="str">
        <x:v>Private nonprofit</x:v>
      </x:c>
      <x:c r="E1130" s="34" t="n">
        <x:v>3373</x:v>
      </x:c>
      <x:c r="F1130" s="21" t="n">
        <x:v>0.7933</x:v>
      </x:c>
      <x:c r="G1130" s="16" t="str">
        <x:v>Regional</x:v>
      </x:c>
      <x:c r="H1130" s="36" t="n">
        <x:f>IF(G1130="National",Assumptions!$B$11,IF(G1130="Statewide",Assumptions!$B$12,Assumptions!$B$13))</x:f>
        <x:v>0.85</x:v>
      </x:c>
      <x:c r="I1130" s="21" t="n">
        <x:v>-0.08678079290324192</x:v>
      </x:c>
      <x:c r="J1130" s="21" t="n">
        <x:v>-0.14585233360743566</x:v>
      </x:c>
      <x:c r="K1130" s="21" t="n">
        <x:v>-0.24979193142458445</x:v>
      </x:c>
      <x:c r="L1130" s="36" t="n">
        <x:f>IF(Assumptions!$B$4=2030,I1130,IF(Assumptions!$B$4=2035,J1130,K1130))</x:f>
        <x:v>-0.14585233360743566</x:v>
      </x:c>
      <x:c r="M1130" s="36" t="n">
        <x:f>Assumptions!$B$19</x:f>
        <x:v>-0.04739891965741583</x:v>
      </x:c>
      <x:c r="N1130" s="52" t="n">
        <x:f>H1130*L1130+(1-H1130)*M1130+O1130</x:f>
        <x:v>-0.13108432151493268</x:v>
      </x:c>
      <x:c r="O1130" s="36" t="n">
        <x:f>Assumptions!$B$10</x:f>
        <x:v>0</x:v>
      </x:c>
      <x:c r="P1130" s="54" t="n">
        <x:f>E1130*(1+N1130)</x:f>
        <x:v>2930.852583530132</x:v>
      </x:c>
      <x:c r="Q1130" s="54" t="n">
        <x:f>P1130-E1130</x:f>
        <x:v>-442.14741646986795</x:v>
      </x:c>
      <x:c r="R1130" s="16" t="str">
        <x:v>Yes</x:v>
      </x:c>
      <x:c r="S1130" s="56" t="n">
        <x:v>22503</x:v>
      </x:c>
      <x:c r="T1130" s="56" t="n">
        <x:v>11475</x:v>
      </x:c>
      <x:c r="U1130" s="40" t="n">
        <x:f>E1130*Assumptions!$B$8</x:f>
        <x:v>2867.0499999999997</x:v>
      </x:c>
      <x:c r="V1130" s="40" t="n">
        <x:f>P1130*Assumptions!$B$8</x:f>
        <x:v>2491.2246960006123</x:v>
      </x:c>
      <x:c r="W1130" s="54" t="n">
        <x:f>V1130-U1130</x:f>
        <x:v>-375.8253039993874</x:v>
      </x:c>
      <x:c r="X1130" s="58" t="n">
        <x:f>IF(R1130="No","",W1130*S1130)</x:f>
        <x:v>-8457196.815898215</x:v>
      </x:c>
      <x:c r="Y1130" s="58" t="n">
        <x:f>IF(R1130="No","",W1130*T1130*Assumptions!$B$9)</x:f>
        <x:v>-1293778.609017891</x:v>
      </x:c>
      <x:c r="Z1130" s="58" t="n">
        <x:f>IF(R1130="No","",X1130-Y1130)</x:f>
        <x:v>-7163418.2068803245</x:v>
      </x:c>
      <x:c r="AA1130" s="58" t="n">
        <x:f>IF(R1130="No","",MAX(0,-Z1130))</x:f>
        <x:v>7163418.2068803245</x:v>
      </x:c>
      <x:c r="AB1130" s="52" t="n">
        <x:f>IF(OR(R1130="No",U1130*S1130=0),"",AA1130/(U1130*S1130))</x:f>
        <x:v>0.11103109408680499</x:v>
      </x:c>
      <x:c r="AC1130" s="54" t="n">
        <x:f>IF(OR(R1130="No",S1130-T1130*Assumptions!$B$9&lt;=0),"",AA1130/(Assumptions!$B$8*(S1130-T1130*Assumptions!$B$9)))</x:f>
        <x:v>442.1474164698676</x:v>
      </x:c>
      <x:c r="AD1130" s="52" t="n">
        <x:f>IF(OR(R1130="No",U1130*S1130=0),"",AA1130/(U1130*S1130))</x:f>
        <x:v>0.11103109408680499</x:v>
      </x:c>
      <x:c r="AE1130" s="50" t="str">
        <x:f>IF(R1130="No","No finance data",IF(AB1130&gt;=10%,"Severe",IF(AB1130&gt;=5%,"High",IF(AB1130&gt;=2%,"Moderate","Low"))))</x:f>
        <x:v>Severe</x:v>
      </x:c>
      <x:c r="AF1130" s="60" t="n">
        <x:v>40.685941</x:v>
      </x:c>
      <x:c r="AG1130" s="60" t="n">
        <x:v>-73.626183</x:v>
      </x:c>
      <x:c r="AH1130" s="44" t="str">
        <x:v>Undergraduate tuition-contribution proxy only; not an audited total institutional budget.</x:v>
      </x:c>
    </x:row>
    <x:row r="1131">
      <x:c r="A1131" s="16" t="n">
        <x:v>193353</x:v>
      </x:c>
      <x:c r="B1131" s="16" t="str">
        <x:v>Mount Saint Mary College</x:v>
      </x:c>
      <x:c r="C1131" s="16" t="str">
        <x:v>NY</x:v>
      </x:c>
      <x:c r="D1131" s="16" t="str">
        <x:v>Private nonprofit</x:v>
      </x:c>
      <x:c r="E1131" s="34" t="n">
        <x:v>2140</x:v>
      </x:c>
      <x:c r="F1131" s="21" t="n">
        <x:v>0.9145</x:v>
      </x:c>
      <x:c r="G1131" s="16" t="str">
        <x:v>Regional</x:v>
      </x:c>
      <x:c r="H1131" s="36" t="n">
        <x:f>IF(G1131="National",Assumptions!$B$11,IF(G1131="Statewide",Assumptions!$B$12,Assumptions!$B$13))</x:f>
        <x:v>0.85</x:v>
      </x:c>
      <x:c r="I1131" s="21" t="n">
        <x:v>-0.08678079290324192</x:v>
      </x:c>
      <x:c r="J1131" s="21" t="n">
        <x:v>-0.14585233360743566</x:v>
      </x:c>
      <x:c r="K1131" s="21" t="n">
        <x:v>-0.24979193142458445</x:v>
      </x:c>
      <x:c r="L1131" s="36" t="n">
        <x:f>IF(Assumptions!$B$4=2030,I1131,IF(Assumptions!$B$4=2035,J1131,K1131))</x:f>
        <x:v>-0.14585233360743566</x:v>
      </x:c>
      <x:c r="M1131" s="36" t="n">
        <x:f>Assumptions!$B$19</x:f>
        <x:v>-0.04739891965741583</x:v>
      </x:c>
      <x:c r="N1131" s="52" t="n">
        <x:f>H1131*L1131+(1-H1131)*M1131+O1131</x:f>
        <x:v>-0.13108432151493268</x:v>
      </x:c>
      <x:c r="O1131" s="36" t="n">
        <x:f>Assumptions!$B$10</x:f>
        <x:v>0</x:v>
      </x:c>
      <x:c r="P1131" s="54" t="n">
        <x:f>E1131*(1+N1131)</x:f>
        <x:v>1859.479551958044</x:v>
      </x:c>
      <x:c r="Q1131" s="54" t="n">
        <x:f>P1131-E1131</x:f>
        <x:v>-280.5204480419559</x:v>
      </x:c>
      <x:c r="R1131" s="16" t="str">
        <x:v>Yes</x:v>
      </x:c>
      <x:c r="S1131" s="56" t="n">
        <x:v>16495</x:v>
      </x:c>
      <x:c r="T1131" s="56" t="n">
        <x:v>8984</x:v>
      </x:c>
      <x:c r="U1131" s="40" t="n">
        <x:f>E1131*Assumptions!$B$8</x:f>
        <x:v>1819</x:v>
      </x:c>
      <x:c r="V1131" s="40" t="n">
        <x:f>P1131*Assumptions!$B$8</x:f>
        <x:v>1580.5576191643374</x:v>
      </x:c>
      <x:c r="W1131" s="54" t="n">
        <x:f>V1131-U1131</x:f>
        <x:v>-238.44238083566256</x:v>
      </x:c>
      <x:c r="X1131" s="58" t="n">
        <x:f>IF(R1131="No","",W1131*S1131)</x:f>
        <x:v>-3933107.071884254</x:v>
      </x:c>
      <x:c r="Y1131" s="58" t="n">
        <x:f>IF(R1131="No","",W1131*T1131*Assumptions!$B$9)</x:f>
        <x:v>-642649.9048282778</x:v>
      </x:c>
      <x:c r="Z1131" s="58" t="n">
        <x:f>IF(R1131="No","",X1131-Y1131)</x:f>
        <x:v>-3290457.167055976</x:v>
      </x:c>
      <x:c r="AA1131" s="58" t="n">
        <x:f>IF(R1131="No","",MAX(0,-Z1131))</x:f>
        <x:v>3290457.167055976</x:v>
      </x:c>
      <x:c r="AB1131" s="52" t="n">
        <x:f>IF(OR(R1131="No",U1131*S1131=0),"",AA1131/(U1131*S1131))</x:f>
        <x:v>0.10966580297312932</x:v>
      </x:c>
      <x:c r="AC1131" s="54" t="n">
        <x:f>IF(OR(R1131="No",S1131-T1131*Assumptions!$B$9&lt;=0),"",AA1131/(Assumptions!$B$8*(S1131-T1131*Assumptions!$B$9)))</x:f>
        <x:v>280.52044804195594</x:v>
      </x:c>
      <x:c r="AD1131" s="52" t="n">
        <x:f>IF(OR(R1131="No",U1131*S1131=0),"",AA1131/(U1131*S1131))</x:f>
        <x:v>0.10966580297312932</x:v>
      </x:c>
      <x:c r="AE1131" s="50" t="str">
        <x:f>IF(R1131="No","No finance data",IF(AB1131&gt;=10%,"Severe",IF(AB1131&gt;=5%,"High",IF(AB1131&gt;=2%,"Moderate","Low"))))</x:f>
        <x:v>Severe</x:v>
      </x:c>
      <x:c r="AF1131" s="60" t="n">
        <x:v>41.513872</x:v>
      </x:c>
      <x:c r="AG1131" s="60" t="n">
        <x:v>-74.012655</x:v>
      </x:c>
      <x:c r="AH1131" s="44" t="str">
        <x:v>Undergraduate tuition-contribution proxy only; not an audited total institutional budget.</x:v>
      </x:c>
    </x:row>
    <x:row r="1132">
      <x:c r="A1132" s="16" t="n">
        <x:v>193584</x:v>
      </x:c>
      <x:c r="B1132" s="16" t="str">
        <x:v>Nazareth College</x:v>
      </x:c>
      <x:c r="C1132" s="16" t="str">
        <x:v>NY</x:v>
      </x:c>
      <x:c r="D1132" s="16" t="str">
        <x:v>Private nonprofit</x:v>
      </x:c>
      <x:c r="E1132" s="34" t="n">
        <x:v>2078</x:v>
      </x:c>
      <x:c r="F1132" s="21" t="n">
        <x:v>0.8563</x:v>
      </x:c>
      <x:c r="G1132" s="16" t="str">
        <x:v>Regional</x:v>
      </x:c>
      <x:c r="H1132" s="36" t="n">
        <x:f>IF(G1132="National",Assumptions!$B$11,IF(G1132="Statewide",Assumptions!$B$12,Assumptions!$B$13))</x:f>
        <x:v>0.85</x:v>
      </x:c>
      <x:c r="I1132" s="21" t="n">
        <x:v>-0.08678079290324192</x:v>
      </x:c>
      <x:c r="J1132" s="21" t="n">
        <x:v>-0.14585233360743566</x:v>
      </x:c>
      <x:c r="K1132" s="21" t="n">
        <x:v>-0.24979193142458445</x:v>
      </x:c>
      <x:c r="L1132" s="36" t="n">
        <x:f>IF(Assumptions!$B$4=2030,I1132,IF(Assumptions!$B$4=2035,J1132,K1132))</x:f>
        <x:v>-0.14585233360743566</x:v>
      </x:c>
      <x:c r="M1132" s="36" t="n">
        <x:f>Assumptions!$B$19</x:f>
        <x:v>-0.04739891965741583</x:v>
      </x:c>
      <x:c r="N1132" s="52" t="n">
        <x:f>H1132*L1132+(1-H1132)*M1132+O1132</x:f>
        <x:v>-0.13108432151493268</x:v>
      </x:c>
      <x:c r="O1132" s="36" t="n">
        <x:f>Assumptions!$B$10</x:f>
        <x:v>0</x:v>
      </x:c>
      <x:c r="P1132" s="54" t="n">
        <x:f>E1132*(1+N1132)</x:f>
        <x:v>1805.6067798919698</x:v>
      </x:c>
      <x:c r="Q1132" s="54" t="n">
        <x:f>P1132-E1132</x:f>
        <x:v>-272.39322010803016</x:v>
      </x:c>
      <x:c r="R1132" s="16" t="str">
        <x:v>Yes</x:v>
      </x:c>
      <x:c r="S1132" s="56" t="n">
        <x:v>21919</x:v>
      </x:c>
      <x:c r="T1132" s="56" t="n">
        <x:v>12089</x:v>
      </x:c>
      <x:c r="U1132" s="40" t="n">
        <x:f>E1132*Assumptions!$B$8</x:f>
        <x:v>1766.3</x:v>
      </x:c>
      <x:c r="V1132" s="40" t="n">
        <x:f>P1132*Assumptions!$B$8</x:f>
        <x:v>1534.7657629081743</x:v>
      </x:c>
      <x:c r="W1132" s="54" t="n">
        <x:f>V1132-U1132</x:f>
        <x:v>-231.53423709182562</x:v>
      </x:c>
      <x:c r="X1132" s="58" t="n">
        <x:f>IF(R1132="No","",W1132*S1132)</x:f>
        <x:v>-5074998.942815726</x:v>
      </x:c>
      <x:c r="Y1132" s="58" t="n">
        <x:f>IF(R1132="No","",W1132*T1132*Assumptions!$B$9)</x:f>
        <x:v>-839705.217660924</x:v>
      </x:c>
      <x:c r="Z1132" s="58" t="n">
        <x:f>IF(R1132="No","",X1132-Y1132)</x:f>
        <x:v>-4235293.725154802</x:v>
      </x:c>
      <x:c r="AA1132" s="58" t="n">
        <x:f>IF(R1132="No","",MAX(0,-Z1132))</x:f>
        <x:v>4235293.725154802</x:v>
      </x:c>
      <x:c r="AB1132" s="52" t="n">
        <x:f>IF(OR(R1132="No",U1132*S1132=0),"",AA1132/(U1132*S1132))</x:f>
        <x:v>0.10939521576931446</x:v>
      </x:c>
      <x:c r="AC1132" s="54" t="n">
        <x:f>IF(OR(R1132="No",S1132-T1132*Assumptions!$B$9&lt;=0),"",AA1132/(Assumptions!$B$8*(S1132-T1132*Assumptions!$B$9)))</x:f>
        <x:v>272.3932201080302</x:v>
      </x:c>
      <x:c r="AD1132" s="52" t="n">
        <x:f>IF(OR(R1132="No",U1132*S1132=0),"",AA1132/(U1132*S1132))</x:f>
        <x:v>0.10939521576931446</x:v>
      </x:c>
      <x:c r="AE1132" s="50" t="str">
        <x:f>IF(R1132="No","No finance data",IF(AB1132&gt;=10%,"Severe",IF(AB1132&gt;=5%,"High",IF(AB1132&gt;=2%,"Moderate","Low"))))</x:f>
        <x:v>Severe</x:v>
      </x:c>
      <x:c r="AF1132" s="60" t="n">
        <x:v>43.101576</x:v>
      </x:c>
      <x:c r="AG1132" s="60" t="n">
        <x:v>-77.518579</x:v>
      </x:c>
      <x:c r="AH1132" s="44" t="str">
        <x:v>Undergraduate tuition-contribution proxy only; not an audited total institutional budget.</x:v>
      </x:c>
    </x:row>
    <x:row r="1133">
      <x:c r="A1133" s="16" t="n">
        <x:v>194091</x:v>
      </x:c>
      <x:c r="B1133" s="16" t="str">
        <x:v>New York Institute of Technology</x:v>
      </x:c>
      <x:c r="C1133" s="16" t="str">
        <x:v>NY</x:v>
      </x:c>
      <x:c r="D1133" s="16" t="str">
        <x:v>Private nonprofit</x:v>
      </x:c>
      <x:c r="E1133" s="34" t="n">
        <x:v>3951</x:v>
      </x:c>
      <x:c r="F1133" s="21" t="n">
        <x:v>0.8035</x:v>
      </x:c>
      <x:c r="G1133" s="16" t="str">
        <x:v>Regional</x:v>
      </x:c>
      <x:c r="H1133" s="36" t="n">
        <x:f>IF(G1133="National",Assumptions!$B$11,IF(G1133="Statewide",Assumptions!$B$12,Assumptions!$B$13))</x:f>
        <x:v>0.85</x:v>
      </x:c>
      <x:c r="I1133" s="21" t="n">
        <x:v>-0.08678079290324192</x:v>
      </x:c>
      <x:c r="J1133" s="21" t="n">
        <x:v>-0.14585233360743566</x:v>
      </x:c>
      <x:c r="K1133" s="21" t="n">
        <x:v>-0.24979193142458445</x:v>
      </x:c>
      <x:c r="L1133" s="36" t="n">
        <x:f>IF(Assumptions!$B$4=2030,I1133,IF(Assumptions!$B$4=2035,J1133,K1133))</x:f>
        <x:v>-0.14585233360743566</x:v>
      </x:c>
      <x:c r="M1133" s="36" t="n">
        <x:f>Assumptions!$B$19</x:f>
        <x:v>-0.04739891965741583</x:v>
      </x:c>
      <x:c r="N1133" s="52" t="n">
        <x:f>H1133*L1133+(1-H1133)*M1133+O1133</x:f>
        <x:v>-0.13108432151493268</x:v>
      </x:c>
      <x:c r="O1133" s="36" t="n">
        <x:f>Assumptions!$B$10</x:f>
        <x:v>0</x:v>
      </x:c>
      <x:c r="P1133" s="54" t="n">
        <x:f>E1133*(1+N1133)</x:f>
        <x:v>3433.085845694501</x:v>
      </x:c>
      <x:c r="Q1133" s="54" t="n">
        <x:f>P1133-E1133</x:f>
        <x:v>-517.9141543054989</x:v>
      </x:c>
      <x:c r="R1133" s="16" t="str">
        <x:v>Yes</x:v>
      </x:c>
      <x:c r="S1133" s="56" t="n">
        <x:v>34644</x:v>
      </x:c>
      <x:c r="T1133" s="56" t="n">
        <x:v>18846</x:v>
      </x:c>
      <x:c r="U1133" s="40" t="n">
        <x:f>E1133*Assumptions!$B$8</x:f>
        <x:v>3358.35</x:v>
      </x:c>
      <x:c r="V1133" s="40" t="n">
        <x:f>P1133*Assumptions!$B$8</x:f>
        <x:v>2918.122968840326</x:v>
      </x:c>
      <x:c r="W1133" s="54" t="n">
        <x:f>V1133-U1133</x:f>
        <x:v>-440.22703115967397</x:v>
      </x:c>
      <x:c r="X1133" s="58" t="n">
        <x:f>IF(R1133="No","",W1133*S1133)</x:f>
        <x:v>-15251225.267495746</x:v>
      </x:c>
      <x:c r="Y1133" s="58" t="n">
        <x:f>IF(R1133="No","",W1133*T1133*Assumptions!$B$9)</x:f>
        <x:v>-2488955.5887705646</x:v>
      </x:c>
      <x:c r="Z1133" s="58" t="n">
        <x:f>IF(R1133="No","",X1133-Y1133)</x:f>
        <x:v>-12762269.678725181</x:v>
      </x:c>
      <x:c r="AA1133" s="58" t="n">
        <x:f>IF(R1133="No","",MAX(0,-Z1133))</x:f>
        <x:v>12762269.678725181</x:v>
      </x:c>
      <x:c r="AB1133" s="52" t="n">
        <x:f>IF(OR(R1133="No",U1133*S1133=0),"",AA1133/(U1133*S1133))</x:f>
        <x:v>0.10969174164594736</x:v>
      </x:c>
      <x:c r="AC1133" s="54" t="n">
        <x:f>IF(OR(R1133="No",S1133-T1133*Assumptions!$B$9&lt;=0),"",AA1133/(Assumptions!$B$8*(S1133-T1133*Assumptions!$B$9)))</x:f>
        <x:v>517.9141543054989</x:v>
      </x:c>
      <x:c r="AD1133" s="52" t="n">
        <x:f>IF(OR(R1133="No",U1133*S1133=0),"",AA1133/(U1133*S1133))</x:f>
        <x:v>0.10969174164594736</x:v>
      </x:c>
      <x:c r="AE1133" s="50" t="str">
        <x:f>IF(R1133="No","No finance data",IF(AB1133&gt;=10%,"Severe",IF(AB1133&gt;=5%,"High",IF(AB1133&gt;=2%,"Moderate","Low"))))</x:f>
        <x:v>Severe</x:v>
      </x:c>
      <x:c r="AF1133" s="60" t="n">
        <x:v>40.812447</x:v>
      </x:c>
      <x:c r="AG1133" s="60" t="n">
        <x:v>-73.6078</x:v>
      </x:c>
      <x:c r="AH1133" s="44" t="str">
        <x:v>Undergraduate tuition-contribution proxy only; not an audited total institutional budget.</x:v>
      </x:c>
    </x:row>
    <x:row r="1134">
      <x:c r="A1134" s="16" t="n">
        <x:v>194116</x:v>
      </x:c>
      <x:c r="B1134" s="16" t="str">
        <x:v>New York School of Interior Design</x:v>
      </x:c>
      <x:c r="C1134" s="16" t="str">
        <x:v>NY</x:v>
      </x:c>
      <x:c r="D1134" s="16" t="str">
        <x:v>Private nonprofit</x:v>
      </x:c>
      <x:c r="E1134" s="34" t="n">
        <x:v>334</x:v>
      </x:c>
      <x:c r="F1134" s="21"/>
      <x:c r="G1134" s="16" t="str">
        <x:v>Regional</x:v>
      </x:c>
      <x:c r="H1134" s="36" t="n">
        <x:f>IF(G1134="National",Assumptions!$B$11,IF(G1134="Statewide",Assumptions!$B$12,Assumptions!$B$13))</x:f>
        <x:v>0.85</x:v>
      </x:c>
      <x:c r="I1134" s="21" t="n">
        <x:v>-0.08678079290324192</x:v>
      </x:c>
      <x:c r="J1134" s="21" t="n">
        <x:v>-0.14585233360743566</x:v>
      </x:c>
      <x:c r="K1134" s="21" t="n">
        <x:v>-0.24979193142458445</x:v>
      </x:c>
      <x:c r="L1134" s="36" t="n">
        <x:f>IF(Assumptions!$B$4=2030,I1134,IF(Assumptions!$B$4=2035,J1134,K1134))</x:f>
        <x:v>-0.14585233360743566</x:v>
      </x:c>
      <x:c r="M1134" s="36" t="n">
        <x:f>Assumptions!$B$19</x:f>
        <x:v>-0.04739891965741583</x:v>
      </x:c>
      <x:c r="N1134" s="52" t="n">
        <x:f>H1134*L1134+(1-H1134)*M1134+O1134</x:f>
        <x:v>-0.13108432151493268</x:v>
      </x:c>
      <x:c r="O1134" s="36" t="n">
        <x:f>Assumptions!$B$10</x:f>
        <x:v>0</x:v>
      </x:c>
      <x:c r="P1134" s="54" t="n">
        <x:f>E1134*(1+N1134)</x:f>
        <x:v>290.21783661401247</x:v>
      </x:c>
      <x:c r="Q1134" s="54" t="n">
        <x:f>P1134-E1134</x:f>
        <x:v>-43.78216338598753</x:v>
      </x:c>
      <x:c r="R1134" s="16" t="str">
        <x:v>No</x:v>
      </x:c>
      <x:c r="S1134" s="56"/>
      <x:c r="T1134" s="56"/>
      <x:c r="U1134" s="40" t="n">
        <x:f>E1134*Assumptions!$B$8</x:f>
        <x:v>283.9</x:v>
      </x:c>
      <x:c r="V1134" s="40" t="n">
        <x:f>P1134*Assumptions!$B$8</x:f>
        <x:v>246.6851611219106</x:v>
      </x:c>
      <x:c r="W1134" s="54" t="n">
        <x:f>V1134-U1134</x:f>
        <x:v>-37.21483887808938</x:v>
      </x:c>
      <x:c r="X1134" s="58" t="str">
        <x:f>IF(R1134="No","",W1134*S1134)</x:f>
      </x:c>
      <x:c r="Y1134" s="58" t="str">
        <x:f>IF(R1134="No","",W1134*T1134*Assumptions!$B$9)</x:f>
      </x:c>
      <x:c r="Z1134" s="58" t="str">
        <x:f>IF(R1134="No","",X1134-Y1134)</x:f>
      </x:c>
      <x:c r="AA1134" s="58" t="str">
        <x:f>IF(R1134="No","",MAX(0,-Z1134))</x:f>
      </x:c>
      <x:c r="AB1134" s="52" t="str">
        <x:f>IF(OR(R1134="No",U1134*S1134=0),"",AA1134/(U1134*S1134))</x:f>
      </x:c>
      <x:c r="AC1134" s="54" t="str">
        <x:f>IF(OR(R1134="No",S1134-T1134*Assumptions!$B$9&lt;=0),"",AA1134/(Assumptions!$B$8*(S1134-T1134*Assumptions!$B$9)))</x:f>
      </x:c>
      <x:c r="AD1134" s="52" t="str">
        <x:f>IF(OR(R1134="No",U1134*S1134=0),"",AA1134/(U1134*S1134))</x:f>
      </x:c>
      <x:c r="AE1134" s="50" t="str">
        <x:f>IF(R1134="No","No finance data",IF(AB1134&gt;=10%,"Severe",IF(AB1134&gt;=5%,"High",IF(AB1134&gt;=2%,"Moderate","Low"))))</x:f>
        <x:v>No finance data</x:v>
      </x:c>
      <x:c r="AF1134" s="60"/>
      <x:c r="AG1134" s="60"/>
      <x:c r="AH1134" s="44" t="str">
        <x:v>Undergraduate tuition-contribution proxy only; not an audited total institutional budget.</x:v>
      </x:c>
    </x:row>
    <x:row r="1135">
      <x:c r="A1135" s="16" t="n">
        <x:v>193900</x:v>
      </x:c>
      <x:c r="B1135" s="16" t="str">
        <x:v>New York University</x:v>
      </x:c>
      <x:c r="C1135" s="16" t="str">
        <x:v>NY</x:v>
      </x:c>
      <x:c r="D1135" s="16" t="str">
        <x:v>Private nonprofit</x:v>
      </x:c>
      <x:c r="E1135" s="34" t="n">
        <x:v>25314</x:v>
      </x:c>
      <x:c r="F1135" s="21" t="n">
        <x:v>0.1296</x:v>
      </x:c>
      <x:c r="G1135" s="16" t="str">
        <x:v>National</x:v>
      </x:c>
      <x:c r="H1135" s="36" t="n">
        <x:f>IF(G1135="National",Assumptions!$B$11,IF(G1135="Statewide",Assumptions!$B$12,Assumptions!$B$13))</x:f>
        <x:v>0.25</x:v>
      </x:c>
      <x:c r="I1135" s="21" t="n">
        <x:v>-0.08678079290324192</x:v>
      </x:c>
      <x:c r="J1135" s="21" t="n">
        <x:v>-0.14585233360743566</x:v>
      </x:c>
      <x:c r="K1135" s="21" t="n">
        <x:v>-0.24979193142458445</x:v>
      </x:c>
      <x:c r="L1135" s="36" t="n">
        <x:f>IF(Assumptions!$B$4=2030,I1135,IF(Assumptions!$B$4=2035,J1135,K1135))</x:f>
        <x:v>-0.14585233360743566</x:v>
      </x:c>
      <x:c r="M1135" s="36" t="n">
        <x:f>Assumptions!$B$19</x:f>
        <x:v>-0.04739891965741583</x:v>
      </x:c>
      <x:c r="N1135" s="52" t="n">
        <x:f>H1135*L1135+(1-H1135)*M1135+O1135</x:f>
        <x:v>-0.07201227314492079</x:v>
      </x:c>
      <x:c r="O1135" s="36" t="n">
        <x:f>Assumptions!$B$10</x:f>
        <x:v>0</x:v>
      </x:c>
      <x:c r="P1135" s="54" t="n">
        <x:f>E1135*(1+N1135)</x:f>
        <x:v>23491.081317609474</x:v>
      </x:c>
      <x:c r="Q1135" s="54" t="n">
        <x:f>P1135-E1135</x:f>
        <x:v>-1822.9186823905256</x:v>
      </x:c>
      <x:c r="R1135" s="16" t="str">
        <x:v>Yes</x:v>
      </x:c>
      <x:c r="S1135" s="56" t="n">
        <x:v>40112</x:v>
      </x:c>
      <x:c r="T1135" s="56" t="n">
        <x:v>33470</x:v>
      </x:c>
      <x:c r="U1135" s="40" t="n">
        <x:f>E1135*Assumptions!$B$8</x:f>
        <x:v>21516.899999999998</x:v>
      </x:c>
      <x:c r="V1135" s="40" t="n">
        <x:f>P1135*Assumptions!$B$8</x:f>
        <x:v>19967.419119968054</x:v>
      </x:c>
      <x:c r="W1135" s="54" t="n">
        <x:f>V1135-U1135</x:f>
        <x:v>-1549.4808800319443</x:v>
      </x:c>
      <x:c r="X1135" s="58" t="n">
        <x:f>IF(R1135="No","",W1135*S1135)</x:f>
        <x:v>-62152777.05984135</x:v>
      </x:c>
      <x:c r="Y1135" s="58" t="n">
        <x:f>IF(R1135="No","",W1135*T1135*Assumptions!$B$9)</x:f>
        <x:v>-15558337.51640075</x:v>
      </x:c>
      <x:c r="Z1135" s="58" t="n">
        <x:f>IF(R1135="No","",X1135-Y1135)</x:f>
        <x:v>-46594439.543440595</x:v>
      </x:c>
      <x:c r="AA1135" s="58" t="n">
        <x:f>IF(R1135="No","",MAX(0,-Z1135))</x:f>
        <x:v>46594439.543440595</x:v>
      </x:c>
      <x:c r="AB1135" s="52" t="n">
        <x:f>IF(OR(R1135="No",U1135*S1135=0),"",AA1135/(U1135*S1135))</x:f>
        <x:v>0.05398586621811205</x:v>
      </x:c>
      <x:c r="AC1135" s="54" t="n">
        <x:f>IF(OR(R1135="No",S1135-T1135*Assumptions!$B$9&lt;=0),"",AA1135/(Assumptions!$B$8*(S1135-T1135*Assumptions!$B$9)))</x:f>
        <x:v>1822.9186823905227</x:v>
      </x:c>
      <x:c r="AD1135" s="52" t="n">
        <x:f>IF(OR(R1135="No",U1135*S1135=0),"",AA1135/(U1135*S1135))</x:f>
        <x:v>0.05398586621811205</x:v>
      </x:c>
      <x:c r="AE1135" s="50" t="str">
        <x:f>IF(R1135="No","No finance data",IF(AB1135&gt;=10%,"Severe",IF(AB1135&gt;=5%,"High",IF(AB1135&gt;=2%,"Moderate","Low"))))</x:f>
        <x:v>High</x:v>
      </x:c>
      <x:c r="AF1135" s="60" t="n">
        <x:v>40.729452</x:v>
      </x:c>
      <x:c r="AG1135" s="60" t="n">
        <x:v>-73.997264</x:v>
      </x:c>
      <x:c r="AH1135" s="44" t="str">
        <x:v>Undergraduate tuition-contribution proxy only; not an audited total institutional budget.</x:v>
      </x:c>
    </x:row>
    <x:row r="1136">
      <x:c r="A1136" s="16" t="n">
        <x:v>193973</x:v>
      </x:c>
      <x:c r="B1136" s="16" t="str">
        <x:v>Niagara University</x:v>
      </x:c>
      <x:c r="C1136" s="16" t="str">
        <x:v>NY</x:v>
      </x:c>
      <x:c r="D1136" s="16" t="str">
        <x:v>Private nonprofit</x:v>
      </x:c>
      <x:c r="E1136" s="34" t="n">
        <x:v>3133</x:v>
      </x:c>
      <x:c r="F1136" s="21" t="n">
        <x:v>0.922</x:v>
      </x:c>
      <x:c r="G1136" s="16" t="str">
        <x:v>Regional</x:v>
      </x:c>
      <x:c r="H1136" s="36" t="n">
        <x:f>IF(G1136="National",Assumptions!$B$11,IF(G1136="Statewide",Assumptions!$B$12,Assumptions!$B$13))</x:f>
        <x:v>0.85</x:v>
      </x:c>
      <x:c r="I1136" s="21" t="n">
        <x:v>-0.08678079290324192</x:v>
      </x:c>
      <x:c r="J1136" s="21" t="n">
        <x:v>-0.14585233360743566</x:v>
      </x:c>
      <x:c r="K1136" s="21" t="n">
        <x:v>-0.24979193142458445</x:v>
      </x:c>
      <x:c r="L1136" s="36" t="n">
        <x:f>IF(Assumptions!$B$4=2030,I1136,IF(Assumptions!$B$4=2035,J1136,K1136))</x:f>
        <x:v>-0.14585233360743566</x:v>
      </x:c>
      <x:c r="M1136" s="36" t="n">
        <x:f>Assumptions!$B$19</x:f>
        <x:v>-0.04739891965741583</x:v>
      </x:c>
      <x:c r="N1136" s="52" t="n">
        <x:f>H1136*L1136+(1-H1136)*M1136+O1136</x:f>
        <x:v>-0.13108432151493268</x:v>
      </x:c>
      <x:c r="O1136" s="36" t="n">
        <x:f>Assumptions!$B$10</x:f>
        <x:v>0</x:v>
      </x:c>
      <x:c r="P1136" s="54" t="n">
        <x:f>E1136*(1+N1136)</x:f>
        <x:v>2722.312820693716</x:v>
      </x:c>
      <x:c r="Q1136" s="54" t="n">
        <x:f>P1136-E1136</x:f>
        <x:v>-410.6871793062842</x:v>
      </x:c>
      <x:c r="R1136" s="16" t="str">
        <x:v>Yes</x:v>
      </x:c>
      <x:c r="S1136" s="56" t="n">
        <x:v>14372</x:v>
      </x:c>
      <x:c r="T1136" s="56" t="n">
        <x:v>8331</x:v>
      </x:c>
      <x:c r="U1136" s="40" t="n">
        <x:f>E1136*Assumptions!$B$8</x:f>
        <x:v>2663.0499999999997</x:v>
      </x:c>
      <x:c r="V1136" s="40" t="n">
        <x:f>P1136*Assumptions!$B$8</x:f>
        <x:v>2313.965897589658</x:v>
      </x:c>
      <x:c r="W1136" s="54" t="n">
        <x:f>V1136-U1136</x:f>
        <x:v>-349.08410241034153</x:v>
      </x:c>
      <x:c r="X1136" s="58" t="n">
        <x:f>IF(R1136="No","",W1136*S1136)</x:f>
        <x:v>-5017036.719841428</x:v>
      </x:c>
      <x:c r="Y1136" s="58" t="n">
        <x:f>IF(R1136="No","",W1136*T1136*Assumptions!$B$9)</x:f>
        <x:v>-872465.8971541665</x:v>
      </x:c>
      <x:c r="Z1136" s="58" t="n">
        <x:f>IF(R1136="No","",X1136-Y1136)</x:f>
        <x:v>-4144570.8226872617</x:v>
      </x:c>
      <x:c r="AA1136" s="58" t="n">
        <x:f>IF(R1136="No","",MAX(0,-Z1136))</x:f>
        <x:v>4144570.8226872617</x:v>
      </x:c>
      <x:c r="AB1136" s="52" t="n">
        <x:f>IF(OR(R1136="No",U1136*S1136=0),"",AA1136/(U1136*S1136))</x:f>
        <x:v>0.1082886740920082</x:v>
      </x:c>
      <x:c r="AC1136" s="54" t="n">
        <x:f>IF(OR(R1136="No",S1136-T1136*Assumptions!$B$9&lt;=0),"",AA1136/(Assumptions!$B$8*(S1136-T1136*Assumptions!$B$9)))</x:f>
        <x:v>410.6871793062841</x:v>
      </x:c>
      <x:c r="AD1136" s="52" t="n">
        <x:f>IF(OR(R1136="No",U1136*S1136=0),"",AA1136/(U1136*S1136))</x:f>
        <x:v>0.1082886740920082</x:v>
      </x:c>
      <x:c r="AE1136" s="50" t="str">
        <x:f>IF(R1136="No","No finance data",IF(AB1136&gt;=10%,"Severe",IF(AB1136&gt;=5%,"High",IF(AB1136&gt;=2%,"Moderate","Low"))))</x:f>
        <x:v>Severe</x:v>
      </x:c>
      <x:c r="AF1136" s="60" t="n">
        <x:v>43.137279</x:v>
      </x:c>
      <x:c r="AG1136" s="60" t="n">
        <x:v>-79.036689</x:v>
      </x:c>
      <x:c r="AH1136" s="44" t="str">
        <x:v>Undergraduate tuition-contribution proxy only; not an audited total institutional budget.</x:v>
      </x:c>
    </x:row>
    <x:row r="1137">
      <x:c r="A1137" s="16" t="n">
        <x:v>194161</x:v>
      </x:c>
      <x:c r="B1137" s="16" t="str">
        <x:v>Nyack College</x:v>
      </x:c>
      <x:c r="C1137" s="16" t="str">
        <x:v>NY</x:v>
      </x:c>
      <x:c r="D1137" s="16" t="str">
        <x:v>Private nonprofit</x:v>
      </x:c>
      <x:c r="E1137" s="34" t="n">
        <x:v>1540</x:v>
      </x:c>
      <x:c r="F1137" s="21" t="n">
        <x:v>0.9965</x:v>
      </x:c>
      <x:c r="G1137" s="16" t="str">
        <x:v>Regional</x:v>
      </x:c>
      <x:c r="H1137" s="36" t="n">
        <x:f>IF(G1137="National",Assumptions!$B$11,IF(G1137="Statewide",Assumptions!$B$12,Assumptions!$B$13))</x:f>
        <x:v>0.85</x:v>
      </x:c>
      <x:c r="I1137" s="21" t="n">
        <x:v>-0.08678079290324192</x:v>
      </x:c>
      <x:c r="J1137" s="21" t="n">
        <x:v>-0.14585233360743566</x:v>
      </x:c>
      <x:c r="K1137" s="21" t="n">
        <x:v>-0.24979193142458445</x:v>
      </x:c>
      <x:c r="L1137" s="36" t="n">
        <x:f>IF(Assumptions!$B$4=2030,I1137,IF(Assumptions!$B$4=2035,J1137,K1137))</x:f>
        <x:v>-0.14585233360743566</x:v>
      </x:c>
      <x:c r="M1137" s="36" t="n">
        <x:f>Assumptions!$B$19</x:f>
        <x:v>-0.04739891965741583</x:v>
      </x:c>
      <x:c r="N1137" s="52" t="n">
        <x:f>H1137*L1137+(1-H1137)*M1137+O1137</x:f>
        <x:v>-0.13108432151493268</x:v>
      </x:c>
      <x:c r="O1137" s="36" t="n">
        <x:f>Assumptions!$B$10</x:f>
        <x:v>0</x:v>
      </x:c>
      <x:c r="P1137" s="54" t="n">
        <x:f>E1137*(1+N1137)</x:f>
        <x:v>1338.1301448670038</x:v>
      </x:c>
      <x:c r="Q1137" s="54" t="n">
        <x:f>P1137-E1137</x:f>
        <x:v>-201.86985513299624</x:v>
      </x:c>
      <x:c r="R1137" s="16" t="str">
        <x:v>Yes</x:v>
      </x:c>
      <x:c r="S1137" s="56" t="n">
        <x:v>10358</x:v>
      </x:c>
      <x:c r="T1137" s="56" t="n">
        <x:v>8249</x:v>
      </x:c>
      <x:c r="U1137" s="40" t="n">
        <x:f>E1137*Assumptions!$B$8</x:f>
        <x:v>1309</x:v>
      </x:c>
      <x:c r="V1137" s="40" t="n">
        <x:f>P1137*Assumptions!$B$8</x:f>
        <x:v>1137.410623136953</x:v>
      </x:c>
      <x:c r="W1137" s="54" t="n">
        <x:f>V1137-U1137</x:f>
        <x:v>-171.58937686304694</x:v>
      </x:c>
      <x:c r="X1137" s="58" t="n">
        <x:f>IF(R1137="No","",W1137*S1137)</x:f>
        <x:v>-1777322.7655474402</x:v>
      </x:c>
      <x:c r="Y1137" s="58" t="n">
        <x:f>IF(R1137="No","",W1137*T1137*Assumptions!$B$9)</x:f>
        <x:v>-424632.2309229823</x:v>
      </x:c>
      <x:c r="Z1137" s="58" t="n">
        <x:f>IF(R1137="No","",X1137-Y1137)</x:f>
        <x:v>-1352690.5346244578</x:v>
      </x:c>
      <x:c r="AA1137" s="58" t="n">
        <x:f>IF(R1137="No","",MAX(0,-Z1137))</x:f>
        <x:v>1352690.5346244578</x:v>
      </x:c>
      <x:c r="AB1137" s="52" t="n">
        <x:f>IF(OR(R1137="No",U1137*S1137=0),"",AA1137/(U1137*S1137))</x:f>
        <x:v>0.09976607760172515</x:v>
      </x:c>
      <x:c r="AC1137" s="54" t="n">
        <x:f>IF(OR(R1137="No",S1137-T1137*Assumptions!$B$9&lt;=0),"",AA1137/(Assumptions!$B$8*(S1137-T1137*Assumptions!$B$9)))</x:f>
        <x:v>201.86985513299638</x:v>
      </x:c>
      <x:c r="AD1137" s="52" t="n">
        <x:f>IF(OR(R1137="No",U1137*S1137=0),"",AA1137/(U1137*S1137))</x:f>
        <x:v>0.09976607760172515</x:v>
      </x:c>
      <x:c r="AE1137" s="50" t="str">
        <x:f>IF(R1137="No","No finance data",IF(AB1137&gt;=10%,"Severe",IF(AB1137&gt;=5%,"High",IF(AB1137&gt;=2%,"Moderate","Low"))))</x:f>
        <x:v>High</x:v>
      </x:c>
      <x:c r="AF1137" s="60" t="n">
        <x:v>40.705798</x:v>
      </x:c>
      <x:c r="AG1137" s="60" t="n">
        <x:v>-74.015605</x:v>
      </x:c>
      <x:c r="AH1137" s="44" t="str">
        <x:v>Undergraduate tuition-contribution proxy only; not an audited total institutional budget.</x:v>
      </x:c>
    </x:row>
    <x:row r="1138">
      <x:c r="A1138" s="16" t="n">
        <x:v>194189</x:v>
      </x:c>
      <x:c r="B1138" s="16" t="str">
        <x:v>Ohr Hameir Theological Seminary</x:v>
      </x:c>
      <x:c r="C1138" s="16" t="str">
        <x:v>NY</x:v>
      </x:c>
      <x:c r="D1138" s="16" t="str">
        <x:v>Private nonprofit</x:v>
      </x:c>
      <x:c r="E1138" s="34" t="n">
        <x:v>126</x:v>
      </x:c>
      <x:c r="F1138" s="21"/>
      <x:c r="G1138" s="16" t="str">
        <x:v>Regional</x:v>
      </x:c>
      <x:c r="H1138" s="36" t="n">
        <x:f>IF(G1138="National",Assumptions!$B$11,IF(G1138="Statewide",Assumptions!$B$12,Assumptions!$B$13))</x:f>
        <x:v>0.85</x:v>
      </x:c>
      <x:c r="I1138" s="21" t="n">
        <x:v>-0.08678079290324192</x:v>
      </x:c>
      <x:c r="J1138" s="21" t="n">
        <x:v>-0.14585233360743566</x:v>
      </x:c>
      <x:c r="K1138" s="21" t="n">
        <x:v>-0.24979193142458445</x:v>
      </x:c>
      <x:c r="L1138" s="36" t="n">
        <x:f>IF(Assumptions!$B$4=2030,I1138,IF(Assumptions!$B$4=2035,J1138,K1138))</x:f>
        <x:v>-0.14585233360743566</x:v>
      </x:c>
      <x:c r="M1138" s="36" t="n">
        <x:f>Assumptions!$B$19</x:f>
        <x:v>-0.04739891965741583</x:v>
      </x:c>
      <x:c r="N1138" s="52" t="n">
        <x:f>H1138*L1138+(1-H1138)*M1138+O1138</x:f>
        <x:v>-0.13108432151493268</x:v>
      </x:c>
      <x:c r="O1138" s="36" t="n">
        <x:f>Assumptions!$B$10</x:f>
        <x:v>0</x:v>
      </x:c>
      <x:c r="P1138" s="54" t="n">
        <x:f>E1138*(1+N1138)</x:f>
        <x:v>109.48337548911849</x:v>
      </x:c>
      <x:c r="Q1138" s="54" t="n">
        <x:f>P1138-E1138</x:f>
        <x:v>-16.516624510881513</x:v>
      </x:c>
      <x:c r="R1138" s="16" t="str">
        <x:v>No</x:v>
      </x:c>
      <x:c r="S1138" s="56"/>
      <x:c r="T1138" s="56"/>
      <x:c r="U1138" s="40" t="n">
        <x:f>E1138*Assumptions!$B$8</x:f>
        <x:v>107.1</x:v>
      </x:c>
      <x:c r="V1138" s="40" t="n">
        <x:f>P1138*Assumptions!$B$8</x:f>
        <x:v>93.06086916575072</x:v>
      </x:c>
      <x:c r="W1138" s="54" t="n">
        <x:f>V1138-U1138</x:f>
        <x:v>-14.039130834249278</x:v>
      </x:c>
      <x:c r="X1138" s="58" t="str">
        <x:f>IF(R1138="No","",W1138*S1138)</x:f>
      </x:c>
      <x:c r="Y1138" s="58" t="str">
        <x:f>IF(R1138="No","",W1138*T1138*Assumptions!$B$9)</x:f>
      </x:c>
      <x:c r="Z1138" s="58" t="str">
        <x:f>IF(R1138="No","",X1138-Y1138)</x:f>
      </x:c>
      <x:c r="AA1138" s="58" t="str">
        <x:f>IF(R1138="No","",MAX(0,-Z1138))</x:f>
      </x:c>
      <x:c r="AB1138" s="52" t="str">
        <x:f>IF(OR(R1138="No",U1138*S1138=0),"",AA1138/(U1138*S1138))</x:f>
      </x:c>
      <x:c r="AC1138" s="54" t="str">
        <x:f>IF(OR(R1138="No",S1138-T1138*Assumptions!$B$9&lt;=0),"",AA1138/(Assumptions!$B$8*(S1138-T1138*Assumptions!$B$9)))</x:f>
      </x:c>
      <x:c r="AD1138" s="52" t="str">
        <x:f>IF(OR(R1138="No",U1138*S1138=0),"",AA1138/(U1138*S1138))</x:f>
      </x:c>
      <x:c r="AE1138" s="50" t="str">
        <x:f>IF(R1138="No","No finance data",IF(AB1138&gt;=10%,"Severe",IF(AB1138&gt;=5%,"High",IF(AB1138&gt;=2%,"Moderate","Low"))))</x:f>
        <x:v>No finance data</x:v>
      </x:c>
      <x:c r="AF1138" s="60"/>
      <x:c r="AG1138" s="60"/>
      <x:c r="AH1138" s="44" t="str">
        <x:v>Undergraduate tuition-contribution proxy only; not an audited total institutional budget.</x:v>
      </x:c>
    </x:row>
    <x:row r="1139">
      <x:c r="A1139" s="16" t="n">
        <x:v>194310</x:v>
      </x:c>
      <x:c r="B1139" s="16" t="str">
        <x:v>Pace University-New York</x:v>
      </x:c>
      <x:c r="C1139" s="16" t="str">
        <x:v>NY</x:v>
      </x:c>
      <x:c r="D1139" s="16" t="str">
        <x:v>Private nonprofit</x:v>
      </x:c>
      <x:c r="E1139" s="34" t="n">
        <x:v>8371</x:v>
      </x:c>
      <x:c r="F1139" s="21" t="n">
        <x:v>0.8762</x:v>
      </x:c>
      <x:c r="G1139" s="16" t="str">
        <x:v>Statewide</x:v>
      </x:c>
      <x:c r="H1139" s="36" t="n">
        <x:f>IF(G1139="National",Assumptions!$B$11,IF(G1139="Statewide",Assumptions!$B$12,Assumptions!$B$13))</x:f>
        <x:v>0.6</x:v>
      </x:c>
      <x:c r="I1139" s="21" t="n">
        <x:v>-0.08678079290324192</x:v>
      </x:c>
      <x:c r="J1139" s="21" t="n">
        <x:v>-0.14585233360743566</x:v>
      </x:c>
      <x:c r="K1139" s="21" t="n">
        <x:v>-0.24979193142458445</x:v>
      </x:c>
      <x:c r="L1139" s="36" t="n">
        <x:f>IF(Assumptions!$B$4=2030,I1139,IF(Assumptions!$B$4=2035,J1139,K1139))</x:f>
        <x:v>-0.14585233360743566</x:v>
      </x:c>
      <x:c r="M1139" s="36" t="n">
        <x:f>Assumptions!$B$19</x:f>
        <x:v>-0.04739891965741583</x:v>
      </x:c>
      <x:c r="N1139" s="52" t="n">
        <x:f>H1139*L1139+(1-H1139)*M1139+O1139</x:f>
        <x:v>-0.10647096802742773</x:v>
      </x:c>
      <x:c r="O1139" s="36" t="n">
        <x:f>Assumptions!$B$10</x:f>
        <x:v>0</x:v>
      </x:c>
      <x:c r="P1139" s="54" t="n">
        <x:f>E1139*(1+N1139)</x:f>
        <x:v>7479.731526642402</x:v>
      </x:c>
      <x:c r="Q1139" s="54" t="n">
        <x:f>P1139-E1139</x:f>
        <x:v>-891.2684733575979</x:v>
      </x:c>
      <x:c r="R1139" s="16" t="str">
        <x:v>Yes</x:v>
      </x:c>
      <x:c r="S1139" s="56" t="n">
        <x:v>22070</x:v>
      </x:c>
      <x:c r="T1139" s="56" t="n">
        <x:v>11053</x:v>
      </x:c>
      <x:c r="U1139" s="40" t="n">
        <x:f>E1139*Assumptions!$B$8</x:f>
        <x:v>7115.349999999999</x:v>
      </x:c>
      <x:c r="V1139" s="40" t="n">
        <x:f>P1139*Assumptions!$B$8</x:f>
        <x:v>6357.771797646042</x:v>
      </x:c>
      <x:c r="W1139" s="54" t="n">
        <x:f>V1139-U1139</x:f>
        <x:v>-757.5782023539577</x:v>
      </x:c>
      <x:c r="X1139" s="58" t="n">
        <x:f>IF(R1139="No","",W1139*S1139)</x:f>
        <x:v>-16719750.925951848</x:v>
      </x:c>
      <x:c r="Y1139" s="58" t="n">
        <x:f>IF(R1139="No","",W1139*T1139*Assumptions!$B$9)</x:f>
        <x:v>-2512053.5611854885</x:v>
      </x:c>
      <x:c r="Z1139" s="58" t="n">
        <x:f>IF(R1139="No","",X1139-Y1139)</x:f>
        <x:v>-14207697.36476636</x:v>
      </x:c>
      <x:c r="AA1139" s="58" t="n">
        <x:f>IF(R1139="No","",MAX(0,-Z1139))</x:f>
        <x:v>14207697.36476636</x:v>
      </x:c>
      <x:c r="AB1139" s="52" t="n">
        <x:f>IF(OR(R1139="No",U1139*S1139=0),"",AA1139/(U1139*S1139))</x:f>
        <x:v>0.09047427192945999</x:v>
      </x:c>
      <x:c r="AC1139" s="54" t="n">
        <x:f>IF(OR(R1139="No",S1139-T1139*Assumptions!$B$9&lt;=0),"",AA1139/(Assumptions!$B$8*(S1139-T1139*Assumptions!$B$9)))</x:f>
        <x:v>891.2684733575975</x:v>
      </x:c>
      <x:c r="AD1139" s="52" t="n">
        <x:f>IF(OR(R1139="No",U1139*S1139=0),"",AA1139/(U1139*S1139))</x:f>
        <x:v>0.09047427192945999</x:v>
      </x:c>
      <x:c r="AE1139" s="50" t="str">
        <x:f>IF(R1139="No","No finance data",IF(AB1139&gt;=10%,"Severe",IF(AB1139&gt;=5%,"High",IF(AB1139&gt;=2%,"Moderate","Low"))))</x:f>
        <x:v>High</x:v>
      </x:c>
      <x:c r="AF1139" s="60" t="n">
        <x:v>40.711014</x:v>
      </x:c>
      <x:c r="AG1139" s="60" t="n">
        <x:v>-74.004719</x:v>
      </x:c>
      <x:c r="AH1139" s="44" t="str">
        <x:v>Undergraduate tuition-contribution proxy only; not an audited total institutional budget.</x:v>
      </x:c>
    </x:row>
    <x:row r="1140">
      <x:c r="A1140" s="16" t="n">
        <x:v>194392</x:v>
      </x:c>
      <x:c r="B1140" s="16" t="str">
        <x:v>Paul Smiths College of Arts and Science</x:v>
      </x:c>
      <x:c r="C1140" s="16" t="str">
        <x:v>NY</x:v>
      </x:c>
      <x:c r="D1140" s="16" t="str">
        <x:v>Private nonprofit</x:v>
      </x:c>
      <x:c r="E1140" s="34" t="n">
        <x:v>885</x:v>
      </x:c>
      <x:c r="F1140" s="21" t="n">
        <x:v>0.7471</x:v>
      </x:c>
      <x:c r="G1140" s="16" t="str">
        <x:v>Regional</x:v>
      </x:c>
      <x:c r="H1140" s="36" t="n">
        <x:f>IF(G1140="National",Assumptions!$B$11,IF(G1140="Statewide",Assumptions!$B$12,Assumptions!$B$13))</x:f>
        <x:v>0.85</x:v>
      </x:c>
      <x:c r="I1140" s="21" t="n">
        <x:v>-0.08678079290324192</x:v>
      </x:c>
      <x:c r="J1140" s="21" t="n">
        <x:v>-0.14585233360743566</x:v>
      </x:c>
      <x:c r="K1140" s="21" t="n">
        <x:v>-0.24979193142458445</x:v>
      </x:c>
      <x:c r="L1140" s="36" t="n">
        <x:f>IF(Assumptions!$B$4=2030,I1140,IF(Assumptions!$B$4=2035,J1140,K1140))</x:f>
        <x:v>-0.14585233360743566</x:v>
      </x:c>
      <x:c r="M1140" s="36" t="n">
        <x:f>Assumptions!$B$19</x:f>
        <x:v>-0.04739891965741583</x:v>
      </x:c>
      <x:c r="N1140" s="52" t="n">
        <x:f>H1140*L1140+(1-H1140)*M1140+O1140</x:f>
        <x:v>-0.13108432151493268</x:v>
      </x:c>
      <x:c r="O1140" s="36" t="n">
        <x:f>Assumptions!$B$10</x:f>
        <x:v>0</x:v>
      </x:c>
      <x:c r="P1140" s="54" t="n">
        <x:f>E1140*(1+N1140)</x:f>
        <x:v>768.9903754592846</x:v>
      </x:c>
      <x:c r="Q1140" s="54" t="n">
        <x:f>P1140-E1140</x:f>
        <x:v>-116.00962454071544</x:v>
      </x:c>
      <x:c r="R1140" s="16" t="str">
        <x:v>Yes</x:v>
      </x:c>
      <x:c r="S1140" s="56" t="n">
        <x:v>22014</x:v>
      </x:c>
      <x:c r="T1140" s="56" t="n">
        <x:v>10132</x:v>
      </x:c>
      <x:c r="U1140" s="40" t="n">
        <x:f>E1140*Assumptions!$B$8</x:f>
        <x:v>752.25</x:v>
      </x:c>
      <x:c r="V1140" s="40" t="n">
        <x:f>P1140*Assumptions!$B$8</x:f>
        <x:v>653.6418191403918</x:v>
      </x:c>
      <x:c r="W1140" s="54" t="n">
        <x:f>V1140-U1140</x:f>
        <x:v>-98.60818085960818</x:v>
      </x:c>
      <x:c r="X1140" s="58" t="n">
        <x:f>IF(R1140="No","",W1140*S1140)</x:f>
        <x:v>-2170760.4934434146</x:v>
      </x:c>
      <x:c r="Y1140" s="58" t="n">
        <x:f>IF(R1140="No","",W1140*T1140*Assumptions!$B$9)</x:f>
        <x:v>-299729.42654086504</x:v>
      </x:c>
      <x:c r="Z1140" s="58" t="n">
        <x:f>IF(R1140="No","",X1140-Y1140)</x:f>
        <x:v>-1871031.0669025495</x:v>
      </x:c>
      <x:c r="AA1140" s="58" t="n">
        <x:f>IF(R1140="No","",MAX(0,-Z1140))</x:f>
        <x:v>1871031.0669025495</x:v>
      </x:c>
      <x:c r="AB1140" s="52" t="n">
        <x:f>IF(OR(R1140="No",U1140*S1140=0),"",AA1140/(U1140*S1140))</x:f>
        <x:v>0.11298475289147544</x:v>
      </x:c>
      <x:c r="AC1140" s="54" t="n">
        <x:f>IF(OR(R1140="No",S1140-T1140*Assumptions!$B$9&lt;=0),"",AA1140/(Assumptions!$B$8*(S1140-T1140*Assumptions!$B$9)))</x:f>
        <x:v>116.00962454071549</x:v>
      </x:c>
      <x:c r="AD1140" s="52" t="n">
        <x:f>IF(OR(R1140="No",U1140*S1140=0),"",AA1140/(U1140*S1140))</x:f>
        <x:v>0.11298475289147544</x:v>
      </x:c>
      <x:c r="AE1140" s="50" t="str">
        <x:f>IF(R1140="No","No finance data",IF(AB1140&gt;=10%,"Severe",IF(AB1140&gt;=5%,"High",IF(AB1140&gt;=2%,"Moderate","Low"))))</x:f>
        <x:v>Severe</x:v>
      </x:c>
      <x:c r="AF1140" s="60" t="n">
        <x:v>44.433965</x:v>
      </x:c>
      <x:c r="AG1140" s="60" t="n">
        <x:v>-74.252675</x:v>
      </x:c>
      <x:c r="AH1140" s="44" t="str">
        <x:v>Undergraduate tuition-contribution proxy only; not an audited total institutional budget.</x:v>
      </x:c>
    </x:row>
    <x:row r="1141">
      <x:c r="A1141" s="16" t="n">
        <x:v>194578</x:v>
      </x:c>
      <x:c r="B1141" s="16" t="str">
        <x:v>Pratt Institute-Main</x:v>
      </x:c>
      <x:c r="C1141" s="16" t="str">
        <x:v>NY</x:v>
      </x:c>
      <x:c r="D1141" s="16" t="str">
        <x:v>Private nonprofit</x:v>
      </x:c>
      <x:c r="E1141" s="34" t="n">
        <x:v>3356</x:v>
      </x:c>
      <x:c r="F1141" s="21" t="n">
        <x:v>0.6786</x:v>
      </x:c>
      <x:c r="G1141" s="16" t="str">
        <x:v>Regional</x:v>
      </x:c>
      <x:c r="H1141" s="36" t="n">
        <x:f>IF(G1141="National",Assumptions!$B$11,IF(G1141="Statewide",Assumptions!$B$12,Assumptions!$B$13))</x:f>
        <x:v>0.85</x:v>
      </x:c>
      <x:c r="I1141" s="21" t="n">
        <x:v>-0.08678079290324192</x:v>
      </x:c>
      <x:c r="J1141" s="21" t="n">
        <x:v>-0.14585233360743566</x:v>
      </x:c>
      <x:c r="K1141" s="21" t="n">
        <x:v>-0.24979193142458445</x:v>
      </x:c>
      <x:c r="L1141" s="36" t="n">
        <x:f>IF(Assumptions!$B$4=2030,I1141,IF(Assumptions!$B$4=2035,J1141,K1141))</x:f>
        <x:v>-0.14585233360743566</x:v>
      </x:c>
      <x:c r="M1141" s="36" t="n">
        <x:f>Assumptions!$B$19</x:f>
        <x:v>-0.04739891965741583</x:v>
      </x:c>
      <x:c r="N1141" s="52" t="n">
        <x:f>H1141*L1141+(1-H1141)*M1141+O1141</x:f>
        <x:v>-0.13108432151493268</x:v>
      </x:c>
      <x:c r="O1141" s="36" t="n">
        <x:f>Assumptions!$B$10</x:f>
        <x:v>0</x:v>
      </x:c>
      <x:c r="P1141" s="54" t="n">
        <x:f>E1141*(1+N1141)</x:f>
        <x:v>2916.081016995886</x:v>
      </x:c>
      <x:c r="Q1141" s="54" t="n">
        <x:f>P1141-E1141</x:f>
        <x:v>-439.9189830041141</x:v>
      </x:c>
      <x:c r="R1141" s="16" t="str">
        <x:v>Yes</x:v>
      </x:c>
      <x:c r="S1141" s="56" t="n">
        <x:v>33390</x:v>
      </x:c>
      <x:c r="T1141" s="56" t="n">
        <x:v>17600</x:v>
      </x:c>
      <x:c r="U1141" s="40" t="n">
        <x:f>E1141*Assumptions!$B$8</x:f>
        <x:v>2852.6</x:v>
      </x:c>
      <x:c r="V1141" s="40" t="n">
        <x:f>P1141*Assumptions!$B$8</x:f>
        <x:v>2478.668864446503</x:v>
      </x:c>
      <x:c r="W1141" s="54" t="n">
        <x:f>V1141-U1141</x:f>
        <x:v>-373.9311355534969</x:v>
      </x:c>
      <x:c r="X1141" s="58" t="n">
        <x:f>IF(R1141="No","",W1141*S1141)</x:f>
        <x:v>-12485560.616131263</x:v>
      </x:c>
      <x:c r="Y1141" s="58" t="n">
        <x:f>IF(R1141="No","",W1141*T1141*Assumptions!$B$9)</x:f>
        <x:v>-1974356.3957224635</x:v>
      </x:c>
      <x:c r="Z1141" s="58" t="n">
        <x:f>IF(R1141="No","",X1141-Y1141)</x:f>
        <x:v>-10511204.2204088</x:v>
      </x:c>
      <x:c r="AA1141" s="58" t="n">
        <x:f>IF(R1141="No","",MAX(0,-Z1141))</x:f>
        <x:v>10511204.2204088</x:v>
      </x:c>
      <x:c r="AB1141" s="52" t="n">
        <x:f>IF(OR(R1141="No",U1141*S1141=0),"",AA1141/(U1141*S1141))</x:f>
        <x:v>0.11035580346764773</x:v>
      </x:c>
      <x:c r="AC1141" s="54" t="n">
        <x:f>IF(OR(R1141="No",S1141-T1141*Assumptions!$B$9&lt;=0),"",AA1141/(Assumptions!$B$8*(S1141-T1141*Assumptions!$B$9)))</x:f>
        <x:v>439.91898300411407</x:v>
      </x:c>
      <x:c r="AD1141" s="52" t="n">
        <x:f>IF(OR(R1141="No",U1141*S1141=0),"",AA1141/(U1141*S1141))</x:f>
        <x:v>0.11035580346764773</x:v>
      </x:c>
      <x:c r="AE1141" s="50" t="str">
        <x:f>IF(R1141="No","No finance data",IF(AB1141&gt;=10%,"Severe",IF(AB1141&gt;=5%,"High",IF(AB1141&gt;=2%,"Moderate","Low"))))</x:f>
        <x:v>Severe</x:v>
      </x:c>
      <x:c r="AF1141" s="60" t="n">
        <x:v>40.691297</x:v>
      </x:c>
      <x:c r="AG1141" s="60" t="n">
        <x:v>-73.96431</x:v>
      </x:c>
      <x:c r="AH1141" s="44" t="str">
        <x:v>Undergraduate tuition-contribution proxy only; not an audited total institutional budget.</x:v>
      </x:c>
    </x:row>
    <x:row r="1142">
      <x:c r="A1142" s="16" t="n">
        <x:v>194657</x:v>
      </x:c>
      <x:c r="B1142" s="16" t="str">
        <x:v>Rabbinical Academy Mesivta Rabbi Chaim Berlin</x:v>
      </x:c>
      <x:c r="C1142" s="16" t="str">
        <x:v>NY</x:v>
      </x:c>
      <x:c r="D1142" s="16" t="str">
        <x:v>Private nonprofit</x:v>
      </x:c>
      <x:c r="E1142" s="34" t="n">
        <x:v>158</x:v>
      </x:c>
      <x:c r="F1142" s="21"/>
      <x:c r="G1142" s="16" t="str">
        <x:v>Regional</x:v>
      </x:c>
      <x:c r="H1142" s="36" t="n">
        <x:f>IF(G1142="National",Assumptions!$B$11,IF(G1142="Statewide",Assumptions!$B$12,Assumptions!$B$13))</x:f>
        <x:v>0.85</x:v>
      </x:c>
      <x:c r="I1142" s="21" t="n">
        <x:v>-0.08678079290324192</x:v>
      </x:c>
      <x:c r="J1142" s="21" t="n">
        <x:v>-0.14585233360743566</x:v>
      </x:c>
      <x:c r="K1142" s="21" t="n">
        <x:v>-0.24979193142458445</x:v>
      </x:c>
      <x:c r="L1142" s="36" t="n">
        <x:f>IF(Assumptions!$B$4=2030,I1142,IF(Assumptions!$B$4=2035,J1142,K1142))</x:f>
        <x:v>-0.14585233360743566</x:v>
      </x:c>
      <x:c r="M1142" s="36" t="n">
        <x:f>Assumptions!$B$19</x:f>
        <x:v>-0.04739891965741583</x:v>
      </x:c>
      <x:c r="N1142" s="52" t="n">
        <x:f>H1142*L1142+(1-H1142)*M1142+O1142</x:f>
        <x:v>-0.13108432151493268</x:v>
      </x:c>
      <x:c r="O1142" s="36" t="n">
        <x:f>Assumptions!$B$10</x:f>
        <x:v>0</x:v>
      </x:c>
      <x:c r="P1142" s="54" t="n">
        <x:f>E1142*(1+N1142)</x:f>
        <x:v>137.28867720064065</x:v>
      </x:c>
      <x:c r="Q1142" s="54" t="n">
        <x:f>P1142-E1142</x:f>
        <x:v>-20.71132279935935</x:v>
      </x:c>
      <x:c r="R1142" s="16" t="str">
        <x:v>No</x:v>
      </x:c>
      <x:c r="S1142" s="56"/>
      <x:c r="T1142" s="56"/>
      <x:c r="U1142" s="40" t="n">
        <x:f>E1142*Assumptions!$B$8</x:f>
        <x:v>134.29999999999998</x:v>
      </x:c>
      <x:c r="V1142" s="40" t="n">
        <x:f>P1142*Assumptions!$B$8</x:f>
        <x:v>116.69537562054455</x:v>
      </x:c>
      <x:c r="W1142" s="54" t="n">
        <x:f>V1142-U1142</x:f>
        <x:v>-17.60462437945543</x:v>
      </x:c>
      <x:c r="X1142" s="58" t="str">
        <x:f>IF(R1142="No","",W1142*S1142)</x:f>
      </x:c>
      <x:c r="Y1142" s="58" t="str">
        <x:f>IF(R1142="No","",W1142*T1142*Assumptions!$B$9)</x:f>
      </x:c>
      <x:c r="Z1142" s="58" t="str">
        <x:f>IF(R1142="No","",X1142-Y1142)</x:f>
      </x:c>
      <x:c r="AA1142" s="58" t="str">
        <x:f>IF(R1142="No","",MAX(0,-Z1142))</x:f>
      </x:c>
      <x:c r="AB1142" s="52" t="str">
        <x:f>IF(OR(R1142="No",U1142*S1142=0),"",AA1142/(U1142*S1142))</x:f>
      </x:c>
      <x:c r="AC1142" s="54" t="str">
        <x:f>IF(OR(R1142="No",S1142-T1142*Assumptions!$B$9&lt;=0),"",AA1142/(Assumptions!$B$8*(S1142-T1142*Assumptions!$B$9)))</x:f>
      </x:c>
      <x:c r="AD1142" s="52" t="str">
        <x:f>IF(OR(R1142="No",U1142*S1142=0),"",AA1142/(U1142*S1142))</x:f>
      </x:c>
      <x:c r="AE1142" s="50" t="str">
        <x:f>IF(R1142="No","No finance data",IF(AB1142&gt;=10%,"Severe",IF(AB1142&gt;=5%,"High",IF(AB1142&gt;=2%,"Moderate","Low"))))</x:f>
        <x:v>No finance data</x:v>
      </x:c>
      <x:c r="AF1142" s="60"/>
      <x:c r="AG1142" s="60"/>
      <x:c r="AH1142" s="44" t="str">
        <x:v>Undergraduate tuition-contribution proxy only; not an audited total institutional budget.</x:v>
      </x:c>
    </x:row>
    <x:row r="1143">
      <x:c r="A1143" s="16" t="n">
        <x:v>194693</x:v>
      </x:c>
      <x:c r="B1143" s="16" t="str">
        <x:v>Rabbinical College Beth Shraga</x:v>
      </x:c>
      <x:c r="C1143" s="16" t="str">
        <x:v>NY</x:v>
      </x:c>
      <x:c r="D1143" s="16" t="str">
        <x:v>Private nonprofit</x:v>
      </x:c>
      <x:c r="E1143" s="34" t="n">
        <x:v>43</x:v>
      </x:c>
      <x:c r="F1143" s="21"/>
      <x:c r="G1143" s="16" t="str">
        <x:v>Regional</x:v>
      </x:c>
      <x:c r="H1143" s="36" t="n">
        <x:f>IF(G1143="National",Assumptions!$B$11,IF(G1143="Statewide",Assumptions!$B$12,Assumptions!$B$13))</x:f>
        <x:v>0.85</x:v>
      </x:c>
      <x:c r="I1143" s="21" t="n">
        <x:v>-0.08678079290324192</x:v>
      </x:c>
      <x:c r="J1143" s="21" t="n">
        <x:v>-0.14585233360743566</x:v>
      </x:c>
      <x:c r="K1143" s="21" t="n">
        <x:v>-0.24979193142458445</x:v>
      </x:c>
      <x:c r="L1143" s="36" t="n">
        <x:f>IF(Assumptions!$B$4=2030,I1143,IF(Assumptions!$B$4=2035,J1143,K1143))</x:f>
        <x:v>-0.14585233360743566</x:v>
      </x:c>
      <x:c r="M1143" s="36" t="n">
        <x:f>Assumptions!$B$19</x:f>
        <x:v>-0.04739891965741583</x:v>
      </x:c>
      <x:c r="N1143" s="52" t="n">
        <x:f>H1143*L1143+(1-H1143)*M1143+O1143</x:f>
        <x:v>-0.13108432151493268</x:v>
      </x:c>
      <x:c r="O1143" s="36" t="n">
        <x:f>Assumptions!$B$10</x:f>
        <x:v>0</x:v>
      </x:c>
      <x:c r="P1143" s="54" t="n">
        <x:f>E1143*(1+N1143)</x:f>
        <x:v>37.363374174857896</x:v>
      </x:c>
      <x:c r="Q1143" s="54" t="n">
        <x:f>P1143-E1143</x:f>
        <x:v>-5.636625825142104</x:v>
      </x:c>
      <x:c r="R1143" s="16" t="str">
        <x:v>No</x:v>
      </x:c>
      <x:c r="S1143" s="56"/>
      <x:c r="T1143" s="56"/>
      <x:c r="U1143" s="40" t="n">
        <x:f>E1143*Assumptions!$B$8</x:f>
        <x:v>36.55</x:v>
      </x:c>
      <x:c r="V1143" s="40" t="n">
        <x:f>P1143*Assumptions!$B$8</x:f>
        <x:v>31.75886804862921</x:v>
      </x:c>
      <x:c r="W1143" s="54" t="n">
        <x:f>V1143-U1143</x:f>
        <x:v>-4.791131951370787</x:v>
      </x:c>
      <x:c r="X1143" s="58" t="str">
        <x:f>IF(R1143="No","",W1143*S1143)</x:f>
      </x:c>
      <x:c r="Y1143" s="58" t="str">
        <x:f>IF(R1143="No","",W1143*T1143*Assumptions!$B$9)</x:f>
      </x:c>
      <x:c r="Z1143" s="58" t="str">
        <x:f>IF(R1143="No","",X1143-Y1143)</x:f>
      </x:c>
      <x:c r="AA1143" s="58" t="str">
        <x:f>IF(R1143="No","",MAX(0,-Z1143))</x:f>
      </x:c>
      <x:c r="AB1143" s="52" t="str">
        <x:f>IF(OR(R1143="No",U1143*S1143=0),"",AA1143/(U1143*S1143))</x:f>
      </x:c>
      <x:c r="AC1143" s="54" t="str">
        <x:f>IF(OR(R1143="No",S1143-T1143*Assumptions!$B$9&lt;=0),"",AA1143/(Assumptions!$B$8*(S1143-T1143*Assumptions!$B$9)))</x:f>
      </x:c>
      <x:c r="AD1143" s="52" t="str">
        <x:f>IF(OR(R1143="No",U1143*S1143=0),"",AA1143/(U1143*S1143))</x:f>
      </x:c>
      <x:c r="AE1143" s="50" t="str">
        <x:f>IF(R1143="No","No finance data",IF(AB1143&gt;=10%,"Severe",IF(AB1143&gt;=5%,"High",IF(AB1143&gt;=2%,"Moderate","Low"))))</x:f>
        <x:v>No finance data</x:v>
      </x:c>
      <x:c r="AF1143" s="60"/>
      <x:c r="AG1143" s="60"/>
      <x:c r="AH1143" s="44" t="str">
        <x:v>Undergraduate tuition-contribution proxy only; not an audited total institutional budget.</x:v>
      </x:c>
    </x:row>
    <x:row r="1144">
      <x:c r="A1144" s="16" t="n">
        <x:v>194666</x:v>
      </x:c>
      <x:c r="B1144" s="16" t="str">
        <x:v>Rabbinical College Bobover Yeshiva Bnei Zion</x:v>
      </x:c>
      <x:c r="C1144" s="16" t="str">
        <x:v>NY</x:v>
      </x:c>
      <x:c r="D1144" s="16" t="str">
        <x:v>Private nonprofit</x:v>
      </x:c>
      <x:c r="E1144" s="34" t="n">
        <x:v>286</x:v>
      </x:c>
      <x:c r="F1144" s="21"/>
      <x:c r="G1144" s="16" t="str">
        <x:v>Regional</x:v>
      </x:c>
      <x:c r="H1144" s="36" t="n">
        <x:f>IF(G1144="National",Assumptions!$B$11,IF(G1144="Statewide",Assumptions!$B$12,Assumptions!$B$13))</x:f>
        <x:v>0.85</x:v>
      </x:c>
      <x:c r="I1144" s="21" t="n">
        <x:v>-0.08678079290324192</x:v>
      </x:c>
      <x:c r="J1144" s="21" t="n">
        <x:v>-0.14585233360743566</x:v>
      </x:c>
      <x:c r="K1144" s="21" t="n">
        <x:v>-0.24979193142458445</x:v>
      </x:c>
      <x:c r="L1144" s="36" t="n">
        <x:f>IF(Assumptions!$B$4=2030,I1144,IF(Assumptions!$B$4=2035,J1144,K1144))</x:f>
        <x:v>-0.14585233360743566</x:v>
      </x:c>
      <x:c r="M1144" s="36" t="n">
        <x:f>Assumptions!$B$19</x:f>
        <x:v>-0.04739891965741583</x:v>
      </x:c>
      <x:c r="N1144" s="52" t="n">
        <x:f>H1144*L1144+(1-H1144)*M1144+O1144</x:f>
        <x:v>-0.13108432151493268</x:v>
      </x:c>
      <x:c r="O1144" s="36" t="n">
        <x:f>Assumptions!$B$10</x:f>
        <x:v>0</x:v>
      </x:c>
      <x:c r="P1144" s="54" t="n">
        <x:f>E1144*(1+N1144)</x:f>
        <x:v>248.50988404672927</x:v>
      </x:c>
      <x:c r="Q1144" s="54" t="n">
        <x:f>P1144-E1144</x:f>
        <x:v>-37.49011595327073</x:v>
      </x:c>
      <x:c r="R1144" s="16" t="str">
        <x:v>No</x:v>
      </x:c>
      <x:c r="S1144" s="56"/>
      <x:c r="T1144" s="56"/>
      <x:c r="U1144" s="40" t="n">
        <x:f>E1144*Assumptions!$B$8</x:f>
        <x:v>243.1</x:v>
      </x:c>
      <x:c r="V1144" s="40" t="n">
        <x:f>P1144*Assumptions!$B$8</x:f>
        <x:v>211.23340143971987</x:v>
      </x:c>
      <x:c r="W1144" s="54" t="n">
        <x:f>V1144-U1144</x:f>
        <x:v>-31.866598560280124</x:v>
      </x:c>
      <x:c r="X1144" s="58" t="str">
        <x:f>IF(R1144="No","",W1144*S1144)</x:f>
      </x:c>
      <x:c r="Y1144" s="58" t="str">
        <x:f>IF(R1144="No","",W1144*T1144*Assumptions!$B$9)</x:f>
      </x:c>
      <x:c r="Z1144" s="58" t="str">
        <x:f>IF(R1144="No","",X1144-Y1144)</x:f>
      </x:c>
      <x:c r="AA1144" s="58" t="str">
        <x:f>IF(R1144="No","",MAX(0,-Z1144))</x:f>
      </x:c>
      <x:c r="AB1144" s="52" t="str">
        <x:f>IF(OR(R1144="No",U1144*S1144=0),"",AA1144/(U1144*S1144))</x:f>
      </x:c>
      <x:c r="AC1144" s="54" t="str">
        <x:f>IF(OR(R1144="No",S1144-T1144*Assumptions!$B$9&lt;=0),"",AA1144/(Assumptions!$B$8*(S1144-T1144*Assumptions!$B$9)))</x:f>
      </x:c>
      <x:c r="AD1144" s="52" t="str">
        <x:f>IF(OR(R1144="No",U1144*S1144=0),"",AA1144/(U1144*S1144))</x:f>
      </x:c>
      <x:c r="AE1144" s="50" t="str">
        <x:f>IF(R1144="No","No finance data",IF(AB1144&gt;=10%,"Severe",IF(AB1144&gt;=5%,"High",IF(AB1144&gt;=2%,"Moderate","Low"))))</x:f>
        <x:v>No finance data</x:v>
      </x:c>
      <x:c r="AF1144" s="60"/>
      <x:c r="AG1144" s="60"/>
      <x:c r="AH1144" s="44" t="str">
        <x:v>Undergraduate tuition-contribution proxy only; not an audited total institutional budget.</x:v>
      </x:c>
    </x:row>
    <x:row r="1145">
      <x:c r="A1145" s="16" t="n">
        <x:v>484871</x:v>
      </x:c>
      <x:c r="B1145" s="16" t="str">
        <x:v>Rabbinical College Ohr Yisroel</x:v>
      </x:c>
      <x:c r="C1145" s="16" t="str">
        <x:v>NY</x:v>
      </x:c>
      <x:c r="D1145" s="16" t="str">
        <x:v>Private nonprofit</x:v>
      </x:c>
      <x:c r="E1145" s="34" t="n">
        <x:v>104</x:v>
      </x:c>
      <x:c r="F1145" s="21"/>
      <x:c r="G1145" s="16" t="str">
        <x:v>Regional</x:v>
      </x:c>
      <x:c r="H1145" s="36" t="n">
        <x:f>IF(G1145="National",Assumptions!$B$11,IF(G1145="Statewide",Assumptions!$B$12,Assumptions!$B$13))</x:f>
        <x:v>0.85</x:v>
      </x:c>
      <x:c r="I1145" s="21" t="n">
        <x:v>-0.08678079290324192</x:v>
      </x:c>
      <x:c r="J1145" s="21" t="n">
        <x:v>-0.14585233360743566</x:v>
      </x:c>
      <x:c r="K1145" s="21" t="n">
        <x:v>-0.24979193142458445</x:v>
      </x:c>
      <x:c r="L1145" s="36" t="n">
        <x:f>IF(Assumptions!$B$4=2030,I1145,IF(Assumptions!$B$4=2035,J1145,K1145))</x:f>
        <x:v>-0.14585233360743566</x:v>
      </x:c>
      <x:c r="M1145" s="36" t="n">
        <x:f>Assumptions!$B$19</x:f>
        <x:v>-0.04739891965741583</x:v>
      </x:c>
      <x:c r="N1145" s="52" t="n">
        <x:f>H1145*L1145+(1-H1145)*M1145+O1145</x:f>
        <x:v>-0.13108432151493268</x:v>
      </x:c>
      <x:c r="O1145" s="36" t="n">
        <x:f>Assumptions!$B$10</x:f>
        <x:v>0</x:v>
      </x:c>
      <x:c r="P1145" s="54" t="n">
        <x:f>E1145*(1+N1145)</x:f>
        <x:v>90.367230562447</x:v>
      </x:c>
      <x:c r="Q1145" s="54" t="n">
        <x:f>P1145-E1145</x:f>
        <x:v>-13.632769437552994</x:v>
      </x:c>
      <x:c r="R1145" s="16" t="str">
        <x:v>No</x:v>
      </x:c>
      <x:c r="S1145" s="56"/>
      <x:c r="T1145" s="56"/>
      <x:c r="U1145" s="40" t="n">
        <x:f>E1145*Assumptions!$B$8</x:f>
        <x:v>88.39999999999999</x:v>
      </x:c>
      <x:c r="V1145" s="40" t="n">
        <x:f>P1145*Assumptions!$B$8</x:f>
        <x:v>76.81214597807995</x:v>
      </x:c>
      <x:c r="W1145" s="54" t="n">
        <x:f>V1145-U1145</x:f>
        <x:v>-11.587854021920037</x:v>
      </x:c>
      <x:c r="X1145" s="58" t="str">
        <x:f>IF(R1145="No","",W1145*S1145)</x:f>
      </x:c>
      <x:c r="Y1145" s="58" t="str">
        <x:f>IF(R1145="No","",W1145*T1145*Assumptions!$B$9)</x:f>
      </x:c>
      <x:c r="Z1145" s="58" t="str">
        <x:f>IF(R1145="No","",X1145-Y1145)</x:f>
      </x:c>
      <x:c r="AA1145" s="58" t="str">
        <x:f>IF(R1145="No","",MAX(0,-Z1145))</x:f>
      </x:c>
      <x:c r="AB1145" s="52" t="str">
        <x:f>IF(OR(R1145="No",U1145*S1145=0),"",AA1145/(U1145*S1145))</x:f>
      </x:c>
      <x:c r="AC1145" s="54" t="str">
        <x:f>IF(OR(R1145="No",S1145-T1145*Assumptions!$B$9&lt;=0),"",AA1145/(Assumptions!$B$8*(S1145-T1145*Assumptions!$B$9)))</x:f>
      </x:c>
      <x:c r="AD1145" s="52" t="str">
        <x:f>IF(OR(R1145="No",U1145*S1145=0),"",AA1145/(U1145*S1145))</x:f>
      </x:c>
      <x:c r="AE1145" s="50" t="str">
        <x:f>IF(R1145="No","No finance data",IF(AB1145&gt;=10%,"Severe",IF(AB1145&gt;=5%,"High",IF(AB1145&gt;=2%,"Moderate","Low"))))</x:f>
        <x:v>No finance data</x:v>
      </x:c>
      <x:c r="AF1145" s="60"/>
      <x:c r="AG1145" s="60"/>
      <x:c r="AH1145" s="44" t="str">
        <x:v>Undergraduate tuition-contribution proxy only; not an audited total institutional budget.</x:v>
      </x:c>
    </x:row>
    <x:row r="1146">
      <x:c r="A1146" s="16" t="n">
        <x:v>194675</x:v>
      </x:c>
      <x:c r="B1146" s="16" t="str">
        <x:v>Rabbinical College of Ch'san Sofer New York</x:v>
      </x:c>
      <x:c r="C1146" s="16" t="str">
        <x:v>NY</x:v>
      </x:c>
      <x:c r="D1146" s="16" t="str">
        <x:v>Private nonprofit</x:v>
      </x:c>
      <x:c r="E1146" s="34" t="n">
        <x:v>20</x:v>
      </x:c>
      <x:c r="F1146" s="21"/>
      <x:c r="G1146" s="16" t="str">
        <x:v>Regional</x:v>
      </x:c>
      <x:c r="H1146" s="36" t="n">
        <x:f>IF(G1146="National",Assumptions!$B$11,IF(G1146="Statewide",Assumptions!$B$12,Assumptions!$B$13))</x:f>
        <x:v>0.85</x:v>
      </x:c>
      <x:c r="I1146" s="21" t="n">
        <x:v>-0.08678079290324192</x:v>
      </x:c>
      <x:c r="J1146" s="21" t="n">
        <x:v>-0.14585233360743566</x:v>
      </x:c>
      <x:c r="K1146" s="21" t="n">
        <x:v>-0.24979193142458445</x:v>
      </x:c>
      <x:c r="L1146" s="36" t="n">
        <x:f>IF(Assumptions!$B$4=2030,I1146,IF(Assumptions!$B$4=2035,J1146,K1146))</x:f>
        <x:v>-0.14585233360743566</x:v>
      </x:c>
      <x:c r="M1146" s="36" t="n">
        <x:f>Assumptions!$B$19</x:f>
        <x:v>-0.04739891965741583</x:v>
      </x:c>
      <x:c r="N1146" s="52" t="n">
        <x:f>H1146*L1146+(1-H1146)*M1146+O1146</x:f>
        <x:v>-0.13108432151493268</x:v>
      </x:c>
      <x:c r="O1146" s="36" t="n">
        <x:f>Assumptions!$B$10</x:f>
        <x:v>0</x:v>
      </x:c>
      <x:c r="P1146" s="54" t="n">
        <x:f>E1146*(1+N1146)</x:f>
        <x:v>17.378313569701348</x:v>
      </x:c>
      <x:c r="Q1146" s="54" t="n">
        <x:f>P1146-E1146</x:f>
        <x:v>-2.6216864302986522</x:v>
      </x:c>
      <x:c r="R1146" s="16" t="str">
        <x:v>No</x:v>
      </x:c>
      <x:c r="S1146" s="56"/>
      <x:c r="T1146" s="56"/>
      <x:c r="U1146" s="40" t="n">
        <x:f>E1146*Assumptions!$B$8</x:f>
        <x:v>17</x:v>
      </x:c>
      <x:c r="V1146" s="40" t="n">
        <x:f>P1146*Assumptions!$B$8</x:f>
        <x:v>14.771566534246146</x:v>
      </x:c>
      <x:c r="W1146" s="54" t="n">
        <x:f>V1146-U1146</x:f>
        <x:v>-2.228433465753854</x:v>
      </x:c>
      <x:c r="X1146" s="58" t="str">
        <x:f>IF(R1146="No","",W1146*S1146)</x:f>
      </x:c>
      <x:c r="Y1146" s="58" t="str">
        <x:f>IF(R1146="No","",W1146*T1146*Assumptions!$B$9)</x:f>
      </x:c>
      <x:c r="Z1146" s="58" t="str">
        <x:f>IF(R1146="No","",X1146-Y1146)</x:f>
      </x:c>
      <x:c r="AA1146" s="58" t="str">
        <x:f>IF(R1146="No","",MAX(0,-Z1146))</x:f>
      </x:c>
      <x:c r="AB1146" s="52" t="str">
        <x:f>IF(OR(R1146="No",U1146*S1146=0),"",AA1146/(U1146*S1146))</x:f>
      </x:c>
      <x:c r="AC1146" s="54" t="str">
        <x:f>IF(OR(R1146="No",S1146-T1146*Assumptions!$B$9&lt;=0),"",AA1146/(Assumptions!$B$8*(S1146-T1146*Assumptions!$B$9)))</x:f>
      </x:c>
      <x:c r="AD1146" s="52" t="str">
        <x:f>IF(OR(R1146="No",U1146*S1146=0),"",AA1146/(U1146*S1146))</x:f>
      </x:c>
      <x:c r="AE1146" s="50" t="str">
        <x:f>IF(R1146="No","No finance data",IF(AB1146&gt;=10%,"Severe",IF(AB1146&gt;=5%,"High",IF(AB1146&gt;=2%,"Moderate","Low"))))</x:f>
        <x:v>No finance data</x:v>
      </x:c>
      <x:c r="AF1146" s="60"/>
      <x:c r="AG1146" s="60"/>
      <x:c r="AH1146" s="44" t="str">
        <x:v>Undergraduate tuition-contribution proxy only; not an audited total institutional budget.</x:v>
      </x:c>
    </x:row>
    <x:row r="1147">
      <x:c r="A1147" s="16" t="n">
        <x:v>194736</x:v>
      </x:c>
      <x:c r="B1147" s="16" t="str">
        <x:v>Rabbinical College of Long Island</x:v>
      </x:c>
      <x:c r="C1147" s="16" t="str">
        <x:v>NY</x:v>
      </x:c>
      <x:c r="D1147" s="16" t="str">
        <x:v>Private nonprofit</x:v>
      </x:c>
      <x:c r="E1147" s="34" t="n">
        <x:v>152</x:v>
      </x:c>
      <x:c r="F1147" s="21"/>
      <x:c r="G1147" s="16" t="str">
        <x:v>Regional</x:v>
      </x:c>
      <x:c r="H1147" s="36" t="n">
        <x:f>IF(G1147="National",Assumptions!$B$11,IF(G1147="Statewide",Assumptions!$B$12,Assumptions!$B$13))</x:f>
        <x:v>0.85</x:v>
      </x:c>
      <x:c r="I1147" s="21" t="n">
        <x:v>-0.08678079290324192</x:v>
      </x:c>
      <x:c r="J1147" s="21" t="n">
        <x:v>-0.14585233360743566</x:v>
      </x:c>
      <x:c r="K1147" s="21" t="n">
        <x:v>-0.24979193142458445</x:v>
      </x:c>
      <x:c r="L1147" s="36" t="n">
        <x:f>IF(Assumptions!$B$4=2030,I1147,IF(Assumptions!$B$4=2035,J1147,K1147))</x:f>
        <x:v>-0.14585233360743566</x:v>
      </x:c>
      <x:c r="M1147" s="36" t="n">
        <x:f>Assumptions!$B$19</x:f>
        <x:v>-0.04739891965741583</x:v>
      </x:c>
      <x:c r="N1147" s="52" t="n">
        <x:f>H1147*L1147+(1-H1147)*M1147+O1147</x:f>
        <x:v>-0.13108432151493268</x:v>
      </x:c>
      <x:c r="O1147" s="36" t="n">
        <x:f>Assumptions!$B$10</x:f>
        <x:v>0</x:v>
      </x:c>
      <x:c r="P1147" s="54" t="n">
        <x:f>E1147*(1+N1147)</x:f>
        <x:v>132.07518312973025</x:v>
      </x:c>
      <x:c r="Q1147" s="54" t="n">
        <x:f>P1147-E1147</x:f>
        <x:v>-19.92481687026975</x:v>
      </x:c>
      <x:c r="R1147" s="16" t="str">
        <x:v>No</x:v>
      </x:c>
      <x:c r="S1147" s="56"/>
      <x:c r="T1147" s="56"/>
      <x:c r="U1147" s="40" t="n">
        <x:f>E1147*Assumptions!$B$8</x:f>
        <x:v>129.2</x:v>
      </x:c>
      <x:c r="V1147" s="40" t="n">
        <x:f>P1147*Assumptions!$B$8</x:f>
        <x:v>112.26390566027071</x:v>
      </x:c>
      <x:c r="W1147" s="54" t="n">
        <x:f>V1147-U1147</x:f>
        <x:v>-16.93609433972928</x:v>
      </x:c>
      <x:c r="X1147" s="58" t="str">
        <x:f>IF(R1147="No","",W1147*S1147)</x:f>
      </x:c>
      <x:c r="Y1147" s="58" t="str">
        <x:f>IF(R1147="No","",W1147*T1147*Assumptions!$B$9)</x:f>
      </x:c>
      <x:c r="Z1147" s="58" t="str">
        <x:f>IF(R1147="No","",X1147-Y1147)</x:f>
      </x:c>
      <x:c r="AA1147" s="58" t="str">
        <x:f>IF(R1147="No","",MAX(0,-Z1147))</x:f>
      </x:c>
      <x:c r="AB1147" s="52" t="str">
        <x:f>IF(OR(R1147="No",U1147*S1147=0),"",AA1147/(U1147*S1147))</x:f>
      </x:c>
      <x:c r="AC1147" s="54" t="str">
        <x:f>IF(OR(R1147="No",S1147-T1147*Assumptions!$B$9&lt;=0),"",AA1147/(Assumptions!$B$8*(S1147-T1147*Assumptions!$B$9)))</x:f>
      </x:c>
      <x:c r="AD1147" s="52" t="str">
        <x:f>IF(OR(R1147="No",U1147*S1147=0),"",AA1147/(U1147*S1147))</x:f>
      </x:c>
      <x:c r="AE1147" s="50" t="str">
        <x:f>IF(R1147="No","No finance data",IF(AB1147&gt;=10%,"Severe",IF(AB1147&gt;=5%,"High",IF(AB1147&gt;=2%,"Moderate","Low"))))</x:f>
        <x:v>No finance data</x:v>
      </x:c>
      <x:c r="AF1147" s="60"/>
      <x:c r="AG1147" s="60"/>
      <x:c r="AH1147" s="44" t="str">
        <x:v>Undergraduate tuition-contribution proxy only; not an audited total institutional budget.</x:v>
      </x:c>
    </x:row>
    <x:row r="1148">
      <x:c r="A1148" s="16" t="n">
        <x:v>405854</x:v>
      </x:c>
      <x:c r="B1148" s="16" t="str">
        <x:v>Rabbinical College of Ohr Shimon Yisroel</x:v>
      </x:c>
      <x:c r="C1148" s="16" t="str">
        <x:v>NY</x:v>
      </x:c>
      <x:c r="D1148" s="16" t="str">
        <x:v>Private nonprofit</x:v>
      </x:c>
      <x:c r="E1148" s="34" t="n">
        <x:v>194</x:v>
      </x:c>
      <x:c r="F1148" s="21"/>
      <x:c r="G1148" s="16" t="str">
        <x:v>Regional</x:v>
      </x:c>
      <x:c r="H1148" s="36" t="n">
        <x:f>IF(G1148="National",Assumptions!$B$11,IF(G1148="Statewide",Assumptions!$B$12,Assumptions!$B$13))</x:f>
        <x:v>0.85</x:v>
      </x:c>
      <x:c r="I1148" s="21" t="n">
        <x:v>-0.08678079290324192</x:v>
      </x:c>
      <x:c r="J1148" s="21" t="n">
        <x:v>-0.14585233360743566</x:v>
      </x:c>
      <x:c r="K1148" s="21" t="n">
        <x:v>-0.24979193142458445</x:v>
      </x:c>
      <x:c r="L1148" s="36" t="n">
        <x:f>IF(Assumptions!$B$4=2030,I1148,IF(Assumptions!$B$4=2035,J1148,K1148))</x:f>
        <x:v>-0.14585233360743566</x:v>
      </x:c>
      <x:c r="M1148" s="36" t="n">
        <x:f>Assumptions!$B$19</x:f>
        <x:v>-0.04739891965741583</x:v>
      </x:c>
      <x:c r="N1148" s="52" t="n">
        <x:f>H1148*L1148+(1-H1148)*M1148+O1148</x:f>
        <x:v>-0.13108432151493268</x:v>
      </x:c>
      <x:c r="O1148" s="36" t="n">
        <x:f>Assumptions!$B$10</x:f>
        <x:v>0</x:v>
      </x:c>
      <x:c r="P1148" s="54" t="n">
        <x:f>E1148*(1+N1148)</x:f>
        <x:v>168.56964162610308</x:v>
      </x:c>
      <x:c r="Q1148" s="54" t="n">
        <x:f>P1148-E1148</x:f>
        <x:v>-25.430358373896922</x:v>
      </x:c>
      <x:c r="R1148" s="16" t="str">
        <x:v>No</x:v>
      </x:c>
      <x:c r="S1148" s="56"/>
      <x:c r="T1148" s="56"/>
      <x:c r="U1148" s="40" t="n">
        <x:f>E1148*Assumptions!$B$8</x:f>
        <x:v>164.9</x:v>
      </x:c>
      <x:c r="V1148" s="40" t="n">
        <x:f>P1148*Assumptions!$B$8</x:f>
        <x:v>143.28419538218762</x:v>
      </x:c>
      <x:c r="W1148" s="54" t="n">
        <x:f>V1148-U1148</x:f>
        <x:v>-21.615804617812387</x:v>
      </x:c>
      <x:c r="X1148" s="58" t="str">
        <x:f>IF(R1148="No","",W1148*S1148)</x:f>
      </x:c>
      <x:c r="Y1148" s="58" t="str">
        <x:f>IF(R1148="No","",W1148*T1148*Assumptions!$B$9)</x:f>
      </x:c>
      <x:c r="Z1148" s="58" t="str">
        <x:f>IF(R1148="No","",X1148-Y1148)</x:f>
      </x:c>
      <x:c r="AA1148" s="58" t="str">
        <x:f>IF(R1148="No","",MAX(0,-Z1148))</x:f>
      </x:c>
      <x:c r="AB1148" s="52" t="str">
        <x:f>IF(OR(R1148="No",U1148*S1148=0),"",AA1148/(U1148*S1148))</x:f>
      </x:c>
      <x:c r="AC1148" s="54" t="str">
        <x:f>IF(OR(R1148="No",S1148-T1148*Assumptions!$B$9&lt;=0),"",AA1148/(Assumptions!$B$8*(S1148-T1148*Assumptions!$B$9)))</x:f>
      </x:c>
      <x:c r="AD1148" s="52" t="str">
        <x:f>IF(OR(R1148="No",U1148*S1148=0),"",AA1148/(U1148*S1148))</x:f>
      </x:c>
      <x:c r="AE1148" s="50" t="str">
        <x:f>IF(R1148="No","No finance data",IF(AB1148&gt;=10%,"Severe",IF(AB1148&gt;=5%,"High",IF(AB1148&gt;=2%,"Moderate","Low"))))</x:f>
        <x:v>No finance data</x:v>
      </x:c>
      <x:c r="AF1148" s="60"/>
      <x:c r="AG1148" s="60"/>
      <x:c r="AH1148" s="44" t="str">
        <x:v>Undergraduate tuition-contribution proxy only; not an audited total institutional budget.</x:v>
      </x:c>
    </x:row>
    <x:row r="1149">
      <x:c r="A1149" s="16" t="n">
        <x:v>194763</x:v>
      </x:c>
      <x:c r="B1149" s="16" t="str">
        <x:v>Rabbinical Seminary of America</x:v>
      </x:c>
      <x:c r="C1149" s="16" t="str">
        <x:v>NY</x:v>
      </x:c>
      <x:c r="D1149" s="16" t="str">
        <x:v>Private nonprofit</x:v>
      </x:c>
      <x:c r="E1149" s="34" t="n">
        <x:v>243</x:v>
      </x:c>
      <x:c r="F1149" s="21"/>
      <x:c r="G1149" s="16" t="str">
        <x:v>Regional</x:v>
      </x:c>
      <x:c r="H1149" s="36" t="n">
        <x:f>IF(G1149="National",Assumptions!$B$11,IF(G1149="Statewide",Assumptions!$B$12,Assumptions!$B$13))</x:f>
        <x:v>0.85</x:v>
      </x:c>
      <x:c r="I1149" s="21" t="n">
        <x:v>-0.08678079290324192</x:v>
      </x:c>
      <x:c r="J1149" s="21" t="n">
        <x:v>-0.14585233360743566</x:v>
      </x:c>
      <x:c r="K1149" s="21" t="n">
        <x:v>-0.24979193142458445</x:v>
      </x:c>
      <x:c r="L1149" s="36" t="n">
        <x:f>IF(Assumptions!$B$4=2030,I1149,IF(Assumptions!$B$4=2035,J1149,K1149))</x:f>
        <x:v>-0.14585233360743566</x:v>
      </x:c>
      <x:c r="M1149" s="36" t="n">
        <x:f>Assumptions!$B$19</x:f>
        <x:v>-0.04739891965741583</x:v>
      </x:c>
      <x:c r="N1149" s="52" t="n">
        <x:f>H1149*L1149+(1-H1149)*M1149+O1149</x:f>
        <x:v>-0.13108432151493268</x:v>
      </x:c>
      <x:c r="O1149" s="36" t="n">
        <x:f>Assumptions!$B$10</x:f>
        <x:v>0</x:v>
      </x:c>
      <x:c r="P1149" s="54" t="n">
        <x:f>E1149*(1+N1149)</x:f>
        <x:v>211.14650987187136</x:v>
      </x:c>
      <x:c r="Q1149" s="54" t="n">
        <x:f>P1149-E1149</x:f>
        <x:v>-31.85349012812864</x:v>
      </x:c>
      <x:c r="R1149" s="16" t="str">
        <x:v>No</x:v>
      </x:c>
      <x:c r="S1149" s="56"/>
      <x:c r="T1149" s="56"/>
      <x:c r="U1149" s="40" t="n">
        <x:f>E1149*Assumptions!$B$8</x:f>
        <x:v>206.54999999999998</x:v>
      </x:c>
      <x:c r="V1149" s="40" t="n">
        <x:f>P1149*Assumptions!$B$8</x:f>
        <x:v>179.47453339109066</x:v>
      </x:c>
      <x:c r="W1149" s="54" t="n">
        <x:f>V1149-U1149</x:f>
        <x:v>-27.075466608909323</x:v>
      </x:c>
      <x:c r="X1149" s="58" t="str">
        <x:f>IF(R1149="No","",W1149*S1149)</x:f>
      </x:c>
      <x:c r="Y1149" s="58" t="str">
        <x:f>IF(R1149="No","",W1149*T1149*Assumptions!$B$9)</x:f>
      </x:c>
      <x:c r="Z1149" s="58" t="str">
        <x:f>IF(R1149="No","",X1149-Y1149)</x:f>
      </x:c>
      <x:c r="AA1149" s="58" t="str">
        <x:f>IF(R1149="No","",MAX(0,-Z1149))</x:f>
      </x:c>
      <x:c r="AB1149" s="52" t="str">
        <x:f>IF(OR(R1149="No",U1149*S1149=0),"",AA1149/(U1149*S1149))</x:f>
      </x:c>
      <x:c r="AC1149" s="54" t="str">
        <x:f>IF(OR(R1149="No",S1149-T1149*Assumptions!$B$9&lt;=0),"",AA1149/(Assumptions!$B$8*(S1149-T1149*Assumptions!$B$9)))</x:f>
      </x:c>
      <x:c r="AD1149" s="52" t="str">
        <x:f>IF(OR(R1149="No",U1149*S1149=0),"",AA1149/(U1149*S1149))</x:f>
      </x:c>
      <x:c r="AE1149" s="50" t="str">
        <x:f>IF(R1149="No","No finance data",IF(AB1149&gt;=10%,"Severe",IF(AB1149&gt;=5%,"High",IF(AB1149&gt;=2%,"Moderate","Low"))))</x:f>
        <x:v>No finance data</x:v>
      </x:c>
      <x:c r="AF1149" s="60"/>
      <x:c r="AG1149" s="60"/>
      <x:c r="AH1149" s="44" t="str">
        <x:v>Undergraduate tuition-contribution proxy only; not an audited total institutional budget.</x:v>
      </x:c>
    </x:row>
    <x:row r="1150">
      <x:c r="A1150" s="16" t="n">
        <x:v>194824</x:v>
      </x:c>
      <x:c r="B1150" s="16" t="str">
        <x:v>Rensselaer Polytechnic Institute</x:v>
      </x:c>
      <x:c r="C1150" s="16" t="str">
        <x:v>NY</x:v>
      </x:c>
      <x:c r="D1150" s="16" t="str">
        <x:v>Private nonprofit</x:v>
      </x:c>
      <x:c r="E1150" s="34" t="n">
        <x:v>5781</x:v>
      </x:c>
      <x:c r="F1150" s="21" t="n">
        <x:v>0.5302</x:v>
      </x:c>
      <x:c r="G1150" s="16" t="str">
        <x:v>Regional</x:v>
      </x:c>
      <x:c r="H1150" s="36" t="n">
        <x:f>IF(G1150="National",Assumptions!$B$11,IF(G1150="Statewide",Assumptions!$B$12,Assumptions!$B$13))</x:f>
        <x:v>0.85</x:v>
      </x:c>
      <x:c r="I1150" s="21" t="n">
        <x:v>-0.08678079290324192</x:v>
      </x:c>
      <x:c r="J1150" s="21" t="n">
        <x:v>-0.14585233360743566</x:v>
      </x:c>
      <x:c r="K1150" s="21" t="n">
        <x:v>-0.24979193142458445</x:v>
      </x:c>
      <x:c r="L1150" s="36" t="n">
        <x:f>IF(Assumptions!$B$4=2030,I1150,IF(Assumptions!$B$4=2035,J1150,K1150))</x:f>
        <x:v>-0.14585233360743566</x:v>
      </x:c>
      <x:c r="M1150" s="36" t="n">
        <x:f>Assumptions!$B$19</x:f>
        <x:v>-0.04739891965741583</x:v>
      </x:c>
      <x:c r="N1150" s="52" t="n">
        <x:f>H1150*L1150+(1-H1150)*M1150+O1150</x:f>
        <x:v>-0.13108432151493268</x:v>
      </x:c>
      <x:c r="O1150" s="36" t="n">
        <x:f>Assumptions!$B$10</x:f>
        <x:v>0</x:v>
      </x:c>
      <x:c r="P1150" s="54" t="n">
        <x:f>E1150*(1+N1150)</x:f>
        <x:v>5023.201537322174</x:v>
      </x:c>
      <x:c r="Q1150" s="54" t="n">
        <x:f>P1150-E1150</x:f>
        <x:v>-757.7984626778261</x:v>
      </x:c>
      <x:c r="R1150" s="16" t="str">
        <x:v>Yes</x:v>
      </x:c>
      <x:c r="S1150" s="56" t="n">
        <x:v>30746</x:v>
      </x:c>
      <x:c r="T1150" s="56" t="n">
        <x:v>17153</x:v>
      </x:c>
      <x:c r="U1150" s="40" t="n">
        <x:f>E1150*Assumptions!$B$8</x:f>
        <x:v>4913.849999999999</x:v>
      </x:c>
      <x:c r="V1150" s="40" t="n">
        <x:f>P1150*Assumptions!$B$8</x:f>
        <x:v>4269.721306723848</x:v>
      </x:c>
      <x:c r="W1150" s="54" t="n">
        <x:f>V1150-U1150</x:f>
        <x:v>-644.1286932761514</x:v>
      </x:c>
      <x:c r="X1150" s="58" t="n">
        <x:f>IF(R1150="No","",W1150*S1150)</x:f>
        <x:v>-19804380.803468548</x:v>
      </x:c>
      <x:c r="Y1150" s="58" t="n">
        <x:f>IF(R1150="No","",W1150*T1150*Assumptions!$B$9)</x:f>
        <x:v>-3314621.8427297473</x:v>
      </x:c>
      <x:c r="Z1150" s="58" t="n">
        <x:f>IF(R1150="No","",X1150-Y1150)</x:f>
        <x:v>-16489758.9607388</x:v>
      </x:c>
      <x:c r="AA1150" s="58" t="n">
        <x:f>IF(R1150="No","",MAX(0,-Z1150))</x:f>
        <x:v>16489758.9607388</x:v>
      </x:c>
      <x:c r="AB1150" s="52" t="n">
        <x:f>IF(OR(R1150="No",U1150*S1150=0),"",AA1150/(U1150*S1150))</x:f>
        <x:v>0.10914498598889041</x:v>
      </x:c>
      <x:c r="AC1150" s="54" t="n">
        <x:f>IF(OR(R1150="No",S1150-T1150*Assumptions!$B$9&lt;=0),"",AA1150/(Assumptions!$B$8*(S1150-T1150*Assumptions!$B$9)))</x:f>
        <x:v>757.7984626778251</x:v>
      </x:c>
      <x:c r="AD1150" s="52" t="n">
        <x:f>IF(OR(R1150="No",U1150*S1150=0),"",AA1150/(U1150*S1150))</x:f>
        <x:v>0.10914498598889041</x:v>
      </x:c>
      <x:c r="AE1150" s="50" t="str">
        <x:f>IF(R1150="No","No finance data",IF(AB1150&gt;=10%,"Severe",IF(AB1150&gt;=5%,"High",IF(AB1150&gt;=2%,"Moderate","Low"))))</x:f>
        <x:v>Severe</x:v>
      </x:c>
      <x:c r="AF1150" s="60" t="n">
        <x:v>42.729978</x:v>
      </x:c>
      <x:c r="AG1150" s="60" t="n">
        <x:v>-73.676646</x:v>
      </x:c>
      <x:c r="AH1150" s="44" t="str">
        <x:v>Undergraduate tuition-contribution proxy only; not an audited total institutional budget.</x:v>
      </x:c>
    </x:row>
    <x:row r="1151">
      <x:c r="A1151" s="16" t="n">
        <x:v>194958</x:v>
      </x:c>
      <x:c r="B1151" s="16" t="str">
        <x:v>Roberts Wesleyan College</x:v>
      </x:c>
      <x:c r="C1151" s="16" t="str">
        <x:v>NY</x:v>
      </x:c>
      <x:c r="D1151" s="16" t="str">
        <x:v>Private nonprofit</x:v>
      </x:c>
      <x:c r="E1151" s="34" t="n">
        <x:v>1282</x:v>
      </x:c>
      <x:c r="F1151" s="21" t="n">
        <x:v>0.8739</x:v>
      </x:c>
      <x:c r="G1151" s="16" t="str">
        <x:v>Regional</x:v>
      </x:c>
      <x:c r="H1151" s="36" t="n">
        <x:f>IF(G1151="National",Assumptions!$B$11,IF(G1151="Statewide",Assumptions!$B$12,Assumptions!$B$13))</x:f>
        <x:v>0.85</x:v>
      </x:c>
      <x:c r="I1151" s="21" t="n">
        <x:v>-0.08678079290324192</x:v>
      </x:c>
      <x:c r="J1151" s="21" t="n">
        <x:v>-0.14585233360743566</x:v>
      </x:c>
      <x:c r="K1151" s="21" t="n">
        <x:v>-0.24979193142458445</x:v>
      </x:c>
      <x:c r="L1151" s="36" t="n">
        <x:f>IF(Assumptions!$B$4=2030,I1151,IF(Assumptions!$B$4=2035,J1151,K1151))</x:f>
        <x:v>-0.14585233360743566</x:v>
      </x:c>
      <x:c r="M1151" s="36" t="n">
        <x:f>Assumptions!$B$19</x:f>
        <x:v>-0.04739891965741583</x:v>
      </x:c>
      <x:c r="N1151" s="52" t="n">
        <x:f>H1151*L1151+(1-H1151)*M1151+O1151</x:f>
        <x:v>-0.13108432151493268</x:v>
      </x:c>
      <x:c r="O1151" s="36" t="n">
        <x:f>Assumptions!$B$10</x:f>
        <x:v>0</x:v>
      </x:c>
      <x:c r="P1151" s="54" t="n">
        <x:f>E1151*(1+N1151)</x:f>
        <x:v>1113.9498998178562</x:v>
      </x:c>
      <x:c r="Q1151" s="54" t="n">
        <x:f>P1151-E1151</x:f>
        <x:v>-168.05010018214375</x:v>
      </x:c>
      <x:c r="R1151" s="16" t="str">
        <x:v>Yes</x:v>
      </x:c>
      <x:c r="S1151" s="56" t="n">
        <x:v>14125</x:v>
      </x:c>
      <x:c r="T1151" s="56" t="n">
        <x:v>8228</x:v>
      </x:c>
      <x:c r="U1151" s="40" t="n">
        <x:f>E1151*Assumptions!$B$8</x:f>
        <x:v>1089.7</x:v>
      </x:c>
      <x:c r="V1151" s="40" t="n">
        <x:f>P1151*Assumptions!$B$8</x:f>
        <x:v>946.8574148451778</x:v>
      </x:c>
      <x:c r="W1151" s="54" t="n">
        <x:f>V1151-U1151</x:f>
        <x:v>-142.84258515482225</x:v>
      </x:c>
      <x:c r="X1151" s="58" t="n">
        <x:f>IF(R1151="No","",W1151*S1151)</x:f>
        <x:v>-2017651.5153118642</x:v>
      </x:c>
      <x:c r="Y1151" s="58" t="n">
        <x:f>IF(R1151="No","",W1151*T1151*Assumptions!$B$9)</x:f>
        <x:v>-352592.63719616324</x:v>
      </x:c>
      <x:c r="Z1151" s="58" t="n">
        <x:f>IF(R1151="No","",X1151-Y1151)</x:f>
        <x:v>-1665058.878115701</x:v>
      </x:c>
      <x:c r="AA1151" s="58" t="n">
        <x:f>IF(R1151="No","",MAX(0,-Z1151))</x:f>
        <x:v>1665058.878115701</x:v>
      </x:c>
      <x:c r="AB1151" s="52" t="n">
        <x:f>IF(OR(R1151="No",U1151*S1151=0),"",AA1151/(U1151*S1151))</x:f>
        <x:v>0.1081768143129887</x:v>
      </x:c>
      <x:c r="AC1151" s="54" t="n">
        <x:f>IF(OR(R1151="No",S1151-T1151*Assumptions!$B$9&lt;=0),"",AA1151/(Assumptions!$B$8*(S1151-T1151*Assumptions!$B$9)))</x:f>
        <x:v>168.0501001821438</x:v>
      </x:c>
      <x:c r="AD1151" s="52" t="n">
        <x:f>IF(OR(R1151="No",U1151*S1151=0),"",AA1151/(U1151*S1151))</x:f>
        <x:v>0.1081768143129887</x:v>
      </x:c>
      <x:c r="AE1151" s="50" t="str">
        <x:f>IF(R1151="No","No finance data",IF(AB1151&gt;=10%,"Severe",IF(AB1151&gt;=5%,"High",IF(AB1151&gt;=2%,"Moderate","Low"))))</x:f>
        <x:v>Severe</x:v>
      </x:c>
      <x:c r="AF1151" s="60" t="n">
        <x:v>43.125755</x:v>
      </x:c>
      <x:c r="AG1151" s="60" t="n">
        <x:v>-77.798498</x:v>
      </x:c>
      <x:c r="AH1151" s="44" t="str">
        <x:v>Undergraduate tuition-contribution proxy only; not an audited total institutional budget.</x:v>
      </x:c>
    </x:row>
    <x:row r="1152">
      <x:c r="A1152" s="16" t="n">
        <x:v>195003</x:v>
      </x:c>
      <x:c r="B1152" s="16" t="str">
        <x:v>Rochester Institute of Technology</x:v>
      </x:c>
      <x:c r="C1152" s="16" t="str">
        <x:v>NY</x:v>
      </x:c>
      <x:c r="D1152" s="16" t="str">
        <x:v>Private nonprofit</x:v>
      </x:c>
      <x:c r="E1152" s="34" t="n">
        <x:v>12873</x:v>
      </x:c>
      <x:c r="F1152" s="21" t="n">
        <x:v>0.7136</x:v>
      </x:c>
      <x:c r="G1152" s="16" t="str">
        <x:v>Statewide</x:v>
      </x:c>
      <x:c r="H1152" s="36" t="n">
        <x:f>IF(G1152="National",Assumptions!$B$11,IF(G1152="Statewide",Assumptions!$B$12,Assumptions!$B$13))</x:f>
        <x:v>0.6</x:v>
      </x:c>
      <x:c r="I1152" s="21" t="n">
        <x:v>-0.08678079290324192</x:v>
      </x:c>
      <x:c r="J1152" s="21" t="n">
        <x:v>-0.14585233360743566</x:v>
      </x:c>
      <x:c r="K1152" s="21" t="n">
        <x:v>-0.24979193142458445</x:v>
      </x:c>
      <x:c r="L1152" s="36" t="n">
        <x:f>IF(Assumptions!$B$4=2030,I1152,IF(Assumptions!$B$4=2035,J1152,K1152))</x:f>
        <x:v>-0.14585233360743566</x:v>
      </x:c>
      <x:c r="M1152" s="36" t="n">
        <x:f>Assumptions!$B$19</x:f>
        <x:v>-0.04739891965741583</x:v>
      </x:c>
      <x:c r="N1152" s="52" t="n">
        <x:f>H1152*L1152+(1-H1152)*M1152+O1152</x:f>
        <x:v>-0.10647096802742773</x:v>
      </x:c>
      <x:c r="O1152" s="36" t="n">
        <x:f>Assumptions!$B$10</x:f>
        <x:v>0</x:v>
      </x:c>
      <x:c r="P1152" s="54" t="n">
        <x:f>E1152*(1+N1152)</x:f>
        <x:v>11502.399228582923</x:v>
      </x:c>
      <x:c r="Q1152" s="54" t="n">
        <x:f>P1152-E1152</x:f>
        <x:v>-1370.6007714170773</x:v>
      </x:c>
      <x:c r="R1152" s="16" t="str">
        <x:v>Yes</x:v>
      </x:c>
      <x:c r="S1152" s="56" t="n">
        <x:v>23283</x:v>
      </x:c>
      <x:c r="T1152" s="56" t="n">
        <x:v>19117</x:v>
      </x:c>
      <x:c r="U1152" s="40" t="n">
        <x:f>E1152*Assumptions!$B$8</x:f>
        <x:v>10942.05</x:v>
      </x:c>
      <x:c r="V1152" s="40" t="n">
        <x:f>P1152*Assumptions!$B$8</x:f>
        <x:v>9777.039344295485</x:v>
      </x:c>
      <x:c r="W1152" s="54" t="n">
        <x:f>V1152-U1152</x:f>
        <x:v>-1165.0106557045146</x:v>
      </x:c>
      <x:c r="X1152" s="58" t="n">
        <x:f>IF(R1152="No","",W1152*S1152)</x:f>
        <x:v>-27124943.096768215</x:v>
      </x:c>
      <x:c r="Y1152" s="58" t="n">
        <x:f>IF(R1152="No","",W1152*T1152*Assumptions!$B$9)</x:f>
        <x:v>-6681452.611530962</x:v>
      </x:c>
      <x:c r="Z1152" s="58" t="n">
        <x:f>IF(R1152="No","",X1152-Y1152)</x:f>
        <x:v>-20443490.485237252</x:v>
      </x:c>
      <x:c r="AA1152" s="58" t="n">
        <x:f>IF(R1152="No","",MAX(0,-Z1152))</x:f>
        <x:v>20443490.485237252</x:v>
      </x:c>
      <x:c r="AB1152" s="52" t="n">
        <x:f>IF(OR(R1152="No",U1152*S1152=0),"",AA1152/(U1152*S1152))</x:f>
        <x:v>0.08024489541075024</x:v>
      </x:c>
      <x:c r="AC1152" s="54" t="n">
        <x:f>IF(OR(R1152="No",S1152-T1152*Assumptions!$B$9&lt;=0),"",AA1152/(Assumptions!$B$8*(S1152-T1152*Assumptions!$B$9)))</x:f>
        <x:v>1370.600771417076</x:v>
      </x:c>
      <x:c r="AD1152" s="52" t="n">
        <x:f>IF(OR(R1152="No",U1152*S1152=0),"",AA1152/(U1152*S1152))</x:f>
        <x:v>0.08024489541075024</x:v>
      </x:c>
      <x:c r="AE1152" s="50" t="str">
        <x:f>IF(R1152="No","No finance data",IF(AB1152&gt;=10%,"Severe",IF(AB1152&gt;=5%,"High",IF(AB1152&gt;=2%,"Moderate","Low"))))</x:f>
        <x:v>High</x:v>
      </x:c>
      <x:c r="AF1152" s="60" t="n">
        <x:v>43.084188</x:v>
      </x:c>
      <x:c r="AG1152" s="60" t="n">
        <x:v>-77.67386</x:v>
      </x:c>
      <x:c r="AH1152" s="44" t="str">
        <x:v>Undergraduate tuition-contribution proxy only; not an audited total institutional budget.</x:v>
      </x:c>
    </x:row>
    <x:row r="1153">
      <x:c r="A1153" s="16" t="n">
        <x:v>196130</x:v>
      </x:c>
      <x:c r="B1153" s="16" t="str">
        <x:v>SUNY Buffalo State</x:v>
      </x:c>
      <x:c r="C1153" s="16" t="str">
        <x:v>NY</x:v>
      </x:c>
      <x:c r="D1153" s="16" t="str">
        <x:v>Public</x:v>
      </x:c>
      <x:c r="E1153" s="34" t="n">
        <x:v>9018</x:v>
      </x:c>
      <x:c r="F1153" s="21" t="n">
        <x:v>0.8454</x:v>
      </x:c>
      <x:c r="G1153" s="16" t="str">
        <x:v>Statewide</x:v>
      </x:c>
      <x:c r="H1153" s="36" t="n">
        <x:f>IF(G1153="National",Assumptions!$B$11,IF(G1153="Statewide",Assumptions!$B$12,Assumptions!$B$13))</x:f>
        <x:v>0.6</x:v>
      </x:c>
      <x:c r="I1153" s="21" t="n">
        <x:v>-0.08678079290324192</x:v>
      </x:c>
      <x:c r="J1153" s="21" t="n">
        <x:v>-0.14585233360743566</x:v>
      </x:c>
      <x:c r="K1153" s="21" t="n">
        <x:v>-0.24979193142458445</x:v>
      </x:c>
      <x:c r="L1153" s="36" t="n">
        <x:f>IF(Assumptions!$B$4=2030,I1153,IF(Assumptions!$B$4=2035,J1153,K1153))</x:f>
        <x:v>-0.14585233360743566</x:v>
      </x:c>
      <x:c r="M1153" s="36" t="n">
        <x:f>Assumptions!$B$19</x:f>
        <x:v>-0.04739891965741583</x:v>
      </x:c>
      <x:c r="N1153" s="52" t="n">
        <x:f>H1153*L1153+(1-H1153)*M1153+O1153</x:f>
        <x:v>-0.10647096802742773</x:v>
      </x:c>
      <x:c r="O1153" s="36" t="n">
        <x:f>Assumptions!$B$10</x:f>
        <x:v>0</x:v>
      </x:c>
      <x:c r="P1153" s="54" t="n">
        <x:f>E1153*(1+N1153)</x:f>
        <x:v>8057.844810328656</x:v>
      </x:c>
      <x:c r="Q1153" s="54" t="n">
        <x:f>P1153-E1153</x:f>
        <x:v>-960.1551896713436</x:v>
      </x:c>
      <x:c r="R1153" s="16" t="str">
        <x:v>Yes</x:v>
      </x:c>
      <x:c r="S1153" s="56" t="n">
        <x:v>4702</x:v>
      </x:c>
      <x:c r="T1153" s="56" t="n">
        <x:v>12199</x:v>
      </x:c>
      <x:c r="U1153" s="40" t="n">
        <x:f>E1153*Assumptions!$B$8</x:f>
        <x:v>7665.3</x:v>
      </x:c>
      <x:c r="V1153" s="40" t="n">
        <x:f>P1153*Assumptions!$B$8</x:f>
        <x:v>6849.168088779358</x:v>
      </x:c>
      <x:c r="W1153" s="54" t="n">
        <x:f>V1153-U1153</x:f>
        <x:v>-816.131911220642</x:v>
      </x:c>
      <x:c r="X1153" s="58" t="n">
        <x:f>IF(R1153="No","",W1153*S1153)</x:f>
        <x:v>-3837452.246559459</x:v>
      </x:c>
      <x:c r="Y1153" s="58" t="n">
        <x:f>IF(R1153="No","",W1153*T1153*Assumptions!$B$9)</x:f>
        <x:v>-2986797.9554941836</x:v>
      </x:c>
      <x:c r="Z1153" s="58" t="n">
        <x:f>IF(R1153="No","",X1153-Y1153)</x:f>
        <x:v>-850654.2910652752</x:v>
      </x:c>
      <x:c r="AA1153" s="58" t="n">
        <x:f>IF(R1153="No","",MAX(0,-Z1153))</x:f>
        <x:v>850654.2910652752</x:v>
      </x:c>
      <x:c r="AB1153" s="52" t="n">
        <x:f>IF(OR(R1153="No",U1153*S1153=0),"",AA1153/(U1153*S1153))</x:f>
        <x:v>0.023601592933855373</x:v>
      </x:c>
      <x:c r="AC1153" s="54" t="n">
        <x:f>IF(OR(R1153="No",S1153-T1153*Assumptions!$B$9&lt;=0),"",AA1153/(Assumptions!$B$8*(S1153-T1153*Assumptions!$B$9)))</x:f>
        <x:v>960.1551896713435</x:v>
      </x:c>
      <x:c r="AD1153" s="52" t="n">
        <x:f>IF(OR(R1153="No",U1153*S1153=0),"",AA1153/(U1153*S1153))</x:f>
        <x:v>0.023601592933855373</x:v>
      </x:c>
      <x:c r="AE1153" s="50" t="str">
        <x:f>IF(R1153="No","No finance data",IF(AB1153&gt;=10%,"Severe",IF(AB1153&gt;=5%,"High",IF(AB1153&gt;=2%,"Moderate","Low"))))</x:f>
        <x:v>Moderate</x:v>
      </x:c>
      <x:c r="AF1153" s="60" t="n">
        <x:v>42.933832</x:v>
      </x:c>
      <x:c r="AG1153" s="60" t="n">
        <x:v>-78.882125</x:v>
      </x:c>
      <x:c r="AH1153" s="44" t="str">
        <x:v>Undergraduate tuition-contribution proxy only; not an audited total institutional budget.</x:v>
      </x:c>
    </x:row>
    <x:row r="1154">
      <x:c r="A1154" s="16" t="n">
        <x:v>196121</x:v>
      </x:c>
      <x:c r="B1154" s="16" t="str">
        <x:v>SUNY College at Brockport</x:v>
      </x:c>
      <x:c r="C1154" s="16" t="str">
        <x:v>NY</x:v>
      </x:c>
      <x:c r="D1154" s="16" t="str">
        <x:v>Public</x:v>
      </x:c>
      <x:c r="E1154" s="34" t="n">
        <x:v>6997</x:v>
      </x:c>
      <x:c r="F1154" s="21" t="n">
        <x:v>0.7645</x:v>
      </x:c>
      <x:c r="G1154" s="16" t="str">
        <x:v>Statewide</x:v>
      </x:c>
      <x:c r="H1154" s="36" t="n">
        <x:f>IF(G1154="National",Assumptions!$B$11,IF(G1154="Statewide",Assumptions!$B$12,Assumptions!$B$13))</x:f>
        <x:v>0.6</x:v>
      </x:c>
      <x:c r="I1154" s="21" t="n">
        <x:v>-0.08678079290324192</x:v>
      </x:c>
      <x:c r="J1154" s="21" t="n">
        <x:v>-0.14585233360743566</x:v>
      </x:c>
      <x:c r="K1154" s="21" t="n">
        <x:v>-0.24979193142458445</x:v>
      </x:c>
      <x:c r="L1154" s="36" t="n">
        <x:f>IF(Assumptions!$B$4=2030,I1154,IF(Assumptions!$B$4=2035,J1154,K1154))</x:f>
        <x:v>-0.14585233360743566</x:v>
      </x:c>
      <x:c r="M1154" s="36" t="n">
        <x:f>Assumptions!$B$19</x:f>
        <x:v>-0.04739891965741583</x:v>
      </x:c>
      <x:c r="N1154" s="52" t="n">
        <x:f>H1154*L1154+(1-H1154)*M1154+O1154</x:f>
        <x:v>-0.10647096802742773</x:v>
      </x:c>
      <x:c r="O1154" s="36" t="n">
        <x:f>Assumptions!$B$10</x:f>
        <x:v>0</x:v>
      </x:c>
      <x:c r="P1154" s="54" t="n">
        <x:f>E1154*(1+N1154)</x:f>
        <x:v>6252.022636712089</x:v>
      </x:c>
      <x:c r="Q1154" s="54" t="n">
        <x:f>P1154-E1154</x:f>
        <x:v>-744.9773632879114</x:v>
      </x:c>
      <x:c r="R1154" s="16" t="str">
        <x:v>Yes</x:v>
      </x:c>
      <x:c r="S1154" s="56" t="n">
        <x:v>5798</x:v>
      </x:c>
      <x:c r="T1154" s="56" t="n">
        <x:v>11998</x:v>
      </x:c>
      <x:c r="U1154" s="40" t="n">
        <x:f>E1154*Assumptions!$B$8</x:f>
        <x:v>5947.45</x:v>
      </x:c>
      <x:c r="V1154" s="40" t="n">
        <x:f>P1154*Assumptions!$B$8</x:f>
        <x:v>5314.2192412052755</x:v>
      </x:c>
      <x:c r="W1154" s="54" t="n">
        <x:f>V1154-U1154</x:f>
        <x:v>-633.2307587947244</x:v>
      </x:c>
      <x:c r="X1154" s="58" t="n">
        <x:f>IF(R1154="No","",W1154*S1154)</x:f>
        <x:v>-3671471.9394918117</x:v>
      </x:c>
      <x:c r="Y1154" s="58" t="n">
        <x:f>IF(R1154="No","",W1154*T1154*Assumptions!$B$9)</x:f>
        <x:v>-2279250.7932057306</x:v>
      </x:c>
      <x:c r="Z1154" s="58" t="n">
        <x:f>IF(R1154="No","",X1154-Y1154)</x:f>
        <x:v>-1392221.146286081</x:v>
      </x:c>
      <x:c r="AA1154" s="58" t="n">
        <x:f>IF(R1154="No","",MAX(0,-Z1154))</x:f>
        <x:v>1392221.146286081</x:v>
      </x:c>
      <x:c r="AB1154" s="52" t="n">
        <x:f>IF(OR(R1154="No",U1154*S1154=0),"",AA1154/(U1154*S1154))</x:f>
        <x:v>0.040373761694567495</x:v>
      </x:c>
      <x:c r="AC1154" s="54" t="n">
        <x:f>IF(OR(R1154="No",S1154-T1154*Assumptions!$B$9&lt;=0),"",AA1154/(Assumptions!$B$8*(S1154-T1154*Assumptions!$B$9)))</x:f>
        <x:v>744.9773632879111</x:v>
      </x:c>
      <x:c r="AD1154" s="52" t="n">
        <x:f>IF(OR(R1154="No",U1154*S1154=0),"",AA1154/(U1154*S1154))</x:f>
        <x:v>0.040373761694567495</x:v>
      </x:c>
      <x:c r="AE1154" s="50" t="str">
        <x:f>IF(R1154="No","No finance data",IF(AB1154&gt;=10%,"Severe",IF(AB1154&gt;=5%,"High",IF(AB1154&gt;=2%,"Moderate","Low"))))</x:f>
        <x:v>Moderate</x:v>
      </x:c>
      <x:c r="AF1154" s="60" t="n">
        <x:v>43.211926</x:v>
      </x:c>
      <x:c r="AG1154" s="60" t="n">
        <x:v>-77.947188</x:v>
      </x:c>
      <x:c r="AH1154" s="44" t="str">
        <x:v>Undergraduate tuition-contribution proxy only; not an audited total institutional budget.</x:v>
      </x:c>
    </x:row>
    <x:row r="1155">
      <x:c r="A1155" s="16" t="n">
        <x:v>196167</x:v>
      </x:c>
      <x:c r="B1155" s="16" t="str">
        <x:v>SUNY College at Geneseo</x:v>
      </x:c>
      <x:c r="C1155" s="16" t="str">
        <x:v>NY</x:v>
      </x:c>
      <x:c r="D1155" s="16" t="str">
        <x:v>Public</x:v>
      </x:c>
      <x:c r="E1155" s="34" t="n">
        <x:v>5548</x:v>
      </x:c>
      <x:c r="F1155" s="21" t="n">
        <x:v>0.7385</x:v>
      </x:c>
      <x:c r="G1155" s="16" t="str">
        <x:v>Statewide</x:v>
      </x:c>
      <x:c r="H1155" s="36" t="n">
        <x:f>IF(G1155="National",Assumptions!$B$11,IF(G1155="Statewide",Assumptions!$B$12,Assumptions!$B$13))</x:f>
        <x:v>0.6</x:v>
      </x:c>
      <x:c r="I1155" s="21" t="n">
        <x:v>-0.08678079290324192</x:v>
      </x:c>
      <x:c r="J1155" s="21" t="n">
        <x:v>-0.14585233360743566</x:v>
      </x:c>
      <x:c r="K1155" s="21" t="n">
        <x:v>-0.24979193142458445</x:v>
      </x:c>
      <x:c r="L1155" s="36" t="n">
        <x:f>IF(Assumptions!$B$4=2030,I1155,IF(Assumptions!$B$4=2035,J1155,K1155))</x:f>
        <x:v>-0.14585233360743566</x:v>
      </x:c>
      <x:c r="M1155" s="36" t="n">
        <x:f>Assumptions!$B$19</x:f>
        <x:v>-0.04739891965741583</x:v>
      </x:c>
      <x:c r="N1155" s="52" t="n">
        <x:f>H1155*L1155+(1-H1155)*M1155+O1155</x:f>
        <x:v>-0.10647096802742773</x:v>
      </x:c>
      <x:c r="O1155" s="36" t="n">
        <x:f>Assumptions!$B$10</x:f>
        <x:v>0</x:v>
      </x:c>
      <x:c r="P1155" s="54" t="n">
        <x:f>E1155*(1+N1155)</x:f>
        <x:v>4957.299069383831</x:v>
      </x:c>
      <x:c r="Q1155" s="54" t="n">
        <x:f>P1155-E1155</x:f>
        <x:v>-590.700930616169</x:v>
      </x:c>
      <x:c r="R1155" s="16" t="str">
        <x:v>Yes</x:v>
      </x:c>
      <x:c r="S1155" s="56" t="n">
        <x:v>4932</x:v>
      </x:c>
      <x:c r="T1155" s="56" t="n">
        <x:v>11633</x:v>
      </x:c>
      <x:c r="U1155" s="40" t="n">
        <x:f>E1155*Assumptions!$B$8</x:f>
        <x:v>4715.8</x:v>
      </x:c>
      <x:c r="V1155" s="40" t="n">
        <x:f>P1155*Assumptions!$B$8</x:f>
        <x:v>4213.704208976256</x:v>
      </x:c>
      <x:c r="W1155" s="54" t="n">
        <x:f>V1155-U1155</x:f>
        <x:v>-502.0957910237439</x:v>
      </x:c>
      <x:c r="X1155" s="58" t="n">
        <x:f>IF(R1155="No","",W1155*S1155)</x:f>
        <x:v>-2476336.441329105</x:v>
      </x:c>
      <x:c r="Y1155" s="58" t="n">
        <x:f>IF(R1155="No","",W1155*T1155*Assumptions!$B$9)</x:f>
        <x:v>-1752264.101093764</x:v>
      </x:c>
      <x:c r="Z1155" s="58" t="n">
        <x:f>IF(R1155="No","",X1155-Y1155)</x:f>
        <x:v>-724072.3402353409</x:v>
      </x:c>
      <x:c r="AA1155" s="58" t="n">
        <x:f>IF(R1155="No","",MAX(0,-Z1155))</x:f>
        <x:v>724072.3402353409</x:v>
      </x:c>
      <x:c r="AB1155" s="52" t="n">
        <x:f>IF(OR(R1155="No",U1155*S1155=0),"",AA1155/(U1155*S1155))</x:f>
        <x:v>0.031131748376389608</x:v>
      </x:c>
      <x:c r="AC1155" s="54" t="n">
        <x:f>IF(OR(R1155="No",S1155-T1155*Assumptions!$B$9&lt;=0),"",AA1155/(Assumptions!$B$8*(S1155-T1155*Assumptions!$B$9)))</x:f>
        <x:v>590.7009306161692</x:v>
      </x:c>
      <x:c r="AD1155" s="52" t="n">
        <x:f>IF(OR(R1155="No",U1155*S1155=0),"",AA1155/(U1155*S1155))</x:f>
        <x:v>0.031131748376389608</x:v>
      </x:c>
      <x:c r="AE1155" s="50" t="str">
        <x:f>IF(R1155="No","No finance data",IF(AB1155&gt;=10%,"Severe",IF(AB1155&gt;=5%,"High",IF(AB1155&gt;=2%,"Moderate","Low"))))</x:f>
        <x:v>Moderate</x:v>
      </x:c>
      <x:c r="AF1155" s="60" t="n">
        <x:v>42.796645</x:v>
      </x:c>
      <x:c r="AG1155" s="60" t="n">
        <x:v>-77.821894</x:v>
      </x:c>
      <x:c r="AH1155" s="44" t="str">
        <x:v>Undergraduate tuition-contribution proxy only; not an audited total institutional budget.</x:v>
      </x:c>
    </x:row>
    <x:row r="1156">
      <x:c r="A1156" s="16" t="n">
        <x:v>196237</x:v>
      </x:c>
      <x:c r="B1156" s="16" t="str">
        <x:v>SUNY College at Old Westbury</x:v>
      </x:c>
      <x:c r="C1156" s="16" t="str">
        <x:v>NY</x:v>
      </x:c>
      <x:c r="D1156" s="16" t="str">
        <x:v>Public</x:v>
      </x:c>
      <x:c r="E1156" s="34" t="n">
        <x:v>3998</x:v>
      </x:c>
      <x:c r="F1156" s="21" t="n">
        <x:v>0.7657</x:v>
      </x:c>
      <x:c r="G1156" s="16" t="str">
        <x:v>Regional</x:v>
      </x:c>
      <x:c r="H1156" s="36" t="n">
        <x:f>IF(G1156="National",Assumptions!$B$11,IF(G1156="Statewide",Assumptions!$B$12,Assumptions!$B$13))</x:f>
        <x:v>0.85</x:v>
      </x:c>
      <x:c r="I1156" s="21" t="n">
        <x:v>-0.08678079290324192</x:v>
      </x:c>
      <x:c r="J1156" s="21" t="n">
        <x:v>-0.14585233360743566</x:v>
      </x:c>
      <x:c r="K1156" s="21" t="n">
        <x:v>-0.24979193142458445</x:v>
      </x:c>
      <x:c r="L1156" s="36" t="n">
        <x:f>IF(Assumptions!$B$4=2030,I1156,IF(Assumptions!$B$4=2035,J1156,K1156))</x:f>
        <x:v>-0.14585233360743566</x:v>
      </x:c>
      <x:c r="M1156" s="36" t="n">
        <x:f>Assumptions!$B$19</x:f>
        <x:v>-0.04739891965741583</x:v>
      </x:c>
      <x:c r="N1156" s="52" t="n">
        <x:f>H1156*L1156+(1-H1156)*M1156+O1156</x:f>
        <x:v>-0.13108432151493268</x:v>
      </x:c>
      <x:c r="O1156" s="36" t="n">
        <x:f>Assumptions!$B$10</x:f>
        <x:v>0</x:v>
      </x:c>
      <x:c r="P1156" s="54" t="n">
        <x:f>E1156*(1+N1156)</x:f>
        <x:v>3473.924882583299</x:v>
      </x:c>
      <x:c r="Q1156" s="54" t="n">
        <x:f>P1156-E1156</x:f>
        <x:v>-524.0751174167008</x:v>
      </x:c>
      <x:c r="R1156" s="16" t="str">
        <x:v>Yes</x:v>
      </x:c>
      <x:c r="S1156" s="56" t="n">
        <x:v>4563</x:v>
      </x:c>
      <x:c r="T1156" s="56" t="n">
        <x:v>10676</x:v>
      </x:c>
      <x:c r="U1156" s="40" t="n">
        <x:f>E1156*Assumptions!$B$8</x:f>
        <x:v>3398.2999999999997</x:v>
      </x:c>
      <x:c r="V1156" s="40" t="n">
        <x:f>P1156*Assumptions!$B$8</x:f>
        <x:v>2952.8361501958043</x:v>
      </x:c>
      <x:c r="W1156" s="54" t="n">
        <x:f>V1156-U1156</x:f>
        <x:v>-445.46384980419543</x:v>
      </x:c>
      <x:c r="X1156" s="58" t="n">
        <x:f>IF(R1156="No","",W1156*S1156)</x:f>
        <x:v>-2032651.5466565439</x:v>
      </x:c>
      <x:c r="Y1156" s="58" t="n">
        <x:f>IF(R1156="No","",W1156*T1156*Assumptions!$B$9)</x:f>
        <x:v>-1426731.618152877</x:v>
      </x:c>
      <x:c r="Z1156" s="58" t="n">
        <x:f>IF(R1156="No","",X1156-Y1156)</x:f>
        <x:v>-605919.9285036668</x:v>
      </x:c>
      <x:c r="AA1156" s="58" t="n">
        <x:f>IF(R1156="No","",MAX(0,-Z1156))</x:f>
        <x:v>605919.9285036668</x:v>
      </x:c>
      <x:c r="AB1156" s="52" t="n">
        <x:f>IF(OR(R1156="No",U1156*S1156=0),"",AA1156/(U1156*S1156))</x:f>
        <x:v>0.039075365795444086</x:v>
      </x:c>
      <x:c r="AC1156" s="54" t="n">
        <x:f>IF(OR(R1156="No",S1156-T1156*Assumptions!$B$9&lt;=0),"",AA1156/(Assumptions!$B$8*(S1156-T1156*Assumptions!$B$9)))</x:f>
        <x:v>524.0751174167006</x:v>
      </x:c>
      <x:c r="AD1156" s="52" t="n">
        <x:f>IF(OR(R1156="No",U1156*S1156=0),"",AA1156/(U1156*S1156))</x:f>
        <x:v>0.039075365795444086</x:v>
      </x:c>
      <x:c r="AE1156" s="50" t="str">
        <x:f>IF(R1156="No","No finance data",IF(AB1156&gt;=10%,"Severe",IF(AB1156&gt;=5%,"High",IF(AB1156&gt;=2%,"Moderate","Low"))))</x:f>
        <x:v>Moderate</x:v>
      </x:c>
      <x:c r="AF1156" s="60" t="n">
        <x:v>40.799021</x:v>
      </x:c>
      <x:c r="AG1156" s="60" t="n">
        <x:v>-73.571907</x:v>
      </x:c>
      <x:c r="AH1156" s="44" t="str">
        <x:v>Undergraduate tuition-contribution proxy only; not an audited total institutional budget.</x:v>
      </x:c>
    </x:row>
    <x:row r="1157">
      <x:c r="A1157" s="16" t="n">
        <x:v>196194</x:v>
      </x:c>
      <x:c r="B1157" s="16" t="str">
        <x:v>SUNY College at Oswego</x:v>
      </x:c>
      <x:c r="C1157" s="16" t="str">
        <x:v>NY</x:v>
      </x:c>
      <x:c r="D1157" s="16" t="str">
        <x:v>Public</x:v>
      </x:c>
      <x:c r="E1157" s="34" t="n">
        <x:v>7046</x:v>
      </x:c>
      <x:c r="F1157" s="21" t="n">
        <x:v>0.7965</x:v>
      </x:c>
      <x:c r="G1157" s="16" t="str">
        <x:v>Statewide</x:v>
      </x:c>
      <x:c r="H1157" s="36" t="n">
        <x:f>IF(G1157="National",Assumptions!$B$11,IF(G1157="Statewide",Assumptions!$B$12,Assumptions!$B$13))</x:f>
        <x:v>0.6</x:v>
      </x:c>
      <x:c r="I1157" s="21" t="n">
        <x:v>-0.08678079290324192</x:v>
      </x:c>
      <x:c r="J1157" s="21" t="n">
        <x:v>-0.14585233360743566</x:v>
      </x:c>
      <x:c r="K1157" s="21" t="n">
        <x:v>-0.24979193142458445</x:v>
      </x:c>
      <x:c r="L1157" s="36" t="n">
        <x:f>IF(Assumptions!$B$4=2030,I1157,IF(Assumptions!$B$4=2035,J1157,K1157))</x:f>
        <x:v>-0.14585233360743566</x:v>
      </x:c>
      <x:c r="M1157" s="36" t="n">
        <x:f>Assumptions!$B$19</x:f>
        <x:v>-0.04739891965741583</x:v>
      </x:c>
      <x:c r="N1157" s="52" t="n">
        <x:f>H1157*L1157+(1-H1157)*M1157+O1157</x:f>
        <x:v>-0.10647096802742773</x:v>
      </x:c>
      <x:c r="O1157" s="36" t="n">
        <x:f>Assumptions!$B$10</x:f>
        <x:v>0</x:v>
      </x:c>
      <x:c r="P1157" s="54" t="n">
        <x:f>E1157*(1+N1157)</x:f>
        <x:v>6295.805559278744</x:v>
      </x:c>
      <x:c r="Q1157" s="54" t="n">
        <x:f>P1157-E1157</x:f>
        <x:v>-750.1944407212559</x:v>
      </x:c>
      <x:c r="R1157" s="16" t="str">
        <x:v>Yes</x:v>
      </x:c>
      <x:c r="S1157" s="56" t="n">
        <x:v>5427</x:v>
      </x:c>
      <x:c r="T1157" s="56" t="n">
        <x:v>11036</x:v>
      </x:c>
      <x:c r="U1157" s="40" t="n">
        <x:f>E1157*Assumptions!$B$8</x:f>
        <x:v>5989.099999999999</x:v>
      </x:c>
      <x:c r="V1157" s="40" t="n">
        <x:f>P1157*Assumptions!$B$8</x:f>
        <x:v>5351.434725386933</x:v>
      </x:c>
      <x:c r="W1157" s="54" t="n">
        <x:f>V1157-U1157</x:f>
        <x:v>-637.6652746130667</x:v>
      </x:c>
      <x:c r="X1157" s="58" t="n">
        <x:f>IF(R1157="No","",W1157*S1157)</x:f>
        <x:v>-3460609.445325113</x:v>
      </x:c>
      <x:c r="Y1157" s="58" t="n">
        <x:f>IF(R1157="No","",W1157*T1157*Assumptions!$B$9)</x:f>
        <x:v>-2111182.1911889412</x:v>
      </x:c>
      <x:c r="Z1157" s="58" t="n">
        <x:f>IF(R1157="No","",X1157-Y1157)</x:f>
        <x:v>-1349427.2541361717</x:v>
      </x:c>
      <x:c r="AA1157" s="58" t="n">
        <x:f>IF(R1157="No","",MAX(0,-Z1157))</x:f>
        <x:v>1349427.2541361717</x:v>
      </x:c>
      <x:c r="AB1157" s="52" t="n">
        <x:f>IF(OR(R1157="No",U1157*S1157=0),"",AA1157/(U1157*S1157))</x:f>
        <x:v>0.04151720334248062</x:v>
      </x:c>
      <x:c r="AC1157" s="54" t="n">
        <x:f>IF(OR(R1157="No",S1157-T1157*Assumptions!$B$9&lt;=0),"",AA1157/(Assumptions!$B$8*(S1157-T1157*Assumptions!$B$9)))</x:f>
        <x:v>750.1944407212548</x:v>
      </x:c>
      <x:c r="AD1157" s="52" t="n">
        <x:f>IF(OR(R1157="No",U1157*S1157=0),"",AA1157/(U1157*S1157))</x:f>
        <x:v>0.04151720334248062</x:v>
      </x:c>
      <x:c r="AE1157" s="50" t="str">
        <x:f>IF(R1157="No","No finance data",IF(AB1157&gt;=10%,"Severe",IF(AB1157&gt;=5%,"High",IF(AB1157&gt;=2%,"Moderate","Low"))))</x:f>
        <x:v>Moderate</x:v>
      </x:c>
      <x:c r="AF1157" s="60" t="n">
        <x:v>43.454287</x:v>
      </x:c>
      <x:c r="AG1157" s="60" t="n">
        <x:v>-76.540798</x:v>
      </x:c>
      <x:c r="AH1157" s="44" t="str">
        <x:v>Undergraduate tuition-contribution proxy only; not an audited total institutional budget.</x:v>
      </x:c>
    </x:row>
    <x:row r="1158">
      <x:c r="A1158" s="16" t="n">
        <x:v>196246</x:v>
      </x:c>
      <x:c r="B1158" s="16" t="str">
        <x:v>SUNY College at Plattsburgh</x:v>
      </x:c>
      <x:c r="C1158" s="16" t="str">
        <x:v>NY</x:v>
      </x:c>
      <x:c r="D1158" s="16" t="str">
        <x:v>Public</x:v>
      </x:c>
      <x:c r="E1158" s="34" t="n">
        <x:v>5272</x:v>
      </x:c>
      <x:c r="F1158" s="21" t="n">
        <x:v>0.6796</x:v>
      </x:c>
      <x:c r="G1158" s="16" t="str">
        <x:v>Statewide</x:v>
      </x:c>
      <x:c r="H1158" s="36" t="n">
        <x:f>IF(G1158="National",Assumptions!$B$11,IF(G1158="Statewide",Assumptions!$B$12,Assumptions!$B$13))</x:f>
        <x:v>0.6</x:v>
      </x:c>
      <x:c r="I1158" s="21" t="n">
        <x:v>-0.08678079290324192</x:v>
      </x:c>
      <x:c r="J1158" s="21" t="n">
        <x:v>-0.14585233360743566</x:v>
      </x:c>
      <x:c r="K1158" s="21" t="n">
        <x:v>-0.24979193142458445</x:v>
      </x:c>
      <x:c r="L1158" s="36" t="n">
        <x:f>IF(Assumptions!$B$4=2030,I1158,IF(Assumptions!$B$4=2035,J1158,K1158))</x:f>
        <x:v>-0.14585233360743566</x:v>
      </x:c>
      <x:c r="M1158" s="36" t="n">
        <x:f>Assumptions!$B$19</x:f>
        <x:v>-0.04739891965741583</x:v>
      </x:c>
      <x:c r="N1158" s="52" t="n">
        <x:f>H1158*L1158+(1-H1158)*M1158+O1158</x:f>
        <x:v>-0.10647096802742773</x:v>
      </x:c>
      <x:c r="O1158" s="36" t="n">
        <x:f>Assumptions!$B$10</x:f>
        <x:v>0</x:v>
      </x:c>
      <x:c r="P1158" s="54" t="n">
        <x:f>E1158*(1+N1158)</x:f>
        <x:v>4710.685056559401</x:v>
      </x:c>
      <x:c r="Q1158" s="54" t="n">
        <x:f>P1158-E1158</x:f>
        <x:v>-561.3149434405987</x:v>
      </x:c>
      <x:c r="R1158" s="16" t="str">
        <x:v>Yes</x:v>
      </x:c>
      <x:c r="S1158" s="56" t="n">
        <x:v>5614</x:v>
      </x:c>
      <x:c r="T1158" s="56" t="n">
        <x:v>11850</x:v>
      </x:c>
      <x:c r="U1158" s="40" t="n">
        <x:f>E1158*Assumptions!$B$8</x:f>
        <x:v>4481.2</x:v>
      </x:c>
      <x:c r="V1158" s="40" t="n">
        <x:f>P1158*Assumptions!$B$8</x:f>
        <x:v>4004.082298075491</x:v>
      </x:c>
      <x:c r="W1158" s="54" t="n">
        <x:f>V1158-U1158</x:f>
        <x:v>-477.11770192450876</x:v>
      </x:c>
      <x:c r="X1158" s="58" t="n">
        <x:f>IF(R1158="No","",W1158*S1158)</x:f>
        <x:v>-2678538.778604192</x:v>
      </x:c>
      <x:c r="Y1158" s="58" t="n">
        <x:f>IF(R1158="No","",W1158*T1158*Assumptions!$B$9)</x:f>
        <x:v>-1696153.4303416286</x:v>
      </x:c>
      <x:c r="Z1158" s="58" t="n">
        <x:f>IF(R1158="No","",X1158-Y1158)</x:f>
        <x:v>-982385.3482625636</x:v>
      </x:c>
      <x:c r="AA1158" s="58" t="n">
        <x:f>IF(R1158="No","",MAX(0,-Z1158))</x:f>
        <x:v>982385.3482625636</x:v>
      </x:c>
      <x:c r="AB1158" s="52" t="n">
        <x:f>IF(OR(R1158="No",U1158*S1158=0),"",AA1158/(U1158*S1158))</x:f>
        <x:v>0.03904946974857027</x:v>
      </x:c>
      <x:c r="AC1158" s="54" t="n">
        <x:f>IF(OR(R1158="No",S1158-T1158*Assumptions!$B$9&lt;=0),"",AA1158/(Assumptions!$B$8*(S1158-T1158*Assumptions!$B$9)))</x:f>
        <x:v>561.3149434405987</x:v>
      </x:c>
      <x:c r="AD1158" s="52" t="n">
        <x:f>IF(OR(R1158="No",U1158*S1158=0),"",AA1158/(U1158*S1158))</x:f>
        <x:v>0.03904946974857027</x:v>
      </x:c>
      <x:c r="AE1158" s="50" t="str">
        <x:f>IF(R1158="No","No finance data",IF(AB1158&gt;=10%,"Severe",IF(AB1158&gt;=5%,"High",IF(AB1158&gt;=2%,"Moderate","Low"))))</x:f>
        <x:v>Moderate</x:v>
      </x:c>
      <x:c r="AF1158" s="60" t="n">
        <x:v>44.69293</x:v>
      </x:c>
      <x:c r="AG1158" s="60" t="n">
        <x:v>-73.466536</x:v>
      </x:c>
      <x:c r="AH1158" s="44" t="str">
        <x:v>Undergraduate tuition-contribution proxy only; not an audited total institutional budget.</x:v>
      </x:c>
    </x:row>
    <x:row r="1159">
      <x:c r="A1159" s="16" t="n">
        <x:v>196200</x:v>
      </x:c>
      <x:c r="B1159" s="16" t="str">
        <x:v>SUNY College at Potsdam</x:v>
      </x:c>
      <x:c r="C1159" s="16" t="str">
        <x:v>NY</x:v>
      </x:c>
      <x:c r="D1159" s="16" t="str">
        <x:v>Public</x:v>
      </x:c>
      <x:c r="E1159" s="34" t="n">
        <x:v>3595</x:v>
      </x:c>
      <x:c r="F1159" s="21" t="n">
        <x:v>0.8133</x:v>
      </x:c>
      <x:c r="G1159" s="16" t="str">
        <x:v>Regional</x:v>
      </x:c>
      <x:c r="H1159" s="36" t="n">
        <x:f>IF(G1159="National",Assumptions!$B$11,IF(G1159="Statewide",Assumptions!$B$12,Assumptions!$B$13))</x:f>
        <x:v>0.85</x:v>
      </x:c>
      <x:c r="I1159" s="21" t="n">
        <x:v>-0.08678079290324192</x:v>
      </x:c>
      <x:c r="J1159" s="21" t="n">
        <x:v>-0.14585233360743566</x:v>
      </x:c>
      <x:c r="K1159" s="21" t="n">
        <x:v>-0.24979193142458445</x:v>
      </x:c>
      <x:c r="L1159" s="36" t="n">
        <x:f>IF(Assumptions!$B$4=2030,I1159,IF(Assumptions!$B$4=2035,J1159,K1159))</x:f>
        <x:v>-0.14585233360743566</x:v>
      </x:c>
      <x:c r="M1159" s="36" t="n">
        <x:f>Assumptions!$B$19</x:f>
        <x:v>-0.04739891965741583</x:v>
      </x:c>
      <x:c r="N1159" s="52" t="n">
        <x:f>H1159*L1159+(1-H1159)*M1159+O1159</x:f>
        <x:v>-0.13108432151493268</x:v>
      </x:c>
      <x:c r="O1159" s="36" t="n">
        <x:f>Assumptions!$B$10</x:f>
        <x:v>0</x:v>
      </x:c>
      <x:c r="P1159" s="54" t="n">
        <x:f>E1159*(1+N1159)</x:f>
        <x:v>3123.751864153817</x:v>
      </x:c>
      <x:c r="Q1159" s="54" t="n">
        <x:f>P1159-E1159</x:f>
        <x:v>-471.2481358461828</x:v>
      </x:c>
      <x:c r="R1159" s="16" t="str">
        <x:v>Yes</x:v>
      </x:c>
      <x:c r="S1159" s="56" t="n">
        <x:v>4412</x:v>
      </x:c>
      <x:c r="T1159" s="56" t="n">
        <x:v>15377</x:v>
      </x:c>
      <x:c r="U1159" s="40" t="n">
        <x:f>E1159*Assumptions!$B$8</x:f>
        <x:v>3055.75</x:v>
      </x:c>
      <x:c r="V1159" s="40" t="n">
        <x:f>P1159*Assumptions!$B$8</x:f>
        <x:v>2655.1890845307444</x:v>
      </x:c>
      <x:c r="W1159" s="54" t="n">
        <x:f>V1159-U1159</x:f>
        <x:v>-400.56091546925563</x:v>
      </x:c>
      <x:c r="X1159" s="58" t="n">
        <x:f>IF(R1159="No","",W1159*S1159)</x:f>
        <x:v>-1767274.7590503558</x:v>
      </x:c>
      <x:c r="Y1159" s="58" t="n">
        <x:f>IF(R1159="No","",W1159*T1159*Assumptions!$B$9)</x:f>
        <x:v>-1847827.5591512232</x:v>
      </x:c>
      <x:c r="Z1159" s="58" t="n">
        <x:f>IF(R1159="No","",X1159-Y1159)</x:f>
        <x:v>80552.8001008674</x:v>
      </x:c>
      <x:c r="AA1159" s="58" t="n">
        <x:f>IF(R1159="No","",MAX(0,-Z1159))</x:f>
        <x:v>0</x:v>
      </x:c>
      <x:c r="AB1159" s="52" t="n">
        <x:f>IF(OR(R1159="No",U1159*S1159=0),"",AA1159/(U1159*S1159))</x:f>
        <x:v>0</x:v>
      </x:c>
      <x:c r="AC1159" s="54" t="str">
        <x:f>IF(OR(R1159="No",S1159-T1159*Assumptions!$B$9&lt;=0),"",AA1159/(Assumptions!$B$8*(S1159-T1159*Assumptions!$B$9)))</x:f>
      </x:c>
      <x:c r="AD1159" s="52" t="n">
        <x:f>IF(OR(R1159="No",U1159*S1159=0),"",AA1159/(U1159*S1159))</x:f>
        <x:v>0</x:v>
      </x:c>
      <x:c r="AE1159" s="50" t="str">
        <x:f>IF(R1159="No","No finance data",IF(AB1159&gt;=10%,"Severe",IF(AB1159&gt;=5%,"High",IF(AB1159&gt;=2%,"Moderate","Low"))))</x:f>
        <x:v>Low</x:v>
      </x:c>
      <x:c r="AF1159" s="60" t="n">
        <x:v>44.662148</x:v>
      </x:c>
      <x:c r="AG1159" s="60" t="n">
        <x:v>-74.973815</x:v>
      </x:c>
      <x:c r="AH1159" s="44" t="str">
        <x:v>Undergraduate tuition-contribution proxy only; not an audited total institutional budget.</x:v>
      </x:c>
    </x:row>
    <x:row r="1160">
      <x:c r="A1160" s="16" t="n">
        <x:v>196033</x:v>
      </x:c>
      <x:c r="B1160" s="16" t="str">
        <x:v>SUNY College of Agriculture and Technology at Cobleskill</x:v>
      </x:c>
      <x:c r="C1160" s="16" t="str">
        <x:v>NY</x:v>
      </x:c>
      <x:c r="D1160" s="16" t="str">
        <x:v>Public</x:v>
      </x:c>
      <x:c r="E1160" s="34" t="n">
        <x:v>2420</x:v>
      </x:c>
      <x:c r="F1160" s="21" t="n">
        <x:v>0.8101</x:v>
      </x:c>
      <x:c r="G1160" s="16" t="str">
        <x:v>Regional</x:v>
      </x:c>
      <x:c r="H1160" s="36" t="n">
        <x:f>IF(G1160="National",Assumptions!$B$11,IF(G1160="Statewide",Assumptions!$B$12,Assumptions!$B$13))</x:f>
        <x:v>0.85</x:v>
      </x:c>
      <x:c r="I1160" s="21" t="n">
        <x:v>-0.08678079290324192</x:v>
      </x:c>
      <x:c r="J1160" s="21" t="n">
        <x:v>-0.14585233360743566</x:v>
      </x:c>
      <x:c r="K1160" s="21" t="n">
        <x:v>-0.24979193142458445</x:v>
      </x:c>
      <x:c r="L1160" s="36" t="n">
        <x:f>IF(Assumptions!$B$4=2030,I1160,IF(Assumptions!$B$4=2035,J1160,K1160))</x:f>
        <x:v>-0.14585233360743566</x:v>
      </x:c>
      <x:c r="M1160" s="36" t="n">
        <x:f>Assumptions!$B$19</x:f>
        <x:v>-0.04739891965741583</x:v>
      </x:c>
      <x:c r="N1160" s="52" t="n">
        <x:f>H1160*L1160+(1-H1160)*M1160+O1160</x:f>
        <x:v>-0.13108432151493268</x:v>
      </x:c>
      <x:c r="O1160" s="36" t="n">
        <x:f>Assumptions!$B$10</x:f>
        <x:v>0</x:v>
      </x:c>
      <x:c r="P1160" s="54" t="n">
        <x:f>E1160*(1+N1160)</x:f>
        <x:v>2102.775941933863</x:v>
      </x:c>
      <x:c r="Q1160" s="54" t="n">
        <x:f>P1160-E1160</x:f>
        <x:v>-317.2240580661369</x:v>
      </x:c>
      <x:c r="R1160" s="16" t="str">
        <x:v>Yes</x:v>
      </x:c>
      <x:c r="S1160" s="56" t="n">
        <x:v>4673</x:v>
      </x:c>
      <x:c r="T1160" s="56" t="n">
        <x:v>12246</x:v>
      </x:c>
      <x:c r="U1160" s="40" t="n">
        <x:f>E1160*Assumptions!$B$8</x:f>
        <x:v>2057</x:v>
      </x:c>
      <x:c r="V1160" s="40" t="n">
        <x:f>P1160*Assumptions!$B$8</x:f>
        <x:v>1787.3595506437837</x:v>
      </x:c>
      <x:c r="W1160" s="54" t="n">
        <x:f>V1160-U1160</x:f>
        <x:v>-269.6404493562163</x:v>
      </x:c>
      <x:c r="X1160" s="58" t="n">
        <x:f>IF(R1160="No","",W1160*S1160)</x:f>
        <x:v>-1260029.8198415989</x:v>
      </x:c>
      <x:c r="Y1160" s="58" t="n">
        <x:f>IF(R1160="No","",W1160*T1160*Assumptions!$B$9)</x:f>
        <x:v>-990605.0828448674</x:v>
      </x:c>
      <x:c r="Z1160" s="58" t="n">
        <x:f>IF(R1160="No","",X1160-Y1160)</x:f>
        <x:v>-269424.7369967315</x:v>
      </x:c>
      <x:c r="AA1160" s="58" t="n">
        <x:f>IF(R1160="No","",MAX(0,-Z1160))</x:f>
        <x:v>269424.7369967315</x:v>
      </x:c>
      <x:c r="AB1160" s="52" t="n">
        <x:f>IF(OR(R1160="No",U1160*S1160=0),"",AA1160/(U1160*S1160))</x:f>
        <x:v>0.028028986530648555</x:v>
      </x:c>
      <x:c r="AC1160" s="54" t="n">
        <x:f>IF(OR(R1160="No",S1160-T1160*Assumptions!$B$9&lt;=0),"",AA1160/(Assumptions!$B$8*(S1160-T1160*Assumptions!$B$9)))</x:f>
        <x:v>317.22405806613693</x:v>
      </x:c>
      <x:c r="AD1160" s="52" t="n">
        <x:f>IF(OR(R1160="No",U1160*S1160=0),"",AA1160/(U1160*S1160))</x:f>
        <x:v>0.028028986530648555</x:v>
      </x:c>
      <x:c r="AE1160" s="50" t="str">
        <x:f>IF(R1160="No","No finance data",IF(AB1160&gt;=10%,"Severe",IF(AB1160&gt;=5%,"High",IF(AB1160&gt;=2%,"Moderate","Low"))))</x:f>
        <x:v>Moderate</x:v>
      </x:c>
      <x:c r="AF1160" s="60" t="n">
        <x:v>42.672534</x:v>
      </x:c>
      <x:c r="AG1160" s="60" t="n">
        <x:v>-74.498258</x:v>
      </x:c>
      <x:c r="AH1160" s="44" t="str">
        <x:v>Undergraduate tuition-contribution proxy only; not an audited total institutional budget.</x:v>
      </x:c>
    </x:row>
    <x:row r="1161">
      <x:c r="A1161" s="16" t="n">
        <x:v>196103</x:v>
      </x:c>
      <x:c r="B1161" s="16" t="str">
        <x:v>SUNY College of Environmental Science and Forestry</x:v>
      </x:c>
      <x:c r="C1161" s="16" t="str">
        <x:v>NY</x:v>
      </x:c>
      <x:c r="D1161" s="16" t="str">
        <x:v>Public</x:v>
      </x:c>
      <x:c r="E1161" s="34" t="n">
        <x:v>1746</x:v>
      </x:c>
      <x:c r="F1161" s="21" t="n">
        <x:v>0.6532</x:v>
      </x:c>
      <x:c r="G1161" s="16" t="str">
        <x:v>Regional</x:v>
      </x:c>
      <x:c r="H1161" s="36" t="n">
        <x:f>IF(G1161="National",Assumptions!$B$11,IF(G1161="Statewide",Assumptions!$B$12,Assumptions!$B$13))</x:f>
        <x:v>0.85</x:v>
      </x:c>
      <x:c r="I1161" s="21" t="n">
        <x:v>-0.08678079290324192</x:v>
      </x:c>
      <x:c r="J1161" s="21" t="n">
        <x:v>-0.14585233360743566</x:v>
      </x:c>
      <x:c r="K1161" s="21" t="n">
        <x:v>-0.24979193142458445</x:v>
      </x:c>
      <x:c r="L1161" s="36" t="n">
        <x:f>IF(Assumptions!$B$4=2030,I1161,IF(Assumptions!$B$4=2035,J1161,K1161))</x:f>
        <x:v>-0.14585233360743566</x:v>
      </x:c>
      <x:c r="M1161" s="36" t="n">
        <x:f>Assumptions!$B$19</x:f>
        <x:v>-0.04739891965741583</x:v>
      </x:c>
      <x:c r="N1161" s="52" t="n">
        <x:f>H1161*L1161+(1-H1161)*M1161+O1161</x:f>
        <x:v>-0.13108432151493268</x:v>
      </x:c>
      <x:c r="O1161" s="36" t="n">
        <x:f>Assumptions!$B$10</x:f>
        <x:v>0</x:v>
      </x:c>
      <x:c r="P1161" s="54" t="n">
        <x:f>E1161*(1+N1161)</x:f>
        <x:v>1517.1267746349276</x:v>
      </x:c>
      <x:c r="Q1161" s="54" t="n">
        <x:f>P1161-E1161</x:f>
        <x:v>-228.87322536507236</x:v>
      </x:c>
      <x:c r="R1161" s="16" t="str">
        <x:v>Yes</x:v>
      </x:c>
      <x:c r="S1161" s="56" t="n">
        <x:v>5885</x:v>
      </x:c>
      <x:c r="T1161" s="56" t="n">
        <x:v>22101</x:v>
      </x:c>
      <x:c r="U1161" s="40" t="n">
        <x:f>E1161*Assumptions!$B$8</x:f>
        <x:v>1484.1</x:v>
      </x:c>
      <x:c r="V1161" s="40" t="n">
        <x:f>P1161*Assumptions!$B$8</x:f>
        <x:v>1289.5577584396885</x:v>
      </x:c>
      <x:c r="W1161" s="54" t="n">
        <x:f>V1161-U1161</x:f>
        <x:v>-194.54224156031137</x:v>
      </x:c>
      <x:c r="X1161" s="58" t="n">
        <x:f>IF(R1161="No","",W1161*S1161)</x:f>
        <x:v>-1144881.0915824324</x:v>
      </x:c>
      <x:c r="Y1161" s="58" t="n">
        <x:f>IF(R1161="No","",W1161*T1161*Assumptions!$B$9)</x:f>
        <x:v>-1289873.4242173324</x:v>
      </x:c>
      <x:c r="Z1161" s="58" t="n">
        <x:f>IF(R1161="No","",X1161-Y1161)</x:f>
        <x:v>144992.3326349</x:v>
      </x:c>
      <x:c r="AA1161" s="58" t="n">
        <x:f>IF(R1161="No","",MAX(0,-Z1161))</x:f>
        <x:v>0</x:v>
      </x:c>
      <x:c r="AB1161" s="52" t="n">
        <x:f>IF(OR(R1161="No",U1161*S1161=0),"",AA1161/(U1161*S1161))</x:f>
        <x:v>0</x:v>
      </x:c>
      <x:c r="AC1161" s="54" t="str">
        <x:f>IF(OR(R1161="No",S1161-T1161*Assumptions!$B$9&lt;=0),"",AA1161/(Assumptions!$B$8*(S1161-T1161*Assumptions!$B$9)))</x:f>
      </x:c>
      <x:c r="AD1161" s="52" t="n">
        <x:f>IF(OR(R1161="No",U1161*S1161=0),"",AA1161/(U1161*S1161))</x:f>
        <x:v>0</x:v>
      </x:c>
      <x:c r="AE1161" s="50" t="str">
        <x:f>IF(R1161="No","No finance data",IF(AB1161&gt;=10%,"Severe",IF(AB1161&gt;=5%,"High",IF(AB1161&gt;=2%,"Moderate","Low"))))</x:f>
        <x:v>Low</x:v>
      </x:c>
      <x:c r="AF1161" s="60" t="n">
        <x:v>43.034765</x:v>
      </x:c>
      <x:c r="AG1161" s="60" t="n">
        <x:v>-76.138724</x:v>
      </x:c>
      <x:c r="AH1161" s="44" t="str">
        <x:v>Undergraduate tuition-contribution proxy only; not an audited total institutional budget.</x:v>
      </x:c>
    </x:row>
    <x:row r="1162">
      <x:c r="A1162" s="16" t="n">
        <x:v>196149</x:v>
      </x:c>
      <x:c r="B1162" s="16" t="str">
        <x:v>SUNY Cortland</x:v>
      </x:c>
      <x:c r="C1162" s="16" t="str">
        <x:v>NY</x:v>
      </x:c>
      <x:c r="D1162" s="16" t="str">
        <x:v>Public</x:v>
      </x:c>
      <x:c r="E1162" s="34" t="n">
        <x:v>6276</x:v>
      </x:c>
      <x:c r="F1162" s="21" t="n">
        <x:v>0.605</x:v>
      </x:c>
      <x:c r="G1162" s="16" t="str">
        <x:v>Statewide</x:v>
      </x:c>
      <x:c r="H1162" s="36" t="n">
        <x:f>IF(G1162="National",Assumptions!$B$11,IF(G1162="Statewide",Assumptions!$B$12,Assumptions!$B$13))</x:f>
        <x:v>0.6</x:v>
      </x:c>
      <x:c r="I1162" s="21" t="n">
        <x:v>-0.08678079290324192</x:v>
      </x:c>
      <x:c r="J1162" s="21" t="n">
        <x:v>-0.14585233360743566</x:v>
      </x:c>
      <x:c r="K1162" s="21" t="n">
        <x:v>-0.24979193142458445</x:v>
      </x:c>
      <x:c r="L1162" s="36" t="n">
        <x:f>IF(Assumptions!$B$4=2030,I1162,IF(Assumptions!$B$4=2035,J1162,K1162))</x:f>
        <x:v>-0.14585233360743566</x:v>
      </x:c>
      <x:c r="M1162" s="36" t="n">
        <x:f>Assumptions!$B$19</x:f>
        <x:v>-0.04739891965741583</x:v>
      </x:c>
      <x:c r="N1162" s="52" t="n">
        <x:f>H1162*L1162+(1-H1162)*M1162+O1162</x:f>
        <x:v>-0.10647096802742773</x:v>
      </x:c>
      <x:c r="O1162" s="36" t="n">
        <x:f>Assumptions!$B$10</x:f>
        <x:v>0</x:v>
      </x:c>
      <x:c r="P1162" s="54" t="n">
        <x:f>E1162*(1+N1162)</x:f>
        <x:v>5607.788204659863</x:v>
      </x:c>
      <x:c r="Q1162" s="54" t="n">
        <x:f>P1162-E1162</x:f>
        <x:v>-668.2117953401366</x:v>
      </x:c>
      <x:c r="R1162" s="16" t="str">
        <x:v>Yes</x:v>
      </x:c>
      <x:c r="S1162" s="56" t="n">
        <x:v>5658</x:v>
      </x:c>
      <x:c r="T1162" s="56" t="n">
        <x:v>10032</x:v>
      </x:c>
      <x:c r="U1162" s="40" t="n">
        <x:f>E1162*Assumptions!$B$8</x:f>
        <x:v>5334.599999999999</x:v>
      </x:c>
      <x:c r="V1162" s="40" t="n">
        <x:f>P1162*Assumptions!$B$8</x:f>
        <x:v>4766.619973960884</x:v>
      </x:c>
      <x:c r="W1162" s="54" t="n">
        <x:f>V1162-U1162</x:f>
        <x:v>-567.9800260391157</x:v>
      </x:c>
      <x:c r="X1162" s="58" t="n">
        <x:f>IF(R1162="No","",W1162*S1162)</x:f>
        <x:v>-3213630.987329317</x:v>
      </x:c>
      <x:c r="Y1162" s="58" t="n">
        <x:f>IF(R1162="No","",W1162*T1162*Assumptions!$B$9)</x:f>
        <x:v>-1709392.6863673227</x:v>
      </x:c>
      <x:c r="Z1162" s="58" t="n">
        <x:f>IF(R1162="No","",X1162-Y1162)</x:f>
        <x:v>-1504238.300961994</x:v>
      </x:c>
      <x:c r="AA1162" s="58" t="n">
        <x:f>IF(R1162="No","",MAX(0,-Z1162))</x:f>
        <x:v>1504238.300961994</x:v>
      </x:c>
      <x:c r="AB1162" s="52" t="n">
        <x:f>IF(OR(R1162="No",U1162*S1162=0),"",AA1162/(U1162*S1162))</x:f>
        <x:v>0.04983699394200062</x:v>
      </x:c>
      <x:c r="AC1162" s="54" t="n">
        <x:f>IF(OR(R1162="No",S1162-T1162*Assumptions!$B$9&lt;=0),"",AA1162/(Assumptions!$B$8*(S1162-T1162*Assumptions!$B$9)))</x:f>
        <x:v>668.2117953401362</x:v>
      </x:c>
      <x:c r="AD1162" s="52" t="n">
        <x:f>IF(OR(R1162="No",U1162*S1162=0),"",AA1162/(U1162*S1162))</x:f>
        <x:v>0.04983699394200062</x:v>
      </x:c>
      <x:c r="AE1162" s="50" t="str">
        <x:f>IF(R1162="No","No finance data",IF(AB1162&gt;=10%,"Severe",IF(AB1162&gt;=5%,"High",IF(AB1162&gt;=2%,"Moderate","Low"))))</x:f>
        <x:v>Moderate</x:v>
      </x:c>
      <x:c r="AF1162" s="60" t="n">
        <x:v>42.598022</x:v>
      </x:c>
      <x:c r="AG1162" s="60" t="n">
        <x:v>-76.188655</x:v>
      </x:c>
      <x:c r="AH1162" s="44" t="str">
        <x:v>Undergraduate tuition-contribution proxy only; not an audited total institutional budget.</x:v>
      </x:c>
    </x:row>
    <x:row r="1163">
      <x:c r="A1163" s="16" t="n">
        <x:v>196255</x:v>
      </x:c>
      <x:c r="B1163" s="16" t="str">
        <x:v>SUNY Downstate Medical Center</x:v>
      </x:c>
      <x:c r="C1163" s="16" t="str">
        <x:v>NY</x:v>
      </x:c>
      <x:c r="D1163" s="16" t="str">
        <x:v>Public</x:v>
      </x:c>
      <x:c r="E1163" s="34" t="n">
        <x:v>347</x:v>
      </x:c>
      <x:c r="F1163" s="21"/>
      <x:c r="G1163" s="16" t="str">
        <x:v>Regional</x:v>
      </x:c>
      <x:c r="H1163" s="36" t="n">
        <x:f>IF(G1163="National",Assumptions!$B$11,IF(G1163="Statewide",Assumptions!$B$12,Assumptions!$B$13))</x:f>
        <x:v>0.85</x:v>
      </x:c>
      <x:c r="I1163" s="21" t="n">
        <x:v>-0.08678079290324192</x:v>
      </x:c>
      <x:c r="J1163" s="21" t="n">
        <x:v>-0.14585233360743566</x:v>
      </x:c>
      <x:c r="K1163" s="21" t="n">
        <x:v>-0.24979193142458445</x:v>
      </x:c>
      <x:c r="L1163" s="36" t="n">
        <x:f>IF(Assumptions!$B$4=2030,I1163,IF(Assumptions!$B$4=2035,J1163,K1163))</x:f>
        <x:v>-0.14585233360743566</x:v>
      </x:c>
      <x:c r="M1163" s="36" t="n">
        <x:f>Assumptions!$B$19</x:f>
        <x:v>-0.04739891965741583</x:v>
      </x:c>
      <x:c r="N1163" s="52" t="n">
        <x:f>H1163*L1163+(1-H1163)*M1163+O1163</x:f>
        <x:v>-0.13108432151493268</x:v>
      </x:c>
      <x:c r="O1163" s="36" t="n">
        <x:f>Assumptions!$B$10</x:f>
        <x:v>0</x:v>
      </x:c>
      <x:c r="P1163" s="54" t="n">
        <x:f>E1163*(1+N1163)</x:f>
        <x:v>301.5137404343184</x:v>
      </x:c>
      <x:c r="Q1163" s="54" t="n">
        <x:f>P1163-E1163</x:f>
        <x:v>-45.48625956568162</x:v>
      </x:c>
      <x:c r="R1163" s="16" t="str">
        <x:v>No</x:v>
      </x:c>
      <x:c r="S1163" s="56"/>
      <x:c r="T1163" s="56"/>
      <x:c r="U1163" s="40" t="n">
        <x:f>E1163*Assumptions!$B$8</x:f>
        <x:v>294.95</x:v>
      </x:c>
      <x:c r="V1163" s="40" t="n">
        <x:f>P1163*Assumptions!$B$8</x:f>
        <x:v>256.2866793691706</x:v>
      </x:c>
      <x:c r="W1163" s="54" t="n">
        <x:f>V1163-U1163</x:f>
        <x:v>-38.66332063082939</x:v>
      </x:c>
      <x:c r="X1163" s="58" t="str">
        <x:f>IF(R1163="No","",W1163*S1163)</x:f>
      </x:c>
      <x:c r="Y1163" s="58" t="str">
        <x:f>IF(R1163="No","",W1163*T1163*Assumptions!$B$9)</x:f>
      </x:c>
      <x:c r="Z1163" s="58" t="str">
        <x:f>IF(R1163="No","",X1163-Y1163)</x:f>
      </x:c>
      <x:c r="AA1163" s="58" t="str">
        <x:f>IF(R1163="No","",MAX(0,-Z1163))</x:f>
      </x:c>
      <x:c r="AB1163" s="52" t="str">
        <x:f>IF(OR(R1163="No",U1163*S1163=0),"",AA1163/(U1163*S1163))</x:f>
      </x:c>
      <x:c r="AC1163" s="54" t="str">
        <x:f>IF(OR(R1163="No",S1163-T1163*Assumptions!$B$9&lt;=0),"",AA1163/(Assumptions!$B$8*(S1163-T1163*Assumptions!$B$9)))</x:f>
      </x:c>
      <x:c r="AD1163" s="52" t="str">
        <x:f>IF(OR(R1163="No",U1163*S1163=0),"",AA1163/(U1163*S1163))</x:f>
      </x:c>
      <x:c r="AE1163" s="50" t="str">
        <x:f>IF(R1163="No","No finance data",IF(AB1163&gt;=10%,"Severe",IF(AB1163&gt;=5%,"High",IF(AB1163&gt;=2%,"Moderate","Low"))))</x:f>
        <x:v>No finance data</x:v>
      </x:c>
      <x:c r="AF1163" s="60"/>
      <x:c r="AG1163" s="60"/>
      <x:c r="AH1163" s="44" t="str">
        <x:v>Undergraduate tuition-contribution proxy only; not an audited total institutional budget.</x:v>
      </x:c>
    </x:row>
    <x:row r="1164">
      <x:c r="A1164" s="16" t="n">
        <x:v>196264</x:v>
      </x:c>
      <x:c r="B1164" s="16" t="str">
        <x:v>SUNY Empire State College</x:v>
      </x:c>
      <x:c r="C1164" s="16" t="str">
        <x:v>NY</x:v>
      </x:c>
      <x:c r="D1164" s="16" t="str">
        <x:v>Public</x:v>
      </x:c>
      <x:c r="E1164" s="34" t="n">
        <x:v>9825</x:v>
      </x:c>
      <x:c r="F1164" s="21"/>
      <x:c r="G1164" s="16" t="str">
        <x:v>Statewide</x:v>
      </x:c>
      <x:c r="H1164" s="36" t="n">
        <x:f>IF(G1164="National",Assumptions!$B$11,IF(G1164="Statewide",Assumptions!$B$12,Assumptions!$B$13))</x:f>
        <x:v>0.6</x:v>
      </x:c>
      <x:c r="I1164" s="21" t="n">
        <x:v>-0.08678079290324192</x:v>
      </x:c>
      <x:c r="J1164" s="21" t="n">
        <x:v>-0.14585233360743566</x:v>
      </x:c>
      <x:c r="K1164" s="21" t="n">
        <x:v>-0.24979193142458445</x:v>
      </x:c>
      <x:c r="L1164" s="36" t="n">
        <x:f>IF(Assumptions!$B$4=2030,I1164,IF(Assumptions!$B$4=2035,J1164,K1164))</x:f>
        <x:v>-0.14585233360743566</x:v>
      </x:c>
      <x:c r="M1164" s="36" t="n">
        <x:f>Assumptions!$B$19</x:f>
        <x:v>-0.04739891965741583</x:v>
      </x:c>
      <x:c r="N1164" s="52" t="n">
        <x:f>H1164*L1164+(1-H1164)*M1164+O1164</x:f>
        <x:v>-0.10647096802742773</x:v>
      </x:c>
      <x:c r="O1164" s="36" t="n">
        <x:f>Assumptions!$B$10</x:f>
        <x:v>0</x:v>
      </x:c>
      <x:c r="P1164" s="54" t="n">
        <x:f>E1164*(1+N1164)</x:f>
        <x:v>8778.922739130523</x:v>
      </x:c>
      <x:c r="Q1164" s="54" t="n">
        <x:f>P1164-E1164</x:f>
        <x:v>-1046.077260869477</x:v>
      </x:c>
      <x:c r="R1164" s="16" t="str">
        <x:v>Yes</x:v>
      </x:c>
      <x:c r="S1164" s="56" t="n">
        <x:v>6725</x:v>
      </x:c>
      <x:c r="T1164" s="56" t="n">
        <x:v>8170</x:v>
      </x:c>
      <x:c r="U1164" s="40" t="n">
        <x:f>E1164*Assumptions!$B$8</x:f>
        <x:v>8351.25</x:v>
      </x:c>
      <x:c r="V1164" s="40" t="n">
        <x:f>P1164*Assumptions!$B$8</x:f>
        <x:v>7462.084328260944</x:v>
      </x:c>
      <x:c r="W1164" s="54" t="n">
        <x:f>V1164-U1164</x:f>
        <x:v>-889.165671739056</x:v>
      </x:c>
      <x:c r="X1164" s="58" t="n">
        <x:f>IF(R1164="No","",W1164*S1164)</x:f>
        <x:v>-5979639.142445152</x:v>
      </x:c>
      <x:c r="Y1164" s="58" t="n">
        <x:f>IF(R1164="No","",W1164*T1164*Assumptions!$B$9)</x:f>
        <x:v>-2179345.0614324263</x:v>
      </x:c>
      <x:c r="Z1164" s="58" t="n">
        <x:f>IF(R1164="No","",X1164-Y1164)</x:f>
        <x:v>-3800294.0810127254</x:v>
      </x:c>
      <x:c r="AA1164" s="58" t="n">
        <x:f>IF(R1164="No","",MAX(0,-Z1164))</x:f>
        <x:v>3800294.0810127254</x:v>
      </x:c>
      <x:c r="AB1164" s="52" t="n">
        <x:f>IF(OR(R1164="No",U1164*S1164=0),"",AA1164/(U1164*S1164))</x:f>
        <x:v>0.0676664561114091</x:v>
      </x:c>
      <x:c r="AC1164" s="54" t="n">
        <x:f>IF(OR(R1164="No",S1164-T1164*Assumptions!$B$9&lt;=0),"",AA1164/(Assumptions!$B$8*(S1164-T1164*Assumptions!$B$9)))</x:f>
        <x:v>1046.0772608694776</x:v>
      </x:c>
      <x:c r="AD1164" s="52" t="n">
        <x:f>IF(OR(R1164="No",U1164*S1164=0),"",AA1164/(U1164*S1164))</x:f>
        <x:v>0.0676664561114091</x:v>
      </x:c>
      <x:c r="AE1164" s="50" t="str">
        <x:f>IF(R1164="No","No finance data",IF(AB1164&gt;=10%,"Severe",IF(AB1164&gt;=5%,"High",IF(AB1164&gt;=2%,"Moderate","Low"))))</x:f>
        <x:v>High</x:v>
      </x:c>
      <x:c r="AF1164" s="60" t="n">
        <x:v>43.077283</x:v>
      </x:c>
      <x:c r="AG1164" s="60" t="n">
        <x:v>-73.782484</x:v>
      </x:c>
      <x:c r="AH1164" s="44" t="str">
        <x:v>Undergraduate tuition-contribution proxy only; not an audited total institutional budget.</x:v>
      </x:c>
    </x:row>
    <x:row r="1165">
      <x:c r="A1165" s="16" t="n">
        <x:v>196291</x:v>
      </x:c>
      <x:c r="B1165" s="16" t="str">
        <x:v>SUNY Maritime College</x:v>
      </x:c>
      <x:c r="C1165" s="16" t="str">
        <x:v>NY</x:v>
      </x:c>
      <x:c r="D1165" s="16" t="str">
        <x:v>Public</x:v>
      </x:c>
      <x:c r="E1165" s="34" t="n">
        <x:v>1667</x:v>
      </x:c>
      <x:c r="F1165" s="21" t="n">
        <x:v>0.7405</x:v>
      </x:c>
      <x:c r="G1165" s="16" t="str">
        <x:v>Regional</x:v>
      </x:c>
      <x:c r="H1165" s="36" t="n">
        <x:f>IF(G1165="National",Assumptions!$B$11,IF(G1165="Statewide",Assumptions!$B$12,Assumptions!$B$13))</x:f>
        <x:v>0.85</x:v>
      </x:c>
      <x:c r="I1165" s="21" t="n">
        <x:v>-0.08678079290324192</x:v>
      </x:c>
      <x:c r="J1165" s="21" t="n">
        <x:v>-0.14585233360743566</x:v>
      </x:c>
      <x:c r="K1165" s="21" t="n">
        <x:v>-0.24979193142458445</x:v>
      </x:c>
      <x:c r="L1165" s="36" t="n">
        <x:f>IF(Assumptions!$B$4=2030,I1165,IF(Assumptions!$B$4=2035,J1165,K1165))</x:f>
        <x:v>-0.14585233360743566</x:v>
      </x:c>
      <x:c r="M1165" s="36" t="n">
        <x:f>Assumptions!$B$19</x:f>
        <x:v>-0.04739891965741583</x:v>
      </x:c>
      <x:c r="N1165" s="52" t="n">
        <x:f>H1165*L1165+(1-H1165)*M1165+O1165</x:f>
        <x:v>-0.13108432151493268</x:v>
      </x:c>
      <x:c r="O1165" s="36" t="n">
        <x:f>Assumptions!$B$10</x:f>
        <x:v>0</x:v>
      </x:c>
      <x:c r="P1165" s="54" t="n">
        <x:f>E1165*(1+N1165)</x:f>
        <x:v>1448.4824360346072</x:v>
      </x:c>
      <x:c r="Q1165" s="54" t="n">
        <x:f>P1165-E1165</x:f>
        <x:v>-218.5175639653928</x:v>
      </x:c>
      <x:c r="R1165" s="16" t="str">
        <x:v>Yes</x:v>
      </x:c>
      <x:c r="S1165" s="56" t="n">
        <x:v>7673</x:v>
      </x:c>
      <x:c r="T1165" s="56" t="n">
        <x:v>15962</x:v>
      </x:c>
      <x:c r="U1165" s="40" t="n">
        <x:f>E1165*Assumptions!$B$8</x:f>
        <x:v>1416.95</x:v>
      </x:c>
      <x:c r="V1165" s="40" t="n">
        <x:f>P1165*Assumptions!$B$8</x:f>
        <x:v>1231.2100706294161</x:v>
      </x:c>
      <x:c r="W1165" s="54" t="n">
        <x:f>V1165-U1165</x:f>
        <x:v>-185.73992937058392</x:v>
      </x:c>
      <x:c r="X1165" s="58" t="n">
        <x:f>IF(R1165="No","",W1165*S1165)</x:f>
        <x:v>-1425182.4780604905</x:v>
      </x:c>
      <x:c r="Y1165" s="58" t="n">
        <x:f>IF(R1165="No","",W1165*T1165*Assumptions!$B$9)</x:f>
        <x:v>-889434.2257839781</x:v>
      </x:c>
      <x:c r="Z1165" s="58" t="n">
        <x:f>IF(R1165="No","",X1165-Y1165)</x:f>
        <x:v>-535748.2522765123</x:v>
      </x:c>
      <x:c r="AA1165" s="58" t="n">
        <x:f>IF(R1165="No","",MAX(0,-Z1165))</x:f>
        <x:v>535748.2522765123</x:v>
      </x:c>
      <x:c r="AB1165" s="52" t="n">
        <x:f>IF(OR(R1165="No",U1165*S1165=0),"",AA1165/(U1165*S1165))</x:f>
        <x:v>0.04927663455984257</x:v>
      </x:c>
      <x:c r="AC1165" s="54" t="n">
        <x:f>IF(OR(R1165="No",S1165-T1165*Assumptions!$B$9&lt;=0),"",AA1165/(Assumptions!$B$8*(S1165-T1165*Assumptions!$B$9)))</x:f>
        <x:v>218.51756396539287</x:v>
      </x:c>
      <x:c r="AD1165" s="52" t="n">
        <x:f>IF(OR(R1165="No",U1165*S1165=0),"",AA1165/(U1165*S1165))</x:f>
        <x:v>0.04927663455984257</x:v>
      </x:c>
      <x:c r="AE1165" s="50" t="str">
        <x:f>IF(R1165="No","No finance data",IF(AB1165&gt;=10%,"Severe",IF(AB1165&gt;=5%,"High",IF(AB1165&gt;=2%,"Moderate","Low"))))</x:f>
        <x:v>Moderate</x:v>
      </x:c>
      <x:c r="AF1165" s="60" t="n">
        <x:v>40.807217</x:v>
      </x:c>
      <x:c r="AG1165" s="60" t="n">
        <x:v>-73.795309</x:v>
      </x:c>
      <x:c r="AH1165" s="44" t="str">
        <x:v>Undergraduate tuition-contribution proxy only; not an audited total institutional budget.</x:v>
      </x:c>
    </x:row>
    <x:row r="1166">
      <x:c r="A1166" s="16" t="n">
        <x:v>196185</x:v>
      </x:c>
      <x:c r="B1166" s="16" t="str">
        <x:v>SUNY Oneonta</x:v>
      </x:c>
      <x:c r="C1166" s="16" t="str">
        <x:v>NY</x:v>
      </x:c>
      <x:c r="D1166" s="16" t="str">
        <x:v>Public</x:v>
      </x:c>
      <x:c r="E1166" s="34" t="n">
        <x:v>5825</x:v>
      </x:c>
      <x:c r="F1166" s="21" t="n">
        <x:v>0.6961</x:v>
      </x:c>
      <x:c r="G1166" s="16" t="str">
        <x:v>Statewide</x:v>
      </x:c>
      <x:c r="H1166" s="36" t="n">
        <x:f>IF(G1166="National",Assumptions!$B$11,IF(G1166="Statewide",Assumptions!$B$12,Assumptions!$B$13))</x:f>
        <x:v>0.6</x:v>
      </x:c>
      <x:c r="I1166" s="21" t="n">
        <x:v>-0.08678079290324192</x:v>
      </x:c>
      <x:c r="J1166" s="21" t="n">
        <x:v>-0.14585233360743566</x:v>
      </x:c>
      <x:c r="K1166" s="21" t="n">
        <x:v>-0.24979193142458445</x:v>
      </x:c>
      <x:c r="L1166" s="36" t="n">
        <x:f>IF(Assumptions!$B$4=2030,I1166,IF(Assumptions!$B$4=2035,J1166,K1166))</x:f>
        <x:v>-0.14585233360743566</x:v>
      </x:c>
      <x:c r="M1166" s="36" t="n">
        <x:f>Assumptions!$B$19</x:f>
        <x:v>-0.04739891965741583</x:v>
      </x:c>
      <x:c r="N1166" s="52" t="n">
        <x:f>H1166*L1166+(1-H1166)*M1166+O1166</x:f>
        <x:v>-0.10647096802742773</x:v>
      </x:c>
      <x:c r="O1166" s="36" t="n">
        <x:f>Assumptions!$B$10</x:f>
        <x:v>0</x:v>
      </x:c>
      <x:c r="P1166" s="54" t="n">
        <x:f>E1166*(1+N1166)</x:f>
        <x:v>5204.806611240234</x:v>
      </x:c>
      <x:c r="Q1166" s="54" t="n">
        <x:f>P1166-E1166</x:f>
        <x:v>-620.1933887597661</x:v>
      </x:c>
      <x:c r="R1166" s="16" t="str">
        <x:v>Yes</x:v>
      </x:c>
      <x:c r="S1166" s="56" t="n">
        <x:v>4542</x:v>
      </x:c>
      <x:c r="T1166" s="56" t="n">
        <x:v>9746</x:v>
      </x:c>
      <x:c r="U1166" s="40" t="n">
        <x:f>E1166*Assumptions!$B$8</x:f>
        <x:v>4951.25</x:v>
      </x:c>
      <x:c r="V1166" s="40" t="n">
        <x:f>P1166*Assumptions!$B$8</x:f>
        <x:v>4424.085619554198</x:v>
      </x:c>
      <x:c r="W1166" s="54" t="n">
        <x:f>V1166-U1166</x:f>
        <x:v>-527.1643804458017</x:v>
      </x:c>
      <x:c r="X1166" s="58" t="n">
        <x:f>IF(R1166="No","",W1166*S1166)</x:f>
        <x:v>-2394380.6159848315</x:v>
      </x:c>
      <x:c r="Y1166" s="58" t="n">
        <x:f>IF(R1166="No","",W1166*T1166*Assumptions!$B$9)</x:f>
        <x:v>-1541323.2155474352</x:v>
      </x:c>
      <x:c r="Z1166" s="58" t="n">
        <x:f>IF(R1166="No","",X1166-Y1166)</x:f>
        <x:v>-853057.4004373963</x:v>
      </x:c>
      <x:c r="AA1166" s="58" t="n">
        <x:f>IF(R1166="No","",MAX(0,-Z1166))</x:f>
        <x:v>853057.4004373963</x:v>
      </x:c>
      <x:c r="AB1166" s="52" t="n">
        <x:f>IF(OR(R1166="No",U1166*S1166=0),"",AA1166/(U1166*S1166))</x:f>
        <x:v>0.037932919520471946</x:v>
      </x:c>
      <x:c r="AC1166" s="54" t="n">
        <x:f>IF(OR(R1166="No",S1166-T1166*Assumptions!$B$9&lt;=0),"",AA1166/(Assumptions!$B$8*(S1166-T1166*Assumptions!$B$9)))</x:f>
        <x:v>620.1933887597665</x:v>
      </x:c>
      <x:c r="AD1166" s="52" t="n">
        <x:f>IF(OR(R1166="No",U1166*S1166=0),"",AA1166/(U1166*S1166))</x:f>
        <x:v>0.037932919520471946</x:v>
      </x:c>
      <x:c r="AE1166" s="50" t="str">
        <x:f>IF(R1166="No","No finance data",IF(AB1166&gt;=10%,"Severe",IF(AB1166&gt;=5%,"High",IF(AB1166&gt;=2%,"Moderate","Low"))))</x:f>
        <x:v>Moderate</x:v>
      </x:c>
      <x:c r="AF1166" s="60" t="n">
        <x:v>42.468861</x:v>
      </x:c>
      <x:c r="AG1166" s="60" t="n">
        <x:v>-75.063632</x:v>
      </x:c>
      <x:c r="AH1166" s="44" t="str">
        <x:v>Undergraduate tuition-contribution proxy only; not an audited total institutional budget.</x:v>
      </x:c>
    </x:row>
    <x:row r="1167">
      <x:c r="A1167" s="16" t="n">
        <x:v>196112</x:v>
      </x:c>
      <x:c r="B1167" s="16" t="str">
        <x:v>SUNY Polytechnic Institute</x:v>
      </x:c>
      <x:c r="C1167" s="16" t="str">
        <x:v>NY</x:v>
      </x:c>
      <x:c r="D1167" s="16" t="str">
        <x:v>Public</x:v>
      </x:c>
      <x:c r="E1167" s="34" t="n">
        <x:v>1950</x:v>
      </x:c>
      <x:c r="F1167" s="21" t="n">
        <x:v>0.7725</x:v>
      </x:c>
      <x:c r="G1167" s="16" t="str">
        <x:v>Regional</x:v>
      </x:c>
      <x:c r="H1167" s="36" t="n">
        <x:f>IF(G1167="National",Assumptions!$B$11,IF(G1167="Statewide",Assumptions!$B$12,Assumptions!$B$13))</x:f>
        <x:v>0.85</x:v>
      </x:c>
      <x:c r="I1167" s="21" t="n">
        <x:v>-0.08678079290324192</x:v>
      </x:c>
      <x:c r="J1167" s="21" t="n">
        <x:v>-0.14585233360743566</x:v>
      </x:c>
      <x:c r="K1167" s="21" t="n">
        <x:v>-0.24979193142458445</x:v>
      </x:c>
      <x:c r="L1167" s="36" t="n">
        <x:f>IF(Assumptions!$B$4=2030,I1167,IF(Assumptions!$B$4=2035,J1167,K1167))</x:f>
        <x:v>-0.14585233360743566</x:v>
      </x:c>
      <x:c r="M1167" s="36" t="n">
        <x:f>Assumptions!$B$19</x:f>
        <x:v>-0.04739891965741583</x:v>
      </x:c>
      <x:c r="N1167" s="52" t="n">
        <x:f>H1167*L1167+(1-H1167)*M1167+O1167</x:f>
        <x:v>-0.13108432151493268</x:v>
      </x:c>
      <x:c r="O1167" s="36" t="n">
        <x:f>Assumptions!$B$10</x:f>
        <x:v>0</x:v>
      </x:c>
      <x:c r="P1167" s="54" t="n">
        <x:f>E1167*(1+N1167)</x:f>
        <x:v>1694.3855730458813</x:v>
      </x:c>
      <x:c r="Q1167" s="54" t="n">
        <x:f>P1167-E1167</x:f>
        <x:v>-255.6144269541187</x:v>
      </x:c>
      <x:c r="R1167" s="16" t="str">
        <x:v>Yes</x:v>
      </x:c>
      <x:c r="S1167" s="56" t="n">
        <x:v>6160</x:v>
      </x:c>
      <x:c r="T1167" s="56" t="n">
        <x:v>13367</x:v>
      </x:c>
      <x:c r="U1167" s="40" t="n">
        <x:f>E1167*Assumptions!$B$8</x:f>
        <x:v>1657.5</x:v>
      </x:c>
      <x:c r="V1167" s="40" t="n">
        <x:f>P1167*Assumptions!$B$8</x:f>
        <x:v>1440.227737088999</x:v>
      </x:c>
      <x:c r="W1167" s="54" t="n">
        <x:f>V1167-U1167</x:f>
        <x:v>-217.272262911001</x:v>
      </x:c>
      <x:c r="X1167" s="58" t="n">
        <x:f>IF(R1167="No","",W1167*S1167)</x:f>
        <x:v>-1338397.1395317663</x:v>
      </x:c>
      <x:c r="Y1167" s="58" t="n">
        <x:f>IF(R1167="No","",W1167*T1167*Assumptions!$B$9)</x:f>
        <x:v>-871283.5014994051</x:v>
      </x:c>
      <x:c r="Z1167" s="58" t="n">
        <x:f>IF(R1167="No","",X1167-Y1167)</x:f>
        <x:v>-467113.63803236117</x:v>
      </x:c>
      <x:c r="AA1167" s="58" t="n">
        <x:f>IF(R1167="No","",MAX(0,-Z1167))</x:f>
        <x:v>467113.63803236117</x:v>
      </x:c>
      <x:c r="AB1167" s="52" t="n">
        <x:f>IF(OR(R1167="No",U1167*S1167=0),"",AA1167/(U1167*S1167))</x:f>
        <x:v>0.04574970500405096</x:v>
      </x:c>
      <x:c r="AC1167" s="54" t="n">
        <x:f>IF(OR(R1167="No",S1167-T1167*Assumptions!$B$9&lt;=0),"",AA1167/(Assumptions!$B$8*(S1167-T1167*Assumptions!$B$9)))</x:f>
        <x:v>255.6144269541189</x:v>
      </x:c>
      <x:c r="AD1167" s="52" t="n">
        <x:f>IF(OR(R1167="No",U1167*S1167=0),"",AA1167/(U1167*S1167))</x:f>
        <x:v>0.04574970500405096</x:v>
      </x:c>
      <x:c r="AE1167" s="50" t="str">
        <x:f>IF(R1167="No","No finance data",IF(AB1167&gt;=10%,"Severe",IF(AB1167&gt;=5%,"High",IF(AB1167&gt;=2%,"Moderate","Low"))))</x:f>
        <x:v>Moderate</x:v>
      </x:c>
      <x:c r="AF1167" s="60" t="n">
        <x:v>43.137701</x:v>
      </x:c>
      <x:c r="AG1167" s="60" t="n">
        <x:v>-75.229841</x:v>
      </x:c>
      <x:c r="AH1167" s="44" t="str">
        <x:v>Undergraduate tuition-contribution proxy only; not an audited total institutional budget.</x:v>
      </x:c>
    </x:row>
    <x:row r="1168">
      <x:c r="A1168" s="16" t="n">
        <x:v>196060</x:v>
      </x:c>
      <x:c r="B1168" s="16" t="str">
        <x:v>SUNY at Albany</x:v>
      </x:c>
      <x:c r="C1168" s="16" t="str">
        <x:v>NY</x:v>
      </x:c>
      <x:c r="D1168" s="16" t="str">
        <x:v>Public</x:v>
      </x:c>
      <x:c r="E1168" s="34" t="n">
        <x:v>12698</x:v>
      </x:c>
      <x:c r="F1168" s="21" t="n">
        <x:v>0.6799</x:v>
      </x:c>
      <x:c r="G1168" s="16" t="str">
        <x:v>Statewide</x:v>
      </x:c>
      <x:c r="H1168" s="36" t="n">
        <x:f>IF(G1168="National",Assumptions!$B$11,IF(G1168="Statewide",Assumptions!$B$12,Assumptions!$B$13))</x:f>
        <x:v>0.6</x:v>
      </x:c>
      <x:c r="I1168" s="21" t="n">
        <x:v>-0.08678079290324192</x:v>
      </x:c>
      <x:c r="J1168" s="21" t="n">
        <x:v>-0.14585233360743566</x:v>
      </x:c>
      <x:c r="K1168" s="21" t="n">
        <x:v>-0.24979193142458445</x:v>
      </x:c>
      <x:c r="L1168" s="36" t="n">
        <x:f>IF(Assumptions!$B$4=2030,I1168,IF(Assumptions!$B$4=2035,J1168,K1168))</x:f>
        <x:v>-0.14585233360743566</x:v>
      </x:c>
      <x:c r="M1168" s="36" t="n">
        <x:f>Assumptions!$B$19</x:f>
        <x:v>-0.04739891965741583</x:v>
      </x:c>
      <x:c r="N1168" s="52" t="n">
        <x:f>H1168*L1168+(1-H1168)*M1168+O1168</x:f>
        <x:v>-0.10647096802742773</x:v>
      </x:c>
      <x:c r="O1168" s="36" t="n">
        <x:f>Assumptions!$B$10</x:f>
        <x:v>0</x:v>
      </x:c>
      <x:c r="P1168" s="54" t="n">
        <x:f>E1168*(1+N1168)</x:f>
        <x:v>11346.031647987722</x:v>
      </x:c>
      <x:c r="Q1168" s="54" t="n">
        <x:f>P1168-E1168</x:f>
        <x:v>-1351.968352012278</x:v>
      </x:c>
      <x:c r="R1168" s="16" t="str">
        <x:v>Yes</x:v>
      </x:c>
      <x:c r="S1168" s="56" t="n">
        <x:v>6972</x:v>
      </x:c>
      <x:c r="T1168" s="56" t="n">
        <x:v>13360</x:v>
      </x:c>
      <x:c r="U1168" s="40" t="n">
        <x:f>E1168*Assumptions!$B$8</x:f>
        <x:v>10793.3</x:v>
      </x:c>
      <x:c r="V1168" s="40" t="n">
        <x:f>P1168*Assumptions!$B$8</x:f>
        <x:v>9644.126900789563</x:v>
      </x:c>
      <x:c r="W1168" s="54" t="n">
        <x:f>V1168-U1168</x:f>
        <x:v>-1149.1730992104367</x:v>
      </x:c>
      <x:c r="X1168" s="58" t="n">
        <x:f>IF(R1168="No","",W1168*S1168)</x:f>
        <x:v>-8012034.847695164</x:v>
      </x:c>
      <x:c r="Y1168" s="58" t="n">
        <x:f>IF(R1168="No","",W1168*T1168*Assumptions!$B$9)</x:f>
        <x:v>-4605885.781635431</x:v>
      </x:c>
      <x:c r="Z1168" s="58" t="n">
        <x:f>IF(R1168="No","",X1168-Y1168)</x:f>
        <x:v>-3406149.0660597337</x:v>
      </x:c>
      <x:c r="AA1168" s="58" t="n">
        <x:f>IF(R1168="No","",MAX(0,-Z1168))</x:f>
        <x:v>3406149.0660597337</x:v>
      </x:c>
      <x:c r="AB1168" s="52" t="n">
        <x:f>IF(OR(R1168="No",U1168*S1168=0),"",AA1168/(U1168*S1168))</x:f>
        <x:v>0.04526390551252094</x:v>
      </x:c>
      <x:c r="AC1168" s="54" t="n">
        <x:f>IF(OR(R1168="No",S1168-T1168*Assumptions!$B$9&lt;=0),"",AA1168/(Assumptions!$B$8*(S1168-T1168*Assumptions!$B$9)))</x:f>
        <x:v>1351.9683520122783</x:v>
      </x:c>
      <x:c r="AD1168" s="52" t="n">
        <x:f>IF(OR(R1168="No",U1168*S1168=0),"",AA1168/(U1168*S1168))</x:f>
        <x:v>0.04526390551252094</x:v>
      </x:c>
      <x:c r="AE1168" s="50" t="str">
        <x:f>IF(R1168="No","No finance data",IF(AB1168&gt;=10%,"Severe",IF(AB1168&gt;=5%,"High",IF(AB1168&gt;=2%,"Moderate","Low"))))</x:f>
        <x:v>Moderate</x:v>
      </x:c>
      <x:c r="AF1168" s="60" t="n">
        <x:v>42.685489</x:v>
      </x:c>
      <x:c r="AG1168" s="60" t="n">
        <x:v>-73.824662</x:v>
      </x:c>
      <x:c r="AH1168" s="44" t="str">
        <x:v>Undergraduate tuition-contribution proxy only; not an audited total institutional budget.</x:v>
      </x:c>
    </x:row>
    <x:row r="1169">
      <x:c r="A1169" s="16" t="n">
        <x:v>196079</x:v>
      </x:c>
      <x:c r="B1169" s="16" t="str">
        <x:v>SUNY at Binghamton</x:v>
      </x:c>
      <x:c r="C1169" s="16" t="str">
        <x:v>NY</x:v>
      </x:c>
      <x:c r="D1169" s="16" t="str">
        <x:v>Public</x:v>
      </x:c>
      <x:c r="E1169" s="34" t="n">
        <x:v>13465</x:v>
      </x:c>
      <x:c r="F1169" s="21" t="n">
        <x:v>0.4415</x:v>
      </x:c>
      <x:c r="G1169" s="16" t="str">
        <x:v>Statewide</x:v>
      </x:c>
      <x:c r="H1169" s="36" t="n">
        <x:f>IF(G1169="National",Assumptions!$B$11,IF(G1169="Statewide",Assumptions!$B$12,Assumptions!$B$13))</x:f>
        <x:v>0.6</x:v>
      </x:c>
      <x:c r="I1169" s="21" t="n">
        <x:v>-0.08678079290324192</x:v>
      </x:c>
      <x:c r="J1169" s="21" t="n">
        <x:v>-0.14585233360743566</x:v>
      </x:c>
      <x:c r="K1169" s="21" t="n">
        <x:v>-0.24979193142458445</x:v>
      </x:c>
      <x:c r="L1169" s="36" t="n">
        <x:f>IF(Assumptions!$B$4=2030,I1169,IF(Assumptions!$B$4=2035,J1169,K1169))</x:f>
        <x:v>-0.14585233360743566</x:v>
      </x:c>
      <x:c r="M1169" s="36" t="n">
        <x:f>Assumptions!$B$19</x:f>
        <x:v>-0.04739891965741583</x:v>
      </x:c>
      <x:c r="N1169" s="52" t="n">
        <x:f>H1169*L1169+(1-H1169)*M1169+O1169</x:f>
        <x:v>-0.10647096802742773</x:v>
      </x:c>
      <x:c r="O1169" s="36" t="n">
        <x:f>Assumptions!$B$10</x:f>
        <x:v>0</x:v>
      </x:c>
      <x:c r="P1169" s="54" t="n">
        <x:f>E1169*(1+N1169)</x:f>
        <x:v>12031.368415510686</x:v>
      </x:c>
      <x:c r="Q1169" s="54" t="n">
        <x:f>P1169-E1169</x:f>
        <x:v>-1433.6315844893143</x:v>
      </x:c>
      <x:c r="R1169" s="16" t="str">
        <x:v>Yes</x:v>
      </x:c>
      <x:c r="S1169" s="56" t="n">
        <x:v>7813</x:v>
      </x:c>
      <x:c r="T1169" s="56" t="n">
        <x:v>11473</x:v>
      </x:c>
      <x:c r="U1169" s="40" t="n">
        <x:f>E1169*Assumptions!$B$8</x:f>
        <x:v>11445.25</x:v>
      </x:c>
      <x:c r="V1169" s="40" t="n">
        <x:f>P1169*Assumptions!$B$8</x:f>
        <x:v>10226.663153184083</x:v>
      </x:c>
      <x:c r="W1169" s="54" t="n">
        <x:f>V1169-U1169</x:f>
        <x:v>-1218.586846815917</x:v>
      </x:c>
      <x:c r="X1169" s="58" t="n">
        <x:f>IF(R1169="No","",W1169*S1169)</x:f>
        <x:v>-9520819.034172758</x:v>
      </x:c>
      <x:c r="Y1169" s="58" t="n">
        <x:f>IF(R1169="No","",W1169*T1169*Assumptions!$B$9)</x:f>
        <x:v>-4194254.0680557047</x:v>
      </x:c>
      <x:c r="Z1169" s="58" t="n">
        <x:f>IF(R1169="No","",X1169-Y1169)</x:f>
        <x:v>-5326564.966117054</x:v>
      </x:c>
      <x:c r="AA1169" s="58" t="n">
        <x:f>IF(R1169="No","",MAX(0,-Z1169))</x:f>
        <x:v>5326564.966117054</x:v>
      </x:c>
      <x:c r="AB1169" s="52" t="n">
        <x:f>IF(OR(R1169="No",U1169*S1169=0),"",AA1169/(U1169*S1169))</x:f>
        <x:v>0.05956677951423131</x:v>
      </x:c>
      <x:c r="AC1169" s="54" t="n">
        <x:f>IF(OR(R1169="No",S1169-T1169*Assumptions!$B$9&lt;=0),"",AA1169/(Assumptions!$B$8*(S1169-T1169*Assumptions!$B$9)))</x:f>
        <x:v>1433.6315844893138</x:v>
      </x:c>
      <x:c r="AD1169" s="52" t="n">
        <x:f>IF(OR(R1169="No",U1169*S1169=0),"",AA1169/(U1169*S1169))</x:f>
        <x:v>0.05956677951423131</x:v>
      </x:c>
      <x:c r="AE1169" s="50" t="str">
        <x:f>IF(R1169="No","No finance data",IF(AB1169&gt;=10%,"Severe",IF(AB1169&gt;=5%,"High",IF(AB1169&gt;=2%,"Moderate","Low"))))</x:f>
        <x:v>High</x:v>
      </x:c>
      <x:c r="AF1169" s="60" t="n">
        <x:v>42.087868</x:v>
      </x:c>
      <x:c r="AG1169" s="60" t="n">
        <x:v>-75.966889</x:v>
      </x:c>
      <x:c r="AH1169" s="44" t="str">
        <x:v>Undergraduate tuition-contribution proxy only; not an audited total institutional budget.</x:v>
      </x:c>
    </x:row>
    <x:row r="1170">
      <x:c r="A1170" s="16" t="n">
        <x:v>196158</x:v>
      </x:c>
      <x:c r="B1170" s="16" t="str">
        <x:v>SUNY at Fredonia</x:v>
      </x:c>
      <x:c r="C1170" s="16" t="str">
        <x:v>NY</x:v>
      </x:c>
      <x:c r="D1170" s="16" t="str">
        <x:v>Public</x:v>
      </x:c>
      <x:c r="E1170" s="34" t="n">
        <x:v>4542</x:v>
      </x:c>
      <x:c r="F1170" s="21" t="n">
        <x:v>0.9075</x:v>
      </x:c>
      <x:c r="G1170" s="16" t="str">
        <x:v>Regional</x:v>
      </x:c>
      <x:c r="H1170" s="36" t="n">
        <x:f>IF(G1170="National",Assumptions!$B$11,IF(G1170="Statewide",Assumptions!$B$12,Assumptions!$B$13))</x:f>
        <x:v>0.85</x:v>
      </x:c>
      <x:c r="I1170" s="21" t="n">
        <x:v>-0.08678079290324192</x:v>
      </x:c>
      <x:c r="J1170" s="21" t="n">
        <x:v>-0.14585233360743566</x:v>
      </x:c>
      <x:c r="K1170" s="21" t="n">
        <x:v>-0.24979193142458445</x:v>
      </x:c>
      <x:c r="L1170" s="36" t="n">
        <x:f>IF(Assumptions!$B$4=2030,I1170,IF(Assumptions!$B$4=2035,J1170,K1170))</x:f>
        <x:v>-0.14585233360743566</x:v>
      </x:c>
      <x:c r="M1170" s="36" t="n">
        <x:f>Assumptions!$B$19</x:f>
        <x:v>-0.04739891965741583</x:v>
      </x:c>
      <x:c r="N1170" s="52" t="n">
        <x:f>H1170*L1170+(1-H1170)*M1170+O1170</x:f>
        <x:v>-0.13108432151493268</x:v>
      </x:c>
      <x:c r="O1170" s="36" t="n">
        <x:f>Assumptions!$B$10</x:f>
        <x:v>0</x:v>
      </x:c>
      <x:c r="P1170" s="54" t="n">
        <x:f>E1170*(1+N1170)</x:f>
        <x:v>3946.615011679176</x:v>
      </x:c>
      <x:c r="Q1170" s="54" t="n">
        <x:f>P1170-E1170</x:f>
        <x:v>-595.384988320824</x:v>
      </x:c>
      <x:c r="R1170" s="16" t="str">
        <x:v>Yes</x:v>
      </x:c>
      <x:c r="S1170" s="56" t="n">
        <x:v>4326</x:v>
      </x:c>
      <x:c r="T1170" s="56" t="n">
        <x:v>12891</x:v>
      </x:c>
      <x:c r="U1170" s="40" t="n">
        <x:f>E1170*Assumptions!$B$8</x:f>
        <x:v>3860.7</x:v>
      </x:c>
      <x:c r="V1170" s="40" t="n">
        <x:f>P1170*Assumptions!$B$8</x:f>
        <x:v>3354.6227599272993</x:v>
      </x:c>
      <x:c r="W1170" s="54" t="n">
        <x:f>V1170-U1170</x:f>
        <x:v>-506.07724007270053</x:v>
      </x:c>
      <x:c r="X1170" s="58" t="n">
        <x:f>IF(R1170="No","",W1170*S1170)</x:f>
        <x:v>-2189290.1405545026</x:v>
      </x:c>
      <x:c r="Y1170" s="58" t="n">
        <x:f>IF(R1170="No","",W1170*T1170*Assumptions!$B$9)</x:f>
        <x:v>-1957152.5105331547</x:v>
      </x:c>
      <x:c r="Z1170" s="58" t="n">
        <x:f>IF(R1170="No","",X1170-Y1170)</x:f>
        <x:v>-232137.6300213479</x:v>
      </x:c>
      <x:c r="AA1170" s="58" t="n">
        <x:f>IF(R1170="No","",MAX(0,-Z1170))</x:f>
        <x:v>232137.6300213479</x:v>
      </x:c>
      <x:c r="AB1170" s="52" t="n">
        <x:f>IF(OR(R1170="No",U1170*S1170=0),"",AA1170/(U1170*S1170))</x:f>
        <x:v>0.0138993014976652</x:v>
      </x:c>
      <x:c r="AC1170" s="54" t="n">
        <x:f>IF(OR(R1170="No",S1170-T1170*Assumptions!$B$9&lt;=0),"",AA1170/(Assumptions!$B$8*(S1170-T1170*Assumptions!$B$9)))</x:f>
        <x:v>595.3849883208243</x:v>
      </x:c>
      <x:c r="AD1170" s="52" t="n">
        <x:f>IF(OR(R1170="No",U1170*S1170=0),"",AA1170/(U1170*S1170))</x:f>
        <x:v>0.0138993014976652</x:v>
      </x:c>
      <x:c r="AE1170" s="50" t="str">
        <x:f>IF(R1170="No","No finance data",IF(AB1170&gt;=10%,"Severe",IF(AB1170&gt;=5%,"High",IF(AB1170&gt;=2%,"Moderate","Low"))))</x:f>
        <x:v>Low</x:v>
      </x:c>
      <x:c r="AF1170" s="60" t="n">
        <x:v>42.452236</x:v>
      </x:c>
      <x:c r="AG1170" s="60" t="n">
        <x:v>-79.337375</x:v>
      </x:c>
      <x:c r="AH1170" s="44" t="str">
        <x:v>Undergraduate tuition-contribution proxy only; not an audited total institutional budget.</x:v>
      </x:c>
    </x:row>
    <x:row r="1171">
      <x:c r="A1171" s="16" t="n">
        <x:v>196219</x:v>
      </x:c>
      <x:c r="B1171" s="16" t="str">
        <x:v>SUNY at Purchase College</x:v>
      </x:c>
      <x:c r="C1171" s="16" t="str">
        <x:v>NY</x:v>
      </x:c>
      <x:c r="D1171" s="16" t="str">
        <x:v>Public</x:v>
      </x:c>
      <x:c r="E1171" s="34" t="n">
        <x:v>3914</x:v>
      </x:c>
      <x:c r="F1171" s="21" t="n">
        <x:v>0.7541</x:v>
      </x:c>
      <x:c r="G1171" s="16" t="str">
        <x:v>Regional</x:v>
      </x:c>
      <x:c r="H1171" s="36" t="n">
        <x:f>IF(G1171="National",Assumptions!$B$11,IF(G1171="Statewide",Assumptions!$B$12,Assumptions!$B$13))</x:f>
        <x:v>0.85</x:v>
      </x:c>
      <x:c r="I1171" s="21" t="n">
        <x:v>-0.08678079290324192</x:v>
      </x:c>
      <x:c r="J1171" s="21" t="n">
        <x:v>-0.14585233360743566</x:v>
      </x:c>
      <x:c r="K1171" s="21" t="n">
        <x:v>-0.24979193142458445</x:v>
      </x:c>
      <x:c r="L1171" s="36" t="n">
        <x:f>IF(Assumptions!$B$4=2030,I1171,IF(Assumptions!$B$4=2035,J1171,K1171))</x:f>
        <x:v>-0.14585233360743566</x:v>
      </x:c>
      <x:c r="M1171" s="36" t="n">
        <x:f>Assumptions!$B$19</x:f>
        <x:v>-0.04739891965741583</x:v>
      </x:c>
      <x:c r="N1171" s="52" t="n">
        <x:f>H1171*L1171+(1-H1171)*M1171+O1171</x:f>
        <x:v>-0.13108432151493268</x:v>
      </x:c>
      <x:c r="O1171" s="36" t="n">
        <x:f>Assumptions!$B$10</x:f>
        <x:v>0</x:v>
      </x:c>
      <x:c r="P1171" s="54" t="n">
        <x:f>E1171*(1+N1171)</x:f>
        <x:v>3400.9359655905537</x:v>
      </x:c>
      <x:c r="Q1171" s="54" t="n">
        <x:f>P1171-E1171</x:f>
        <x:v>-513.0640344094463</x:v>
      </x:c>
      <x:c r="R1171" s="16" t="str">
        <x:v>Yes</x:v>
      </x:c>
      <x:c r="S1171" s="56" t="n">
        <x:v>5778</x:v>
      </x:c>
      <x:c r="T1171" s="56" t="n">
        <x:v>15095</x:v>
      </x:c>
      <x:c r="U1171" s="40" t="n">
        <x:f>E1171*Assumptions!$B$8</x:f>
        <x:v>3326.9</x:v>
      </x:c>
      <x:c r="V1171" s="40" t="n">
        <x:f>P1171*Assumptions!$B$8</x:f>
        <x:v>2890.7955707519704</x:v>
      </x:c>
      <x:c r="W1171" s="54" t="n">
        <x:f>V1171-U1171</x:f>
        <x:v>-436.10442924802965</x:v>
      </x:c>
      <x:c r="X1171" s="58" t="n">
        <x:f>IF(R1171="No","",W1171*S1171)</x:f>
        <x:v>-2519811.3921951153</x:v>
      </x:c>
      <x:c r="Y1171" s="58" t="n">
        <x:f>IF(R1171="No","",W1171*T1171*Assumptions!$B$9)</x:f>
        <x:v>-1974898.907849702</x:v>
      </x:c>
      <x:c r="Z1171" s="58" t="n">
        <x:f>IF(R1171="No","",X1171-Y1171)</x:f>
        <x:v>-544912.4843454133</x:v>
      </x:c>
      <x:c r="AA1171" s="58" t="n">
        <x:f>IF(R1171="No","",MAX(0,-Z1171))</x:f>
        <x:v>544912.4843454133</x:v>
      </x:c>
      <x:c r="AB1171" s="52" t="n">
        <x:f>IF(OR(R1171="No",U1171*S1171=0),"",AA1171/(U1171*S1171))</x:f>
        <x:v>0.028347154678592678</x:v>
      </x:c>
      <x:c r="AC1171" s="54" t="n">
        <x:f>IF(OR(R1171="No",S1171-T1171*Assumptions!$B$9&lt;=0),"",AA1171/(Assumptions!$B$8*(S1171-T1171*Assumptions!$B$9)))</x:f>
        <x:v>513.0640344094469</x:v>
      </x:c>
      <x:c r="AD1171" s="52" t="n">
        <x:f>IF(OR(R1171="No",U1171*S1171=0),"",AA1171/(U1171*S1171))</x:f>
        <x:v>0.028347154678592678</x:v>
      </x:c>
      <x:c r="AE1171" s="50" t="str">
        <x:f>IF(R1171="No","No finance data",IF(AB1171&gt;=10%,"Severe",IF(AB1171&gt;=5%,"High",IF(AB1171&gt;=2%,"Moderate","Low"))))</x:f>
        <x:v>Moderate</x:v>
      </x:c>
      <x:c r="AF1171" s="60" t="n">
        <x:v>41.047223</x:v>
      </x:c>
      <x:c r="AG1171" s="60" t="n">
        <x:v>-73.701955</x:v>
      </x:c>
      <x:c r="AH1171" s="44" t="str">
        <x:v>Undergraduate tuition-contribution proxy only; not an audited total institutional budget.</x:v>
      </x:c>
    </x:row>
    <x:row r="1172">
      <x:c r="A1172" s="16" t="n">
        <x:v>195720</x:v>
      </x:c>
      <x:c r="B1172" s="16" t="str">
        <x:v>Saint John Fisher College</x:v>
      </x:c>
      <x:c r="C1172" s="16" t="str">
        <x:v>NY</x:v>
      </x:c>
      <x:c r="D1172" s="16" t="str">
        <x:v>Private nonprofit</x:v>
      </x:c>
      <x:c r="E1172" s="34" t="n">
        <x:v>2782</x:v>
      </x:c>
      <x:c r="F1172" s="21" t="n">
        <x:v>0.711</x:v>
      </x:c>
      <x:c r="G1172" s="16" t="str">
        <x:v>Regional</x:v>
      </x:c>
      <x:c r="H1172" s="36" t="n">
        <x:f>IF(G1172="National",Assumptions!$B$11,IF(G1172="Statewide",Assumptions!$B$12,Assumptions!$B$13))</x:f>
        <x:v>0.85</x:v>
      </x:c>
      <x:c r="I1172" s="21" t="n">
        <x:v>-0.08678079290324192</x:v>
      </x:c>
      <x:c r="J1172" s="21" t="n">
        <x:v>-0.14585233360743566</x:v>
      </x:c>
      <x:c r="K1172" s="21" t="n">
        <x:v>-0.24979193142458445</x:v>
      </x:c>
      <x:c r="L1172" s="36" t="n">
        <x:f>IF(Assumptions!$B$4=2030,I1172,IF(Assumptions!$B$4=2035,J1172,K1172))</x:f>
        <x:v>-0.14585233360743566</x:v>
      </x:c>
      <x:c r="M1172" s="36" t="n">
        <x:f>Assumptions!$B$19</x:f>
        <x:v>-0.04739891965741583</x:v>
      </x:c>
      <x:c r="N1172" s="52" t="n">
        <x:f>H1172*L1172+(1-H1172)*M1172+O1172</x:f>
        <x:v>-0.13108432151493268</x:v>
      </x:c>
      <x:c r="O1172" s="36" t="n">
        <x:f>Assumptions!$B$10</x:f>
        <x:v>0</x:v>
      </x:c>
      <x:c r="P1172" s="54" t="n">
        <x:f>E1172*(1+N1172)</x:f>
        <x:v>2417.3234175454572</x:v>
      </x:c>
      <x:c r="Q1172" s="54" t="n">
        <x:f>P1172-E1172</x:f>
        <x:v>-364.67658245454277</x:v>
      </x:c>
      <x:c r="R1172" s="16" t="str">
        <x:v>Yes</x:v>
      </x:c>
      <x:c r="S1172" s="56" t="n">
        <x:v>20095</x:v>
      </x:c>
      <x:c r="T1172" s="56" t="n">
        <x:v>11267</x:v>
      </x:c>
      <x:c r="U1172" s="40" t="n">
        <x:f>E1172*Assumptions!$B$8</x:f>
        <x:v>2364.7</x:v>
      </x:c>
      <x:c r="V1172" s="40" t="n">
        <x:f>P1172*Assumptions!$B$8</x:f>
        <x:v>2054.7249049136385</x:v>
      </x:c>
      <x:c r="W1172" s="54" t="n">
        <x:f>V1172-U1172</x:f>
        <x:v>-309.9750950863613</x:v>
      </x:c>
      <x:c r="X1172" s="58" t="n">
        <x:f>IF(R1172="No","",W1172*S1172)</x:f>
        <x:v>-6228949.535760431</x:v>
      </x:c>
      <x:c r="Y1172" s="58" t="n">
        <x:f>IF(R1172="No","",W1172*T1172*Assumptions!$B$9)</x:f>
        <x:v>-1047746.8189014099</x:v>
      </x:c>
      <x:c r="Z1172" s="58" t="n">
        <x:f>IF(R1172="No","",X1172-Y1172)</x:f>
        <x:v>-5181202.71685902</x:v>
      </x:c>
      <x:c r="AA1172" s="58" t="n">
        <x:f>IF(R1172="No","",MAX(0,-Z1172))</x:f>
        <x:v>5181202.71685902</x:v>
      </x:c>
      <x:c r="AB1172" s="52" t="n">
        <x:f>IF(OR(R1172="No",U1172*S1172=0),"",AA1172/(U1172*S1172))</x:f>
        <x:v>0.1090351493252027</x:v>
      </x:c>
      <x:c r="AC1172" s="54" t="n">
        <x:f>IF(OR(R1172="No",S1172-T1172*Assumptions!$B$9&lt;=0),"",AA1172/(Assumptions!$B$8*(S1172-T1172*Assumptions!$B$9)))</x:f>
        <x:v>364.67658245454265</x:v>
      </x:c>
      <x:c r="AD1172" s="52" t="n">
        <x:f>IF(OR(R1172="No",U1172*S1172=0),"",AA1172/(U1172*S1172))</x:f>
        <x:v>0.1090351493252027</x:v>
      </x:c>
      <x:c r="AE1172" s="50" t="str">
        <x:f>IF(R1172="No","No finance data",IF(AB1172&gt;=10%,"Severe",IF(AB1172&gt;=5%,"High",IF(AB1172&gt;=2%,"Moderate","Low"))))</x:f>
        <x:v>Severe</x:v>
      </x:c>
      <x:c r="AF1172" s="60" t="n">
        <x:v>43.116259</x:v>
      </x:c>
      <x:c r="AG1172" s="60" t="n">
        <x:v>-77.513056</x:v>
      </x:c>
      <x:c r="AH1172" s="44" t="str">
        <x:v>Undergraduate tuition-contribution proxy only; not an audited total institutional budget.</x:v>
      </x:c>
    </x:row>
    <x:row r="1173">
      <x:c r="A1173" s="16" t="n">
        <x:v>195304</x:v>
      </x:c>
      <x:c r="B1173" s="16" t="str">
        <x:v>Sarah Lawrence College</x:v>
      </x:c>
      <x:c r="C1173" s="16" t="str">
        <x:v>NY</x:v>
      </x:c>
      <x:c r="D1173" s="16" t="str">
        <x:v>Private nonprofit</x:v>
      </x:c>
      <x:c r="E1173" s="34" t="n">
        <x:v>1283</x:v>
      </x:c>
      <x:c r="F1173" s="21" t="n">
        <x:v>0.5847</x:v>
      </x:c>
      <x:c r="G1173" s="16" t="str">
        <x:v>Regional</x:v>
      </x:c>
      <x:c r="H1173" s="36" t="n">
        <x:f>IF(G1173="National",Assumptions!$B$11,IF(G1173="Statewide",Assumptions!$B$12,Assumptions!$B$13))</x:f>
        <x:v>0.85</x:v>
      </x:c>
      <x:c r="I1173" s="21" t="n">
        <x:v>-0.08678079290324192</x:v>
      </x:c>
      <x:c r="J1173" s="21" t="n">
        <x:v>-0.14585233360743566</x:v>
      </x:c>
      <x:c r="K1173" s="21" t="n">
        <x:v>-0.24979193142458445</x:v>
      </x:c>
      <x:c r="L1173" s="36" t="n">
        <x:f>IF(Assumptions!$B$4=2030,I1173,IF(Assumptions!$B$4=2035,J1173,K1173))</x:f>
        <x:v>-0.14585233360743566</x:v>
      </x:c>
      <x:c r="M1173" s="36" t="n">
        <x:f>Assumptions!$B$19</x:f>
        <x:v>-0.04739891965741583</x:v>
      </x:c>
      <x:c r="N1173" s="52" t="n">
        <x:f>H1173*L1173+(1-H1173)*M1173+O1173</x:f>
        <x:v>-0.13108432151493268</x:v>
      </x:c>
      <x:c r="O1173" s="36" t="n">
        <x:f>Assumptions!$B$10</x:f>
        <x:v>0</x:v>
      </x:c>
      <x:c r="P1173" s="54" t="n">
        <x:f>E1173*(1+N1173)</x:f>
        <x:v>1114.8188154963414</x:v>
      </x:c>
      <x:c r="Q1173" s="54" t="n">
        <x:f>P1173-E1173</x:f>
        <x:v>-168.18118450365864</x:v>
      </x:c>
      <x:c r="R1173" s="16" t="str">
        <x:v>Yes</x:v>
      </x:c>
      <x:c r="S1173" s="56" t="n">
        <x:v>27983</x:v>
      </x:c>
      <x:c r="T1173" s="56" t="n">
        <x:v>18823</x:v>
      </x:c>
      <x:c r="U1173" s="40" t="n">
        <x:f>E1173*Assumptions!$B$8</x:f>
        <x:v>1090.55</x:v>
      </x:c>
      <x:c r="V1173" s="40" t="n">
        <x:f>P1173*Assumptions!$B$8</x:f>
        <x:v>947.5959931718901</x:v>
      </x:c>
      <x:c r="W1173" s="54" t="n">
        <x:f>V1173-U1173</x:f>
        <x:v>-142.95400682810987</x:v>
      </x:c>
      <x:c r="X1173" s="58" t="n">
        <x:f>IF(R1173="No","",W1173*S1173)</x:f>
        <x:v>-4000281.9730709987</x:v>
      </x:c>
      <x:c r="Y1173" s="58" t="n">
        <x:f>IF(R1173="No","",W1173*T1173*Assumptions!$B$9)</x:f>
        <x:v>-807246.9811576535</x:v>
      </x:c>
      <x:c r="Z1173" s="58" t="n">
        <x:f>IF(R1173="No","",X1173-Y1173)</x:f>
        <x:v>-3193034.991913345</x:v>
      </x:c>
      <x:c r="AA1173" s="58" t="n">
        <x:f>IF(R1173="No","",MAX(0,-Z1173))</x:f>
        <x:v>3193034.991913345</x:v>
      </x:c>
      <x:c r="AB1173" s="52" t="n">
        <x:f>IF(OR(R1173="No",U1173*S1173=0),"",AA1173/(U1173*S1173))</x:f>
        <x:v>0.10463183053245502</x:v>
      </x:c>
      <x:c r="AC1173" s="54" t="n">
        <x:f>IF(OR(R1173="No",S1173-T1173*Assumptions!$B$9&lt;=0),"",AA1173/(Assumptions!$B$8*(S1173-T1173*Assumptions!$B$9)))</x:f>
        <x:v>168.1811845036587</x:v>
      </x:c>
      <x:c r="AD1173" s="52" t="n">
        <x:f>IF(OR(R1173="No",U1173*S1173=0),"",AA1173/(U1173*S1173))</x:f>
        <x:v>0.10463183053245502</x:v>
      </x:c>
      <x:c r="AE1173" s="50" t="str">
        <x:f>IF(R1173="No","No finance data",IF(AB1173&gt;=10%,"Severe",IF(AB1173&gt;=5%,"High",IF(AB1173&gt;=2%,"Moderate","Low"))))</x:f>
        <x:v>Severe</x:v>
      </x:c>
      <x:c r="AF1173" s="60" t="n">
        <x:v>40.9355</x:v>
      </x:c>
      <x:c r="AG1173" s="60" t="n">
        <x:v>-73.843727</x:v>
      </x:c>
      <x:c r="AH1173" s="44" t="str">
        <x:v>Undergraduate tuition-contribution proxy only; not an audited total institutional budget.</x:v>
      </x:c>
    </x:row>
    <x:row r="1174">
      <x:c r="A1174" s="16" t="n">
        <x:v>195438</x:v>
      </x:c>
      <x:c r="B1174" s="16" t="str">
        <x:v>Sh'or Yoshuv Rabbinical College</x:v>
      </x:c>
      <x:c r="C1174" s="16" t="str">
        <x:v>NY</x:v>
      </x:c>
      <x:c r="D1174" s="16" t="str">
        <x:v>Private nonprofit</x:v>
      </x:c>
      <x:c r="E1174" s="34" t="n">
        <x:v>102</x:v>
      </x:c>
      <x:c r="F1174" s="21"/>
      <x:c r="G1174" s="16" t="str">
        <x:v>Regional</x:v>
      </x:c>
      <x:c r="H1174" s="36" t="n">
        <x:f>IF(G1174="National",Assumptions!$B$11,IF(G1174="Statewide",Assumptions!$B$12,Assumptions!$B$13))</x:f>
        <x:v>0.85</x:v>
      </x:c>
      <x:c r="I1174" s="21" t="n">
        <x:v>-0.08678079290324192</x:v>
      </x:c>
      <x:c r="J1174" s="21" t="n">
        <x:v>-0.14585233360743566</x:v>
      </x:c>
      <x:c r="K1174" s="21" t="n">
        <x:v>-0.24979193142458445</x:v>
      </x:c>
      <x:c r="L1174" s="36" t="n">
        <x:f>IF(Assumptions!$B$4=2030,I1174,IF(Assumptions!$B$4=2035,J1174,K1174))</x:f>
        <x:v>-0.14585233360743566</x:v>
      </x:c>
      <x:c r="M1174" s="36" t="n">
        <x:f>Assumptions!$B$19</x:f>
        <x:v>-0.04739891965741583</x:v>
      </x:c>
      <x:c r="N1174" s="52" t="n">
        <x:f>H1174*L1174+(1-H1174)*M1174+O1174</x:f>
        <x:v>-0.13108432151493268</x:v>
      </x:c>
      <x:c r="O1174" s="36" t="n">
        <x:f>Assumptions!$B$10</x:f>
        <x:v>0</x:v>
      </x:c>
      <x:c r="P1174" s="54" t="n">
        <x:f>E1174*(1+N1174)</x:f>
        <x:v>88.62939920547687</x:v>
      </x:c>
      <x:c r="Q1174" s="54" t="n">
        <x:f>P1174-E1174</x:f>
        <x:v>-13.370600794523128</x:v>
      </x:c>
      <x:c r="R1174" s="16" t="str">
        <x:v>No</x:v>
      </x:c>
      <x:c r="S1174" s="56"/>
      <x:c r="T1174" s="56"/>
      <x:c r="U1174" s="40" t="n">
        <x:f>E1174*Assumptions!$B$8</x:f>
        <x:v>86.7</x:v>
      </x:c>
      <x:c r="V1174" s="40" t="n">
        <x:f>P1174*Assumptions!$B$8</x:f>
        <x:v>75.33498932465534</x:v>
      </x:c>
      <x:c r="W1174" s="54" t="n">
        <x:f>V1174-U1174</x:f>
        <x:v>-11.365010675344664</x:v>
      </x:c>
      <x:c r="X1174" s="58" t="str">
        <x:f>IF(R1174="No","",W1174*S1174)</x:f>
      </x:c>
      <x:c r="Y1174" s="58" t="str">
        <x:f>IF(R1174="No","",W1174*T1174*Assumptions!$B$9)</x:f>
      </x:c>
      <x:c r="Z1174" s="58" t="str">
        <x:f>IF(R1174="No","",X1174-Y1174)</x:f>
      </x:c>
      <x:c r="AA1174" s="58" t="str">
        <x:f>IF(R1174="No","",MAX(0,-Z1174))</x:f>
      </x:c>
      <x:c r="AB1174" s="52" t="str">
        <x:f>IF(OR(R1174="No",U1174*S1174=0),"",AA1174/(U1174*S1174))</x:f>
      </x:c>
      <x:c r="AC1174" s="54" t="str">
        <x:f>IF(OR(R1174="No",S1174-T1174*Assumptions!$B$9&lt;=0),"",AA1174/(Assumptions!$B$8*(S1174-T1174*Assumptions!$B$9)))</x:f>
      </x:c>
      <x:c r="AD1174" s="52" t="str">
        <x:f>IF(OR(R1174="No",U1174*S1174=0),"",AA1174/(U1174*S1174))</x:f>
      </x:c>
      <x:c r="AE1174" s="50" t="str">
        <x:f>IF(R1174="No","No finance data",IF(AB1174&gt;=10%,"Severe",IF(AB1174&gt;=5%,"High",IF(AB1174&gt;=2%,"Moderate","Low"))))</x:f>
        <x:v>No finance data</x:v>
      </x:c>
      <x:c r="AF1174" s="60"/>
      <x:c r="AG1174" s="60"/>
      <x:c r="AH1174" s="44" t="str">
        <x:v>Undergraduate tuition-contribution proxy only; not an audited total institutional budget.</x:v>
      </x:c>
    </x:row>
    <x:row r="1175">
      <x:c r="A1175" s="16" t="n">
        <x:v>195474</x:v>
      </x:c>
      <x:c r="B1175" s="16" t="str">
        <x:v>Siena College</x:v>
      </x:c>
      <x:c r="C1175" s="16" t="str">
        <x:v>NY</x:v>
      </x:c>
      <x:c r="D1175" s="16" t="str">
        <x:v>Private nonprofit</x:v>
      </x:c>
      <x:c r="E1175" s="34" t="n">
        <x:v>3062</x:v>
      </x:c>
      <x:c r="F1175" s="21" t="n">
        <x:v>0.8283</x:v>
      </x:c>
      <x:c r="G1175" s="16" t="str">
        <x:v>Regional</x:v>
      </x:c>
      <x:c r="H1175" s="36" t="n">
        <x:f>IF(G1175="National",Assumptions!$B$11,IF(G1175="Statewide",Assumptions!$B$12,Assumptions!$B$13))</x:f>
        <x:v>0.85</x:v>
      </x:c>
      <x:c r="I1175" s="21" t="n">
        <x:v>-0.08678079290324192</x:v>
      </x:c>
      <x:c r="J1175" s="21" t="n">
        <x:v>-0.14585233360743566</x:v>
      </x:c>
      <x:c r="K1175" s="21" t="n">
        <x:v>-0.24979193142458445</x:v>
      </x:c>
      <x:c r="L1175" s="36" t="n">
        <x:f>IF(Assumptions!$B$4=2030,I1175,IF(Assumptions!$B$4=2035,J1175,K1175))</x:f>
        <x:v>-0.14585233360743566</x:v>
      </x:c>
      <x:c r="M1175" s="36" t="n">
        <x:f>Assumptions!$B$19</x:f>
        <x:v>-0.04739891965741583</x:v>
      </x:c>
      <x:c r="N1175" s="52" t="n">
        <x:f>H1175*L1175+(1-H1175)*M1175+O1175</x:f>
        <x:v>-0.13108432151493268</x:v>
      </x:c>
      <x:c r="O1175" s="36" t="n">
        <x:f>Assumptions!$B$10</x:f>
        <x:v>0</x:v>
      </x:c>
      <x:c r="P1175" s="54" t="n">
        <x:f>E1175*(1+N1175)</x:f>
        <x:v>2660.619807521276</x:v>
      </x:c>
      <x:c r="Q1175" s="54" t="n">
        <x:f>P1175-E1175</x:f>
        <x:v>-401.380192478724</x:v>
      </x:c>
      <x:c r="R1175" s="16" t="str">
        <x:v>Yes</x:v>
      </x:c>
      <x:c r="S1175" s="56" t="n">
        <x:v>18326</x:v>
      </x:c>
      <x:c r="T1175" s="56" t="n">
        <x:v>9693</x:v>
      </x:c>
      <x:c r="U1175" s="40" t="n">
        <x:f>E1175*Assumptions!$B$8</x:f>
        <x:v>2602.7</x:v>
      </x:c>
      <x:c r="V1175" s="40" t="n">
        <x:f>P1175*Assumptions!$B$8</x:f>
        <x:v>2261.5268363930845</x:v>
      </x:c>
      <x:c r="W1175" s="54" t="n">
        <x:f>V1175-U1175</x:f>
        <x:v>-341.1731636069153</x:v>
      </x:c>
      <x:c r="X1175" s="58" t="n">
        <x:f>IF(R1175="No","",W1175*S1175)</x:f>
        <x:v>-6252339.3962603295</x:v>
      </x:c>
      <x:c r="Y1175" s="58" t="n">
        <x:f>IF(R1175="No","",W1175*T1175*Assumptions!$B$9)</x:f>
        <x:v>-992097.4424525489</x:v>
      </x:c>
      <x:c r="Z1175" s="58" t="n">
        <x:f>IF(R1175="No","",X1175-Y1175)</x:f>
        <x:v>-5260241.9538077805</x:v>
      </x:c>
      <x:c r="AA1175" s="58" t="n">
        <x:f>IF(R1175="No","",MAX(0,-Z1175))</x:f>
        <x:v>5260241.9538077805</x:v>
      </x:c>
      <x:c r="AB1175" s="52" t="n">
        <x:f>IF(OR(R1175="No",U1175*S1175=0),"",AA1175/(U1175*S1175))</x:f>
        <x:v>0.11028435979206502</x:v>
      </x:c>
      <x:c r="AC1175" s="54" t="n">
        <x:f>IF(OR(R1175="No",S1175-T1175*Assumptions!$B$9&lt;=0),"",AA1175/(Assumptions!$B$8*(S1175-T1175*Assumptions!$B$9)))</x:f>
        <x:v>401.38019247872387</x:v>
      </x:c>
      <x:c r="AD1175" s="52" t="n">
        <x:f>IF(OR(R1175="No",U1175*S1175=0),"",AA1175/(U1175*S1175))</x:f>
        <x:v>0.11028435979206502</x:v>
      </x:c>
      <x:c r="AE1175" s="50" t="str">
        <x:f>IF(R1175="No","No finance data",IF(AB1175&gt;=10%,"Severe",IF(AB1175&gt;=5%,"High",IF(AB1175&gt;=2%,"Moderate","Low"))))</x:f>
        <x:v>Severe</x:v>
      </x:c>
      <x:c r="AF1175" s="60" t="n">
        <x:v>42.717602</x:v>
      </x:c>
      <x:c r="AG1175" s="60" t="n">
        <x:v>-73.7526</x:v>
      </x:c>
      <x:c r="AH1175" s="44" t="str">
        <x:v>Undergraduate tuition-contribution proxy only; not an audited total institutional budget.</x:v>
      </x:c>
    </x:row>
    <x:row r="1176">
      <x:c r="A1176" s="16" t="n">
        <x:v>195526</x:v>
      </x:c>
      <x:c r="B1176" s="16" t="str">
        <x:v>Skidmore College</x:v>
      </x:c>
      <x:c r="C1176" s="16" t="str">
        <x:v>NY</x:v>
      </x:c>
      <x:c r="D1176" s="16" t="str">
        <x:v>Private nonprofit</x:v>
      </x:c>
      <x:c r="E1176" s="34" t="n">
        <x:v>2619</x:v>
      </x:c>
      <x:c r="F1176" s="21" t="n">
        <x:v>0.3059</x:v>
      </x:c>
      <x:c r="G1176" s="16" t="str">
        <x:v>National</x:v>
      </x:c>
      <x:c r="H1176" s="36" t="n">
        <x:f>IF(G1176="National",Assumptions!$B$11,IF(G1176="Statewide",Assumptions!$B$12,Assumptions!$B$13))</x:f>
        <x:v>0.25</x:v>
      </x:c>
      <x:c r="I1176" s="21" t="n">
        <x:v>-0.08678079290324192</x:v>
      </x:c>
      <x:c r="J1176" s="21" t="n">
        <x:v>-0.14585233360743566</x:v>
      </x:c>
      <x:c r="K1176" s="21" t="n">
        <x:v>-0.24979193142458445</x:v>
      </x:c>
      <x:c r="L1176" s="36" t="n">
        <x:f>IF(Assumptions!$B$4=2030,I1176,IF(Assumptions!$B$4=2035,J1176,K1176))</x:f>
        <x:v>-0.14585233360743566</x:v>
      </x:c>
      <x:c r="M1176" s="36" t="n">
        <x:f>Assumptions!$B$19</x:f>
        <x:v>-0.04739891965741583</x:v>
      </x:c>
      <x:c r="N1176" s="52" t="n">
        <x:f>H1176*L1176+(1-H1176)*M1176+O1176</x:f>
        <x:v>-0.07201227314492079</x:v>
      </x:c>
      <x:c r="O1176" s="36" t="n">
        <x:f>Assumptions!$B$10</x:f>
        <x:v>0</x:v>
      </x:c>
      <x:c r="P1176" s="54" t="n">
        <x:f>E1176*(1+N1176)</x:f>
        <x:v>2430.3998566334526</x:v>
      </x:c>
      <x:c r="Q1176" s="54" t="n">
        <x:f>P1176-E1176</x:f>
        <x:v>-188.6001433665474</x:v>
      </x:c>
      <x:c r="R1176" s="16" t="str">
        <x:v>Yes</x:v>
      </x:c>
      <x:c r="S1176" s="56" t="n">
        <x:v>34186</x:v>
      </x:c>
      <x:c r="T1176" s="56" t="n">
        <x:v>20417</x:v>
      </x:c>
      <x:c r="U1176" s="40" t="n">
        <x:f>E1176*Assumptions!$B$8</x:f>
        <x:v>2226.15</x:v>
      </x:c>
      <x:c r="V1176" s="40" t="n">
        <x:f>P1176*Assumptions!$B$8</x:f>
        <x:v>2065.839878138435</x:v>
      </x:c>
      <x:c r="W1176" s="54" t="n">
        <x:f>V1176-U1176</x:f>
        <x:v>-160.31012186156522</x:v>
      </x:c>
      <x:c r="X1176" s="58" t="n">
        <x:f>IF(R1176="No","",W1176*S1176)</x:f>
        <x:v>-5480361.825959468</x:v>
      </x:c>
      <x:c r="Y1176" s="58" t="n">
        <x:f>IF(R1176="No","",W1176*T1176*Assumptions!$B$9)</x:f>
        <x:v>-981915.527414273</x:v>
      </x:c>
      <x:c r="Z1176" s="58" t="n">
        <x:f>IF(R1176="No","",X1176-Y1176)</x:f>
        <x:v>-4498446.298545195</x:v>
      </x:c>
      <x:c r="AA1176" s="58" t="n">
        <x:f>IF(R1176="No","",MAX(0,-Z1176))</x:f>
        <x:v>4498446.298545195</x:v>
      </x:c>
      <x:c r="AB1176" s="52" t="n">
        <x:f>IF(OR(R1176="No",U1176*S1176=0),"",AA1176/(U1176*S1176))</x:f>
        <x:v>0.05910984600398715</x:v>
      </x:c>
      <x:c r="AC1176" s="54" t="n">
        <x:f>IF(OR(R1176="No",S1176-T1176*Assumptions!$B$9&lt;=0),"",AA1176/(Assumptions!$B$8*(S1176-T1176*Assumptions!$B$9)))</x:f>
        <x:v>188.6001433665473</x:v>
      </x:c>
      <x:c r="AD1176" s="52" t="n">
        <x:f>IF(OR(R1176="No",U1176*S1176=0),"",AA1176/(U1176*S1176))</x:f>
        <x:v>0.05910984600398715</x:v>
      </x:c>
      <x:c r="AE1176" s="50" t="str">
        <x:f>IF(R1176="No","No finance data",IF(AB1176&gt;=10%,"Severe",IF(AB1176&gt;=5%,"High",IF(AB1176&gt;=2%,"Moderate","Low"))))</x:f>
        <x:v>High</x:v>
      </x:c>
      <x:c r="AF1176" s="60" t="n">
        <x:v>43.097035</x:v>
      </x:c>
      <x:c r="AG1176" s="60" t="n">
        <x:v>-73.785335</x:v>
      </x:c>
      <x:c r="AH1176" s="44" t="str">
        <x:v>Undergraduate tuition-contribution proxy only; not an audited total institutional budget.</x:v>
      </x:c>
    </x:row>
    <x:row r="1177">
      <x:c r="A1177" s="16" t="n">
        <x:v>195164</x:v>
      </x:c>
      <x:c r="B1177" s="16" t="str">
        <x:v>St Bonaventure University</x:v>
      </x:c>
      <x:c r="C1177" s="16" t="str">
        <x:v>NY</x:v>
      </x:c>
      <x:c r="D1177" s="16" t="str">
        <x:v>Private nonprofit</x:v>
      </x:c>
      <x:c r="E1177" s="34" t="n">
        <x:v>1637</x:v>
      </x:c>
      <x:c r="F1177" s="21" t="n">
        <x:v>0.7811</x:v>
      </x:c>
      <x:c r="G1177" s="16" t="str">
        <x:v>Regional</x:v>
      </x:c>
      <x:c r="H1177" s="36" t="n">
        <x:f>IF(G1177="National",Assumptions!$B$11,IF(G1177="Statewide",Assumptions!$B$12,Assumptions!$B$13))</x:f>
        <x:v>0.85</x:v>
      </x:c>
      <x:c r="I1177" s="21" t="n">
        <x:v>-0.08678079290324192</x:v>
      </x:c>
      <x:c r="J1177" s="21" t="n">
        <x:v>-0.14585233360743566</x:v>
      </x:c>
      <x:c r="K1177" s="21" t="n">
        <x:v>-0.24979193142458445</x:v>
      </x:c>
      <x:c r="L1177" s="36" t="n">
        <x:f>IF(Assumptions!$B$4=2030,I1177,IF(Assumptions!$B$4=2035,J1177,K1177))</x:f>
        <x:v>-0.14585233360743566</x:v>
      </x:c>
      <x:c r="M1177" s="36" t="n">
        <x:f>Assumptions!$B$19</x:f>
        <x:v>-0.04739891965741583</x:v>
      </x:c>
      <x:c r="N1177" s="52" t="n">
        <x:f>H1177*L1177+(1-H1177)*M1177+O1177</x:f>
        <x:v>-0.13108432151493268</x:v>
      </x:c>
      <x:c r="O1177" s="36" t="n">
        <x:f>Assumptions!$B$10</x:f>
        <x:v>0</x:v>
      </x:c>
      <x:c r="P1177" s="54" t="n">
        <x:f>E1177*(1+N1177)</x:f>
        <x:v>1422.4149656800553</x:v>
      </x:c>
      <x:c r="Q1177" s="54" t="n">
        <x:f>P1177-E1177</x:f>
        <x:v>-214.58503431994473</x:v>
      </x:c>
      <x:c r="R1177" s="16" t="str">
        <x:v>Yes</x:v>
      </x:c>
      <x:c r="S1177" s="56" t="n">
        <x:v>14768</x:v>
      </x:c>
      <x:c r="T1177" s="56" t="n">
        <x:v>8605</x:v>
      </x:c>
      <x:c r="U1177" s="40" t="n">
        <x:f>E1177*Assumptions!$B$8</x:f>
        <x:v>1391.45</x:v>
      </x:c>
      <x:c r="V1177" s="40" t="n">
        <x:f>P1177*Assumptions!$B$8</x:f>
        <x:v>1209.0527208280469</x:v>
      </x:c>
      <x:c r="W1177" s="54" t="n">
        <x:f>V1177-U1177</x:f>
        <x:v>-182.3972791719532</x:v>
      </x:c>
      <x:c r="X1177" s="58" t="n">
        <x:f>IF(R1177="No","",W1177*S1177)</x:f>
        <x:v>-2693643.0188114047</x:v>
      </x:c>
      <x:c r="Y1177" s="58" t="n">
        <x:f>IF(R1177="No","",W1177*T1177*Assumptions!$B$9)</x:f>
        <x:v>-470858.57618239714</x:v>
      </x:c>
      <x:c r="Z1177" s="58" t="n">
        <x:f>IF(R1177="No","",X1177-Y1177)</x:f>
        <x:v>-2222784.4426290076</x:v>
      </x:c>
      <x:c r="AA1177" s="58" t="n">
        <x:f>IF(R1177="No","",MAX(0,-Z1177))</x:f>
        <x:v>2222784.4426290076</x:v>
      </x:c>
      <x:c r="AB1177" s="52" t="n">
        <x:f>IF(OR(R1177="No",U1177*S1177=0),"",AA1177/(U1177*S1177))</x:f>
        <x:v>0.10817030634762513</x:v>
      </x:c>
      <x:c r="AC1177" s="54" t="n">
        <x:f>IF(OR(R1177="No",S1177-T1177*Assumptions!$B$9&lt;=0),"",AA1177/(Assumptions!$B$8*(S1177-T1177*Assumptions!$B$9)))</x:f>
        <x:v>214.58503431994495</x:v>
      </x:c>
      <x:c r="AD1177" s="52" t="n">
        <x:f>IF(OR(R1177="No",U1177*S1177=0),"",AA1177/(U1177*S1177))</x:f>
        <x:v>0.10817030634762513</x:v>
      </x:c>
      <x:c r="AE1177" s="50" t="str">
        <x:f>IF(R1177="No","No finance data",IF(AB1177&gt;=10%,"Severe",IF(AB1177&gt;=5%,"High",IF(AB1177&gt;=2%,"Moderate","Low"))))</x:f>
        <x:v>Severe</x:v>
      </x:c>
      <x:c r="AF1177" s="60" t="n">
        <x:v>42.080191</x:v>
      </x:c>
      <x:c r="AG1177" s="60" t="n">
        <x:v>-78.481107</x:v>
      </x:c>
      <x:c r="AH1177" s="44" t="str">
        <x:v>Undergraduate tuition-contribution proxy only; not an audited total institutional budget.</x:v>
      </x:c>
    </x:row>
    <x:row r="1178">
      <x:c r="A1178" s="16" t="n">
        <x:v>195173</x:v>
      </x:c>
      <x:c r="B1178" s="16" t="str">
        <x:v>St Francis College</x:v>
      </x:c>
      <x:c r="C1178" s="16" t="str">
        <x:v>NY</x:v>
      </x:c>
      <x:c r="D1178" s="16" t="str">
        <x:v>Private nonprofit</x:v>
      </x:c>
      <x:c r="E1178" s="34" t="n">
        <x:v>2578</x:v>
      </x:c>
      <x:c r="F1178" s="21" t="n">
        <x:v>0.8525</x:v>
      </x:c>
      <x:c r="G1178" s="16" t="str">
        <x:v>Regional</x:v>
      </x:c>
      <x:c r="H1178" s="36" t="n">
        <x:f>IF(G1178="National",Assumptions!$B$11,IF(G1178="Statewide",Assumptions!$B$12,Assumptions!$B$13))</x:f>
        <x:v>0.85</x:v>
      </x:c>
      <x:c r="I1178" s="21" t="n">
        <x:v>-0.08678079290324192</x:v>
      </x:c>
      <x:c r="J1178" s="21" t="n">
        <x:v>-0.14585233360743566</x:v>
      </x:c>
      <x:c r="K1178" s="21" t="n">
        <x:v>-0.24979193142458445</x:v>
      </x:c>
      <x:c r="L1178" s="36" t="n">
        <x:f>IF(Assumptions!$B$4=2030,I1178,IF(Assumptions!$B$4=2035,J1178,K1178))</x:f>
        <x:v>-0.14585233360743566</x:v>
      </x:c>
      <x:c r="M1178" s="36" t="n">
        <x:f>Assumptions!$B$19</x:f>
        <x:v>-0.04739891965741583</x:v>
      </x:c>
      <x:c r="N1178" s="52" t="n">
        <x:f>H1178*L1178+(1-H1178)*M1178+O1178</x:f>
        <x:v>-0.13108432151493268</x:v>
      </x:c>
      <x:c r="O1178" s="36" t="n">
        <x:f>Assumptions!$B$10</x:f>
        <x:v>0</x:v>
      </x:c>
      <x:c r="P1178" s="54" t="n">
        <x:f>E1178*(1+N1178)</x:f>
        <x:v>2240.0646191345036</x:v>
      </x:c>
      <x:c r="Q1178" s="54" t="n">
        <x:f>P1178-E1178</x:f>
        <x:v>-337.9353808654964</x:v>
      </x:c>
      <x:c r="R1178" s="16" t="str">
        <x:v>Yes</x:v>
      </x:c>
      <x:c r="S1178" s="56" t="n">
        <x:v>12431</x:v>
      </x:c>
      <x:c r="T1178" s="56" t="n">
        <x:v>9489</x:v>
      </x:c>
      <x:c r="U1178" s="40" t="n">
        <x:f>E1178*Assumptions!$B$8</x:f>
        <x:v>2191.2999999999997</x:v>
      </x:c>
      <x:c r="V1178" s="40" t="n">
        <x:f>P1178*Assumptions!$B$8</x:f>
        <x:v>1904.054926264328</x:v>
      </x:c>
      <x:c r="W1178" s="54" t="n">
        <x:f>V1178-U1178</x:f>
        <x:v>-287.24507373567167</x:v>
      </x:c>
      <x:c r="X1178" s="58" t="n">
        <x:f>IF(R1178="No","",W1178*S1178)</x:f>
        <x:v>-3570743.5116081345</x:v>
      </x:c>
      <x:c r="Y1178" s="58" t="n">
        <x:f>IF(R1178="No","",W1178*T1178*Assumptions!$B$9)</x:f>
        <x:v>-817700.5514033365</x:v>
      </x:c>
      <x:c r="Z1178" s="58" t="n">
        <x:f>IF(R1178="No","",X1178-Y1178)</x:f>
        <x:v>-2753042.960204798</x:v>
      </x:c>
      <x:c r="AA1178" s="58" t="n">
        <x:f>IF(R1178="No","",MAX(0,-Z1178))</x:f>
        <x:v>2753042.960204798</x:v>
      </x:c>
      <x:c r="AB1178" s="52" t="n">
        <x:f>IF(OR(R1178="No",U1178*S1178=0),"",AA1178/(U1178*S1178))</x:f>
        <x:v>0.10106600134305913</x:v>
      </x:c>
      <x:c r="AC1178" s="54" t="n">
        <x:f>IF(OR(R1178="No",S1178-T1178*Assumptions!$B$9&lt;=0),"",AA1178/(Assumptions!$B$8*(S1178-T1178*Assumptions!$B$9)))</x:f>
        <x:v>337.9353808654961</x:v>
      </x:c>
      <x:c r="AD1178" s="52" t="n">
        <x:f>IF(OR(R1178="No",U1178*S1178=0),"",AA1178/(U1178*S1178))</x:f>
        <x:v>0.10106600134305913</x:v>
      </x:c>
      <x:c r="AE1178" s="50" t="str">
        <x:f>IF(R1178="No","No finance data",IF(AB1178&gt;=10%,"Severe",IF(AB1178&gt;=5%,"High",IF(AB1178&gt;=2%,"Moderate","Low"))))</x:f>
        <x:v>Severe</x:v>
      </x:c>
      <x:c r="AF1178" s="60" t="n">
        <x:v>40.690233</x:v>
      </x:c>
      <x:c r="AG1178" s="60" t="n">
        <x:v>-73.986559</x:v>
      </x:c>
      <x:c r="AH1178" s="44" t="str">
        <x:v>Undergraduate tuition-contribution proxy only; not an audited total institutional budget.</x:v>
      </x:c>
    </x:row>
    <x:row r="1179">
      <x:c r="A1179" s="16" t="n">
        <x:v>195809</x:v>
      </x:c>
      <x:c r="B1179" s="16" t="str">
        <x:v>St John's University-New York</x:v>
      </x:c>
      <x:c r="C1179" s="16" t="str">
        <x:v>NY</x:v>
      </x:c>
      <x:c r="D1179" s="16" t="str">
        <x:v>Private nonprofit</x:v>
      </x:c>
      <x:c r="E1179" s="34" t="n">
        <x:v>11244</x:v>
      </x:c>
      <x:c r="F1179" s="21" t="n">
        <x:v>0.8514</x:v>
      </x:c>
      <x:c r="G1179" s="16" t="str">
        <x:v>Statewide</x:v>
      </x:c>
      <x:c r="H1179" s="36" t="n">
        <x:f>IF(G1179="National",Assumptions!$B$11,IF(G1179="Statewide",Assumptions!$B$12,Assumptions!$B$13))</x:f>
        <x:v>0.6</x:v>
      </x:c>
      <x:c r="I1179" s="21" t="n">
        <x:v>-0.08678079290324192</x:v>
      </x:c>
      <x:c r="J1179" s="21" t="n">
        <x:v>-0.14585233360743566</x:v>
      </x:c>
      <x:c r="K1179" s="21" t="n">
        <x:v>-0.24979193142458445</x:v>
      </x:c>
      <x:c r="L1179" s="36" t="n">
        <x:f>IF(Assumptions!$B$4=2030,I1179,IF(Assumptions!$B$4=2035,J1179,K1179))</x:f>
        <x:v>-0.14585233360743566</x:v>
      </x:c>
      <x:c r="M1179" s="36" t="n">
        <x:f>Assumptions!$B$19</x:f>
        <x:v>-0.04739891965741583</x:v>
      </x:c>
      <x:c r="N1179" s="52" t="n">
        <x:f>H1179*L1179+(1-H1179)*M1179+O1179</x:f>
        <x:v>-0.10647096802742773</x:v>
      </x:c>
      <x:c r="O1179" s="36" t="n">
        <x:f>Assumptions!$B$10</x:f>
        <x:v>0</x:v>
      </x:c>
      <x:c r="P1179" s="54" t="n">
        <x:f>E1179*(1+N1179)</x:f>
        <x:v>10046.840435499602</x:v>
      </x:c>
      <x:c r="Q1179" s="54" t="n">
        <x:f>P1179-E1179</x:f>
        <x:v>-1197.1595645003981</x:v>
      </x:c>
      <x:c r="R1179" s="16" t="str">
        <x:v>Yes</x:v>
      </x:c>
      <x:c r="S1179" s="56" t="n">
        <x:v>21580</x:v>
      </x:c>
      <x:c r="T1179" s="56" t="n">
        <x:v>12630</x:v>
      </x:c>
      <x:c r="U1179" s="40" t="n">
        <x:f>E1179*Assumptions!$B$8</x:f>
        <x:v>9557.4</x:v>
      </x:c>
      <x:c r="V1179" s="40" t="n">
        <x:f>P1179*Assumptions!$B$8</x:f>
        <x:v>8539.814370174661</x:v>
      </x:c>
      <x:c r="W1179" s="54" t="n">
        <x:f>V1179-U1179</x:f>
        <x:v>-1017.5856298253384</x:v>
      </x:c>
      <x:c r="X1179" s="58" t="n">
        <x:f>IF(R1179="No","",W1179*S1179)</x:f>
        <x:v>-21959497.891630802</x:v>
      </x:c>
      <x:c r="Y1179" s="58" t="n">
        <x:f>IF(R1179="No","",W1179*T1179*Assumptions!$B$9)</x:f>
        <x:v>-3855631.951408207</x:v>
      </x:c>
      <x:c r="Z1179" s="58" t="n">
        <x:f>IF(R1179="No","",X1179-Y1179)</x:f>
        <x:v>-18103865.940222595</x:v>
      </x:c>
      <x:c r="AA1179" s="58" t="n">
        <x:f>IF(R1179="No","",MAX(0,-Z1179))</x:f>
        <x:v>18103865.940222595</x:v>
      </x:c>
      <x:c r="AB1179" s="52" t="n">
        <x:f>IF(OR(R1179="No",U1179*S1179=0),"",AA1179/(U1179*S1179))</x:f>
        <x:v>0.0877768763751607</x:v>
      </x:c>
      <x:c r="AC1179" s="54" t="n">
        <x:f>IF(OR(R1179="No",S1179-T1179*Assumptions!$B$9&lt;=0),"",AA1179/(Assumptions!$B$8*(S1179-T1179*Assumptions!$B$9)))</x:f>
        <x:v>1197.1595645003981</x:v>
      </x:c>
      <x:c r="AD1179" s="52" t="n">
        <x:f>IF(OR(R1179="No",U1179*S1179=0),"",AA1179/(U1179*S1179))</x:f>
        <x:v>0.0877768763751607</x:v>
      </x:c>
      <x:c r="AE1179" s="50" t="str">
        <x:f>IF(R1179="No","No finance data",IF(AB1179&gt;=10%,"Severe",IF(AB1179&gt;=5%,"High",IF(AB1179&gt;=2%,"Moderate","Low"))))</x:f>
        <x:v>High</x:v>
      </x:c>
      <x:c r="AF1179" s="60" t="n">
        <x:v>40.722523</x:v>
      </x:c>
      <x:c r="AG1179" s="60" t="n">
        <x:v>-73.796104</x:v>
      </x:c>
      <x:c r="AH1179" s="44" t="str">
        <x:v>Undergraduate tuition-contribution proxy only; not an audited total institutional budget.</x:v>
      </x:c>
    </x:row>
    <x:row r="1180">
      <x:c r="A1180" s="16" t="n">
        <x:v>195216</x:v>
      </x:c>
      <x:c r="B1180" s="16" t="str">
        <x:v>St Lawrence University</x:v>
      </x:c>
      <x:c r="C1180" s="16" t="str">
        <x:v>NY</x:v>
      </x:c>
      <x:c r="D1180" s="16" t="str">
        <x:v>Private nonprofit</x:v>
      </x:c>
      <x:c r="E1180" s="34" t="n">
        <x:v>2347</x:v>
      </x:c>
      <x:c r="F1180" s="21" t="n">
        <x:v>0.5655</x:v>
      </x:c>
      <x:c r="G1180" s="16" t="str">
        <x:v>Regional</x:v>
      </x:c>
      <x:c r="H1180" s="36" t="n">
        <x:f>IF(G1180="National",Assumptions!$B$11,IF(G1180="Statewide",Assumptions!$B$12,Assumptions!$B$13))</x:f>
        <x:v>0.85</x:v>
      </x:c>
      <x:c r="I1180" s="21" t="n">
        <x:v>-0.08678079290324192</x:v>
      </x:c>
      <x:c r="J1180" s="21" t="n">
        <x:v>-0.14585233360743566</x:v>
      </x:c>
      <x:c r="K1180" s="21" t="n">
        <x:v>-0.24979193142458445</x:v>
      </x:c>
      <x:c r="L1180" s="36" t="n">
        <x:f>IF(Assumptions!$B$4=2030,I1180,IF(Assumptions!$B$4=2035,J1180,K1180))</x:f>
        <x:v>-0.14585233360743566</x:v>
      </x:c>
      <x:c r="M1180" s="36" t="n">
        <x:f>Assumptions!$B$19</x:f>
        <x:v>-0.04739891965741583</x:v>
      </x:c>
      <x:c r="N1180" s="52" t="n">
        <x:f>H1180*L1180+(1-H1180)*M1180+O1180</x:f>
        <x:v>-0.13108432151493268</x:v>
      </x:c>
      <x:c r="O1180" s="36" t="n">
        <x:f>Assumptions!$B$10</x:f>
        <x:v>0</x:v>
      </x:c>
      <x:c r="P1180" s="54" t="n">
        <x:f>E1180*(1+N1180)</x:f>
        <x:v>2039.345097404453</x:v>
      </x:c>
      <x:c r="Q1180" s="54" t="n">
        <x:f>P1180-E1180</x:f>
        <x:v>-307.6549025955469</x:v>
      </x:c>
      <x:c r="R1180" s="16" t="str">
        <x:v>Yes</x:v>
      </x:c>
      <x:c r="S1180" s="56" t="n">
        <x:v>22622</x:v>
      </x:c>
      <x:c r="T1180" s="56" t="n">
        <x:v>16316</x:v>
      </x:c>
      <x:c r="U1180" s="40" t="n">
        <x:f>E1180*Assumptions!$B$8</x:f>
        <x:v>1994.95</x:v>
      </x:c>
      <x:c r="V1180" s="40" t="n">
        <x:f>P1180*Assumptions!$B$8</x:f>
        <x:v>1733.4433327937852</x:v>
      </x:c>
      <x:c r="W1180" s="54" t="n">
        <x:f>V1180-U1180</x:f>
        <x:v>-261.50666720621484</x:v>
      </x:c>
      <x:c r="X1180" s="58" t="n">
        <x:f>IF(R1180="No","",W1180*S1180)</x:f>
        <x:v>-5915803.825538992</x:v>
      </x:c>
      <x:c r="Y1180" s="58" t="n">
        <x:f>IF(R1180="No","",W1180*T1180*Assumptions!$B$9)</x:f>
        <x:v>-1280022.8346409805</x:v>
      </x:c>
      <x:c r="Z1180" s="58" t="n">
        <x:f>IF(R1180="No","",X1180-Y1180)</x:f>
        <x:v>-4635780.990898011</x:v>
      </x:c>
      <x:c r="AA1180" s="58" t="n">
        <x:f>IF(R1180="No","",MAX(0,-Z1180))</x:f>
        <x:v>4635780.990898011</x:v>
      </x:c>
      <x:c r="AB1180" s="52" t="n">
        <x:f>IF(OR(R1180="No",U1180*S1180=0),"",AA1180/(U1180*S1180))</x:f>
        <x:v>0.10272115570504436</x:v>
      </x:c>
      <x:c r="AC1180" s="54" t="n">
        <x:f>IF(OR(R1180="No",S1180-T1180*Assumptions!$B$9&lt;=0),"",AA1180/(Assumptions!$B$8*(S1180-T1180*Assumptions!$B$9)))</x:f>
        <x:v>307.65490259554684</x:v>
      </x:c>
      <x:c r="AD1180" s="52" t="n">
        <x:f>IF(OR(R1180="No",U1180*S1180=0),"",AA1180/(U1180*S1180))</x:f>
        <x:v>0.10272115570504436</x:v>
      </x:c>
      <x:c r="AE1180" s="50" t="str">
        <x:f>IF(R1180="No","No finance data",IF(AB1180&gt;=10%,"Severe",IF(AB1180&gt;=5%,"High",IF(AB1180&gt;=2%,"Moderate","Low"))))</x:f>
        <x:v>Severe</x:v>
      </x:c>
      <x:c r="AF1180" s="60" t="n">
        <x:v>44.589879</x:v>
      </x:c>
      <x:c r="AG1180" s="60" t="n">
        <x:v>-75.161343</x:v>
      </x:c>
      <x:c r="AH1180" s="44" t="str">
        <x:v>Undergraduate tuition-contribution proxy only; not an audited total institutional budget.</x:v>
      </x:c>
    </x:row>
    <x:row r="1181">
      <x:c r="A1181" s="16" t="n">
        <x:v>195544</x:v>
      </x:c>
      <x:c r="B1181" s="16" t="str">
        <x:v>St. Joseph's College-New York</x:v>
      </x:c>
      <x:c r="C1181" s="16" t="str">
        <x:v>NY</x:v>
      </x:c>
      <x:c r="D1181" s="16" t="str">
        <x:v>Private nonprofit</x:v>
      </x:c>
      <x:c r="E1181" s="34" t="n">
        <x:v>3833</x:v>
      </x:c>
      <x:c r="F1181" s="21" t="n">
        <x:v>0.7977</x:v>
      </x:c>
      <x:c r="G1181" s="16" t="str">
        <x:v>Regional</x:v>
      </x:c>
      <x:c r="H1181" s="36" t="n">
        <x:f>IF(G1181="National",Assumptions!$B$11,IF(G1181="Statewide",Assumptions!$B$12,Assumptions!$B$13))</x:f>
        <x:v>0.85</x:v>
      </x:c>
      <x:c r="I1181" s="21" t="n">
        <x:v>-0.08678079290324192</x:v>
      </x:c>
      <x:c r="J1181" s="21" t="n">
        <x:v>-0.14585233360743566</x:v>
      </x:c>
      <x:c r="K1181" s="21" t="n">
        <x:v>-0.24979193142458445</x:v>
      </x:c>
      <x:c r="L1181" s="36" t="n">
        <x:f>IF(Assumptions!$B$4=2030,I1181,IF(Assumptions!$B$4=2035,J1181,K1181))</x:f>
        <x:v>-0.14585233360743566</x:v>
      </x:c>
      <x:c r="M1181" s="36" t="n">
        <x:f>Assumptions!$B$19</x:f>
        <x:v>-0.04739891965741583</x:v>
      </x:c>
      <x:c r="N1181" s="52" t="n">
        <x:f>H1181*L1181+(1-H1181)*M1181+O1181</x:f>
        <x:v>-0.13108432151493268</x:v>
      </x:c>
      <x:c r="O1181" s="36" t="n">
        <x:f>Assumptions!$B$10</x:f>
        <x:v>0</x:v>
      </x:c>
      <x:c r="P1181" s="54" t="n">
        <x:f>E1181*(1+N1181)</x:f>
        <x:v>3330.5537956332632</x:v>
      </x:c>
      <x:c r="Q1181" s="54" t="n">
        <x:f>P1181-E1181</x:f>
        <x:v>-502.44620436673677</x:v>
      </x:c>
      <x:c r="R1181" s="16" t="str">
        <x:v>Yes</x:v>
      </x:c>
      <x:c r="S1181" s="56" t="n">
        <x:v>16907</x:v>
      </x:c>
      <x:c r="T1181" s="56" t="n">
        <x:v>9081</x:v>
      </x:c>
      <x:c r="U1181" s="40" t="n">
        <x:f>E1181*Assumptions!$B$8</x:f>
        <x:v>3258.0499999999997</x:v>
      </x:c>
      <x:c r="V1181" s="40" t="n">
        <x:f>P1181*Assumptions!$B$8</x:f>
        <x:v>2830.9707262882735</x:v>
      </x:c>
      <x:c r="W1181" s="54" t="n">
        <x:f>V1181-U1181</x:f>
        <x:v>-427.0792737117263</x:v>
      </x:c>
      <x:c r="X1181" s="58" t="n">
        <x:f>IF(R1181="No","",W1181*S1181)</x:f>
        <x:v>-7220629.280644156</x:v>
      </x:c>
      <x:c r="Y1181" s="58" t="n">
        <x:f>IF(R1181="No","",W1181*T1181*Assumptions!$B$9)</x:f>
        <x:v>-1163492.0653728559</x:v>
      </x:c>
      <x:c r="Z1181" s="58" t="n">
        <x:f>IF(R1181="No","",X1181-Y1181)</x:f>
        <x:v>-6057137.2152713</x:v>
      </x:c>
      <x:c r="AA1181" s="58" t="n">
        <x:f>IF(R1181="No","",MAX(0,-Z1181))</x:f>
        <x:v>6057137.2152713</x:v>
      </x:c>
      <x:c r="AB1181" s="52" t="n">
        <x:f>IF(OR(R1181="No",U1181*S1181=0),"",AA1181/(U1181*S1181))</x:f>
        <x:v>0.10996212259713936</x:v>
      </x:c>
      <x:c r="AC1181" s="54" t="n">
        <x:f>IF(OR(R1181="No",S1181-T1181*Assumptions!$B$9&lt;=0),"",AA1181/(Assumptions!$B$8*(S1181-T1181*Assumptions!$B$9)))</x:f>
        <x:v>502.44620436673677</x:v>
      </x:c>
      <x:c r="AD1181" s="52" t="n">
        <x:f>IF(OR(R1181="No",U1181*S1181=0),"",AA1181/(U1181*S1181))</x:f>
        <x:v>0.10996212259713936</x:v>
      </x:c>
      <x:c r="AE1181" s="50" t="str">
        <x:f>IF(R1181="No","No finance data",IF(AB1181&gt;=10%,"Severe",IF(AB1181&gt;=5%,"High",IF(AB1181&gt;=2%,"Moderate","Low"))))</x:f>
        <x:v>Severe</x:v>
      </x:c>
      <x:c r="AF1181" s="60" t="n">
        <x:v>40.690418</x:v>
      </x:c>
      <x:c r="AG1181" s="60" t="n">
        <x:v>-73.967664</x:v>
      </x:c>
      <x:c r="AH1181" s="44" t="str">
        <x:v>Undergraduate tuition-contribution proxy only; not an audited total institutional budget.</x:v>
      </x:c>
    </x:row>
    <x:row r="1182">
      <x:c r="A1182" s="16" t="n">
        <x:v>195243</x:v>
      </x:c>
      <x:c r="B1182" s="16" t="str">
        <x:v>St. Thomas Aquinas College</x:v>
      </x:c>
      <x:c r="C1182" s="16" t="str">
        <x:v>NY</x:v>
      </x:c>
      <x:c r="D1182" s="16" t="str">
        <x:v>Private nonprofit</x:v>
      </x:c>
      <x:c r="E1182" s="34" t="n">
        <x:v>1170</x:v>
      </x:c>
      <x:c r="F1182" s="21" t="n">
        <x:v>0.892</x:v>
      </x:c>
      <x:c r="G1182" s="16" t="str">
        <x:v>Regional</x:v>
      </x:c>
      <x:c r="H1182" s="36" t="n">
        <x:f>IF(G1182="National",Assumptions!$B$11,IF(G1182="Statewide",Assumptions!$B$12,Assumptions!$B$13))</x:f>
        <x:v>0.85</x:v>
      </x:c>
      <x:c r="I1182" s="21" t="n">
        <x:v>-0.08678079290324192</x:v>
      </x:c>
      <x:c r="J1182" s="21" t="n">
        <x:v>-0.14585233360743566</x:v>
      </x:c>
      <x:c r="K1182" s="21" t="n">
        <x:v>-0.24979193142458445</x:v>
      </x:c>
      <x:c r="L1182" s="36" t="n">
        <x:f>IF(Assumptions!$B$4=2030,I1182,IF(Assumptions!$B$4=2035,J1182,K1182))</x:f>
        <x:v>-0.14585233360743566</x:v>
      </x:c>
      <x:c r="M1182" s="36" t="n">
        <x:f>Assumptions!$B$19</x:f>
        <x:v>-0.04739891965741583</x:v>
      </x:c>
      <x:c r="N1182" s="52" t="n">
        <x:f>H1182*L1182+(1-H1182)*M1182+O1182</x:f>
        <x:v>-0.13108432151493268</x:v>
      </x:c>
      <x:c r="O1182" s="36" t="n">
        <x:f>Assumptions!$B$10</x:f>
        <x:v>0</x:v>
      </x:c>
      <x:c r="P1182" s="54" t="n">
        <x:f>E1182*(1+N1182)</x:f>
        <x:v>1016.6313438275288</x:v>
      </x:c>
      <x:c r="Q1182" s="54" t="n">
        <x:f>P1182-E1182</x:f>
        <x:v>-153.36865617247122</x:v>
      </x:c>
      <x:c r="R1182" s="16" t="str">
        <x:v>Yes</x:v>
      </x:c>
      <x:c r="S1182" s="56" t="n">
        <x:v>13916</x:v>
      </x:c>
      <x:c r="T1182" s="56" t="n">
        <x:v>8910</x:v>
      </x:c>
      <x:c r="U1182" s="40" t="n">
        <x:f>E1182*Assumptions!$B$8</x:f>
        <x:v>994.5</x:v>
      </x:c>
      <x:c r="V1182" s="40" t="n">
        <x:f>P1182*Assumptions!$B$8</x:f>
        <x:v>864.1366422533995</x:v>
      </x:c>
      <x:c r="W1182" s="54" t="n">
        <x:f>V1182-U1182</x:f>
        <x:v>-130.3633577466005</x:v>
      </x:c>
      <x:c r="X1182" s="58" t="n">
        <x:f>IF(R1182="No","",W1182*S1182)</x:f>
        <x:v>-1814136.4864016927</x:v>
      </x:c>
      <x:c r="Y1182" s="58" t="n">
        <x:f>IF(R1182="No","",W1182*T1182*Assumptions!$B$9)</x:f>
        <x:v>-348461.25525666313</x:v>
      </x:c>
      <x:c r="Z1182" s="58" t="n">
        <x:f>IF(R1182="No","",X1182-Y1182)</x:f>
        <x:v>-1465675.2311450297</x:v>
      </x:c>
      <x:c r="AA1182" s="58" t="n">
        <x:f>IF(R1182="No","",MAX(0,-Z1182))</x:f>
        <x:v>1465675.2311450297</x:v>
      </x:c>
      <x:c r="AB1182" s="52" t="n">
        <x:f>IF(OR(R1182="No",U1182*S1182=0),"",AA1182/(U1182*S1182))</x:f>
        <x:v>0.105905506380597</x:v>
      </x:c>
      <x:c r="AC1182" s="54" t="n">
        <x:f>IF(OR(R1182="No",S1182-T1182*Assumptions!$B$9&lt;=0),"",AA1182/(Assumptions!$B$8*(S1182-T1182*Assumptions!$B$9)))</x:f>
        <x:v>153.36865617247122</x:v>
      </x:c>
      <x:c r="AD1182" s="52" t="n">
        <x:f>IF(OR(R1182="No",U1182*S1182=0),"",AA1182/(U1182*S1182))</x:f>
        <x:v>0.105905506380597</x:v>
      </x:c>
      <x:c r="AE1182" s="50" t="str">
        <x:f>IF(R1182="No","No finance data",IF(AB1182&gt;=10%,"Severe",IF(AB1182&gt;=5%,"High",IF(AB1182&gt;=2%,"Moderate","Low"))))</x:f>
        <x:v>Severe</x:v>
      </x:c>
      <x:c r="AF1182" s="60" t="n">
        <x:v>41.041576</x:v>
      </x:c>
      <x:c r="AG1182" s="60" t="n">
        <x:v>-73.936799</x:v>
      </x:c>
      <x:c r="AH1182" s="44" t="str">
        <x:v>Undergraduate tuition-contribution proxy only; not an audited total institutional budget.</x:v>
      </x:c>
    </x:row>
    <x:row r="1183">
      <x:c r="A1183" s="16" t="n">
        <x:v>196176</x:v>
      </x:c>
      <x:c r="B1183" s="16" t="str">
        <x:v>State University of New York at New Paltz</x:v>
      </x:c>
      <x:c r="C1183" s="16" t="str">
        <x:v>NY</x:v>
      </x:c>
      <x:c r="D1183" s="16" t="str">
        <x:v>Public</x:v>
      </x:c>
      <x:c r="E1183" s="34" t="n">
        <x:v>6498</x:v>
      </x:c>
      <x:c r="F1183" s="21" t="n">
        <x:v>0.4614</x:v>
      </x:c>
      <x:c r="G1183" s="16" t="str">
        <x:v>Statewide</x:v>
      </x:c>
      <x:c r="H1183" s="36" t="n">
        <x:f>IF(G1183="National",Assumptions!$B$11,IF(G1183="Statewide",Assumptions!$B$12,Assumptions!$B$13))</x:f>
        <x:v>0.6</x:v>
      </x:c>
      <x:c r="I1183" s="21" t="n">
        <x:v>-0.08678079290324192</x:v>
      </x:c>
      <x:c r="J1183" s="21" t="n">
        <x:v>-0.14585233360743566</x:v>
      </x:c>
      <x:c r="K1183" s="21" t="n">
        <x:v>-0.24979193142458445</x:v>
      </x:c>
      <x:c r="L1183" s="36" t="n">
        <x:f>IF(Assumptions!$B$4=2030,I1183,IF(Assumptions!$B$4=2035,J1183,K1183))</x:f>
        <x:v>-0.14585233360743566</x:v>
      </x:c>
      <x:c r="M1183" s="36" t="n">
        <x:f>Assumptions!$B$19</x:f>
        <x:v>-0.04739891965741583</x:v>
      </x:c>
      <x:c r="N1183" s="52" t="n">
        <x:f>H1183*L1183+(1-H1183)*M1183+O1183</x:f>
        <x:v>-0.10647096802742773</x:v>
      </x:c>
      <x:c r="O1183" s="36" t="n">
        <x:f>Assumptions!$B$10</x:f>
        <x:v>0</x:v>
      </x:c>
      <x:c r="P1183" s="54" t="n">
        <x:f>E1183*(1+N1183)</x:f>
        <x:v>5806.151649757775</x:v>
      </x:c>
      <x:c r="Q1183" s="54" t="n">
        <x:f>P1183-E1183</x:f>
        <x:v>-691.848350242225</x:v>
      </x:c>
      <x:c r="R1183" s="16" t="str">
        <x:v>Yes</x:v>
      </x:c>
      <x:c r="S1183" s="56" t="n">
        <x:v>5307</x:v>
      </x:c>
      <x:c r="T1183" s="56" t="n">
        <x:v>12048</x:v>
      </x:c>
      <x:c r="U1183" s="40" t="n">
        <x:f>E1183*Assumptions!$B$8</x:f>
        <x:v>5523.3</x:v>
      </x:c>
      <x:c r="V1183" s="40" t="n">
        <x:f>P1183*Assumptions!$B$8</x:f>
        <x:v>4935.228902294109</x:v>
      </x:c>
      <x:c r="W1183" s="54" t="n">
        <x:f>V1183-U1183</x:f>
        <x:v>-588.0710977058916</x:v>
      </x:c>
      <x:c r="X1183" s="58" t="n">
        <x:f>IF(R1183="No","",W1183*S1183)</x:f>
        <x:v>-3120893.3155251667</x:v>
      </x:c>
      <x:c r="Y1183" s="58" t="n">
        <x:f>IF(R1183="No","",W1183*T1183*Assumptions!$B$9)</x:f>
        <x:v>-2125524.1755481744</x:v>
      </x:c>
      <x:c r="Z1183" s="58" t="n">
        <x:f>IF(R1183="No","",X1183-Y1183)</x:f>
        <x:v>-995369.1399769923</x:v>
      </x:c>
      <x:c r="AA1183" s="58" t="n">
        <x:f>IF(R1183="No","",MAX(0,-Z1183))</x:f>
        <x:v>995369.1399769923</x:v>
      </x:c>
      <x:c r="AB1183" s="52" t="n">
        <x:f>IF(OR(R1183="No",U1183*S1183=0),"",AA1183/(U1183*S1183))</x:f>
        <x:v>0.033957558033394425</x:v>
      </x:c>
      <x:c r="AC1183" s="54" t="n">
        <x:f>IF(OR(R1183="No",S1183-T1183*Assumptions!$B$9&lt;=0),"",AA1183/(Assumptions!$B$8*(S1183-T1183*Assumptions!$B$9)))</x:f>
        <x:v>691.8483502422256</x:v>
      </x:c>
      <x:c r="AD1183" s="52" t="n">
        <x:f>IF(OR(R1183="No",U1183*S1183=0),"",AA1183/(U1183*S1183))</x:f>
        <x:v>0.033957558033394425</x:v>
      </x:c>
      <x:c r="AE1183" s="50" t="str">
        <x:f>IF(R1183="No","No finance data",IF(AB1183&gt;=10%,"Severe",IF(AB1183&gt;=5%,"High",IF(AB1183&gt;=2%,"Moderate","Low"))))</x:f>
        <x:v>Moderate</x:v>
      </x:c>
      <x:c r="AF1183" s="60" t="n">
        <x:v>41.740936</x:v>
      </x:c>
      <x:c r="AG1183" s="60" t="n">
        <x:v>-74.082188</x:v>
      </x:c>
      <x:c r="AH1183" s="44" t="str">
        <x:v>Undergraduate tuition-contribution proxy only; not an audited total institutional budget.</x:v>
      </x:c>
    </x:row>
    <x:row r="1184">
      <x:c r="A1184" s="16" t="n">
        <x:v>196097</x:v>
      </x:c>
      <x:c r="B1184" s="16" t="str">
        <x:v>Stony Brook University</x:v>
      </x:c>
      <x:c r="C1184" s="16" t="str">
        <x:v>NY</x:v>
      </x:c>
      <x:c r="D1184" s="16" t="str">
        <x:v>Public</x:v>
      </x:c>
      <x:c r="E1184" s="34" t="n">
        <x:v>16583</x:v>
      </x:c>
      <x:c r="F1184" s="21" t="n">
        <x:v>0.4806</x:v>
      </x:c>
      <x:c r="G1184" s="16" t="str">
        <x:v>Statewide</x:v>
      </x:c>
      <x:c r="H1184" s="36" t="n">
        <x:f>IF(G1184="National",Assumptions!$B$11,IF(G1184="Statewide",Assumptions!$B$12,Assumptions!$B$13))</x:f>
        <x:v>0.6</x:v>
      </x:c>
      <x:c r="I1184" s="21" t="n">
        <x:v>-0.08678079290324192</x:v>
      </x:c>
      <x:c r="J1184" s="21" t="n">
        <x:v>-0.14585233360743566</x:v>
      </x:c>
      <x:c r="K1184" s="21" t="n">
        <x:v>-0.24979193142458445</x:v>
      </x:c>
      <x:c r="L1184" s="36" t="n">
        <x:f>IF(Assumptions!$B$4=2030,I1184,IF(Assumptions!$B$4=2035,J1184,K1184))</x:f>
        <x:v>-0.14585233360743566</x:v>
      </x:c>
      <x:c r="M1184" s="36" t="n">
        <x:f>Assumptions!$B$19</x:f>
        <x:v>-0.04739891965741583</x:v>
      </x:c>
      <x:c r="N1184" s="52" t="n">
        <x:f>H1184*L1184+(1-H1184)*M1184+O1184</x:f>
        <x:v>-0.10647096802742773</x:v>
      </x:c>
      <x:c r="O1184" s="36" t="n">
        <x:f>Assumptions!$B$10</x:f>
        <x:v>0</x:v>
      </x:c>
      <x:c r="P1184" s="54" t="n">
        <x:f>E1184*(1+N1184)</x:f>
        <x:v>14817.391937201166</x:v>
      </x:c>
      <x:c r="Q1184" s="54" t="n">
        <x:f>P1184-E1184</x:f>
        <x:v>-1765.608062798834</x:v>
      </x:c>
      <x:c r="R1184" s="16" t="str">
        <x:v>Yes</x:v>
      </x:c>
      <x:c r="S1184" s="56" t="n">
        <x:v>9750</x:v>
      </x:c>
      <x:c r="T1184" s="56" t="n">
        <x:v>18659</x:v>
      </x:c>
      <x:c r="U1184" s="40" t="n">
        <x:f>E1184*Assumptions!$B$8</x:f>
        <x:v>14095.55</x:v>
      </x:c>
      <x:c r="V1184" s="40" t="n">
        <x:f>P1184*Assumptions!$B$8</x:f>
        <x:v>12594.78314662099</x:v>
      </x:c>
      <x:c r="W1184" s="54" t="n">
        <x:f>V1184-U1184</x:f>
        <x:v>-1500.7668533790093</x:v>
      </x:c>
      <x:c r="X1184" s="58" t="n">
        <x:f>IF(R1184="No","",W1184*S1184)</x:f>
        <x:v>-14632476.82044534</x:v>
      </x:c>
      <x:c r="Y1184" s="58" t="n">
        <x:f>IF(R1184="No","",W1184*T1184*Assumptions!$B$9)</x:f>
        <x:v>-8400842.61515968</x:v>
      </x:c>
      <x:c r="Z1184" s="58" t="n">
        <x:f>IF(R1184="No","",X1184-Y1184)</x:f>
        <x:v>-6231634.205285661</x:v>
      </x:c>
      <x:c r="AA1184" s="58" t="n">
        <x:f>IF(R1184="No","",MAX(0,-Z1184))</x:f>
        <x:v>6231634.205285661</x:v>
      </x:c>
      <x:c r="AB1184" s="52" t="n">
        <x:f>IF(OR(R1184="No",U1184*S1184=0),"",AA1184/(U1184*S1184))</x:f>
        <x:v>0.045343528260542394</x:v>
      </x:c>
      <x:c r="AC1184" s="54" t="n">
        <x:f>IF(OR(R1184="No",S1184-T1184*Assumptions!$B$9&lt;=0),"",AA1184/(Assumptions!$B$8*(S1184-T1184*Assumptions!$B$9)))</x:f>
        <x:v>1765.6080627988347</x:v>
      </x:c>
      <x:c r="AD1184" s="52" t="n">
        <x:f>IF(OR(R1184="No",U1184*S1184=0),"",AA1184/(U1184*S1184))</x:f>
        <x:v>0.045343528260542394</x:v>
      </x:c>
      <x:c r="AE1184" s="50" t="str">
        <x:f>IF(R1184="No","No finance data",IF(AB1184&gt;=10%,"Severe",IF(AB1184&gt;=5%,"High",IF(AB1184&gt;=2%,"Moderate","Low"))))</x:f>
        <x:v>Moderate</x:v>
      </x:c>
      <x:c r="AF1184" s="60" t="n">
        <x:v>40.91476</x:v>
      </x:c>
      <x:c r="AG1184" s="60" t="n">
        <x:v>-73.12046</x:v>
      </x:c>
      <x:c r="AH1184" s="44" t="str">
        <x:v>Undergraduate tuition-contribution proxy only; not an audited total institutional budget.</x:v>
      </x:c>
    </x:row>
    <x:row r="1185">
      <x:c r="A1185" s="16" t="n">
        <x:v>196413</x:v>
      </x:c>
      <x:c r="B1185" s="16" t="str">
        <x:v>Syracuse University</x:v>
      </x:c>
      <x:c r="C1185" s="16" t="str">
        <x:v>NY</x:v>
      </x:c>
      <x:c r="D1185" s="16" t="str">
        <x:v>Private nonprofit</x:v>
      </x:c>
      <x:c r="E1185" s="34" t="n">
        <x:v>14620</x:v>
      </x:c>
      <x:c r="F1185" s="21" t="n">
        <x:v>0.5919</x:v>
      </x:c>
      <x:c r="G1185" s="16" t="str">
        <x:v>Statewide</x:v>
      </x:c>
      <x:c r="H1185" s="36" t="n">
        <x:f>IF(G1185="National",Assumptions!$B$11,IF(G1185="Statewide",Assumptions!$B$12,Assumptions!$B$13))</x:f>
        <x:v>0.6</x:v>
      </x:c>
      <x:c r="I1185" s="21" t="n">
        <x:v>-0.08678079290324192</x:v>
      </x:c>
      <x:c r="J1185" s="21" t="n">
        <x:v>-0.14585233360743566</x:v>
      </x:c>
      <x:c r="K1185" s="21" t="n">
        <x:v>-0.24979193142458445</x:v>
      </x:c>
      <x:c r="L1185" s="36" t="n">
        <x:f>IF(Assumptions!$B$4=2030,I1185,IF(Assumptions!$B$4=2035,J1185,K1185))</x:f>
        <x:v>-0.14585233360743566</x:v>
      </x:c>
      <x:c r="M1185" s="36" t="n">
        <x:f>Assumptions!$B$19</x:f>
        <x:v>-0.04739891965741583</x:v>
      </x:c>
      <x:c r="N1185" s="52" t="n">
        <x:f>H1185*L1185+(1-H1185)*M1185+O1185</x:f>
        <x:v>-0.10647096802742773</x:v>
      </x:c>
      <x:c r="O1185" s="36" t="n">
        <x:f>Assumptions!$B$10</x:f>
        <x:v>0</x:v>
      </x:c>
      <x:c r="P1185" s="54" t="n">
        <x:f>E1185*(1+N1185)</x:f>
        <x:v>13063.394447439006</x:v>
      </x:c>
      <x:c r="Q1185" s="54" t="n">
        <x:f>P1185-E1185</x:f>
        <x:v>-1556.6055525609936</x:v>
      </x:c>
      <x:c r="R1185" s="16" t="str">
        <x:v>Yes</x:v>
      </x:c>
      <x:c r="S1185" s="56" t="n">
        <x:v>28796</x:v>
      </x:c>
      <x:c r="T1185" s="56" t="n">
        <x:v>17299</x:v>
      </x:c>
      <x:c r="U1185" s="40" t="n">
        <x:f>E1185*Assumptions!$B$8</x:f>
        <x:v>12427</x:v>
      </x:c>
      <x:c r="V1185" s="40" t="n">
        <x:f>P1185*Assumptions!$B$8</x:f>
        <x:v>11103.885280323155</x:v>
      </x:c>
      <x:c r="W1185" s="54" t="n">
        <x:f>V1185-U1185</x:f>
        <x:v>-1323.1147196768452</x:v>
      </x:c>
      <x:c r="X1185" s="58" t="n">
        <x:f>IF(R1185="No","",W1185*S1185)</x:f>
        <x:v>-38100411.46781443</x:v>
      </x:c>
      <x:c r="Y1185" s="58" t="n">
        <x:f>IF(R1185="No","",W1185*T1185*Assumptions!$B$9)</x:f>
        <x:v>-6866568.460706923</x:v>
      </x:c>
      <x:c r="Z1185" s="58" t="n">
        <x:f>IF(R1185="No","",X1185-Y1185)</x:f>
        <x:v>-31233843.007107507</x:v>
      </x:c>
      <x:c r="AA1185" s="58" t="n">
        <x:f>IF(R1185="No","",MAX(0,-Z1185))</x:f>
        <x:v>31233843.007107507</x:v>
      </x:c>
      <x:c r="AB1185" s="52" t="n">
        <x:f>IF(OR(R1185="No",U1185*S1185=0),"",AA1185/(U1185*S1185))</x:f>
        <x:v>0.08728245633233325</x:v>
      </x:c>
      <x:c r="AC1185" s="54" t="n">
        <x:f>IF(OR(R1185="No",S1185-T1185*Assumptions!$B$9&lt;=0),"",AA1185/(Assumptions!$B$8*(S1185-T1185*Assumptions!$B$9)))</x:f>
        <x:v>1556.6055525609943</x:v>
      </x:c>
      <x:c r="AD1185" s="52" t="n">
        <x:f>IF(OR(R1185="No",U1185*S1185=0),"",AA1185/(U1185*S1185))</x:f>
        <x:v>0.08728245633233325</x:v>
      </x:c>
      <x:c r="AE1185" s="50" t="str">
        <x:f>IF(R1185="No","No finance data",IF(AB1185&gt;=10%,"Severe",IF(AB1185&gt;=5%,"High",IF(AB1185&gt;=2%,"Moderate","Low"))))</x:f>
        <x:v>High</x:v>
      </x:c>
      <x:c r="AF1185" s="60" t="n">
        <x:v>43.036644</x:v>
      </x:c>
      <x:c r="AG1185" s="60" t="n">
        <x:v>-76.133989</x:v>
      </x:c>
      <x:c r="AH1185" s="44" t="str">
        <x:v>Undergraduate tuition-contribution proxy only; not an audited total institutional budget.</x:v>
      </x:c>
    </x:row>
    <x:row r="1186">
      <x:c r="A1186" s="16" t="n">
        <x:v>196440</x:v>
      </x:c>
      <x:c r="B1186" s="16" t="str">
        <x:v>Talmudical Institute of Upstate New York</x:v>
      </x:c>
      <x:c r="C1186" s="16" t="str">
        <x:v>NY</x:v>
      </x:c>
      <x:c r="D1186" s="16" t="str">
        <x:v>Private nonprofit</x:v>
      </x:c>
      <x:c r="E1186" s="34" t="n">
        <x:v>9</x:v>
      </x:c>
      <x:c r="F1186" s="21"/>
      <x:c r="G1186" s="16" t="str">
        <x:v>Regional</x:v>
      </x:c>
      <x:c r="H1186" s="36" t="n">
        <x:f>IF(G1186="National",Assumptions!$B$11,IF(G1186="Statewide",Assumptions!$B$12,Assumptions!$B$13))</x:f>
        <x:v>0.85</x:v>
      </x:c>
      <x:c r="I1186" s="21" t="n">
        <x:v>-0.08678079290324192</x:v>
      </x:c>
      <x:c r="J1186" s="21" t="n">
        <x:v>-0.14585233360743566</x:v>
      </x:c>
      <x:c r="K1186" s="21" t="n">
        <x:v>-0.24979193142458445</x:v>
      </x:c>
      <x:c r="L1186" s="36" t="n">
        <x:f>IF(Assumptions!$B$4=2030,I1186,IF(Assumptions!$B$4=2035,J1186,K1186))</x:f>
        <x:v>-0.14585233360743566</x:v>
      </x:c>
      <x:c r="M1186" s="36" t="n">
        <x:f>Assumptions!$B$19</x:f>
        <x:v>-0.04739891965741583</x:v>
      </x:c>
      <x:c r="N1186" s="52" t="n">
        <x:f>H1186*L1186+(1-H1186)*M1186+O1186</x:f>
        <x:v>-0.13108432151493268</x:v>
      </x:c>
      <x:c r="O1186" s="36" t="n">
        <x:f>Assumptions!$B$10</x:f>
        <x:v>0</x:v>
      </x:c>
      <x:c r="P1186" s="54" t="n">
        <x:f>E1186*(1+N1186)</x:f>
        <x:v>7.820241106365606</x:v>
      </x:c>
      <x:c r="Q1186" s="54" t="n">
        <x:f>P1186-E1186</x:f>
        <x:v>-1.1797588936343937</x:v>
      </x:c>
      <x:c r="R1186" s="16" t="str">
        <x:v>No</x:v>
      </x:c>
      <x:c r="S1186" s="56"/>
      <x:c r="T1186" s="56"/>
      <x:c r="U1186" s="40" t="n">
        <x:f>E1186*Assumptions!$B$8</x:f>
        <x:v>7.6499999999999995</x:v>
      </x:c>
      <x:c r="V1186" s="40" t="n">
        <x:f>P1186*Assumptions!$B$8</x:f>
        <x:v>6.647204940410766</x:v>
      </x:c>
      <x:c r="W1186" s="54" t="n">
        <x:f>V1186-U1186</x:f>
        <x:v>-1.0027950595892339</x:v>
      </x:c>
      <x:c r="X1186" s="58" t="str">
        <x:f>IF(R1186="No","",W1186*S1186)</x:f>
      </x:c>
      <x:c r="Y1186" s="58" t="str">
        <x:f>IF(R1186="No","",W1186*T1186*Assumptions!$B$9)</x:f>
      </x:c>
      <x:c r="Z1186" s="58" t="str">
        <x:f>IF(R1186="No","",X1186-Y1186)</x:f>
      </x:c>
      <x:c r="AA1186" s="58" t="str">
        <x:f>IF(R1186="No","",MAX(0,-Z1186))</x:f>
      </x:c>
      <x:c r="AB1186" s="52" t="str">
        <x:f>IF(OR(R1186="No",U1186*S1186=0),"",AA1186/(U1186*S1186))</x:f>
      </x:c>
      <x:c r="AC1186" s="54" t="str">
        <x:f>IF(OR(R1186="No",S1186-T1186*Assumptions!$B$9&lt;=0),"",AA1186/(Assumptions!$B$8*(S1186-T1186*Assumptions!$B$9)))</x:f>
      </x:c>
      <x:c r="AD1186" s="52" t="str">
        <x:f>IF(OR(R1186="No",U1186*S1186=0),"",AA1186/(U1186*S1186))</x:f>
      </x:c>
      <x:c r="AE1186" s="50" t="str">
        <x:f>IF(R1186="No","No finance data",IF(AB1186&gt;=10%,"Severe",IF(AB1186&gt;=5%,"High",IF(AB1186&gt;=2%,"Moderate","Low"))))</x:f>
        <x:v>No finance data</x:v>
      </x:c>
      <x:c r="AF1186" s="60"/>
      <x:c r="AG1186" s="60"/>
      <x:c r="AH1186" s="44" t="str">
        <x:v>Undergraduate tuition-contribution proxy only; not an audited total institutional budget.</x:v>
      </x:c>
    </x:row>
    <x:row r="1187">
      <x:c r="A1187" s="16" t="n">
        <x:v>196431</x:v>
      </x:c>
      <x:c r="B1187" s="16" t="str">
        <x:v>Talmudical Seminary Oholei Torah</x:v>
      </x:c>
      <x:c r="C1187" s="16" t="str">
        <x:v>NY</x:v>
      </x:c>
      <x:c r="D1187" s="16" t="str">
        <x:v>Private nonprofit</x:v>
      </x:c>
      <x:c r="E1187" s="34" t="n">
        <x:v>349</x:v>
      </x:c>
      <x:c r="F1187" s="21"/>
      <x:c r="G1187" s="16" t="str">
        <x:v>Regional</x:v>
      </x:c>
      <x:c r="H1187" s="36" t="n">
        <x:f>IF(G1187="National",Assumptions!$B$11,IF(G1187="Statewide",Assumptions!$B$12,Assumptions!$B$13))</x:f>
        <x:v>0.85</x:v>
      </x:c>
      <x:c r="I1187" s="21" t="n">
        <x:v>-0.08678079290324192</x:v>
      </x:c>
      <x:c r="J1187" s="21" t="n">
        <x:v>-0.14585233360743566</x:v>
      </x:c>
      <x:c r="K1187" s="21" t="n">
        <x:v>-0.24979193142458445</x:v>
      </x:c>
      <x:c r="L1187" s="36" t="n">
        <x:f>IF(Assumptions!$B$4=2030,I1187,IF(Assumptions!$B$4=2035,J1187,K1187))</x:f>
        <x:v>-0.14585233360743566</x:v>
      </x:c>
      <x:c r="M1187" s="36" t="n">
        <x:f>Assumptions!$B$19</x:f>
        <x:v>-0.04739891965741583</x:v>
      </x:c>
      <x:c r="N1187" s="52" t="n">
        <x:f>H1187*L1187+(1-H1187)*M1187+O1187</x:f>
        <x:v>-0.13108432151493268</x:v>
      </x:c>
      <x:c r="O1187" s="36" t="n">
        <x:f>Assumptions!$B$10</x:f>
        <x:v>0</x:v>
      </x:c>
      <x:c r="P1187" s="54" t="n">
        <x:f>E1187*(1+N1187)</x:f>
        <x:v>303.2515717912885</x:v>
      </x:c>
      <x:c r="Q1187" s="54" t="n">
        <x:f>P1187-E1187</x:f>
        <x:v>-45.748428208711516</x:v>
      </x:c>
      <x:c r="R1187" s="16" t="str">
        <x:v>No</x:v>
      </x:c>
      <x:c r="S1187" s="56"/>
      <x:c r="T1187" s="56"/>
      <x:c r="U1187" s="40" t="n">
        <x:f>E1187*Assumptions!$B$8</x:f>
        <x:v>296.65</x:v>
      </x:c>
      <x:c r="V1187" s="40" t="n">
        <x:f>P1187*Assumptions!$B$8</x:f>
        <x:v>257.7638360225952</x:v>
      </x:c>
      <x:c r="W1187" s="54" t="n">
        <x:f>V1187-U1187</x:f>
        <x:v>-38.88616397740475</x:v>
      </x:c>
      <x:c r="X1187" s="58" t="str">
        <x:f>IF(R1187="No","",W1187*S1187)</x:f>
      </x:c>
      <x:c r="Y1187" s="58" t="str">
        <x:f>IF(R1187="No","",W1187*T1187*Assumptions!$B$9)</x:f>
      </x:c>
      <x:c r="Z1187" s="58" t="str">
        <x:f>IF(R1187="No","",X1187-Y1187)</x:f>
      </x:c>
      <x:c r="AA1187" s="58" t="str">
        <x:f>IF(R1187="No","",MAX(0,-Z1187))</x:f>
      </x:c>
      <x:c r="AB1187" s="52" t="str">
        <x:f>IF(OR(R1187="No",U1187*S1187=0),"",AA1187/(U1187*S1187))</x:f>
      </x:c>
      <x:c r="AC1187" s="54" t="str">
        <x:f>IF(OR(R1187="No",S1187-T1187*Assumptions!$B$9&lt;=0),"",AA1187/(Assumptions!$B$8*(S1187-T1187*Assumptions!$B$9)))</x:f>
      </x:c>
      <x:c r="AD1187" s="52" t="str">
        <x:f>IF(OR(R1187="No",U1187*S1187=0),"",AA1187/(U1187*S1187))</x:f>
      </x:c>
      <x:c r="AE1187" s="50" t="str">
        <x:f>IF(R1187="No","No finance data",IF(AB1187&gt;=10%,"Severe",IF(AB1187&gt;=5%,"High",IF(AB1187&gt;=2%,"Moderate","Low"))))</x:f>
        <x:v>No finance data</x:v>
      </x:c>
      <x:c r="AF1187" s="60"/>
      <x:c r="AG1187" s="60"/>
      <x:c r="AH1187" s="44" t="str">
        <x:v>Undergraduate tuition-contribution proxy only; not an audited total institutional budget.</x:v>
      </x:c>
    </x:row>
    <x:row r="1188">
      <x:c r="A1188" s="16" t="n">
        <x:v>451404</x:v>
      </x:c>
      <x:c r="B1188" s="16" t="str">
        <x:v>Talmudical Seminary of Bobov</x:v>
      </x:c>
      <x:c r="C1188" s="16" t="str">
        <x:v>NY</x:v>
      </x:c>
      <x:c r="D1188" s="16" t="str">
        <x:v>Private nonprofit</x:v>
      </x:c>
      <x:c r="E1188" s="34" t="n">
        <x:v>362</x:v>
      </x:c>
      <x:c r="F1188" s="21"/>
      <x:c r="G1188" s="16" t="str">
        <x:v>Regional</x:v>
      </x:c>
      <x:c r="H1188" s="36" t="n">
        <x:f>IF(G1188="National",Assumptions!$B$11,IF(G1188="Statewide",Assumptions!$B$12,Assumptions!$B$13))</x:f>
        <x:v>0.85</x:v>
      </x:c>
      <x:c r="I1188" s="21" t="n">
        <x:v>-0.08678079290324192</x:v>
      </x:c>
      <x:c r="J1188" s="21" t="n">
        <x:v>-0.14585233360743566</x:v>
      </x:c>
      <x:c r="K1188" s="21" t="n">
        <x:v>-0.24979193142458445</x:v>
      </x:c>
      <x:c r="L1188" s="36" t="n">
        <x:f>IF(Assumptions!$B$4=2030,I1188,IF(Assumptions!$B$4=2035,J1188,K1188))</x:f>
        <x:v>-0.14585233360743566</x:v>
      </x:c>
      <x:c r="M1188" s="36" t="n">
        <x:f>Assumptions!$B$19</x:f>
        <x:v>-0.04739891965741583</x:v>
      </x:c>
      <x:c r="N1188" s="52" t="n">
        <x:f>H1188*L1188+(1-H1188)*M1188+O1188</x:f>
        <x:v>-0.13108432151493268</x:v>
      </x:c>
      <x:c r="O1188" s="36" t="n">
        <x:f>Assumptions!$B$10</x:f>
        <x:v>0</x:v>
      </x:c>
      <x:c r="P1188" s="54" t="n">
        <x:f>E1188*(1+N1188)</x:f>
        <x:v>314.5474756115944</x:v>
      </x:c>
      <x:c r="Q1188" s="54" t="n">
        <x:f>P1188-E1188</x:f>
        <x:v>-47.45252438840561</x:v>
      </x:c>
      <x:c r="R1188" s="16" t="str">
        <x:v>No</x:v>
      </x:c>
      <x:c r="S1188" s="56"/>
      <x:c r="T1188" s="56"/>
      <x:c r="U1188" s="40" t="n">
        <x:f>E1188*Assumptions!$B$8</x:f>
        <x:v>307.7</x:v>
      </x:c>
      <x:c r="V1188" s="40" t="n">
        <x:f>P1188*Assumptions!$B$8</x:f>
        <x:v>267.36535426985523</x:v>
      </x:c>
      <x:c r="W1188" s="54" t="n">
        <x:f>V1188-U1188</x:f>
        <x:v>-40.33464573014476</x:v>
      </x:c>
      <x:c r="X1188" s="58" t="str">
        <x:f>IF(R1188="No","",W1188*S1188)</x:f>
      </x:c>
      <x:c r="Y1188" s="58" t="str">
        <x:f>IF(R1188="No","",W1188*T1188*Assumptions!$B$9)</x:f>
      </x:c>
      <x:c r="Z1188" s="58" t="str">
        <x:f>IF(R1188="No","",X1188-Y1188)</x:f>
      </x:c>
      <x:c r="AA1188" s="58" t="str">
        <x:f>IF(R1188="No","",MAX(0,-Z1188))</x:f>
      </x:c>
      <x:c r="AB1188" s="52" t="str">
        <x:f>IF(OR(R1188="No",U1188*S1188=0),"",AA1188/(U1188*S1188))</x:f>
      </x:c>
      <x:c r="AC1188" s="54" t="str">
        <x:f>IF(OR(R1188="No",S1188-T1188*Assumptions!$B$9&lt;=0),"",AA1188/(Assumptions!$B$8*(S1188-T1188*Assumptions!$B$9)))</x:f>
      </x:c>
      <x:c r="AD1188" s="52" t="str">
        <x:f>IF(OR(R1188="No",U1188*S1188=0),"",AA1188/(U1188*S1188))</x:f>
      </x:c>
      <x:c r="AE1188" s="50" t="str">
        <x:f>IF(R1188="No","No finance data",IF(AB1188&gt;=10%,"Severe",IF(AB1188&gt;=5%,"High",IF(AB1188&gt;=2%,"Moderate","Low"))))</x:f>
        <x:v>No finance data</x:v>
      </x:c>
      <x:c r="AF1188" s="60"/>
      <x:c r="AG1188" s="60"/>
      <x:c r="AH1188" s="44" t="str">
        <x:v>Undergraduate tuition-contribution proxy only; not an audited total institutional budget.</x:v>
      </x:c>
    </x:row>
    <x:row r="1189">
      <x:c r="A1189" s="16" t="n">
        <x:v>193645</x:v>
      </x:c>
      <x:c r="B1189" s="16" t="str">
        <x:v>The College of New Rochelle</x:v>
      </x:c>
      <x:c r="C1189" s="16" t="str">
        <x:v>NY</x:v>
      </x:c>
      <x:c r="D1189" s="16" t="str">
        <x:v>Private nonprofit</x:v>
      </x:c>
      <x:c r="E1189" s="34" t="n">
        <x:v>2967</x:v>
      </x:c>
      <x:c r="F1189" s="21"/>
      <x:c r="G1189" s="16" t="str">
        <x:v>Regional</x:v>
      </x:c>
      <x:c r="H1189" s="36" t="n">
        <x:f>IF(G1189="National",Assumptions!$B$11,IF(G1189="Statewide",Assumptions!$B$12,Assumptions!$B$13))</x:f>
        <x:v>0.85</x:v>
      </x:c>
      <x:c r="I1189" s="21" t="n">
        <x:v>-0.08678079290324192</x:v>
      </x:c>
      <x:c r="J1189" s="21" t="n">
        <x:v>-0.14585233360743566</x:v>
      </x:c>
      <x:c r="K1189" s="21" t="n">
        <x:v>-0.24979193142458445</x:v>
      </x:c>
      <x:c r="L1189" s="36" t="n">
        <x:f>IF(Assumptions!$B$4=2030,I1189,IF(Assumptions!$B$4=2035,J1189,K1189))</x:f>
        <x:v>-0.14585233360743566</x:v>
      </x:c>
      <x:c r="M1189" s="36" t="n">
        <x:f>Assumptions!$B$19</x:f>
        <x:v>-0.04739891965741583</x:v>
      </x:c>
      <x:c r="N1189" s="52" t="n">
        <x:f>H1189*L1189+(1-H1189)*M1189+O1189</x:f>
        <x:v>-0.13108432151493268</x:v>
      </x:c>
      <x:c r="O1189" s="36" t="n">
        <x:f>Assumptions!$B$10</x:f>
        <x:v>0</x:v>
      </x:c>
      <x:c r="P1189" s="54" t="n">
        <x:f>E1189*(1+N1189)</x:f>
        <x:v>2578.072818065195</x:v>
      </x:c>
      <x:c r="Q1189" s="54" t="n">
        <x:f>P1189-E1189</x:f>
        <x:v>-388.92718193480505</x:v>
      </x:c>
      <x:c r="R1189" s="16" t="str">
        <x:v>No</x:v>
      </x:c>
      <x:c r="S1189" s="56"/>
      <x:c r="T1189" s="56"/>
      <x:c r="U1189" s="40" t="n">
        <x:f>E1189*Assumptions!$B$8</x:f>
        <x:v>2521.95</x:v>
      </x:c>
      <x:c r="V1189" s="40" t="n">
        <x:f>P1189*Assumptions!$B$8</x:f>
        <x:v>2191.3618953554155</x:v>
      </x:c>
      <x:c r="W1189" s="54" t="n">
        <x:f>V1189-U1189</x:f>
        <x:v>-330.5881046445843</x:v>
      </x:c>
      <x:c r="X1189" s="58" t="str">
        <x:f>IF(R1189="No","",W1189*S1189)</x:f>
      </x:c>
      <x:c r="Y1189" s="58" t="str">
        <x:f>IF(R1189="No","",W1189*T1189*Assumptions!$B$9)</x:f>
      </x:c>
      <x:c r="Z1189" s="58" t="str">
        <x:f>IF(R1189="No","",X1189-Y1189)</x:f>
      </x:c>
      <x:c r="AA1189" s="58" t="str">
        <x:f>IF(R1189="No","",MAX(0,-Z1189))</x:f>
      </x:c>
      <x:c r="AB1189" s="52" t="str">
        <x:f>IF(OR(R1189="No",U1189*S1189=0),"",AA1189/(U1189*S1189))</x:f>
      </x:c>
      <x:c r="AC1189" s="54" t="str">
        <x:f>IF(OR(R1189="No",S1189-T1189*Assumptions!$B$9&lt;=0),"",AA1189/(Assumptions!$B$8*(S1189-T1189*Assumptions!$B$9)))</x:f>
      </x:c>
      <x:c r="AD1189" s="52" t="str">
        <x:f>IF(OR(R1189="No",U1189*S1189=0),"",AA1189/(U1189*S1189))</x:f>
      </x:c>
      <x:c r="AE1189" s="50" t="str">
        <x:f>IF(R1189="No","No finance data",IF(AB1189&gt;=10%,"Severe",IF(AB1189&gt;=5%,"High",IF(AB1189&gt;=2%,"Moderate","Low"))))</x:f>
        <x:v>No finance data</x:v>
      </x:c>
      <x:c r="AF1189" s="60"/>
      <x:c r="AG1189" s="60"/>
      <x:c r="AH1189" s="44" t="str">
        <x:v>Undergraduate tuition-contribution proxy only; not an audited total institutional budget.</x:v>
      </x:c>
    </x:row>
    <x:row r="1190">
      <x:c r="A1190" s="16" t="n">
        <x:v>195234</x:v>
      </x:c>
      <x:c r="B1190" s="16" t="str">
        <x:v>The College of Saint Rose</x:v>
      </x:c>
      <x:c r="C1190" s="16" t="str">
        <x:v>NY</x:v>
      </x:c>
      <x:c r="D1190" s="16" t="str">
        <x:v>Private nonprofit</x:v>
      </x:c>
      <x:c r="E1190" s="34" t="n">
        <x:v>2626</x:v>
      </x:c>
      <x:c r="F1190" s="21" t="n">
        <x:v>0.7633</x:v>
      </x:c>
      <x:c r="G1190" s="16" t="str">
        <x:v>Regional</x:v>
      </x:c>
      <x:c r="H1190" s="36" t="n">
        <x:f>IF(G1190="National",Assumptions!$B$11,IF(G1190="Statewide",Assumptions!$B$12,Assumptions!$B$13))</x:f>
        <x:v>0.85</x:v>
      </x:c>
      <x:c r="I1190" s="21" t="n">
        <x:v>-0.08678079290324192</x:v>
      </x:c>
      <x:c r="J1190" s="21" t="n">
        <x:v>-0.14585233360743566</x:v>
      </x:c>
      <x:c r="K1190" s="21" t="n">
        <x:v>-0.24979193142458445</x:v>
      </x:c>
      <x:c r="L1190" s="36" t="n">
        <x:f>IF(Assumptions!$B$4=2030,I1190,IF(Assumptions!$B$4=2035,J1190,K1190))</x:f>
        <x:v>-0.14585233360743566</x:v>
      </x:c>
      <x:c r="M1190" s="36" t="n">
        <x:f>Assumptions!$B$19</x:f>
        <x:v>-0.04739891965741583</x:v>
      </x:c>
      <x:c r="N1190" s="52" t="n">
        <x:f>H1190*L1190+(1-H1190)*M1190+O1190</x:f>
        <x:v>-0.13108432151493268</x:v>
      </x:c>
      <x:c r="O1190" s="36" t="n">
        <x:f>Assumptions!$B$10</x:f>
        <x:v>0</x:v>
      </x:c>
      <x:c r="P1190" s="54" t="n">
        <x:f>E1190*(1+N1190)</x:f>
        <x:v>2281.772571701787</x:v>
      </x:c>
      <x:c r="Q1190" s="54" t="n">
        <x:f>P1190-E1190</x:f>
        <x:v>-344.227428298213</x:v>
      </x:c>
      <x:c r="R1190" s="16" t="str">
        <x:v>Yes</x:v>
      </x:c>
      <x:c r="S1190" s="56" t="n">
        <x:v>10844</x:v>
      </x:c>
      <x:c r="T1190" s="56" t="n">
        <x:v>9332</x:v>
      </x:c>
      <x:c r="U1190" s="40" t="n">
        <x:f>E1190*Assumptions!$B$8</x:f>
        <x:v>2232.1</x:v>
      </x:c>
      <x:c r="V1190" s="40" t="n">
        <x:f>P1190*Assumptions!$B$8</x:f>
        <x:v>1939.506685946519</x:v>
      </x:c>
      <x:c r="W1190" s="54" t="n">
        <x:f>V1190-U1190</x:f>
        <x:v>-292.593314053481</x:v>
      </x:c>
      <x:c r="X1190" s="58" t="n">
        <x:f>IF(R1190="No","",W1190*S1190)</x:f>
        <x:v>-3172881.8975959476</x:v>
      </x:c>
      <x:c r="Y1190" s="58" t="n">
        <x:f>IF(R1190="No","",W1190*T1190*Assumptions!$B$9)</x:f>
        <x:v>-819144.2420241253</x:v>
      </x:c>
      <x:c r="Z1190" s="58" t="n">
        <x:f>IF(R1190="No","",X1190-Y1190)</x:f>
        <x:v>-2353737.655571822</x:v>
      </x:c>
      <x:c r="AA1190" s="58" t="n">
        <x:f>IF(R1190="No","",MAX(0,-Z1190))</x:f>
        <x:v>2353737.655571822</x:v>
      </x:c>
      <x:c r="AB1190" s="52" t="n">
        <x:f>IF(OR(R1190="No",U1190*S1190=0),"",AA1190/(U1190*S1190))</x:f>
        <x:v>0.09724222759080814</x:v>
      </x:c>
      <x:c r="AC1190" s="54" t="n">
        <x:f>IF(OR(R1190="No",S1190-T1190*Assumptions!$B$9&lt;=0),"",AA1190/(Assumptions!$B$8*(S1190-T1190*Assumptions!$B$9)))</x:f>
        <x:v>344.2274282982129</x:v>
      </x:c>
      <x:c r="AD1190" s="52" t="n">
        <x:f>IF(OR(R1190="No",U1190*S1190=0),"",AA1190/(U1190*S1190))</x:f>
        <x:v>0.09724222759080814</x:v>
      </x:c>
      <x:c r="AE1190" s="50" t="str">
        <x:f>IF(R1190="No","No finance data",IF(AB1190&gt;=10%,"Severe",IF(AB1190&gt;=5%,"High",IF(AB1190&gt;=2%,"Moderate","Low"))))</x:f>
        <x:v>High</x:v>
      </x:c>
      <x:c r="AF1190" s="60" t="n">
        <x:v>42.664297</x:v>
      </x:c>
      <x:c r="AG1190" s="60" t="n">
        <x:v>-73.786661</x:v>
      </x:c>
      <x:c r="AH1190" s="44" t="str">
        <x:v>Undergraduate tuition-contribution proxy only; not an audited total institutional budget.</x:v>
      </x:c>
    </x:row>
    <x:row r="1191">
      <x:c r="A1191" s="16" t="n">
        <x:v>192110</x:v>
      </x:c>
      <x:c r="B1191" s="16" t="str">
        <x:v>The Juilliard School</x:v>
      </x:c>
      <x:c r="C1191" s="16" t="str">
        <x:v>NY</x:v>
      </x:c>
      <x:c r="D1191" s="16" t="str">
        <x:v>Private nonprofit</x:v>
      </x:c>
      <x:c r="E1191" s="34" t="n">
        <x:v>489</x:v>
      </x:c>
      <x:c r="F1191" s="21"/>
      <x:c r="G1191" s="16" t="str">
        <x:v>Regional</x:v>
      </x:c>
      <x:c r="H1191" s="36" t="n">
        <x:f>IF(G1191="National",Assumptions!$B$11,IF(G1191="Statewide",Assumptions!$B$12,Assumptions!$B$13))</x:f>
        <x:v>0.85</x:v>
      </x:c>
      <x:c r="I1191" s="21" t="n">
        <x:v>-0.08678079290324192</x:v>
      </x:c>
      <x:c r="J1191" s="21" t="n">
        <x:v>-0.14585233360743566</x:v>
      </x:c>
      <x:c r="K1191" s="21" t="n">
        <x:v>-0.24979193142458445</x:v>
      </x:c>
      <x:c r="L1191" s="36" t="n">
        <x:f>IF(Assumptions!$B$4=2030,I1191,IF(Assumptions!$B$4=2035,J1191,K1191))</x:f>
        <x:v>-0.14585233360743566</x:v>
      </x:c>
      <x:c r="M1191" s="36" t="n">
        <x:f>Assumptions!$B$19</x:f>
        <x:v>-0.04739891965741583</x:v>
      </x:c>
      <x:c r="N1191" s="52" t="n">
        <x:f>H1191*L1191+(1-H1191)*M1191+O1191</x:f>
        <x:v>-0.13108432151493268</x:v>
      </x:c>
      <x:c r="O1191" s="36" t="n">
        <x:f>Assumptions!$B$10</x:f>
        <x:v>0</x:v>
      </x:c>
      <x:c r="P1191" s="54" t="n">
        <x:f>E1191*(1+N1191)</x:f>
        <x:v>424.89976677919793</x:v>
      </x:c>
      <x:c r="Q1191" s="54" t="n">
        <x:f>P1191-E1191</x:f>
        <x:v>-64.10023322080207</x:v>
      </x:c>
      <x:c r="R1191" s="16" t="str">
        <x:v>No</x:v>
      </x:c>
      <x:c r="S1191" s="56"/>
      <x:c r="T1191" s="56"/>
      <x:c r="U1191" s="40" t="n">
        <x:f>E1191*Assumptions!$B$8</x:f>
        <x:v>415.65</x:v>
      </x:c>
      <x:c r="V1191" s="40" t="n">
        <x:f>P1191*Assumptions!$B$8</x:f>
        <x:v>361.16480176231823</x:v>
      </x:c>
      <x:c r="W1191" s="54" t="n">
        <x:f>V1191-U1191</x:f>
        <x:v>-54.48519823768174</x:v>
      </x:c>
      <x:c r="X1191" s="58" t="str">
        <x:f>IF(R1191="No","",W1191*S1191)</x:f>
      </x:c>
      <x:c r="Y1191" s="58" t="str">
        <x:f>IF(R1191="No","",W1191*T1191*Assumptions!$B$9)</x:f>
      </x:c>
      <x:c r="Z1191" s="58" t="str">
        <x:f>IF(R1191="No","",X1191-Y1191)</x:f>
      </x:c>
      <x:c r="AA1191" s="58" t="str">
        <x:f>IF(R1191="No","",MAX(0,-Z1191))</x:f>
      </x:c>
      <x:c r="AB1191" s="52" t="str">
        <x:f>IF(OR(R1191="No",U1191*S1191=0),"",AA1191/(U1191*S1191))</x:f>
      </x:c>
      <x:c r="AC1191" s="54" t="str">
        <x:f>IF(OR(R1191="No",S1191-T1191*Assumptions!$B$9&lt;=0),"",AA1191/(Assumptions!$B$8*(S1191-T1191*Assumptions!$B$9)))</x:f>
      </x:c>
      <x:c r="AD1191" s="52" t="str">
        <x:f>IF(OR(R1191="No",U1191*S1191=0),"",AA1191/(U1191*S1191))</x:f>
      </x:c>
      <x:c r="AE1191" s="50" t="str">
        <x:f>IF(R1191="No","No finance data",IF(AB1191&gt;=10%,"Severe",IF(AB1191&gt;=5%,"High",IF(AB1191&gt;=2%,"Moderate","Low"))))</x:f>
        <x:v>No finance data</x:v>
      </x:c>
      <x:c r="AF1191" s="60"/>
      <x:c r="AG1191" s="60"/>
      <x:c r="AH1191" s="44" t="str">
        <x:v>Undergraduate tuition-contribution proxy only; not an audited total institutional budget.</x:v>
      </x:c>
    </x:row>
    <x:row r="1192">
      <x:c r="A1192" s="16" t="n">
        <x:v>454184</x:v>
      </x:c>
      <x:c r="B1192" s="16" t="str">
        <x:v>The King's College</x:v>
      </x:c>
      <x:c r="C1192" s="16" t="str">
        <x:v>NY</x:v>
      </x:c>
      <x:c r="D1192" s="16" t="str">
        <x:v>Private nonprofit</x:v>
      </x:c>
      <x:c r="E1192" s="34" t="n">
        <x:v>490</x:v>
      </x:c>
      <x:c r="F1192" s="21"/>
      <x:c r="G1192" s="16" t="str">
        <x:v>Regional</x:v>
      </x:c>
      <x:c r="H1192" s="36" t="n">
        <x:f>IF(G1192="National",Assumptions!$B$11,IF(G1192="Statewide",Assumptions!$B$12,Assumptions!$B$13))</x:f>
        <x:v>0.85</x:v>
      </x:c>
      <x:c r="I1192" s="21" t="n">
        <x:v>-0.08678079290324192</x:v>
      </x:c>
      <x:c r="J1192" s="21" t="n">
        <x:v>-0.14585233360743566</x:v>
      </x:c>
      <x:c r="K1192" s="21" t="n">
        <x:v>-0.24979193142458445</x:v>
      </x:c>
      <x:c r="L1192" s="36" t="n">
        <x:f>IF(Assumptions!$B$4=2030,I1192,IF(Assumptions!$B$4=2035,J1192,K1192))</x:f>
        <x:v>-0.14585233360743566</x:v>
      </x:c>
      <x:c r="M1192" s="36" t="n">
        <x:f>Assumptions!$B$19</x:f>
        <x:v>-0.04739891965741583</x:v>
      </x:c>
      <x:c r="N1192" s="52" t="n">
        <x:f>H1192*L1192+(1-H1192)*M1192+O1192</x:f>
        <x:v>-0.13108432151493268</x:v>
      </x:c>
      <x:c r="O1192" s="36" t="n">
        <x:f>Assumptions!$B$10</x:f>
        <x:v>0</x:v>
      </x:c>
      <x:c r="P1192" s="54" t="n">
        <x:f>E1192*(1+N1192)</x:f>
        <x:v>425.768682457683</x:v>
      </x:c>
      <x:c r="Q1192" s="54" t="n">
        <x:f>P1192-E1192</x:f>
        <x:v>-64.23131754231702</x:v>
      </x:c>
      <x:c r="R1192" s="16" t="str">
        <x:v>No</x:v>
      </x:c>
      <x:c r="S1192" s="56"/>
      <x:c r="T1192" s="56"/>
      <x:c r="U1192" s="40" t="n">
        <x:f>E1192*Assumptions!$B$8</x:f>
        <x:v>416.5</x:v>
      </x:c>
      <x:c r="V1192" s="40" t="n">
        <x:f>P1192*Assumptions!$B$8</x:f>
        <x:v>361.9033800890305</x:v>
      </x:c>
      <x:c r="W1192" s="54" t="n">
        <x:f>V1192-U1192</x:f>
        <x:v>-54.59661991096948</x:v>
      </x:c>
      <x:c r="X1192" s="58" t="str">
        <x:f>IF(R1192="No","",W1192*S1192)</x:f>
      </x:c>
      <x:c r="Y1192" s="58" t="str">
        <x:f>IF(R1192="No","",W1192*T1192*Assumptions!$B$9)</x:f>
      </x:c>
      <x:c r="Z1192" s="58" t="str">
        <x:f>IF(R1192="No","",X1192-Y1192)</x:f>
      </x:c>
      <x:c r="AA1192" s="58" t="str">
        <x:f>IF(R1192="No","",MAX(0,-Z1192))</x:f>
      </x:c>
      <x:c r="AB1192" s="52" t="str">
        <x:f>IF(OR(R1192="No",U1192*S1192=0),"",AA1192/(U1192*S1192))</x:f>
      </x:c>
      <x:c r="AC1192" s="54" t="str">
        <x:f>IF(OR(R1192="No",S1192-T1192*Assumptions!$B$9&lt;=0),"",AA1192/(Assumptions!$B$8*(S1192-T1192*Assumptions!$B$9)))</x:f>
      </x:c>
      <x:c r="AD1192" s="52" t="str">
        <x:f>IF(OR(R1192="No",U1192*S1192=0),"",AA1192/(U1192*S1192))</x:f>
      </x:c>
      <x:c r="AE1192" s="50" t="str">
        <x:f>IF(R1192="No","No finance data",IF(AB1192&gt;=10%,"Severe",IF(AB1192&gt;=5%,"High",IF(AB1192&gt;=2%,"Moderate","Low"))))</x:f>
        <x:v>No finance data</x:v>
      </x:c>
      <x:c r="AF1192" s="60"/>
      <x:c r="AG1192" s="60"/>
      <x:c r="AH1192" s="44" t="str">
        <x:v>Undergraduate tuition-contribution proxy only; not an audited total institutional budget.</x:v>
      </x:c>
    </x:row>
    <x:row r="1193">
      <x:c r="A1193" s="16" t="n">
        <x:v>193654</x:v>
      </x:c>
      <x:c r="B1193" s="16" t="str">
        <x:v>The New School</x:v>
      </x:c>
      <x:c r="C1193" s="16" t="str">
        <x:v>NY</x:v>
      </x:c>
      <x:c r="D1193" s="16" t="str">
        <x:v>Private nonprofit</x:v>
      </x:c>
      <x:c r="E1193" s="34" t="n">
        <x:v>6752</x:v>
      </x:c>
      <x:c r="F1193" s="21" t="n">
        <x:v>0.663</x:v>
      </x:c>
      <x:c r="G1193" s="16" t="str">
        <x:v>Regional</x:v>
      </x:c>
      <x:c r="H1193" s="36" t="n">
        <x:f>IF(G1193="National",Assumptions!$B$11,IF(G1193="Statewide",Assumptions!$B$12,Assumptions!$B$13))</x:f>
        <x:v>0.85</x:v>
      </x:c>
      <x:c r="I1193" s="21" t="n">
        <x:v>-0.08678079290324192</x:v>
      </x:c>
      <x:c r="J1193" s="21" t="n">
        <x:v>-0.14585233360743566</x:v>
      </x:c>
      <x:c r="K1193" s="21" t="n">
        <x:v>-0.24979193142458445</x:v>
      </x:c>
      <x:c r="L1193" s="36" t="n">
        <x:f>IF(Assumptions!$B$4=2030,I1193,IF(Assumptions!$B$4=2035,J1193,K1193))</x:f>
        <x:v>-0.14585233360743566</x:v>
      </x:c>
      <x:c r="M1193" s="36" t="n">
        <x:f>Assumptions!$B$19</x:f>
        <x:v>-0.04739891965741583</x:v>
      </x:c>
      <x:c r="N1193" s="52" t="n">
        <x:f>H1193*L1193+(1-H1193)*M1193+O1193</x:f>
        <x:v>-0.13108432151493268</x:v>
      </x:c>
      <x:c r="O1193" s="36" t="n">
        <x:f>Assumptions!$B$10</x:f>
        <x:v>0</x:v>
      </x:c>
      <x:c r="P1193" s="54" t="n">
        <x:f>E1193*(1+N1193)</x:f>
        <x:v>5866.918661131174</x:v>
      </x:c>
      <x:c r="Q1193" s="54" t="n">
        <x:f>P1193-E1193</x:f>
        <x:v>-885.0813388688257</x:v>
      </x:c>
      <x:c r="R1193" s="16" t="str">
        <x:v>Yes</x:v>
      </x:c>
      <x:c r="S1193" s="56" t="n">
        <x:v>29905</x:v>
      </x:c>
      <x:c r="T1193" s="56" t="n">
        <x:v>15159</x:v>
      </x:c>
      <x:c r="U1193" s="40" t="n">
        <x:f>E1193*Assumptions!$B$8</x:f>
        <x:v>5739.2</x:v>
      </x:c>
      <x:c r="V1193" s="40" t="n">
        <x:f>P1193*Assumptions!$B$8</x:f>
        <x:v>4986.880861961498</x:v>
      </x:c>
      <x:c r="W1193" s="54" t="n">
        <x:f>V1193-U1193</x:f>
        <x:v>-752.3191380385015</x:v>
      </x:c>
      <x:c r="X1193" s="58" t="n">
        <x:f>IF(R1193="No","",W1193*S1193)</x:f>
        <x:v>-22498103.823041387</x:v>
      </x:c>
      <x:c r="Y1193" s="58" t="n">
        <x:f>IF(R1193="No","",W1193*T1193*Assumptions!$B$9)</x:f>
        <x:v>-3421321.744057693</x:v>
      </x:c>
      <x:c r="Z1193" s="58" t="n">
        <x:f>IF(R1193="No","",X1193-Y1193)</x:f>
        <x:v>-19076782.078983694</x:v>
      </x:c>
      <x:c r="AA1193" s="58" t="n">
        <x:f>IF(R1193="No","",MAX(0,-Z1193))</x:f>
        <x:v>19076782.078983694</x:v>
      </x:c>
      <x:c r="AB1193" s="52" t="n">
        <x:f>IF(OR(R1193="No",U1193*S1193=0),"",AA1193/(U1193*S1193))</x:f>
        <x:v>0.11115012425850533</x:v>
      </x:c>
      <x:c r="AC1193" s="54" t="n">
        <x:f>IF(OR(R1193="No",S1193-T1193*Assumptions!$B$9&lt;=0),"",AA1193/(Assumptions!$B$8*(S1193-T1193*Assumptions!$B$9)))</x:f>
        <x:v>885.0813388688254</x:v>
      </x:c>
      <x:c r="AD1193" s="52" t="n">
        <x:f>IF(OR(R1193="No",U1193*S1193=0),"",AA1193/(U1193*S1193))</x:f>
        <x:v>0.11115012425850533</x:v>
      </x:c>
      <x:c r="AE1193" s="50" t="str">
        <x:f>IF(R1193="No","No finance data",IF(AB1193&gt;=10%,"Severe",IF(AB1193&gt;=5%,"High",IF(AB1193&gt;=2%,"Moderate","Low"))))</x:f>
        <x:v>Severe</x:v>
      </x:c>
      <x:c r="AF1193" s="60" t="n">
        <x:v>40.735508</x:v>
      </x:c>
      <x:c r="AG1193" s="60" t="n">
        <x:v>-73.997114</x:v>
      </x:c>
      <x:c r="AH1193" s="44" t="str">
        <x:v>Undergraduate tuition-contribution proxy only; not an audited total institutional budget.</x:v>
      </x:c>
    </x:row>
    <x:row r="1194">
      <x:c r="A1194" s="16" t="n">
        <x:v>195128</x:v>
      </x:c>
      <x:c r="B1194" s="16" t="str">
        <x:v>The Sage Colleges</x:v>
      </x:c>
      <x:c r="C1194" s="16" t="str">
        <x:v>NY</x:v>
      </x:c>
      <x:c r="D1194" s="16" t="str">
        <x:v>Private nonprofit</x:v>
      </x:c>
      <x:c r="E1194" s="34" t="n">
        <x:v>1605</x:v>
      </x:c>
      <x:c r="F1194" s="21" t="n">
        <x:v>0.7309</x:v>
      </x:c>
      <x:c r="G1194" s="16" t="str">
        <x:v>Regional</x:v>
      </x:c>
      <x:c r="H1194" s="36" t="n">
        <x:f>IF(G1194="National",Assumptions!$B$11,IF(G1194="Statewide",Assumptions!$B$12,Assumptions!$B$13))</x:f>
        <x:v>0.85</x:v>
      </x:c>
      <x:c r="I1194" s="21" t="n">
        <x:v>-0.08678079290324192</x:v>
      </x:c>
      <x:c r="J1194" s="21" t="n">
        <x:v>-0.14585233360743566</x:v>
      </x:c>
      <x:c r="K1194" s="21" t="n">
        <x:v>-0.24979193142458445</x:v>
      </x:c>
      <x:c r="L1194" s="36" t="n">
        <x:f>IF(Assumptions!$B$4=2030,I1194,IF(Assumptions!$B$4=2035,J1194,K1194))</x:f>
        <x:v>-0.14585233360743566</x:v>
      </x:c>
      <x:c r="M1194" s="36" t="n">
        <x:f>Assumptions!$B$19</x:f>
        <x:v>-0.04739891965741583</x:v>
      </x:c>
      <x:c r="N1194" s="52" t="n">
        <x:f>H1194*L1194+(1-H1194)*M1194+O1194</x:f>
        <x:v>-0.13108432151493268</x:v>
      </x:c>
      <x:c r="O1194" s="36" t="n">
        <x:f>Assumptions!$B$10</x:f>
        <x:v>0</x:v>
      </x:c>
      <x:c r="P1194" s="54" t="n">
        <x:f>E1194*(1+N1194)</x:f>
        <x:v>1394.6096639685331</x:v>
      </x:c>
      <x:c r="Q1194" s="54" t="n">
        <x:f>P1194-E1194</x:f>
        <x:v>-210.39033603146686</x:v>
      </x:c>
      <x:c r="R1194" s="16" t="str">
        <x:v>Yes</x:v>
      </x:c>
      <x:c r="S1194" s="56" t="n">
        <x:v>15910</x:v>
      </x:c>
      <x:c r="T1194" s="56" t="n">
        <x:v>8114</x:v>
      </x:c>
      <x:c r="U1194" s="40" t="n">
        <x:f>E1194*Assumptions!$B$8</x:f>
        <x:v>1364.25</x:v>
      </x:c>
      <x:c r="V1194" s="40" t="n">
        <x:f>P1194*Assumptions!$B$8</x:f>
        <x:v>1185.4182143732532</x:v>
      </x:c>
      <x:c r="W1194" s="54" t="n">
        <x:f>V1194-U1194</x:f>
        <x:v>-178.83178562674675</x:v>
      </x:c>
      <x:c r="X1194" s="58" t="n">
        <x:f>IF(R1194="No","",W1194*S1194)</x:f>
        <x:v>-2845213.709321541</x:v>
      </x:c>
      <x:c r="Y1194" s="58" t="n">
        <x:f>IF(R1194="No","",W1194*T1194*Assumptions!$B$9)</x:f>
        <x:v>-435312.33257262694</x:v>
      </x:c>
      <x:c r="Z1194" s="58" t="n">
        <x:f>IF(R1194="No","",X1194-Y1194)</x:f>
        <x:v>-2409901.376748914</x:v>
      </x:c>
      <x:c r="AA1194" s="58" t="n">
        <x:f>IF(R1194="No","",MAX(0,-Z1194))</x:f>
        <x:v>2409901.376748914</x:v>
      </x:c>
      <x:c r="AB1194" s="52" t="n">
        <x:f>IF(OR(R1194="No",U1194*S1194=0),"",AA1194/(U1194*S1194))</x:f>
        <x:v>0.1110286674966014</x:v>
      </x:c>
      <x:c r="AC1194" s="54" t="n">
        <x:f>IF(OR(R1194="No",S1194-T1194*Assumptions!$B$9&lt;=0),"",AA1194/(Assumptions!$B$8*(S1194-T1194*Assumptions!$B$9)))</x:f>
        <x:v>210.3903360314668</x:v>
      </x:c>
      <x:c r="AD1194" s="52" t="n">
        <x:f>IF(OR(R1194="No",U1194*S1194=0),"",AA1194/(U1194*S1194))</x:f>
        <x:v>0.1110286674966014</x:v>
      </x:c>
      <x:c r="AE1194" s="50" t="str">
        <x:f>IF(R1194="No","No finance data",IF(AB1194&gt;=10%,"Severe",IF(AB1194&gt;=5%,"High",IF(AB1194&gt;=2%,"Moderate","Low"))))</x:f>
        <x:v>Severe</x:v>
      </x:c>
      <x:c r="AF1194" s="60" t="n">
        <x:v>42.72822</x:v>
      </x:c>
      <x:c r="AG1194" s="60" t="n">
        <x:v>-73.693711</x:v>
      </x:c>
      <x:c r="AH1194" s="44" t="str">
        <x:v>Undergraduate tuition-contribution proxy only; not an audited total institutional budget.</x:v>
      </x:c>
    </x:row>
    <x:row r="1195">
      <x:c r="A1195" s="16" t="n">
        <x:v>196583</x:v>
      </x:c>
      <x:c r="B1195" s="16" t="str">
        <x:v>Torah Temimah Talmudical Seminary</x:v>
      </x:c>
      <x:c r="C1195" s="16" t="str">
        <x:v>NY</x:v>
      </x:c>
      <x:c r="D1195" s="16" t="str">
        <x:v>Private nonprofit</x:v>
      </x:c>
      <x:c r="E1195" s="34" t="n">
        <x:v>89</x:v>
      </x:c>
      <x:c r="F1195" s="21"/>
      <x:c r="G1195" s="16" t="str">
        <x:v>Regional</x:v>
      </x:c>
      <x:c r="H1195" s="36" t="n">
        <x:f>IF(G1195="National",Assumptions!$B$11,IF(G1195="Statewide",Assumptions!$B$12,Assumptions!$B$13))</x:f>
        <x:v>0.85</x:v>
      </x:c>
      <x:c r="I1195" s="21" t="n">
        <x:v>-0.08678079290324192</x:v>
      </x:c>
      <x:c r="J1195" s="21" t="n">
        <x:v>-0.14585233360743566</x:v>
      </x:c>
      <x:c r="K1195" s="21" t="n">
        <x:v>-0.24979193142458445</x:v>
      </x:c>
      <x:c r="L1195" s="36" t="n">
        <x:f>IF(Assumptions!$B$4=2030,I1195,IF(Assumptions!$B$4=2035,J1195,K1195))</x:f>
        <x:v>-0.14585233360743566</x:v>
      </x:c>
      <x:c r="M1195" s="36" t="n">
        <x:f>Assumptions!$B$19</x:f>
        <x:v>-0.04739891965741583</x:v>
      </x:c>
      <x:c r="N1195" s="52" t="n">
        <x:f>H1195*L1195+(1-H1195)*M1195+O1195</x:f>
        <x:v>-0.13108432151493268</x:v>
      </x:c>
      <x:c r="O1195" s="36" t="n">
        <x:f>Assumptions!$B$10</x:f>
        <x:v>0</x:v>
      </x:c>
      <x:c r="P1195" s="54" t="n">
        <x:f>E1195*(1+N1195)</x:f>
        <x:v>77.33349538517099</x:v>
      </x:c>
      <x:c r="Q1195" s="54" t="n">
        <x:f>P1195-E1195</x:f>
        <x:v>-11.666504614829009</x:v>
      </x:c>
      <x:c r="R1195" s="16" t="str">
        <x:v>No</x:v>
      </x:c>
      <x:c r="S1195" s="56"/>
      <x:c r="T1195" s="56"/>
      <x:c r="U1195" s="40" t="n">
        <x:f>E1195*Assumptions!$B$8</x:f>
        <x:v>75.64999999999999</x:v>
      </x:c>
      <x:c r="V1195" s="40" t="n">
        <x:f>P1195*Assumptions!$B$8</x:f>
        <x:v>65.73347107739534</x:v>
      </x:c>
      <x:c r="W1195" s="54" t="n">
        <x:f>V1195-U1195</x:f>
        <x:v>-9.916528922604655</x:v>
      </x:c>
      <x:c r="X1195" s="58" t="str">
        <x:f>IF(R1195="No","",W1195*S1195)</x:f>
      </x:c>
      <x:c r="Y1195" s="58" t="str">
        <x:f>IF(R1195="No","",W1195*T1195*Assumptions!$B$9)</x:f>
      </x:c>
      <x:c r="Z1195" s="58" t="str">
        <x:f>IF(R1195="No","",X1195-Y1195)</x:f>
      </x:c>
      <x:c r="AA1195" s="58" t="str">
        <x:f>IF(R1195="No","",MAX(0,-Z1195))</x:f>
      </x:c>
      <x:c r="AB1195" s="52" t="str">
        <x:f>IF(OR(R1195="No",U1195*S1195=0),"",AA1195/(U1195*S1195))</x:f>
      </x:c>
      <x:c r="AC1195" s="54" t="str">
        <x:f>IF(OR(R1195="No",S1195-T1195*Assumptions!$B$9&lt;=0),"",AA1195/(Assumptions!$B$8*(S1195-T1195*Assumptions!$B$9)))</x:f>
      </x:c>
      <x:c r="AD1195" s="52" t="str">
        <x:f>IF(OR(R1195="No",U1195*S1195=0),"",AA1195/(U1195*S1195))</x:f>
      </x:c>
      <x:c r="AE1195" s="50" t="str">
        <x:f>IF(R1195="No","No finance data",IF(AB1195&gt;=10%,"Severe",IF(AB1195&gt;=5%,"High",IF(AB1195&gt;=2%,"Moderate","Low"))))</x:f>
        <x:v>No finance data</x:v>
      </x:c>
      <x:c r="AF1195" s="60"/>
      <x:c r="AG1195" s="60"/>
      <x:c r="AH1195" s="44" t="str">
        <x:v>Undergraduate tuition-contribution proxy only; not an audited total institutional budget.</x:v>
      </x:c>
    </x:row>
    <x:row r="1196">
      <x:c r="A1196" s="16" t="n">
        <x:v>196592</x:v>
      </x:c>
      <x:c r="B1196" s="16" t="str">
        <x:v>Touro College</x:v>
      </x:c>
      <x:c r="C1196" s="16" t="str">
        <x:v>NY</x:v>
      </x:c>
      <x:c r="D1196" s="16" t="str">
        <x:v>Private nonprofit</x:v>
      </x:c>
      <x:c r="E1196" s="34" t="n">
        <x:v>5965</x:v>
      </x:c>
      <x:c r="F1196" s="21" t="n">
        <x:v>0.7695</x:v>
      </x:c>
      <x:c r="G1196" s="16" t="str">
        <x:v>Regional</x:v>
      </x:c>
      <x:c r="H1196" s="36" t="n">
        <x:f>IF(G1196="National",Assumptions!$B$11,IF(G1196="Statewide",Assumptions!$B$12,Assumptions!$B$13))</x:f>
        <x:v>0.85</x:v>
      </x:c>
      <x:c r="I1196" s="21" t="n">
        <x:v>-0.08678079290324192</x:v>
      </x:c>
      <x:c r="J1196" s="21" t="n">
        <x:v>-0.14585233360743566</x:v>
      </x:c>
      <x:c r="K1196" s="21" t="n">
        <x:v>-0.24979193142458445</x:v>
      </x:c>
      <x:c r="L1196" s="36" t="n">
        <x:f>IF(Assumptions!$B$4=2030,I1196,IF(Assumptions!$B$4=2035,J1196,K1196))</x:f>
        <x:v>-0.14585233360743566</x:v>
      </x:c>
      <x:c r="M1196" s="36" t="n">
        <x:f>Assumptions!$B$19</x:f>
        <x:v>-0.04739891965741583</x:v>
      </x:c>
      <x:c r="N1196" s="52" t="n">
        <x:f>H1196*L1196+(1-H1196)*M1196+O1196</x:f>
        <x:v>-0.13108432151493268</x:v>
      </x:c>
      <x:c r="O1196" s="36" t="n">
        <x:f>Assumptions!$B$10</x:f>
        <x:v>0</x:v>
      </x:c>
      <x:c r="P1196" s="54" t="n">
        <x:f>E1196*(1+N1196)</x:f>
        <x:v>5183.082022163427</x:v>
      </x:c>
      <x:c r="Q1196" s="54" t="n">
        <x:f>P1196-E1196</x:f>
        <x:v>-781.9179778365733</x:v>
      </x:c>
      <x:c r="R1196" s="16" t="str">
        <x:v>Yes</x:v>
      </x:c>
      <x:c r="S1196" s="56" t="n">
        <x:v>24032</x:v>
      </x:c>
      <x:c r="T1196" s="56" t="n">
        <x:v>13270</x:v>
      </x:c>
      <x:c r="U1196" s="40" t="n">
        <x:f>E1196*Assumptions!$B$8</x:f>
        <x:v>5070.25</x:v>
      </x:c>
      <x:c r="V1196" s="40" t="n">
        <x:f>P1196*Assumptions!$B$8</x:f>
        <x:v>4405.619718838912</x:v>
      </x:c>
      <x:c r="W1196" s="54" t="n">
        <x:f>V1196-U1196</x:f>
        <x:v>-664.6302811610876</x:v>
      </x:c>
      <x:c r="X1196" s="58" t="n">
        <x:f>IF(R1196="No","",W1196*S1196)</x:f>
        <x:v>-15972394.916863257</x:v>
      </x:c>
      <x:c r="Y1196" s="58" t="n">
        <x:f>IF(R1196="No","",W1196*T1196*Assumptions!$B$9)</x:f>
        <x:v>-2645893.14930229</x:v>
      </x:c>
      <x:c r="Z1196" s="58" t="n">
        <x:f>IF(R1196="No","",X1196-Y1196)</x:f>
        <x:v>-13326501.767560966</x:v>
      </x:c>
      <x:c r="AA1196" s="58" t="n">
        <x:f>IF(R1196="No","",MAX(0,-Z1196))</x:f>
        <x:v>13326501.767560966</x:v>
      </x:c>
      <x:c r="AB1196" s="52" t="n">
        <x:f>IF(OR(R1196="No",U1196*S1196=0),"",AA1196/(U1196*S1196))</x:f>
        <x:v>0.10936966256224682</x:v>
      </x:c>
      <x:c r="AC1196" s="54" t="n">
        <x:f>IF(OR(R1196="No",S1196-T1196*Assumptions!$B$9&lt;=0),"",AA1196/(Assumptions!$B$8*(S1196-T1196*Assumptions!$B$9)))</x:f>
        <x:v>781.9179778365736</x:v>
      </x:c>
      <x:c r="AD1196" s="52" t="n">
        <x:f>IF(OR(R1196="No",U1196*S1196=0),"",AA1196/(U1196*S1196))</x:f>
        <x:v>0.10936966256224682</x:v>
      </x:c>
      <x:c r="AE1196" s="50" t="str">
        <x:f>IF(R1196="No","No finance data",IF(AB1196&gt;=10%,"Severe",IF(AB1196&gt;=5%,"High",IF(AB1196&gt;=2%,"Moderate","Low"))))</x:f>
        <x:v>Severe</x:v>
      </x:c>
      <x:c r="AF1196" s="60" t="n">
        <x:v>40.757267</x:v>
      </x:c>
      <x:c r="AG1196" s="60" t="n">
        <x:v>-73.980813</x:v>
      </x:c>
      <x:c r="AH1196" s="44" t="str">
        <x:v>Undergraduate tuition-contribution proxy only; not an audited total institutional budget.</x:v>
      </x:c>
    </x:row>
    <x:row r="1197">
      <x:c r="A1197" s="16" t="n">
        <x:v>196866</x:v>
      </x:c>
      <x:c r="B1197" s="16" t="str">
        <x:v>Union College</x:v>
      </x:c>
      <x:c r="C1197" s="16" t="str">
        <x:v>NY</x:v>
      </x:c>
      <x:c r="D1197" s="16" t="str">
        <x:v>Private nonprofit</x:v>
      </x:c>
      <x:c r="E1197" s="34" t="n">
        <x:v>2206</x:v>
      </x:c>
      <x:c r="F1197" s="21" t="n">
        <x:v>0.4703</x:v>
      </x:c>
      <x:c r="G1197" s="16" t="str">
        <x:v>Regional</x:v>
      </x:c>
      <x:c r="H1197" s="36" t="n">
        <x:f>IF(G1197="National",Assumptions!$B$11,IF(G1197="Statewide",Assumptions!$B$12,Assumptions!$B$13))</x:f>
        <x:v>0.85</x:v>
      </x:c>
      <x:c r="I1197" s="21" t="n">
        <x:v>-0.08678079290324192</x:v>
      </x:c>
      <x:c r="J1197" s="21" t="n">
        <x:v>-0.14585233360743566</x:v>
      </x:c>
      <x:c r="K1197" s="21" t="n">
        <x:v>-0.24979193142458445</x:v>
      </x:c>
      <x:c r="L1197" s="36" t="n">
        <x:f>IF(Assumptions!$B$4=2030,I1197,IF(Assumptions!$B$4=2035,J1197,K1197))</x:f>
        <x:v>-0.14585233360743566</x:v>
      </x:c>
      <x:c r="M1197" s="36" t="n">
        <x:f>Assumptions!$B$19</x:f>
        <x:v>-0.04739891965741583</x:v>
      </x:c>
      <x:c r="N1197" s="52" t="n">
        <x:f>H1197*L1197+(1-H1197)*M1197+O1197</x:f>
        <x:v>-0.13108432151493268</x:v>
      </x:c>
      <x:c r="O1197" s="36" t="n">
        <x:f>Assumptions!$B$10</x:f>
        <x:v>0</x:v>
      </x:c>
      <x:c r="P1197" s="54" t="n">
        <x:f>E1197*(1+N1197)</x:f>
        <x:v>1916.8279867380586</x:v>
      </x:c>
      <x:c r="Q1197" s="54" t="n">
        <x:f>P1197-E1197</x:f>
        <x:v>-289.1720132619414</x:v>
      </x:c>
      <x:c r="R1197" s="16" t="str">
        <x:v>Yes</x:v>
      </x:c>
      <x:c r="S1197" s="56" t="n">
        <x:v>31922</x:v>
      </x:c>
      <x:c r="T1197" s="56" t="n">
        <x:v>23793</x:v>
      </x:c>
      <x:c r="U1197" s="40" t="n">
        <x:f>E1197*Assumptions!$B$8</x:f>
        <x:v>1875.1</x:v>
      </x:c>
      <x:c r="V1197" s="40" t="n">
        <x:f>P1197*Assumptions!$B$8</x:f>
        <x:v>1629.3037887273497</x:v>
      </x:c>
      <x:c r="W1197" s="54" t="n">
        <x:f>V1197-U1197</x:f>
        <x:v>-245.79621127265023</x:v>
      </x:c>
      <x:c r="X1197" s="58" t="n">
        <x:f>IF(R1197="No","",W1197*S1197)</x:f>
        <x:v>-7846306.656245541</x:v>
      </x:c>
      <x:c r="Y1197" s="58" t="n">
        <x:f>IF(R1197="No","",W1197*T1197*Assumptions!$B$9)</x:f>
        <x:v>-1754468.77644305</x:v>
      </x:c>
      <x:c r="Z1197" s="58" t="n">
        <x:f>IF(R1197="No","",X1197-Y1197)</x:f>
        <x:v>-6091837.879802491</x:v>
      </x:c>
      <x:c r="AA1197" s="58" t="n">
        <x:f>IF(R1197="No","",MAX(0,-Z1197))</x:f>
        <x:v>6091837.879802491</x:v>
      </x:c>
      <x:c r="AB1197" s="52" t="n">
        <x:f>IF(OR(R1197="No",U1197*S1197=0),"",AA1197/(U1197*S1197))</x:f>
        <x:v>0.10177328904386451</x:v>
      </x:c>
      <x:c r="AC1197" s="54" t="n">
        <x:f>IF(OR(R1197="No",S1197-T1197*Assumptions!$B$9&lt;=0),"",AA1197/(Assumptions!$B$8*(S1197-T1197*Assumptions!$B$9)))</x:f>
        <x:v>289.1720132619415</x:v>
      </x:c>
      <x:c r="AD1197" s="52" t="n">
        <x:f>IF(OR(R1197="No",U1197*S1197=0),"",AA1197/(U1197*S1197))</x:f>
        <x:v>0.10177328904386451</x:v>
      </x:c>
      <x:c r="AE1197" s="50" t="str">
        <x:f>IF(R1197="No","No finance data",IF(AB1197&gt;=10%,"Severe",IF(AB1197&gt;=5%,"High",IF(AB1197&gt;=2%,"Moderate","Low"))))</x:f>
        <x:v>Severe</x:v>
      </x:c>
      <x:c r="AF1197" s="60" t="n">
        <x:v>42.818097</x:v>
      </x:c>
      <x:c r="AG1197" s="60" t="n">
        <x:v>-73.928788</x:v>
      </x:c>
      <x:c r="AH1197" s="44" t="str">
        <x:v>Undergraduate tuition-contribution proxy only; not an audited total institutional budget.</x:v>
      </x:c>
    </x:row>
    <x:row r="1198">
      <x:c r="A1198" s="16" t="n">
        <x:v>197027</x:v>
      </x:c>
      <x:c r="B1198" s="16" t="str">
        <x:v>United States Merchant Marine Academy</x:v>
      </x:c>
      <x:c r="C1198" s="16" t="str">
        <x:v>NY</x:v>
      </x:c>
      <x:c r="D1198" s="16" t="str">
        <x:v>Public</x:v>
      </x:c>
      <x:c r="E1198" s="34" t="n">
        <x:v>904</x:v>
      </x:c>
      <x:c r="F1198" s="21" t="n">
        <x:v>0.2521</x:v>
      </x:c>
      <x:c r="G1198" s="16" t="str">
        <x:v>National</x:v>
      </x:c>
      <x:c r="H1198" s="36" t="n">
        <x:f>IF(G1198="National",Assumptions!$B$11,IF(G1198="Statewide",Assumptions!$B$12,Assumptions!$B$13))</x:f>
        <x:v>0.25</x:v>
      </x:c>
      <x:c r="I1198" s="21" t="n">
        <x:v>-0.08678079290324192</x:v>
      </x:c>
      <x:c r="J1198" s="21" t="n">
        <x:v>-0.14585233360743566</x:v>
      </x:c>
      <x:c r="K1198" s="21" t="n">
        <x:v>-0.24979193142458445</x:v>
      </x:c>
      <x:c r="L1198" s="36" t="n">
        <x:f>IF(Assumptions!$B$4=2030,I1198,IF(Assumptions!$B$4=2035,J1198,K1198))</x:f>
        <x:v>-0.14585233360743566</x:v>
      </x:c>
      <x:c r="M1198" s="36" t="n">
        <x:f>Assumptions!$B$19</x:f>
        <x:v>-0.04739891965741583</x:v>
      </x:c>
      <x:c r="N1198" s="52" t="n">
        <x:f>H1198*L1198+(1-H1198)*M1198+O1198</x:f>
        <x:v>-0.07201227314492079</x:v>
      </x:c>
      <x:c r="O1198" s="36" t="n">
        <x:f>Assumptions!$B$10</x:f>
        <x:v>0</x:v>
      </x:c>
      <x:c r="P1198" s="54" t="n">
        <x:f>E1198*(1+N1198)</x:f>
        <x:v>838.9009050769916</x:v>
      </x:c>
      <x:c r="Q1198" s="54" t="n">
        <x:f>P1198-E1198</x:f>
        <x:v>-65.09909492300835</x:v>
      </x:c>
      <x:c r="R1198" s="16" t="str">
        <x:v>Yes</x:v>
      </x:c>
      <x:c r="S1198" s="56" t="n">
        <x:v>0</x:v>
      </x:c>
      <x:c r="T1198" s="56" t="n">
        <x:v>8736</x:v>
      </x:c>
      <x:c r="U1198" s="40" t="n">
        <x:f>E1198*Assumptions!$B$8</x:f>
        <x:v>768.4</x:v>
      </x:c>
      <x:c r="V1198" s="40" t="n">
        <x:f>P1198*Assumptions!$B$8</x:f>
        <x:v>713.0657693154429</x:v>
      </x:c>
      <x:c r="W1198" s="54" t="n">
        <x:f>V1198-U1198</x:f>
        <x:v>-55.33423068455704</x:v>
      </x:c>
      <x:c r="X1198" s="58" t="n">
        <x:f>IF(R1198="No","",W1198*S1198)</x:f>
        <x:v>0</x:v>
      </x:c>
      <x:c r="Y1198" s="58" t="n">
        <x:f>IF(R1198="No","",W1198*T1198*Assumptions!$B$9)</x:f>
        <x:v>-145019.9517780871</x:v>
      </x:c>
      <x:c r="Z1198" s="58" t="n">
        <x:f>IF(R1198="No","",X1198-Y1198)</x:f>
        <x:v>145019.9517780871</x:v>
      </x:c>
      <x:c r="AA1198" s="58" t="n">
        <x:f>IF(R1198="No","",MAX(0,-Z1198))</x:f>
        <x:v>0</x:v>
      </x:c>
      <x:c r="AB1198" s="52" t="str">
        <x:f>IF(OR(R1198="No",U1198*S1198=0),"",AA1198/(U1198*S1198))</x:f>
      </x:c>
      <x:c r="AC1198" s="54" t="str">
        <x:f>IF(OR(R1198="No",S1198-T1198*Assumptions!$B$9&lt;=0),"",AA1198/(Assumptions!$B$8*(S1198-T1198*Assumptions!$B$9)))</x:f>
      </x:c>
      <x:c r="AD1198" s="52" t="str">
        <x:f>IF(OR(R1198="No",U1198*S1198=0),"",AA1198/(U1198*S1198))</x:f>
      </x:c>
      <x:c r="AE1198" s="50" t="str">
        <x:f>IF(R1198="No","No finance data",IF(AB1198&gt;=10%,"Severe",IF(AB1198&gt;=5%,"High",IF(AB1198&gt;=2%,"Moderate","Low"))))</x:f>
        <x:v>Low</x:v>
      </x:c>
      <x:c r="AF1198" s="60" t="n">
        <x:v>40.81357</x:v>
      </x:c>
      <x:c r="AG1198" s="60" t="n">
        <x:v>-73.763004</x:v>
      </x:c>
      <x:c r="AH1198" s="44" t="str">
        <x:v>Undergraduate tuition-contribution proxy only; not an audited total institutional budget.</x:v>
      </x:c>
    </x:row>
    <x:row r="1199">
      <x:c r="A1199" s="16" t="n">
        <x:v>197018</x:v>
      </x:c>
      <x:c r="B1199" s="16" t="str">
        <x:v>United Talmudical Seminary</x:v>
      </x:c>
      <x:c r="C1199" s="16" t="str">
        <x:v>NY</x:v>
      </x:c>
      <x:c r="D1199" s="16" t="str">
        <x:v>Private nonprofit</x:v>
      </x:c>
      <x:c r="E1199" s="34" t="n">
        <x:v>2096</x:v>
      </x:c>
      <x:c r="F1199" s="21"/>
      <x:c r="G1199" s="16" t="str">
        <x:v>Regional</x:v>
      </x:c>
      <x:c r="H1199" s="36" t="n">
        <x:f>IF(G1199="National",Assumptions!$B$11,IF(G1199="Statewide",Assumptions!$B$12,Assumptions!$B$13))</x:f>
        <x:v>0.85</x:v>
      </x:c>
      <x:c r="I1199" s="21" t="n">
        <x:v>-0.08678079290324192</x:v>
      </x:c>
      <x:c r="J1199" s="21" t="n">
        <x:v>-0.14585233360743566</x:v>
      </x:c>
      <x:c r="K1199" s="21" t="n">
        <x:v>-0.24979193142458445</x:v>
      </x:c>
      <x:c r="L1199" s="36" t="n">
        <x:f>IF(Assumptions!$B$4=2030,I1199,IF(Assumptions!$B$4=2035,J1199,K1199))</x:f>
        <x:v>-0.14585233360743566</x:v>
      </x:c>
      <x:c r="M1199" s="36" t="n">
        <x:f>Assumptions!$B$19</x:f>
        <x:v>-0.04739891965741583</x:v>
      </x:c>
      <x:c r="N1199" s="52" t="n">
        <x:f>H1199*L1199+(1-H1199)*M1199+O1199</x:f>
        <x:v>-0.13108432151493268</x:v>
      </x:c>
      <x:c r="O1199" s="36" t="n">
        <x:f>Assumptions!$B$10</x:f>
        <x:v>0</x:v>
      </x:c>
      <x:c r="P1199" s="54" t="n">
        <x:f>E1199*(1+N1199)</x:f>
        <x:v>1821.2472621047011</x:v>
      </x:c>
      <x:c r="Q1199" s="54" t="n">
        <x:f>P1199-E1199</x:f>
        <x:v>-274.7527378952989</x:v>
      </x:c>
      <x:c r="R1199" s="16" t="str">
        <x:v>Yes</x:v>
      </x:c>
      <x:c r="S1199" s="56" t="n">
        <x:v>10608</x:v>
      </x:c>
      <x:c r="T1199" s="56" t="n">
        <x:v>5018</x:v>
      </x:c>
      <x:c r="U1199" s="40" t="n">
        <x:f>E1199*Assumptions!$B$8</x:f>
        <x:v>1781.6</x:v>
      </x:c>
      <x:c r="V1199" s="40" t="n">
        <x:f>P1199*Assumptions!$B$8</x:f>
        <x:v>1548.060172788996</x:v>
      </x:c>
      <x:c r="W1199" s="54" t="n">
        <x:f>V1199-U1199</x:f>
        <x:v>-233.53982721100397</x:v>
      </x:c>
      <x:c r="X1199" s="58" t="n">
        <x:f>IF(R1199="No","",W1199*S1199)</x:f>
        <x:v>-2477390.4870543303</x:v>
      </x:c>
      <x:c r="Y1199" s="58" t="n">
        <x:f>IF(R1199="No","",W1199*T1199*Assumptions!$B$9)</x:f>
        <x:v>-351570.85588344536</x:v>
      </x:c>
      <x:c r="Z1199" s="58" t="n">
        <x:f>IF(R1199="No","",X1199-Y1199)</x:f>
        <x:v>-2125819.6311708847</x:v>
      </x:c>
      <x:c r="AA1199" s="58" t="n">
        <x:f>IF(R1199="No","",MAX(0,-Z1199))</x:f>
        <x:v>2125819.6311708847</x:v>
      </x:c>
      <x:c r="AB1199" s="52" t="n">
        <x:f>IF(OR(R1199="No",U1199*S1199=0),"",AA1199/(U1199*S1199))</x:f>
        <x:v>0.11248191412347527</x:v>
      </x:c>
      <x:c r="AC1199" s="54" t="n">
        <x:f>IF(OR(R1199="No",S1199-T1199*Assumptions!$B$9&lt;=0),"",AA1199/(Assumptions!$B$8*(S1199-T1199*Assumptions!$B$9)))</x:f>
        <x:v>274.75273789529876</x:v>
      </x:c>
      <x:c r="AD1199" s="52" t="n">
        <x:f>IF(OR(R1199="No",U1199*S1199=0),"",AA1199/(U1199*S1199))</x:f>
        <x:v>0.11248191412347527</x:v>
      </x:c>
      <x:c r="AE1199" s="50" t="str">
        <x:f>IF(R1199="No","No finance data",IF(AB1199&gt;=10%,"Severe",IF(AB1199&gt;=5%,"High",IF(AB1199&gt;=2%,"Moderate","Low"))))</x:f>
        <x:v>Severe</x:v>
      </x:c>
      <x:c r="AF1199" s="60" t="n">
        <x:v>40.705687</x:v>
      </x:c>
      <x:c r="AG1199" s="60" t="n">
        <x:v>-73.959113</x:v>
      </x:c>
      <x:c r="AH1199" s="44" t="str">
        <x:v>Undergraduate tuition-contribution proxy only; not an audited total institutional budget.</x:v>
      </x:c>
    </x:row>
    <x:row r="1200">
      <x:c r="A1200" s="16" t="n">
        <x:v>196088</x:v>
      </x:c>
      <x:c r="B1200" s="16" t="str">
        <x:v>University at Buffalo</x:v>
      </x:c>
      <x:c r="C1200" s="16" t="str">
        <x:v>NY</x:v>
      </x:c>
      <x:c r="D1200" s="16" t="str">
        <x:v>Public</x:v>
      </x:c>
      <x:c r="E1200" s="34" t="n">
        <x:v>19692</x:v>
      </x:c>
      <x:c r="F1200" s="21" t="n">
        <x:v>0.7009</x:v>
      </x:c>
      <x:c r="G1200" s="16" t="str">
        <x:v>Statewide</x:v>
      </x:c>
      <x:c r="H1200" s="36" t="n">
        <x:f>IF(G1200="National",Assumptions!$B$11,IF(G1200="Statewide",Assumptions!$B$12,Assumptions!$B$13))</x:f>
        <x:v>0.6</x:v>
      </x:c>
      <x:c r="I1200" s="21" t="n">
        <x:v>-0.08678079290324192</x:v>
      </x:c>
      <x:c r="J1200" s="21" t="n">
        <x:v>-0.14585233360743566</x:v>
      </x:c>
      <x:c r="K1200" s="21" t="n">
        <x:v>-0.24979193142458445</x:v>
      </x:c>
      <x:c r="L1200" s="36" t="n">
        <x:f>IF(Assumptions!$B$4=2030,I1200,IF(Assumptions!$B$4=2035,J1200,K1200))</x:f>
        <x:v>-0.14585233360743566</x:v>
      </x:c>
      <x:c r="M1200" s="36" t="n">
        <x:f>Assumptions!$B$19</x:f>
        <x:v>-0.04739891965741583</x:v>
      </x:c>
      <x:c r="N1200" s="52" t="n">
        <x:f>H1200*L1200+(1-H1200)*M1200+O1200</x:f>
        <x:v>-0.10647096802742773</x:v>
      </x:c>
      <x:c r="O1200" s="36" t="n">
        <x:f>Assumptions!$B$10</x:f>
        <x:v>0</x:v>
      </x:c>
      <x:c r="P1200" s="54" t="n">
        <x:f>E1200*(1+N1200)</x:f>
        <x:v>17595.373697603893</x:v>
      </x:c>
      <x:c r="Q1200" s="54" t="n">
        <x:f>P1200-E1200</x:f>
        <x:v>-2096.6263023961073</x:v>
      </x:c>
      <x:c r="R1200" s="16" t="str">
        <x:v>Yes</x:v>
      </x:c>
      <x:c r="S1200" s="56" t="n">
        <x:v>9062</x:v>
      </x:c>
      <x:c r="T1200" s="56" t="n">
        <x:v>15003</x:v>
      </x:c>
      <x:c r="U1200" s="40" t="n">
        <x:f>E1200*Assumptions!$B$8</x:f>
        <x:v>16738.2</x:v>
      </x:c>
      <x:c r="V1200" s="40" t="n">
        <x:f>P1200*Assumptions!$B$8</x:f>
        <x:v>14956.067642963308</x:v>
      </x:c>
      <x:c r="W1200" s="54" t="n">
        <x:f>V1200-U1200</x:f>
        <x:v>-1782.132357036693</x:v>
      </x:c>
      <x:c r="X1200" s="58" t="n">
        <x:f>IF(R1200="No","",W1200*S1200)</x:f>
        <x:v>-16149683.419466512</x:v>
      </x:c>
      <x:c r="Y1200" s="58" t="n">
        <x:f>IF(R1200="No","",W1200*T1200*Assumptions!$B$9)</x:f>
        <x:v>-8021199.525786451</x:v>
      </x:c>
      <x:c r="Z1200" s="58" t="n">
        <x:f>IF(R1200="No","",X1200-Y1200)</x:f>
        <x:v>-8128483.893680061</x:v>
      </x:c>
      <x:c r="AA1200" s="58" t="n">
        <x:f>IF(R1200="No","",MAX(0,-Z1200))</x:f>
        <x:v>8128483.893680061</x:v>
      </x:c>
      <x:c r="AB1200" s="52" t="n">
        <x:f>IF(OR(R1200="No",U1200*S1200=0),"",AA1200/(U1200*S1200))</x:f>
        <x:v>0.05358913399579577</x:v>
      </x:c>
      <x:c r="AC1200" s="54" t="n">
        <x:f>IF(OR(R1200="No",S1200-T1200*Assumptions!$B$9&lt;=0),"",AA1200/(Assumptions!$B$8*(S1200-T1200*Assumptions!$B$9)))</x:f>
        <x:v>2096.626302396109</x:v>
      </x:c>
      <x:c r="AD1200" s="52" t="n">
        <x:f>IF(OR(R1200="No",U1200*S1200=0),"",AA1200/(U1200*S1200))</x:f>
        <x:v>0.05358913399579577</x:v>
      </x:c>
      <x:c r="AE1200" s="50" t="str">
        <x:f>IF(R1200="No","No finance data",IF(AB1200&gt;=10%,"Severe",IF(AB1200&gt;=5%,"High",IF(AB1200&gt;=2%,"Moderate","Low"))))</x:f>
        <x:v>High</x:v>
      </x:c>
      <x:c r="AF1200" s="60" t="n">
        <x:v>43.000942</x:v>
      </x:c>
      <x:c r="AG1200" s="60" t="n">
        <x:v>-78.789458</x:v>
      </x:c>
      <x:c r="AH1200" s="44" t="str">
        <x:v>Undergraduate tuition-contribution proxy only; not an audited total institutional budget.</x:v>
      </x:c>
    </x:row>
    <x:row r="1201">
      <x:c r="A1201" s="16" t="n">
        <x:v>195030</x:v>
      </x:c>
      <x:c r="B1201" s="16" t="str">
        <x:v>University of Rochester</x:v>
      </x:c>
      <x:c r="C1201" s="16" t="str">
        <x:v>NY</x:v>
      </x:c>
      <x:c r="D1201" s="16" t="str">
        <x:v>Private nonprofit</x:v>
      </x:c>
      <x:c r="E1201" s="34" t="n">
        <x:v>6125</x:v>
      </x:c>
      <x:c r="F1201" s="21" t="n">
        <x:v>0.4055</x:v>
      </x:c>
      <x:c r="G1201" s="16" t="str">
        <x:v>Regional</x:v>
      </x:c>
      <x:c r="H1201" s="36" t="n">
        <x:f>IF(G1201="National",Assumptions!$B$11,IF(G1201="Statewide",Assumptions!$B$12,Assumptions!$B$13))</x:f>
        <x:v>0.85</x:v>
      </x:c>
      <x:c r="I1201" s="21" t="n">
        <x:v>-0.08678079290324192</x:v>
      </x:c>
      <x:c r="J1201" s="21" t="n">
        <x:v>-0.14585233360743566</x:v>
      </x:c>
      <x:c r="K1201" s="21" t="n">
        <x:v>-0.24979193142458445</x:v>
      </x:c>
      <x:c r="L1201" s="36" t="n">
        <x:f>IF(Assumptions!$B$4=2030,I1201,IF(Assumptions!$B$4=2035,J1201,K1201))</x:f>
        <x:v>-0.14585233360743566</x:v>
      </x:c>
      <x:c r="M1201" s="36" t="n">
        <x:f>Assumptions!$B$19</x:f>
        <x:v>-0.04739891965741583</x:v>
      </x:c>
      <x:c r="N1201" s="52" t="n">
        <x:f>H1201*L1201+(1-H1201)*M1201+O1201</x:f>
        <x:v>-0.13108432151493268</x:v>
      </x:c>
      <x:c r="O1201" s="36" t="n">
        <x:f>Assumptions!$B$10</x:f>
        <x:v>0</x:v>
      </x:c>
      <x:c r="P1201" s="54" t="n">
        <x:f>E1201*(1+N1201)</x:f>
        <x:v>5322.108530721038</x:v>
      </x:c>
      <x:c r="Q1201" s="54" t="n">
        <x:f>P1201-E1201</x:f>
        <x:v>-802.8914692789622</x:v>
      </x:c>
      <x:c r="R1201" s="16" t="str">
        <x:v>Yes</x:v>
      </x:c>
      <x:c r="S1201" s="56" t="n">
        <x:v>25532</x:v>
      </x:c>
      <x:c r="T1201" s="56" t="n">
        <x:v>29741</x:v>
      </x:c>
      <x:c r="U1201" s="40" t="n">
        <x:f>E1201*Assumptions!$B$8</x:f>
        <x:v>5206.25</x:v>
      </x:c>
      <x:c r="V1201" s="40" t="n">
        <x:f>P1201*Assumptions!$B$8</x:f>
        <x:v>4523.792251112882</x:v>
      </x:c>
      <x:c r="W1201" s="54" t="n">
        <x:f>V1201-U1201</x:f>
        <x:v>-682.4577488871182</x:v>
      </x:c>
      <x:c r="X1201" s="58" t="n">
        <x:f>IF(R1201="No","",W1201*S1201)</x:f>
        <x:v>-17424511.2445859</x:v>
      </x:c>
      <x:c r="Y1201" s="58" t="n">
        <x:f>IF(R1201="No","",W1201*T1201*Assumptions!$B$9)</x:f>
        <x:v>-6089092.7728955345</x:v>
      </x:c>
      <x:c r="Z1201" s="58" t="n">
        <x:f>IF(R1201="No","",X1201-Y1201)</x:f>
        <x:v>-11335418.471690368</x:v>
      </x:c>
      <x:c r="AA1201" s="58" t="n">
        <x:f>IF(R1201="No","",MAX(0,-Z1201))</x:f>
        <x:v>11335418.471690368</x:v>
      </x:c>
      <x:c r="AB1201" s="52" t="n">
        <x:f>IF(OR(R1201="No",U1201*S1201=0),"",AA1201/(U1201*S1201))</x:f>
        <x:v>0.08527617323619682</x:v>
      </x:c>
      <x:c r="AC1201" s="54" t="n">
        <x:f>IF(OR(R1201="No",S1201-T1201*Assumptions!$B$9&lt;=0),"",AA1201/(Assumptions!$B$8*(S1201-T1201*Assumptions!$B$9)))</x:f>
        <x:v>802.8914692789626</x:v>
      </x:c>
      <x:c r="AD1201" s="52" t="n">
        <x:f>IF(OR(R1201="No",U1201*S1201=0),"",AA1201/(U1201*S1201))</x:f>
        <x:v>0.08527617323619682</x:v>
      </x:c>
      <x:c r="AE1201" s="50" t="str">
        <x:f>IF(R1201="No","No finance data",IF(AB1201&gt;=10%,"Severe",IF(AB1201&gt;=5%,"High",IF(AB1201&gt;=2%,"Moderate","Low"))))</x:f>
        <x:v>High</x:v>
      </x:c>
      <x:c r="AF1201" s="60" t="n">
        <x:v>43.126397</x:v>
      </x:c>
      <x:c r="AG1201" s="60" t="n">
        <x:v>-77.631202</x:v>
      </x:c>
      <x:c r="AH1201" s="44" t="str">
        <x:v>Undergraduate tuition-contribution proxy only; not an audited total institutional budget.</x:v>
      </x:c>
    </x:row>
    <x:row r="1202">
      <x:c r="A1202" s="16" t="n">
        <x:v>196307</x:v>
      </x:c>
      <x:c r="B1202" s="16" t="str">
        <x:v>Upstate Medical University</x:v>
      </x:c>
      <x:c r="C1202" s="16" t="str">
        <x:v>NY</x:v>
      </x:c>
      <x:c r="D1202" s="16" t="str">
        <x:v>Public</x:v>
      </x:c>
      <x:c r="E1202" s="34" t="n">
        <x:v>217</x:v>
      </x:c>
      <x:c r="F1202" s="21"/>
      <x:c r="G1202" s="16" t="str">
        <x:v>Regional</x:v>
      </x:c>
      <x:c r="H1202" s="36" t="n">
        <x:f>IF(G1202="National",Assumptions!$B$11,IF(G1202="Statewide",Assumptions!$B$12,Assumptions!$B$13))</x:f>
        <x:v>0.85</x:v>
      </x:c>
      <x:c r="I1202" s="21" t="n">
        <x:v>-0.08678079290324192</x:v>
      </x:c>
      <x:c r="J1202" s="21" t="n">
        <x:v>-0.14585233360743566</x:v>
      </x:c>
      <x:c r="K1202" s="21" t="n">
        <x:v>-0.24979193142458445</x:v>
      </x:c>
      <x:c r="L1202" s="36" t="n">
        <x:f>IF(Assumptions!$B$4=2030,I1202,IF(Assumptions!$B$4=2035,J1202,K1202))</x:f>
        <x:v>-0.14585233360743566</x:v>
      </x:c>
      <x:c r="M1202" s="36" t="n">
        <x:f>Assumptions!$B$19</x:f>
        <x:v>-0.04739891965741583</x:v>
      </x:c>
      <x:c r="N1202" s="52" t="n">
        <x:f>H1202*L1202+(1-H1202)*M1202+O1202</x:f>
        <x:v>-0.13108432151493268</x:v>
      </x:c>
      <x:c r="O1202" s="36" t="n">
        <x:f>Assumptions!$B$10</x:f>
        <x:v>0</x:v>
      </x:c>
      <x:c r="P1202" s="54" t="n">
        <x:f>E1202*(1+N1202)</x:f>
        <x:v>188.55470223125963</x:v>
      </x:c>
      <x:c r="Q1202" s="54" t="n">
        <x:f>P1202-E1202</x:f>
        <x:v>-28.445297768740375</x:v>
      </x:c>
      <x:c r="R1202" s="16" t="str">
        <x:v>No</x:v>
      </x:c>
      <x:c r="S1202" s="56"/>
      <x:c r="T1202" s="56"/>
      <x:c r="U1202" s="40" t="n">
        <x:f>E1202*Assumptions!$B$8</x:f>
        <x:v>184.45</x:v>
      </x:c>
      <x:c r="V1202" s="40" t="n">
        <x:f>P1202*Assumptions!$B$8</x:f>
        <x:v>160.27149689657068</x:v>
      </x:c>
      <x:c r="W1202" s="54" t="n">
        <x:f>V1202-U1202</x:f>
        <x:v>-24.178503103429307</x:v>
      </x:c>
      <x:c r="X1202" s="58" t="str">
        <x:f>IF(R1202="No","",W1202*S1202)</x:f>
      </x:c>
      <x:c r="Y1202" s="58" t="str">
        <x:f>IF(R1202="No","",W1202*T1202*Assumptions!$B$9)</x:f>
      </x:c>
      <x:c r="Z1202" s="58" t="str">
        <x:f>IF(R1202="No","",X1202-Y1202)</x:f>
      </x:c>
      <x:c r="AA1202" s="58" t="str">
        <x:f>IF(R1202="No","",MAX(0,-Z1202))</x:f>
      </x:c>
      <x:c r="AB1202" s="52" t="str">
        <x:f>IF(OR(R1202="No",U1202*S1202=0),"",AA1202/(U1202*S1202))</x:f>
      </x:c>
      <x:c r="AC1202" s="54" t="str">
        <x:f>IF(OR(R1202="No",S1202-T1202*Assumptions!$B$9&lt;=0),"",AA1202/(Assumptions!$B$8*(S1202-T1202*Assumptions!$B$9)))</x:f>
      </x:c>
      <x:c r="AD1202" s="52" t="str">
        <x:f>IF(OR(R1202="No",U1202*S1202=0),"",AA1202/(U1202*S1202))</x:f>
      </x:c>
      <x:c r="AE1202" s="50" t="str">
        <x:f>IF(R1202="No","No finance data",IF(AB1202&gt;=10%,"Severe",IF(AB1202&gt;=5%,"High",IF(AB1202&gt;=2%,"Moderate","Low"))))</x:f>
        <x:v>No finance data</x:v>
      </x:c>
      <x:c r="AF1202" s="60"/>
      <x:c r="AG1202" s="60"/>
      <x:c r="AH1202" s="44" t="str">
        <x:v>Undergraduate tuition-contribution proxy only; not an audited total institutional budget.</x:v>
      </x:c>
    </x:row>
    <x:row r="1203">
      <x:c r="A1203" s="16" t="n">
        <x:v>446604</x:v>
      </x:c>
      <x:c r="B1203" s="16" t="str">
        <x:v>Uta Mesivta of Kiryas Joel</x:v>
      </x:c>
      <x:c r="C1203" s="16" t="str">
        <x:v>NY</x:v>
      </x:c>
      <x:c r="D1203" s="16" t="str">
        <x:v>Private nonprofit</x:v>
      </x:c>
      <x:c r="E1203" s="34" t="n">
        <x:v>1688</x:v>
      </x:c>
      <x:c r="F1203" s="21"/>
      <x:c r="G1203" s="16" t="str">
        <x:v>Regional</x:v>
      </x:c>
      <x:c r="H1203" s="36" t="n">
        <x:f>IF(G1203="National",Assumptions!$B$11,IF(G1203="Statewide",Assumptions!$B$12,Assumptions!$B$13))</x:f>
        <x:v>0.85</x:v>
      </x:c>
      <x:c r="I1203" s="21" t="n">
        <x:v>-0.08678079290324192</x:v>
      </x:c>
      <x:c r="J1203" s="21" t="n">
        <x:v>-0.14585233360743566</x:v>
      </x:c>
      <x:c r="K1203" s="21" t="n">
        <x:v>-0.24979193142458445</x:v>
      </x:c>
      <x:c r="L1203" s="36" t="n">
        <x:f>IF(Assumptions!$B$4=2030,I1203,IF(Assumptions!$B$4=2035,J1203,K1203))</x:f>
        <x:v>-0.14585233360743566</x:v>
      </x:c>
      <x:c r="M1203" s="36" t="n">
        <x:f>Assumptions!$B$19</x:f>
        <x:v>-0.04739891965741583</x:v>
      </x:c>
      <x:c r="N1203" s="52" t="n">
        <x:f>H1203*L1203+(1-H1203)*M1203+O1203</x:f>
        <x:v>-0.13108432151493268</x:v>
      </x:c>
      <x:c r="O1203" s="36" t="n">
        <x:f>Assumptions!$B$10</x:f>
        <x:v>0</x:v>
      </x:c>
      <x:c r="P1203" s="54" t="n">
        <x:f>E1203*(1+N1203)</x:f>
        <x:v>1466.7296652827936</x:v>
      </x:c>
      <x:c r="Q1203" s="54" t="n">
        <x:f>P1203-E1203</x:f>
        <x:v>-221.27033471720642</x:v>
      </x:c>
      <x:c r="R1203" s="16" t="str">
        <x:v>Yes</x:v>
      </x:c>
      <x:c r="S1203" s="56" t="n">
        <x:v>12362</x:v>
      </x:c>
      <x:c r="T1203" s="56" t="n">
        <x:v>6116</x:v>
      </x:c>
      <x:c r="U1203" s="40" t="n">
        <x:f>E1203*Assumptions!$B$8</x:f>
        <x:v>1434.8</x:v>
      </x:c>
      <x:c r="V1203" s="40" t="n">
        <x:f>P1203*Assumptions!$B$8</x:f>
        <x:v>1246.7202154903746</x:v>
      </x:c>
      <x:c r="W1203" s="54" t="n">
        <x:f>V1203-U1203</x:f>
        <x:v>-188.07978450962537</x:v>
      </x:c>
      <x:c r="X1203" s="58" t="n">
        <x:f>IF(R1203="No","",W1203*S1203)</x:f>
        <x:v>-2325042.296107989</x:v>
      </x:c>
      <x:c r="Y1203" s="58" t="n">
        <x:f>IF(R1203="No","",W1203*T1203*Assumptions!$B$9)</x:f>
        <x:v>-345088.7886182606</x:v>
      </x:c>
      <x:c r="Z1203" s="58" t="n">
        <x:f>IF(R1203="No","",X1203-Y1203)</x:f>
        <x:v>-1979953.5074897283</x:v>
      </x:c>
      <x:c r="AA1203" s="58" t="n">
        <x:f>IF(R1203="No","",MAX(0,-Z1203))</x:f>
        <x:v>1979953.5074897283</x:v>
      </x:c>
      <x:c r="AB1203" s="52" t="n">
        <x:f>IF(OR(R1203="No",U1203*S1203=0),"",AA1203/(U1203*S1203))</x:f>
        <x:v>0.11162844761786113</x:v>
      </x:c>
      <x:c r="AC1203" s="54" t="n">
        <x:f>IF(OR(R1203="No",S1203-T1203*Assumptions!$B$9&lt;=0),"",AA1203/(Assumptions!$B$8*(S1203-T1203*Assumptions!$B$9)))</x:f>
        <x:v>221.2703347172063</x:v>
      </x:c>
      <x:c r="AD1203" s="52" t="n">
        <x:f>IF(OR(R1203="No",U1203*S1203=0),"",AA1203/(U1203*S1203))</x:f>
        <x:v>0.11162844761786113</x:v>
      </x:c>
      <x:c r="AE1203" s="50" t="str">
        <x:f>IF(R1203="No","No finance data",IF(AB1203&gt;=10%,"Severe",IF(AB1203&gt;=5%,"High",IF(AB1203&gt;=2%,"Moderate","Low"))))</x:f>
        <x:v>Severe</x:v>
      </x:c>
      <x:c r="AF1203" s="60" t="n">
        <x:v>41.333864</x:v>
      </x:c>
      <x:c r="AG1203" s="60" t="n">
        <x:v>-74.161179</x:v>
      </x:c>
      <x:c r="AH1203" s="44" t="str">
        <x:v>Undergraduate tuition-contribution proxy only; not an audited total institutional budget.</x:v>
      </x:c>
    </x:row>
    <x:row r="1204">
      <x:c r="A1204" s="16" t="n">
        <x:v>197045</x:v>
      </x:c>
      <x:c r="B1204" s="16" t="str">
        <x:v>Utica College</x:v>
      </x:c>
      <x:c r="C1204" s="16" t="str">
        <x:v>NY</x:v>
      </x:c>
      <x:c r="D1204" s="16" t="str">
        <x:v>Private nonprofit</x:v>
      </x:c>
      <x:c r="E1204" s="34" t="n">
        <x:v>3041</x:v>
      </x:c>
      <x:c r="F1204" s="21" t="n">
        <x:v>0.8944</x:v>
      </x:c>
      <x:c r="G1204" s="16" t="str">
        <x:v>Regional</x:v>
      </x:c>
      <x:c r="H1204" s="36" t="n">
        <x:f>IF(G1204="National",Assumptions!$B$11,IF(G1204="Statewide",Assumptions!$B$12,Assumptions!$B$13))</x:f>
        <x:v>0.85</x:v>
      </x:c>
      <x:c r="I1204" s="21" t="n">
        <x:v>-0.08678079290324192</x:v>
      </x:c>
      <x:c r="J1204" s="21" t="n">
        <x:v>-0.14585233360743566</x:v>
      </x:c>
      <x:c r="K1204" s="21" t="n">
        <x:v>-0.24979193142458445</x:v>
      </x:c>
      <x:c r="L1204" s="36" t="n">
        <x:f>IF(Assumptions!$B$4=2030,I1204,IF(Assumptions!$B$4=2035,J1204,K1204))</x:f>
        <x:v>-0.14585233360743566</x:v>
      </x:c>
      <x:c r="M1204" s="36" t="n">
        <x:f>Assumptions!$B$19</x:f>
        <x:v>-0.04739891965741583</x:v>
      </x:c>
      <x:c r="N1204" s="52" t="n">
        <x:f>H1204*L1204+(1-H1204)*M1204+O1204</x:f>
        <x:v>-0.13108432151493268</x:v>
      </x:c>
      <x:c r="O1204" s="36" t="n">
        <x:f>Assumptions!$B$10</x:f>
        <x:v>0</x:v>
      </x:c>
      <x:c r="P1204" s="54" t="n">
        <x:f>E1204*(1+N1204)</x:f>
        <x:v>2642.37257827309</x:v>
      </x:c>
      <x:c r="Q1204" s="54" t="n">
        <x:f>P1204-E1204</x:f>
        <x:v>-398.62742172691014</x:v>
      </x:c>
      <x:c r="R1204" s="16" t="str">
        <x:v>Yes</x:v>
      </x:c>
      <x:c r="S1204" s="56" t="n">
        <x:v>13424</x:v>
      </x:c>
      <x:c r="T1204" s="56" t="n">
        <x:v>7391</x:v>
      </x:c>
      <x:c r="U1204" s="40" t="n">
        <x:f>E1204*Assumptions!$B$8</x:f>
        <x:v>2584.85</x:v>
      </x:c>
      <x:c r="V1204" s="40" t="n">
        <x:f>P1204*Assumptions!$B$8</x:f>
        <x:v>2246.0166915321265</x:v>
      </x:c>
      <x:c r="W1204" s="54" t="n">
        <x:f>V1204-U1204</x:f>
        <x:v>-338.8333084678734</x:v>
      </x:c>
      <x:c r="X1204" s="58" t="n">
        <x:f>IF(R1204="No","",W1204*S1204)</x:f>
        <x:v>-4548498.332872733</x:v>
      </x:c>
      <x:c r="Y1204" s="58" t="n">
        <x:f>IF(R1204="No","",W1204*T1204*Assumptions!$B$9)</x:f>
        <x:v>-751295.0948658156</x:v>
      </x:c>
      <x:c r="Z1204" s="58" t="n">
        <x:f>IF(R1204="No","",X1204-Y1204)</x:f>
        <x:v>-3797203.238006917</x:v>
      </x:c>
      <x:c r="AA1204" s="58" t="n">
        <x:f>IF(R1204="No","",MAX(0,-Z1204))</x:f>
        <x:v>3797203.238006917</x:v>
      </x:c>
      <x:c r="AB1204" s="52" t="n">
        <x:f>IF(OR(R1204="No",U1204*S1204=0),"",AA1204/(U1204*S1204))</x:f>
        <x:v>0.10943255854599185</x:v>
      </x:c>
      <x:c r="AC1204" s="54" t="n">
        <x:f>IF(OR(R1204="No",S1204-T1204*Assumptions!$B$9&lt;=0),"",AA1204/(Assumptions!$B$8*(S1204-T1204*Assumptions!$B$9)))</x:f>
        <x:v>398.6274217269099</x:v>
      </x:c>
      <x:c r="AD1204" s="52" t="n">
        <x:f>IF(OR(R1204="No",U1204*S1204=0),"",AA1204/(U1204*S1204))</x:f>
        <x:v>0.10943255854599185</x:v>
      </x:c>
      <x:c r="AE1204" s="50" t="str">
        <x:f>IF(R1204="No","No finance data",IF(AB1204&gt;=10%,"Severe",IF(AB1204&gt;=5%,"High",IF(AB1204&gt;=2%,"Moderate","Low"))))</x:f>
        <x:v>Severe</x:v>
      </x:c>
      <x:c r="AF1204" s="60" t="n">
        <x:v>43.096213</x:v>
      </x:c>
      <x:c r="AG1204" s="60" t="n">
        <x:v>-75.272916</x:v>
      </x:c>
      <x:c r="AH1204" s="44" t="str">
        <x:v>Undergraduate tuition-contribution proxy only; not an audited total institutional budget.</x:v>
      </x:c>
    </x:row>
    <x:row r="1205">
      <x:c r="A1205" s="16" t="n">
        <x:v>197133</x:v>
      </x:c>
      <x:c r="B1205" s="16" t="str">
        <x:v>Vassar College</x:v>
      </x:c>
      <x:c r="C1205" s="16" t="str">
        <x:v>NY</x:v>
      </x:c>
      <x:c r="D1205" s="16" t="str">
        <x:v>Private nonprofit</x:v>
      </x:c>
      <x:c r="E1205" s="34" t="n">
        <x:v>2414</x:v>
      </x:c>
      <x:c r="F1205" s="21" t="n">
        <x:v>0.2015</x:v>
      </x:c>
      <x:c r="G1205" s="16" t="str">
        <x:v>National</x:v>
      </x:c>
      <x:c r="H1205" s="36" t="n">
        <x:f>IF(G1205="National",Assumptions!$B$11,IF(G1205="Statewide",Assumptions!$B$12,Assumptions!$B$13))</x:f>
        <x:v>0.25</x:v>
      </x:c>
      <x:c r="I1205" s="21" t="n">
        <x:v>-0.08678079290324192</x:v>
      </x:c>
      <x:c r="J1205" s="21" t="n">
        <x:v>-0.14585233360743566</x:v>
      </x:c>
      <x:c r="K1205" s="21" t="n">
        <x:v>-0.24979193142458445</x:v>
      </x:c>
      <x:c r="L1205" s="36" t="n">
        <x:f>IF(Assumptions!$B$4=2030,I1205,IF(Assumptions!$B$4=2035,J1205,K1205))</x:f>
        <x:v>-0.14585233360743566</x:v>
      </x:c>
      <x:c r="M1205" s="36" t="n">
        <x:f>Assumptions!$B$19</x:f>
        <x:v>-0.04739891965741583</x:v>
      </x:c>
      <x:c r="N1205" s="52" t="n">
        <x:f>H1205*L1205+(1-H1205)*M1205+O1205</x:f>
        <x:v>-0.07201227314492079</x:v>
      </x:c>
      <x:c r="O1205" s="36" t="n">
        <x:f>Assumptions!$B$10</x:f>
        <x:v>0</x:v>
      </x:c>
      <x:c r="P1205" s="54" t="n">
        <x:f>E1205*(1+N1205)</x:f>
        <x:v>2240.1623726281614</x:v>
      </x:c>
      <x:c r="Q1205" s="54" t="n">
        <x:f>P1205-E1205</x:f>
        <x:v>-173.8376273718386</x:v>
      </x:c>
      <x:c r="R1205" s="16" t="str">
        <x:v>Yes</x:v>
      </x:c>
      <x:c r="S1205" s="56" t="n">
        <x:v>38246</x:v>
      </x:c>
      <x:c r="T1205" s="56" t="n">
        <x:v>31384</x:v>
      </x:c>
      <x:c r="U1205" s="40" t="n">
        <x:f>E1205*Assumptions!$B$8</x:f>
        <x:v>2051.9</x:v>
      </x:c>
      <x:c r="V1205" s="40" t="n">
        <x:f>P1205*Assumptions!$B$8</x:f>
        <x:v>1904.138016733937</x:v>
      </x:c>
      <x:c r="W1205" s="54" t="n">
        <x:f>V1205-U1205</x:f>
        <x:v>-147.761983266063</x:v>
      </x:c>
      <x:c r="X1205" s="58" t="n">
        <x:f>IF(R1205="No","",W1205*S1205)</x:f>
        <x:v>-5651304.811993846</x:v>
      </x:c>
      <x:c r="Y1205" s="58" t="n">
        <x:f>IF(R1205="No","",W1205*T1205*Assumptions!$B$9)</x:f>
        <x:v>-1391208.624846636</x:v>
      </x:c>
      <x:c r="Z1205" s="58" t="n">
        <x:f>IF(R1205="No","",X1205-Y1205)</x:f>
        <x:v>-4260096.187147209</x:v>
      </x:c>
      <x:c r="AA1205" s="58" t="n">
        <x:f>IF(R1205="No","",MAX(0,-Z1205))</x:f>
        <x:v>4260096.187147209</x:v>
      </x:c>
      <x:c r="AB1205" s="52" t="n">
        <x:f>IF(OR(R1205="No",U1205*S1205=0),"",AA1205/(U1205*S1205))</x:f>
        <x:v>0.054284668843449846</x:v>
      </x:c>
      <x:c r="AC1205" s="54" t="n">
        <x:f>IF(OR(R1205="No",S1205-T1205*Assumptions!$B$9&lt;=0),"",AA1205/(Assumptions!$B$8*(S1205-T1205*Assumptions!$B$9)))</x:f>
        <x:v>173.83762737183883</x:v>
      </x:c>
      <x:c r="AD1205" s="52" t="n">
        <x:f>IF(OR(R1205="No",U1205*S1205=0),"",AA1205/(U1205*S1205))</x:f>
        <x:v>0.054284668843449846</x:v>
      </x:c>
      <x:c r="AE1205" s="50" t="str">
        <x:f>IF(R1205="No","No finance data",IF(AB1205&gt;=10%,"Severe",IF(AB1205&gt;=5%,"High",IF(AB1205&gt;=2%,"Moderate","Low"))))</x:f>
        <x:v>High</x:v>
      </x:c>
      <x:c r="AF1205" s="60" t="n">
        <x:v>41.686895</x:v>
      </x:c>
      <x:c r="AG1205" s="60" t="n">
        <x:v>-73.895088</x:v>
      </x:c>
      <x:c r="AH1205" s="44" t="str">
        <x:v>Undergraduate tuition-contribution proxy only; not an audited total institutional budget.</x:v>
      </x:c>
    </x:row>
    <x:row r="1206">
      <x:c r="A1206" s="16" t="n">
        <x:v>197142</x:v>
      </x:c>
      <x:c r="B1206" s="16" t="str">
        <x:v>Villa Maria College</x:v>
      </x:c>
      <x:c r="C1206" s="16" t="str">
        <x:v>NY</x:v>
      </x:c>
      <x:c r="D1206" s="16" t="str">
        <x:v>Private nonprofit</x:v>
      </x:c>
      <x:c r="E1206" s="34" t="n">
        <x:v>541</x:v>
      </x:c>
      <x:c r="F1206" s="21"/>
      <x:c r="G1206" s="16" t="str">
        <x:v>Regional</x:v>
      </x:c>
      <x:c r="H1206" s="36" t="n">
        <x:f>IF(G1206="National",Assumptions!$B$11,IF(G1206="Statewide",Assumptions!$B$12,Assumptions!$B$13))</x:f>
        <x:v>0.85</x:v>
      </x:c>
      <x:c r="I1206" s="21" t="n">
        <x:v>-0.08678079290324192</x:v>
      </x:c>
      <x:c r="J1206" s="21" t="n">
        <x:v>-0.14585233360743566</x:v>
      </x:c>
      <x:c r="K1206" s="21" t="n">
        <x:v>-0.24979193142458445</x:v>
      </x:c>
      <x:c r="L1206" s="36" t="n">
        <x:f>IF(Assumptions!$B$4=2030,I1206,IF(Assumptions!$B$4=2035,J1206,K1206))</x:f>
        <x:v>-0.14585233360743566</x:v>
      </x:c>
      <x:c r="M1206" s="36" t="n">
        <x:f>Assumptions!$B$19</x:f>
        <x:v>-0.04739891965741583</x:v>
      </x:c>
      <x:c r="N1206" s="52" t="n">
        <x:f>H1206*L1206+(1-H1206)*M1206+O1206</x:f>
        <x:v>-0.13108432151493268</x:v>
      </x:c>
      <x:c r="O1206" s="36" t="n">
        <x:f>Assumptions!$B$10</x:f>
        <x:v>0</x:v>
      </x:c>
      <x:c r="P1206" s="54" t="n">
        <x:f>E1206*(1+N1206)</x:f>
        <x:v>470.08338206042146</x:v>
      </x:c>
      <x:c r="Q1206" s="54" t="n">
        <x:f>P1206-E1206</x:f>
        <x:v>-70.91661793957854</x:v>
      </x:c>
      <x:c r="R1206" s="16" t="str">
        <x:v>No</x:v>
      </x:c>
      <x:c r="S1206" s="56"/>
      <x:c r="T1206" s="56"/>
      <x:c r="U1206" s="40" t="n">
        <x:f>E1206*Assumptions!$B$8</x:f>
        <x:v>459.84999999999997</x:v>
      </x:c>
      <x:c r="V1206" s="40" t="n">
        <x:f>P1206*Assumptions!$B$8</x:f>
        <x:v>399.57087475135825</x:v>
      </x:c>
      <x:c r="W1206" s="54" t="n">
        <x:f>V1206-U1206</x:f>
        <x:v>-60.27912524864172</x:v>
      </x:c>
      <x:c r="X1206" s="58" t="str">
        <x:f>IF(R1206="No","",W1206*S1206)</x:f>
      </x:c>
      <x:c r="Y1206" s="58" t="str">
        <x:f>IF(R1206="No","",W1206*T1206*Assumptions!$B$9)</x:f>
      </x:c>
      <x:c r="Z1206" s="58" t="str">
        <x:f>IF(R1206="No","",X1206-Y1206)</x:f>
      </x:c>
      <x:c r="AA1206" s="58" t="str">
        <x:f>IF(R1206="No","",MAX(0,-Z1206))</x:f>
      </x:c>
      <x:c r="AB1206" s="52" t="str">
        <x:f>IF(OR(R1206="No",U1206*S1206=0),"",AA1206/(U1206*S1206))</x:f>
      </x:c>
      <x:c r="AC1206" s="54" t="str">
        <x:f>IF(OR(R1206="No",S1206-T1206*Assumptions!$B$9&lt;=0),"",AA1206/(Assumptions!$B$8*(S1206-T1206*Assumptions!$B$9)))</x:f>
      </x:c>
      <x:c r="AD1206" s="52" t="str">
        <x:f>IF(OR(R1206="No",U1206*S1206=0),"",AA1206/(U1206*S1206))</x:f>
      </x:c>
      <x:c r="AE1206" s="50" t="str">
        <x:f>IF(R1206="No","No finance data",IF(AB1206&gt;=10%,"Severe",IF(AB1206&gt;=5%,"High",IF(AB1206&gt;=2%,"Moderate","Low"))))</x:f>
        <x:v>No finance data</x:v>
      </x:c>
      <x:c r="AF1206" s="60"/>
      <x:c r="AG1206" s="60"/>
      <x:c r="AH1206" s="44" t="str">
        <x:v>Undergraduate tuition-contribution proxy only; not an audited total institutional budget.</x:v>
      </x:c>
    </x:row>
    <x:row r="1207">
      <x:c r="A1207" s="16" t="n">
        <x:v>197197</x:v>
      </x:c>
      <x:c r="B1207" s="16" t="str">
        <x:v>Wagner College</x:v>
      </x:c>
      <x:c r="C1207" s="16" t="str">
        <x:v>NY</x:v>
      </x:c>
      <x:c r="D1207" s="16" t="str">
        <x:v>Private nonprofit</x:v>
      </x:c>
      <x:c r="E1207" s="34" t="n">
        <x:v>1748</x:v>
      </x:c>
      <x:c r="F1207" s="21" t="n">
        <x:v>0.8173</x:v>
      </x:c>
      <x:c r="G1207" s="16" t="str">
        <x:v>Regional</x:v>
      </x:c>
      <x:c r="H1207" s="36" t="n">
        <x:f>IF(G1207="National",Assumptions!$B$11,IF(G1207="Statewide",Assumptions!$B$12,Assumptions!$B$13))</x:f>
        <x:v>0.85</x:v>
      </x:c>
      <x:c r="I1207" s="21" t="n">
        <x:v>-0.08678079290324192</x:v>
      </x:c>
      <x:c r="J1207" s="21" t="n">
        <x:v>-0.14585233360743566</x:v>
      </x:c>
      <x:c r="K1207" s="21" t="n">
        <x:v>-0.24979193142458445</x:v>
      </x:c>
      <x:c r="L1207" s="36" t="n">
        <x:f>IF(Assumptions!$B$4=2030,I1207,IF(Assumptions!$B$4=2035,J1207,K1207))</x:f>
        <x:v>-0.14585233360743566</x:v>
      </x:c>
      <x:c r="M1207" s="36" t="n">
        <x:f>Assumptions!$B$19</x:f>
        <x:v>-0.04739891965741583</x:v>
      </x:c>
      <x:c r="N1207" s="52" t="n">
        <x:f>H1207*L1207+(1-H1207)*M1207+O1207</x:f>
        <x:v>-0.13108432151493268</x:v>
      </x:c>
      <x:c r="O1207" s="36" t="n">
        <x:f>Assumptions!$B$10</x:f>
        <x:v>0</x:v>
      </x:c>
      <x:c r="P1207" s="54" t="n">
        <x:f>E1207*(1+N1207)</x:f>
        <x:v>1518.8646059918976</x:v>
      </x:c>
      <x:c r="Q1207" s="54" t="n">
        <x:f>P1207-E1207</x:f>
        <x:v>-229.13539400810237</x:v>
      </x:c>
      <x:c r="R1207" s="16" t="str">
        <x:v>Yes</x:v>
      </x:c>
      <x:c r="S1207" s="56" t="n">
        <x:v>20977</x:v>
      </x:c>
      <x:c r="T1207" s="56" t="n">
        <x:v>9084</x:v>
      </x:c>
      <x:c r="U1207" s="40" t="n">
        <x:f>E1207*Assumptions!$B$8</x:f>
        <x:v>1485.8</x:v>
      </x:c>
      <x:c r="V1207" s="40" t="n">
        <x:f>P1207*Assumptions!$B$8</x:f>
        <x:v>1291.0349150931129</x:v>
      </x:c>
      <x:c r="W1207" s="54" t="n">
        <x:f>V1207-U1207</x:f>
        <x:v>-194.76508490688707</x:v>
      </x:c>
      <x:c r="X1207" s="58" t="n">
        <x:f>IF(R1207="No","",W1207*S1207)</x:f>
        <x:v>-4085587.18609177</x:v>
      </x:c>
      <x:c r="Y1207" s="58" t="n">
        <x:f>IF(R1207="No","",W1207*T1207*Assumptions!$B$9)</x:f>
        <x:v>-530773.8093882486</x:v>
      </x:c>
      <x:c r="Z1207" s="58" t="n">
        <x:f>IF(R1207="No","",X1207-Y1207)</x:f>
        <x:v>-3554813.3767035212</x:v>
      </x:c>
      <x:c r="AA1207" s="58" t="n">
        <x:f>IF(R1207="No","",MAX(0,-Z1207))</x:f>
        <x:v>3554813.3767035212</x:v>
      </x:c>
      <x:c r="AB1207" s="52" t="n">
        <x:f>IF(OR(R1207="No",U1207*S1207=0),"",AA1207/(U1207*S1207))</x:f>
        <x:v>0.11405467032589262</x:v>
      </x:c>
      <x:c r="AC1207" s="54" t="n">
        <x:f>IF(OR(R1207="No",S1207-T1207*Assumptions!$B$9&lt;=0),"",AA1207/(Assumptions!$B$8*(S1207-T1207*Assumptions!$B$9)))</x:f>
        <x:v>229.13539400810245</x:v>
      </x:c>
      <x:c r="AD1207" s="52" t="n">
        <x:f>IF(OR(R1207="No",U1207*S1207=0),"",AA1207/(U1207*S1207))</x:f>
        <x:v>0.11405467032589262</x:v>
      </x:c>
      <x:c r="AE1207" s="50" t="str">
        <x:f>IF(R1207="No","No finance data",IF(AB1207&gt;=10%,"Severe",IF(AB1207&gt;=5%,"High",IF(AB1207&gt;=2%,"Moderate","Low"))))</x:f>
        <x:v>Severe</x:v>
      </x:c>
      <x:c r="AF1207" s="60" t="n">
        <x:v>40.615588</x:v>
      </x:c>
      <x:c r="AG1207" s="60" t="n">
        <x:v>-74.092913</x:v>
      </x:c>
      <x:c r="AH1207" s="44" t="str">
        <x:v>Undergraduate tuition-contribution proxy only; not an audited total institutional budget.</x:v>
      </x:c>
    </x:row>
    <x:row r="1208">
      <x:c r="A1208" s="16" t="n">
        <x:v>197221</x:v>
      </x:c>
      <x:c r="B1208" s="16" t="str">
        <x:v>Webb Institute</x:v>
      </x:c>
      <x:c r="C1208" s="16" t="str">
        <x:v>NY</x:v>
      </x:c>
      <x:c r="D1208" s="16" t="str">
        <x:v>Private nonprofit</x:v>
      </x:c>
      <x:c r="E1208" s="34" t="n">
        <x:v>91</x:v>
      </x:c>
      <x:c r="F1208" s="21"/>
      <x:c r="G1208" s="16" t="str">
        <x:v>Regional</x:v>
      </x:c>
      <x:c r="H1208" s="36" t="n">
        <x:f>IF(G1208="National",Assumptions!$B$11,IF(G1208="Statewide",Assumptions!$B$12,Assumptions!$B$13))</x:f>
        <x:v>0.85</x:v>
      </x:c>
      <x:c r="I1208" s="21" t="n">
        <x:v>-0.08678079290324192</x:v>
      </x:c>
      <x:c r="J1208" s="21" t="n">
        <x:v>-0.14585233360743566</x:v>
      </x:c>
      <x:c r="K1208" s="21" t="n">
        <x:v>-0.24979193142458445</x:v>
      </x:c>
      <x:c r="L1208" s="36" t="n">
        <x:f>IF(Assumptions!$B$4=2030,I1208,IF(Assumptions!$B$4=2035,J1208,K1208))</x:f>
        <x:v>-0.14585233360743566</x:v>
      </x:c>
      <x:c r="M1208" s="36" t="n">
        <x:f>Assumptions!$B$19</x:f>
        <x:v>-0.04739891965741583</x:v>
      </x:c>
      <x:c r="N1208" s="52" t="n">
        <x:f>H1208*L1208+(1-H1208)*M1208+O1208</x:f>
        <x:v>-0.13108432151493268</x:v>
      </x:c>
      <x:c r="O1208" s="36" t="n">
        <x:f>Assumptions!$B$10</x:f>
        <x:v>0</x:v>
      </x:c>
      <x:c r="P1208" s="54" t="n">
        <x:f>E1208*(1+N1208)</x:f>
        <x:v>79.07132674214112</x:v>
      </x:c>
      <x:c r="Q1208" s="54" t="n">
        <x:f>P1208-E1208</x:f>
        <x:v>-11.928673257858875</x:v>
      </x:c>
      <x:c r="R1208" s="16" t="str">
        <x:v>No</x:v>
      </x:c>
      <x:c r="S1208" s="56"/>
      <x:c r="T1208" s="56"/>
      <x:c r="U1208" s="40" t="n">
        <x:f>E1208*Assumptions!$B$8</x:f>
        <x:v>77.35</x:v>
      </x:c>
      <x:c r="V1208" s="40" t="n">
        <x:f>P1208*Assumptions!$B$8</x:f>
        <x:v>67.21062773081995</x:v>
      </x:c>
      <x:c r="W1208" s="54" t="n">
        <x:f>V1208-U1208</x:f>
        <x:v>-10.139372269180043</x:v>
      </x:c>
      <x:c r="X1208" s="58" t="str">
        <x:f>IF(R1208="No","",W1208*S1208)</x:f>
      </x:c>
      <x:c r="Y1208" s="58" t="str">
        <x:f>IF(R1208="No","",W1208*T1208*Assumptions!$B$9)</x:f>
      </x:c>
      <x:c r="Z1208" s="58" t="str">
        <x:f>IF(R1208="No","",X1208-Y1208)</x:f>
      </x:c>
      <x:c r="AA1208" s="58" t="str">
        <x:f>IF(R1208="No","",MAX(0,-Z1208))</x:f>
      </x:c>
      <x:c r="AB1208" s="52" t="str">
        <x:f>IF(OR(R1208="No",U1208*S1208=0),"",AA1208/(U1208*S1208))</x:f>
      </x:c>
      <x:c r="AC1208" s="54" t="str">
        <x:f>IF(OR(R1208="No",S1208-T1208*Assumptions!$B$9&lt;=0),"",AA1208/(Assumptions!$B$8*(S1208-T1208*Assumptions!$B$9)))</x:f>
      </x:c>
      <x:c r="AD1208" s="52" t="str">
        <x:f>IF(OR(R1208="No",U1208*S1208=0),"",AA1208/(U1208*S1208))</x:f>
      </x:c>
      <x:c r="AE1208" s="50" t="str">
        <x:f>IF(R1208="No","No finance data",IF(AB1208&gt;=10%,"Severe",IF(AB1208&gt;=5%,"High",IF(AB1208&gt;=2%,"Moderate","Low"))))</x:f>
        <x:v>No finance data</x:v>
      </x:c>
      <x:c r="AF1208" s="60"/>
      <x:c r="AG1208" s="60"/>
      <x:c r="AH1208" s="44" t="str">
        <x:v>Undergraduate tuition-contribution proxy only; not an audited total institutional budget.</x:v>
      </x:c>
    </x:row>
    <x:row r="1209">
      <x:c r="A1209" s="16" t="n">
        <x:v>197230</x:v>
      </x:c>
      <x:c r="B1209" s="16" t="str">
        <x:v>Wells College</x:v>
      </x:c>
      <x:c r="C1209" s="16" t="str">
        <x:v>NY</x:v>
      </x:c>
      <x:c r="D1209" s="16" t="str">
        <x:v>Private nonprofit</x:v>
      </x:c>
      <x:c r="E1209" s="34" t="n">
        <x:v>548</x:v>
      </x:c>
      <x:c r="F1209" s="21"/>
      <x:c r="G1209" s="16" t="str">
        <x:v>Regional</x:v>
      </x:c>
      <x:c r="H1209" s="36" t="n">
        <x:f>IF(G1209="National",Assumptions!$B$11,IF(G1209="Statewide",Assumptions!$B$12,Assumptions!$B$13))</x:f>
        <x:v>0.85</x:v>
      </x:c>
      <x:c r="I1209" s="21" t="n">
        <x:v>-0.08678079290324192</x:v>
      </x:c>
      <x:c r="J1209" s="21" t="n">
        <x:v>-0.14585233360743566</x:v>
      </x:c>
      <x:c r="K1209" s="21" t="n">
        <x:v>-0.24979193142458445</x:v>
      </x:c>
      <x:c r="L1209" s="36" t="n">
        <x:f>IF(Assumptions!$B$4=2030,I1209,IF(Assumptions!$B$4=2035,J1209,K1209))</x:f>
        <x:v>-0.14585233360743566</x:v>
      </x:c>
      <x:c r="M1209" s="36" t="n">
        <x:f>Assumptions!$B$19</x:f>
        <x:v>-0.04739891965741583</x:v>
      </x:c>
      <x:c r="N1209" s="52" t="n">
        <x:f>H1209*L1209+(1-H1209)*M1209+O1209</x:f>
        <x:v>-0.13108432151493268</x:v>
      </x:c>
      <x:c r="O1209" s="36" t="n">
        <x:f>Assumptions!$B$10</x:f>
        <x:v>0</x:v>
      </x:c>
      <x:c r="P1209" s="54" t="n">
        <x:f>E1209*(1+N1209)</x:f>
        <x:v>476.1657918098169</x:v>
      </x:c>
      <x:c r="Q1209" s="54" t="n">
        <x:f>P1209-E1209</x:f>
        <x:v>-71.83420819018312</x:v>
      </x:c>
      <x:c r="R1209" s="16" t="str">
        <x:v>No</x:v>
      </x:c>
      <x:c r="S1209" s="56"/>
      <x:c r="T1209" s="56"/>
      <x:c r="U1209" s="40" t="n">
        <x:f>E1209*Assumptions!$B$8</x:f>
        <x:v>465.8</x:v>
      </x:c>
      <x:c r="V1209" s="40" t="n">
        <x:f>P1209*Assumptions!$B$8</x:f>
        <x:v>404.74092303834436</x:v>
      </x:c>
      <x:c r="W1209" s="54" t="n">
        <x:f>V1209-U1209</x:f>
        <x:v>-61.05907696165565</x:v>
      </x:c>
      <x:c r="X1209" s="58" t="str">
        <x:f>IF(R1209="No","",W1209*S1209)</x:f>
      </x:c>
      <x:c r="Y1209" s="58" t="str">
        <x:f>IF(R1209="No","",W1209*T1209*Assumptions!$B$9)</x:f>
      </x:c>
      <x:c r="Z1209" s="58" t="str">
        <x:f>IF(R1209="No","",X1209-Y1209)</x:f>
      </x:c>
      <x:c r="AA1209" s="58" t="str">
        <x:f>IF(R1209="No","",MAX(0,-Z1209))</x:f>
      </x:c>
      <x:c r="AB1209" s="52" t="str">
        <x:f>IF(OR(R1209="No",U1209*S1209=0),"",AA1209/(U1209*S1209))</x:f>
      </x:c>
      <x:c r="AC1209" s="54" t="str">
        <x:f>IF(OR(R1209="No",S1209-T1209*Assumptions!$B$9&lt;=0),"",AA1209/(Assumptions!$B$8*(S1209-T1209*Assumptions!$B$9)))</x:f>
      </x:c>
      <x:c r="AD1209" s="52" t="str">
        <x:f>IF(OR(R1209="No",U1209*S1209=0),"",AA1209/(U1209*S1209))</x:f>
      </x:c>
      <x:c r="AE1209" s="50" t="str">
        <x:f>IF(R1209="No","No finance data",IF(AB1209&gt;=10%,"Severe",IF(AB1209&gt;=5%,"High",IF(AB1209&gt;=2%,"Moderate","Low"))))</x:f>
        <x:v>No finance data</x:v>
      </x:c>
      <x:c r="AF1209" s="60"/>
      <x:c r="AG1209" s="60"/>
      <x:c r="AH1209" s="44" t="str">
        <x:v>Undergraduate tuition-contribution proxy only; not an audited total institutional budget.</x:v>
      </x:c>
    </x:row>
    <x:row r="1210">
      <x:c r="A1210" s="16" t="n">
        <x:v>420325</x:v>
      </x:c>
      <x:c r="B1210" s="16" t="str">
        <x:v>Yeshiva D'monsey Rabbinical College</x:v>
      </x:c>
      <x:c r="C1210" s="16" t="str">
        <x:v>NY</x:v>
      </x:c>
      <x:c r="D1210" s="16" t="str">
        <x:v>Private nonprofit</x:v>
      </x:c>
      <x:c r="E1210" s="34" t="n">
        <x:v>57</x:v>
      </x:c>
      <x:c r="F1210" s="21"/>
      <x:c r="G1210" s="16" t="str">
        <x:v>Regional</x:v>
      </x:c>
      <x:c r="H1210" s="36" t="n">
        <x:f>IF(G1210="National",Assumptions!$B$11,IF(G1210="Statewide",Assumptions!$B$12,Assumptions!$B$13))</x:f>
        <x:v>0.85</x:v>
      </x:c>
      <x:c r="I1210" s="21" t="n">
        <x:v>-0.08678079290324192</x:v>
      </x:c>
      <x:c r="J1210" s="21" t="n">
        <x:v>-0.14585233360743566</x:v>
      </x:c>
      <x:c r="K1210" s="21" t="n">
        <x:v>-0.24979193142458445</x:v>
      </x:c>
      <x:c r="L1210" s="36" t="n">
        <x:f>IF(Assumptions!$B$4=2030,I1210,IF(Assumptions!$B$4=2035,J1210,K1210))</x:f>
        <x:v>-0.14585233360743566</x:v>
      </x:c>
      <x:c r="M1210" s="36" t="n">
        <x:f>Assumptions!$B$19</x:f>
        <x:v>-0.04739891965741583</x:v>
      </x:c>
      <x:c r="N1210" s="52" t="n">
        <x:f>H1210*L1210+(1-H1210)*M1210+O1210</x:f>
        <x:v>-0.13108432151493268</x:v>
      </x:c>
      <x:c r="O1210" s="36" t="n">
        <x:f>Assumptions!$B$10</x:f>
        <x:v>0</x:v>
      </x:c>
      <x:c r="P1210" s="54" t="n">
        <x:f>E1210*(1+N1210)</x:f>
        <x:v>49.528193673648836</x:v>
      </x:c>
      <x:c r="Q1210" s="54" t="n">
        <x:f>P1210-E1210</x:f>
        <x:v>-7.471806326351164</x:v>
      </x:c>
      <x:c r="R1210" s="16" t="str">
        <x:v>No</x:v>
      </x:c>
      <x:c r="S1210" s="56"/>
      <x:c r="T1210" s="56"/>
      <x:c r="U1210" s="40" t="n">
        <x:f>E1210*Assumptions!$B$8</x:f>
        <x:v>48.449999999999996</x:v>
      </x:c>
      <x:c r="V1210" s="40" t="n">
        <x:f>P1210*Assumptions!$B$8</x:f>
        <x:v>42.09896462260151</x:v>
      </x:c>
      <x:c r="W1210" s="54" t="n">
        <x:f>V1210-U1210</x:f>
        <x:v>-6.351035377398489</x:v>
      </x:c>
      <x:c r="X1210" s="58" t="str">
        <x:f>IF(R1210="No","",W1210*S1210)</x:f>
      </x:c>
      <x:c r="Y1210" s="58" t="str">
        <x:f>IF(R1210="No","",W1210*T1210*Assumptions!$B$9)</x:f>
      </x:c>
      <x:c r="Z1210" s="58" t="str">
        <x:f>IF(R1210="No","",X1210-Y1210)</x:f>
      </x:c>
      <x:c r="AA1210" s="58" t="str">
        <x:f>IF(R1210="No","",MAX(0,-Z1210))</x:f>
      </x:c>
      <x:c r="AB1210" s="52" t="str">
        <x:f>IF(OR(R1210="No",U1210*S1210=0),"",AA1210/(U1210*S1210))</x:f>
      </x:c>
      <x:c r="AC1210" s="54" t="str">
        <x:f>IF(OR(R1210="No",S1210-T1210*Assumptions!$B$9&lt;=0),"",AA1210/(Assumptions!$B$8*(S1210-T1210*Assumptions!$B$9)))</x:f>
      </x:c>
      <x:c r="AD1210" s="52" t="str">
        <x:f>IF(OR(R1210="No",U1210*S1210=0),"",AA1210/(U1210*S1210))</x:f>
      </x:c>
      <x:c r="AE1210" s="50" t="str">
        <x:f>IF(R1210="No","No finance data",IF(AB1210&gt;=10%,"Severe",IF(AB1210&gt;=5%,"High",IF(AB1210&gt;=2%,"Moderate","Low"))))</x:f>
        <x:v>No finance data</x:v>
      </x:c>
      <x:c r="AF1210" s="60"/>
      <x:c r="AG1210" s="60"/>
      <x:c r="AH1210" s="44" t="str">
        <x:v>Undergraduate tuition-contribution proxy only; not an audited total institutional budget.</x:v>
      </x:c>
    </x:row>
    <x:row r="1211">
      <x:c r="A1211" s="16" t="n">
        <x:v>197647</x:v>
      </x:c>
      <x:c r="B1211" s="16" t="str">
        <x:v>Yeshiva Derech Chaim</x:v>
      </x:c>
      <x:c r="C1211" s="16" t="str">
        <x:v>NY</x:v>
      </x:c>
      <x:c r="D1211" s="16" t="str">
        <x:v>Private nonprofit</x:v>
      </x:c>
      <x:c r="E1211" s="34" t="n">
        <x:v>95</x:v>
      </x:c>
      <x:c r="F1211" s="21"/>
      <x:c r="G1211" s="16" t="str">
        <x:v>Regional</x:v>
      </x:c>
      <x:c r="H1211" s="36" t="n">
        <x:f>IF(G1211="National",Assumptions!$B$11,IF(G1211="Statewide",Assumptions!$B$12,Assumptions!$B$13))</x:f>
        <x:v>0.85</x:v>
      </x:c>
      <x:c r="I1211" s="21" t="n">
        <x:v>-0.08678079290324192</x:v>
      </x:c>
      <x:c r="J1211" s="21" t="n">
        <x:v>-0.14585233360743566</x:v>
      </x:c>
      <x:c r="K1211" s="21" t="n">
        <x:v>-0.24979193142458445</x:v>
      </x:c>
      <x:c r="L1211" s="36" t="n">
        <x:f>IF(Assumptions!$B$4=2030,I1211,IF(Assumptions!$B$4=2035,J1211,K1211))</x:f>
        <x:v>-0.14585233360743566</x:v>
      </x:c>
      <x:c r="M1211" s="36" t="n">
        <x:f>Assumptions!$B$19</x:f>
        <x:v>-0.04739891965741583</x:v>
      </x:c>
      <x:c r="N1211" s="52" t="n">
        <x:f>H1211*L1211+(1-H1211)*M1211+O1211</x:f>
        <x:v>-0.13108432151493268</x:v>
      </x:c>
      <x:c r="O1211" s="36" t="n">
        <x:f>Assumptions!$B$10</x:f>
        <x:v>0</x:v>
      </x:c>
      <x:c r="P1211" s="54" t="n">
        <x:f>E1211*(1+N1211)</x:f>
        <x:v>82.54698945608139</x:v>
      </x:c>
      <x:c r="Q1211" s="54" t="n">
        <x:f>P1211-E1211</x:f>
        <x:v>-12.453010543918609</x:v>
      </x:c>
      <x:c r="R1211" s="16" t="str">
        <x:v>No</x:v>
      </x:c>
      <x:c r="S1211" s="56"/>
      <x:c r="T1211" s="56"/>
      <x:c r="U1211" s="40" t="n">
        <x:f>E1211*Assumptions!$B$8</x:f>
        <x:v>80.75</x:v>
      </x:c>
      <x:c r="V1211" s="40" t="n">
        <x:f>P1211*Assumptions!$B$8</x:f>
        <x:v>70.16494103766918</x:v>
      </x:c>
      <x:c r="W1211" s="54" t="n">
        <x:f>V1211-U1211</x:f>
        <x:v>-10.58505896233082</x:v>
      </x:c>
      <x:c r="X1211" s="58" t="str">
        <x:f>IF(R1211="No","",W1211*S1211)</x:f>
      </x:c>
      <x:c r="Y1211" s="58" t="str">
        <x:f>IF(R1211="No","",W1211*T1211*Assumptions!$B$9)</x:f>
      </x:c>
      <x:c r="Z1211" s="58" t="str">
        <x:f>IF(R1211="No","",X1211-Y1211)</x:f>
      </x:c>
      <x:c r="AA1211" s="58" t="str">
        <x:f>IF(R1211="No","",MAX(0,-Z1211))</x:f>
      </x:c>
      <x:c r="AB1211" s="52" t="str">
        <x:f>IF(OR(R1211="No",U1211*S1211=0),"",AA1211/(U1211*S1211))</x:f>
      </x:c>
      <x:c r="AC1211" s="54" t="str">
        <x:f>IF(OR(R1211="No",S1211-T1211*Assumptions!$B$9&lt;=0),"",AA1211/(Assumptions!$B$8*(S1211-T1211*Assumptions!$B$9)))</x:f>
      </x:c>
      <x:c r="AD1211" s="52" t="str">
        <x:f>IF(OR(R1211="No",U1211*S1211=0),"",AA1211/(U1211*S1211))</x:f>
      </x:c>
      <x:c r="AE1211" s="50" t="str">
        <x:f>IF(R1211="No","No finance data",IF(AB1211&gt;=10%,"Severe",IF(AB1211&gt;=5%,"High",IF(AB1211&gt;=2%,"Moderate","Low"))))</x:f>
        <x:v>No finance data</x:v>
      </x:c>
      <x:c r="AF1211" s="60"/>
      <x:c r="AG1211" s="60"/>
      <x:c r="AH1211" s="44" t="str">
        <x:v>Undergraduate tuition-contribution proxy only; not an audited total institutional budget.</x:v>
      </x:c>
    </x:row>
    <x:row r="1212">
      <x:c r="A1212" s="16" t="n">
        <x:v>486017</x:v>
      </x:c>
      <x:c r="B1212" s="16" t="str">
        <x:v>Yeshiva Gedola Ohr Yisrael</x:v>
      </x:c>
      <x:c r="C1212" s="16" t="str">
        <x:v>NY</x:v>
      </x:c>
      <x:c r="D1212" s="16" t="str">
        <x:v>Private nonprofit</x:v>
      </x:c>
      <x:c r="E1212" s="34" t="n">
        <x:v>40</x:v>
      </x:c>
      <x:c r="F1212" s="21"/>
      <x:c r="G1212" s="16" t="str">
        <x:v>Regional</x:v>
      </x:c>
      <x:c r="H1212" s="36" t="n">
        <x:f>IF(G1212="National",Assumptions!$B$11,IF(G1212="Statewide",Assumptions!$B$12,Assumptions!$B$13))</x:f>
        <x:v>0.85</x:v>
      </x:c>
      <x:c r="I1212" s="21" t="n">
        <x:v>-0.08678079290324192</x:v>
      </x:c>
      <x:c r="J1212" s="21" t="n">
        <x:v>-0.14585233360743566</x:v>
      </x:c>
      <x:c r="K1212" s="21" t="n">
        <x:v>-0.24979193142458445</x:v>
      </x:c>
      <x:c r="L1212" s="36" t="n">
        <x:f>IF(Assumptions!$B$4=2030,I1212,IF(Assumptions!$B$4=2035,J1212,K1212))</x:f>
        <x:v>-0.14585233360743566</x:v>
      </x:c>
      <x:c r="M1212" s="36" t="n">
        <x:f>Assumptions!$B$19</x:f>
        <x:v>-0.04739891965741583</x:v>
      </x:c>
      <x:c r="N1212" s="52" t="n">
        <x:f>H1212*L1212+(1-H1212)*M1212+O1212</x:f>
        <x:v>-0.13108432151493268</x:v>
      </x:c>
      <x:c r="O1212" s="36" t="n">
        <x:f>Assumptions!$B$10</x:f>
        <x:v>0</x:v>
      </x:c>
      <x:c r="P1212" s="54" t="n">
        <x:f>E1212*(1+N1212)</x:f>
        <x:v>34.756627139402696</x:v>
      </x:c>
      <x:c r="Q1212" s="54" t="n">
        <x:f>P1212-E1212</x:f>
        <x:v>-5.2433728605973045</x:v>
      </x:c>
      <x:c r="R1212" s="16" t="str">
        <x:v>No</x:v>
      </x:c>
      <x:c r="S1212" s="56"/>
      <x:c r="T1212" s="56"/>
      <x:c r="U1212" s="40" t="n">
        <x:f>E1212*Assumptions!$B$8</x:f>
        <x:v>34</x:v>
      </x:c>
      <x:c r="V1212" s="40" t="n">
        <x:f>P1212*Assumptions!$B$8</x:f>
        <x:v>29.543133068492292</x:v>
      </x:c>
      <x:c r="W1212" s="54" t="n">
        <x:f>V1212-U1212</x:f>
        <x:v>-4.456866931507708</x:v>
      </x:c>
      <x:c r="X1212" s="58" t="str">
        <x:f>IF(R1212="No","",W1212*S1212)</x:f>
      </x:c>
      <x:c r="Y1212" s="58" t="str">
        <x:f>IF(R1212="No","",W1212*T1212*Assumptions!$B$9)</x:f>
      </x:c>
      <x:c r="Z1212" s="58" t="str">
        <x:f>IF(R1212="No","",X1212-Y1212)</x:f>
      </x:c>
      <x:c r="AA1212" s="58" t="str">
        <x:f>IF(R1212="No","",MAX(0,-Z1212))</x:f>
      </x:c>
      <x:c r="AB1212" s="52" t="str">
        <x:f>IF(OR(R1212="No",U1212*S1212=0),"",AA1212/(U1212*S1212))</x:f>
      </x:c>
      <x:c r="AC1212" s="54" t="str">
        <x:f>IF(OR(R1212="No",S1212-T1212*Assumptions!$B$9&lt;=0),"",AA1212/(Assumptions!$B$8*(S1212-T1212*Assumptions!$B$9)))</x:f>
      </x:c>
      <x:c r="AD1212" s="52" t="str">
        <x:f>IF(OR(R1212="No",U1212*S1212=0),"",AA1212/(U1212*S1212))</x:f>
      </x:c>
      <x:c r="AE1212" s="50" t="str">
        <x:f>IF(R1212="No","No finance data",IF(AB1212&gt;=10%,"Severe",IF(AB1212&gt;=5%,"High",IF(AB1212&gt;=2%,"Moderate","Low"))))</x:f>
        <x:v>No finance data</x:v>
      </x:c>
      <x:c r="AF1212" s="60"/>
      <x:c r="AG1212" s="60"/>
      <x:c r="AH1212" s="44" t="str">
        <x:v>Undergraduate tuition-contribution proxy only; not an audited total institutional budget.</x:v>
      </x:c>
    </x:row>
    <x:row r="1213">
      <x:c r="A1213" s="16" t="n">
        <x:v>375230</x:v>
      </x:c>
      <x:c r="B1213" s="16" t="str">
        <x:v>Yeshiva Gedolah Imrei Yosef D'spinka</x:v>
      </x:c>
      <x:c r="C1213" s="16" t="str">
        <x:v>NY</x:v>
      </x:c>
      <x:c r="D1213" s="16" t="str">
        <x:v>Private nonprofit</x:v>
      </x:c>
      <x:c r="E1213" s="34" t="n">
        <x:v>109</x:v>
      </x:c>
      <x:c r="F1213" s="21"/>
      <x:c r="G1213" s="16" t="str">
        <x:v>Regional</x:v>
      </x:c>
      <x:c r="H1213" s="36" t="n">
        <x:f>IF(G1213="National",Assumptions!$B$11,IF(G1213="Statewide",Assumptions!$B$12,Assumptions!$B$13))</x:f>
        <x:v>0.85</x:v>
      </x:c>
      <x:c r="I1213" s="21" t="n">
        <x:v>-0.08678079290324192</x:v>
      </x:c>
      <x:c r="J1213" s="21" t="n">
        <x:v>-0.14585233360743566</x:v>
      </x:c>
      <x:c r="K1213" s="21" t="n">
        <x:v>-0.24979193142458445</x:v>
      </x:c>
      <x:c r="L1213" s="36" t="n">
        <x:f>IF(Assumptions!$B$4=2030,I1213,IF(Assumptions!$B$4=2035,J1213,K1213))</x:f>
        <x:v>-0.14585233360743566</x:v>
      </x:c>
      <x:c r="M1213" s="36" t="n">
        <x:f>Assumptions!$B$19</x:f>
        <x:v>-0.04739891965741583</x:v>
      </x:c>
      <x:c r="N1213" s="52" t="n">
        <x:f>H1213*L1213+(1-H1213)*M1213+O1213</x:f>
        <x:v>-0.13108432151493268</x:v>
      </x:c>
      <x:c r="O1213" s="36" t="n">
        <x:f>Assumptions!$B$10</x:f>
        <x:v>0</x:v>
      </x:c>
      <x:c r="P1213" s="54" t="n">
        <x:f>E1213*(1+N1213)</x:f>
        <x:v>94.71180895487234</x:v>
      </x:c>
      <x:c r="Q1213" s="54" t="n">
        <x:f>P1213-E1213</x:f>
        <x:v>-14.288191045127661</x:v>
      </x:c>
      <x:c r="R1213" s="16" t="str">
        <x:v>No</x:v>
      </x:c>
      <x:c r="S1213" s="56"/>
      <x:c r="T1213" s="56"/>
      <x:c r="U1213" s="40" t="n">
        <x:f>E1213*Assumptions!$B$8</x:f>
        <x:v>92.64999999999999</x:v>
      </x:c>
      <x:c r="V1213" s="40" t="n">
        <x:f>P1213*Assumptions!$B$8</x:f>
        <x:v>80.50503761164148</x:v>
      </x:c>
      <x:c r="W1213" s="54" t="n">
        <x:f>V1213-U1213</x:f>
        <x:v>-12.144962388358508</x:v>
      </x:c>
      <x:c r="X1213" s="58" t="str">
        <x:f>IF(R1213="No","",W1213*S1213)</x:f>
      </x:c>
      <x:c r="Y1213" s="58" t="str">
        <x:f>IF(R1213="No","",W1213*T1213*Assumptions!$B$9)</x:f>
      </x:c>
      <x:c r="Z1213" s="58" t="str">
        <x:f>IF(R1213="No","",X1213-Y1213)</x:f>
      </x:c>
      <x:c r="AA1213" s="58" t="str">
        <x:f>IF(R1213="No","",MAX(0,-Z1213))</x:f>
      </x:c>
      <x:c r="AB1213" s="52" t="str">
        <x:f>IF(OR(R1213="No",U1213*S1213=0),"",AA1213/(U1213*S1213))</x:f>
      </x:c>
      <x:c r="AC1213" s="54" t="str">
        <x:f>IF(OR(R1213="No",S1213-T1213*Assumptions!$B$9&lt;=0),"",AA1213/(Assumptions!$B$8*(S1213-T1213*Assumptions!$B$9)))</x:f>
      </x:c>
      <x:c r="AD1213" s="52" t="str">
        <x:f>IF(OR(R1213="No",U1213*S1213=0),"",AA1213/(U1213*S1213))</x:f>
      </x:c>
      <x:c r="AE1213" s="50" t="str">
        <x:f>IF(R1213="No","No finance data",IF(AB1213&gt;=10%,"Severe",IF(AB1213&gt;=5%,"High",IF(AB1213&gt;=2%,"Moderate","Low"))))</x:f>
        <x:v>No finance data</x:v>
      </x:c>
      <x:c r="AF1213" s="60"/>
      <x:c r="AG1213" s="60"/>
      <x:c r="AH1213" s="44" t="str">
        <x:v>Undergraduate tuition-contribution proxy only; not an audited total institutional budget.</x:v>
      </x:c>
    </x:row>
    <x:row r="1214">
      <x:c r="A1214" s="16" t="n">
        <x:v>481410</x:v>
      </x:c>
      <x:c r="B1214" s="16" t="str">
        <x:v>Yeshiva Gedolah Kesser Torah</x:v>
      </x:c>
      <x:c r="C1214" s="16" t="str">
        <x:v>NY</x:v>
      </x:c>
      <x:c r="D1214" s="16" t="str">
        <x:v>Private nonprofit</x:v>
      </x:c>
      <x:c r="E1214" s="34" t="n">
        <x:v>70</x:v>
      </x:c>
      <x:c r="F1214" s="21"/>
      <x:c r="G1214" s="16" t="str">
        <x:v>Regional</x:v>
      </x:c>
      <x:c r="H1214" s="36" t="n">
        <x:f>IF(G1214="National",Assumptions!$B$11,IF(G1214="Statewide",Assumptions!$B$12,Assumptions!$B$13))</x:f>
        <x:v>0.85</x:v>
      </x:c>
      <x:c r="I1214" s="21" t="n">
        <x:v>-0.08678079290324192</x:v>
      </x:c>
      <x:c r="J1214" s="21" t="n">
        <x:v>-0.14585233360743566</x:v>
      </x:c>
      <x:c r="K1214" s="21" t="n">
        <x:v>-0.24979193142458445</x:v>
      </x:c>
      <x:c r="L1214" s="36" t="n">
        <x:f>IF(Assumptions!$B$4=2030,I1214,IF(Assumptions!$B$4=2035,J1214,K1214))</x:f>
        <x:v>-0.14585233360743566</x:v>
      </x:c>
      <x:c r="M1214" s="36" t="n">
        <x:f>Assumptions!$B$19</x:f>
        <x:v>-0.04739891965741583</x:v>
      </x:c>
      <x:c r="N1214" s="52" t="n">
        <x:f>H1214*L1214+(1-H1214)*M1214+O1214</x:f>
        <x:v>-0.13108432151493268</x:v>
      </x:c>
      <x:c r="O1214" s="36" t="n">
        <x:f>Assumptions!$B$10</x:f>
        <x:v>0</x:v>
      </x:c>
      <x:c r="P1214" s="54" t="n">
        <x:f>E1214*(1+N1214)</x:f>
        <x:v>60.82409749395472</x:v>
      </x:c>
      <x:c r="Q1214" s="54" t="n">
        <x:f>P1214-E1214</x:f>
        <x:v>-9.175902506045283</x:v>
      </x:c>
      <x:c r="R1214" s="16" t="str">
        <x:v>No</x:v>
      </x:c>
      <x:c r="S1214" s="56"/>
      <x:c r="T1214" s="56"/>
      <x:c r="U1214" s="40" t="n">
        <x:f>E1214*Assumptions!$B$8</x:f>
        <x:v>59.5</x:v>
      </x:c>
      <x:c r="V1214" s="40" t="n">
        <x:f>P1214*Assumptions!$B$8</x:f>
        <x:v>51.70048286986151</x:v>
      </x:c>
      <x:c r="W1214" s="54" t="n">
        <x:f>V1214-U1214</x:f>
        <x:v>-7.79951713013849</x:v>
      </x:c>
      <x:c r="X1214" s="58" t="str">
        <x:f>IF(R1214="No","",W1214*S1214)</x:f>
      </x:c>
      <x:c r="Y1214" s="58" t="str">
        <x:f>IF(R1214="No","",W1214*T1214*Assumptions!$B$9)</x:f>
      </x:c>
      <x:c r="Z1214" s="58" t="str">
        <x:f>IF(R1214="No","",X1214-Y1214)</x:f>
      </x:c>
      <x:c r="AA1214" s="58" t="str">
        <x:f>IF(R1214="No","",MAX(0,-Z1214))</x:f>
      </x:c>
      <x:c r="AB1214" s="52" t="str">
        <x:f>IF(OR(R1214="No",U1214*S1214=0),"",AA1214/(U1214*S1214))</x:f>
      </x:c>
      <x:c r="AC1214" s="54" t="str">
        <x:f>IF(OR(R1214="No",S1214-T1214*Assumptions!$B$9&lt;=0),"",AA1214/(Assumptions!$B$8*(S1214-T1214*Assumptions!$B$9)))</x:f>
      </x:c>
      <x:c r="AD1214" s="52" t="str">
        <x:f>IF(OR(R1214="No",U1214*S1214=0),"",AA1214/(U1214*S1214))</x:f>
      </x:c>
      <x:c r="AE1214" s="50" t="str">
        <x:f>IF(R1214="No","No finance data",IF(AB1214&gt;=10%,"Severe",IF(AB1214&gt;=5%,"High",IF(AB1214&gt;=2%,"Moderate","Low"))))</x:f>
        <x:v>No finance data</x:v>
      </x:c>
      <x:c r="AF1214" s="60"/>
      <x:c r="AG1214" s="60"/>
      <x:c r="AH1214" s="44" t="str">
        <x:v>Undergraduate tuition-contribution proxy only; not an audited total institutional budget.</x:v>
      </x:c>
    </x:row>
    <x:row r="1215">
      <x:c r="A1215" s="16" t="n">
        <x:v>197601</x:v>
      </x:c>
      <x:c r="B1215" s="16" t="str">
        <x:v>Yeshiva Karlin Stolin</x:v>
      </x:c>
      <x:c r="C1215" s="16" t="str">
        <x:v>NY</x:v>
      </x:c>
      <x:c r="D1215" s="16" t="str">
        <x:v>Private nonprofit</x:v>
      </x:c>
      <x:c r="E1215" s="34" t="n">
        <x:v>136</x:v>
      </x:c>
      <x:c r="F1215" s="21"/>
      <x:c r="G1215" s="16" t="str">
        <x:v>Regional</x:v>
      </x:c>
      <x:c r="H1215" s="36" t="n">
        <x:f>IF(G1215="National",Assumptions!$B$11,IF(G1215="Statewide",Assumptions!$B$12,Assumptions!$B$13))</x:f>
        <x:v>0.85</x:v>
      </x:c>
      <x:c r="I1215" s="21" t="n">
        <x:v>-0.08678079290324192</x:v>
      </x:c>
      <x:c r="J1215" s="21" t="n">
        <x:v>-0.14585233360743566</x:v>
      </x:c>
      <x:c r="K1215" s="21" t="n">
        <x:v>-0.24979193142458445</x:v>
      </x:c>
      <x:c r="L1215" s="36" t="n">
        <x:f>IF(Assumptions!$B$4=2030,I1215,IF(Assumptions!$B$4=2035,J1215,K1215))</x:f>
        <x:v>-0.14585233360743566</x:v>
      </x:c>
      <x:c r="M1215" s="36" t="n">
        <x:f>Assumptions!$B$19</x:f>
        <x:v>-0.04739891965741583</x:v>
      </x:c>
      <x:c r="N1215" s="52" t="n">
        <x:f>H1215*L1215+(1-H1215)*M1215+O1215</x:f>
        <x:v>-0.13108432151493268</x:v>
      </x:c>
      <x:c r="O1215" s="36" t="n">
        <x:f>Assumptions!$B$10</x:f>
        <x:v>0</x:v>
      </x:c>
      <x:c r="P1215" s="54" t="n">
        <x:f>E1215*(1+N1215)</x:f>
        <x:v>118.17253227396915</x:v>
      </x:c>
      <x:c r="Q1215" s="54" t="n">
        <x:f>P1215-E1215</x:f>
        <x:v>-17.827467726030847</x:v>
      </x:c>
      <x:c r="R1215" s="16" t="str">
        <x:v>No</x:v>
      </x:c>
      <x:c r="S1215" s="56"/>
      <x:c r="T1215" s="56"/>
      <x:c r="U1215" s="40" t="n">
        <x:f>E1215*Assumptions!$B$8</x:f>
        <x:v>115.6</x:v>
      </x:c>
      <x:c r="V1215" s="40" t="n">
        <x:f>P1215*Assumptions!$B$8</x:f>
        <x:v>100.44665243287378</x:v>
      </x:c>
      <x:c r="W1215" s="54" t="n">
        <x:f>V1215-U1215</x:f>
        <x:v>-15.153347567126218</x:v>
      </x:c>
      <x:c r="X1215" s="58" t="str">
        <x:f>IF(R1215="No","",W1215*S1215)</x:f>
      </x:c>
      <x:c r="Y1215" s="58" t="str">
        <x:f>IF(R1215="No","",W1215*T1215*Assumptions!$B$9)</x:f>
      </x:c>
      <x:c r="Z1215" s="58" t="str">
        <x:f>IF(R1215="No","",X1215-Y1215)</x:f>
      </x:c>
      <x:c r="AA1215" s="58" t="str">
        <x:f>IF(R1215="No","",MAX(0,-Z1215))</x:f>
      </x:c>
      <x:c r="AB1215" s="52" t="str">
        <x:f>IF(OR(R1215="No",U1215*S1215=0),"",AA1215/(U1215*S1215))</x:f>
      </x:c>
      <x:c r="AC1215" s="54" t="str">
        <x:f>IF(OR(R1215="No",S1215-T1215*Assumptions!$B$9&lt;=0),"",AA1215/(Assumptions!$B$8*(S1215-T1215*Assumptions!$B$9)))</x:f>
      </x:c>
      <x:c r="AD1215" s="52" t="str">
        <x:f>IF(OR(R1215="No",U1215*S1215=0),"",AA1215/(U1215*S1215))</x:f>
      </x:c>
      <x:c r="AE1215" s="50" t="str">
        <x:f>IF(R1215="No","No finance data",IF(AB1215&gt;=10%,"Severe",IF(AB1215&gt;=5%,"High",IF(AB1215&gt;=2%,"Moderate","Low"))))</x:f>
        <x:v>No finance data</x:v>
      </x:c>
      <x:c r="AF1215" s="60"/>
      <x:c r="AG1215" s="60"/>
      <x:c r="AH1215" s="44" t="str">
        <x:v>Undergraduate tuition-contribution proxy only; not an audited total institutional budget.</x:v>
      </x:c>
    </x:row>
    <x:row r="1216">
      <x:c r="A1216" s="16" t="n">
        <x:v>197692</x:v>
      </x:c>
      <x:c r="B1216" s="16" t="str">
        <x:v>Yeshiva Shaar Hatorah</x:v>
      </x:c>
      <x:c r="C1216" s="16" t="str">
        <x:v>NY</x:v>
      </x:c>
      <x:c r="D1216" s="16" t="str">
        <x:v>Private nonprofit</x:v>
      </x:c>
      <x:c r="E1216" s="34" t="n">
        <x:v>66</x:v>
      </x:c>
      <x:c r="F1216" s="21"/>
      <x:c r="G1216" s="16" t="str">
        <x:v>Regional</x:v>
      </x:c>
      <x:c r="H1216" s="36" t="n">
        <x:f>IF(G1216="National",Assumptions!$B$11,IF(G1216="Statewide",Assumptions!$B$12,Assumptions!$B$13))</x:f>
        <x:v>0.85</x:v>
      </x:c>
      <x:c r="I1216" s="21" t="n">
        <x:v>-0.08678079290324192</x:v>
      </x:c>
      <x:c r="J1216" s="21" t="n">
        <x:v>-0.14585233360743566</x:v>
      </x:c>
      <x:c r="K1216" s="21" t="n">
        <x:v>-0.24979193142458445</x:v>
      </x:c>
      <x:c r="L1216" s="36" t="n">
        <x:f>IF(Assumptions!$B$4=2030,I1216,IF(Assumptions!$B$4=2035,J1216,K1216))</x:f>
        <x:v>-0.14585233360743566</x:v>
      </x:c>
      <x:c r="M1216" s="36" t="n">
        <x:f>Assumptions!$B$19</x:f>
        <x:v>-0.04739891965741583</x:v>
      </x:c>
      <x:c r="N1216" s="52" t="n">
        <x:f>H1216*L1216+(1-H1216)*M1216+O1216</x:f>
        <x:v>-0.13108432151493268</x:v>
      </x:c>
      <x:c r="O1216" s="36" t="n">
        <x:f>Assumptions!$B$10</x:f>
        <x:v>0</x:v>
      </x:c>
      <x:c r="P1216" s="54" t="n">
        <x:f>E1216*(1+N1216)</x:f>
        <x:v>57.34843478001444</x:v>
      </x:c>
      <x:c r="Q1216" s="54" t="n">
        <x:f>P1216-E1216</x:f>
        <x:v>-8.651565219985557</x:v>
      </x:c>
      <x:c r="R1216" s="16" t="str">
        <x:v>No</x:v>
      </x:c>
      <x:c r="S1216" s="56"/>
      <x:c r="T1216" s="56"/>
      <x:c r="U1216" s="40" t="n">
        <x:f>E1216*Assumptions!$B$8</x:f>
        <x:v>56.1</x:v>
      </x:c>
      <x:c r="V1216" s="40" t="n">
        <x:f>P1216*Assumptions!$B$8</x:f>
        <x:v>48.74616956301227</x:v>
      </x:c>
      <x:c r="W1216" s="54" t="n">
        <x:f>V1216-U1216</x:f>
        <x:v>-7.353830436987728</x:v>
      </x:c>
      <x:c r="X1216" s="58" t="str">
        <x:f>IF(R1216="No","",W1216*S1216)</x:f>
      </x:c>
      <x:c r="Y1216" s="58" t="str">
        <x:f>IF(R1216="No","",W1216*T1216*Assumptions!$B$9)</x:f>
      </x:c>
      <x:c r="Z1216" s="58" t="str">
        <x:f>IF(R1216="No","",X1216-Y1216)</x:f>
      </x:c>
      <x:c r="AA1216" s="58" t="str">
        <x:f>IF(R1216="No","",MAX(0,-Z1216))</x:f>
      </x:c>
      <x:c r="AB1216" s="52" t="str">
        <x:f>IF(OR(R1216="No",U1216*S1216=0),"",AA1216/(U1216*S1216))</x:f>
      </x:c>
      <x:c r="AC1216" s="54" t="str">
        <x:f>IF(OR(R1216="No",S1216-T1216*Assumptions!$B$9&lt;=0),"",AA1216/(Assumptions!$B$8*(S1216-T1216*Assumptions!$B$9)))</x:f>
      </x:c>
      <x:c r="AD1216" s="52" t="str">
        <x:f>IF(OR(R1216="No",U1216*S1216=0),"",AA1216/(U1216*S1216))</x:f>
      </x:c>
      <x:c r="AE1216" s="50" t="str">
        <x:f>IF(R1216="No","No finance data",IF(AB1216&gt;=10%,"Severe",IF(AB1216&gt;=5%,"High",IF(AB1216&gt;=2%,"Moderate","Low"))))</x:f>
        <x:v>No finance data</x:v>
      </x:c>
      <x:c r="AF1216" s="60"/>
      <x:c r="AG1216" s="60"/>
      <x:c r="AH1216" s="44" t="str">
        <x:v>Undergraduate tuition-contribution proxy only; not an audited total institutional budget.</x:v>
      </x:c>
    </x:row>
    <x:row r="1217">
      <x:c r="A1217" s="16" t="n">
        <x:v>441609</x:v>
      </x:c>
      <x:c r="B1217" s="16" t="str">
        <x:v>Yeshiva Shaarei Torah of Rockland</x:v>
      </x:c>
      <x:c r="C1217" s="16" t="str">
        <x:v>NY</x:v>
      </x:c>
      <x:c r="D1217" s="16" t="str">
        <x:v>Private nonprofit</x:v>
      </x:c>
      <x:c r="E1217" s="34" t="n">
        <x:v>91</x:v>
      </x:c>
      <x:c r="F1217" s="21"/>
      <x:c r="G1217" s="16" t="str">
        <x:v>Regional</x:v>
      </x:c>
      <x:c r="H1217" s="36" t="n">
        <x:f>IF(G1217="National",Assumptions!$B$11,IF(G1217="Statewide",Assumptions!$B$12,Assumptions!$B$13))</x:f>
        <x:v>0.85</x:v>
      </x:c>
      <x:c r="I1217" s="21" t="n">
        <x:v>-0.08678079290324192</x:v>
      </x:c>
      <x:c r="J1217" s="21" t="n">
        <x:v>-0.14585233360743566</x:v>
      </x:c>
      <x:c r="K1217" s="21" t="n">
        <x:v>-0.24979193142458445</x:v>
      </x:c>
      <x:c r="L1217" s="36" t="n">
        <x:f>IF(Assumptions!$B$4=2030,I1217,IF(Assumptions!$B$4=2035,J1217,K1217))</x:f>
        <x:v>-0.14585233360743566</x:v>
      </x:c>
      <x:c r="M1217" s="36" t="n">
        <x:f>Assumptions!$B$19</x:f>
        <x:v>-0.04739891965741583</x:v>
      </x:c>
      <x:c r="N1217" s="52" t="n">
        <x:f>H1217*L1217+(1-H1217)*M1217+O1217</x:f>
        <x:v>-0.13108432151493268</x:v>
      </x:c>
      <x:c r="O1217" s="36" t="n">
        <x:f>Assumptions!$B$10</x:f>
        <x:v>0</x:v>
      </x:c>
      <x:c r="P1217" s="54" t="n">
        <x:f>E1217*(1+N1217)</x:f>
        <x:v>79.07132674214112</x:v>
      </x:c>
      <x:c r="Q1217" s="54" t="n">
        <x:f>P1217-E1217</x:f>
        <x:v>-11.928673257858875</x:v>
      </x:c>
      <x:c r="R1217" s="16" t="str">
        <x:v>No</x:v>
      </x:c>
      <x:c r="S1217" s="56"/>
      <x:c r="T1217" s="56"/>
      <x:c r="U1217" s="40" t="n">
        <x:f>E1217*Assumptions!$B$8</x:f>
        <x:v>77.35</x:v>
      </x:c>
      <x:c r="V1217" s="40" t="n">
        <x:f>P1217*Assumptions!$B$8</x:f>
        <x:v>67.21062773081995</x:v>
      </x:c>
      <x:c r="W1217" s="54" t="n">
        <x:f>V1217-U1217</x:f>
        <x:v>-10.139372269180043</x:v>
      </x:c>
      <x:c r="X1217" s="58" t="str">
        <x:f>IF(R1217="No","",W1217*S1217)</x:f>
      </x:c>
      <x:c r="Y1217" s="58" t="str">
        <x:f>IF(R1217="No","",W1217*T1217*Assumptions!$B$9)</x:f>
      </x:c>
      <x:c r="Z1217" s="58" t="str">
        <x:f>IF(R1217="No","",X1217-Y1217)</x:f>
      </x:c>
      <x:c r="AA1217" s="58" t="str">
        <x:f>IF(R1217="No","",MAX(0,-Z1217))</x:f>
      </x:c>
      <x:c r="AB1217" s="52" t="str">
        <x:f>IF(OR(R1217="No",U1217*S1217=0),"",AA1217/(U1217*S1217))</x:f>
      </x:c>
      <x:c r="AC1217" s="54" t="str">
        <x:f>IF(OR(R1217="No",S1217-T1217*Assumptions!$B$9&lt;=0),"",AA1217/(Assumptions!$B$8*(S1217-T1217*Assumptions!$B$9)))</x:f>
      </x:c>
      <x:c r="AD1217" s="52" t="str">
        <x:f>IF(OR(R1217="No",U1217*S1217=0),"",AA1217/(U1217*S1217))</x:f>
      </x:c>
      <x:c r="AE1217" s="50" t="str">
        <x:f>IF(R1217="No","No finance data",IF(AB1217&gt;=10%,"Severe",IF(AB1217&gt;=5%,"High",IF(AB1217&gt;=2%,"Moderate","Low"))))</x:f>
        <x:v>No finance data</x:v>
      </x:c>
      <x:c r="AF1217" s="60"/>
      <x:c r="AG1217" s="60"/>
      <x:c r="AH1217" s="44" t="str">
        <x:v>Undergraduate tuition-contribution proxy only; not an audited total institutional budget.</x:v>
      </x:c>
    </x:row>
    <x:row r="1218">
      <x:c r="A1218" s="16" t="n">
        <x:v>486026</x:v>
      </x:c>
      <x:c r="B1218" s="16" t="str">
        <x:v>Yeshiva Sholom Shachna</x:v>
      </x:c>
      <x:c r="C1218" s="16" t="str">
        <x:v>NY</x:v>
      </x:c>
      <x:c r="D1218" s="16" t="str">
        <x:v>Private nonprofit</x:v>
      </x:c>
      <x:c r="E1218" s="34" t="n">
        <x:v>73</x:v>
      </x:c>
      <x:c r="F1218" s="21"/>
      <x:c r="G1218" s="16" t="str">
        <x:v>Regional</x:v>
      </x:c>
      <x:c r="H1218" s="36" t="n">
        <x:f>IF(G1218="National",Assumptions!$B$11,IF(G1218="Statewide",Assumptions!$B$12,Assumptions!$B$13))</x:f>
        <x:v>0.85</x:v>
      </x:c>
      <x:c r="I1218" s="21" t="n">
        <x:v>-0.08678079290324192</x:v>
      </x:c>
      <x:c r="J1218" s="21" t="n">
        <x:v>-0.14585233360743566</x:v>
      </x:c>
      <x:c r="K1218" s="21" t="n">
        <x:v>-0.24979193142458445</x:v>
      </x:c>
      <x:c r="L1218" s="36" t="n">
        <x:f>IF(Assumptions!$B$4=2030,I1218,IF(Assumptions!$B$4=2035,J1218,K1218))</x:f>
        <x:v>-0.14585233360743566</x:v>
      </x:c>
      <x:c r="M1218" s="36" t="n">
        <x:f>Assumptions!$B$19</x:f>
        <x:v>-0.04739891965741583</x:v>
      </x:c>
      <x:c r="N1218" s="52" t="n">
        <x:f>H1218*L1218+(1-H1218)*M1218+O1218</x:f>
        <x:v>-0.13108432151493268</x:v>
      </x:c>
      <x:c r="O1218" s="36" t="n">
        <x:f>Assumptions!$B$10</x:f>
        <x:v>0</x:v>
      </x:c>
      <x:c r="P1218" s="54" t="n">
        <x:f>E1218*(1+N1218)</x:f>
        <x:v>63.43084452940992</x:v>
      </x:c>
      <x:c r="Q1218" s="54" t="n">
        <x:f>P1218-E1218</x:f>
        <x:v>-9.569155470590083</x:v>
      </x:c>
      <x:c r="R1218" s="16" t="str">
        <x:v>No</x:v>
      </x:c>
      <x:c r="S1218" s="56"/>
      <x:c r="T1218" s="56"/>
      <x:c r="U1218" s="40" t="n">
        <x:f>E1218*Assumptions!$B$8</x:f>
        <x:v>62.05</x:v>
      </x:c>
      <x:c r="V1218" s="40" t="n">
        <x:f>P1218*Assumptions!$B$8</x:f>
        <x:v>53.916217849998425</x:v>
      </x:c>
      <x:c r="W1218" s="54" t="n">
        <x:f>V1218-U1218</x:f>
        <x:v>-8.133782150001572</x:v>
      </x:c>
      <x:c r="X1218" s="58" t="str">
        <x:f>IF(R1218="No","",W1218*S1218)</x:f>
      </x:c>
      <x:c r="Y1218" s="58" t="str">
        <x:f>IF(R1218="No","",W1218*T1218*Assumptions!$B$9)</x:f>
      </x:c>
      <x:c r="Z1218" s="58" t="str">
        <x:f>IF(R1218="No","",X1218-Y1218)</x:f>
      </x:c>
      <x:c r="AA1218" s="58" t="str">
        <x:f>IF(R1218="No","",MAX(0,-Z1218))</x:f>
      </x:c>
      <x:c r="AB1218" s="52" t="str">
        <x:f>IF(OR(R1218="No",U1218*S1218=0),"",AA1218/(U1218*S1218))</x:f>
      </x:c>
      <x:c r="AC1218" s="54" t="str">
        <x:f>IF(OR(R1218="No",S1218-T1218*Assumptions!$B$9&lt;=0),"",AA1218/(Assumptions!$B$8*(S1218-T1218*Assumptions!$B$9)))</x:f>
      </x:c>
      <x:c r="AD1218" s="52" t="str">
        <x:f>IF(OR(R1218="No",U1218*S1218=0),"",AA1218/(U1218*S1218))</x:f>
      </x:c>
      <x:c r="AE1218" s="50" t="str">
        <x:f>IF(R1218="No","No finance data",IF(AB1218&gt;=10%,"Severe",IF(AB1218&gt;=5%,"High",IF(AB1218&gt;=2%,"Moderate","Low"))))</x:f>
        <x:v>No finance data</x:v>
      </x:c>
      <x:c r="AF1218" s="60"/>
      <x:c r="AG1218" s="60"/>
      <x:c r="AH1218" s="44" t="str">
        <x:v>Undergraduate tuition-contribution proxy only; not an audited total institutional budget.</x:v>
      </x:c>
    </x:row>
    <x:row r="1219">
      <x:c r="A1219" s="16" t="n">
        <x:v>197708</x:v>
      </x:c>
      <x:c r="B1219" s="16" t="str">
        <x:v>Yeshiva University</x:v>
      </x:c>
      <x:c r="C1219" s="16" t="str">
        <x:v>NY</x:v>
      </x:c>
      <x:c r="D1219" s="16" t="str">
        <x:v>Private nonprofit</x:v>
      </x:c>
      <x:c r="E1219" s="34" t="n">
        <x:v>2740</x:v>
      </x:c>
      <x:c r="F1219" s="21" t="n">
        <x:v>0.627</x:v>
      </x:c>
      <x:c r="G1219" s="16" t="str">
        <x:v>Regional</x:v>
      </x:c>
      <x:c r="H1219" s="36" t="n">
        <x:f>IF(G1219="National",Assumptions!$B$11,IF(G1219="Statewide",Assumptions!$B$12,Assumptions!$B$13))</x:f>
        <x:v>0.85</x:v>
      </x:c>
      <x:c r="I1219" s="21" t="n">
        <x:v>-0.08678079290324192</x:v>
      </x:c>
      <x:c r="J1219" s="21" t="n">
        <x:v>-0.14585233360743566</x:v>
      </x:c>
      <x:c r="K1219" s="21" t="n">
        <x:v>-0.24979193142458445</x:v>
      </x:c>
      <x:c r="L1219" s="36" t="n">
        <x:f>IF(Assumptions!$B$4=2030,I1219,IF(Assumptions!$B$4=2035,J1219,K1219))</x:f>
        <x:v>-0.14585233360743566</x:v>
      </x:c>
      <x:c r="M1219" s="36" t="n">
        <x:f>Assumptions!$B$19</x:f>
        <x:v>-0.04739891965741583</x:v>
      </x:c>
      <x:c r="N1219" s="52" t="n">
        <x:f>H1219*L1219+(1-H1219)*M1219+O1219</x:f>
        <x:v>-0.13108432151493268</x:v>
      </x:c>
      <x:c r="O1219" s="36" t="n">
        <x:f>Assumptions!$B$10</x:f>
        <x:v>0</x:v>
      </x:c>
      <x:c r="P1219" s="54" t="n">
        <x:f>E1219*(1+N1219)</x:f>
        <x:v>2380.8289590490845</x:v>
      </x:c>
      <x:c r="Q1219" s="54" t="n">
        <x:f>P1219-E1219</x:f>
        <x:v>-359.17104095091554</x:v>
      </x:c>
      <x:c r="R1219" s="16" t="str">
        <x:v>Yes</x:v>
      </x:c>
      <x:c r="S1219" s="56" t="n">
        <x:v>22448</x:v>
      </x:c>
      <x:c r="T1219" s="56" t="n">
        <x:v>18017</x:v>
      </x:c>
      <x:c r="U1219" s="40" t="n">
        <x:f>E1219*Assumptions!$B$8</x:f>
        <x:v>2329</x:v>
      </x:c>
      <x:c r="V1219" s="40" t="n">
        <x:f>P1219*Assumptions!$B$8</x:f>
        <x:v>2023.7046151917218</x:v>
      </x:c>
      <x:c r="W1219" s="54" t="n">
        <x:f>V1219-U1219</x:f>
        <x:v>-305.2953848082782</x:v>
      </x:c>
      <x:c r="X1219" s="58" t="n">
        <x:f>IF(R1219="No","",W1219*S1219)</x:f>
        <x:v>-6853270.798176229</x:v>
      </x:c>
      <x:c r="Y1219" s="58" t="n">
        <x:f>IF(R1219="No","",W1219*T1219*Assumptions!$B$9)</x:f>
        <x:v>-1650152.0844272242</x:v>
      </x:c>
      <x:c r="Z1219" s="58" t="n">
        <x:f>IF(R1219="No","",X1219-Y1219)</x:f>
        <x:v>-5203118.7137490045</x:v>
      </x:c>
      <x:c r="AA1219" s="58" t="n">
        <x:f>IF(R1219="No","",MAX(0,-Z1219))</x:f>
        <x:v>5203118.7137490045</x:v>
      </x:c>
      <x:c r="AB1219" s="52" t="n">
        <x:f>IF(OR(R1219="No",U1219*S1219=0),"",AA1219/(U1219*S1219))</x:f>
        <x:v>0.0995214265478816</x:v>
      </x:c>
      <x:c r="AC1219" s="54" t="n">
        <x:f>IF(OR(R1219="No",S1219-T1219*Assumptions!$B$9&lt;=0),"",AA1219/(Assumptions!$B$8*(S1219-T1219*Assumptions!$B$9)))</x:f>
        <x:v>359.17104095091554</x:v>
      </x:c>
      <x:c r="AD1219" s="52" t="n">
        <x:f>IF(OR(R1219="No",U1219*S1219=0),"",AA1219/(U1219*S1219))</x:f>
        <x:v>0.0995214265478816</x:v>
      </x:c>
      <x:c r="AE1219" s="50" t="str">
        <x:f>IF(R1219="No","No finance data",IF(AB1219&gt;=10%,"Severe",IF(AB1219&gt;=5%,"High",IF(AB1219&gt;=2%,"Moderate","Low"))))</x:f>
        <x:v>High</x:v>
      </x:c>
      <x:c r="AF1219" s="60" t="n">
        <x:v>40.850605</x:v>
      </x:c>
      <x:c r="AG1219" s="60" t="n">
        <x:v>-73.929873</x:v>
      </x:c>
      <x:c r="AH1219" s="44" t="str">
        <x:v>Undergraduate tuition-contribution proxy only; not an audited total institutional budget.</x:v>
      </x:c>
    </x:row>
    <x:row r="1220">
      <x:c r="A1220" s="16" t="n">
        <x:v>245731</x:v>
      </x:c>
      <x:c r="B1220" s="16" t="str">
        <x:v>Yeshiva and Kollel Harbotzas Torah</x:v>
      </x:c>
      <x:c r="C1220" s="16" t="str">
        <x:v>NY</x:v>
      </x:c>
      <x:c r="D1220" s="16" t="str">
        <x:v>Private nonprofit</x:v>
      </x:c>
      <x:c r="E1220" s="34" t="n">
        <x:v>16</x:v>
      </x:c>
      <x:c r="F1220" s="21"/>
      <x:c r="G1220" s="16" t="str">
        <x:v>Regional</x:v>
      </x:c>
      <x:c r="H1220" s="36" t="n">
        <x:f>IF(G1220="National",Assumptions!$B$11,IF(G1220="Statewide",Assumptions!$B$12,Assumptions!$B$13))</x:f>
        <x:v>0.85</x:v>
      </x:c>
      <x:c r="I1220" s="21" t="n">
        <x:v>-0.08678079290324192</x:v>
      </x:c>
      <x:c r="J1220" s="21" t="n">
        <x:v>-0.14585233360743566</x:v>
      </x:c>
      <x:c r="K1220" s="21" t="n">
        <x:v>-0.24979193142458445</x:v>
      </x:c>
      <x:c r="L1220" s="36" t="n">
        <x:f>IF(Assumptions!$B$4=2030,I1220,IF(Assumptions!$B$4=2035,J1220,K1220))</x:f>
        <x:v>-0.14585233360743566</x:v>
      </x:c>
      <x:c r="M1220" s="36" t="n">
        <x:f>Assumptions!$B$19</x:f>
        <x:v>-0.04739891965741583</x:v>
      </x:c>
      <x:c r="N1220" s="52" t="n">
        <x:f>H1220*L1220+(1-H1220)*M1220+O1220</x:f>
        <x:v>-0.13108432151493268</x:v>
      </x:c>
      <x:c r="O1220" s="36" t="n">
        <x:f>Assumptions!$B$10</x:f>
        <x:v>0</x:v>
      </x:c>
      <x:c r="P1220" s="54" t="n">
        <x:f>E1220*(1+N1220)</x:f>
        <x:v>13.902650855761078</x:v>
      </x:c>
      <x:c r="Q1220" s="54" t="n">
        <x:f>P1220-E1220</x:f>
        <x:v>-2.0973491442389225</x:v>
      </x:c>
      <x:c r="R1220" s="16" t="str">
        <x:v>No</x:v>
      </x:c>
      <x:c r="S1220" s="56"/>
      <x:c r="T1220" s="56"/>
      <x:c r="U1220" s="40" t="n">
        <x:f>E1220*Assumptions!$B$8</x:f>
        <x:v>13.6</x:v>
      </x:c>
      <x:c r="V1220" s="40" t="n">
        <x:f>P1220*Assumptions!$B$8</x:f>
        <x:v>11.817253227396916</x:v>
      </x:c>
      <x:c r="W1220" s="54" t="n">
        <x:f>V1220-U1220</x:f>
        <x:v>-1.7827467726030832</x:v>
      </x:c>
      <x:c r="X1220" s="58" t="str">
        <x:f>IF(R1220="No","",W1220*S1220)</x:f>
      </x:c>
      <x:c r="Y1220" s="58" t="str">
        <x:f>IF(R1220="No","",W1220*T1220*Assumptions!$B$9)</x:f>
      </x:c>
      <x:c r="Z1220" s="58" t="str">
        <x:f>IF(R1220="No","",X1220-Y1220)</x:f>
      </x:c>
      <x:c r="AA1220" s="58" t="str">
        <x:f>IF(R1220="No","",MAX(0,-Z1220))</x:f>
      </x:c>
      <x:c r="AB1220" s="52" t="str">
        <x:f>IF(OR(R1220="No",U1220*S1220=0),"",AA1220/(U1220*S1220))</x:f>
      </x:c>
      <x:c r="AC1220" s="54" t="str">
        <x:f>IF(OR(R1220="No",S1220-T1220*Assumptions!$B$9&lt;=0),"",AA1220/(Assumptions!$B$8*(S1220-T1220*Assumptions!$B$9)))</x:f>
      </x:c>
      <x:c r="AD1220" s="52" t="str">
        <x:f>IF(OR(R1220="No",U1220*S1220=0),"",AA1220/(U1220*S1220))</x:f>
      </x:c>
      <x:c r="AE1220" s="50" t="str">
        <x:f>IF(R1220="No","No finance data",IF(AB1220&gt;=10%,"Severe",IF(AB1220&gt;=5%,"High",IF(AB1220&gt;=2%,"Moderate","Low"))))</x:f>
        <x:v>No finance data</x:v>
      </x:c>
      <x:c r="AF1220" s="60"/>
      <x:c r="AG1220" s="60"/>
      <x:c r="AH1220" s="44" t="str">
        <x:v>Undergraduate tuition-contribution proxy only; not an audited total institutional budget.</x:v>
      </x:c>
    </x:row>
    <x:row r="1221">
      <x:c r="A1221" s="16" t="n">
        <x:v>190752</x:v>
      </x:c>
      <x:c r="B1221" s="16" t="str">
        <x:v>Yeshiva of Far Rockaway Derech Ayson Rabbinical Seminary</x:v>
      </x:c>
      <x:c r="C1221" s="16" t="str">
        <x:v>NY</x:v>
      </x:c>
      <x:c r="D1221" s="16" t="str">
        <x:v>Private nonprofit</x:v>
      </x:c>
      <x:c r="E1221" s="34" t="n">
        <x:v>34</x:v>
      </x:c>
      <x:c r="F1221" s="21"/>
      <x:c r="G1221" s="16" t="str">
        <x:v>Regional</x:v>
      </x:c>
      <x:c r="H1221" s="36" t="n">
        <x:f>IF(G1221="National",Assumptions!$B$11,IF(G1221="Statewide",Assumptions!$B$12,Assumptions!$B$13))</x:f>
        <x:v>0.85</x:v>
      </x:c>
      <x:c r="I1221" s="21" t="n">
        <x:v>-0.08678079290324192</x:v>
      </x:c>
      <x:c r="J1221" s="21" t="n">
        <x:v>-0.14585233360743566</x:v>
      </x:c>
      <x:c r="K1221" s="21" t="n">
        <x:v>-0.24979193142458445</x:v>
      </x:c>
      <x:c r="L1221" s="36" t="n">
        <x:f>IF(Assumptions!$B$4=2030,I1221,IF(Assumptions!$B$4=2035,J1221,K1221))</x:f>
        <x:v>-0.14585233360743566</x:v>
      </x:c>
      <x:c r="M1221" s="36" t="n">
        <x:f>Assumptions!$B$19</x:f>
        <x:v>-0.04739891965741583</x:v>
      </x:c>
      <x:c r="N1221" s="52" t="n">
        <x:f>H1221*L1221+(1-H1221)*M1221+O1221</x:f>
        <x:v>-0.13108432151493268</x:v>
      </x:c>
      <x:c r="O1221" s="36" t="n">
        <x:f>Assumptions!$B$10</x:f>
        <x:v>0</x:v>
      </x:c>
      <x:c r="P1221" s="54" t="n">
        <x:f>E1221*(1+N1221)</x:f>
        <x:v>29.54313306849229</x:v>
      </x:c>
      <x:c r="Q1221" s="54" t="n">
        <x:f>P1221-E1221</x:f>
        <x:v>-4.456866931507712</x:v>
      </x:c>
      <x:c r="R1221" s="16" t="str">
        <x:v>No</x:v>
      </x:c>
      <x:c r="S1221" s="56"/>
      <x:c r="T1221" s="56"/>
      <x:c r="U1221" s="40" t="n">
        <x:f>E1221*Assumptions!$B$8</x:f>
        <x:v>28.9</x:v>
      </x:c>
      <x:c r="V1221" s="40" t="n">
        <x:f>P1221*Assumptions!$B$8</x:f>
        <x:v>25.111663108218444</x:v>
      </x:c>
      <x:c r="W1221" s="54" t="n">
        <x:f>V1221-U1221</x:f>
        <x:v>-3.7883368917815545</x:v>
      </x:c>
      <x:c r="X1221" s="58" t="str">
        <x:f>IF(R1221="No","",W1221*S1221)</x:f>
      </x:c>
      <x:c r="Y1221" s="58" t="str">
        <x:f>IF(R1221="No","",W1221*T1221*Assumptions!$B$9)</x:f>
      </x:c>
      <x:c r="Z1221" s="58" t="str">
        <x:f>IF(R1221="No","",X1221-Y1221)</x:f>
      </x:c>
      <x:c r="AA1221" s="58" t="str">
        <x:f>IF(R1221="No","",MAX(0,-Z1221))</x:f>
      </x:c>
      <x:c r="AB1221" s="52" t="str">
        <x:f>IF(OR(R1221="No",U1221*S1221=0),"",AA1221/(U1221*S1221))</x:f>
      </x:c>
      <x:c r="AC1221" s="54" t="str">
        <x:f>IF(OR(R1221="No",S1221-T1221*Assumptions!$B$9&lt;=0),"",AA1221/(Assumptions!$B$8*(S1221-T1221*Assumptions!$B$9)))</x:f>
      </x:c>
      <x:c r="AD1221" s="52" t="str">
        <x:f>IF(OR(R1221="No",U1221*S1221=0),"",AA1221/(U1221*S1221))</x:f>
      </x:c>
      <x:c r="AE1221" s="50" t="str">
        <x:f>IF(R1221="No","No finance data",IF(AB1221&gt;=10%,"Severe",IF(AB1221&gt;=5%,"High",IF(AB1221&gt;=2%,"Moderate","Low"))))</x:f>
        <x:v>No finance data</x:v>
      </x:c>
      <x:c r="AF1221" s="60"/>
      <x:c r="AG1221" s="60"/>
      <x:c r="AH1221" s="44" t="str">
        <x:v>Undergraduate tuition-contribution proxy only; not an audited total institutional budget.</x:v>
      </x:c>
    </x:row>
    <x:row r="1222">
      <x:c r="A1222" s="16" t="n">
        <x:v>455257</x:v>
      </x:c>
      <x:c r="B1222" s="16" t="str">
        <x:v>Yeshiva of Machzikai Hadas</x:v>
      </x:c>
      <x:c r="C1222" s="16" t="str">
        <x:v>NY</x:v>
      </x:c>
      <x:c r="D1222" s="16" t="str">
        <x:v>Private nonprofit</x:v>
      </x:c>
      <x:c r="E1222" s="34" t="n">
        <x:v>410</x:v>
      </x:c>
      <x:c r="F1222" s="21"/>
      <x:c r="G1222" s="16" t="str">
        <x:v>Regional</x:v>
      </x:c>
      <x:c r="H1222" s="36" t="n">
        <x:f>IF(G1222="National",Assumptions!$B$11,IF(G1222="Statewide",Assumptions!$B$12,Assumptions!$B$13))</x:f>
        <x:v>0.85</x:v>
      </x:c>
      <x:c r="I1222" s="21" t="n">
        <x:v>-0.08678079290324192</x:v>
      </x:c>
      <x:c r="J1222" s="21" t="n">
        <x:v>-0.14585233360743566</x:v>
      </x:c>
      <x:c r="K1222" s="21" t="n">
        <x:v>-0.24979193142458445</x:v>
      </x:c>
      <x:c r="L1222" s="36" t="n">
        <x:f>IF(Assumptions!$B$4=2030,I1222,IF(Assumptions!$B$4=2035,J1222,K1222))</x:f>
        <x:v>-0.14585233360743566</x:v>
      </x:c>
      <x:c r="M1222" s="36" t="n">
        <x:f>Assumptions!$B$19</x:f>
        <x:v>-0.04739891965741583</x:v>
      </x:c>
      <x:c r="N1222" s="52" t="n">
        <x:f>H1222*L1222+(1-H1222)*M1222+O1222</x:f>
        <x:v>-0.13108432151493268</x:v>
      </x:c>
      <x:c r="O1222" s="36" t="n">
        <x:f>Assumptions!$B$10</x:f>
        <x:v>0</x:v>
      </x:c>
      <x:c r="P1222" s="54" t="n">
        <x:f>E1222*(1+N1222)</x:f>
        <x:v>356.2554281788776</x:v>
      </x:c>
      <x:c r="Q1222" s="54" t="n">
        <x:f>P1222-E1222</x:f>
        <x:v>-53.744571821122406</x:v>
      </x:c>
      <x:c r="R1222" s="16" t="str">
        <x:v>No</x:v>
      </x:c>
      <x:c r="S1222" s="56"/>
      <x:c r="T1222" s="56"/>
      <x:c r="U1222" s="40" t="n">
        <x:f>E1222*Assumptions!$B$8</x:f>
        <x:v>348.5</x:v>
      </x:c>
      <x:c r="V1222" s="40" t="n">
        <x:f>P1222*Assumptions!$B$8</x:f>
        <x:v>302.81711395204593</x:v>
      </x:c>
      <x:c r="W1222" s="54" t="n">
        <x:f>V1222-U1222</x:f>
        <x:v>-45.68288604795407</x:v>
      </x:c>
      <x:c r="X1222" s="58" t="str">
        <x:f>IF(R1222="No","",W1222*S1222)</x:f>
      </x:c>
      <x:c r="Y1222" s="58" t="str">
        <x:f>IF(R1222="No","",W1222*T1222*Assumptions!$B$9)</x:f>
      </x:c>
      <x:c r="Z1222" s="58" t="str">
        <x:f>IF(R1222="No","",X1222-Y1222)</x:f>
      </x:c>
      <x:c r="AA1222" s="58" t="str">
        <x:f>IF(R1222="No","",MAX(0,-Z1222))</x:f>
      </x:c>
      <x:c r="AB1222" s="52" t="str">
        <x:f>IF(OR(R1222="No",U1222*S1222=0),"",AA1222/(U1222*S1222))</x:f>
      </x:c>
      <x:c r="AC1222" s="54" t="str">
        <x:f>IF(OR(R1222="No",S1222-T1222*Assumptions!$B$9&lt;=0),"",AA1222/(Assumptions!$B$8*(S1222-T1222*Assumptions!$B$9)))</x:f>
      </x:c>
      <x:c r="AD1222" s="52" t="str">
        <x:f>IF(OR(R1222="No",U1222*S1222=0),"",AA1222/(U1222*S1222))</x:f>
      </x:c>
      <x:c r="AE1222" s="50" t="str">
        <x:f>IF(R1222="No","No finance data",IF(AB1222&gt;=10%,"Severe",IF(AB1222&gt;=5%,"High",IF(AB1222&gt;=2%,"Moderate","Low"))))</x:f>
        <x:v>No finance data</x:v>
      </x:c>
      <x:c r="AF1222" s="60"/>
      <x:c r="AG1222" s="60"/>
      <x:c r="AH1222" s="44" t="str">
        <x:v>Undergraduate tuition-contribution proxy only; not an audited total institutional budget.</x:v>
      </x:c>
    </x:row>
    <x:row r="1223">
      <x:c r="A1223" s="16" t="n">
        <x:v>197674</x:v>
      </x:c>
      <x:c r="B1223" s="16" t="str">
        <x:v>Yeshiva of Nitra Rabbinical College</x:v>
      </x:c>
      <x:c r="C1223" s="16" t="str">
        <x:v>NY</x:v>
      </x:c>
      <x:c r="D1223" s="16" t="str">
        <x:v>Private nonprofit</x:v>
      </x:c>
      <x:c r="E1223" s="34" t="n">
        <x:v>220</x:v>
      </x:c>
      <x:c r="F1223" s="21"/>
      <x:c r="G1223" s="16" t="str">
        <x:v>Regional</x:v>
      </x:c>
      <x:c r="H1223" s="36" t="n">
        <x:f>IF(G1223="National",Assumptions!$B$11,IF(G1223="Statewide",Assumptions!$B$12,Assumptions!$B$13))</x:f>
        <x:v>0.85</x:v>
      </x:c>
      <x:c r="I1223" s="21" t="n">
        <x:v>-0.08678079290324192</x:v>
      </x:c>
      <x:c r="J1223" s="21" t="n">
        <x:v>-0.14585233360743566</x:v>
      </x:c>
      <x:c r="K1223" s="21" t="n">
        <x:v>-0.24979193142458445</x:v>
      </x:c>
      <x:c r="L1223" s="36" t="n">
        <x:f>IF(Assumptions!$B$4=2030,I1223,IF(Assumptions!$B$4=2035,J1223,K1223))</x:f>
        <x:v>-0.14585233360743566</x:v>
      </x:c>
      <x:c r="M1223" s="36" t="n">
        <x:f>Assumptions!$B$19</x:f>
        <x:v>-0.04739891965741583</x:v>
      </x:c>
      <x:c r="N1223" s="52" t="n">
        <x:f>H1223*L1223+(1-H1223)*M1223+O1223</x:f>
        <x:v>-0.13108432151493268</x:v>
      </x:c>
      <x:c r="O1223" s="36" t="n">
        <x:f>Assumptions!$B$10</x:f>
        <x:v>0</x:v>
      </x:c>
      <x:c r="P1223" s="54" t="n">
        <x:f>E1223*(1+N1223)</x:f>
        <x:v>191.1614492667148</x:v>
      </x:c>
      <x:c r="Q1223" s="54" t="n">
        <x:f>P1223-E1223</x:f>
        <x:v>-28.83855073328519</x:v>
      </x:c>
      <x:c r="R1223" s="16" t="str">
        <x:v>No</x:v>
      </x:c>
      <x:c r="S1223" s="56"/>
      <x:c r="T1223" s="56"/>
      <x:c r="U1223" s="40" t="n">
        <x:f>E1223*Assumptions!$B$8</x:f>
        <x:v>187</x:v>
      </x:c>
      <x:c r="V1223" s="40" t="n">
        <x:f>P1223*Assumptions!$B$8</x:f>
        <x:v>162.4872318767076</x:v>
      </x:c>
      <x:c r="W1223" s="54" t="n">
        <x:f>V1223-U1223</x:f>
        <x:v>-24.512768123292403</x:v>
      </x:c>
      <x:c r="X1223" s="58" t="str">
        <x:f>IF(R1223="No","",W1223*S1223)</x:f>
      </x:c>
      <x:c r="Y1223" s="58" t="str">
        <x:f>IF(R1223="No","",W1223*T1223*Assumptions!$B$9)</x:f>
      </x:c>
      <x:c r="Z1223" s="58" t="str">
        <x:f>IF(R1223="No","",X1223-Y1223)</x:f>
      </x:c>
      <x:c r="AA1223" s="58" t="str">
        <x:f>IF(R1223="No","",MAX(0,-Z1223))</x:f>
      </x:c>
      <x:c r="AB1223" s="52" t="str">
        <x:f>IF(OR(R1223="No",U1223*S1223=0),"",AA1223/(U1223*S1223))</x:f>
      </x:c>
      <x:c r="AC1223" s="54" t="str">
        <x:f>IF(OR(R1223="No",S1223-T1223*Assumptions!$B$9&lt;=0),"",AA1223/(Assumptions!$B$8*(S1223-T1223*Assumptions!$B$9)))</x:f>
      </x:c>
      <x:c r="AD1223" s="52" t="str">
        <x:f>IF(OR(R1223="No",U1223*S1223=0),"",AA1223/(U1223*S1223))</x:f>
      </x:c>
      <x:c r="AE1223" s="50" t="str">
        <x:f>IF(R1223="No","No finance data",IF(AB1223&gt;=10%,"Severe",IF(AB1223&gt;=5%,"High",IF(AB1223&gt;=2%,"Moderate","Low"))))</x:f>
        <x:v>No finance data</x:v>
      </x:c>
      <x:c r="AF1223" s="60"/>
      <x:c r="AG1223" s="60"/>
      <x:c r="AH1223" s="44" t="str">
        <x:v>Undergraduate tuition-contribution proxy only; not an audited total institutional budget.</x:v>
      </x:c>
    </x:row>
    <x:row r="1224">
      <x:c r="A1224" s="16" t="n">
        <x:v>431983</x:v>
      </x:c>
      <x:c r="B1224" s="16" t="str">
        <x:v>Yeshiva of the Telshe Alumni</x:v>
      </x:c>
      <x:c r="C1224" s="16" t="str">
        <x:v>NY</x:v>
      </x:c>
      <x:c r="D1224" s="16" t="str">
        <x:v>Private nonprofit</x:v>
      </x:c>
      <x:c r="E1224" s="34" t="n">
        <x:v>112</x:v>
      </x:c>
      <x:c r="F1224" s="21"/>
      <x:c r="G1224" s="16" t="str">
        <x:v>Regional</x:v>
      </x:c>
      <x:c r="H1224" s="36" t="n">
        <x:f>IF(G1224="National",Assumptions!$B$11,IF(G1224="Statewide",Assumptions!$B$12,Assumptions!$B$13))</x:f>
        <x:v>0.85</x:v>
      </x:c>
      <x:c r="I1224" s="21" t="n">
        <x:v>-0.08678079290324192</x:v>
      </x:c>
      <x:c r="J1224" s="21" t="n">
        <x:v>-0.14585233360743566</x:v>
      </x:c>
      <x:c r="K1224" s="21" t="n">
        <x:v>-0.24979193142458445</x:v>
      </x:c>
      <x:c r="L1224" s="36" t="n">
        <x:f>IF(Assumptions!$B$4=2030,I1224,IF(Assumptions!$B$4=2035,J1224,K1224))</x:f>
        <x:v>-0.14585233360743566</x:v>
      </x:c>
      <x:c r="M1224" s="36" t="n">
        <x:f>Assumptions!$B$19</x:f>
        <x:v>-0.04739891965741583</x:v>
      </x:c>
      <x:c r="N1224" s="52" t="n">
        <x:f>H1224*L1224+(1-H1224)*M1224+O1224</x:f>
        <x:v>-0.13108432151493268</x:v>
      </x:c>
      <x:c r="O1224" s="36" t="n">
        <x:f>Assumptions!$B$10</x:f>
        <x:v>0</x:v>
      </x:c>
      <x:c r="P1224" s="54" t="n">
        <x:f>E1224*(1+N1224)</x:f>
        <x:v>97.31855599032754</x:v>
      </x:c>
      <x:c r="Q1224" s="54" t="n">
        <x:f>P1224-E1224</x:f>
        <x:v>-14.681444009672461</x:v>
      </x:c>
      <x:c r="R1224" s="16" t="str">
        <x:v>No</x:v>
      </x:c>
      <x:c r="S1224" s="56"/>
      <x:c r="T1224" s="56"/>
      <x:c r="U1224" s="40" t="n">
        <x:f>E1224*Assumptions!$B$8</x:f>
        <x:v>95.2</x:v>
      </x:c>
      <x:c r="V1224" s="40" t="n">
        <x:f>P1224*Assumptions!$B$8</x:f>
        <x:v>82.7207725917784</x:v>
      </x:c>
      <x:c r="W1224" s="54" t="n">
        <x:f>V1224-U1224</x:f>
        <x:v>-12.479227408221604</x:v>
      </x:c>
      <x:c r="X1224" s="58" t="str">
        <x:f>IF(R1224="No","",W1224*S1224)</x:f>
      </x:c>
      <x:c r="Y1224" s="58" t="str">
        <x:f>IF(R1224="No","",W1224*T1224*Assumptions!$B$9)</x:f>
      </x:c>
      <x:c r="Z1224" s="58" t="str">
        <x:f>IF(R1224="No","",X1224-Y1224)</x:f>
      </x:c>
      <x:c r="AA1224" s="58" t="str">
        <x:f>IF(R1224="No","",MAX(0,-Z1224))</x:f>
      </x:c>
      <x:c r="AB1224" s="52" t="str">
        <x:f>IF(OR(R1224="No",U1224*S1224=0),"",AA1224/(U1224*S1224))</x:f>
      </x:c>
      <x:c r="AC1224" s="54" t="str">
        <x:f>IF(OR(R1224="No",S1224-T1224*Assumptions!$B$9&lt;=0),"",AA1224/(Assumptions!$B$8*(S1224-T1224*Assumptions!$B$9)))</x:f>
      </x:c>
      <x:c r="AD1224" s="52" t="str">
        <x:f>IF(OR(R1224="No",U1224*S1224=0),"",AA1224/(U1224*S1224))</x:f>
      </x:c>
      <x:c r="AE1224" s="50" t="str">
        <x:f>IF(R1224="No","No finance data",IF(AB1224&gt;=10%,"Severe",IF(AB1224&gt;=5%,"High",IF(AB1224&gt;=2%,"Moderate","Low"))))</x:f>
        <x:v>No finance data</x:v>
      </x:c>
      <x:c r="AF1224" s="60"/>
      <x:c r="AG1224" s="60"/>
      <x:c r="AH1224" s="44" t="str">
        <x:v>Undergraduate tuition-contribution proxy only; not an audited total institutional budget.</x:v>
      </x:c>
    </x:row>
    <x:row r="1225">
      <x:c r="A1225" s="16" t="n">
        <x:v>405058</x:v>
      </x:c>
      <x:c r="B1225" s="16" t="str">
        <x:v>Yeshivas Novominsk</x:v>
      </x:c>
      <x:c r="C1225" s="16" t="str">
        <x:v>NY</x:v>
      </x:c>
      <x:c r="D1225" s="16" t="str">
        <x:v>Private nonprofit</x:v>
      </x:c>
      <x:c r="E1225" s="34" t="n">
        <x:v>144</x:v>
      </x:c>
      <x:c r="F1225" s="21"/>
      <x:c r="G1225" s="16" t="str">
        <x:v>Regional</x:v>
      </x:c>
      <x:c r="H1225" s="36" t="n">
        <x:f>IF(G1225="National",Assumptions!$B$11,IF(G1225="Statewide",Assumptions!$B$12,Assumptions!$B$13))</x:f>
        <x:v>0.85</x:v>
      </x:c>
      <x:c r="I1225" s="21" t="n">
        <x:v>-0.08678079290324192</x:v>
      </x:c>
      <x:c r="J1225" s="21" t="n">
        <x:v>-0.14585233360743566</x:v>
      </x:c>
      <x:c r="K1225" s="21" t="n">
        <x:v>-0.24979193142458445</x:v>
      </x:c>
      <x:c r="L1225" s="36" t="n">
        <x:f>IF(Assumptions!$B$4=2030,I1225,IF(Assumptions!$B$4=2035,J1225,K1225))</x:f>
        <x:v>-0.14585233360743566</x:v>
      </x:c>
      <x:c r="M1225" s="36" t="n">
        <x:f>Assumptions!$B$19</x:f>
        <x:v>-0.04739891965741583</x:v>
      </x:c>
      <x:c r="N1225" s="52" t="n">
        <x:f>H1225*L1225+(1-H1225)*M1225+O1225</x:f>
        <x:v>-0.13108432151493268</x:v>
      </x:c>
      <x:c r="O1225" s="36" t="n">
        <x:f>Assumptions!$B$10</x:f>
        <x:v>0</x:v>
      </x:c>
      <x:c r="P1225" s="54" t="n">
        <x:f>E1225*(1+N1225)</x:f>
        <x:v>125.1238577018497</x:v>
      </x:c>
      <x:c r="Q1225" s="54" t="n">
        <x:f>P1225-E1225</x:f>
        <x:v>-18.8761422981503</x:v>
      </x:c>
      <x:c r="R1225" s="16" t="str">
        <x:v>No</x:v>
      </x:c>
      <x:c r="S1225" s="56"/>
      <x:c r="T1225" s="56"/>
      <x:c r="U1225" s="40" t="n">
        <x:f>E1225*Assumptions!$B$8</x:f>
        <x:v>122.39999999999999</x:v>
      </x:c>
      <x:c r="V1225" s="40" t="n">
        <x:f>P1225*Assumptions!$B$8</x:f>
        <x:v>106.35527904657225</x:v>
      </x:c>
      <x:c r="W1225" s="54" t="n">
        <x:f>V1225-U1225</x:f>
        <x:v>-16.044720953427742</x:v>
      </x:c>
      <x:c r="X1225" s="58" t="str">
        <x:f>IF(R1225="No","",W1225*S1225)</x:f>
      </x:c>
      <x:c r="Y1225" s="58" t="str">
        <x:f>IF(R1225="No","",W1225*T1225*Assumptions!$B$9)</x:f>
      </x:c>
      <x:c r="Z1225" s="58" t="str">
        <x:f>IF(R1225="No","",X1225-Y1225)</x:f>
      </x:c>
      <x:c r="AA1225" s="58" t="str">
        <x:f>IF(R1225="No","",MAX(0,-Z1225))</x:f>
      </x:c>
      <x:c r="AB1225" s="52" t="str">
        <x:f>IF(OR(R1225="No",U1225*S1225=0),"",AA1225/(U1225*S1225))</x:f>
      </x:c>
      <x:c r="AC1225" s="54" t="str">
        <x:f>IF(OR(R1225="No",S1225-T1225*Assumptions!$B$9&lt;=0),"",AA1225/(Assumptions!$B$8*(S1225-T1225*Assumptions!$B$9)))</x:f>
      </x:c>
      <x:c r="AD1225" s="52" t="str">
        <x:f>IF(OR(R1225="No",U1225*S1225=0),"",AA1225/(U1225*S1225))</x:f>
      </x:c>
      <x:c r="AE1225" s="50" t="str">
        <x:f>IF(R1225="No","No finance data",IF(AB1225&gt;=10%,"Severe",IF(AB1225&gt;=5%,"High",IF(AB1225&gt;=2%,"Moderate","Low"))))</x:f>
        <x:v>No finance data</x:v>
      </x:c>
      <x:c r="AF1225" s="60"/>
      <x:c r="AG1225" s="60"/>
      <x:c r="AH1225" s="44" t="str">
        <x:v>Undergraduate tuition-contribution proxy only; not an audited total institutional budget.</x:v>
      </x:c>
    </x:row>
    <x:row r="1226">
      <x:c r="A1226" s="16" t="n">
        <x:v>197610</x:v>
      </x:c>
      <x:c r="B1226" s="16" t="str">
        <x:v>Yeshivat Mikdash Melech</x:v>
      </x:c>
      <x:c r="C1226" s="16" t="str">
        <x:v>NY</x:v>
      </x:c>
      <x:c r="D1226" s="16" t="str">
        <x:v>Private nonprofit</x:v>
      </x:c>
      <x:c r="E1226" s="34" t="n">
        <x:v>16</x:v>
      </x:c>
      <x:c r="F1226" s="21"/>
      <x:c r="G1226" s="16" t="str">
        <x:v>Regional</x:v>
      </x:c>
      <x:c r="H1226" s="36" t="n">
        <x:f>IF(G1226="National",Assumptions!$B$11,IF(G1226="Statewide",Assumptions!$B$12,Assumptions!$B$13))</x:f>
        <x:v>0.85</x:v>
      </x:c>
      <x:c r="I1226" s="21" t="n">
        <x:v>-0.08678079290324192</x:v>
      </x:c>
      <x:c r="J1226" s="21" t="n">
        <x:v>-0.14585233360743566</x:v>
      </x:c>
      <x:c r="K1226" s="21" t="n">
        <x:v>-0.24979193142458445</x:v>
      </x:c>
      <x:c r="L1226" s="36" t="n">
        <x:f>IF(Assumptions!$B$4=2030,I1226,IF(Assumptions!$B$4=2035,J1226,K1226))</x:f>
        <x:v>-0.14585233360743566</x:v>
      </x:c>
      <x:c r="M1226" s="36" t="n">
        <x:f>Assumptions!$B$19</x:f>
        <x:v>-0.04739891965741583</x:v>
      </x:c>
      <x:c r="N1226" s="52" t="n">
        <x:f>H1226*L1226+(1-H1226)*M1226+O1226</x:f>
        <x:v>-0.13108432151493268</x:v>
      </x:c>
      <x:c r="O1226" s="36" t="n">
        <x:f>Assumptions!$B$10</x:f>
        <x:v>0</x:v>
      </x:c>
      <x:c r="P1226" s="54" t="n">
        <x:f>E1226*(1+N1226)</x:f>
        <x:v>13.902650855761078</x:v>
      </x:c>
      <x:c r="Q1226" s="54" t="n">
        <x:f>P1226-E1226</x:f>
        <x:v>-2.0973491442389225</x:v>
      </x:c>
      <x:c r="R1226" s="16" t="str">
        <x:v>No</x:v>
      </x:c>
      <x:c r="S1226" s="56"/>
      <x:c r="T1226" s="56"/>
      <x:c r="U1226" s="40" t="n">
        <x:f>E1226*Assumptions!$B$8</x:f>
        <x:v>13.6</x:v>
      </x:c>
      <x:c r="V1226" s="40" t="n">
        <x:f>P1226*Assumptions!$B$8</x:f>
        <x:v>11.817253227396916</x:v>
      </x:c>
      <x:c r="W1226" s="54" t="n">
        <x:f>V1226-U1226</x:f>
        <x:v>-1.7827467726030832</x:v>
      </x:c>
      <x:c r="X1226" s="58" t="str">
        <x:f>IF(R1226="No","",W1226*S1226)</x:f>
      </x:c>
      <x:c r="Y1226" s="58" t="str">
        <x:f>IF(R1226="No","",W1226*T1226*Assumptions!$B$9)</x:f>
      </x:c>
      <x:c r="Z1226" s="58" t="str">
        <x:f>IF(R1226="No","",X1226-Y1226)</x:f>
      </x:c>
      <x:c r="AA1226" s="58" t="str">
        <x:f>IF(R1226="No","",MAX(0,-Z1226))</x:f>
      </x:c>
      <x:c r="AB1226" s="52" t="str">
        <x:f>IF(OR(R1226="No",U1226*S1226=0),"",AA1226/(U1226*S1226))</x:f>
      </x:c>
      <x:c r="AC1226" s="54" t="str">
        <x:f>IF(OR(R1226="No",S1226-T1226*Assumptions!$B$9&lt;=0),"",AA1226/(Assumptions!$B$8*(S1226-T1226*Assumptions!$B$9)))</x:f>
      </x:c>
      <x:c r="AD1226" s="52" t="str">
        <x:f>IF(OR(R1226="No",U1226*S1226=0),"",AA1226/(U1226*S1226))</x:f>
      </x:c>
      <x:c r="AE1226" s="50" t="str">
        <x:f>IF(R1226="No","No finance data",IF(AB1226&gt;=10%,"Severe",IF(AB1226&gt;=5%,"High",IF(AB1226&gt;=2%,"Moderate","Low"))))</x:f>
        <x:v>No finance data</x:v>
      </x:c>
      <x:c r="AF1226" s="60"/>
      <x:c r="AG1226" s="60"/>
      <x:c r="AH1226" s="44" t="str">
        <x:v>Undergraduate tuition-contribution proxy only; not an audited total institutional budget.</x:v>
      </x:c>
    </x:row>
    <x:row r="1227">
      <x:c r="A1227" s="16" t="n">
        <x:v>197735</x:v>
      </x:c>
      <x:c r="B1227" s="16" t="str">
        <x:v>Yeshivath Viznitz</x:v>
      </x:c>
      <x:c r="C1227" s="16" t="str">
        <x:v>NY</x:v>
      </x:c>
      <x:c r="D1227" s="16" t="str">
        <x:v>Private nonprofit</x:v>
      </x:c>
      <x:c r="E1227" s="34" t="n">
        <x:v>510</x:v>
      </x:c>
      <x:c r="F1227" s="21" t="n">
        <x:v>0.9153</x:v>
      </x:c>
      <x:c r="G1227" s="16" t="str">
        <x:v>Regional</x:v>
      </x:c>
      <x:c r="H1227" s="36" t="n">
        <x:f>IF(G1227="National",Assumptions!$B$11,IF(G1227="Statewide",Assumptions!$B$12,Assumptions!$B$13))</x:f>
        <x:v>0.85</x:v>
      </x:c>
      <x:c r="I1227" s="21" t="n">
        <x:v>-0.08678079290324192</x:v>
      </x:c>
      <x:c r="J1227" s="21" t="n">
        <x:v>-0.14585233360743566</x:v>
      </x:c>
      <x:c r="K1227" s="21" t="n">
        <x:v>-0.24979193142458445</x:v>
      </x:c>
      <x:c r="L1227" s="36" t="n">
        <x:f>IF(Assumptions!$B$4=2030,I1227,IF(Assumptions!$B$4=2035,J1227,K1227))</x:f>
        <x:v>-0.14585233360743566</x:v>
      </x:c>
      <x:c r="M1227" s="36" t="n">
        <x:f>Assumptions!$B$19</x:f>
        <x:v>-0.04739891965741583</x:v>
      </x:c>
      <x:c r="N1227" s="52" t="n">
        <x:f>H1227*L1227+(1-H1227)*M1227+O1227</x:f>
        <x:v>-0.13108432151493268</x:v>
      </x:c>
      <x:c r="O1227" s="36" t="n">
        <x:f>Assumptions!$B$10</x:f>
        <x:v>0</x:v>
      </x:c>
      <x:c r="P1227" s="54" t="n">
        <x:f>E1227*(1+N1227)</x:f>
        <x:v>443.1469960273843</x:v>
      </x:c>
      <x:c r="Q1227" s="54" t="n">
        <x:f>P1227-E1227</x:f>
        <x:v>-66.85300397261568</x:v>
      </x:c>
      <x:c r="R1227" s="16" t="str">
        <x:v>Yes</x:v>
      </x:c>
      <x:c r="S1227" s="56" t="n">
        <x:v>5837</x:v>
      </x:c>
      <x:c r="T1227" s="56" t="n">
        <x:v>3136</x:v>
      </x:c>
      <x:c r="U1227" s="40" t="n">
        <x:f>E1227*Assumptions!$B$8</x:f>
        <x:v>433.5</x:v>
      </x:c>
      <x:c r="V1227" s="40" t="n">
        <x:f>P1227*Assumptions!$B$8</x:f>
        <x:v>376.67494662327664</x:v>
      </x:c>
      <x:c r="W1227" s="54" t="n">
        <x:f>V1227-U1227</x:f>
        <x:v>-56.82505337672336</x:v>
      </x:c>
      <x:c r="X1227" s="58" t="n">
        <x:f>IF(R1227="No","",W1227*S1227)</x:f>
        <x:v>-331687.83655993425</x:v>
      </x:c>
      <x:c r="Y1227" s="58" t="n">
        <x:f>IF(R1227="No","",W1227*T1227*Assumptions!$B$9)</x:f>
        <x:v>-53461.010216821334</x:v>
      </x:c>
      <x:c r="Z1227" s="58" t="n">
        <x:f>IF(R1227="No","",X1227-Y1227)</x:f>
        <x:v>-278226.8263431129</x:v>
      </x:c>
      <x:c r="AA1227" s="58" t="n">
        <x:f>IF(R1227="No","",MAX(0,-Z1227))</x:f>
        <x:v>278226.8263431129</x:v>
      </x:c>
      <x:c r="AB1227" s="52" t="n">
        <x:f>IF(OR(R1227="No",U1227*S1227=0),"",AA1227/(U1227*S1227))</x:f>
        <x:v>0.10995632259746684</x:v>
      </x:c>
      <x:c r="AC1227" s="54" t="n">
        <x:f>IF(OR(R1227="No",S1227-T1227*Assumptions!$B$9&lt;=0),"",AA1227/(Assumptions!$B$8*(S1227-T1227*Assumptions!$B$9)))</x:f>
        <x:v>66.85300397261572</x:v>
      </x:c>
      <x:c r="AD1227" s="52" t="n">
        <x:f>IF(OR(R1227="No",U1227*S1227=0),"",AA1227/(U1227*S1227))</x:f>
        <x:v>0.10995632259746684</x:v>
      </x:c>
      <x:c r="AE1227" s="50" t="str">
        <x:f>IF(R1227="No","No finance data",IF(AB1227&gt;=10%,"Severe",IF(AB1227&gt;=5%,"High",IF(AB1227&gt;=2%,"Moderate","Low"))))</x:f>
        <x:v>Severe</x:v>
      </x:c>
      <x:c r="AF1227" s="60" t="n">
        <x:v>41.114682</x:v>
      </x:c>
      <x:c r="AG1227" s="60" t="n">
        <x:v>-74.070243</x:v>
      </x:c>
      <x:c r="AH1227" s="44" t="str">
        <x:v>Undergraduate tuition-contribution proxy only; not an audited total institutional budget.</x:v>
      </x:c>
    </x:row>
    <x:row r="1228">
      <x:c r="A1228" s="16" t="n">
        <x:v>197744</x:v>
      </x:c>
      <x:c r="B1228" s="16" t="str">
        <x:v>Yeshivath Zichron Moshe</x:v>
      </x:c>
      <x:c r="C1228" s="16" t="str">
        <x:v>NY</x:v>
      </x:c>
      <x:c r="D1228" s="16" t="str">
        <x:v>Private nonprofit</x:v>
      </x:c>
      <x:c r="E1228" s="34" t="n">
        <x:v>147</x:v>
      </x:c>
      <x:c r="F1228" s="21"/>
      <x:c r="G1228" s="16" t="str">
        <x:v>Regional</x:v>
      </x:c>
      <x:c r="H1228" s="36" t="n">
        <x:f>IF(G1228="National",Assumptions!$B$11,IF(G1228="Statewide",Assumptions!$B$12,Assumptions!$B$13))</x:f>
        <x:v>0.85</x:v>
      </x:c>
      <x:c r="I1228" s="21" t="n">
        <x:v>-0.08678079290324192</x:v>
      </x:c>
      <x:c r="J1228" s="21" t="n">
        <x:v>-0.14585233360743566</x:v>
      </x:c>
      <x:c r="K1228" s="21" t="n">
        <x:v>-0.24979193142458445</x:v>
      </x:c>
      <x:c r="L1228" s="36" t="n">
        <x:f>IF(Assumptions!$B$4=2030,I1228,IF(Assumptions!$B$4=2035,J1228,K1228))</x:f>
        <x:v>-0.14585233360743566</x:v>
      </x:c>
      <x:c r="M1228" s="36" t="n">
        <x:f>Assumptions!$B$19</x:f>
        <x:v>-0.04739891965741583</x:v>
      </x:c>
      <x:c r="N1228" s="52" t="n">
        <x:f>H1228*L1228+(1-H1228)*M1228+O1228</x:f>
        <x:v>-0.13108432151493268</x:v>
      </x:c>
      <x:c r="O1228" s="36" t="n">
        <x:f>Assumptions!$B$10</x:f>
        <x:v>0</x:v>
      </x:c>
      <x:c r="P1228" s="54" t="n">
        <x:f>E1228*(1+N1228)</x:f>
        <x:v>127.7306047373049</x:v>
      </x:c>
      <x:c r="Q1228" s="54" t="n">
        <x:f>P1228-E1228</x:f>
        <x:v>-19.2693952626951</x:v>
      </x:c>
      <x:c r="R1228" s="16" t="str">
        <x:v>No</x:v>
      </x:c>
      <x:c r="S1228" s="56"/>
      <x:c r="T1228" s="56"/>
      <x:c r="U1228" s="40" t="n">
        <x:f>E1228*Assumptions!$B$8</x:f>
        <x:v>124.95</x:v>
      </x:c>
      <x:c r="V1228" s="40" t="n">
        <x:f>P1228*Assumptions!$B$8</x:f>
        <x:v>108.57101402670916</x:v>
      </x:c>
      <x:c r="W1228" s="54" t="n">
        <x:f>V1228-U1228</x:f>
        <x:v>-16.37898597329084</x:v>
      </x:c>
      <x:c r="X1228" s="58" t="str">
        <x:f>IF(R1228="No","",W1228*S1228)</x:f>
      </x:c>
      <x:c r="Y1228" s="58" t="str">
        <x:f>IF(R1228="No","",W1228*T1228*Assumptions!$B$9)</x:f>
      </x:c>
      <x:c r="Z1228" s="58" t="str">
        <x:f>IF(R1228="No","",X1228-Y1228)</x:f>
      </x:c>
      <x:c r="AA1228" s="58" t="str">
        <x:f>IF(R1228="No","",MAX(0,-Z1228))</x:f>
      </x:c>
      <x:c r="AB1228" s="52" t="str">
        <x:f>IF(OR(R1228="No",U1228*S1228=0),"",AA1228/(U1228*S1228))</x:f>
      </x:c>
      <x:c r="AC1228" s="54" t="str">
        <x:f>IF(OR(R1228="No",S1228-T1228*Assumptions!$B$9&lt;=0),"",AA1228/(Assumptions!$B$8*(S1228-T1228*Assumptions!$B$9)))</x:f>
      </x:c>
      <x:c r="AD1228" s="52" t="str">
        <x:f>IF(OR(R1228="No",U1228*S1228=0),"",AA1228/(U1228*S1228))</x:f>
      </x:c>
      <x:c r="AE1228" s="50" t="str">
        <x:f>IF(R1228="No","No finance data",IF(AB1228&gt;=10%,"Severe",IF(AB1228&gt;=5%,"High",IF(AB1228&gt;=2%,"Moderate","Low"))))</x:f>
        <x:v>No finance data</x:v>
      </x:c>
      <x:c r="AF1228" s="60"/>
      <x:c r="AG1228" s="60"/>
      <x:c r="AH1228" s="44" t="str">
        <x:v>Undergraduate tuition-contribution proxy only; not an audited total institutional budget.</x:v>
      </x:c>
    </x:row>
    <x:row r="1229">
      <x:c r="A1229" s="16" t="n">
        <x:v>200873</x:v>
      </x:c>
      <x:c r="B1229" s="16" t="str">
        <x:v>Allegheny Wesleyan College</x:v>
      </x:c>
      <x:c r="C1229" s="16" t="str">
        <x:v>OH</x:v>
      </x:c>
      <x:c r="D1229" s="16" t="str">
        <x:v>Private nonprofit</x:v>
      </x:c>
      <x:c r="E1229" s="34" t="n">
        <x:v>63</x:v>
      </x:c>
      <x:c r="F1229" s="21"/>
      <x:c r="G1229" s="16" t="str">
        <x:v>Regional</x:v>
      </x:c>
      <x:c r="H1229" s="36" t="n">
        <x:f>IF(G1229="National",Assumptions!$B$11,IF(G1229="Statewide",Assumptions!$B$12,Assumptions!$B$13))</x:f>
        <x:v>0.85</x:v>
      </x:c>
      <x:c r="I1229" s="21" t="n">
        <x:v>-0.04950305674999822</x:v>
      </x:c>
      <x:c r="J1229" s="21" t="n">
        <x:v>-0.04440257007856163</x:v>
      </x:c>
      <x:c r="K1229" s="21" t="n">
        <x:v>-0.11831712275879658</x:v>
      </x:c>
      <x:c r="L1229" s="36" t="n">
        <x:f>IF(Assumptions!$B$4=2030,I1229,IF(Assumptions!$B$4=2035,J1229,K1229))</x:f>
        <x:v>-0.04440257007856163</x:v>
      </x:c>
      <x:c r="M1229" s="36" t="n">
        <x:f>Assumptions!$B$19</x:f>
        <x:v>-0.04739891965741583</x:v>
      </x:c>
      <x:c r="N1229" s="52" t="n">
        <x:f>H1229*L1229+(1-H1229)*M1229+O1229</x:f>
        <x:v>-0.044852022515389764</x:v>
      </x:c>
      <x:c r="O1229" s="36" t="n">
        <x:f>Assumptions!$B$10</x:f>
        <x:v>0</x:v>
      </x:c>
      <x:c r="P1229" s="54" t="n">
        <x:f>E1229*(1+N1229)</x:f>
        <x:v>60.17432258153045</x:v>
      </x:c>
      <x:c r="Q1229" s="54" t="n">
        <x:f>P1229-E1229</x:f>
        <x:v>-2.825677418469553</x:v>
      </x:c>
      <x:c r="R1229" s="16" t="str">
        <x:v>No</x:v>
      </x:c>
      <x:c r="S1229" s="56"/>
      <x:c r="T1229" s="56"/>
      <x:c r="U1229" s="40" t="n">
        <x:f>E1229*Assumptions!$B$8</x:f>
        <x:v>53.55</x:v>
      </x:c>
      <x:c r="V1229" s="40" t="n">
        <x:f>P1229*Assumptions!$B$8</x:f>
        <x:v>51.14817419430088</x:v>
      </x:c>
      <x:c r="W1229" s="54" t="n">
        <x:f>V1229-U1229</x:f>
        <x:v>-2.4018258056991186</x:v>
      </x:c>
      <x:c r="X1229" s="58" t="str">
        <x:f>IF(R1229="No","",W1229*S1229)</x:f>
      </x:c>
      <x:c r="Y1229" s="58" t="str">
        <x:f>IF(R1229="No","",W1229*T1229*Assumptions!$B$9)</x:f>
      </x:c>
      <x:c r="Z1229" s="58" t="str">
        <x:f>IF(R1229="No","",X1229-Y1229)</x:f>
      </x:c>
      <x:c r="AA1229" s="58" t="str">
        <x:f>IF(R1229="No","",MAX(0,-Z1229))</x:f>
      </x:c>
      <x:c r="AB1229" s="52" t="str">
        <x:f>IF(OR(R1229="No",U1229*S1229=0),"",AA1229/(U1229*S1229))</x:f>
      </x:c>
      <x:c r="AC1229" s="54" t="str">
        <x:f>IF(OR(R1229="No",S1229-T1229*Assumptions!$B$9&lt;=0),"",AA1229/(Assumptions!$B$8*(S1229-T1229*Assumptions!$B$9)))</x:f>
      </x:c>
      <x:c r="AD1229" s="52" t="str">
        <x:f>IF(OR(R1229="No",U1229*S1229=0),"",AA1229/(U1229*S1229))</x:f>
      </x:c>
      <x:c r="AE1229" s="50" t="str">
        <x:f>IF(R1229="No","No finance data",IF(AB1229&gt;=10%,"Severe",IF(AB1229&gt;=5%,"High",IF(AB1229&gt;=2%,"Moderate","Low"))))</x:f>
        <x:v>No finance data</x:v>
      </x:c>
      <x:c r="AF1229" s="60"/>
      <x:c r="AG1229" s="60"/>
      <x:c r="AH1229" s="44" t="str">
        <x:v>Undergraduate tuition-contribution proxy only; not an audited total institutional budget.</x:v>
      </x:c>
    </x:row>
    <x:row r="1230">
      <x:c r="A1230" s="16" t="n">
        <x:v>483018</x:v>
      </x:c>
      <x:c r="B1230" s="16" t="str">
        <x:v>Antioch College</x:v>
      </x:c>
      <x:c r="C1230" s="16" t="str">
        <x:v>OH</x:v>
      </x:c>
      <x:c r="D1230" s="16" t="str">
        <x:v>Private nonprofit</x:v>
      </x:c>
      <x:c r="E1230" s="34" t="n">
        <x:v>266</x:v>
      </x:c>
      <x:c r="F1230" s="21"/>
      <x:c r="G1230" s="16" t="str">
        <x:v>Regional</x:v>
      </x:c>
      <x:c r="H1230" s="36" t="n">
        <x:f>IF(G1230="National",Assumptions!$B$11,IF(G1230="Statewide",Assumptions!$B$12,Assumptions!$B$13))</x:f>
        <x:v>0.85</x:v>
      </x:c>
      <x:c r="I1230" s="21" t="n">
        <x:v>-0.04950305674999822</x:v>
      </x:c>
      <x:c r="J1230" s="21" t="n">
        <x:v>-0.04440257007856163</x:v>
      </x:c>
      <x:c r="K1230" s="21" t="n">
        <x:v>-0.11831712275879658</x:v>
      </x:c>
      <x:c r="L1230" s="36" t="n">
        <x:f>IF(Assumptions!$B$4=2030,I1230,IF(Assumptions!$B$4=2035,J1230,K1230))</x:f>
        <x:v>-0.04440257007856163</x:v>
      </x:c>
      <x:c r="M1230" s="36" t="n">
        <x:f>Assumptions!$B$19</x:f>
        <x:v>-0.04739891965741583</x:v>
      </x:c>
      <x:c r="N1230" s="52" t="n">
        <x:f>H1230*L1230+(1-H1230)*M1230+O1230</x:f>
        <x:v>-0.044852022515389764</x:v>
      </x:c>
      <x:c r="O1230" s="36" t="n">
        <x:f>Assumptions!$B$10</x:f>
        <x:v>0</x:v>
      </x:c>
      <x:c r="P1230" s="54" t="n">
        <x:f>E1230*(1+N1230)</x:f>
        <x:v>254.06936201090633</x:v>
      </x:c>
      <x:c r="Q1230" s="54" t="n">
        <x:f>P1230-E1230</x:f>
        <x:v>-11.930637989093668</x:v>
      </x:c>
      <x:c r="R1230" s="16" t="str">
        <x:v>No</x:v>
      </x:c>
      <x:c r="S1230" s="56"/>
      <x:c r="T1230" s="56"/>
      <x:c r="U1230" s="40" t="n">
        <x:f>E1230*Assumptions!$B$8</x:f>
        <x:v>226.1</x:v>
      </x:c>
      <x:c r="V1230" s="40" t="n">
        <x:f>P1230*Assumptions!$B$8</x:f>
        <x:v>215.95895770927038</x:v>
      </x:c>
      <x:c r="W1230" s="54" t="n">
        <x:f>V1230-U1230</x:f>
        <x:v>-10.141042290729615</x:v>
      </x:c>
      <x:c r="X1230" s="58" t="str">
        <x:f>IF(R1230="No","",W1230*S1230)</x:f>
      </x:c>
      <x:c r="Y1230" s="58" t="str">
        <x:f>IF(R1230="No","",W1230*T1230*Assumptions!$B$9)</x:f>
      </x:c>
      <x:c r="Z1230" s="58" t="str">
        <x:f>IF(R1230="No","",X1230-Y1230)</x:f>
      </x:c>
      <x:c r="AA1230" s="58" t="str">
        <x:f>IF(R1230="No","",MAX(0,-Z1230))</x:f>
      </x:c>
      <x:c r="AB1230" s="52" t="str">
        <x:f>IF(OR(R1230="No",U1230*S1230=0),"",AA1230/(U1230*S1230))</x:f>
      </x:c>
      <x:c r="AC1230" s="54" t="str">
        <x:f>IF(OR(R1230="No",S1230-T1230*Assumptions!$B$9&lt;=0),"",AA1230/(Assumptions!$B$8*(S1230-T1230*Assumptions!$B$9)))</x:f>
      </x:c>
      <x:c r="AD1230" s="52" t="str">
        <x:f>IF(OR(R1230="No",U1230*S1230=0),"",AA1230/(U1230*S1230))</x:f>
      </x:c>
      <x:c r="AE1230" s="50" t="str">
        <x:f>IF(R1230="No","No finance data",IF(AB1230&gt;=10%,"Severe",IF(AB1230&gt;=5%,"High",IF(AB1230&gt;=2%,"Moderate","Low"))))</x:f>
        <x:v>No finance data</x:v>
      </x:c>
      <x:c r="AF1230" s="60"/>
      <x:c r="AG1230" s="60"/>
      <x:c r="AH1230" s="44" t="str">
        <x:v>Undergraduate tuition-contribution proxy only; not an audited total institutional budget.</x:v>
      </x:c>
    </x:row>
    <x:row r="1231">
      <x:c r="A1231" s="16" t="n">
        <x:v>245892</x:v>
      </x:c>
      <x:c r="B1231" s="16" t="str">
        <x:v>Antioch University-Midwest</x:v>
      </x:c>
      <x:c r="C1231" s="16" t="str">
        <x:v>OH</x:v>
      </x:c>
      <x:c r="D1231" s="16" t="str">
        <x:v>Private nonprofit</x:v>
      </x:c>
      <x:c r="E1231" s="34" t="n">
        <x:v>51</x:v>
      </x:c>
      <x:c r="F1231" s="21"/>
      <x:c r="G1231" s="16" t="str">
        <x:v>Regional</x:v>
      </x:c>
      <x:c r="H1231" s="36" t="n">
        <x:f>IF(G1231="National",Assumptions!$B$11,IF(G1231="Statewide",Assumptions!$B$12,Assumptions!$B$13))</x:f>
        <x:v>0.85</x:v>
      </x:c>
      <x:c r="I1231" s="21" t="n">
        <x:v>-0.04950305674999822</x:v>
      </x:c>
      <x:c r="J1231" s="21" t="n">
        <x:v>-0.04440257007856163</x:v>
      </x:c>
      <x:c r="K1231" s="21" t="n">
        <x:v>-0.11831712275879658</x:v>
      </x:c>
      <x:c r="L1231" s="36" t="n">
        <x:f>IF(Assumptions!$B$4=2030,I1231,IF(Assumptions!$B$4=2035,J1231,K1231))</x:f>
        <x:v>-0.04440257007856163</x:v>
      </x:c>
      <x:c r="M1231" s="36" t="n">
        <x:f>Assumptions!$B$19</x:f>
        <x:v>-0.04739891965741583</x:v>
      </x:c>
      <x:c r="N1231" s="52" t="n">
        <x:f>H1231*L1231+(1-H1231)*M1231+O1231</x:f>
        <x:v>-0.044852022515389764</x:v>
      </x:c>
      <x:c r="O1231" s="36" t="n">
        <x:f>Assumptions!$B$10</x:f>
        <x:v>0</x:v>
      </x:c>
      <x:c r="P1231" s="54" t="n">
        <x:f>E1231*(1+N1231)</x:f>
        <x:v>48.712546851715125</x:v>
      </x:c>
      <x:c r="Q1231" s="54" t="n">
        <x:f>P1231-E1231</x:f>
        <x:v>-2.2874531482848752</x:v>
      </x:c>
      <x:c r="R1231" s="16" t="str">
        <x:v>No</x:v>
      </x:c>
      <x:c r="S1231" s="56"/>
      <x:c r="T1231" s="56"/>
      <x:c r="U1231" s="40" t="n">
        <x:f>E1231*Assumptions!$B$8</x:f>
        <x:v>43.35</x:v>
      </x:c>
      <x:c r="V1231" s="40" t="n">
        <x:f>P1231*Assumptions!$B$8</x:f>
        <x:v>41.405664823957856</x:v>
      </x:c>
      <x:c r="W1231" s="54" t="n">
        <x:f>V1231-U1231</x:f>
        <x:v>-1.944335176042145</x:v>
      </x:c>
      <x:c r="X1231" s="58" t="str">
        <x:f>IF(R1231="No","",W1231*S1231)</x:f>
      </x:c>
      <x:c r="Y1231" s="58" t="str">
        <x:f>IF(R1231="No","",W1231*T1231*Assumptions!$B$9)</x:f>
      </x:c>
      <x:c r="Z1231" s="58" t="str">
        <x:f>IF(R1231="No","",X1231-Y1231)</x:f>
      </x:c>
      <x:c r="AA1231" s="58" t="str">
        <x:f>IF(R1231="No","",MAX(0,-Z1231))</x:f>
      </x:c>
      <x:c r="AB1231" s="52" t="str">
        <x:f>IF(OR(R1231="No",U1231*S1231=0),"",AA1231/(U1231*S1231))</x:f>
      </x:c>
      <x:c r="AC1231" s="54" t="str">
        <x:f>IF(OR(R1231="No",S1231-T1231*Assumptions!$B$9&lt;=0),"",AA1231/(Assumptions!$B$8*(S1231-T1231*Assumptions!$B$9)))</x:f>
      </x:c>
      <x:c r="AD1231" s="52" t="str">
        <x:f>IF(OR(R1231="No",U1231*S1231=0),"",AA1231/(U1231*S1231))</x:f>
      </x:c>
      <x:c r="AE1231" s="50" t="str">
        <x:f>IF(R1231="No","No finance data",IF(AB1231&gt;=10%,"Severe",IF(AB1231&gt;=5%,"High",IF(AB1231&gt;=2%,"Moderate","Low"))))</x:f>
        <x:v>No finance data</x:v>
      </x:c>
      <x:c r="AF1231" s="60"/>
      <x:c r="AG1231" s="60"/>
      <x:c r="AH1231" s="44" t="str">
        <x:v>Undergraduate tuition-contribution proxy only; not an audited total institutional budget.</x:v>
      </x:c>
    </x:row>
    <x:row r="1232">
      <x:c r="A1232" s="16" t="n">
        <x:v>201061</x:v>
      </x:c>
      <x:c r="B1232" s="16" t="str">
        <x:v>Art Academy of Cincinnati</x:v>
      </x:c>
      <x:c r="C1232" s="16" t="str">
        <x:v>OH</x:v>
      </x:c>
      <x:c r="D1232" s="16" t="str">
        <x:v>Private nonprofit</x:v>
      </x:c>
      <x:c r="E1232" s="34" t="n">
        <x:v>198</x:v>
      </x:c>
      <x:c r="F1232" s="21"/>
      <x:c r="G1232" s="16" t="str">
        <x:v>Regional</x:v>
      </x:c>
      <x:c r="H1232" s="36" t="n">
        <x:f>IF(G1232="National",Assumptions!$B$11,IF(G1232="Statewide",Assumptions!$B$12,Assumptions!$B$13))</x:f>
        <x:v>0.85</x:v>
      </x:c>
      <x:c r="I1232" s="21" t="n">
        <x:v>-0.04950305674999822</x:v>
      </x:c>
      <x:c r="J1232" s="21" t="n">
        <x:v>-0.04440257007856163</x:v>
      </x:c>
      <x:c r="K1232" s="21" t="n">
        <x:v>-0.11831712275879658</x:v>
      </x:c>
      <x:c r="L1232" s="36" t="n">
        <x:f>IF(Assumptions!$B$4=2030,I1232,IF(Assumptions!$B$4=2035,J1232,K1232))</x:f>
        <x:v>-0.04440257007856163</x:v>
      </x:c>
      <x:c r="M1232" s="36" t="n">
        <x:f>Assumptions!$B$19</x:f>
        <x:v>-0.04739891965741583</x:v>
      </x:c>
      <x:c r="N1232" s="52" t="n">
        <x:f>H1232*L1232+(1-H1232)*M1232+O1232</x:f>
        <x:v>-0.044852022515389764</x:v>
      </x:c>
      <x:c r="O1232" s="36" t="n">
        <x:f>Assumptions!$B$10</x:f>
        <x:v>0</x:v>
      </x:c>
      <x:c r="P1232" s="54" t="n">
        <x:f>E1232*(1+N1232)</x:f>
        <x:v>189.1192995419528</x:v>
      </x:c>
      <x:c r="Q1232" s="54" t="n">
        <x:f>P1232-E1232</x:f>
        <x:v>-8.880700458047187</x:v>
      </x:c>
      <x:c r="R1232" s="16" t="str">
        <x:v>No</x:v>
      </x:c>
      <x:c r="S1232" s="56"/>
      <x:c r="T1232" s="56"/>
      <x:c r="U1232" s="40" t="n">
        <x:f>E1232*Assumptions!$B$8</x:f>
        <x:v>168.29999999999998</x:v>
      </x:c>
      <x:c r="V1232" s="40" t="n">
        <x:f>P1232*Assumptions!$B$8</x:f>
        <x:v>160.75140461065988</x:v>
      </x:c>
      <x:c r="W1232" s="54" t="n">
        <x:f>V1232-U1232</x:f>
        <x:v>-7.548595389340107</x:v>
      </x:c>
      <x:c r="X1232" s="58" t="str">
        <x:f>IF(R1232="No","",W1232*S1232)</x:f>
      </x:c>
      <x:c r="Y1232" s="58" t="str">
        <x:f>IF(R1232="No","",W1232*T1232*Assumptions!$B$9)</x:f>
      </x:c>
      <x:c r="Z1232" s="58" t="str">
        <x:f>IF(R1232="No","",X1232-Y1232)</x:f>
      </x:c>
      <x:c r="AA1232" s="58" t="str">
        <x:f>IF(R1232="No","",MAX(0,-Z1232))</x:f>
      </x:c>
      <x:c r="AB1232" s="52" t="str">
        <x:f>IF(OR(R1232="No",U1232*S1232=0),"",AA1232/(U1232*S1232))</x:f>
      </x:c>
      <x:c r="AC1232" s="54" t="str">
        <x:f>IF(OR(R1232="No",S1232-T1232*Assumptions!$B$9&lt;=0),"",AA1232/(Assumptions!$B$8*(S1232-T1232*Assumptions!$B$9)))</x:f>
      </x:c>
      <x:c r="AD1232" s="52" t="str">
        <x:f>IF(OR(R1232="No",U1232*S1232=0),"",AA1232/(U1232*S1232))</x:f>
      </x:c>
      <x:c r="AE1232" s="50" t="str">
        <x:f>IF(R1232="No","No finance data",IF(AB1232&gt;=10%,"Severe",IF(AB1232&gt;=5%,"High",IF(AB1232&gt;=2%,"Moderate","Low"))))</x:f>
        <x:v>No finance data</x:v>
      </x:c>
      <x:c r="AF1232" s="60"/>
      <x:c r="AG1232" s="60"/>
      <x:c r="AH1232" s="44" t="str">
        <x:v>Undergraduate tuition-contribution proxy only; not an audited total institutional budget.</x:v>
      </x:c>
    </x:row>
    <x:row r="1233">
      <x:c r="A1233" s="16" t="n">
        <x:v>201104</x:v>
      </x:c>
      <x:c r="B1233" s="16" t="str">
        <x:v>Ashland University</x:v>
      </x:c>
      <x:c r="C1233" s="16" t="str">
        <x:v>OH</x:v>
      </x:c>
      <x:c r="D1233" s="16" t="str">
        <x:v>Private nonprofit</x:v>
      </x:c>
      <x:c r="E1233" s="34" t="n">
        <x:v>3218</x:v>
      </x:c>
      <x:c r="F1233" s="21" t="n">
        <x:v>0.7001</x:v>
      </x:c>
      <x:c r="G1233" s="16" t="str">
        <x:v>Regional</x:v>
      </x:c>
      <x:c r="H1233" s="36" t="n">
        <x:f>IF(G1233="National",Assumptions!$B$11,IF(G1233="Statewide",Assumptions!$B$12,Assumptions!$B$13))</x:f>
        <x:v>0.85</x:v>
      </x:c>
      <x:c r="I1233" s="21" t="n">
        <x:v>-0.04950305674999822</x:v>
      </x:c>
      <x:c r="J1233" s="21" t="n">
        <x:v>-0.04440257007856163</x:v>
      </x:c>
      <x:c r="K1233" s="21" t="n">
        <x:v>-0.11831712275879658</x:v>
      </x:c>
      <x:c r="L1233" s="36" t="n">
        <x:f>IF(Assumptions!$B$4=2030,I1233,IF(Assumptions!$B$4=2035,J1233,K1233))</x:f>
        <x:v>-0.04440257007856163</x:v>
      </x:c>
      <x:c r="M1233" s="36" t="n">
        <x:f>Assumptions!$B$19</x:f>
        <x:v>-0.04739891965741583</x:v>
      </x:c>
      <x:c r="N1233" s="52" t="n">
        <x:f>H1233*L1233+(1-H1233)*M1233+O1233</x:f>
        <x:v>-0.044852022515389764</x:v>
      </x:c>
      <x:c r="O1233" s="36" t="n">
        <x:f>Assumptions!$B$10</x:f>
        <x:v>0</x:v>
      </x:c>
      <x:c r="P1233" s="54" t="n">
        <x:f>E1233*(1+N1233)</x:f>
        <x:v>3073.6661915454756</x:v>
      </x:c>
      <x:c r="Q1233" s="54" t="n">
        <x:f>P1233-E1233</x:f>
        <x:v>-144.3338084545244</x:v>
      </x:c>
      <x:c r="R1233" s="16" t="str">
        <x:v>Yes</x:v>
      </x:c>
      <x:c r="S1233" s="56" t="n">
        <x:v>18423</x:v>
      </x:c>
      <x:c r="T1233" s="56" t="n">
        <x:v>11053</x:v>
      </x:c>
      <x:c r="U1233" s="40" t="n">
        <x:f>E1233*Assumptions!$B$8</x:f>
        <x:v>2735.2999999999997</x:v>
      </x:c>
      <x:c r="V1233" s="40" t="n">
        <x:f>P1233*Assumptions!$B$8</x:f>
        <x:v>2612.616262813654</x:v>
      </x:c>
      <x:c r="W1233" s="54" t="n">
        <x:f>V1233-U1233</x:f>
        <x:v>-122.68373718634575</x:v>
      </x:c>
      <x:c r="X1233" s="58" t="n">
        <x:f>IF(R1233="No","",W1233*S1233)</x:f>
        <x:v>-2260202.4901840477</x:v>
      </x:c>
      <x:c r="Y1233" s="58" t="n">
        <x:f>IF(R1233="No","",W1233*T1233*Assumptions!$B$9)</x:f>
        <x:v>-406807.0041362039</x:v>
      </x:c>
      <x:c r="Z1233" s="58" t="n">
        <x:f>IF(R1233="No","",X1233-Y1233)</x:f>
        <x:v>-1853395.486047844</x:v>
      </x:c>
      <x:c r="AA1233" s="58" t="n">
        <x:f>IF(R1233="No","",MAX(0,-Z1233))</x:f>
        <x:v>1853395.486047844</x:v>
      </x:c>
      <x:c r="AB1233" s="52" t="n">
        <x:f>IF(OR(R1233="No",U1233*S1233=0),"",AA1233/(U1233*S1233))</x:f>
        <x:v>0.036779242758630266</x:v>
      </x:c>
      <x:c r="AC1233" s="54" t="n">
        <x:f>IF(OR(R1233="No",S1233-T1233*Assumptions!$B$9&lt;=0),"",AA1233/(Assumptions!$B$8*(S1233-T1233*Assumptions!$B$9)))</x:f>
        <x:v>144.33380845452442</x:v>
      </x:c>
      <x:c r="AD1233" s="52" t="n">
        <x:f>IF(OR(R1233="No",U1233*S1233=0),"",AA1233/(U1233*S1233))</x:f>
        <x:v>0.036779242758630266</x:v>
      </x:c>
      <x:c r="AE1233" s="50" t="str">
        <x:f>IF(R1233="No","No finance data",IF(AB1233&gt;=10%,"Severe",IF(AB1233&gt;=5%,"High",IF(AB1233&gt;=2%,"Moderate","Low"))))</x:f>
        <x:v>Moderate</x:v>
      </x:c>
      <x:c r="AF1233" s="60" t="n">
        <x:v>40.861755</x:v>
      </x:c>
      <x:c r="AG1233" s="60" t="n">
        <x:v>-82.321061</x:v>
      </x:c>
      <x:c r="AH1233" s="44" t="str">
        <x:v>Undergraduate tuition-contribution proxy only; not an audited total institutional budget.</x:v>
      </x:c>
    </x:row>
    <x:row r="1234">
      <x:c r="A1234" s="16" t="n">
        <x:v>201195</x:v>
      </x:c>
      <x:c r="B1234" s="16" t="str">
        <x:v>Baldwin Wallace University</x:v>
      </x:c>
      <x:c r="C1234" s="16" t="str">
        <x:v>OH</x:v>
      </x:c>
      <x:c r="D1234" s="16" t="str">
        <x:v>Private nonprofit</x:v>
      </x:c>
      <x:c r="E1234" s="34" t="n">
        <x:v>3300</x:v>
      </x:c>
      <x:c r="F1234" s="21" t="n">
        <x:v>0.7901</x:v>
      </x:c>
      <x:c r="G1234" s="16" t="str">
        <x:v>Regional</x:v>
      </x:c>
      <x:c r="H1234" s="36" t="n">
        <x:f>IF(G1234="National",Assumptions!$B$11,IF(G1234="Statewide",Assumptions!$B$12,Assumptions!$B$13))</x:f>
        <x:v>0.85</x:v>
      </x:c>
      <x:c r="I1234" s="21" t="n">
        <x:v>-0.04950305674999822</x:v>
      </x:c>
      <x:c r="J1234" s="21" t="n">
        <x:v>-0.04440257007856163</x:v>
      </x:c>
      <x:c r="K1234" s="21" t="n">
        <x:v>-0.11831712275879658</x:v>
      </x:c>
      <x:c r="L1234" s="36" t="n">
        <x:f>IF(Assumptions!$B$4=2030,I1234,IF(Assumptions!$B$4=2035,J1234,K1234))</x:f>
        <x:v>-0.04440257007856163</x:v>
      </x:c>
      <x:c r="M1234" s="36" t="n">
        <x:f>Assumptions!$B$19</x:f>
        <x:v>-0.04739891965741583</x:v>
      </x:c>
      <x:c r="N1234" s="52" t="n">
        <x:f>H1234*L1234+(1-H1234)*M1234+O1234</x:f>
        <x:v>-0.044852022515389764</x:v>
      </x:c>
      <x:c r="O1234" s="36" t="n">
        <x:f>Assumptions!$B$10</x:f>
        <x:v>0</x:v>
      </x:c>
      <x:c r="P1234" s="54" t="n">
        <x:f>E1234*(1+N1234)</x:f>
        <x:v>3151.988325699214</x:v>
      </x:c>
      <x:c r="Q1234" s="54" t="n">
        <x:f>P1234-E1234</x:f>
        <x:v>-148.01167430078613</x:v>
      </x:c>
      <x:c r="R1234" s="16" t="str">
        <x:v>Yes</x:v>
      </x:c>
      <x:c r="S1234" s="56" t="n">
        <x:v>14946</x:v>
      </x:c>
      <x:c r="T1234" s="56" t="n">
        <x:v>12947</x:v>
      </x:c>
      <x:c r="U1234" s="40" t="n">
        <x:f>E1234*Assumptions!$B$8</x:f>
        <x:v>2805</x:v>
      </x:c>
      <x:c r="V1234" s="40" t="n">
        <x:f>P1234*Assumptions!$B$8</x:f>
        <x:v>2679.1900768443315</x:v>
      </x:c>
      <x:c r="W1234" s="54" t="n">
        <x:f>V1234-U1234</x:f>
        <x:v>-125.80992315566846</x:v>
      </x:c>
      <x:c r="X1234" s="58" t="n">
        <x:f>IF(R1234="No","",W1234*S1234)</x:f>
        <x:v>-1880355.1114846207</x:v>
      </x:c>
      <x:c r="Y1234" s="58" t="n">
        <x:f>IF(R1234="No","",W1234*T1234*Assumptions!$B$9)</x:f>
        <x:v>-488658.32252893184</x:v>
      </x:c>
      <x:c r="Z1234" s="58" t="n">
        <x:f>IF(R1234="No","",X1234-Y1234)</x:f>
        <x:v>-1391696.788955689</x:v>
      </x:c>
      <x:c r="AA1234" s="58" t="n">
        <x:f>IF(R1234="No","",MAX(0,-Z1234))</x:f>
        <x:v>1391696.788955689</x:v>
      </x:c>
      <x:c r="AB1234" s="52" t="n">
        <x:f>IF(OR(R1234="No",U1234*S1234=0),"",AA1234/(U1234*S1234))</x:f>
        <x:v>0.033196078406462645</x:v>
      </x:c>
      <x:c r="AC1234" s="54" t="n">
        <x:f>IF(OR(R1234="No",S1234-T1234*Assumptions!$B$9&lt;=0),"",AA1234/(Assumptions!$B$8*(S1234-T1234*Assumptions!$B$9)))</x:f>
        <x:v>148.01167430078644</x:v>
      </x:c>
      <x:c r="AD1234" s="52" t="n">
        <x:f>IF(OR(R1234="No",U1234*S1234=0),"",AA1234/(U1234*S1234))</x:f>
        <x:v>0.033196078406462645</x:v>
      </x:c>
      <x:c r="AE1234" s="50" t="str">
        <x:f>IF(R1234="No","No finance data",IF(AB1234&gt;=10%,"Severe",IF(AB1234&gt;=5%,"High",IF(AB1234&gt;=2%,"Moderate","Low"))))</x:f>
        <x:v>Moderate</x:v>
      </x:c>
      <x:c r="AF1234" s="60" t="n">
        <x:v>41.373017</x:v>
      </x:c>
      <x:c r="AG1234" s="60" t="n">
        <x:v>-81.851145</x:v>
      </x:c>
      <x:c r="AH1234" s="44" t="str">
        <x:v>Undergraduate tuition-contribution proxy only; not an audited total institutional budget.</x:v>
      </x:c>
    </x:row>
    <x:row r="1235">
      <x:c r="A1235" s="16" t="n">
        <x:v>201371</x:v>
      </x:c>
      <x:c r="B1235" s="16" t="str">
        <x:v>Bluffton University</x:v>
      </x:c>
      <x:c r="C1235" s="16" t="str">
        <x:v>OH</x:v>
      </x:c>
      <x:c r="D1235" s="16" t="str">
        <x:v>Private nonprofit</x:v>
      </x:c>
      <x:c r="E1235" s="34" t="n">
        <x:v>833</x:v>
      </x:c>
      <x:c r="F1235" s="21" t="n">
        <x:v>0.7522</x:v>
      </x:c>
      <x:c r="G1235" s="16" t="str">
        <x:v>Regional</x:v>
      </x:c>
      <x:c r="H1235" s="36" t="n">
        <x:f>IF(G1235="National",Assumptions!$B$11,IF(G1235="Statewide",Assumptions!$B$12,Assumptions!$B$13))</x:f>
        <x:v>0.85</x:v>
      </x:c>
      <x:c r="I1235" s="21" t="n">
        <x:v>-0.04950305674999822</x:v>
      </x:c>
      <x:c r="J1235" s="21" t="n">
        <x:v>-0.04440257007856163</x:v>
      </x:c>
      <x:c r="K1235" s="21" t="n">
        <x:v>-0.11831712275879658</x:v>
      </x:c>
      <x:c r="L1235" s="36" t="n">
        <x:f>IF(Assumptions!$B$4=2030,I1235,IF(Assumptions!$B$4=2035,J1235,K1235))</x:f>
        <x:v>-0.04440257007856163</x:v>
      </x:c>
      <x:c r="M1235" s="36" t="n">
        <x:f>Assumptions!$B$19</x:f>
        <x:v>-0.04739891965741583</x:v>
      </x:c>
      <x:c r="N1235" s="52" t="n">
        <x:f>H1235*L1235+(1-H1235)*M1235+O1235</x:f>
        <x:v>-0.044852022515389764</x:v>
      </x:c>
      <x:c r="O1235" s="36" t="n">
        <x:f>Assumptions!$B$10</x:f>
        <x:v>0</x:v>
      </x:c>
      <x:c r="P1235" s="54" t="n">
        <x:f>E1235*(1+N1235)</x:f>
        <x:v>795.6382652446803</x:v>
      </x:c>
      <x:c r="Q1235" s="54" t="n">
        <x:f>P1235-E1235</x:f>
        <x:v>-37.36173475531973</x:v>
      </x:c>
      <x:c r="R1235" s="16" t="str">
        <x:v>Yes</x:v>
      </x:c>
      <x:c r="S1235" s="56" t="n">
        <x:v>10017</x:v>
      </x:c>
      <x:c r="T1235" s="56" t="n">
        <x:v>9267</x:v>
      </x:c>
      <x:c r="U1235" s="40" t="n">
        <x:f>E1235*Assumptions!$B$8</x:f>
        <x:v>708.05</x:v>
      </x:c>
      <x:c r="V1235" s="40" t="n">
        <x:f>P1235*Assumptions!$B$8</x:f>
        <x:v>676.2925254579782</x:v>
      </x:c>
      <x:c r="W1235" s="54" t="n">
        <x:f>V1235-U1235</x:f>
        <x:v>-31.757474542021782</x:v>
      </x:c>
      <x:c r="X1235" s="58" t="n">
        <x:f>IF(R1235="No","",W1235*S1235)</x:f>
        <x:v>-318114.6224874322</x:v>
      </x:c>
      <x:c r="Y1235" s="58" t="n">
        <x:f>IF(R1235="No","",W1235*T1235*Assumptions!$B$9)</x:f>
        <x:v>-88288.95497427475</x:v>
      </x:c>
      <x:c r="Z1235" s="58" t="n">
        <x:f>IF(R1235="No","",X1235-Y1235)</x:f>
        <x:v>-229825.66751315747</x:v>
      </x:c>
      <x:c r="AA1235" s="58" t="n">
        <x:f>IF(R1235="No","",MAX(0,-Z1235))</x:f>
        <x:v>229825.66751315747</x:v>
      </x:c>
      <x:c r="AB1235" s="52" t="n">
        <x:f>IF(OR(R1235="No",U1235*S1235=0),"",AA1235/(U1235*S1235))</x:f>
        <x:v>0.032403873589061084</x:v>
      </x:c>
      <x:c r="AC1235" s="54" t="n">
        <x:f>IF(OR(R1235="No",S1235-T1235*Assumptions!$B$9&lt;=0),"",AA1235/(Assumptions!$B$8*(S1235-T1235*Assumptions!$B$9)))</x:f>
        <x:v>37.36173475531975</x:v>
      </x:c>
      <x:c r="AD1235" s="52" t="n">
        <x:f>IF(OR(R1235="No",U1235*S1235=0),"",AA1235/(U1235*S1235))</x:f>
        <x:v>0.032403873589061084</x:v>
      </x:c>
      <x:c r="AE1235" s="50" t="str">
        <x:f>IF(R1235="No","No finance data",IF(AB1235&gt;=10%,"Severe",IF(AB1235&gt;=5%,"High",IF(AB1235&gt;=2%,"Moderate","Low"))))</x:f>
        <x:v>Moderate</x:v>
      </x:c>
      <x:c r="AF1235" s="60" t="n">
        <x:v>40.895606</x:v>
      </x:c>
      <x:c r="AG1235" s="60" t="n">
        <x:v>-83.899439</x:v>
      </x:c>
      <x:c r="AH1235" s="44" t="str">
        <x:v>Undergraduate tuition-contribution proxy only; not an audited total institutional budget.</x:v>
      </x:c>
    </x:row>
    <x:row r="1236">
      <x:c r="A1236" s="16" t="n">
        <x:v>201441</x:v>
      </x:c>
      <x:c r="B1236" s="16" t="str">
        <x:v>Bowling Green State University-Main Campus</x:v>
      </x:c>
      <x:c r="C1236" s="16" t="str">
        <x:v>OH</x:v>
      </x:c>
      <x:c r="D1236" s="16" t="str">
        <x:v>Public</x:v>
      </x:c>
      <x:c r="E1236" s="34" t="n">
        <x:v>13900</x:v>
      </x:c>
      <x:c r="F1236" s="21" t="n">
        <x:v>0.7873</x:v>
      </x:c>
      <x:c r="G1236" s="16" t="str">
        <x:v>Statewide</x:v>
      </x:c>
      <x:c r="H1236" s="36" t="n">
        <x:f>IF(G1236="National",Assumptions!$B$11,IF(G1236="Statewide",Assumptions!$B$12,Assumptions!$B$13))</x:f>
        <x:v>0.6</x:v>
      </x:c>
      <x:c r="I1236" s="21" t="n">
        <x:v>-0.04950305674999822</x:v>
      </x:c>
      <x:c r="J1236" s="21" t="n">
        <x:v>-0.04440257007856163</x:v>
      </x:c>
      <x:c r="K1236" s="21" t="n">
        <x:v>-0.11831712275879658</x:v>
      </x:c>
      <x:c r="L1236" s="36" t="n">
        <x:f>IF(Assumptions!$B$4=2030,I1236,IF(Assumptions!$B$4=2035,J1236,K1236))</x:f>
        <x:v>-0.04440257007856163</x:v>
      </x:c>
      <x:c r="M1236" s="36" t="n">
        <x:f>Assumptions!$B$19</x:f>
        <x:v>-0.04739891965741583</x:v>
      </x:c>
      <x:c r="N1236" s="52" t="n">
        <x:f>H1236*L1236+(1-H1236)*M1236+O1236</x:f>
        <x:v>-0.04560110991010331</x:v>
      </x:c>
      <x:c r="O1236" s="36" t="n">
        <x:f>Assumptions!$B$10</x:f>
        <x:v>0</x:v>
      </x:c>
      <x:c r="P1236" s="54" t="n">
        <x:f>E1236*(1+N1236)</x:f>
        <x:v>13266.144572249563</x:v>
      </x:c>
      <x:c r="Q1236" s="54" t="n">
        <x:f>P1236-E1236</x:f>
        <x:v>-633.8554277504372</x:v>
      </x:c>
      <x:c r="R1236" s="16" t="str">
        <x:v>Yes</x:v>
      </x:c>
      <x:c r="S1236" s="56" t="n">
        <x:v>9866</x:v>
      </x:c>
      <x:c r="T1236" s="56" t="n">
        <x:v>9070</x:v>
      </x:c>
      <x:c r="U1236" s="40" t="n">
        <x:f>E1236*Assumptions!$B$8</x:f>
        <x:v>11815</x:v>
      </x:c>
      <x:c r="V1236" s="40" t="n">
        <x:f>P1236*Assumptions!$B$8</x:f>
        <x:v>11276.222886412128</x:v>
      </x:c>
      <x:c r="W1236" s="54" t="n">
        <x:f>V1236-U1236</x:f>
        <x:v>-538.777113587872</x:v>
      </x:c>
      <x:c r="X1236" s="58" t="n">
        <x:f>IF(R1236="No","",W1236*S1236)</x:f>
        <x:v>-5315575.002657945</x:v>
      </x:c>
      <x:c r="Y1236" s="58" t="n">
        <x:f>IF(R1236="No","",W1236*T1236*Assumptions!$B$9)</x:f>
        <x:v>-1466012.5260725997</x:v>
      </x:c>
      <x:c r="Z1236" s="58" t="n">
        <x:f>IF(R1236="No","",X1236-Y1236)</x:f>
        <x:v>-3849562.4765853453</x:v>
      </x:c>
      <x:c r="AA1236" s="58" t="n">
        <x:f>IF(R1236="No","",MAX(0,-Z1236))</x:f>
        <x:v>3849562.4765853453</x:v>
      </x:c>
      <x:c r="AB1236" s="52" t="n">
        <x:f>IF(OR(R1236="No",U1236*S1236=0),"",AA1236/(U1236*S1236))</x:f>
        <x:v>0.033024521620483374</x:v>
      </x:c>
      <x:c r="AC1236" s="54" t="n">
        <x:f>IF(OR(R1236="No",S1236-T1236*Assumptions!$B$9&lt;=0),"",AA1236/(Assumptions!$B$8*(S1236-T1236*Assumptions!$B$9)))</x:f>
        <x:v>633.8554277504377</x:v>
      </x:c>
      <x:c r="AD1236" s="52" t="n">
        <x:f>IF(OR(R1236="No",U1236*S1236=0),"",AA1236/(U1236*S1236))</x:f>
        <x:v>0.033024521620483374</x:v>
      </x:c>
      <x:c r="AE1236" s="50" t="str">
        <x:f>IF(R1236="No","No finance data",IF(AB1236&gt;=10%,"Severe",IF(AB1236&gt;=5%,"High",IF(AB1236&gt;=2%,"Moderate","Low"))))</x:f>
        <x:v>Moderate</x:v>
      </x:c>
      <x:c r="AF1236" s="60" t="n">
        <x:v>41.375513</x:v>
      </x:c>
      <x:c r="AG1236" s="60" t="n">
        <x:v>-83.640896</x:v>
      </x:c>
      <x:c r="AH1236" s="44" t="str">
        <x:v>Undergraduate tuition-contribution proxy only; not an audited total institutional budget.</x:v>
      </x:c>
    </x:row>
    <x:row r="1237">
      <x:c r="A1237" s="16" t="n">
        <x:v>201548</x:v>
      </x:c>
      <x:c r="B1237" s="16" t="str">
        <x:v>Capital University</x:v>
      </x:c>
      <x:c r="C1237" s="16" t="str">
        <x:v>OH</x:v>
      </x:c>
      <x:c r="D1237" s="16" t="str">
        <x:v>Private nonprofit</x:v>
      </x:c>
      <x:c r="E1237" s="34" t="n">
        <x:v>2654</x:v>
      </x:c>
      <x:c r="F1237" s="21" t="n">
        <x:v>0.7417</x:v>
      </x:c>
      <x:c r="G1237" s="16" t="str">
        <x:v>Regional</x:v>
      </x:c>
      <x:c r="H1237" s="36" t="n">
        <x:f>IF(G1237="National",Assumptions!$B$11,IF(G1237="Statewide",Assumptions!$B$12,Assumptions!$B$13))</x:f>
        <x:v>0.85</x:v>
      </x:c>
      <x:c r="I1237" s="21" t="n">
        <x:v>-0.04950305674999822</x:v>
      </x:c>
      <x:c r="J1237" s="21" t="n">
        <x:v>-0.04440257007856163</x:v>
      </x:c>
      <x:c r="K1237" s="21" t="n">
        <x:v>-0.11831712275879658</x:v>
      </x:c>
      <x:c r="L1237" s="36" t="n">
        <x:f>IF(Assumptions!$B$4=2030,I1237,IF(Assumptions!$B$4=2035,J1237,K1237))</x:f>
        <x:v>-0.04440257007856163</x:v>
      </x:c>
      <x:c r="M1237" s="36" t="n">
        <x:f>Assumptions!$B$19</x:f>
        <x:v>-0.04739891965741583</x:v>
      </x:c>
      <x:c r="N1237" s="52" t="n">
        <x:f>H1237*L1237+(1-H1237)*M1237+O1237</x:f>
        <x:v>-0.044852022515389764</x:v>
      </x:c>
      <x:c r="O1237" s="36" t="n">
        <x:f>Assumptions!$B$10</x:f>
        <x:v>0</x:v>
      </x:c>
      <x:c r="P1237" s="54" t="n">
        <x:f>E1237*(1+N1237)</x:f>
        <x:v>2534.9627322441556</x:v>
      </x:c>
      <x:c r="Q1237" s="54" t="n">
        <x:f>P1237-E1237</x:f>
        <x:v>-119.03726775584437</x:v>
      </x:c>
      <x:c r="R1237" s="16" t="str">
        <x:v>Yes</x:v>
      </x:c>
      <x:c r="S1237" s="56" t="n">
        <x:v>15507</x:v>
      </x:c>
      <x:c r="T1237" s="56" t="n">
        <x:v>10381</x:v>
      </x:c>
      <x:c r="U1237" s="40" t="n">
        <x:f>E1237*Assumptions!$B$8</x:f>
        <x:v>2255.9</x:v>
      </x:c>
      <x:c r="V1237" s="40" t="n">
        <x:f>P1237*Assumptions!$B$8</x:f>
        <x:v>2154.718322407532</x:v>
      </x:c>
      <x:c r="W1237" s="54" t="n">
        <x:f>V1237-U1237</x:f>
        <x:v>-101.18167759246808</x:v>
      </x:c>
      <x:c r="X1237" s="58" t="n">
        <x:f>IF(R1237="No","",W1237*S1237)</x:f>
        <x:v>-1569024.2744264025</x:v>
      </x:c>
      <x:c r="Y1237" s="58" t="n">
        <x:f>IF(R1237="No","",W1237*T1237*Assumptions!$B$9)</x:f>
        <x:v>-315110.0985262233</x:v>
      </x:c>
      <x:c r="Z1237" s="58" t="n">
        <x:f>IF(R1237="No","",X1237-Y1237)</x:f>
        <x:v>-1253914.1759001792</x:v>
      </x:c>
      <x:c r="AA1237" s="58" t="n">
        <x:f>IF(R1237="No","",MAX(0,-Z1237))</x:f>
        <x:v>1253914.1759001792</x:v>
      </x:c>
      <x:c r="AB1237" s="52" t="n">
        <x:f>IF(OR(R1237="No",U1237*S1237=0),"",AA1237/(U1237*S1237))</x:f>
        <x:v>0.035844306405266806</x:v>
      </x:c>
      <x:c r="AC1237" s="54" t="n">
        <x:f>IF(OR(R1237="No",S1237-T1237*Assumptions!$B$9&lt;=0),"",AA1237/(Assumptions!$B$8*(S1237-T1237*Assumptions!$B$9)))</x:f>
        <x:v>119.0372677558448</x:v>
      </x:c>
      <x:c r="AD1237" s="52" t="n">
        <x:f>IF(OR(R1237="No",U1237*S1237=0),"",AA1237/(U1237*S1237))</x:f>
        <x:v>0.035844306405266806</x:v>
      </x:c>
      <x:c r="AE1237" s="50" t="str">
        <x:f>IF(R1237="No","No finance data",IF(AB1237&gt;=10%,"Severe",IF(AB1237&gt;=5%,"High",IF(AB1237&gt;=2%,"Moderate","Low"))))</x:f>
        <x:v>Moderate</x:v>
      </x:c>
      <x:c r="AF1237" s="60" t="n">
        <x:v>39.954875</x:v>
      </x:c>
      <x:c r="AG1237" s="60" t="n">
        <x:v>-82.937867</x:v>
      </x:c>
      <x:c r="AH1237" s="44" t="str">
        <x:v>Undergraduate tuition-contribution proxy only; not an audited total institutional budget.</x:v>
      </x:c>
    </x:row>
    <x:row r="1238">
      <x:c r="A1238" s="16" t="n">
        <x:v>201645</x:v>
      </x:c>
      <x:c r="B1238" s="16" t="str">
        <x:v>Case Western Reserve University</x:v>
      </x:c>
      <x:c r="C1238" s="16" t="str">
        <x:v>OH</x:v>
      </x:c>
      <x:c r="D1238" s="16" t="str">
        <x:v>Private nonprofit</x:v>
      </x:c>
      <x:c r="E1238" s="34" t="n">
        <x:v>5039</x:v>
      </x:c>
      <x:c r="F1238" s="21" t="n">
        <x:v>0.3024</x:v>
      </x:c>
      <x:c r="G1238" s="16" t="str">
        <x:v>National</x:v>
      </x:c>
      <x:c r="H1238" s="36" t="n">
        <x:f>IF(G1238="National",Assumptions!$B$11,IF(G1238="Statewide",Assumptions!$B$12,Assumptions!$B$13))</x:f>
        <x:v>0.25</x:v>
      </x:c>
      <x:c r="I1238" s="21" t="n">
        <x:v>-0.04950305674999822</x:v>
      </x:c>
      <x:c r="J1238" s="21" t="n">
        <x:v>-0.04440257007856163</x:v>
      </x:c>
      <x:c r="K1238" s="21" t="n">
        <x:v>-0.11831712275879658</x:v>
      </x:c>
      <x:c r="L1238" s="36" t="n">
        <x:f>IF(Assumptions!$B$4=2030,I1238,IF(Assumptions!$B$4=2035,J1238,K1238))</x:f>
        <x:v>-0.04440257007856163</x:v>
      </x:c>
      <x:c r="M1238" s="36" t="n">
        <x:f>Assumptions!$B$19</x:f>
        <x:v>-0.04739891965741583</x:v>
      </x:c>
      <x:c r="N1238" s="52" t="n">
        <x:f>H1238*L1238+(1-H1238)*M1238+O1238</x:f>
        <x:v>-0.04664983226270228</x:v>
      </x:c>
      <x:c r="O1238" s="36" t="n">
        <x:f>Assumptions!$B$10</x:f>
        <x:v>0</x:v>
      </x:c>
      <x:c r="P1238" s="54" t="n">
        <x:f>E1238*(1+N1238)</x:f>
        <x:v>4803.931495228243</x:v>
      </x:c>
      <x:c r="Q1238" s="54" t="n">
        <x:f>P1238-E1238</x:f>
        <x:v>-235.06850477175703</x:v>
      </x:c>
      <x:c r="R1238" s="16" t="str">
        <x:v>Yes</x:v>
      </x:c>
      <x:c r="S1238" s="56" t="n">
        <x:v>28888</x:v>
      </x:c>
      <x:c r="T1238" s="56" t="n">
        <x:v>29952</x:v>
      </x:c>
      <x:c r="U1238" s="40" t="n">
        <x:f>E1238*Assumptions!$B$8</x:f>
        <x:v>4283.15</x:v>
      </x:c>
      <x:c r="V1238" s="40" t="n">
        <x:f>P1238*Assumptions!$B$8</x:f>
        <x:v>4083.3417709440064</x:v>
      </x:c>
      <x:c r="W1238" s="54" t="n">
        <x:f>V1238-U1238</x:f>
        <x:v>-199.80822905599325</x:v>
      </x:c>
      <x:c r="X1238" s="58" t="n">
        <x:f>IF(R1238="No","",W1238*S1238)</x:f>
        <x:v>-5772060.120969533</x:v>
      </x:c>
      <x:c r="Y1238" s="58" t="n">
        <x:f>IF(R1238="No","",W1238*T1238*Assumptions!$B$9)</x:f>
        <x:v>-1795396.823005533</x:v>
      </x:c>
      <x:c r="Z1238" s="58" t="n">
        <x:f>IF(R1238="No","",X1238-Y1238)</x:f>
        <x:v>-3976663.297964</x:v>
      </x:c>
      <x:c r="AA1238" s="58" t="n">
        <x:f>IF(R1238="No","",MAX(0,-Z1238))</x:f>
        <x:v>3976663.297964</x:v>
      </x:c>
      <x:c r="AB1238" s="52" t="n">
        <x:f>IF(OR(R1238="No",U1238*S1238=0),"",AA1238/(U1238*S1238))</x:f>
        <x:v>0.03213942196154825</x:v>
      </x:c>
      <x:c r="AC1238" s="54" t="n">
        <x:f>IF(OR(R1238="No",S1238-T1238*Assumptions!$B$9&lt;=0),"",AA1238/(Assumptions!$B$8*(S1238-T1238*Assumptions!$B$9)))</x:f>
        <x:v>235.06850477175675</x:v>
      </x:c>
      <x:c r="AD1238" s="52" t="n">
        <x:f>IF(OR(R1238="No",U1238*S1238=0),"",AA1238/(U1238*S1238))</x:f>
        <x:v>0.03213942196154825</x:v>
      </x:c>
      <x:c r="AE1238" s="50" t="str">
        <x:f>IF(R1238="No","No finance data",IF(AB1238&gt;=10%,"Severe",IF(AB1238&gt;=5%,"High",IF(AB1238&gt;=2%,"Moderate","Low"))))</x:f>
        <x:v>Moderate</x:v>
      </x:c>
      <x:c r="AF1238" s="60" t="n">
        <x:v>41.507419</x:v>
      </x:c>
      <x:c r="AG1238" s="60" t="n">
        <x:v>-81.609596</x:v>
      </x:c>
      <x:c r="AH1238" s="44" t="str">
        <x:v>Undergraduate tuition-contribution proxy only; not an audited total institutional budget.</x:v>
      </x:c>
    </x:row>
    <x:row r="1239">
      <x:c r="A1239" s="16" t="n">
        <x:v>201654</x:v>
      </x:c>
      <x:c r="B1239" s="16" t="str">
        <x:v>Cedarville University</x:v>
      </x:c>
      <x:c r="C1239" s="16" t="str">
        <x:v>OH</x:v>
      </x:c>
      <x:c r="D1239" s="16" t="str">
        <x:v>Private nonprofit</x:v>
      </x:c>
      <x:c r="E1239" s="34" t="n">
        <x:v>3061</x:v>
      </x:c>
      <x:c r="F1239" s="21" t="n">
        <x:v>0.6224</x:v>
      </x:c>
      <x:c r="G1239" s="16" t="str">
        <x:v>Regional</x:v>
      </x:c>
      <x:c r="H1239" s="36" t="n">
        <x:f>IF(G1239="National",Assumptions!$B$11,IF(G1239="Statewide",Assumptions!$B$12,Assumptions!$B$13))</x:f>
        <x:v>0.85</x:v>
      </x:c>
      <x:c r="I1239" s="21" t="n">
        <x:v>-0.04950305674999822</x:v>
      </x:c>
      <x:c r="J1239" s="21" t="n">
        <x:v>-0.04440257007856163</x:v>
      </x:c>
      <x:c r="K1239" s="21" t="n">
        <x:v>-0.11831712275879658</x:v>
      </x:c>
      <x:c r="L1239" s="36" t="n">
        <x:f>IF(Assumptions!$B$4=2030,I1239,IF(Assumptions!$B$4=2035,J1239,K1239))</x:f>
        <x:v>-0.04440257007856163</x:v>
      </x:c>
      <x:c r="M1239" s="36" t="n">
        <x:f>Assumptions!$B$19</x:f>
        <x:v>-0.04739891965741583</x:v>
      </x:c>
      <x:c r="N1239" s="52" t="n">
        <x:f>H1239*L1239+(1-H1239)*M1239+O1239</x:f>
        <x:v>-0.044852022515389764</x:v>
      </x:c>
      <x:c r="O1239" s="36" t="n">
        <x:f>Assumptions!$B$10</x:f>
        <x:v>0</x:v>
      </x:c>
      <x:c r="P1239" s="54" t="n">
        <x:f>E1239*(1+N1239)</x:f>
        <x:v>2923.707959080392</x:v>
      </x:c>
      <x:c r="Q1239" s="54" t="n">
        <x:f>P1239-E1239</x:f>
        <x:v>-137.2920409196081</x:v>
      </x:c>
      <x:c r="R1239" s="16" t="str">
        <x:v>Yes</x:v>
      </x:c>
      <x:c r="S1239" s="56" t="n">
        <x:v>17162</x:v>
      </x:c>
      <x:c r="T1239" s="56" t="n">
        <x:v>9145</x:v>
      </x:c>
      <x:c r="U1239" s="40" t="n">
        <x:f>E1239*Assumptions!$B$8</x:f>
        <x:v>2601.85</x:v>
      </x:c>
      <x:c r="V1239" s="40" t="n">
        <x:f>P1239*Assumptions!$B$8</x:f>
        <x:v>2485.151765218333</x:v>
      </x:c>
      <x:c r="W1239" s="54" t="n">
        <x:f>V1239-U1239</x:f>
        <x:v>-116.698234781667</x:v>
      </x:c>
      <x:c r="X1239" s="58" t="n">
        <x:f>IF(R1239="No","",W1239*S1239)</x:f>
        <x:v>-2002775.105322969</x:v>
      </x:c>
      <x:c r="Y1239" s="58" t="n">
        <x:f>IF(R1239="No","",W1239*T1239*Assumptions!$B$9)</x:f>
        <x:v>-320161.6071235034</x:v>
      </x:c>
      <x:c r="Z1239" s="58" t="n">
        <x:f>IF(R1239="No","",X1239-Y1239)</x:f>
        <x:v>-1682613.4981994655</x:v>
      </x:c>
      <x:c r="AA1239" s="58" t="n">
        <x:f>IF(R1239="No","",MAX(0,-Z1239))</x:f>
        <x:v>1682613.4981994655</x:v>
      </x:c>
      <x:c r="AB1239" s="52" t="n">
        <x:f>IF(OR(R1239="No",U1239*S1239=0),"",AA1239/(U1239*S1239))</x:f>
        <x:v>0.037682023461027156</x:v>
      </x:c>
      <x:c r="AC1239" s="54" t="n">
        <x:f>IF(OR(R1239="No",S1239-T1239*Assumptions!$B$9&lt;=0),"",AA1239/(Assumptions!$B$8*(S1239-T1239*Assumptions!$B$9)))</x:f>
        <x:v>137.2920409196082</x:v>
      </x:c>
      <x:c r="AD1239" s="52" t="n">
        <x:f>IF(OR(R1239="No",U1239*S1239=0),"",AA1239/(U1239*S1239))</x:f>
        <x:v>0.037682023461027156</x:v>
      </x:c>
      <x:c r="AE1239" s="50" t="str">
        <x:f>IF(R1239="No","No finance data",IF(AB1239&gt;=10%,"Severe",IF(AB1239&gt;=5%,"High",IF(AB1239&gt;=2%,"Moderate","Low"))))</x:f>
        <x:v>Moderate</x:v>
      </x:c>
      <x:c r="AF1239" s="60" t="n">
        <x:v>39.749237</x:v>
      </x:c>
      <x:c r="AG1239" s="60" t="n">
        <x:v>-83.814692</x:v>
      </x:c>
      <x:c r="AH1239" s="44" t="str">
        <x:v>Undergraduate tuition-contribution proxy only; not an audited total institutional budget.</x:v>
      </x:c>
    </x:row>
    <x:row r="1240">
      <x:c r="A1240" s="16" t="n">
        <x:v>201690</x:v>
      </x:c>
      <x:c r="B1240" s="16" t="str">
        <x:v>Central State University</x:v>
      </x:c>
      <x:c r="C1240" s="16" t="str">
        <x:v>OH</x:v>
      </x:c>
      <x:c r="D1240" s="16" t="str">
        <x:v>Public</x:v>
      </x:c>
      <x:c r="E1240" s="34" t="n">
        <x:v>1785</x:v>
      </x:c>
      <x:c r="F1240" s="21" t="n">
        <x:v>0.5864</x:v>
      </x:c>
      <x:c r="G1240" s="16" t="str">
        <x:v>Regional</x:v>
      </x:c>
      <x:c r="H1240" s="36" t="n">
        <x:f>IF(G1240="National",Assumptions!$B$11,IF(G1240="Statewide",Assumptions!$B$12,Assumptions!$B$13))</x:f>
        <x:v>0.85</x:v>
      </x:c>
      <x:c r="I1240" s="21" t="n">
        <x:v>-0.04950305674999822</x:v>
      </x:c>
      <x:c r="J1240" s="21" t="n">
        <x:v>-0.04440257007856163</x:v>
      </x:c>
      <x:c r="K1240" s="21" t="n">
        <x:v>-0.11831712275879658</x:v>
      </x:c>
      <x:c r="L1240" s="36" t="n">
        <x:f>IF(Assumptions!$B$4=2030,I1240,IF(Assumptions!$B$4=2035,J1240,K1240))</x:f>
        <x:v>-0.04440257007856163</x:v>
      </x:c>
      <x:c r="M1240" s="36" t="n">
        <x:f>Assumptions!$B$19</x:f>
        <x:v>-0.04739891965741583</x:v>
      </x:c>
      <x:c r="N1240" s="52" t="n">
        <x:f>H1240*L1240+(1-H1240)*M1240+O1240</x:f>
        <x:v>-0.044852022515389764</x:v>
      </x:c>
      <x:c r="O1240" s="36" t="n">
        <x:f>Assumptions!$B$10</x:f>
        <x:v>0</x:v>
      </x:c>
      <x:c r="P1240" s="54" t="n">
        <x:f>E1240*(1+N1240)</x:f>
        <x:v>1704.9391398100292</x:v>
      </x:c>
      <x:c r="Q1240" s="54" t="n">
        <x:f>P1240-E1240</x:f>
        <x:v>-80.06086018997075</x:v>
      </x:c>
      <x:c r="R1240" s="16" t="str">
        <x:v>Yes</x:v>
      </x:c>
      <x:c r="S1240" s="56" t="n">
        <x:v>3400</x:v>
      </x:c>
      <x:c r="T1240" s="56" t="n">
        <x:v>4312</x:v>
      </x:c>
      <x:c r="U1240" s="40" t="n">
        <x:f>E1240*Assumptions!$B$8</x:f>
        <x:v>1517.25</x:v>
      </x:c>
      <x:c r="V1240" s="40" t="n">
        <x:f>P1240*Assumptions!$B$8</x:f>
        <x:v>1449.1982688385249</x:v>
      </x:c>
      <x:c r="W1240" s="54" t="n">
        <x:f>V1240-U1240</x:f>
        <x:v>-68.05173116147512</x:v>
      </x:c>
      <x:c r="X1240" s="58" t="n">
        <x:f>IF(R1240="No","",W1240*S1240)</x:f>
        <x:v>-231375.8859490154</x:v>
      </x:c>
      <x:c r="Y1240" s="58" t="n">
        <x:f>IF(R1240="No","",W1240*T1240*Assumptions!$B$9)</x:f>
        <x:v>-88031.71943048421</x:v>
      </x:c>
      <x:c r="Z1240" s="58" t="n">
        <x:f>IF(R1240="No","",X1240-Y1240)</x:f>
        <x:v>-143344.16651853122</x:v>
      </x:c>
      <x:c r="AA1240" s="58" t="n">
        <x:f>IF(R1240="No","",MAX(0,-Z1240))</x:f>
        <x:v>143344.16651853122</x:v>
      </x:c>
      <x:c r="AB1240" s="52" t="n">
        <x:f>IF(OR(R1240="No",U1240*S1240=0),"",AA1240/(U1240*S1240))</x:f>
        <x:v>0.02778714712541677</x:v>
      </x:c>
      <x:c r="AC1240" s="54" t="n">
        <x:f>IF(OR(R1240="No",S1240-T1240*Assumptions!$B$9&lt;=0),"",AA1240/(Assumptions!$B$8*(S1240-T1240*Assumptions!$B$9)))</x:f>
        <x:v>80.06086018997074</x:v>
      </x:c>
      <x:c r="AD1240" s="52" t="n">
        <x:f>IF(OR(R1240="No",U1240*S1240=0),"",AA1240/(U1240*S1240))</x:f>
        <x:v>0.02778714712541677</x:v>
      </x:c>
      <x:c r="AE1240" s="50" t="str">
        <x:f>IF(R1240="No","No finance data",IF(AB1240&gt;=10%,"Severe",IF(AB1240&gt;=5%,"High",IF(AB1240&gt;=2%,"Moderate","Low"))))</x:f>
        <x:v>Moderate</x:v>
      </x:c>
      <x:c r="AF1240" s="60" t="n">
        <x:v>39.715787</x:v>
      </x:c>
      <x:c r="AG1240" s="60" t="n">
        <x:v>-83.880186</x:v>
      </x:c>
      <x:c r="AH1240" s="44" t="str">
        <x:v>Undergraduate tuition-contribution proxy only; not an audited total institutional budget.</x:v>
      </x:c>
    </x:row>
    <x:row r="1241">
      <x:c r="A1241" s="16" t="n">
        <x:v>201858</x:v>
      </x:c>
      <x:c r="B1241" s="16" t="str">
        <x:v>Cincinnati Christian University</x:v>
      </x:c>
      <x:c r="C1241" s="16" t="str">
        <x:v>OH</x:v>
      </x:c>
      <x:c r="D1241" s="16" t="str">
        <x:v>Private nonprofit</x:v>
      </x:c>
      <x:c r="E1241" s="34" t="n">
        <x:v>565</x:v>
      </x:c>
      <x:c r="F1241" s="21"/>
      <x:c r="G1241" s="16" t="str">
        <x:v>Regional</x:v>
      </x:c>
      <x:c r="H1241" s="36" t="n">
        <x:f>IF(G1241="National",Assumptions!$B$11,IF(G1241="Statewide",Assumptions!$B$12,Assumptions!$B$13))</x:f>
        <x:v>0.85</x:v>
      </x:c>
      <x:c r="I1241" s="21" t="n">
        <x:v>-0.04950305674999822</x:v>
      </x:c>
      <x:c r="J1241" s="21" t="n">
        <x:v>-0.04440257007856163</x:v>
      </x:c>
      <x:c r="K1241" s="21" t="n">
        <x:v>-0.11831712275879658</x:v>
      </x:c>
      <x:c r="L1241" s="36" t="n">
        <x:f>IF(Assumptions!$B$4=2030,I1241,IF(Assumptions!$B$4=2035,J1241,K1241))</x:f>
        <x:v>-0.04440257007856163</x:v>
      </x:c>
      <x:c r="M1241" s="36" t="n">
        <x:f>Assumptions!$B$19</x:f>
        <x:v>-0.04739891965741583</x:v>
      </x:c>
      <x:c r="N1241" s="52" t="n">
        <x:f>H1241*L1241+(1-H1241)*M1241+O1241</x:f>
        <x:v>-0.044852022515389764</x:v>
      </x:c>
      <x:c r="O1241" s="36" t="n">
        <x:f>Assumptions!$B$10</x:f>
        <x:v>0</x:v>
      </x:c>
      <x:c r="P1241" s="54" t="n">
        <x:f>E1241*(1+N1241)</x:f>
        <x:v>539.6586072788048</x:v>
      </x:c>
      <x:c r="Q1241" s="54" t="n">
        <x:f>P1241-E1241</x:f>
        <x:v>-25.341392721195234</x:v>
      </x:c>
      <x:c r="R1241" s="16" t="str">
        <x:v>No</x:v>
      </x:c>
      <x:c r="S1241" s="56"/>
      <x:c r="T1241" s="56"/>
      <x:c r="U1241" s="40" t="n">
        <x:f>E1241*Assumptions!$B$8</x:f>
        <x:v>480.25</x:v>
      </x:c>
      <x:c r="V1241" s="40" t="n">
        <x:f>P1241*Assumptions!$B$8</x:f>
        <x:v>458.709816186984</x:v>
      </x:c>
      <x:c r="W1241" s="54" t="n">
        <x:f>V1241-U1241</x:f>
        <x:v>-21.54018381301597</x:v>
      </x:c>
      <x:c r="X1241" s="58" t="str">
        <x:f>IF(R1241="No","",W1241*S1241)</x:f>
      </x:c>
      <x:c r="Y1241" s="58" t="str">
        <x:f>IF(R1241="No","",W1241*T1241*Assumptions!$B$9)</x:f>
      </x:c>
      <x:c r="Z1241" s="58" t="str">
        <x:f>IF(R1241="No","",X1241-Y1241)</x:f>
      </x:c>
      <x:c r="AA1241" s="58" t="str">
        <x:f>IF(R1241="No","",MAX(0,-Z1241))</x:f>
      </x:c>
      <x:c r="AB1241" s="52" t="str">
        <x:f>IF(OR(R1241="No",U1241*S1241=0),"",AA1241/(U1241*S1241))</x:f>
      </x:c>
      <x:c r="AC1241" s="54" t="str">
        <x:f>IF(OR(R1241="No",S1241-T1241*Assumptions!$B$9&lt;=0),"",AA1241/(Assumptions!$B$8*(S1241-T1241*Assumptions!$B$9)))</x:f>
      </x:c>
      <x:c r="AD1241" s="52" t="str">
        <x:f>IF(OR(R1241="No",U1241*S1241=0),"",AA1241/(U1241*S1241))</x:f>
      </x:c>
      <x:c r="AE1241" s="50" t="str">
        <x:f>IF(R1241="No","No finance data",IF(AB1241&gt;=10%,"Severe",IF(AB1241&gt;=5%,"High",IF(AB1241&gt;=2%,"Moderate","Low"))))</x:f>
        <x:v>No finance data</x:v>
      </x:c>
      <x:c r="AF1241" s="60"/>
      <x:c r="AG1241" s="60"/>
      <x:c r="AH1241" s="44" t="str">
        <x:v>Undergraduate tuition-contribution proxy only; not an audited total institutional budget.</x:v>
      </x:c>
    </x:row>
    <x:row r="1242">
      <x:c r="A1242" s="16" t="n">
        <x:v>202046</x:v>
      </x:c>
      <x:c r="B1242" s="16" t="str">
        <x:v>Cleveland Institute of Art</x:v>
      </x:c>
      <x:c r="C1242" s="16" t="str">
        <x:v>OH</x:v>
      </x:c>
      <x:c r="D1242" s="16" t="str">
        <x:v>Private nonprofit</x:v>
      </x:c>
      <x:c r="E1242" s="34" t="n">
        <x:v>600</x:v>
      </x:c>
      <x:c r="F1242" s="21" t="n">
        <x:v>0.6588</x:v>
      </x:c>
      <x:c r="G1242" s="16" t="str">
        <x:v>Regional</x:v>
      </x:c>
      <x:c r="H1242" s="36" t="n">
        <x:f>IF(G1242="National",Assumptions!$B$11,IF(G1242="Statewide",Assumptions!$B$12,Assumptions!$B$13))</x:f>
        <x:v>0.85</x:v>
      </x:c>
      <x:c r="I1242" s="21" t="n">
        <x:v>-0.04950305674999822</x:v>
      </x:c>
      <x:c r="J1242" s="21" t="n">
        <x:v>-0.04440257007856163</x:v>
      </x:c>
      <x:c r="K1242" s="21" t="n">
        <x:v>-0.11831712275879658</x:v>
      </x:c>
      <x:c r="L1242" s="36" t="n">
        <x:f>IF(Assumptions!$B$4=2030,I1242,IF(Assumptions!$B$4=2035,J1242,K1242))</x:f>
        <x:v>-0.04440257007856163</x:v>
      </x:c>
      <x:c r="M1242" s="36" t="n">
        <x:f>Assumptions!$B$19</x:f>
        <x:v>-0.04739891965741583</x:v>
      </x:c>
      <x:c r="N1242" s="52" t="n">
        <x:f>H1242*L1242+(1-H1242)*M1242+O1242</x:f>
        <x:v>-0.044852022515389764</x:v>
      </x:c>
      <x:c r="O1242" s="36" t="n">
        <x:f>Assumptions!$B$10</x:f>
        <x:v>0</x:v>
      </x:c>
      <x:c r="P1242" s="54" t="n">
        <x:f>E1242*(1+N1242)</x:f>
        <x:v>573.0887864907661</x:v>
      </x:c>
      <x:c r="Q1242" s="54" t="n">
        <x:f>P1242-E1242</x:f>
        <x:v>-26.911213509233903</x:v>
      </x:c>
      <x:c r="R1242" s="16" t="str">
        <x:v>Yes</x:v>
      </x:c>
      <x:c r="S1242" s="56" t="n">
        <x:v>22355</x:v>
      </x:c>
      <x:c r="T1242" s="56" t="n">
        <x:v>13027</x:v>
      </x:c>
      <x:c r="U1242" s="40" t="n">
        <x:f>E1242*Assumptions!$B$8</x:f>
        <x:v>510</x:v>
      </x:c>
      <x:c r="V1242" s="40" t="n">
        <x:f>P1242*Assumptions!$B$8</x:f>
        <x:v>487.12546851715115</x:v>
      </x:c>
      <x:c r="W1242" s="54" t="n">
        <x:f>V1242-U1242</x:f>
        <x:v>-22.87453148284885</x:v>
      </x:c>
      <x:c r="X1242" s="58" t="n">
        <x:f>IF(R1242="No","",W1242*S1242)</x:f>
        <x:v>-511360.1512990861</x:v>
      </x:c>
      <x:c r="Y1242" s="58" t="n">
        <x:f>IF(R1242="No","",W1242*T1242*Assumptions!$B$9)</x:f>
        <x:v>-89395.9564881216</x:v>
      </x:c>
      <x:c r="Z1242" s="58" t="n">
        <x:f>IF(R1242="No","",X1242-Y1242)</x:f>
        <x:v>-421964.1948109645</x:v>
      </x:c>
      <x:c r="AA1242" s="58" t="n">
        <x:f>IF(R1242="No","",MAX(0,-Z1242))</x:f>
        <x:v>421964.1948109645</x:v>
      </x:c>
      <x:c r="AB1242" s="52" t="n">
        <x:f>IF(OR(R1242="No",U1242*S1242=0),"",AA1242/(U1242*S1242))</x:f>
        <x:v>0.037010994146237805</x:v>
      </x:c>
      <x:c r="AC1242" s="54" t="n">
        <x:f>IF(OR(R1242="No",S1242-T1242*Assumptions!$B$9&lt;=0),"",AA1242/(Assumptions!$B$8*(S1242-T1242*Assumptions!$B$9)))</x:f>
        <x:v>26.911213509233942</x:v>
      </x:c>
      <x:c r="AD1242" s="52" t="n">
        <x:f>IF(OR(R1242="No",U1242*S1242=0),"",AA1242/(U1242*S1242))</x:f>
        <x:v>0.037010994146237805</x:v>
      </x:c>
      <x:c r="AE1242" s="50" t="str">
        <x:f>IF(R1242="No","No finance data",IF(AB1242&gt;=10%,"Severe",IF(AB1242&gt;=5%,"High",IF(AB1242&gt;=2%,"Moderate","Low"))))</x:f>
        <x:v>Moderate</x:v>
      </x:c>
      <x:c r="AF1242" s="60" t="n">
        <x:v>41.510435</x:v>
      </x:c>
      <x:c r="AG1242" s="60" t="n">
        <x:v>-81.602416</x:v>
      </x:c>
      <x:c r="AH1242" s="44" t="str">
        <x:v>Undergraduate tuition-contribution proxy only; not an audited total institutional budget.</x:v>
      </x:c>
    </x:row>
    <x:row r="1243">
      <x:c r="A1243" s="16" t="n">
        <x:v>202073</x:v>
      </x:c>
      <x:c r="B1243" s="16" t="str">
        <x:v>Cleveland Institute of Music</x:v>
      </x:c>
      <x:c r="C1243" s="16" t="str">
        <x:v>OH</x:v>
      </x:c>
      <x:c r="D1243" s="16" t="str">
        <x:v>Private nonprofit</x:v>
      </x:c>
      <x:c r="E1243" s="34" t="n">
        <x:v>239</x:v>
      </x:c>
      <x:c r="F1243" s="21"/>
      <x:c r="G1243" s="16" t="str">
        <x:v>Regional</x:v>
      </x:c>
      <x:c r="H1243" s="36" t="n">
        <x:f>IF(G1243="National",Assumptions!$B$11,IF(G1243="Statewide",Assumptions!$B$12,Assumptions!$B$13))</x:f>
        <x:v>0.85</x:v>
      </x:c>
      <x:c r="I1243" s="21" t="n">
        <x:v>-0.04950305674999822</x:v>
      </x:c>
      <x:c r="J1243" s="21" t="n">
        <x:v>-0.04440257007856163</x:v>
      </x:c>
      <x:c r="K1243" s="21" t="n">
        <x:v>-0.11831712275879658</x:v>
      </x:c>
      <x:c r="L1243" s="36" t="n">
        <x:f>IF(Assumptions!$B$4=2030,I1243,IF(Assumptions!$B$4=2035,J1243,K1243))</x:f>
        <x:v>-0.04440257007856163</x:v>
      </x:c>
      <x:c r="M1243" s="36" t="n">
        <x:f>Assumptions!$B$19</x:f>
        <x:v>-0.04739891965741583</x:v>
      </x:c>
      <x:c r="N1243" s="52" t="n">
        <x:f>H1243*L1243+(1-H1243)*M1243+O1243</x:f>
        <x:v>-0.044852022515389764</x:v>
      </x:c>
      <x:c r="O1243" s="36" t="n">
        <x:f>Assumptions!$B$10</x:f>
        <x:v>0</x:v>
      </x:c>
      <x:c r="P1243" s="54" t="n">
        <x:f>E1243*(1+N1243)</x:f>
        <x:v>228.28036661882183</x:v>
      </x:c>
      <x:c r="Q1243" s="54" t="n">
        <x:f>P1243-E1243</x:f>
        <x:v>-10.71963338117817</x:v>
      </x:c>
      <x:c r="R1243" s="16" t="str">
        <x:v>No</x:v>
      </x:c>
      <x:c r="S1243" s="56"/>
      <x:c r="T1243" s="56"/>
      <x:c r="U1243" s="40" t="n">
        <x:f>E1243*Assumptions!$B$8</x:f>
        <x:v>203.15</x:v>
      </x:c>
      <x:c r="V1243" s="40" t="n">
        <x:f>P1243*Assumptions!$B$8</x:f>
        <x:v>194.03831162599855</x:v>
      </x:c>
      <x:c r="W1243" s="54" t="n">
        <x:f>V1243-U1243</x:f>
        <x:v>-9.11168837400146</x:v>
      </x:c>
      <x:c r="X1243" s="58" t="str">
        <x:f>IF(R1243="No","",W1243*S1243)</x:f>
      </x:c>
      <x:c r="Y1243" s="58" t="str">
        <x:f>IF(R1243="No","",W1243*T1243*Assumptions!$B$9)</x:f>
      </x:c>
      <x:c r="Z1243" s="58" t="str">
        <x:f>IF(R1243="No","",X1243-Y1243)</x:f>
      </x:c>
      <x:c r="AA1243" s="58" t="str">
        <x:f>IF(R1243="No","",MAX(0,-Z1243))</x:f>
      </x:c>
      <x:c r="AB1243" s="52" t="str">
        <x:f>IF(OR(R1243="No",U1243*S1243=0),"",AA1243/(U1243*S1243))</x:f>
      </x:c>
      <x:c r="AC1243" s="54" t="str">
        <x:f>IF(OR(R1243="No",S1243-T1243*Assumptions!$B$9&lt;=0),"",AA1243/(Assumptions!$B$8*(S1243-T1243*Assumptions!$B$9)))</x:f>
      </x:c>
      <x:c r="AD1243" s="52" t="str">
        <x:f>IF(OR(R1243="No",U1243*S1243=0),"",AA1243/(U1243*S1243))</x:f>
      </x:c>
      <x:c r="AE1243" s="50" t="str">
        <x:f>IF(R1243="No","No finance data",IF(AB1243&gt;=10%,"Severe",IF(AB1243&gt;=5%,"High",IF(AB1243&gt;=2%,"Moderate","Low"))))</x:f>
        <x:v>No finance data</x:v>
      </x:c>
      <x:c r="AF1243" s="60"/>
      <x:c r="AG1243" s="60"/>
      <x:c r="AH1243" s="44" t="str">
        <x:v>Undergraduate tuition-contribution proxy only; not an audited total institutional budget.</x:v>
      </x:c>
    </x:row>
    <x:row r="1244">
      <x:c r="A1244" s="16" t="n">
        <x:v>202134</x:v>
      </x:c>
      <x:c r="B1244" s="16" t="str">
        <x:v>Cleveland State University</x:v>
      </x:c>
      <x:c r="C1244" s="16" t="str">
        <x:v>OH</x:v>
      </x:c>
      <x:c r="D1244" s="16" t="str">
        <x:v>Public</x:v>
      </x:c>
      <x:c r="E1244" s="34" t="n">
        <x:v>11658</x:v>
      </x:c>
      <x:c r="F1244" s="21" t="n">
        <x:v>0.9129</x:v>
      </x:c>
      <x:c r="G1244" s="16" t="str">
        <x:v>Statewide</x:v>
      </x:c>
      <x:c r="H1244" s="36" t="n">
        <x:f>IF(G1244="National",Assumptions!$B$11,IF(G1244="Statewide",Assumptions!$B$12,Assumptions!$B$13))</x:f>
        <x:v>0.6</x:v>
      </x:c>
      <x:c r="I1244" s="21" t="n">
        <x:v>-0.04950305674999822</x:v>
      </x:c>
      <x:c r="J1244" s="21" t="n">
        <x:v>-0.04440257007856163</x:v>
      </x:c>
      <x:c r="K1244" s="21" t="n">
        <x:v>-0.11831712275879658</x:v>
      </x:c>
      <x:c r="L1244" s="36" t="n">
        <x:f>IF(Assumptions!$B$4=2030,I1244,IF(Assumptions!$B$4=2035,J1244,K1244))</x:f>
        <x:v>-0.04440257007856163</x:v>
      </x:c>
      <x:c r="M1244" s="36" t="n">
        <x:f>Assumptions!$B$19</x:f>
        <x:v>-0.04739891965741583</x:v>
      </x:c>
      <x:c r="N1244" s="52" t="n">
        <x:f>H1244*L1244+(1-H1244)*M1244+O1244</x:f>
        <x:v>-0.04560110991010331</x:v>
      </x:c>
      <x:c r="O1244" s="36" t="n">
        <x:f>Assumptions!$B$10</x:f>
        <x:v>0</x:v>
      </x:c>
      <x:c r="P1244" s="54" t="n">
        <x:f>E1244*(1+N1244)</x:f>
        <x:v>11126.382260668015</x:v>
      </x:c>
      <x:c r="Q1244" s="54" t="n">
        <x:f>P1244-E1244</x:f>
        <x:v>-531.6177393319849</x:v>
      </x:c>
      <x:c r="R1244" s="16" t="str">
        <x:v>Yes</x:v>
      </x:c>
      <x:c r="S1244" s="56" t="n">
        <x:v>11072</x:v>
      </x:c>
      <x:c r="T1244" s="56" t="n">
        <x:v>10210</x:v>
      </x:c>
      <x:c r="U1244" s="40" t="n">
        <x:f>E1244*Assumptions!$B$8</x:f>
        <x:v>9909.3</x:v>
      </x:c>
      <x:c r="V1244" s="40" t="n">
        <x:f>P1244*Assumptions!$B$8</x:f>
        <x:v>9457.424921567812</x:v>
      </x:c>
      <x:c r="W1244" s="54" t="n">
        <x:f>V1244-U1244</x:f>
        <x:v>-451.87507843218737</x:v>
      </x:c>
      <x:c r="X1244" s="58" t="n">
        <x:f>IF(R1244="No","",W1244*S1244)</x:f>
        <x:v>-5003160.868401178</x:v>
      </x:c>
      <x:c r="Y1244" s="58" t="n">
        <x:f>IF(R1244="No","",W1244*T1244*Assumptions!$B$9)</x:f>
        <x:v>-1384093.3652377897</x:v>
      </x:c>
      <x:c r="Z1244" s="58" t="n">
        <x:f>IF(R1244="No","",X1244-Y1244)</x:f>
        <x:v>-3619067.5031633885</x:v>
      </x:c>
      <x:c r="AA1244" s="58" t="n">
        <x:f>IF(R1244="No","",MAX(0,-Z1244))</x:f>
        <x:v>3619067.5031633885</x:v>
      </x:c>
      <x:c r="AB1244" s="52" t="n">
        <x:f>IF(OR(R1244="No",U1244*S1244=0),"",AA1244/(U1244*S1244))</x:f>
        <x:v>0.03298584621297127</x:v>
      </x:c>
      <x:c r="AC1244" s="54" t="n">
        <x:f>IF(OR(R1244="No",S1244-T1244*Assumptions!$B$9&lt;=0),"",AA1244/(Assumptions!$B$8*(S1244-T1244*Assumptions!$B$9)))</x:f>
        <x:v>531.6177393319851</x:v>
      </x:c>
      <x:c r="AD1244" s="52" t="n">
        <x:f>IF(OR(R1244="No",U1244*S1244=0),"",AA1244/(U1244*S1244))</x:f>
        <x:v>0.03298584621297127</x:v>
      </x:c>
      <x:c r="AE1244" s="50" t="str">
        <x:f>IF(R1244="No","No finance data",IF(AB1244&gt;=10%,"Severe",IF(AB1244&gt;=5%,"High",IF(AB1244&gt;=2%,"Moderate","Low"))))</x:f>
        <x:v>Moderate</x:v>
      </x:c>
      <x:c r="AF1244" s="60" t="n">
        <x:v>41.502281</x:v>
      </x:c>
      <x:c r="AG1244" s="60" t="n">
        <x:v>-81.674355</x:v>
      </x:c>
      <x:c r="AH1244" s="44" t="str">
        <x:v>Undergraduate tuition-contribution proxy only; not an audited total institutional budget.</x:v>
      </x:c>
    </x:row>
    <x:row r="1245">
      <x:c r="A1245" s="16" t="n">
        <x:v>202170</x:v>
      </x:c>
      <x:c r="B1245" s="16" t="str">
        <x:v>Columbus College of Art and Design</x:v>
      </x:c>
      <x:c r="C1245" s="16" t="str">
        <x:v>OH</x:v>
      </x:c>
      <x:c r="D1245" s="16" t="str">
        <x:v>Private nonprofit</x:v>
      </x:c>
      <x:c r="E1245" s="34" t="n">
        <x:v>1107</x:v>
      </x:c>
      <x:c r="F1245" s="21" t="n">
        <x:v>0.9438</x:v>
      </x:c>
      <x:c r="G1245" s="16" t="str">
        <x:v>Regional</x:v>
      </x:c>
      <x:c r="H1245" s="36" t="n">
        <x:f>IF(G1245="National",Assumptions!$B$11,IF(G1245="Statewide",Assumptions!$B$12,Assumptions!$B$13))</x:f>
        <x:v>0.85</x:v>
      </x:c>
      <x:c r="I1245" s="21" t="n">
        <x:v>-0.04950305674999822</x:v>
      </x:c>
      <x:c r="J1245" s="21" t="n">
        <x:v>-0.04440257007856163</x:v>
      </x:c>
      <x:c r="K1245" s="21" t="n">
        <x:v>-0.11831712275879658</x:v>
      </x:c>
      <x:c r="L1245" s="36" t="n">
        <x:f>IF(Assumptions!$B$4=2030,I1245,IF(Assumptions!$B$4=2035,J1245,K1245))</x:f>
        <x:v>-0.04440257007856163</x:v>
      </x:c>
      <x:c r="M1245" s="36" t="n">
        <x:f>Assumptions!$B$19</x:f>
        <x:v>-0.04739891965741583</x:v>
      </x:c>
      <x:c r="N1245" s="52" t="n">
        <x:f>H1245*L1245+(1-H1245)*M1245+O1245</x:f>
        <x:v>-0.044852022515389764</x:v>
      </x:c>
      <x:c r="O1245" s="36" t="n">
        <x:f>Assumptions!$B$10</x:f>
        <x:v>0</x:v>
      </x:c>
      <x:c r="P1245" s="54" t="n">
        <x:f>E1245*(1+N1245)</x:f>
        <x:v>1057.3488110754636</x:v>
      </x:c>
      <x:c r="Q1245" s="54" t="n">
        <x:f>P1245-E1245</x:f>
        <x:v>-49.65118892453643</x:v>
      </x:c>
      <x:c r="R1245" s="16" t="str">
        <x:v>Yes</x:v>
      </x:c>
      <x:c r="S1245" s="56" t="n">
        <x:v>17034</x:v>
      </x:c>
      <x:c r="T1245" s="56" t="n">
        <x:v>10031</x:v>
      </x:c>
      <x:c r="U1245" s="40" t="n">
        <x:f>E1245*Assumptions!$B$8</x:f>
        <x:v>940.9499999999999</x:v>
      </x:c>
      <x:c r="V1245" s="40" t="n">
        <x:f>P1245*Assumptions!$B$8</x:f>
        <x:v>898.746489414144</x:v>
      </x:c>
      <x:c r="W1245" s="54" t="n">
        <x:f>V1245-U1245</x:f>
        <x:v>-42.20351058585595</x:v>
      </x:c>
      <x:c r="X1245" s="58" t="n">
        <x:f>IF(R1245="No","",W1245*S1245)</x:f>
        <x:v>-718894.5993194702</x:v>
      </x:c>
      <x:c r="Y1245" s="58" t="n">
        <x:f>IF(R1245="No","",W1245*T1245*Assumptions!$B$9)</x:f>
        <x:v>-127003.02440601631</x:v>
      </x:c>
      <x:c r="Z1245" s="58" t="n">
        <x:f>IF(R1245="No","",X1245-Y1245)</x:f>
        <x:v>-591891.5749134539</x:v>
      </x:c>
      <x:c r="AA1245" s="58" t="n">
        <x:f>IF(R1245="No","",MAX(0,-Z1245))</x:f>
        <x:v>591891.5749134539</x:v>
      </x:c>
      <x:c r="AB1245" s="52" t="n">
        <x:f>IF(OR(R1245="No",U1245*S1245=0),"",AA1245/(U1245*S1245))</x:f>
        <x:v>0.03692827052786111</x:v>
      </x:c>
      <x:c r="AC1245" s="54" t="n">
        <x:f>IF(OR(R1245="No",S1245-T1245*Assumptions!$B$9&lt;=0),"",AA1245/(Assumptions!$B$8*(S1245-T1245*Assumptions!$B$9)))</x:f>
        <x:v>49.651188924536406</x:v>
      </x:c>
      <x:c r="AD1245" s="52" t="n">
        <x:f>IF(OR(R1245="No",U1245*S1245=0),"",AA1245/(U1245*S1245))</x:f>
        <x:v>0.03692827052786111</x:v>
      </x:c>
      <x:c r="AE1245" s="50" t="str">
        <x:f>IF(R1245="No","No finance data",IF(AB1245&gt;=10%,"Severe",IF(AB1245&gt;=5%,"High",IF(AB1245&gt;=2%,"Moderate","Low"))))</x:f>
        <x:v>Moderate</x:v>
      </x:c>
      <x:c r="AF1245" s="60" t="n">
        <x:v>39.966074</x:v>
      </x:c>
      <x:c r="AG1245" s="60" t="n">
        <x:v>-82.989479</x:v>
      </x:c>
      <x:c r="AH1245" s="44" t="str">
        <x:v>Undergraduate tuition-contribution proxy only; not an audited total institutional budget.</x:v>
      </x:c>
    </x:row>
    <x:row r="1246">
      <x:c r="A1246" s="16" t="n">
        <x:v>202514</x:v>
      </x:c>
      <x:c r="B1246" s="16" t="str">
        <x:v>Defiance College</x:v>
      </x:c>
      <x:c r="C1246" s="16" t="str">
        <x:v>OH</x:v>
      </x:c>
      <x:c r="D1246" s="16" t="str">
        <x:v>Private nonprofit</x:v>
      </x:c>
      <x:c r="E1246" s="34" t="n">
        <x:v>658</x:v>
      </x:c>
      <x:c r="F1246" s="21" t="n">
        <x:v>0.6221</x:v>
      </x:c>
      <x:c r="G1246" s="16" t="str">
        <x:v>Regional</x:v>
      </x:c>
      <x:c r="H1246" s="36" t="n">
        <x:f>IF(G1246="National",Assumptions!$B$11,IF(G1246="Statewide",Assumptions!$B$12,Assumptions!$B$13))</x:f>
        <x:v>0.85</x:v>
      </x:c>
      <x:c r="I1246" s="21" t="n">
        <x:v>-0.04950305674999822</x:v>
      </x:c>
      <x:c r="J1246" s="21" t="n">
        <x:v>-0.04440257007856163</x:v>
      </x:c>
      <x:c r="K1246" s="21" t="n">
        <x:v>-0.11831712275879658</x:v>
      </x:c>
      <x:c r="L1246" s="36" t="n">
        <x:f>IF(Assumptions!$B$4=2030,I1246,IF(Assumptions!$B$4=2035,J1246,K1246))</x:f>
        <x:v>-0.04440257007856163</x:v>
      </x:c>
      <x:c r="M1246" s="36" t="n">
        <x:f>Assumptions!$B$19</x:f>
        <x:v>-0.04739891965741583</x:v>
      </x:c>
      <x:c r="N1246" s="52" t="n">
        <x:f>H1246*L1246+(1-H1246)*M1246+O1246</x:f>
        <x:v>-0.044852022515389764</x:v>
      </x:c>
      <x:c r="O1246" s="36" t="n">
        <x:f>Assumptions!$B$10</x:f>
        <x:v>0</x:v>
      </x:c>
      <x:c r="P1246" s="54" t="n">
        <x:f>E1246*(1+N1246)</x:f>
        <x:v>628.4873691848735</x:v>
      </x:c>
      <x:c r="Q1246" s="54" t="n">
        <x:f>P1246-E1246</x:f>
        <x:v>-29.5126308151265</x:v>
      </x:c>
      <x:c r="R1246" s="16" t="str">
        <x:v>Yes</x:v>
      </x:c>
      <x:c r="S1246" s="56" t="n">
        <x:v>11899</x:v>
      </x:c>
      <x:c r="T1246" s="56" t="n">
        <x:v>9450</x:v>
      </x:c>
      <x:c r="U1246" s="40" t="n">
        <x:f>E1246*Assumptions!$B$8</x:f>
        <x:v>559.3</x:v>
      </x:c>
      <x:c r="V1246" s="40" t="n">
        <x:f>P1246*Assumptions!$B$8</x:f>
        <x:v>534.2142638071425</x:v>
      </x:c>
      <x:c r="W1246" s="54" t="n">
        <x:f>V1246-U1246</x:f>
        <x:v>-25.08573619285744</x:v>
      </x:c>
      <x:c r="X1246" s="58" t="n">
        <x:f>IF(R1246="No","",W1246*S1246)</x:f>
        <x:v>-298495.1749588107</x:v>
      </x:c>
      <x:c r="Y1246" s="58" t="n">
        <x:f>IF(R1246="No","",W1246*T1246*Assumptions!$B$9)</x:f>
        <x:v>-71118.06210675083</x:v>
      </x:c>
      <x:c r="Z1246" s="58" t="n">
        <x:f>IF(R1246="No","",X1246-Y1246)</x:f>
        <x:v>-227377.11285205983</x:v>
      </x:c>
      <x:c r="AA1246" s="58" t="n">
        <x:f>IF(R1246="No","",MAX(0,-Z1246))</x:f>
        <x:v>227377.11285205983</x:v>
      </x:c>
      <x:c r="AB1246" s="52" t="n">
        <x:f>IF(OR(R1246="No",U1246*S1246=0),"",AA1246/(U1246*S1246))</x:f>
        <x:v>0.034165789736909986</x:v>
      </x:c>
      <x:c r="AC1246" s="54" t="n">
        <x:f>IF(OR(R1246="No",S1246-T1246*Assumptions!$B$9&lt;=0),"",AA1246/(Assumptions!$B$8*(S1246-T1246*Assumptions!$B$9)))</x:f>
        <x:v>29.5126308151264</x:v>
      </x:c>
      <x:c r="AD1246" s="52" t="n">
        <x:f>IF(OR(R1246="No",U1246*S1246=0),"",AA1246/(U1246*S1246))</x:f>
        <x:v>0.034165789736909986</x:v>
      </x:c>
      <x:c r="AE1246" s="50" t="str">
        <x:f>IF(R1246="No","No finance data",IF(AB1246&gt;=10%,"Severe",IF(AB1246&gt;=5%,"High",IF(AB1246&gt;=2%,"Moderate","Low"))))</x:f>
        <x:v>Moderate</x:v>
      </x:c>
      <x:c r="AF1246" s="60" t="n">
        <x:v>41.296842</x:v>
      </x:c>
      <x:c r="AG1246" s="60" t="n">
        <x:v>-84.357075</x:v>
      </x:c>
      <x:c r="AH1246" s="44" t="str">
        <x:v>Undergraduate tuition-contribution proxy only; not an audited total institutional budget.</x:v>
      </x:c>
    </x:row>
    <x:row r="1247">
      <x:c r="A1247" s="16" t="n">
        <x:v>202523</x:v>
      </x:c>
      <x:c r="B1247" s="16" t="str">
        <x:v>Denison University</x:v>
      </x:c>
      <x:c r="C1247" s="16" t="str">
        <x:v>OH</x:v>
      </x:c>
      <x:c r="D1247" s="16" t="str">
        <x:v>Private nonprofit</x:v>
      </x:c>
      <x:c r="E1247" s="34" t="n">
        <x:v>2254</x:v>
      </x:c>
      <x:c r="F1247" s="21" t="n">
        <x:v>0.2827</x:v>
      </x:c>
      <x:c r="G1247" s="16" t="str">
        <x:v>National</x:v>
      </x:c>
      <x:c r="H1247" s="36" t="n">
        <x:f>IF(G1247="National",Assumptions!$B$11,IF(G1247="Statewide",Assumptions!$B$12,Assumptions!$B$13))</x:f>
        <x:v>0.25</x:v>
      </x:c>
      <x:c r="I1247" s="21" t="n">
        <x:v>-0.04950305674999822</x:v>
      </x:c>
      <x:c r="J1247" s="21" t="n">
        <x:v>-0.04440257007856163</x:v>
      </x:c>
      <x:c r="K1247" s="21" t="n">
        <x:v>-0.11831712275879658</x:v>
      </x:c>
      <x:c r="L1247" s="36" t="n">
        <x:f>IF(Assumptions!$B$4=2030,I1247,IF(Assumptions!$B$4=2035,J1247,K1247))</x:f>
        <x:v>-0.04440257007856163</x:v>
      </x:c>
      <x:c r="M1247" s="36" t="n">
        <x:f>Assumptions!$B$19</x:f>
        <x:v>-0.04739891965741583</x:v>
      </x:c>
      <x:c r="N1247" s="52" t="n">
        <x:f>H1247*L1247+(1-H1247)*M1247+O1247</x:f>
        <x:v>-0.04664983226270228</x:v>
      </x:c>
      <x:c r="O1247" s="36" t="n">
        <x:f>Assumptions!$B$10</x:f>
        <x:v>0</x:v>
      </x:c>
      <x:c r="P1247" s="54" t="n">
        <x:f>E1247*(1+N1247)</x:f>
        <x:v>2148.851278079869</x:v>
      </x:c>
      <x:c r="Q1247" s="54" t="n">
        <x:f>P1247-E1247</x:f>
        <x:v>-105.14872192013081</x:v>
      </x:c>
      <x:c r="R1247" s="16" t="str">
        <x:v>Yes</x:v>
      </x:c>
      <x:c r="S1247" s="56" t="n">
        <x:v>25195</x:v>
      </x:c>
      <x:c r="T1247" s="56" t="n">
        <x:v>21937</x:v>
      </x:c>
      <x:c r="U1247" s="40" t="n">
        <x:f>E1247*Assumptions!$B$8</x:f>
        <x:v>1915.8999999999999</x:v>
      </x:c>
      <x:c r="V1247" s="40" t="n">
        <x:f>P1247*Assumptions!$B$8</x:f>
        <x:v>1826.5235863678888</x:v>
      </x:c>
      <x:c r="W1247" s="54" t="n">
        <x:f>V1247-U1247</x:f>
        <x:v>-89.37641363211105</x:v>
      </x:c>
      <x:c r="X1247" s="58" t="n">
        <x:f>IF(R1247="No","",W1247*S1247)</x:f>
        <x:v>-2251838.741461038</x:v>
      </x:c>
      <x:c r="Y1247" s="58" t="n">
        <x:f>IF(R1247="No","",W1247*T1247*Assumptions!$B$9)</x:f>
        <x:v>-588195.1157542861</x:v>
      </x:c>
      <x:c r="Z1247" s="58" t="n">
        <x:f>IF(R1247="No","",X1247-Y1247)</x:f>
        <x:v>-1663643.625706752</x:v>
      </x:c>
      <x:c r="AA1247" s="58" t="n">
        <x:f>IF(R1247="No","",MAX(0,-Z1247))</x:f>
        <x:v>1663643.625706752</x:v>
      </x:c>
      <x:c r="AB1247" s="52" t="n">
        <x:f>IF(OR(R1247="No",U1247*S1247=0),"",AA1247/(U1247*S1247))</x:f>
        <x:v>0.03446458871818661</x:v>
      </x:c>
      <x:c r="AC1247" s="54" t="n">
        <x:f>IF(OR(R1247="No",S1247-T1247*Assumptions!$B$9&lt;=0),"",AA1247/(Assumptions!$B$8*(S1247-T1247*Assumptions!$B$9)))</x:f>
        <x:v>105.14872192013065</x:v>
      </x:c>
      <x:c r="AD1247" s="52" t="n">
        <x:f>IF(OR(R1247="No",U1247*S1247=0),"",AA1247/(U1247*S1247))</x:f>
        <x:v>0.03446458871818661</x:v>
      </x:c>
      <x:c r="AE1247" s="50" t="str">
        <x:f>IF(R1247="No","No finance data",IF(AB1247&gt;=10%,"Severe",IF(AB1247&gt;=5%,"High",IF(AB1247&gt;=2%,"Moderate","Low"))))</x:f>
        <x:v>Moderate</x:v>
      </x:c>
      <x:c r="AF1247" s="60" t="n">
        <x:v>40.071505</x:v>
      </x:c>
      <x:c r="AG1247" s="60" t="n">
        <x:v>-82.523272</x:v>
      </x:c>
      <x:c r="AH1247" s="44" t="str">
        <x:v>Undergraduate tuition-contribution proxy only; not an audited total institutional budget.</x:v>
      </x:c>
    </x:row>
    <x:row r="1248">
      <x:c r="A1248" s="16" t="n">
        <x:v>205957</x:v>
      </x:c>
      <x:c r="B1248" s="16" t="str">
        <x:v>Franciscan University of Steubenville</x:v>
      </x:c>
      <x:c r="C1248" s="16" t="str">
        <x:v>OH</x:v>
      </x:c>
      <x:c r="D1248" s="16" t="str">
        <x:v>Private nonprofit</x:v>
      </x:c>
      <x:c r="E1248" s="34" t="n">
        <x:v>2036</x:v>
      </x:c>
      <x:c r="F1248" s="21" t="n">
        <x:v>0.6845</x:v>
      </x:c>
      <x:c r="G1248" s="16" t="str">
        <x:v>Regional</x:v>
      </x:c>
      <x:c r="H1248" s="36" t="n">
        <x:f>IF(G1248="National",Assumptions!$B$11,IF(G1248="Statewide",Assumptions!$B$12,Assumptions!$B$13))</x:f>
        <x:v>0.85</x:v>
      </x:c>
      <x:c r="I1248" s="21" t="n">
        <x:v>-0.04950305674999822</x:v>
      </x:c>
      <x:c r="J1248" s="21" t="n">
        <x:v>-0.04440257007856163</x:v>
      </x:c>
      <x:c r="K1248" s="21" t="n">
        <x:v>-0.11831712275879658</x:v>
      </x:c>
      <x:c r="L1248" s="36" t="n">
        <x:f>IF(Assumptions!$B$4=2030,I1248,IF(Assumptions!$B$4=2035,J1248,K1248))</x:f>
        <x:v>-0.04440257007856163</x:v>
      </x:c>
      <x:c r="M1248" s="36" t="n">
        <x:f>Assumptions!$B$19</x:f>
        <x:v>-0.04739891965741583</x:v>
      </x:c>
      <x:c r="N1248" s="52" t="n">
        <x:f>H1248*L1248+(1-H1248)*M1248+O1248</x:f>
        <x:v>-0.044852022515389764</x:v>
      </x:c>
      <x:c r="O1248" s="36" t="n">
        <x:f>Assumptions!$B$10</x:f>
        <x:v>0</x:v>
      </x:c>
      <x:c r="P1248" s="54" t="n">
        <x:f>E1248*(1+N1248)</x:f>
        <x:v>1944.6812821586664</x:v>
      </x:c>
      <x:c r="Q1248" s="54" t="n">
        <x:f>P1248-E1248</x:f>
        <x:v>-91.31871784133364</x:v>
      </x:c>
      <x:c r="R1248" s="16" t="str">
        <x:v>Yes</x:v>
      </x:c>
      <x:c r="S1248" s="56" t="n">
        <x:v>12542</x:v>
      </x:c>
      <x:c r="T1248" s="56" t="n">
        <x:v>7471</x:v>
      </x:c>
      <x:c r="U1248" s="40" t="n">
        <x:f>E1248*Assumptions!$B$8</x:f>
        <x:v>1730.6</x:v>
      </x:c>
      <x:c r="V1248" s="40" t="n">
        <x:f>P1248*Assumptions!$B$8</x:f>
        <x:v>1652.9790898348663</x:v>
      </x:c>
      <x:c r="W1248" s="54" t="n">
        <x:f>V1248-U1248</x:f>
        <x:v>-77.62091016513364</x:v>
      </x:c>
      <x:c r="X1248" s="58" t="n">
        <x:f>IF(R1248="No","",W1248*S1248)</x:f>
        <x:v>-973521.455291106</x:v>
      </x:c>
      <x:c r="Y1248" s="58" t="n">
        <x:f>IF(R1248="No","",W1248*T1248*Assumptions!$B$9)</x:f>
        <x:v>-173971.74595311403</x:v>
      </x:c>
      <x:c r="Z1248" s="58" t="n">
        <x:f>IF(R1248="No","",X1248-Y1248)</x:f>
        <x:v>-799549.709337992</x:v>
      </x:c>
      <x:c r="AA1248" s="58" t="n">
        <x:f>IF(R1248="No","",MAX(0,-Z1248))</x:f>
        <x:v>799549.709337992</x:v>
      </x:c>
      <x:c r="AB1248" s="52" t="n">
        <x:f>IF(OR(R1248="No",U1248*S1248=0),"",AA1248/(U1248*S1248))</x:f>
        <x:v>0.03683680659578026</x:v>
      </x:c>
      <x:c r="AC1248" s="54" t="n">
        <x:f>IF(OR(R1248="No",S1248-T1248*Assumptions!$B$9&lt;=0),"",AA1248/(Assumptions!$B$8*(S1248-T1248*Assumptions!$B$9)))</x:f>
        <x:v>91.31871784133368</x:v>
      </x:c>
      <x:c r="AD1248" s="52" t="n">
        <x:f>IF(OR(R1248="No",U1248*S1248=0),"",AA1248/(U1248*S1248))</x:f>
        <x:v>0.03683680659578026</x:v>
      </x:c>
      <x:c r="AE1248" s="50" t="str">
        <x:f>IF(R1248="No","No finance data",IF(AB1248&gt;=10%,"Severe",IF(AB1248&gt;=5%,"High",IF(AB1248&gt;=2%,"Moderate","Low"))))</x:f>
        <x:v>Moderate</x:v>
      </x:c>
      <x:c r="AF1248" s="60" t="n">
        <x:v>40.376919</x:v>
      </x:c>
      <x:c r="AG1248" s="60" t="n">
        <x:v>-80.620524</x:v>
      </x:c>
      <x:c r="AH1248" s="44" t="str">
        <x:v>Undergraduate tuition-contribution proxy only; not an audited total institutional budget.</x:v>
      </x:c>
    </x:row>
    <x:row r="1249">
      <x:c r="A1249" s="16" t="n">
        <x:v>202806</x:v>
      </x:c>
      <x:c r="B1249" s="16" t="str">
        <x:v>Franklin University</x:v>
      </x:c>
      <x:c r="C1249" s="16" t="str">
        <x:v>OH</x:v>
      </x:c>
      <x:c r="D1249" s="16" t="str">
        <x:v>Private nonprofit</x:v>
      </x:c>
      <x:c r="E1249" s="34" t="n">
        <x:v>4049</x:v>
      </x:c>
      <x:c r="F1249" s="21"/>
      <x:c r="G1249" s="16" t="str">
        <x:v>Regional</x:v>
      </x:c>
      <x:c r="H1249" s="36" t="n">
        <x:f>IF(G1249="National",Assumptions!$B$11,IF(G1249="Statewide",Assumptions!$B$12,Assumptions!$B$13))</x:f>
        <x:v>0.85</x:v>
      </x:c>
      <x:c r="I1249" s="21" t="n">
        <x:v>-0.04950305674999822</x:v>
      </x:c>
      <x:c r="J1249" s="21" t="n">
        <x:v>-0.04440257007856163</x:v>
      </x:c>
      <x:c r="K1249" s="21" t="n">
        <x:v>-0.11831712275879658</x:v>
      </x:c>
      <x:c r="L1249" s="36" t="n">
        <x:f>IF(Assumptions!$B$4=2030,I1249,IF(Assumptions!$B$4=2035,J1249,K1249))</x:f>
        <x:v>-0.04440257007856163</x:v>
      </x:c>
      <x:c r="M1249" s="36" t="n">
        <x:f>Assumptions!$B$19</x:f>
        <x:v>-0.04739891965741583</x:v>
      </x:c>
      <x:c r="N1249" s="52" t="n">
        <x:f>H1249*L1249+(1-H1249)*M1249+O1249</x:f>
        <x:v>-0.044852022515389764</x:v>
      </x:c>
      <x:c r="O1249" s="36" t="n">
        <x:f>Assumptions!$B$10</x:f>
        <x:v>0</x:v>
      </x:c>
      <x:c r="P1249" s="54" t="n">
        <x:f>E1249*(1+N1249)</x:f>
        <x:v>3867.394160835187</x:v>
      </x:c>
      <x:c r="Q1249" s="54" t="n">
        <x:f>P1249-E1249</x:f>
        <x:v>-181.605839164813</x:v>
      </x:c>
      <x:c r="R1249" s="16" t="str">
        <x:v>Yes</x:v>
      </x:c>
      <x:c r="S1249" s="56" t="n">
        <x:v>11453</x:v>
      </x:c>
      <x:c r="T1249" s="56" t="n">
        <x:v>4052</x:v>
      </x:c>
      <x:c r="U1249" s="40" t="n">
        <x:f>E1249*Assumptions!$B$8</x:f>
        <x:v>3441.65</x:v>
      </x:c>
      <x:c r="V1249" s="40" t="n">
        <x:f>P1249*Assumptions!$B$8</x:f>
        <x:v>3287.285036709909</x:v>
      </x:c>
      <x:c r="W1249" s="54" t="n">
        <x:f>V1249-U1249</x:f>
        <x:v>-154.36496329009105</x:v>
      </x:c>
      <x:c r="X1249" s="58" t="n">
        <x:f>IF(R1249="No","",W1249*S1249)</x:f>
        <x:v>-1767941.9245614128</x:v>
      </x:c>
      <x:c r="Y1249" s="58" t="n">
        <x:f>IF(R1249="No","",W1249*T1249*Assumptions!$B$9)</x:f>
        <x:v>-187646.04937543467</x:v>
      </x:c>
      <x:c r="Z1249" s="58" t="n">
        <x:f>IF(R1249="No","",X1249-Y1249)</x:f>
        <x:v>-1580295.8751859781</x:v>
      </x:c>
      <x:c r="AA1249" s="58" t="n">
        <x:f>IF(R1249="No","",MAX(0,-Z1249))</x:f>
        <x:v>1580295.8751859781</x:v>
      </x:c>
      <x:c r="AB1249" s="52" t="n">
        <x:f>IF(OR(R1249="No",U1249*S1249=0),"",AA1249/(U1249*S1249))</x:f>
        <x:v>0.04009151273020613</x:v>
      </x:c>
      <x:c r="AC1249" s="54" t="n">
        <x:f>IF(OR(R1249="No",S1249-T1249*Assumptions!$B$9&lt;=0),"",AA1249/(Assumptions!$B$8*(S1249-T1249*Assumptions!$B$9)))</x:f>
        <x:v>181.60583916481303</x:v>
      </x:c>
      <x:c r="AD1249" s="52" t="n">
        <x:f>IF(OR(R1249="No",U1249*S1249=0),"",AA1249/(U1249*S1249))</x:f>
        <x:v>0.04009151273020613</x:v>
      </x:c>
      <x:c r="AE1249" s="50" t="str">
        <x:f>IF(R1249="No","No finance data",IF(AB1249&gt;=10%,"Severe",IF(AB1249&gt;=5%,"High",IF(AB1249&gt;=2%,"Moderate","Low"))))</x:f>
        <x:v>Moderate</x:v>
      </x:c>
      <x:c r="AF1249" s="60" t="n">
        <x:v>39.95831</x:v>
      </x:c>
      <x:c r="AG1249" s="60" t="n">
        <x:v>-82.990375</x:v>
      </x:c>
      <x:c r="AH1249" s="44" t="str">
        <x:v>Undergraduate tuition-contribution proxy only; not an audited total institutional budget.</x:v>
      </x:c>
    </x:row>
    <x:row r="1250">
      <x:c r="A1250" s="16" t="n">
        <x:v>202903</x:v>
      </x:c>
      <x:c r="B1250" s="16" t="str">
        <x:v>Gods Bible School and College</x:v>
      </x:c>
      <x:c r="C1250" s="16" t="str">
        <x:v>OH</x:v>
      </x:c>
      <x:c r="D1250" s="16" t="str">
        <x:v>Private nonprofit</x:v>
      </x:c>
      <x:c r="E1250" s="34" t="n">
        <x:v>244</x:v>
      </x:c>
      <x:c r="F1250" s="21"/>
      <x:c r="G1250" s="16" t="str">
        <x:v>Regional</x:v>
      </x:c>
      <x:c r="H1250" s="36" t="n">
        <x:f>IF(G1250="National",Assumptions!$B$11,IF(G1250="Statewide",Assumptions!$B$12,Assumptions!$B$13))</x:f>
        <x:v>0.85</x:v>
      </x:c>
      <x:c r="I1250" s="21" t="n">
        <x:v>-0.04950305674999822</x:v>
      </x:c>
      <x:c r="J1250" s="21" t="n">
        <x:v>-0.04440257007856163</x:v>
      </x:c>
      <x:c r="K1250" s="21" t="n">
        <x:v>-0.11831712275879658</x:v>
      </x:c>
      <x:c r="L1250" s="36" t="n">
        <x:f>IF(Assumptions!$B$4=2030,I1250,IF(Assumptions!$B$4=2035,J1250,K1250))</x:f>
        <x:v>-0.04440257007856163</x:v>
      </x:c>
      <x:c r="M1250" s="36" t="n">
        <x:f>Assumptions!$B$19</x:f>
        <x:v>-0.04739891965741583</x:v>
      </x:c>
      <x:c r="N1250" s="52" t="n">
        <x:f>H1250*L1250+(1-H1250)*M1250+O1250</x:f>
        <x:v>-0.044852022515389764</x:v>
      </x:c>
      <x:c r="O1250" s="36" t="n">
        <x:f>Assumptions!$B$10</x:f>
        <x:v>0</x:v>
      </x:c>
      <x:c r="P1250" s="54" t="n">
        <x:f>E1250*(1+N1250)</x:f>
        <x:v>233.0561065062449</x:v>
      </x:c>
      <x:c r="Q1250" s="54" t="n">
        <x:f>P1250-E1250</x:f>
        <x:v>-10.943893493755098</x:v>
      </x:c>
      <x:c r="R1250" s="16" t="str">
        <x:v>No</x:v>
      </x:c>
      <x:c r="S1250" s="56"/>
      <x:c r="T1250" s="56"/>
      <x:c r="U1250" s="40" t="n">
        <x:f>E1250*Assumptions!$B$8</x:f>
        <x:v>207.4</x:v>
      </x:c>
      <x:c r="V1250" s="40" t="n">
        <x:f>P1250*Assumptions!$B$8</x:f>
        <x:v>198.09769053030817</x:v>
      </x:c>
      <x:c r="W1250" s="54" t="n">
        <x:f>V1250-U1250</x:f>
        <x:v>-9.302309469691835</x:v>
      </x:c>
      <x:c r="X1250" s="58" t="str">
        <x:f>IF(R1250="No","",W1250*S1250)</x:f>
      </x:c>
      <x:c r="Y1250" s="58" t="str">
        <x:f>IF(R1250="No","",W1250*T1250*Assumptions!$B$9)</x:f>
      </x:c>
      <x:c r="Z1250" s="58" t="str">
        <x:f>IF(R1250="No","",X1250-Y1250)</x:f>
      </x:c>
      <x:c r="AA1250" s="58" t="str">
        <x:f>IF(R1250="No","",MAX(0,-Z1250))</x:f>
      </x:c>
      <x:c r="AB1250" s="52" t="str">
        <x:f>IF(OR(R1250="No",U1250*S1250=0),"",AA1250/(U1250*S1250))</x:f>
      </x:c>
      <x:c r="AC1250" s="54" t="str">
        <x:f>IF(OR(R1250="No",S1250-T1250*Assumptions!$B$9&lt;=0),"",AA1250/(Assumptions!$B$8*(S1250-T1250*Assumptions!$B$9)))</x:f>
      </x:c>
      <x:c r="AD1250" s="52" t="str">
        <x:f>IF(OR(R1250="No",U1250*S1250=0),"",AA1250/(U1250*S1250))</x:f>
      </x:c>
      <x:c r="AE1250" s="50" t="str">
        <x:f>IF(R1250="No","No finance data",IF(AB1250&gt;=10%,"Severe",IF(AB1250&gt;=5%,"High",IF(AB1250&gt;=2%,"Moderate","Low"))))</x:f>
        <x:v>No finance data</x:v>
      </x:c>
      <x:c r="AF1250" s="60"/>
      <x:c r="AG1250" s="60"/>
      <x:c r="AH1250" s="44" t="str">
        <x:v>Undergraduate tuition-contribution proxy only; not an audited total institutional budget.</x:v>
      </x:c>
    </x:row>
    <x:row r="1251">
      <x:c r="A1251" s="16" t="n">
        <x:v>203085</x:v>
      </x:c>
      <x:c r="B1251" s="16" t="str">
        <x:v>Heidelberg University</x:v>
      </x:c>
      <x:c r="C1251" s="16" t="str">
        <x:v>OH</x:v>
      </x:c>
      <x:c r="D1251" s="16" t="str">
        <x:v>Private nonprofit</x:v>
      </x:c>
      <x:c r="E1251" s="34" t="n">
        <x:v>1011</x:v>
      </x:c>
      <x:c r="F1251" s="21" t="n">
        <x:v>0.8636</x:v>
      </x:c>
      <x:c r="G1251" s="16" t="str">
        <x:v>Regional</x:v>
      </x:c>
      <x:c r="H1251" s="36" t="n">
        <x:f>IF(G1251="National",Assumptions!$B$11,IF(G1251="Statewide",Assumptions!$B$12,Assumptions!$B$13))</x:f>
        <x:v>0.85</x:v>
      </x:c>
      <x:c r="I1251" s="21" t="n">
        <x:v>-0.04950305674999822</x:v>
      </x:c>
      <x:c r="J1251" s="21" t="n">
        <x:v>-0.04440257007856163</x:v>
      </x:c>
      <x:c r="K1251" s="21" t="n">
        <x:v>-0.11831712275879658</x:v>
      </x:c>
      <x:c r="L1251" s="36" t="n">
        <x:f>IF(Assumptions!$B$4=2030,I1251,IF(Assumptions!$B$4=2035,J1251,K1251))</x:f>
        <x:v>-0.04440257007856163</x:v>
      </x:c>
      <x:c r="M1251" s="36" t="n">
        <x:f>Assumptions!$B$19</x:f>
        <x:v>-0.04739891965741583</x:v>
      </x:c>
      <x:c r="N1251" s="52" t="n">
        <x:f>H1251*L1251+(1-H1251)*M1251+O1251</x:f>
        <x:v>-0.044852022515389764</x:v>
      </x:c>
      <x:c r="O1251" s="36" t="n">
        <x:f>Assumptions!$B$10</x:f>
        <x:v>0</x:v>
      </x:c>
      <x:c r="P1251" s="54" t="n">
        <x:f>E1251*(1+N1251)</x:f>
        <x:v>965.6546052369409</x:v>
      </x:c>
      <x:c r="Q1251" s="54" t="n">
        <x:f>P1251-E1251</x:f>
        <x:v>-45.34539476305906</x:v>
      </x:c>
      <x:c r="R1251" s="16" t="str">
        <x:v>Yes</x:v>
      </x:c>
      <x:c r="S1251" s="56" t="n">
        <x:v>11435</x:v>
      </x:c>
      <x:c r="T1251" s="56" t="n">
        <x:v>8198</x:v>
      </x:c>
      <x:c r="U1251" s="40" t="n">
        <x:f>E1251*Assumptions!$B$8</x:f>
        <x:v>859.35</x:v>
      </x:c>
      <x:c r="V1251" s="40" t="n">
        <x:f>P1251*Assumptions!$B$8</x:f>
        <x:v>820.8064144513997</x:v>
      </x:c>
      <x:c r="W1251" s="54" t="n">
        <x:f>V1251-U1251</x:f>
        <x:v>-38.54358554860028</x:v>
      </x:c>
      <x:c r="X1251" s="58" t="n">
        <x:f>IF(R1251="No","",W1251*S1251)</x:f>
        <x:v>-440745.90074824414</x:v>
      </x:c>
      <x:c r="Y1251" s="58" t="n">
        <x:f>IF(R1251="No","",W1251*T1251*Assumptions!$B$9)</x:f>
        <x:v>-94794.09429822753</x:v>
      </x:c>
      <x:c r="Z1251" s="58" t="n">
        <x:f>IF(R1251="No","",X1251-Y1251)</x:f>
        <x:v>-345951.8064500166</x:v>
      </x:c>
      <x:c r="AA1251" s="58" t="n">
        <x:f>IF(R1251="No","",MAX(0,-Z1251))</x:f>
        <x:v>345951.8064500166</x:v>
      </x:c>
      <x:c r="AB1251" s="52" t="n">
        <x:f>IF(OR(R1251="No",U1251*S1251=0),"",AA1251/(U1251*S1251))</x:f>
        <x:v>0.035205405622136705</x:v>
      </x:c>
      <x:c r="AC1251" s="54" t="n">
        <x:f>IF(OR(R1251="No",S1251-T1251*Assumptions!$B$9&lt;=0),"",AA1251/(Assumptions!$B$8*(S1251-T1251*Assumptions!$B$9)))</x:f>
        <x:v>45.34539476305915</x:v>
      </x:c>
      <x:c r="AD1251" s="52" t="n">
        <x:f>IF(OR(R1251="No",U1251*S1251=0),"",AA1251/(U1251*S1251))</x:f>
        <x:v>0.035205405622136705</x:v>
      </x:c>
      <x:c r="AE1251" s="50" t="str">
        <x:f>IF(R1251="No","No finance data",IF(AB1251&gt;=10%,"Severe",IF(AB1251&gt;=5%,"High",IF(AB1251&gt;=2%,"Moderate","Low"))))</x:f>
        <x:v>Moderate</x:v>
      </x:c>
      <x:c r="AF1251" s="60" t="n">
        <x:v>41.114833</x:v>
      </x:c>
      <x:c r="AG1251" s="60" t="n">
        <x:v>-83.168387</x:v>
      </x:c>
      <x:c r="AH1251" s="44" t="str">
        <x:v>Undergraduate tuition-contribution proxy only; not an audited total institutional budget.</x:v>
      </x:c>
    </x:row>
    <x:row r="1252">
      <x:c r="A1252" s="16" t="n">
        <x:v>203128</x:v>
      </x:c>
      <x:c r="B1252" s="16" t="str">
        <x:v>Hiram College</x:v>
      </x:c>
      <x:c r="C1252" s="16" t="str">
        <x:v>OH</x:v>
      </x:c>
      <x:c r="D1252" s="16" t="str">
        <x:v>Private nonprofit</x:v>
      </x:c>
      <x:c r="E1252" s="34" t="n">
        <x:v>1063</x:v>
      </x:c>
      <x:c r="F1252" s="21" t="n">
        <x:v>0.9342</x:v>
      </x:c>
      <x:c r="G1252" s="16" t="str">
        <x:v>Regional</x:v>
      </x:c>
      <x:c r="H1252" s="36" t="n">
        <x:f>IF(G1252="National",Assumptions!$B$11,IF(G1252="Statewide",Assumptions!$B$12,Assumptions!$B$13))</x:f>
        <x:v>0.85</x:v>
      </x:c>
      <x:c r="I1252" s="21" t="n">
        <x:v>-0.04950305674999822</x:v>
      </x:c>
      <x:c r="J1252" s="21" t="n">
        <x:v>-0.04440257007856163</x:v>
      </x:c>
      <x:c r="K1252" s="21" t="n">
        <x:v>-0.11831712275879658</x:v>
      </x:c>
      <x:c r="L1252" s="36" t="n">
        <x:f>IF(Assumptions!$B$4=2030,I1252,IF(Assumptions!$B$4=2035,J1252,K1252))</x:f>
        <x:v>-0.04440257007856163</x:v>
      </x:c>
      <x:c r="M1252" s="36" t="n">
        <x:f>Assumptions!$B$19</x:f>
        <x:v>-0.04739891965741583</x:v>
      </x:c>
      <x:c r="N1252" s="52" t="n">
        <x:f>H1252*L1252+(1-H1252)*M1252+O1252</x:f>
        <x:v>-0.044852022515389764</x:v>
      </x:c>
      <x:c r="O1252" s="36" t="n">
        <x:f>Assumptions!$B$10</x:f>
        <x:v>0</x:v>
      </x:c>
      <x:c r="P1252" s="54" t="n">
        <x:f>E1252*(1+N1252)</x:f>
        <x:v>1015.3223000661407</x:v>
      </x:c>
      <x:c r="Q1252" s="54" t="n">
        <x:f>P1252-E1252</x:f>
        <x:v>-47.677699933859344</x:v>
      </x:c>
      <x:c r="R1252" s="16" t="str">
        <x:v>Yes</x:v>
      </x:c>
      <x:c r="S1252" s="56" t="n">
        <x:v>12971</x:v>
      </x:c>
      <x:c r="T1252" s="56" t="n">
        <x:v>9393</x:v>
      </x:c>
      <x:c r="U1252" s="40" t="n">
        <x:f>E1252*Assumptions!$B$8</x:f>
        <x:v>903.55</x:v>
      </x:c>
      <x:c r="V1252" s="40" t="n">
        <x:f>P1252*Assumptions!$B$8</x:f>
        <x:v>863.0239550562195</x:v>
      </x:c>
      <x:c r="W1252" s="54" t="n">
        <x:f>V1252-U1252</x:f>
        <x:v>-40.52604494378045</x:v>
      </x:c>
      <x:c r="X1252" s="58" t="n">
        <x:f>IF(R1252="No","",W1252*S1252)</x:f>
        <x:v>-525663.3289657763</x:v>
      </x:c>
      <x:c r="Y1252" s="58" t="n">
        <x:f>IF(R1252="No","",W1252*T1252*Assumptions!$B$9)</x:f>
        <x:v>-114198.34204707891</x:v>
      </x:c>
      <x:c r="Z1252" s="58" t="n">
        <x:f>IF(R1252="No","",X1252-Y1252)</x:f>
        <x:v>-411464.98691869737</x:v>
      </x:c>
      <x:c r="AA1252" s="58" t="n">
        <x:f>IF(R1252="No","",MAX(0,-Z1252))</x:f>
        <x:v>411464.98691869737</x:v>
      </x:c>
      <x:c r="AB1252" s="52" t="n">
        <x:f>IF(OR(R1252="No",U1252*S1252=0),"",AA1252/(U1252*S1252))</x:f>
        <x:v>0.03510809265291838</x:v>
      </x:c>
      <x:c r="AC1252" s="54" t="n">
        <x:f>IF(OR(R1252="No",S1252-T1252*Assumptions!$B$9&lt;=0),"",AA1252/(Assumptions!$B$8*(S1252-T1252*Assumptions!$B$9)))</x:f>
        <x:v>47.67769993385936</x:v>
      </x:c>
      <x:c r="AD1252" s="52" t="n">
        <x:f>IF(OR(R1252="No",U1252*S1252=0),"",AA1252/(U1252*S1252))</x:f>
        <x:v>0.03510809265291838</x:v>
      </x:c>
      <x:c r="AE1252" s="50" t="str">
        <x:f>IF(R1252="No","No finance data",IF(AB1252&gt;=10%,"Severe",IF(AB1252&gt;=5%,"High",IF(AB1252&gt;=2%,"Moderate","Low"))))</x:f>
        <x:v>Moderate</x:v>
      </x:c>
      <x:c r="AF1252" s="60" t="n">
        <x:v>41.3107</x:v>
      </x:c>
      <x:c r="AG1252" s="60" t="n">
        <x:v>-81.143981</x:v>
      </x:c>
      <x:c r="AH1252" s="44" t="str">
        <x:v>Undergraduate tuition-contribution proxy only; not an audited total institutional budget.</x:v>
      </x:c>
    </x:row>
    <x:row r="1253">
      <x:c r="A1253" s="16" t="n">
        <x:v>203368</x:v>
      </x:c>
      <x:c r="B1253" s="16" t="str">
        <x:v>John Carroll University</x:v>
      </x:c>
      <x:c r="C1253" s="16" t="str">
        <x:v>OH</x:v>
      </x:c>
      <x:c r="D1253" s="16" t="str">
        <x:v>Private nonprofit</x:v>
      </x:c>
      <x:c r="E1253" s="34" t="n">
        <x:v>3064</x:v>
      </x:c>
      <x:c r="F1253" s="21" t="n">
        <x:v>0.8811</x:v>
      </x:c>
      <x:c r="G1253" s="16" t="str">
        <x:v>Regional</x:v>
      </x:c>
      <x:c r="H1253" s="36" t="n">
        <x:f>IF(G1253="National",Assumptions!$B$11,IF(G1253="Statewide",Assumptions!$B$12,Assumptions!$B$13))</x:f>
        <x:v>0.85</x:v>
      </x:c>
      <x:c r="I1253" s="21" t="n">
        <x:v>-0.04950305674999822</x:v>
      </x:c>
      <x:c r="J1253" s="21" t="n">
        <x:v>-0.04440257007856163</x:v>
      </x:c>
      <x:c r="K1253" s="21" t="n">
        <x:v>-0.11831712275879658</x:v>
      </x:c>
      <x:c r="L1253" s="36" t="n">
        <x:f>IF(Assumptions!$B$4=2030,I1253,IF(Assumptions!$B$4=2035,J1253,K1253))</x:f>
        <x:v>-0.04440257007856163</x:v>
      </x:c>
      <x:c r="M1253" s="36" t="n">
        <x:f>Assumptions!$B$19</x:f>
        <x:v>-0.04739891965741583</x:v>
      </x:c>
      <x:c r="N1253" s="52" t="n">
        <x:f>H1253*L1253+(1-H1253)*M1253+O1253</x:f>
        <x:v>-0.044852022515389764</x:v>
      </x:c>
      <x:c r="O1253" s="36" t="n">
        <x:f>Assumptions!$B$10</x:f>
        <x:v>0</x:v>
      </x:c>
      <x:c r="P1253" s="54" t="n">
        <x:f>E1253*(1+N1253)</x:f>
        <x:v>2926.5734030128456</x:v>
      </x:c>
      <x:c r="Q1253" s="54" t="n">
        <x:f>P1253-E1253</x:f>
        <x:v>-137.42659698715443</x:v>
      </x:c>
      <x:c r="R1253" s="16" t="str">
        <x:v>Yes</x:v>
      </x:c>
      <x:c r="S1253" s="56" t="n">
        <x:v>17139</x:v>
      </x:c>
      <x:c r="T1253" s="56" t="n">
        <x:v>12707</x:v>
      </x:c>
      <x:c r="U1253" s="40" t="n">
        <x:f>E1253*Assumptions!$B$8</x:f>
        <x:v>2604.4</x:v>
      </x:c>
      <x:c r="V1253" s="40" t="n">
        <x:f>P1253*Assumptions!$B$8</x:f>
        <x:v>2487.5873925609185</x:v>
      </x:c>
      <x:c r="W1253" s="54" t="n">
        <x:f>V1253-U1253</x:f>
        <x:v>-116.8126074390816</x:v>
      </x:c>
      <x:c r="X1253" s="58" t="n">
        <x:f>IF(R1253="No","",W1253*S1253)</x:f>
        <x:v>-2002051.2788984196</x:v>
      </x:c>
      <x:c r="Y1253" s="58" t="n">
        <x:f>IF(R1253="No","",W1253*T1253*Assumptions!$B$9)</x:f>
        <x:v>-445301.34081852296</x:v>
      </x:c>
      <x:c r="Z1253" s="58" t="n">
        <x:f>IF(R1253="No","",X1253-Y1253)</x:f>
        <x:v>-1556749.9380798966</x:v>
      </x:c>
      <x:c r="AA1253" s="58" t="n">
        <x:f>IF(R1253="No","",MAX(0,-Z1253))</x:f>
        <x:v>1556749.9380798966</x:v>
      </x:c>
      <x:c r="AB1253" s="52" t="n">
        <x:f>IF(OR(R1253="No",U1253*S1253=0),"",AA1253/(U1253*S1253))</x:f>
        <x:v>0.03487592151586151</x:v>
      </x:c>
      <x:c r="AC1253" s="54" t="n">
        <x:f>IF(OR(R1253="No",S1253-T1253*Assumptions!$B$9&lt;=0),"",AA1253/(Assumptions!$B$8*(S1253-T1253*Assumptions!$B$9)))</x:f>
        <x:v>137.42659698715482</x:v>
      </x:c>
      <x:c r="AD1253" s="52" t="n">
        <x:f>IF(OR(R1253="No",U1253*S1253=0),"",AA1253/(U1253*S1253))</x:f>
        <x:v>0.03487592151586151</x:v>
      </x:c>
      <x:c r="AE1253" s="50" t="str">
        <x:f>IF(R1253="No","No finance data",IF(AB1253&gt;=10%,"Severe",IF(AB1253&gt;=5%,"High",IF(AB1253&gt;=2%,"Moderate","Low"))))</x:f>
        <x:v>Moderate</x:v>
      </x:c>
      <x:c r="AF1253" s="60" t="n">
        <x:v>41.490259</x:v>
      </x:c>
      <x:c r="AG1253" s="60" t="n">
        <x:v>-81.531224</x:v>
      </x:c>
      <x:c r="AH1253" s="44" t="str">
        <x:v>Undergraduate tuition-contribution proxy only; not an audited total institutional budget.</x:v>
      </x:c>
    </x:row>
    <x:row r="1254">
      <x:c r="A1254" s="16" t="n">
        <x:v>203517</x:v>
      </x:c>
      <x:c r="B1254" s="16" t="str">
        <x:v>Kent State University at Kent</x:v>
      </x:c>
      <x:c r="C1254" s="16" t="str">
        <x:v>OH</x:v>
      </x:c>
      <x:c r="D1254" s="16" t="str">
        <x:v>Public</x:v>
      </x:c>
      <x:c r="E1254" s="34" t="n">
        <x:v>22779</x:v>
      </x:c>
      <x:c r="F1254" s="21" t="n">
        <x:v>0.8731</x:v>
      </x:c>
      <x:c r="G1254" s="16" t="str">
        <x:v>Statewide</x:v>
      </x:c>
      <x:c r="H1254" s="36" t="n">
        <x:f>IF(G1254="National",Assumptions!$B$11,IF(G1254="Statewide",Assumptions!$B$12,Assumptions!$B$13))</x:f>
        <x:v>0.6</x:v>
      </x:c>
      <x:c r="I1254" s="21" t="n">
        <x:v>-0.04950305674999822</x:v>
      </x:c>
      <x:c r="J1254" s="21" t="n">
        <x:v>-0.04440257007856163</x:v>
      </x:c>
      <x:c r="K1254" s="21" t="n">
        <x:v>-0.11831712275879658</x:v>
      </x:c>
      <x:c r="L1254" s="36" t="n">
        <x:f>IF(Assumptions!$B$4=2030,I1254,IF(Assumptions!$B$4=2035,J1254,K1254))</x:f>
        <x:v>-0.04440257007856163</x:v>
      </x:c>
      <x:c r="M1254" s="36" t="n">
        <x:f>Assumptions!$B$19</x:f>
        <x:v>-0.04739891965741583</x:v>
      </x:c>
      <x:c r="N1254" s="52" t="n">
        <x:f>H1254*L1254+(1-H1254)*M1254+O1254</x:f>
        <x:v>-0.04560110991010331</x:v>
      </x:c>
      <x:c r="O1254" s="36" t="n">
        <x:f>Assumptions!$B$10</x:f>
        <x:v>0</x:v>
      </x:c>
      <x:c r="P1254" s="54" t="n">
        <x:f>E1254*(1+N1254)</x:f>
        <x:v>21740.252317357757</x:v>
      </x:c>
      <x:c r="Q1254" s="54" t="n">
        <x:f>P1254-E1254</x:f>
        <x:v>-1038.7476826422426</x:v>
      </x:c>
      <x:c r="R1254" s="16" t="str">
        <x:v>Yes</x:v>
      </x:c>
      <x:c r="S1254" s="56" t="n">
        <x:v>10123</x:v>
      </x:c>
      <x:c r="T1254" s="56" t="n">
        <x:v>8475</x:v>
      </x:c>
      <x:c r="U1254" s="40" t="n">
        <x:f>E1254*Assumptions!$B$8</x:f>
        <x:v>19362.149999999998</x:v>
      </x:c>
      <x:c r="V1254" s="40" t="n">
        <x:f>P1254*Assumptions!$B$8</x:f>
        <x:v>18479.214469754093</x:v>
      </x:c>
      <x:c r="W1254" s="54" t="n">
        <x:f>V1254-U1254</x:f>
        <x:v>-882.9355302459044</x:v>
      </x:c>
      <x:c r="X1254" s="58" t="n">
        <x:f>IF(R1254="No","",W1254*S1254)</x:f>
        <x:v>-8937956.37267929</x:v>
      </x:c>
      <x:c r="Y1254" s="58" t="n">
        <x:f>IF(R1254="No","",W1254*T1254*Assumptions!$B$9)</x:f>
        <x:v>-2244863.5856502117</x:v>
      </x:c>
      <x:c r="Z1254" s="58" t="n">
        <x:f>IF(R1254="No","",X1254-Y1254)</x:f>
        <x:v>-6693092.787029078</x:v>
      </x:c>
      <x:c r="AA1254" s="58" t="n">
        <x:f>IF(R1254="No","",MAX(0,-Z1254))</x:f>
        <x:v>6693092.787029078</x:v>
      </x:c>
      <x:c r="AB1254" s="52" t="n">
        <x:f>IF(OR(R1254="No",U1254*S1254=0),"",AA1254/(U1254*S1254))</x:f>
        <x:v>0.03414790217065467</x:v>
      </x:c>
      <x:c r="AC1254" s="54" t="n">
        <x:f>IF(OR(R1254="No",S1254-T1254*Assumptions!$B$9&lt;=0),"",AA1254/(Assumptions!$B$8*(S1254-T1254*Assumptions!$B$9)))</x:f>
        <x:v>1038.7476826422405</x:v>
      </x:c>
      <x:c r="AD1254" s="52" t="n">
        <x:f>IF(OR(R1254="No",U1254*S1254=0),"",AA1254/(U1254*S1254))</x:f>
        <x:v>0.03414790217065467</x:v>
      </x:c>
      <x:c r="AE1254" s="50" t="str">
        <x:f>IF(R1254="No","No finance data",IF(AB1254&gt;=10%,"Severe",IF(AB1254&gt;=5%,"High",IF(AB1254&gt;=2%,"Moderate","Low"))))</x:f>
        <x:v>Moderate</x:v>
      </x:c>
      <x:c r="AF1254" s="60" t="n">
        <x:v>41.146653</x:v>
      </x:c>
      <x:c r="AG1254" s="60" t="n">
        <x:v>-81.342533</x:v>
      </x:c>
      <x:c r="AH1254" s="44" t="str">
        <x:v>Undergraduate tuition-contribution proxy only; not an audited total institutional budget.</x:v>
      </x:c>
    </x:row>
    <x:row r="1255">
      <x:c r="A1255" s="16" t="n">
        <x:v>203535</x:v>
      </x:c>
      <x:c r="B1255" s="16" t="str">
        <x:v>Kenyon College</x:v>
      </x:c>
      <x:c r="C1255" s="16" t="str">
        <x:v>OH</x:v>
      </x:c>
      <x:c r="D1255" s="16" t="str">
        <x:v>Private nonprofit</x:v>
      </x:c>
      <x:c r="E1255" s="34" t="n">
        <x:v>1698</x:v>
      </x:c>
      <x:c r="F1255" s="21" t="n">
        <x:v>0.3655</x:v>
      </x:c>
      <x:c r="G1255" s="16" t="str">
        <x:v>Regional</x:v>
      </x:c>
      <x:c r="H1255" s="36" t="n">
        <x:f>IF(G1255="National",Assumptions!$B$11,IF(G1255="Statewide",Assumptions!$B$12,Assumptions!$B$13))</x:f>
        <x:v>0.85</x:v>
      </x:c>
      <x:c r="I1255" s="21" t="n">
        <x:v>-0.04950305674999822</x:v>
      </x:c>
      <x:c r="J1255" s="21" t="n">
        <x:v>-0.04440257007856163</x:v>
      </x:c>
      <x:c r="K1255" s="21" t="n">
        <x:v>-0.11831712275879658</x:v>
      </x:c>
      <x:c r="L1255" s="36" t="n">
        <x:f>IF(Assumptions!$B$4=2030,I1255,IF(Assumptions!$B$4=2035,J1255,K1255))</x:f>
        <x:v>-0.04440257007856163</x:v>
      </x:c>
      <x:c r="M1255" s="36" t="n">
        <x:f>Assumptions!$B$19</x:f>
        <x:v>-0.04739891965741583</x:v>
      </x:c>
      <x:c r="N1255" s="52" t="n">
        <x:f>H1255*L1255+(1-H1255)*M1255+O1255</x:f>
        <x:v>-0.044852022515389764</x:v>
      </x:c>
      <x:c r="O1255" s="36" t="n">
        <x:f>Assumptions!$B$10</x:f>
        <x:v>0</x:v>
      </x:c>
      <x:c r="P1255" s="54" t="n">
        <x:f>E1255*(1+N1255)</x:f>
        <x:v>1621.8412657688682</x:v>
      </x:c>
      <x:c r="Q1255" s="54" t="n">
        <x:f>P1255-E1255</x:f>
        <x:v>-76.1587342311318</x:v>
      </x:c>
      <x:c r="R1255" s="16" t="str">
        <x:v>Yes</x:v>
      </x:c>
      <x:c r="S1255" s="56" t="n">
        <x:v>25144</x:v>
      </x:c>
      <x:c r="T1255" s="56" t="n">
        <x:v>21058</x:v>
      </x:c>
      <x:c r="U1255" s="40" t="n">
        <x:f>E1255*Assumptions!$B$8</x:f>
        <x:v>1443.3</x:v>
      </x:c>
      <x:c r="V1255" s="40" t="n">
        <x:f>P1255*Assumptions!$B$8</x:f>
        <x:v>1378.565075903538</x:v>
      </x:c>
      <x:c r="W1255" s="54" t="n">
        <x:f>V1255-U1255</x:f>
        <x:v>-64.73492409646201</x:v>
      </x:c>
      <x:c r="X1255" s="58" t="n">
        <x:f>IF(R1255="No","",W1255*S1255)</x:f>
        <x:v>-1627694.9314814408</x:v>
      </x:c>
      <x:c r="Y1255" s="58" t="n">
        <x:f>IF(R1255="No","",W1255*T1255*Assumptions!$B$9)</x:f>
        <x:v>-408956.4094869891</x:v>
      </x:c>
      <x:c r="Z1255" s="58" t="n">
        <x:f>IF(R1255="No","",X1255-Y1255)</x:f>
        <x:v>-1218738.5219944518</x:v>
      </x:c>
      <x:c r="AA1255" s="58" t="n">
        <x:f>IF(R1255="No","",MAX(0,-Z1255))</x:f>
        <x:v>1218738.5219944518</x:v>
      </x:c>
      <x:c r="AB1255" s="52" t="n">
        <x:f>IF(OR(R1255="No",U1255*S1255=0),"",AA1255/(U1255*S1255))</x:f>
        <x:v>0.03358300537258339</x:v>
      </x:c>
      <x:c r="AC1255" s="54" t="n">
        <x:f>IF(OR(R1255="No",S1255-T1255*Assumptions!$B$9&lt;=0),"",AA1255/(Assumptions!$B$8*(S1255-T1255*Assumptions!$B$9)))</x:f>
        <x:v>76.15873423113179</x:v>
      </x:c>
      <x:c r="AD1255" s="52" t="n">
        <x:f>IF(OR(R1255="No",U1255*S1255=0),"",AA1255/(U1255*S1255))</x:f>
        <x:v>0.03358300537258339</x:v>
      </x:c>
      <x:c r="AE1255" s="50" t="str">
        <x:f>IF(R1255="No","No finance data",IF(AB1255&gt;=10%,"Severe",IF(AB1255&gt;=5%,"High",IF(AB1255&gt;=2%,"Moderate","Low"))))</x:f>
        <x:v>Moderate</x:v>
      </x:c>
      <x:c r="AF1255" s="60" t="n">
        <x:v>40.374408</x:v>
      </x:c>
      <x:c r="AG1255" s="60" t="n">
        <x:v>-82.397977</x:v>
      </x:c>
      <x:c r="AH1255" s="44" t="str">
        <x:v>Undergraduate tuition-contribution proxy only; not an audited total institutional budget.</x:v>
      </x:c>
    </x:row>
    <x:row r="1256">
      <x:c r="A1256" s="16" t="n">
        <x:v>203544</x:v>
      </x:c>
      <x:c r="B1256" s="16" t="str">
        <x:v>Kettering College</x:v>
      </x:c>
      <x:c r="C1256" s="16" t="str">
        <x:v>OH</x:v>
      </x:c>
      <x:c r="D1256" s="16" t="str">
        <x:v>Private nonprofit</x:v>
      </x:c>
      <x:c r="E1256" s="34" t="n">
        <x:v>632</x:v>
      </x:c>
      <x:c r="F1256" s="21" t="n">
        <x:v>0.253</x:v>
      </x:c>
      <x:c r="G1256" s="16" t="str">
        <x:v>National</x:v>
      </x:c>
      <x:c r="H1256" s="36" t="n">
        <x:f>IF(G1256="National",Assumptions!$B$11,IF(G1256="Statewide",Assumptions!$B$12,Assumptions!$B$13))</x:f>
        <x:v>0.25</x:v>
      </x:c>
      <x:c r="I1256" s="21" t="n">
        <x:v>-0.04950305674999822</x:v>
      </x:c>
      <x:c r="J1256" s="21" t="n">
        <x:v>-0.04440257007856163</x:v>
      </x:c>
      <x:c r="K1256" s="21" t="n">
        <x:v>-0.11831712275879658</x:v>
      </x:c>
      <x:c r="L1256" s="36" t="n">
        <x:f>IF(Assumptions!$B$4=2030,I1256,IF(Assumptions!$B$4=2035,J1256,K1256))</x:f>
        <x:v>-0.04440257007856163</x:v>
      </x:c>
      <x:c r="M1256" s="36" t="n">
        <x:f>Assumptions!$B$19</x:f>
        <x:v>-0.04739891965741583</x:v>
      </x:c>
      <x:c r="N1256" s="52" t="n">
        <x:f>H1256*L1256+(1-H1256)*M1256+O1256</x:f>
        <x:v>-0.04664983226270228</x:v>
      </x:c>
      <x:c r="O1256" s="36" t="n">
        <x:f>Assumptions!$B$10</x:f>
        <x:v>0</x:v>
      </x:c>
      <x:c r="P1256" s="54" t="n">
        <x:f>E1256*(1+N1256)</x:f>
        <x:v>602.5173060099722</x:v>
      </x:c>
      <x:c r="Q1256" s="54" t="n">
        <x:f>P1256-E1256</x:f>
        <x:v>-29.48269399002777</x:v>
      </x:c>
      <x:c r="R1256" s="16" t="str">
        <x:v>Yes</x:v>
      </x:c>
      <x:c r="S1256" s="56" t="n">
        <x:v>14204</x:v>
      </x:c>
      <x:c r="T1256" s="56" t="n">
        <x:v>8626</x:v>
      </x:c>
      <x:c r="U1256" s="40" t="n">
        <x:f>E1256*Assumptions!$B$8</x:f>
        <x:v>537.1999999999999</x:v>
      </x:c>
      <x:c r="V1256" s="40" t="n">
        <x:f>P1256*Assumptions!$B$8</x:f>
        <x:v>512.1397101084764</x:v>
      </x:c>
      <x:c r="W1256" s="54" t="n">
        <x:f>V1256-U1256</x:f>
        <x:v>-25.060289891523553</x:v>
      </x:c>
      <x:c r="X1256" s="58" t="n">
        <x:f>IF(R1256="No","",W1256*S1256)</x:f>
        <x:v>-355956.35761920054</x:v>
      </x:c>
      <x:c r="Y1256" s="58" t="n">
        <x:f>IF(R1256="No","",W1256*T1256*Assumptions!$B$9)</x:f>
        <x:v>-64851.01818128464</x:v>
      </x:c>
      <x:c r="Z1256" s="58" t="n">
        <x:f>IF(R1256="No","",X1256-Y1256)</x:f>
        <x:v>-291105.3394379159</x:v>
      </x:c>
      <x:c r="AA1256" s="58" t="n">
        <x:f>IF(R1256="No","",MAX(0,-Z1256))</x:f>
        <x:v>291105.3394379159</x:v>
      </x:c>
      <x:c r="AB1256" s="52" t="n">
        <x:f>IF(OR(R1256="No",U1256*S1256=0),"",AA1256/(U1256*S1256))</x:f>
        <x:v>0.038150787209940855</x:v>
      </x:c>
      <x:c r="AC1256" s="54" t="n">
        <x:f>IF(OR(R1256="No",S1256-T1256*Assumptions!$B$9&lt;=0),"",AA1256/(Assumptions!$B$8*(S1256-T1256*Assumptions!$B$9)))</x:f>
        <x:v>29.482693990027705</x:v>
      </x:c>
      <x:c r="AD1256" s="52" t="n">
        <x:f>IF(OR(R1256="No",U1256*S1256=0),"",AA1256/(U1256*S1256))</x:f>
        <x:v>0.038150787209940855</x:v>
      </x:c>
      <x:c r="AE1256" s="50" t="str">
        <x:f>IF(R1256="No","No finance data",IF(AB1256&gt;=10%,"Severe",IF(AB1256&gt;=5%,"High",IF(AB1256&gt;=2%,"Moderate","Low"))))</x:f>
        <x:v>Moderate</x:v>
      </x:c>
      <x:c r="AF1256" s="60" t="n">
        <x:v>39.695052</x:v>
      </x:c>
      <x:c r="AG1256" s="60" t="n">
        <x:v>-84.192006</x:v>
      </x:c>
      <x:c r="AH1256" s="44" t="str">
        <x:v>Undergraduate tuition-contribution proxy only; not an audited total institutional budget.</x:v>
      </x:c>
    </x:row>
    <x:row r="1257">
      <x:c r="A1257" s="16" t="n">
        <x:v>203580</x:v>
      </x:c>
      <x:c r="B1257" s="16" t="str">
        <x:v>Lake Erie College</x:v>
      </x:c>
      <x:c r="C1257" s="16" t="str">
        <x:v>OH</x:v>
      </x:c>
      <x:c r="D1257" s="16" t="str">
        <x:v>Private nonprofit</x:v>
      </x:c>
      <x:c r="E1257" s="34" t="n">
        <x:v>788</x:v>
      </x:c>
      <x:c r="F1257" s="21" t="n">
        <x:v>0.5473</x:v>
      </x:c>
      <x:c r="G1257" s="16" t="str">
        <x:v>Regional</x:v>
      </x:c>
      <x:c r="H1257" s="36" t="n">
        <x:f>IF(G1257="National",Assumptions!$B$11,IF(G1257="Statewide",Assumptions!$B$12,Assumptions!$B$13))</x:f>
        <x:v>0.85</x:v>
      </x:c>
      <x:c r="I1257" s="21" t="n">
        <x:v>-0.04950305674999822</x:v>
      </x:c>
      <x:c r="J1257" s="21" t="n">
        <x:v>-0.04440257007856163</x:v>
      </x:c>
      <x:c r="K1257" s="21" t="n">
        <x:v>-0.11831712275879658</x:v>
      </x:c>
      <x:c r="L1257" s="36" t="n">
        <x:f>IF(Assumptions!$B$4=2030,I1257,IF(Assumptions!$B$4=2035,J1257,K1257))</x:f>
        <x:v>-0.04440257007856163</x:v>
      </x:c>
      <x:c r="M1257" s="36" t="n">
        <x:f>Assumptions!$B$19</x:f>
        <x:v>-0.04739891965741583</x:v>
      </x:c>
      <x:c r="N1257" s="52" t="n">
        <x:f>H1257*L1257+(1-H1257)*M1257+O1257</x:f>
        <x:v>-0.044852022515389764</x:v>
      </x:c>
      <x:c r="O1257" s="36" t="n">
        <x:f>Assumptions!$B$10</x:f>
        <x:v>0</x:v>
      </x:c>
      <x:c r="P1257" s="54" t="n">
        <x:f>E1257*(1+N1257)</x:f>
        <x:v>752.6566062578729</x:v>
      </x:c>
      <x:c r="Q1257" s="54" t="n">
        <x:f>P1257-E1257</x:f>
        <x:v>-35.34339374212709</x:v>
      </x:c>
      <x:c r="R1257" s="16" t="str">
        <x:v>Yes</x:v>
      </x:c>
      <x:c r="S1257" s="56" t="n">
        <x:v>11583</x:v>
      </x:c>
      <x:c r="T1257" s="56" t="n">
        <x:v>6778</x:v>
      </x:c>
      <x:c r="U1257" s="40" t="n">
        <x:f>E1257*Assumptions!$B$8</x:f>
        <x:v>669.8</x:v>
      </x:c>
      <x:c r="V1257" s="40" t="n">
        <x:f>P1257*Assumptions!$B$8</x:f>
        <x:v>639.7581153191919</x:v>
      </x:c>
      <x:c r="W1257" s="54" t="n">
        <x:f>V1257-U1257</x:f>
        <x:v>-30.04188468080804</x:v>
      </x:c>
      <x:c r="X1257" s="58" t="n">
        <x:f>IF(R1257="No","",W1257*S1257)</x:f>
        <x:v>-347975.15025779954</x:v>
      </x:c>
      <x:c r="Y1257" s="58" t="n">
        <x:f>IF(R1257="No","",W1257*T1257*Assumptions!$B$9)</x:f>
        <x:v>-61087.16830995506</x:v>
      </x:c>
      <x:c r="Z1257" s="58" t="n">
        <x:f>IF(R1257="No","",X1257-Y1257)</x:f>
        <x:v>-286887.9819478445</x:v>
      </x:c>
      <x:c r="AA1257" s="58" t="n">
        <x:f>IF(R1257="No","",MAX(0,-Z1257))</x:f>
        <x:v>286887.9819478445</x:v>
      </x:c>
      <x:c r="AB1257" s="52" t="n">
        <x:f>IF(OR(R1257="No",U1257*S1257=0),"",AA1257/(U1257*S1257))</x:f>
        <x:v>0.03697823311861917</x:v>
      </x:c>
      <x:c r="AC1257" s="54" t="n">
        <x:f>IF(OR(R1257="No",S1257-T1257*Assumptions!$B$9&lt;=0),"",AA1257/(Assumptions!$B$8*(S1257-T1257*Assumptions!$B$9)))</x:f>
        <x:v>35.34339374212711</x:v>
      </x:c>
      <x:c r="AD1257" s="52" t="n">
        <x:f>IF(OR(R1257="No",U1257*S1257=0),"",AA1257/(U1257*S1257))</x:f>
        <x:v>0.03697823311861917</x:v>
      </x:c>
      <x:c r="AE1257" s="50" t="str">
        <x:f>IF(R1257="No","No finance data",IF(AB1257&gt;=10%,"Severe",IF(AB1257&gt;=5%,"High",IF(AB1257&gt;=2%,"Moderate","Low"))))</x:f>
        <x:v>Moderate</x:v>
      </x:c>
      <x:c r="AF1257" s="60" t="n">
        <x:v>41.717841</x:v>
      </x:c>
      <x:c r="AG1257" s="60" t="n">
        <x:v>-81.251817</x:v>
      </x:c>
      <x:c r="AH1257" s="44" t="str">
        <x:v>Undergraduate tuition-contribution proxy only; not an audited total institutional budget.</x:v>
      </x:c>
    </x:row>
    <x:row r="1258">
      <x:c r="A1258" s="16" t="n">
        <x:v>203757</x:v>
      </x:c>
      <x:c r="B1258" s="16" t="str">
        <x:v>Lourdes University</x:v>
      </x:c>
      <x:c r="C1258" s="16" t="str">
        <x:v>OH</x:v>
      </x:c>
      <x:c r="D1258" s="16" t="str">
        <x:v>Private nonprofit</x:v>
      </x:c>
      <x:c r="E1258" s="34" t="n">
        <x:v>1171</x:v>
      </x:c>
      <x:c r="F1258" s="21" t="n">
        <x:v>0.7524</x:v>
      </x:c>
      <x:c r="G1258" s="16" t="str">
        <x:v>Regional</x:v>
      </x:c>
      <x:c r="H1258" s="36" t="n">
        <x:f>IF(G1258="National",Assumptions!$B$11,IF(G1258="Statewide",Assumptions!$B$12,Assumptions!$B$13))</x:f>
        <x:v>0.85</x:v>
      </x:c>
      <x:c r="I1258" s="21" t="n">
        <x:v>-0.04950305674999822</x:v>
      </x:c>
      <x:c r="J1258" s="21" t="n">
        <x:v>-0.04440257007856163</x:v>
      </x:c>
      <x:c r="K1258" s="21" t="n">
        <x:v>-0.11831712275879658</x:v>
      </x:c>
      <x:c r="L1258" s="36" t="n">
        <x:f>IF(Assumptions!$B$4=2030,I1258,IF(Assumptions!$B$4=2035,J1258,K1258))</x:f>
        <x:v>-0.04440257007856163</x:v>
      </x:c>
      <x:c r="M1258" s="36" t="n">
        <x:f>Assumptions!$B$19</x:f>
        <x:v>-0.04739891965741583</x:v>
      </x:c>
      <x:c r="N1258" s="52" t="n">
        <x:f>H1258*L1258+(1-H1258)*M1258+O1258</x:f>
        <x:v>-0.044852022515389764</x:v>
      </x:c>
      <x:c r="O1258" s="36" t="n">
        <x:f>Assumptions!$B$10</x:f>
        <x:v>0</x:v>
      </x:c>
      <x:c r="P1258" s="54" t="n">
        <x:f>E1258*(1+N1258)</x:f>
        <x:v>1118.4782816344787</x:v>
      </x:c>
      <x:c r="Q1258" s="54" t="n">
        <x:f>P1258-E1258</x:f>
        <x:v>-52.52171836552134</x:v>
      </x:c>
      <x:c r="R1258" s="16" t="str">
        <x:v>Yes</x:v>
      </x:c>
      <x:c r="S1258" s="56" t="n">
        <x:v>14674</x:v>
      </x:c>
      <x:c r="T1258" s="56" t="n">
        <x:v>8335</x:v>
      </x:c>
      <x:c r="U1258" s="40" t="n">
        <x:f>E1258*Assumptions!$B$8</x:f>
        <x:v>995.35</x:v>
      </x:c>
      <x:c r="V1258" s="40" t="n">
        <x:f>P1258*Assumptions!$B$8</x:f>
        <x:v>950.7065393893068</x:v>
      </x:c>
      <x:c r="W1258" s="54" t="n">
        <x:f>V1258-U1258</x:f>
        <x:v>-44.64346061069318</x:v>
      </x:c>
      <x:c r="X1258" s="58" t="n">
        <x:f>IF(R1258="No","",W1258*S1258)</x:f>
        <x:v>-655098.1410013117</x:v>
      </x:c>
      <x:c r="Y1258" s="58" t="n">
        <x:f>IF(R1258="No","",W1258*T1258*Assumptions!$B$9)</x:f>
        <x:v>-111630.97325703829</x:v>
      </x:c>
      <x:c r="Z1258" s="58" t="n">
        <x:f>IF(R1258="No","",X1258-Y1258)</x:f>
        <x:v>-543467.1677442734</x:v>
      </x:c>
      <x:c r="AA1258" s="58" t="n">
        <x:f>IF(R1258="No","",MAX(0,-Z1258))</x:f>
        <x:v>543467.1677442734</x:v>
      </x:c>
      <x:c r="AB1258" s="52" t="n">
        <x:f>IF(OR(R1258="No",U1258*S1258=0),"",AA1258/(U1258*S1258))</x:f>
        <x:v>0.03720908382793356</x:v>
      </x:c>
      <x:c r="AC1258" s="54" t="n">
        <x:f>IF(OR(R1258="No",S1258-T1258*Assumptions!$B$9&lt;=0),"",AA1258/(Assumptions!$B$8*(S1258-T1258*Assumptions!$B$9)))</x:f>
        <x:v>52.52171836552139</x:v>
      </x:c>
      <x:c r="AD1258" s="52" t="n">
        <x:f>IF(OR(R1258="No",U1258*S1258=0),"",AA1258/(U1258*S1258))</x:f>
        <x:v>0.03720908382793356</x:v>
      </x:c>
      <x:c r="AE1258" s="50" t="str">
        <x:f>IF(R1258="No","No finance data",IF(AB1258&gt;=10%,"Severe",IF(AB1258&gt;=5%,"High",IF(AB1258&gt;=2%,"Moderate","Low"))))</x:f>
        <x:v>Moderate</x:v>
      </x:c>
      <x:c r="AF1258" s="60" t="n">
        <x:v>41.710009</x:v>
      </x:c>
      <x:c r="AG1258" s="60" t="n">
        <x:v>-83.706108</x:v>
      </x:c>
      <x:c r="AH1258" s="44" t="str">
        <x:v>Undergraduate tuition-contribution proxy only; not an audited total institutional budget.</x:v>
      </x:c>
    </x:row>
    <x:row r="1259">
      <x:c r="A1259" s="16" t="n">
        <x:v>203775</x:v>
      </x:c>
      <x:c r="B1259" s="16" t="str">
        <x:v>Malone University</x:v>
      </x:c>
      <x:c r="C1259" s="16" t="str">
        <x:v>OH</x:v>
      </x:c>
      <x:c r="D1259" s="16" t="str">
        <x:v>Private nonprofit</x:v>
      </x:c>
      <x:c r="E1259" s="34" t="n">
        <x:v>1293</x:v>
      </x:c>
      <x:c r="F1259" s="21" t="n">
        <x:v>0.7803</x:v>
      </x:c>
      <x:c r="G1259" s="16" t="str">
        <x:v>Regional</x:v>
      </x:c>
      <x:c r="H1259" s="36" t="n">
        <x:f>IF(G1259="National",Assumptions!$B$11,IF(G1259="Statewide",Assumptions!$B$12,Assumptions!$B$13))</x:f>
        <x:v>0.85</x:v>
      </x:c>
      <x:c r="I1259" s="21" t="n">
        <x:v>-0.04950305674999822</x:v>
      </x:c>
      <x:c r="J1259" s="21" t="n">
        <x:v>-0.04440257007856163</x:v>
      </x:c>
      <x:c r="K1259" s="21" t="n">
        <x:v>-0.11831712275879658</x:v>
      </x:c>
      <x:c r="L1259" s="36" t="n">
        <x:f>IF(Assumptions!$B$4=2030,I1259,IF(Assumptions!$B$4=2035,J1259,K1259))</x:f>
        <x:v>-0.04440257007856163</x:v>
      </x:c>
      <x:c r="M1259" s="36" t="n">
        <x:f>Assumptions!$B$19</x:f>
        <x:v>-0.04739891965741583</x:v>
      </x:c>
      <x:c r="N1259" s="52" t="n">
        <x:f>H1259*L1259+(1-H1259)*M1259+O1259</x:f>
        <x:v>-0.044852022515389764</x:v>
      </x:c>
      <x:c r="O1259" s="36" t="n">
        <x:f>Assumptions!$B$10</x:f>
        <x:v>0</x:v>
      </x:c>
      <x:c r="P1259" s="54" t="n">
        <x:f>E1259*(1+N1259)</x:f>
        <x:v>1235.006334887601</x:v>
      </x:c>
      <x:c r="Q1259" s="54" t="n">
        <x:f>P1259-E1259</x:f>
        <x:v>-57.99366511239896</x:v>
      </x:c>
      <x:c r="R1259" s="16" t="str">
        <x:v>Yes</x:v>
      </x:c>
      <x:c r="S1259" s="56" t="n">
        <x:v>12265</x:v>
      </x:c>
      <x:c r="T1259" s="56" t="n">
        <x:v>8412</x:v>
      </x:c>
      <x:c r="U1259" s="40" t="n">
        <x:f>E1259*Assumptions!$B$8</x:f>
        <x:v>1099.05</x:v>
      </x:c>
      <x:c r="V1259" s="40" t="n">
        <x:f>P1259*Assumptions!$B$8</x:f>
        <x:v>1049.7553846544608</x:v>
      </x:c>
      <x:c r="W1259" s="54" t="n">
        <x:f>V1259-U1259</x:f>
        <x:v>-49.294615345539114</x:v>
      </x:c>
      <x:c r="X1259" s="58" t="n">
        <x:f>IF(R1259="No","",W1259*S1259)</x:f>
        <x:v>-604598.4572130372</x:v>
      </x:c>
      <x:c r="Y1259" s="58" t="n">
        <x:f>IF(R1259="No","",W1259*T1259*Assumptions!$B$9)</x:f>
        <x:v>-124399.8912860025</x:v>
      </x:c>
      <x:c r="Z1259" s="58" t="n">
        <x:f>IF(R1259="No","",X1259-Y1259)</x:f>
        <x:v>-480198.5659270347</x:v>
      </x:c>
      <x:c r="AA1259" s="58" t="n">
        <x:f>IF(R1259="No","",MAX(0,-Z1259))</x:f>
        <x:v>480198.5659270347</x:v>
      </x:c>
      <x:c r="AB1259" s="52" t="n">
        <x:f>IF(OR(R1259="No",U1259*S1259=0),"",AA1259/(U1259*S1259))</x:f>
        <x:v>0.035623440043327986</x:v>
      </x:c>
      <x:c r="AC1259" s="54" t="n">
        <x:f>IF(OR(R1259="No",S1259-T1259*Assumptions!$B$9&lt;=0),"",AA1259/(Assumptions!$B$8*(S1259-T1259*Assumptions!$B$9)))</x:f>
        <x:v>57.993665112398965</x:v>
      </x:c>
      <x:c r="AD1259" s="52" t="n">
        <x:f>IF(OR(R1259="No",U1259*S1259=0),"",AA1259/(U1259*S1259))</x:f>
        <x:v>0.035623440043327986</x:v>
      </x:c>
      <x:c r="AE1259" s="50" t="str">
        <x:f>IF(R1259="No","No finance data",IF(AB1259&gt;=10%,"Severe",IF(AB1259&gt;=5%,"High",IF(AB1259&gt;=2%,"Moderate","Low"))))</x:f>
        <x:v>Moderate</x:v>
      </x:c>
      <x:c r="AF1259" s="60" t="n">
        <x:v>40.825662</x:v>
      </x:c>
      <x:c r="AG1259" s="60" t="n">
        <x:v>-81.376863</x:v>
      </x:c>
      <x:c r="AH1259" s="44" t="str">
        <x:v>Undergraduate tuition-contribution proxy only; not an audited total institutional budget.</x:v>
      </x:c>
    </x:row>
    <x:row r="1260">
      <x:c r="A1260" s="16" t="n">
        <x:v>203845</x:v>
      </x:c>
      <x:c r="B1260" s="16" t="str">
        <x:v>Marietta College</x:v>
      </x:c>
      <x:c r="C1260" s="16" t="str">
        <x:v>OH</x:v>
      </x:c>
      <x:c r="D1260" s="16" t="str">
        <x:v>Private nonprofit</x:v>
      </x:c>
      <x:c r="E1260" s="34" t="n">
        <x:v>1215</x:v>
      </x:c>
      <x:c r="F1260" s="21" t="n">
        <x:v>0.8309</x:v>
      </x:c>
      <x:c r="G1260" s="16" t="str">
        <x:v>Regional</x:v>
      </x:c>
      <x:c r="H1260" s="36" t="n">
        <x:f>IF(G1260="National",Assumptions!$B$11,IF(G1260="Statewide",Assumptions!$B$12,Assumptions!$B$13))</x:f>
        <x:v>0.85</x:v>
      </x:c>
      <x:c r="I1260" s="21" t="n">
        <x:v>-0.04950305674999822</x:v>
      </x:c>
      <x:c r="J1260" s="21" t="n">
        <x:v>-0.04440257007856163</x:v>
      </x:c>
      <x:c r="K1260" s="21" t="n">
        <x:v>-0.11831712275879658</x:v>
      </x:c>
      <x:c r="L1260" s="36" t="n">
        <x:f>IF(Assumptions!$B$4=2030,I1260,IF(Assumptions!$B$4=2035,J1260,K1260))</x:f>
        <x:v>-0.04440257007856163</x:v>
      </x:c>
      <x:c r="M1260" s="36" t="n">
        <x:f>Assumptions!$B$19</x:f>
        <x:v>-0.04739891965741583</x:v>
      </x:c>
      <x:c r="N1260" s="52" t="n">
        <x:f>H1260*L1260+(1-H1260)*M1260+O1260</x:f>
        <x:v>-0.044852022515389764</x:v>
      </x:c>
      <x:c r="O1260" s="36" t="n">
        <x:f>Assumptions!$B$10</x:f>
        <x:v>0</x:v>
      </x:c>
      <x:c r="P1260" s="54" t="n">
        <x:f>E1260*(1+N1260)</x:f>
        <x:v>1160.5047926438015</x:v>
      </x:c>
      <x:c r="Q1260" s="54" t="n">
        <x:f>P1260-E1260</x:f>
        <x:v>-54.495207356198534</x:v>
      </x:c>
      <x:c r="R1260" s="16" t="str">
        <x:v>Yes</x:v>
      </x:c>
      <x:c r="S1260" s="56" t="n">
        <x:v>11766</x:v>
      </x:c>
      <x:c r="T1260" s="56" t="n">
        <x:v>15563</x:v>
      </x:c>
      <x:c r="U1260" s="40" t="n">
        <x:f>E1260*Assumptions!$B$8</x:f>
        <x:v>1032.75</x:v>
      </x:c>
      <x:c r="V1260" s="40" t="n">
        <x:f>P1260*Assumptions!$B$8</x:f>
        <x:v>986.4290737472312</x:v>
      </x:c>
      <x:c r="W1260" s="54" t="n">
        <x:f>V1260-U1260</x:f>
        <x:v>-46.3209262527688</x:v>
      </x:c>
      <x:c r="X1260" s="58" t="n">
        <x:f>IF(R1260="No","",W1260*S1260)</x:f>
        <x:v>-545012.0182900777</x:v>
      </x:c>
      <x:c r="Y1260" s="58" t="n">
        <x:f>IF(R1260="No","",W1260*T1260*Assumptions!$B$9)</x:f>
        <x:v>-216267.77258155224</x:v>
      </x:c>
      <x:c r="Z1260" s="58" t="n">
        <x:f>IF(R1260="No","",X1260-Y1260)</x:f>
        <x:v>-328744.2457085254</x:v>
      </x:c>
      <x:c r="AA1260" s="58" t="n">
        <x:f>IF(R1260="No","",MAX(0,-Z1260))</x:f>
        <x:v>328744.2457085254</x:v>
      </x:c>
      <x:c r="AB1260" s="52" t="n">
        <x:f>IF(OR(R1260="No",U1260*S1260=0),"",AA1260/(U1260*S1260))</x:f>
        <x:v>0.027054163606490975</x:v>
      </x:c>
      <x:c r="AC1260" s="54" t="n">
        <x:f>IF(OR(R1260="No",S1260-T1260*Assumptions!$B$9&lt;=0),"",AA1260/(Assumptions!$B$8*(S1260-T1260*Assumptions!$B$9)))</x:f>
        <x:v>54.495207356198584</x:v>
      </x:c>
      <x:c r="AD1260" s="52" t="n">
        <x:f>IF(OR(R1260="No",U1260*S1260=0),"",AA1260/(U1260*S1260))</x:f>
        <x:v>0.027054163606490975</x:v>
      </x:c>
      <x:c r="AE1260" s="50" t="str">
        <x:f>IF(R1260="No","No finance data",IF(AB1260&gt;=10%,"Severe",IF(AB1260&gt;=5%,"High",IF(AB1260&gt;=2%,"Moderate","Low"))))</x:f>
        <x:v>Moderate</x:v>
      </x:c>
      <x:c r="AF1260" s="60" t="n">
        <x:v>39.41668</x:v>
      </x:c>
      <x:c r="AG1260" s="60" t="n">
        <x:v>-81.450045</x:v>
      </x:c>
      <x:c r="AH1260" s="44" t="str">
        <x:v>Undergraduate tuition-contribution proxy only; not an audited total institutional budget.</x:v>
      </x:c>
    </x:row>
    <x:row r="1261">
      <x:c r="A1261" s="16" t="n">
        <x:v>204006</x:v>
      </x:c>
      <x:c r="B1261" s="16" t="str">
        <x:v>Miami University-Hamilton</x:v>
      </x:c>
      <x:c r="C1261" s="16" t="str">
        <x:v>OH</x:v>
      </x:c>
      <x:c r="D1261" s="16" t="str">
        <x:v>Public</x:v>
      </x:c>
      <x:c r="E1261" s="34" t="n">
        <x:v>2834</x:v>
      </x:c>
      <x:c r="F1261" s="21"/>
      <x:c r="G1261" s="16" t="str">
        <x:v>Regional</x:v>
      </x:c>
      <x:c r="H1261" s="36" t="n">
        <x:f>IF(G1261="National",Assumptions!$B$11,IF(G1261="Statewide",Assumptions!$B$12,Assumptions!$B$13))</x:f>
        <x:v>0.85</x:v>
      </x:c>
      <x:c r="I1261" s="21" t="n">
        <x:v>-0.04950305674999822</x:v>
      </x:c>
      <x:c r="J1261" s="21" t="n">
        <x:v>-0.04440257007856163</x:v>
      </x:c>
      <x:c r="K1261" s="21" t="n">
        <x:v>-0.11831712275879658</x:v>
      </x:c>
      <x:c r="L1261" s="36" t="n">
        <x:f>IF(Assumptions!$B$4=2030,I1261,IF(Assumptions!$B$4=2035,J1261,K1261))</x:f>
        <x:v>-0.04440257007856163</x:v>
      </x:c>
      <x:c r="M1261" s="36" t="n">
        <x:f>Assumptions!$B$19</x:f>
        <x:v>-0.04739891965741583</x:v>
      </x:c>
      <x:c r="N1261" s="52" t="n">
        <x:f>H1261*L1261+(1-H1261)*M1261+O1261</x:f>
        <x:v>-0.044852022515389764</x:v>
      </x:c>
      <x:c r="O1261" s="36" t="n">
        <x:f>Assumptions!$B$10</x:f>
        <x:v>0</x:v>
      </x:c>
      <x:c r="P1261" s="54" t="n">
        <x:f>E1261*(1+N1261)</x:f>
        <x:v>2706.8893681913855</x:v>
      </x:c>
      <x:c r="Q1261" s="54" t="n">
        <x:f>P1261-E1261</x:f>
        <x:v>-127.11063180861447</x:v>
      </x:c>
      <x:c r="R1261" s="16" t="str">
        <x:v>Yes</x:v>
      </x:c>
      <x:c r="S1261" s="56" t="n">
        <x:v>7967</x:v>
      </x:c>
      <x:c r="T1261" s="56" t="n">
        <x:v>6969</x:v>
      </x:c>
      <x:c r="U1261" s="40" t="n">
        <x:f>E1261*Assumptions!$B$8</x:f>
        <x:v>2408.9</x:v>
      </x:c>
      <x:c r="V1261" s="40" t="n">
        <x:f>P1261*Assumptions!$B$8</x:f>
        <x:v>2300.8559629626775</x:v>
      </x:c>
      <x:c r="W1261" s="54" t="n">
        <x:f>V1261-U1261</x:f>
        <x:v>-108.0440370373226</x:v>
      </x:c>
      <x:c r="X1261" s="58" t="n">
        <x:f>IF(R1261="No","",W1261*S1261)</x:f>
        <x:v>-860786.8430763491</x:v>
      </x:c>
      <x:c r="Y1261" s="58" t="n">
        <x:f>IF(R1261="No","",W1261*T1261*Assumptions!$B$9)</x:f>
        <x:v>-225887.66823393034</x:v>
      </x:c>
      <x:c r="Z1261" s="58" t="n">
        <x:f>IF(R1261="No","",X1261-Y1261)</x:f>
        <x:v>-634899.1748424188</x:v>
      </x:c>
      <x:c r="AA1261" s="58" t="n">
        <x:f>IF(R1261="No","",MAX(0,-Z1261))</x:f>
        <x:v>634899.1748424188</x:v>
      </x:c>
      <x:c r="AB1261" s="52" t="n">
        <x:f>IF(OR(R1261="No",U1261*S1261=0),"",AA1261/(U1261*S1261))</x:f>
        <x:v>0.0330819555550628</x:v>
      </x:c>
      <x:c r="AC1261" s="54" t="n">
        <x:f>IF(OR(R1261="No",S1261-T1261*Assumptions!$B$9&lt;=0),"",AA1261/(Assumptions!$B$8*(S1261-T1261*Assumptions!$B$9)))</x:f>
        <x:v>127.1106318086148</x:v>
      </x:c>
      <x:c r="AD1261" s="52" t="n">
        <x:f>IF(OR(R1261="No",U1261*S1261=0),"",AA1261/(U1261*S1261))</x:f>
        <x:v>0.0330819555550628</x:v>
      </x:c>
      <x:c r="AE1261" s="50" t="str">
        <x:f>IF(R1261="No","No finance data",IF(AB1261&gt;=10%,"Severe",IF(AB1261&gt;=5%,"High",IF(AB1261&gt;=2%,"Moderate","Low"))))</x:f>
        <x:v>Moderate</x:v>
      </x:c>
      <x:c r="AF1261" s="60" t="n">
        <x:v>39.377448</x:v>
      </x:c>
      <x:c r="AG1261" s="60" t="n">
        <x:v>-84.563385</x:v>
      </x:c>
      <x:c r="AH1261" s="44" t="str">
        <x:v>Undergraduate tuition-contribution proxy only; not an audited total institutional budget.</x:v>
      </x:c>
    </x:row>
    <x:row r="1262">
      <x:c r="A1262" s="16" t="n">
        <x:v>204015</x:v>
      </x:c>
      <x:c r="B1262" s="16" t="str">
        <x:v>Miami University-Middletown</x:v>
      </x:c>
      <x:c r="C1262" s="16" t="str">
        <x:v>OH</x:v>
      </x:c>
      <x:c r="D1262" s="16" t="str">
        <x:v>Public</x:v>
      </x:c>
      <x:c r="E1262" s="34" t="n">
        <x:v>1489</x:v>
      </x:c>
      <x:c r="F1262" s="21"/>
      <x:c r="G1262" s="16" t="str">
        <x:v>Regional</x:v>
      </x:c>
      <x:c r="H1262" s="36" t="n">
        <x:f>IF(G1262="National",Assumptions!$B$11,IF(G1262="Statewide",Assumptions!$B$12,Assumptions!$B$13))</x:f>
        <x:v>0.85</x:v>
      </x:c>
      <x:c r="I1262" s="21" t="n">
        <x:v>-0.04950305674999822</x:v>
      </x:c>
      <x:c r="J1262" s="21" t="n">
        <x:v>-0.04440257007856163</x:v>
      </x:c>
      <x:c r="K1262" s="21" t="n">
        <x:v>-0.11831712275879658</x:v>
      </x:c>
      <x:c r="L1262" s="36" t="n">
        <x:f>IF(Assumptions!$B$4=2030,I1262,IF(Assumptions!$B$4=2035,J1262,K1262))</x:f>
        <x:v>-0.04440257007856163</x:v>
      </x:c>
      <x:c r="M1262" s="36" t="n">
        <x:f>Assumptions!$B$19</x:f>
        <x:v>-0.04739891965741583</x:v>
      </x:c>
      <x:c r="N1262" s="52" t="n">
        <x:f>H1262*L1262+(1-H1262)*M1262+O1262</x:f>
        <x:v>-0.044852022515389764</x:v>
      </x:c>
      <x:c r="O1262" s="36" t="n">
        <x:f>Assumptions!$B$10</x:f>
        <x:v>0</x:v>
      </x:c>
      <x:c r="P1262" s="54" t="n">
        <x:f>E1262*(1+N1262)</x:f>
        <x:v>1422.2153384745845</x:v>
      </x:c>
      <x:c r="Q1262" s="54" t="n">
        <x:f>P1262-E1262</x:f>
        <x:v>-66.78466152541546</x:v>
      </x:c>
      <x:c r="R1262" s="16" t="str">
        <x:v>Yes</x:v>
      </x:c>
      <x:c r="S1262" s="56" t="n">
        <x:v>9310</x:v>
      </x:c>
      <x:c r="T1262" s="56" t="n">
        <x:v>5010</x:v>
      </x:c>
      <x:c r="U1262" s="40" t="n">
        <x:f>E1262*Assumptions!$B$8</x:f>
        <x:v>1265.6499999999999</x:v>
      </x:c>
      <x:c r="V1262" s="40" t="n">
        <x:f>P1262*Assumptions!$B$8</x:f>
        <x:v>1208.883037703397</x:v>
      </x:c>
      <x:c r="W1262" s="54" t="n">
        <x:f>V1262-U1262</x:f>
        <x:v>-56.76696229660297</x:v>
      </x:c>
      <x:c r="X1262" s="58" t="n">
        <x:f>IF(R1262="No","",W1262*S1262)</x:f>
        <x:v>-528500.4189813737</x:v>
      </x:c>
      <x:c r="Y1262" s="58" t="n">
        <x:f>IF(R1262="No","",W1262*T1262*Assumptions!$B$9)</x:f>
        <x:v>-85320.74433179425</x:v>
      </x:c>
      <x:c r="Z1262" s="58" t="n">
        <x:f>IF(R1262="No","",X1262-Y1262)</x:f>
        <x:v>-443179.6746495794</x:v>
      </x:c>
      <x:c r="AA1262" s="58" t="n">
        <x:f>IF(R1262="No","",MAX(0,-Z1262))</x:f>
        <x:v>443179.6746495794</x:v>
      </x:c>
      <x:c r="AB1262" s="52" t="n">
        <x:f>IF(OR(R1262="No",U1262*S1262=0),"",AA1262/(U1262*S1262))</x:f>
        <x:v>0.037611142833259656</x:v>
      </x:c>
      <x:c r="AC1262" s="54" t="n">
        <x:f>IF(OR(R1262="No",S1262-T1262*Assumptions!$B$9&lt;=0),"",AA1262/(Assumptions!$B$8*(S1262-T1262*Assumptions!$B$9)))</x:f>
        <x:v>66.78466152541526</x:v>
      </x:c>
      <x:c r="AD1262" s="52" t="n">
        <x:f>IF(OR(R1262="No",U1262*S1262=0),"",AA1262/(U1262*S1262))</x:f>
        <x:v>0.037611142833259656</x:v>
      </x:c>
      <x:c r="AE1262" s="50" t="str">
        <x:f>IF(R1262="No","No finance data",IF(AB1262&gt;=10%,"Severe",IF(AB1262&gt;=5%,"High",IF(AB1262&gt;=2%,"Moderate","Low"))))</x:f>
        <x:v>Moderate</x:v>
      </x:c>
      <x:c r="AF1262" s="60" t="n">
        <x:v>39.523776</x:v>
      </x:c>
      <x:c r="AG1262" s="60" t="n">
        <x:v>-84.35724</x:v>
      </x:c>
      <x:c r="AH1262" s="44" t="str">
        <x:v>Undergraduate tuition-contribution proxy only; not an audited total institutional budget.</x:v>
      </x:c>
    </x:row>
    <x:row r="1263">
      <x:c r="A1263" s="16" t="n">
        <x:v>204024</x:v>
      </x:c>
      <x:c r="B1263" s="16" t="str">
        <x:v>Miami University-Oxford</x:v>
      </x:c>
      <x:c r="C1263" s="16" t="str">
        <x:v>OH</x:v>
      </x:c>
      <x:c r="D1263" s="16" t="str">
        <x:v>Public</x:v>
      </x:c>
      <x:c r="E1263" s="34" t="n">
        <x:v>15975</x:v>
      </x:c>
      <x:c r="F1263" s="21" t="n">
        <x:v>0.886</x:v>
      </x:c>
      <x:c r="G1263" s="16" t="str">
        <x:v>Statewide</x:v>
      </x:c>
      <x:c r="H1263" s="36" t="n">
        <x:f>IF(G1263="National",Assumptions!$B$11,IF(G1263="Statewide",Assumptions!$B$12,Assumptions!$B$13))</x:f>
        <x:v>0.6</x:v>
      </x:c>
      <x:c r="I1263" s="21" t="n">
        <x:v>-0.04950305674999822</x:v>
      </x:c>
      <x:c r="J1263" s="21" t="n">
        <x:v>-0.04440257007856163</x:v>
      </x:c>
      <x:c r="K1263" s="21" t="n">
        <x:v>-0.11831712275879658</x:v>
      </x:c>
      <x:c r="L1263" s="36" t="n">
        <x:f>IF(Assumptions!$B$4=2030,I1263,IF(Assumptions!$B$4=2035,J1263,K1263))</x:f>
        <x:v>-0.04440257007856163</x:v>
      </x:c>
      <x:c r="M1263" s="36" t="n">
        <x:f>Assumptions!$B$19</x:f>
        <x:v>-0.04739891965741583</x:v>
      </x:c>
      <x:c r="N1263" s="52" t="n">
        <x:f>H1263*L1263+(1-H1263)*M1263+O1263</x:f>
        <x:v>-0.04560110991010331</x:v>
      </x:c>
      <x:c r="O1263" s="36" t="n">
        <x:f>Assumptions!$B$10</x:f>
        <x:v>0</x:v>
      </x:c>
      <x:c r="P1263" s="54" t="n">
        <x:f>E1263*(1+N1263)</x:f>
        <x:v>15246.522269186098</x:v>
      </x:c>
      <x:c r="Q1263" s="54" t="n">
        <x:f>P1263-E1263</x:f>
        <x:v>-728.4777308139019</x:v>
      </x:c>
      <x:c r="R1263" s="16" t="str">
        <x:v>Yes</x:v>
      </x:c>
      <x:c r="S1263" s="56" t="n">
        <x:v>15104</x:v>
      </x:c>
      <x:c r="T1263" s="56" t="n">
        <x:v>11474</x:v>
      </x:c>
      <x:c r="U1263" s="40" t="n">
        <x:f>E1263*Assumptions!$B$8</x:f>
        <x:v>13578.75</x:v>
      </x:c>
      <x:c r="V1263" s="40" t="n">
        <x:f>P1263*Assumptions!$B$8</x:f>
        <x:v>12959.543928808183</x:v>
      </x:c>
      <x:c r="W1263" s="54" t="n">
        <x:f>V1263-U1263</x:f>
        <x:v>-619.2060711918166</x:v>
      </x:c>
      <x:c r="X1263" s="58" t="n">
        <x:f>IF(R1263="No","",W1263*S1263)</x:f>
        <x:v>-9352488.499281198</x:v>
      </x:c>
      <x:c r="Y1263" s="58" t="n">
        <x:f>IF(R1263="No","",W1263*T1263*Assumptions!$B$9)</x:f>
        <x:v>-2131431.138256471</x:v>
      </x:c>
      <x:c r="Z1263" s="58" t="n">
        <x:f>IF(R1263="No","",X1263-Y1263)</x:f>
        <x:v>-7221057.361024726</x:v>
      </x:c>
      <x:c r="AA1263" s="58" t="n">
        <x:f>IF(R1263="No","",MAX(0,-Z1263))</x:f>
        <x:v>7221057.361024726</x:v>
      </x:c>
      <x:c r="AB1263" s="52" t="n">
        <x:f>IF(OR(R1263="No",U1263*S1263=0),"",AA1263/(U1263*S1263))</x:f>
        <x:v>0.035208621792216885</x:v>
      </x:c>
      <x:c r="AC1263" s="54" t="n">
        <x:f>IF(OR(R1263="No",S1263-T1263*Assumptions!$B$9&lt;=0),"",AA1263/(Assumptions!$B$8*(S1263-T1263*Assumptions!$B$9)))</x:f>
        <x:v>728.4777308139019</x:v>
      </x:c>
      <x:c r="AD1263" s="52" t="n">
        <x:f>IF(OR(R1263="No",U1263*S1263=0),"",AA1263/(U1263*S1263))</x:f>
        <x:v>0.035208621792216885</x:v>
      </x:c>
      <x:c r="AE1263" s="50" t="str">
        <x:f>IF(R1263="No","No finance data",IF(AB1263&gt;=10%,"Severe",IF(AB1263&gt;=5%,"High",IF(AB1263&gt;=2%,"Moderate","Low"))))</x:f>
        <x:v>Moderate</x:v>
      </x:c>
      <x:c r="AF1263" s="60" t="n">
        <x:v>39.507757</x:v>
      </x:c>
      <x:c r="AG1263" s="60" t="n">
        <x:v>-84.732954</x:v>
      </x:c>
      <x:c r="AH1263" s="44" t="str">
        <x:v>Undergraduate tuition-contribution proxy only; not an audited total institutional budget.</x:v>
      </x:c>
    </x:row>
    <x:row r="1264">
      <x:c r="A1264" s="16" t="n">
        <x:v>204176</x:v>
      </x:c>
      <x:c r="B1264" s="16" t="str">
        <x:v>Mount Carmel College of Nursing</x:v>
      </x:c>
      <x:c r="C1264" s="16" t="str">
        <x:v>OH</x:v>
      </x:c>
      <x:c r="D1264" s="16" t="str">
        <x:v>Private nonprofit</x:v>
      </x:c>
      <x:c r="E1264" s="34" t="n">
        <x:v>897</x:v>
      </x:c>
      <x:c r="F1264" s="21" t="n">
        <x:v>0.5221</x:v>
      </x:c>
      <x:c r="G1264" s="16" t="str">
        <x:v>Regional</x:v>
      </x:c>
      <x:c r="H1264" s="36" t="n">
        <x:f>IF(G1264="National",Assumptions!$B$11,IF(G1264="Statewide",Assumptions!$B$12,Assumptions!$B$13))</x:f>
        <x:v>0.85</x:v>
      </x:c>
      <x:c r="I1264" s="21" t="n">
        <x:v>-0.04950305674999822</x:v>
      </x:c>
      <x:c r="J1264" s="21" t="n">
        <x:v>-0.04440257007856163</x:v>
      </x:c>
      <x:c r="K1264" s="21" t="n">
        <x:v>-0.11831712275879658</x:v>
      </x:c>
      <x:c r="L1264" s="36" t="n">
        <x:f>IF(Assumptions!$B$4=2030,I1264,IF(Assumptions!$B$4=2035,J1264,K1264))</x:f>
        <x:v>-0.04440257007856163</x:v>
      </x:c>
      <x:c r="M1264" s="36" t="n">
        <x:f>Assumptions!$B$19</x:f>
        <x:v>-0.04739891965741583</x:v>
      </x:c>
      <x:c r="N1264" s="52" t="n">
        <x:f>H1264*L1264+(1-H1264)*M1264+O1264</x:f>
        <x:v>-0.044852022515389764</x:v>
      </x:c>
      <x:c r="O1264" s="36" t="n">
        <x:f>Assumptions!$B$10</x:f>
        <x:v>0</x:v>
      </x:c>
      <x:c r="P1264" s="54" t="n">
        <x:f>E1264*(1+N1264)</x:f>
        <x:v>856.7677358036954</x:v>
      </x:c>
      <x:c r="Q1264" s="54" t="n">
        <x:f>P1264-E1264</x:f>
        <x:v>-40.23226419630464</x:v>
      </x:c>
      <x:c r="R1264" s="16" t="str">
        <x:v>Yes</x:v>
      </x:c>
      <x:c r="S1264" s="56" t="n">
        <x:v>18025</x:v>
      </x:c>
      <x:c r="T1264" s="56" t="n">
        <x:v>10782</x:v>
      </x:c>
      <x:c r="U1264" s="40" t="n">
        <x:f>E1264*Assumptions!$B$8</x:f>
        <x:v>762.4499999999999</x:v>
      </x:c>
      <x:c r="V1264" s="40" t="n">
        <x:f>P1264*Assumptions!$B$8</x:f>
        <x:v>728.252575433141</x:v>
      </x:c>
      <x:c r="W1264" s="54" t="n">
        <x:f>V1264-U1264</x:f>
        <x:v>-34.1974245668589</x:v>
      </x:c>
      <x:c r="X1264" s="58" t="n">
        <x:f>IF(R1264="No","",W1264*S1264)</x:f>
        <x:v>-616408.5778176317</x:v>
      </x:c>
      <x:c r="Y1264" s="58" t="n">
        <x:f>IF(R1264="No","",W1264*T1264*Assumptions!$B$9)</x:f>
        <x:v>-110614.98950396178</x:v>
      </x:c>
      <x:c r="Z1264" s="58" t="n">
        <x:f>IF(R1264="No","",X1264-Y1264)</x:f>
        <x:v>-505793.5883136699</x:v>
      </x:c>
      <x:c r="AA1264" s="58" t="n">
        <x:f>IF(R1264="No","",MAX(0,-Z1264))</x:f>
        <x:v>505793.5883136699</x:v>
      </x:c>
      <x:c r="AB1264" s="52" t="n">
        <x:f>IF(OR(R1264="No",U1264*S1264=0),"",AA1264/(U1264*S1264))</x:f>
        <x:v>0.036803292860561464</x:v>
      </x:c>
      <x:c r="AC1264" s="54" t="n">
        <x:f>IF(OR(R1264="No",S1264-T1264*Assumptions!$B$9&lt;=0),"",AA1264/(Assumptions!$B$8*(S1264-T1264*Assumptions!$B$9)))</x:f>
        <x:v>40.23226419630459</x:v>
      </x:c>
      <x:c r="AD1264" s="52" t="n">
        <x:f>IF(OR(R1264="No",U1264*S1264=0),"",AA1264/(U1264*S1264))</x:f>
        <x:v>0.036803292860561464</x:v>
      </x:c>
      <x:c r="AE1264" s="50" t="str">
        <x:f>IF(R1264="No","No finance data",IF(AB1264&gt;=10%,"Severe",IF(AB1264&gt;=5%,"High",IF(AB1264&gt;=2%,"Moderate","Low"))))</x:f>
        <x:v>Moderate</x:v>
      </x:c>
      <x:c r="AF1264" s="60" t="n">
        <x:v>39.956625</x:v>
      </x:c>
      <x:c r="AG1264" s="60" t="n">
        <x:v>-83.021501</x:v>
      </x:c>
      <x:c r="AH1264" s="44" t="str">
        <x:v>Undergraduate tuition-contribution proxy only; not an audited total institutional budget.</x:v>
      </x:c>
    </x:row>
    <x:row r="1265">
      <x:c r="A1265" s="16" t="n">
        <x:v>204200</x:v>
      </x:c>
      <x:c r="B1265" s="16" t="str">
        <x:v>Mount Saint Joseph University</x:v>
      </x:c>
      <x:c r="C1265" s="16" t="str">
        <x:v>OH</x:v>
      </x:c>
      <x:c r="D1265" s="16" t="str">
        <x:v>Private nonprofit</x:v>
      </x:c>
      <x:c r="E1265" s="34" t="n">
        <x:v>1387</x:v>
      </x:c>
      <x:c r="F1265" s="21" t="n">
        <x:v>0.6316</x:v>
      </x:c>
      <x:c r="G1265" s="16" t="str">
        <x:v>Regional</x:v>
      </x:c>
      <x:c r="H1265" s="36" t="n">
        <x:f>IF(G1265="National",Assumptions!$B$11,IF(G1265="Statewide",Assumptions!$B$12,Assumptions!$B$13))</x:f>
        <x:v>0.85</x:v>
      </x:c>
      <x:c r="I1265" s="21" t="n">
        <x:v>-0.04950305674999822</x:v>
      </x:c>
      <x:c r="J1265" s="21" t="n">
        <x:v>-0.04440257007856163</x:v>
      </x:c>
      <x:c r="K1265" s="21" t="n">
        <x:v>-0.11831712275879658</x:v>
      </x:c>
      <x:c r="L1265" s="36" t="n">
        <x:f>IF(Assumptions!$B$4=2030,I1265,IF(Assumptions!$B$4=2035,J1265,K1265))</x:f>
        <x:v>-0.04440257007856163</x:v>
      </x:c>
      <x:c r="M1265" s="36" t="n">
        <x:f>Assumptions!$B$19</x:f>
        <x:v>-0.04739891965741583</x:v>
      </x:c>
      <x:c r="N1265" s="52" t="n">
        <x:f>H1265*L1265+(1-H1265)*M1265+O1265</x:f>
        <x:v>-0.044852022515389764</x:v>
      </x:c>
      <x:c r="O1265" s="36" t="n">
        <x:f>Assumptions!$B$10</x:f>
        <x:v>0</x:v>
      </x:c>
      <x:c r="P1265" s="54" t="n">
        <x:f>E1265*(1+N1265)</x:f>
        <x:v>1324.7902447711544</x:v>
      </x:c>
      <x:c r="Q1265" s="54" t="n">
        <x:f>P1265-E1265</x:f>
        <x:v>-62.20975522884555</x:v>
      </x:c>
      <x:c r="R1265" s="16" t="str">
        <x:v>Yes</x:v>
      </x:c>
      <x:c r="S1265" s="56" t="n">
        <x:v>16830</x:v>
      </x:c>
      <x:c r="T1265" s="56" t="n">
        <x:v>9236</x:v>
      </x:c>
      <x:c r="U1265" s="40" t="n">
        <x:f>E1265*Assumptions!$B$8</x:f>
        <x:v>1178.95</x:v>
      </x:c>
      <x:c r="V1265" s="40" t="n">
        <x:f>P1265*Assumptions!$B$8</x:f>
        <x:v>1126.0717080554812</x:v>
      </x:c>
      <x:c r="W1265" s="54" t="n">
        <x:f>V1265-U1265</x:f>
        <x:v>-52.87829194451888</x:v>
      </x:c>
      <x:c r="X1265" s="58" t="n">
        <x:f>IF(R1265="No","",W1265*S1265)</x:f>
        <x:v>-889941.6534262528</x:v>
      </x:c>
      <x:c r="Y1265" s="58" t="n">
        <x:f>IF(R1265="No","",W1265*T1265*Assumptions!$B$9)</x:f>
        <x:v>-146515.1713198729</x:v>
      </x:c>
      <x:c r="Z1265" s="58" t="n">
        <x:f>IF(R1265="No","",X1265-Y1265)</x:f>
        <x:v>-743426.4821063799</x:v>
      </x:c>
      <x:c r="AA1265" s="58" t="n">
        <x:f>IF(R1265="No","",MAX(0,-Z1265))</x:f>
        <x:v>743426.4821063799</x:v>
      </x:c>
      <x:c r="AB1265" s="52" t="n">
        <x:f>IF(OR(R1265="No",U1265*S1265=0),"",AA1265/(U1265*S1265))</x:f>
        <x:v>0.037467828576849035</x:v>
      </x:c>
      <x:c r="AC1265" s="54" t="n">
        <x:f>IF(OR(R1265="No",S1265-T1265*Assumptions!$B$9&lt;=0),"",AA1265/(Assumptions!$B$8*(S1265-T1265*Assumptions!$B$9)))</x:f>
        <x:v>62.20975522884575</x:v>
      </x:c>
      <x:c r="AD1265" s="52" t="n">
        <x:f>IF(OR(R1265="No",U1265*S1265=0),"",AA1265/(U1265*S1265))</x:f>
        <x:v>0.037467828576849035</x:v>
      </x:c>
      <x:c r="AE1265" s="50" t="str">
        <x:f>IF(R1265="No","No finance data",IF(AB1265&gt;=10%,"Severe",IF(AB1265&gt;=5%,"High",IF(AB1265&gt;=2%,"Moderate","Low"))))</x:f>
        <x:v>Moderate</x:v>
      </x:c>
      <x:c r="AF1265" s="60" t="n">
        <x:v>39.095893</x:v>
      </x:c>
      <x:c r="AG1265" s="60" t="n">
        <x:v>-84.639453</x:v>
      </x:c>
      <x:c r="AH1265" s="44" t="str">
        <x:v>Undergraduate tuition-contribution proxy only; not an audited total institutional budget.</x:v>
      </x:c>
    </x:row>
    <x:row r="1266">
      <x:c r="A1266" s="16" t="n">
        <x:v>204194</x:v>
      </x:c>
      <x:c r="B1266" s="16" t="str">
        <x:v>Mount Vernon Nazarene University</x:v>
      </x:c>
      <x:c r="C1266" s="16" t="str">
        <x:v>OH</x:v>
      </x:c>
      <x:c r="D1266" s="16" t="str">
        <x:v>Private nonprofit</x:v>
      </x:c>
      <x:c r="E1266" s="34" t="n">
        <x:v>1686</x:v>
      </x:c>
      <x:c r="F1266" s="21" t="n">
        <x:v>0.8723</x:v>
      </x:c>
      <x:c r="G1266" s="16" t="str">
        <x:v>Regional</x:v>
      </x:c>
      <x:c r="H1266" s="36" t="n">
        <x:f>IF(G1266="National",Assumptions!$B$11,IF(G1266="Statewide",Assumptions!$B$12,Assumptions!$B$13))</x:f>
        <x:v>0.85</x:v>
      </x:c>
      <x:c r="I1266" s="21" t="n">
        <x:v>-0.04950305674999822</x:v>
      </x:c>
      <x:c r="J1266" s="21" t="n">
        <x:v>-0.04440257007856163</x:v>
      </x:c>
      <x:c r="K1266" s="21" t="n">
        <x:v>-0.11831712275879658</x:v>
      </x:c>
      <x:c r="L1266" s="36" t="n">
        <x:f>IF(Assumptions!$B$4=2030,I1266,IF(Assumptions!$B$4=2035,J1266,K1266))</x:f>
        <x:v>-0.04440257007856163</x:v>
      </x:c>
      <x:c r="M1266" s="36" t="n">
        <x:f>Assumptions!$B$19</x:f>
        <x:v>-0.04739891965741583</x:v>
      </x:c>
      <x:c r="N1266" s="52" t="n">
        <x:f>H1266*L1266+(1-H1266)*M1266+O1266</x:f>
        <x:v>-0.044852022515389764</x:v>
      </x:c>
      <x:c r="O1266" s="36" t="n">
        <x:f>Assumptions!$B$10</x:f>
        <x:v>0</x:v>
      </x:c>
      <x:c r="P1266" s="54" t="n">
        <x:f>E1266*(1+N1266)</x:f>
        <x:v>1610.3794900390528</x:v>
      </x:c>
      <x:c r="Q1266" s="54" t="n">
        <x:f>P1266-E1266</x:f>
        <x:v>-75.62050996094717</x:v>
      </x:c>
      <x:c r="R1266" s="16" t="str">
        <x:v>Yes</x:v>
      </x:c>
      <x:c r="S1266" s="56" t="n">
        <x:v>11363</x:v>
      </x:c>
      <x:c r="T1266" s="56" t="n">
        <x:v>6226</x:v>
      </x:c>
      <x:c r="U1266" s="40" t="n">
        <x:f>E1266*Assumptions!$B$8</x:f>
        <x:v>1433.1</x:v>
      </x:c>
      <x:c r="V1266" s="40" t="n">
        <x:f>P1266*Assumptions!$B$8</x:f>
        <x:v>1368.822566533195</x:v>
      </x:c>
      <x:c r="W1266" s="54" t="n">
        <x:f>V1266-U1266</x:f>
        <x:v>-64.27743346680495</x:v>
      </x:c>
      <x:c r="X1266" s="58" t="n">
        <x:f>IF(R1266="No","",W1266*S1266)</x:f>
        <x:v>-730384.4764833046</x:v>
      </x:c>
      <x:c r="Y1266" s="58" t="n">
        <x:f>IF(R1266="No","",W1266*T1266*Assumptions!$B$9)</x:f>
        <x:v>-120057.39022929828</x:v>
      </x:c>
      <x:c r="Z1266" s="58" t="n">
        <x:f>IF(R1266="No","",X1266-Y1266)</x:f>
        <x:v>-610327.0862540064</x:v>
      </x:c>
      <x:c r="AA1266" s="58" t="n">
        <x:f>IF(R1266="No","",MAX(0,-Z1266))</x:f>
        <x:v>610327.0862540064</x:v>
      </x:c>
      <x:c r="AB1266" s="52" t="n">
        <x:f>IF(OR(R1266="No",U1266*S1266=0),"",AA1266/(U1266*S1266))</x:f>
        <x:v>0.03747944417742921</x:v>
      </x:c>
      <x:c r="AC1266" s="54" t="n">
        <x:f>IF(OR(R1266="No",S1266-T1266*Assumptions!$B$9&lt;=0),"",AA1266/(Assumptions!$B$8*(S1266-T1266*Assumptions!$B$9)))</x:f>
        <x:v>75.620509960947</x:v>
      </x:c>
      <x:c r="AD1266" s="52" t="n">
        <x:f>IF(OR(R1266="No",U1266*S1266=0),"",AA1266/(U1266*S1266))</x:f>
        <x:v>0.03747944417742921</x:v>
      </x:c>
      <x:c r="AE1266" s="50" t="str">
        <x:f>IF(R1266="No","No finance data",IF(AB1266&gt;=10%,"Severe",IF(AB1266&gt;=5%,"High",IF(AB1266&gt;=2%,"Moderate","Low"))))</x:f>
        <x:v>Moderate</x:v>
      </x:c>
      <x:c r="AF1266" s="60" t="n">
        <x:v>40.372901</x:v>
      </x:c>
      <x:c r="AG1266" s="60" t="n">
        <x:v>-82.471074</x:v>
      </x:c>
      <x:c r="AH1266" s="44" t="str">
        <x:v>Undergraduate tuition-contribution proxy only; not an audited total institutional budget.</x:v>
      </x:c>
    </x:row>
    <x:row r="1267">
      <x:c r="A1267" s="16" t="n">
        <x:v>204264</x:v>
      </x:c>
      <x:c r="B1267" s="16" t="str">
        <x:v>Muskingum University</x:v>
      </x:c>
      <x:c r="C1267" s="16" t="str">
        <x:v>OH</x:v>
      </x:c>
      <x:c r="D1267" s="16" t="str">
        <x:v>Private nonprofit</x:v>
      </x:c>
      <x:c r="E1267" s="34" t="n">
        <x:v>1580</x:v>
      </x:c>
      <x:c r="F1267" s="21" t="n">
        <x:v>0.8562</x:v>
      </x:c>
      <x:c r="G1267" s="16" t="str">
        <x:v>Regional</x:v>
      </x:c>
      <x:c r="H1267" s="36" t="n">
        <x:f>IF(G1267="National",Assumptions!$B$11,IF(G1267="Statewide",Assumptions!$B$12,Assumptions!$B$13))</x:f>
        <x:v>0.85</x:v>
      </x:c>
      <x:c r="I1267" s="21" t="n">
        <x:v>-0.04950305674999822</x:v>
      </x:c>
      <x:c r="J1267" s="21" t="n">
        <x:v>-0.04440257007856163</x:v>
      </x:c>
      <x:c r="K1267" s="21" t="n">
        <x:v>-0.11831712275879658</x:v>
      </x:c>
      <x:c r="L1267" s="36" t="n">
        <x:f>IF(Assumptions!$B$4=2030,I1267,IF(Assumptions!$B$4=2035,J1267,K1267))</x:f>
        <x:v>-0.04440257007856163</x:v>
      </x:c>
      <x:c r="M1267" s="36" t="n">
        <x:f>Assumptions!$B$19</x:f>
        <x:v>-0.04739891965741583</x:v>
      </x:c>
      <x:c r="N1267" s="52" t="n">
        <x:f>H1267*L1267+(1-H1267)*M1267+O1267</x:f>
        <x:v>-0.044852022515389764</x:v>
      </x:c>
      <x:c r="O1267" s="36" t="n">
        <x:f>Assumptions!$B$10</x:f>
        <x:v>0</x:v>
      </x:c>
      <x:c r="P1267" s="54" t="n">
        <x:f>E1267*(1+N1267)</x:f>
        <x:v>1509.133804425684</x:v>
      </x:c>
      <x:c r="Q1267" s="54" t="n">
        <x:f>P1267-E1267</x:f>
        <x:v>-70.86619557431595</x:v>
      </x:c>
      <x:c r="R1267" s="16" t="str">
        <x:v>Yes</x:v>
      </x:c>
      <x:c r="S1267" s="56" t="n">
        <x:v>10570</x:v>
      </x:c>
      <x:c r="T1267" s="56" t="n">
        <x:v>8471</x:v>
      </x:c>
      <x:c r="U1267" s="40" t="n">
        <x:f>E1267*Assumptions!$B$8</x:f>
        <x:v>1343</x:v>
      </x:c>
      <x:c r="V1267" s="40" t="n">
        <x:f>P1267*Assumptions!$B$8</x:f>
        <x:v>1282.7637337618314</x:v>
      </x:c>
      <x:c r="W1267" s="54" t="n">
        <x:f>V1267-U1267</x:f>
        <x:v>-60.23626623816858</x:v>
      </x:c>
      <x:c r="X1267" s="58" t="n">
        <x:f>IF(R1267="No","",W1267*S1267)</x:f>
        <x:v>-636697.3341374419</x:v>
      </x:c>
      <x:c r="Y1267" s="58" t="n">
        <x:f>IF(R1267="No","",W1267*T1267*Assumptions!$B$9)</x:f>
        <x:v>-153078.42339105782</x:v>
      </x:c>
      <x:c r="Z1267" s="58" t="n">
        <x:f>IF(R1267="No","",X1267-Y1267)</x:f>
        <x:v>-483618.9107463841</x:v>
      </x:c>
      <x:c r="AA1267" s="58" t="n">
        <x:f>IF(R1267="No","",MAX(0,-Z1267))</x:f>
        <x:v>483618.9107463841</x:v>
      </x:c>
      <x:c r="AB1267" s="52" t="n">
        <x:f>IF(OR(R1267="No",U1267*S1267=0),"",AA1267/(U1267*S1267))</x:f>
        <x:v>0.034068442116301854</x:v>
      </x:c>
      <x:c r="AC1267" s="54" t="n">
        <x:f>IF(OR(R1267="No",S1267-T1267*Assumptions!$B$9&lt;=0),"",AA1267/(Assumptions!$B$8*(S1267-T1267*Assumptions!$B$9)))</x:f>
        <x:v>70.86619557431598</x:v>
      </x:c>
      <x:c r="AD1267" s="52" t="n">
        <x:f>IF(OR(R1267="No",U1267*S1267=0),"",AA1267/(U1267*S1267))</x:f>
        <x:v>0.034068442116301854</x:v>
      </x:c>
      <x:c r="AE1267" s="50" t="str">
        <x:f>IF(R1267="No","No finance data",IF(AB1267&gt;=10%,"Severe",IF(AB1267&gt;=5%,"High",IF(AB1267&gt;=2%,"Moderate","Low"))))</x:f>
        <x:v>Moderate</x:v>
      </x:c>
      <x:c r="AF1267" s="60" t="n">
        <x:v>39.996585</x:v>
      </x:c>
      <x:c r="AG1267" s="60" t="n">
        <x:v>-81.737127</x:v>
      </x:c>
      <x:c r="AH1267" s="44" t="str">
        <x:v>Undergraduate tuition-contribution proxy only; not an audited total institutional budget.</x:v>
      </x:c>
    </x:row>
    <x:row r="1268">
      <x:c r="A1268" s="16" t="n">
        <x:v>204468</x:v>
      </x:c>
      <x:c r="B1268" s="16" t="str">
        <x:v>Notre Dame College</x:v>
      </x:c>
      <x:c r="C1268" s="16" t="str">
        <x:v>OH</x:v>
      </x:c>
      <x:c r="D1268" s="16" t="str">
        <x:v>Private nonprofit</x:v>
      </x:c>
      <x:c r="E1268" s="34" t="n">
        <x:v>1753</x:v>
      </x:c>
      <x:c r="F1268" s="21" t="n">
        <x:v>0.8239</x:v>
      </x:c>
      <x:c r="G1268" s="16" t="str">
        <x:v>Regional</x:v>
      </x:c>
      <x:c r="H1268" s="36" t="n">
        <x:f>IF(G1268="National",Assumptions!$B$11,IF(G1268="Statewide",Assumptions!$B$12,Assumptions!$B$13))</x:f>
        <x:v>0.85</x:v>
      </x:c>
      <x:c r="I1268" s="21" t="n">
        <x:v>-0.04950305674999822</x:v>
      </x:c>
      <x:c r="J1268" s="21" t="n">
        <x:v>-0.04440257007856163</x:v>
      </x:c>
      <x:c r="K1268" s="21" t="n">
        <x:v>-0.11831712275879658</x:v>
      </x:c>
      <x:c r="L1268" s="36" t="n">
        <x:f>IF(Assumptions!$B$4=2030,I1268,IF(Assumptions!$B$4=2035,J1268,K1268))</x:f>
        <x:v>-0.04440257007856163</x:v>
      </x:c>
      <x:c r="M1268" s="36" t="n">
        <x:f>Assumptions!$B$19</x:f>
        <x:v>-0.04739891965741583</x:v>
      </x:c>
      <x:c r="N1268" s="52" t="n">
        <x:f>H1268*L1268+(1-H1268)*M1268+O1268</x:f>
        <x:v>-0.044852022515389764</x:v>
      </x:c>
      <x:c r="O1268" s="36" t="n">
        <x:f>Assumptions!$B$10</x:f>
        <x:v>0</x:v>
      </x:c>
      <x:c r="P1268" s="54" t="n">
        <x:f>E1268*(1+N1268)</x:f>
        <x:v>1674.3744045305218</x:v>
      </x:c>
      <x:c r="Q1268" s="54" t="n">
        <x:f>P1268-E1268</x:f>
        <x:v>-78.62559546947818</x:v>
      </x:c>
      <x:c r="R1268" s="16" t="str">
        <x:v>Yes</x:v>
      </x:c>
      <x:c r="S1268" s="56" t="n">
        <x:v>9873</x:v>
      </x:c>
      <x:c r="T1268" s="56" t="n">
        <x:v>4694</x:v>
      </x:c>
      <x:c r="U1268" s="40" t="n">
        <x:f>E1268*Assumptions!$B$8</x:f>
        <x:v>1490.05</x:v>
      </x:c>
      <x:c r="V1268" s="40" t="n">
        <x:f>P1268*Assumptions!$B$8</x:f>
        <x:v>1423.2182438509435</x:v>
      </x:c>
      <x:c r="W1268" s="54" t="n">
        <x:f>V1268-U1268</x:f>
        <x:v>-66.83175614905645</x:v>
      </x:c>
      <x:c r="X1268" s="58" t="n">
        <x:f>IF(R1268="No","",W1268*S1268)</x:f>
        <x:v>-659829.9284596343</x:v>
      </x:c>
      <x:c r="Y1268" s="58" t="n">
        <x:f>IF(R1268="No","",W1268*T1268*Assumptions!$B$9)</x:f>
        <x:v>-94112.47900910128</x:v>
      </x:c>
      <x:c r="Z1268" s="58" t="n">
        <x:f>IF(R1268="No","",X1268-Y1268)</x:f>
        <x:v>-565717.449450533</x:v>
      </x:c>
      <x:c r="AA1268" s="58" t="n">
        <x:f>IF(R1268="No","",MAX(0,-Z1268))</x:f>
        <x:v>565717.449450533</x:v>
      </x:c>
      <x:c r="AB1268" s="52" t="n">
        <x:f>IF(OR(R1268="No",U1268*S1268=0),"",AA1268/(U1268*S1268))</x:f>
        <x:v>0.038454714898032094</x:v>
      </x:c>
      <x:c r="AC1268" s="54" t="n">
        <x:f>IF(OR(R1268="No",S1268-T1268*Assumptions!$B$9&lt;=0),"",AA1268/(Assumptions!$B$8*(S1268-T1268*Assumptions!$B$9)))</x:f>
        <x:v>78.62559546947818</x:v>
      </x:c>
      <x:c r="AD1268" s="52" t="n">
        <x:f>IF(OR(R1268="No",U1268*S1268=0),"",AA1268/(U1268*S1268))</x:f>
        <x:v>0.038454714898032094</x:v>
      </x:c>
      <x:c r="AE1268" s="50" t="str">
        <x:f>IF(R1268="No","No finance data",IF(AB1268&gt;=10%,"Severe",IF(AB1268&gt;=5%,"High",IF(AB1268&gt;=2%,"Moderate","Low"))))</x:f>
        <x:v>Moderate</x:v>
      </x:c>
      <x:c r="AF1268" s="60" t="n">
        <x:v>41.506894</x:v>
      </x:c>
      <x:c r="AG1268" s="60" t="n">
        <x:v>-81.516617</x:v>
      </x:c>
      <x:c r="AH1268" s="44" t="str">
        <x:v>Undergraduate tuition-contribution proxy only; not an audited total institutional budget.</x:v>
      </x:c>
    </x:row>
    <x:row r="1269">
      <x:c r="A1269" s="16" t="n">
        <x:v>204501</x:v>
      </x:c>
      <x:c r="B1269" s="16" t="str">
        <x:v>Oberlin College</x:v>
      </x:c>
      <x:c r="C1269" s="16" t="str">
        <x:v>OH</x:v>
      </x:c>
      <x:c r="D1269" s="16" t="str">
        <x:v>Private nonprofit</x:v>
      </x:c>
      <x:c r="E1269" s="34" t="n">
        <x:v>2912</x:v>
      </x:c>
      <x:c r="F1269" s="21" t="n">
        <x:v>0.3434</x:v>
      </x:c>
      <x:c r="G1269" s="16" t="str">
        <x:v>National</x:v>
      </x:c>
      <x:c r="H1269" s="36" t="n">
        <x:f>IF(G1269="National",Assumptions!$B$11,IF(G1269="Statewide",Assumptions!$B$12,Assumptions!$B$13))</x:f>
        <x:v>0.25</x:v>
      </x:c>
      <x:c r="I1269" s="21" t="n">
        <x:v>-0.04950305674999822</x:v>
      </x:c>
      <x:c r="J1269" s="21" t="n">
        <x:v>-0.04440257007856163</x:v>
      </x:c>
      <x:c r="K1269" s="21" t="n">
        <x:v>-0.11831712275879658</x:v>
      </x:c>
      <x:c r="L1269" s="36" t="n">
        <x:f>IF(Assumptions!$B$4=2030,I1269,IF(Assumptions!$B$4=2035,J1269,K1269))</x:f>
        <x:v>-0.04440257007856163</x:v>
      </x:c>
      <x:c r="M1269" s="36" t="n">
        <x:f>Assumptions!$B$19</x:f>
        <x:v>-0.04739891965741583</x:v>
      </x:c>
      <x:c r="N1269" s="52" t="n">
        <x:f>H1269*L1269+(1-H1269)*M1269+O1269</x:f>
        <x:v>-0.04664983226270228</x:v>
      </x:c>
      <x:c r="O1269" s="36" t="n">
        <x:f>Assumptions!$B$10</x:f>
        <x:v>0</x:v>
      </x:c>
      <x:c r="P1269" s="54" t="n">
        <x:f>E1269*(1+N1269)</x:f>
        <x:v>2776.155688451011</x:v>
      </x:c>
      <x:c r="Q1269" s="54" t="n">
        <x:f>P1269-E1269</x:f>
        <x:v>-135.84431154898903</x:v>
      </x:c>
      <x:c r="R1269" s="16" t="str">
        <x:v>Yes</x:v>
      </x:c>
      <x:c r="S1269" s="56" t="n">
        <x:v>23147</x:v>
      </x:c>
      <x:c r="T1269" s="56" t="n">
        <x:v>25911</x:v>
      </x:c>
      <x:c r="U1269" s="40" t="n">
        <x:f>E1269*Assumptions!$B$8</x:f>
        <x:v>2475.2</x:v>
      </x:c>
      <x:c r="V1269" s="40" t="n">
        <x:f>P1269*Assumptions!$B$8</x:f>
        <x:v>2359.7323351833593</x:v>
      </x:c>
      <x:c r="W1269" s="54" t="n">
        <x:f>V1269-U1269</x:f>
        <x:v>-115.46766481664054</x:v>
      </x:c>
      <x:c r="X1269" s="58" t="n">
        <x:f>IF(R1269="No","",W1269*S1269)</x:f>
        <x:v>-2672730.0375107783</x:v>
      </x:c>
      <x:c r="Y1269" s="58" t="n">
        <x:f>IF(R1269="No","",W1269*T1269*Assumptions!$B$9)</x:f>
        <x:v>-897564.7989191918</x:v>
      </x:c>
      <x:c r="Z1269" s="58" t="n">
        <x:f>IF(R1269="No","",X1269-Y1269)</x:f>
        <x:v>-1775165.2385915865</x:v>
      </x:c>
      <x:c r="AA1269" s="58" t="n">
        <x:f>IF(R1269="No","",MAX(0,-Z1269))</x:f>
        <x:v>1775165.2385915865</x:v>
      </x:c>
      <x:c r="AB1269" s="52" t="n">
        <x:f>IF(OR(R1269="No",U1269*S1269=0),"",AA1269/(U1269*S1269))</x:f>
        <x:v>0.03098373552758911</x:v>
      </x:c>
      <x:c r="AC1269" s="54" t="n">
        <x:f>IF(OR(R1269="No",S1269-T1269*Assumptions!$B$9&lt;=0),"",AA1269/(Assumptions!$B$8*(S1269-T1269*Assumptions!$B$9)))</x:f>
        <x:v>135.84431154898886</x:v>
      </x:c>
      <x:c r="AD1269" s="52" t="n">
        <x:f>IF(OR(R1269="No",U1269*S1269=0),"",AA1269/(U1269*S1269))</x:f>
        <x:v>0.03098373552758911</x:v>
      </x:c>
      <x:c r="AE1269" s="50" t="str">
        <x:f>IF(R1269="No","No finance data",IF(AB1269&gt;=10%,"Severe",IF(AB1269&gt;=5%,"High",IF(AB1269&gt;=2%,"Moderate","Low"))))</x:f>
        <x:v>Moderate</x:v>
      </x:c>
      <x:c r="AF1269" s="60" t="n">
        <x:v>41.291992</x:v>
      </x:c>
      <x:c r="AG1269" s="60" t="n">
        <x:v>-82.216795</x:v>
      </x:c>
      <x:c r="AH1269" s="44" t="str">
        <x:v>Undergraduate tuition-contribution proxy only; not an audited total institutional budget.</x:v>
      </x:c>
    </x:row>
    <x:row r="1270">
      <x:c r="A1270" s="16" t="n">
        <x:v>201964</x:v>
      </x:c>
      <x:c r="B1270" s="16" t="str">
        <x:v>Ohio Christian University</x:v>
      </x:c>
      <x:c r="C1270" s="16" t="str">
        <x:v>OH</x:v>
      </x:c>
      <x:c r="D1270" s="16" t="str">
        <x:v>Private nonprofit</x:v>
      </x:c>
      <x:c r="E1270" s="34" t="n">
        <x:v>3485</x:v>
      </x:c>
      <x:c r="F1270" s="21"/>
      <x:c r="G1270" s="16" t="str">
        <x:v>Regional</x:v>
      </x:c>
      <x:c r="H1270" s="36" t="n">
        <x:f>IF(G1270="National",Assumptions!$B$11,IF(G1270="Statewide",Assumptions!$B$12,Assumptions!$B$13))</x:f>
        <x:v>0.85</x:v>
      </x:c>
      <x:c r="I1270" s="21" t="n">
        <x:v>-0.04950305674999822</x:v>
      </x:c>
      <x:c r="J1270" s="21" t="n">
        <x:v>-0.04440257007856163</x:v>
      </x:c>
      <x:c r="K1270" s="21" t="n">
        <x:v>-0.11831712275879658</x:v>
      </x:c>
      <x:c r="L1270" s="36" t="n">
        <x:f>IF(Assumptions!$B$4=2030,I1270,IF(Assumptions!$B$4=2035,J1270,K1270))</x:f>
        <x:v>-0.04440257007856163</x:v>
      </x:c>
      <x:c r="M1270" s="36" t="n">
        <x:f>Assumptions!$B$19</x:f>
        <x:v>-0.04739891965741583</x:v>
      </x:c>
      <x:c r="N1270" s="52" t="n">
        <x:f>H1270*L1270+(1-H1270)*M1270+O1270</x:f>
        <x:v>-0.044852022515389764</x:v>
      </x:c>
      <x:c r="O1270" s="36" t="n">
        <x:f>Assumptions!$B$10</x:f>
        <x:v>0</x:v>
      </x:c>
      <x:c r="P1270" s="54" t="n">
        <x:f>E1270*(1+N1270)</x:f>
        <x:v>3328.6907015338666</x:v>
      </x:c>
      <x:c r="Q1270" s="54" t="n">
        <x:f>P1270-E1270</x:f>
        <x:v>-156.30929846613344</x:v>
      </x:c>
      <x:c r="R1270" s="16" t="str">
        <x:v>Yes</x:v>
      </x:c>
      <x:c r="S1270" s="56" t="n">
        <x:v>14973</x:v>
      </x:c>
      <x:c r="T1270" s="56" t="n">
        <x:v>6653</x:v>
      </x:c>
      <x:c r="U1270" s="40" t="n">
        <x:f>E1270*Assumptions!$B$8</x:f>
        <x:v>2962.25</x:v>
      </x:c>
      <x:c r="V1270" s="40" t="n">
        <x:f>P1270*Assumptions!$B$8</x:f>
        <x:v>2829.3870963037866</x:v>
      </x:c>
      <x:c r="W1270" s="54" t="n">
        <x:f>V1270-U1270</x:f>
        <x:v>-132.86290369621338</x:v>
      </x:c>
      <x:c r="X1270" s="58" t="n">
        <x:f>IF(R1270="No","",W1270*S1270)</x:f>
        <x:v>-1989356.2570434029</x:v>
      </x:c>
      <x:c r="Y1270" s="58" t="n">
        <x:f>IF(R1270="No","",W1270*T1270*Assumptions!$B$9)</x:f>
        <x:v>-265181.0694872723</x:v>
      </x:c>
      <x:c r="Z1270" s="58" t="n">
        <x:f>IF(R1270="No","",X1270-Y1270)</x:f>
        <x:v>-1724175.1875561306</x:v>
      </x:c>
      <x:c r="AA1270" s="58" t="n">
        <x:f>IF(R1270="No","",MAX(0,-Z1270))</x:f>
        <x:v>1724175.1875561306</x:v>
      </x:c>
      <x:c r="AB1270" s="52" t="n">
        <x:f>IF(OR(R1270="No",U1270*S1270=0),"",AA1270/(U1270*S1270))</x:f>
        <x:v>0.03887325061006243</x:v>
      </x:c>
      <x:c r="AC1270" s="54" t="n">
        <x:f>IF(OR(R1270="No",S1270-T1270*Assumptions!$B$9&lt;=0),"",AA1270/(Assumptions!$B$8*(S1270-T1270*Assumptions!$B$9)))</x:f>
        <x:v>156.30929846613338</x:v>
      </x:c>
      <x:c r="AD1270" s="52" t="n">
        <x:f>IF(OR(R1270="No",U1270*S1270=0),"",AA1270/(U1270*S1270))</x:f>
        <x:v>0.03887325061006243</x:v>
      </x:c>
      <x:c r="AE1270" s="50" t="str">
        <x:f>IF(R1270="No","No finance data",IF(AB1270&gt;=10%,"Severe",IF(AB1270&gt;=5%,"High",IF(AB1270&gt;=2%,"Moderate","Low"))))</x:f>
        <x:v>Moderate</x:v>
      </x:c>
      <x:c r="AF1270" s="60" t="n">
        <x:v>39.613155</x:v>
      </x:c>
      <x:c r="AG1270" s="60" t="n">
        <x:v>-82.904885</x:v>
      </x:c>
      <x:c r="AH1270" s="44" t="str">
        <x:v>Undergraduate tuition-contribution proxy only; not an audited total institutional budget.</x:v>
      </x:c>
    </x:row>
    <x:row r="1271">
      <x:c r="A1271" s="16" t="n">
        <x:v>204617</x:v>
      </x:c>
      <x:c r="B1271" s="16" t="str">
        <x:v>Ohio Dominican University</x:v>
      </x:c>
      <x:c r="C1271" s="16" t="str">
        <x:v>OH</x:v>
      </x:c>
      <x:c r="D1271" s="16" t="str">
        <x:v>Private nonprofit</x:v>
      </x:c>
      <x:c r="E1271" s="34" t="n">
        <x:v>1213</x:v>
      </x:c>
      <x:c r="F1271" s="21" t="n">
        <x:v>0.5355</x:v>
      </x:c>
      <x:c r="G1271" s="16" t="str">
        <x:v>Regional</x:v>
      </x:c>
      <x:c r="H1271" s="36" t="n">
        <x:f>IF(G1271="National",Assumptions!$B$11,IF(G1271="Statewide",Assumptions!$B$12,Assumptions!$B$13))</x:f>
        <x:v>0.85</x:v>
      </x:c>
      <x:c r="I1271" s="21" t="n">
        <x:v>-0.04950305674999822</x:v>
      </x:c>
      <x:c r="J1271" s="21" t="n">
        <x:v>-0.04440257007856163</x:v>
      </x:c>
      <x:c r="K1271" s="21" t="n">
        <x:v>-0.11831712275879658</x:v>
      </x:c>
      <x:c r="L1271" s="36" t="n">
        <x:f>IF(Assumptions!$B$4=2030,I1271,IF(Assumptions!$B$4=2035,J1271,K1271))</x:f>
        <x:v>-0.04440257007856163</x:v>
      </x:c>
      <x:c r="M1271" s="36" t="n">
        <x:f>Assumptions!$B$19</x:f>
        <x:v>-0.04739891965741583</x:v>
      </x:c>
      <x:c r="N1271" s="52" t="n">
        <x:f>H1271*L1271+(1-H1271)*M1271+O1271</x:f>
        <x:v>-0.044852022515389764</x:v>
      </x:c>
      <x:c r="O1271" s="36" t="n">
        <x:f>Assumptions!$B$10</x:f>
        <x:v>0</x:v>
      </x:c>
      <x:c r="P1271" s="54" t="n">
        <x:f>E1271*(1+N1271)</x:f>
        <x:v>1158.5944966888321</x:v>
      </x:c>
      <x:c r="Q1271" s="54" t="n">
        <x:f>P1271-E1271</x:f>
        <x:v>-54.40550331116788</x:v>
      </x:c>
      <x:c r="R1271" s="16" t="str">
        <x:v>Yes</x:v>
      </x:c>
      <x:c r="S1271" s="56" t="n">
        <x:v>13676</x:v>
      </x:c>
      <x:c r="T1271" s="56" t="n">
        <x:v>6901</x:v>
      </x:c>
      <x:c r="U1271" s="40" t="n">
        <x:f>E1271*Assumptions!$B$8</x:f>
        <x:v>1031.05</x:v>
      </x:c>
      <x:c r="V1271" s="40" t="n">
        <x:f>P1271*Assumptions!$B$8</x:f>
        <x:v>984.8053221855073</x:v>
      </x:c>
      <x:c r="W1271" s="54" t="n">
        <x:f>V1271-U1271</x:f>
        <x:v>-46.24467781449266</x:v>
      </x:c>
      <x:c r="X1271" s="58" t="n">
        <x:f>IF(R1271="No","",W1271*S1271)</x:f>
        <x:v>-632442.2137910016</x:v>
      </x:c>
      <x:c r="Y1271" s="58" t="n">
        <x:f>IF(R1271="No","",W1271*T1271*Assumptions!$B$9)</x:f>
        <x:v>-95740.35647934416</x:v>
      </x:c>
      <x:c r="Z1271" s="58" t="n">
        <x:f>IF(R1271="No","",X1271-Y1271)</x:f>
        <x:v>-536701.8573116574</x:v>
      </x:c>
      <x:c r="AA1271" s="58" t="n">
        <x:f>IF(R1271="No","",MAX(0,-Z1271))</x:f>
        <x:v>536701.8573116574</x:v>
      </x:c>
      <x:c r="AB1271" s="52" t="n">
        <x:f>IF(OR(R1271="No",U1271*S1271=0),"",AA1271/(U1271*S1271))</x:f>
        <x:v>0.038062234403835875</x:v>
      </x:c>
      <x:c r="AC1271" s="54" t="n">
        <x:f>IF(OR(R1271="No",S1271-T1271*Assumptions!$B$9&lt;=0),"",AA1271/(Assumptions!$B$8*(S1271-T1271*Assumptions!$B$9)))</x:f>
        <x:v>54.40550331116782</x:v>
      </x:c>
      <x:c r="AD1271" s="52" t="n">
        <x:f>IF(OR(R1271="No",U1271*S1271=0),"",AA1271/(U1271*S1271))</x:f>
        <x:v>0.038062234403835875</x:v>
      </x:c>
      <x:c r="AE1271" s="50" t="str">
        <x:f>IF(R1271="No","No finance data",IF(AB1271&gt;=10%,"Severe",IF(AB1271&gt;=5%,"High",IF(AB1271&gt;=2%,"Moderate","Low"))))</x:f>
        <x:v>Moderate</x:v>
      </x:c>
      <x:c r="AF1271" s="60" t="n">
        <x:v>39.992764</x:v>
      </x:c>
      <x:c r="AG1271" s="60" t="n">
        <x:v>-82.940689</x:v>
      </x:c>
      <x:c r="AH1271" s="44" t="str">
        <x:v>Undergraduate tuition-contribution proxy only; not an audited total institutional budget.</x:v>
      </x:c>
    </x:row>
    <x:row r="1272">
      <x:c r="A1272" s="16" t="n">
        <x:v>204635</x:v>
      </x:c>
      <x:c r="B1272" s="16" t="str">
        <x:v>Ohio Northern University</x:v>
      </x:c>
      <x:c r="C1272" s="16" t="str">
        <x:v>OH</x:v>
      </x:c>
      <x:c r="D1272" s="16" t="str">
        <x:v>Private nonprofit</x:v>
      </x:c>
      <x:c r="E1272" s="34" t="n">
        <x:v>2116</x:v>
      </x:c>
      <x:c r="F1272" s="21" t="n">
        <x:v>0.689</x:v>
      </x:c>
      <x:c r="G1272" s="16" t="str">
        <x:v>Regional</x:v>
      </x:c>
      <x:c r="H1272" s="36" t="n">
        <x:f>IF(G1272="National",Assumptions!$B$11,IF(G1272="Statewide",Assumptions!$B$12,Assumptions!$B$13))</x:f>
        <x:v>0.85</x:v>
      </x:c>
      <x:c r="I1272" s="21" t="n">
        <x:v>-0.04950305674999822</x:v>
      </x:c>
      <x:c r="J1272" s="21" t="n">
        <x:v>-0.04440257007856163</x:v>
      </x:c>
      <x:c r="K1272" s="21" t="n">
        <x:v>-0.11831712275879658</x:v>
      </x:c>
      <x:c r="L1272" s="36" t="n">
        <x:f>IF(Assumptions!$B$4=2030,I1272,IF(Assumptions!$B$4=2035,J1272,K1272))</x:f>
        <x:v>-0.04440257007856163</x:v>
      </x:c>
      <x:c r="M1272" s="36" t="n">
        <x:f>Assumptions!$B$19</x:f>
        <x:v>-0.04739891965741583</x:v>
      </x:c>
      <x:c r="N1272" s="52" t="n">
        <x:f>H1272*L1272+(1-H1272)*M1272+O1272</x:f>
        <x:v>-0.044852022515389764</x:v>
      </x:c>
      <x:c r="O1272" s="36" t="n">
        <x:f>Assumptions!$B$10</x:f>
        <x:v>0</x:v>
      </x:c>
      <x:c r="P1272" s="54" t="n">
        <x:f>E1272*(1+N1272)</x:f>
        <x:v>2021.0931203574353</x:v>
      </x:c>
      <x:c r="Q1272" s="54" t="n">
        <x:f>P1272-E1272</x:f>
        <x:v>-94.90687964256472</x:v>
      </x:c>
      <x:c r="R1272" s="16" t="str">
        <x:v>Yes</x:v>
      </x:c>
      <x:c r="S1272" s="56" t="n">
        <x:v>17540</x:v>
      </x:c>
      <x:c r="T1272" s="56" t="n">
        <x:v>13913</x:v>
      </x:c>
      <x:c r="U1272" s="40" t="n">
        <x:f>E1272*Assumptions!$B$8</x:f>
        <x:v>1798.6</x:v>
      </x:c>
      <x:c r="V1272" s="40" t="n">
        <x:f>P1272*Assumptions!$B$8</x:f>
        <x:v>1717.92915230382</x:v>
      </x:c>
      <x:c r="W1272" s="54" t="n">
        <x:f>V1272-U1272</x:f>
        <x:v>-80.67084769617986</x:v>
      </x:c>
      <x:c r="X1272" s="58" t="n">
        <x:f>IF(R1272="No","",W1272*S1272)</x:f>
        <x:v>-1414966.6685909948</x:v>
      </x:c>
      <x:c r="Y1272" s="58" t="n">
        <x:f>IF(R1272="No","",W1272*T1272*Assumptions!$B$9)</x:f>
        <x:v>-336712.0511990851</x:v>
      </x:c>
      <x:c r="Z1272" s="58" t="n">
        <x:f>IF(R1272="No","",X1272-Y1272)</x:f>
        <x:v>-1078254.6173919097</x:v>
      </x:c>
      <x:c r="AA1272" s="58" t="n">
        <x:f>IF(R1272="No","",MAX(0,-Z1272))</x:f>
        <x:v>1078254.6173919097</x:v>
      </x:c>
      <x:c r="AB1272" s="52" t="n">
        <x:f>IF(OR(R1272="No",U1272*S1272=0),"",AA1272/(U1272*S1272))</x:f>
        <x:v>0.034178826575994865</x:v>
      </x:c>
      <x:c r="AC1272" s="54" t="n">
        <x:f>IF(OR(R1272="No",S1272-T1272*Assumptions!$B$9&lt;=0),"",AA1272/(Assumptions!$B$8*(S1272-T1272*Assumptions!$B$9)))</x:f>
        <x:v>94.90687964256455</x:v>
      </x:c>
      <x:c r="AD1272" s="52" t="n">
        <x:f>IF(OR(R1272="No",U1272*S1272=0),"",AA1272/(U1272*S1272))</x:f>
        <x:v>0.034178826575994865</x:v>
      </x:c>
      <x:c r="AE1272" s="50" t="str">
        <x:f>IF(R1272="No","No finance data",IF(AB1272&gt;=10%,"Severe",IF(AB1272&gt;=5%,"High",IF(AB1272&gt;=2%,"Moderate","Low"))))</x:f>
        <x:v>Moderate</x:v>
      </x:c>
      <x:c r="AF1272" s="60" t="n">
        <x:v>40.7662</x:v>
      </x:c>
      <x:c r="AG1272" s="60" t="n">
        <x:v>-83.827441</x:v>
      </x:c>
      <x:c r="AH1272" s="44" t="str">
        <x:v>Undergraduate tuition-contribution proxy only; not an audited total institutional budget.</x:v>
      </x:c>
    </x:row>
    <x:row r="1273">
      <x:c r="A1273" s="16" t="n">
        <x:v>204796</x:v>
      </x:c>
      <x:c r="B1273" s="16" t="str">
        <x:v>Ohio State University-Main Campus</x:v>
      </x:c>
      <x:c r="C1273" s="16" t="str">
        <x:v>OH</x:v>
      </x:c>
      <x:c r="D1273" s="16" t="str">
        <x:v>Public</x:v>
      </x:c>
      <x:c r="E1273" s="34" t="n">
        <x:v>44131</x:v>
      </x:c>
      <x:c r="F1273" s="21" t="n">
        <x:v>0.5718</x:v>
      </x:c>
      <x:c r="G1273" s="16" t="str">
        <x:v>National</x:v>
      </x:c>
      <x:c r="H1273" s="36" t="n">
        <x:f>IF(G1273="National",Assumptions!$B$11,IF(G1273="Statewide",Assumptions!$B$12,Assumptions!$B$13))</x:f>
        <x:v>0.25</x:v>
      </x:c>
      <x:c r="I1273" s="21" t="n">
        <x:v>-0.04950305674999822</x:v>
      </x:c>
      <x:c r="J1273" s="21" t="n">
        <x:v>-0.04440257007856163</x:v>
      </x:c>
      <x:c r="K1273" s="21" t="n">
        <x:v>-0.11831712275879658</x:v>
      </x:c>
      <x:c r="L1273" s="36" t="n">
        <x:f>IF(Assumptions!$B$4=2030,I1273,IF(Assumptions!$B$4=2035,J1273,K1273))</x:f>
        <x:v>-0.04440257007856163</x:v>
      </x:c>
      <x:c r="M1273" s="36" t="n">
        <x:f>Assumptions!$B$19</x:f>
        <x:v>-0.04739891965741583</x:v>
      </x:c>
      <x:c r="N1273" s="52" t="n">
        <x:f>H1273*L1273+(1-H1273)*M1273+O1273</x:f>
        <x:v>-0.04664983226270228</x:v>
      </x:c>
      <x:c r="O1273" s="36" t="n">
        <x:f>Assumptions!$B$10</x:f>
        <x:v>0</x:v>
      </x:c>
      <x:c r="P1273" s="54" t="n">
        <x:f>E1273*(1+N1273)</x:f>
        <x:v>42072.296252414686</x:v>
      </x:c>
      <x:c r="Q1273" s="54" t="n">
        <x:f>P1273-E1273</x:f>
        <x:v>-2058.703747585314</x:v>
      </x:c>
      <x:c r="R1273" s="16" t="str">
        <x:v>Yes</x:v>
      </x:c>
      <x:c r="S1273" s="56" t="n">
        <x:v>13706</x:v>
      </x:c>
      <x:c r="T1273" s="56" t="n">
        <x:v>18525</x:v>
      </x:c>
      <x:c r="U1273" s="40" t="n">
        <x:f>E1273*Assumptions!$B$8</x:f>
        <x:v>37511.35</x:v>
      </x:c>
      <x:c r="V1273" s="40" t="n">
        <x:f>P1273*Assumptions!$B$8</x:f>
        <x:v>35761.451814552485</x:v>
      </x:c>
      <x:c r="W1273" s="54" t="n">
        <x:f>V1273-U1273</x:f>
        <x:v>-1749.8981854475132</x:v>
      </x:c>
      <x:c r="X1273" s="58" t="n">
        <x:f>IF(R1273="No","",W1273*S1273)</x:f>
        <x:v>-23984104.529743616</x:v>
      </x:c>
      <x:c r="Y1273" s="58" t="n">
        <x:f>IF(R1273="No","",W1273*T1273*Assumptions!$B$9)</x:f>
        <x:v>-9725059.165624553</x:v>
      </x:c>
      <x:c r="Z1273" s="58" t="n">
        <x:f>IF(R1273="No","",X1273-Y1273)</x:f>
        <x:v>-14259045.364119062</x:v>
      </x:c>
      <x:c r="AA1273" s="58" t="n">
        <x:f>IF(R1273="No","",MAX(0,-Z1273))</x:f>
        <x:v>14259045.364119062</x:v>
      </x:c>
      <x:c r="AB1273" s="52" t="n">
        <x:f>IF(OR(R1273="No",U1273*S1273=0),"",AA1273/(U1273*S1273))</x:f>
        <x:v>0.02773428850084844</x:v>
      </x:c>
      <x:c r="AC1273" s="54" t="n">
        <x:f>IF(OR(R1273="No",S1273-T1273*Assumptions!$B$9&lt;=0),"",AA1273/(Assumptions!$B$8*(S1273-T1273*Assumptions!$B$9)))</x:f>
        <x:v>2058.70374758531</x:v>
      </x:c>
      <x:c r="AD1273" s="52" t="n">
        <x:f>IF(OR(R1273="No",U1273*S1273=0),"",AA1273/(U1273*S1273))</x:f>
        <x:v>0.02773428850084844</x:v>
      </x:c>
      <x:c r="AE1273" s="50" t="str">
        <x:f>IF(R1273="No","No finance data",IF(AB1273&gt;=10%,"Severe",IF(AB1273&gt;=5%,"High",IF(AB1273&gt;=2%,"Moderate","Low"))))</x:f>
        <x:v>Moderate</x:v>
      </x:c>
      <x:c r="AF1273" s="60" t="n">
        <x:v>39.999324</x:v>
      </x:c>
      <x:c r="AG1273" s="60" t="n">
        <x:v>-83.014853</x:v>
      </x:c>
      <x:c r="AH1273" s="44" t="str">
        <x:v>Undergraduate tuition-contribution proxy only; not an audited total institutional budget.</x:v>
      </x:c>
    </x:row>
    <x:row r="1274">
      <x:c r="A1274" s="16" t="n">
        <x:v>204699</x:v>
      </x:c>
      <x:c r="B1274" s="16" t="str">
        <x:v>Ohio State University-Marion Campus</x:v>
      </x:c>
      <x:c r="C1274" s="16" t="str">
        <x:v>OH</x:v>
      </x:c>
      <x:c r="D1274" s="16" t="str">
        <x:v>Public</x:v>
      </x:c>
      <x:c r="E1274" s="34" t="n">
        <x:v>1016</x:v>
      </x:c>
      <x:c r="F1274" s="21"/>
      <x:c r="G1274" s="16" t="str">
        <x:v>Regional</x:v>
      </x:c>
      <x:c r="H1274" s="36" t="n">
        <x:f>IF(G1274="National",Assumptions!$B$11,IF(G1274="Statewide",Assumptions!$B$12,Assumptions!$B$13))</x:f>
        <x:v>0.85</x:v>
      </x:c>
      <x:c r="I1274" s="21" t="n">
        <x:v>-0.04950305674999822</x:v>
      </x:c>
      <x:c r="J1274" s="21" t="n">
        <x:v>-0.04440257007856163</x:v>
      </x:c>
      <x:c r="K1274" s="21" t="n">
        <x:v>-0.11831712275879658</x:v>
      </x:c>
      <x:c r="L1274" s="36" t="n">
        <x:f>IF(Assumptions!$B$4=2030,I1274,IF(Assumptions!$B$4=2035,J1274,K1274))</x:f>
        <x:v>-0.04440257007856163</x:v>
      </x:c>
      <x:c r="M1274" s="36" t="n">
        <x:f>Assumptions!$B$19</x:f>
        <x:v>-0.04739891965741583</x:v>
      </x:c>
      <x:c r="N1274" s="52" t="n">
        <x:f>H1274*L1274+(1-H1274)*M1274+O1274</x:f>
        <x:v>-0.044852022515389764</x:v>
      </x:c>
      <x:c r="O1274" s="36" t="n">
        <x:f>Assumptions!$B$10</x:f>
        <x:v>0</x:v>
      </x:c>
      <x:c r="P1274" s="54" t="n">
        <x:f>E1274*(1+N1274)</x:f>
        <x:v>970.430345124364</x:v>
      </x:c>
      <x:c r="Q1274" s="54" t="n">
        <x:f>P1274-E1274</x:f>
        <x:v>-45.56965487563605</x:v>
      </x:c>
      <x:c r="R1274" s="16" t="str">
        <x:v>No</x:v>
      </x:c>
      <x:c r="S1274" s="56"/>
      <x:c r="T1274" s="56"/>
      <x:c r="U1274" s="40" t="n">
        <x:f>E1274*Assumptions!$B$8</x:f>
        <x:v>863.6</x:v>
      </x:c>
      <x:c r="V1274" s="40" t="n">
        <x:f>P1274*Assumptions!$B$8</x:f>
        <x:v>824.8657933557093</x:v>
      </x:c>
      <x:c r="W1274" s="54" t="n">
        <x:f>V1274-U1274</x:f>
        <x:v>-38.73420664429068</x:v>
      </x:c>
      <x:c r="X1274" s="58" t="str">
        <x:f>IF(R1274="No","",W1274*S1274)</x:f>
      </x:c>
      <x:c r="Y1274" s="58" t="str">
        <x:f>IF(R1274="No","",W1274*T1274*Assumptions!$B$9)</x:f>
      </x:c>
      <x:c r="Z1274" s="58" t="str">
        <x:f>IF(R1274="No","",X1274-Y1274)</x:f>
      </x:c>
      <x:c r="AA1274" s="58" t="str">
        <x:f>IF(R1274="No","",MAX(0,-Z1274))</x:f>
      </x:c>
      <x:c r="AB1274" s="52" t="str">
        <x:f>IF(OR(R1274="No",U1274*S1274=0),"",AA1274/(U1274*S1274))</x:f>
      </x:c>
      <x:c r="AC1274" s="54" t="str">
        <x:f>IF(OR(R1274="No",S1274-T1274*Assumptions!$B$9&lt;=0),"",AA1274/(Assumptions!$B$8*(S1274-T1274*Assumptions!$B$9)))</x:f>
      </x:c>
      <x:c r="AD1274" s="52" t="str">
        <x:f>IF(OR(R1274="No",U1274*S1274=0),"",AA1274/(U1274*S1274))</x:f>
      </x:c>
      <x:c r="AE1274" s="50" t="str">
        <x:f>IF(R1274="No","No finance data",IF(AB1274&gt;=10%,"Severe",IF(AB1274&gt;=5%,"High",IF(AB1274&gt;=2%,"Moderate","Low"))))</x:f>
        <x:v>No finance data</x:v>
      </x:c>
      <x:c r="AF1274" s="60"/>
      <x:c r="AG1274" s="60"/>
      <x:c r="AH1274" s="44" t="str">
        <x:v>Undergraduate tuition-contribution proxy only; not an audited total institutional budget.</x:v>
      </x:c>
    </x:row>
    <x:row r="1275">
      <x:c r="A1275" s="16" t="n">
        <x:v>204857</x:v>
      </x:c>
      <x:c r="B1275" s="16" t="str">
        <x:v>Ohio University-Main Campus</x:v>
      </x:c>
      <x:c r="C1275" s="16" t="str">
        <x:v>OH</x:v>
      </x:c>
      <x:c r="D1275" s="16" t="str">
        <x:v>Public</x:v>
      </x:c>
      <x:c r="E1275" s="34" t="n">
        <x:v>23335</x:v>
      </x:c>
      <x:c r="F1275" s="21" t="n">
        <x:v>0.8855</x:v>
      </x:c>
      <x:c r="G1275" s="16" t="str">
        <x:v>Statewide</x:v>
      </x:c>
      <x:c r="H1275" s="36" t="n">
        <x:f>IF(G1275="National",Assumptions!$B$11,IF(G1275="Statewide",Assumptions!$B$12,Assumptions!$B$13))</x:f>
        <x:v>0.6</x:v>
      </x:c>
      <x:c r="I1275" s="21" t="n">
        <x:v>-0.04950305674999822</x:v>
      </x:c>
      <x:c r="J1275" s="21" t="n">
        <x:v>-0.04440257007856163</x:v>
      </x:c>
      <x:c r="K1275" s="21" t="n">
        <x:v>-0.11831712275879658</x:v>
      </x:c>
      <x:c r="L1275" s="36" t="n">
        <x:f>IF(Assumptions!$B$4=2030,I1275,IF(Assumptions!$B$4=2035,J1275,K1275))</x:f>
        <x:v>-0.04440257007856163</x:v>
      </x:c>
      <x:c r="M1275" s="36" t="n">
        <x:f>Assumptions!$B$19</x:f>
        <x:v>-0.04739891965741583</x:v>
      </x:c>
      <x:c r="N1275" s="52" t="n">
        <x:f>H1275*L1275+(1-H1275)*M1275+O1275</x:f>
        <x:v>-0.04560110991010331</x:v>
      </x:c>
      <x:c r="O1275" s="36" t="n">
        <x:f>Assumptions!$B$10</x:f>
        <x:v>0</x:v>
      </x:c>
      <x:c r="P1275" s="54" t="n">
        <x:f>E1275*(1+N1275)</x:f>
        <x:v>22270.898100247738</x:v>
      </x:c>
      <x:c r="Q1275" s="54" t="n">
        <x:f>P1275-E1275</x:f>
        <x:v>-1064.1018997522624</x:v>
      </x:c>
      <x:c r="R1275" s="16" t="str">
        <x:v>Yes</x:v>
      </x:c>
      <x:c r="S1275" s="56" t="n">
        <x:v>11626</x:v>
      </x:c>
      <x:c r="T1275" s="56" t="n">
        <x:v>10973</x:v>
      </x:c>
      <x:c r="U1275" s="40" t="n">
        <x:f>E1275*Assumptions!$B$8</x:f>
        <x:v>19834.75</x:v>
      </x:c>
      <x:c r="V1275" s="40" t="n">
        <x:f>P1275*Assumptions!$B$8</x:f>
        <x:v>18930.263385210576</x:v>
      </x:c>
      <x:c r="W1275" s="54" t="n">
        <x:f>V1275-U1275</x:f>
        <x:v>-904.4866147894245</x:v>
      </x:c>
      <x:c r="X1275" s="58" t="n">
        <x:f>IF(R1275="No","",W1275*S1275)</x:f>
        <x:v>-10515561.383541849</x:v>
      </x:c>
      <x:c r="Y1275" s="58" t="n">
        <x:f>IF(R1275="No","",W1275*T1275*Assumptions!$B$9)</x:f>
        <x:v>-2977479.4872253067</x:v>
      </x:c>
      <x:c r="Z1275" s="58" t="n">
        <x:f>IF(R1275="No","",X1275-Y1275)</x:f>
        <x:v>-7538081.896316541</x:v>
      </x:c>
      <x:c r="AA1275" s="58" t="n">
        <x:f>IF(R1275="No","",MAX(0,-Z1275))</x:f>
        <x:v>7538081.896316541</x:v>
      </x:c>
      <x:c r="AB1275" s="52" t="n">
        <x:f>IF(OR(R1275="No",U1275*S1275=0),"",AA1275/(U1275*S1275))</x:f>
        <x:v>0.03268916309150122</x:v>
      </x:c>
      <x:c r="AC1275" s="54" t="n">
        <x:f>IF(OR(R1275="No",S1275-T1275*Assumptions!$B$9&lt;=0),"",AA1275/(Assumptions!$B$8*(S1275-T1275*Assumptions!$B$9)))</x:f>
        <x:v>1064.101899752264</x:v>
      </x:c>
      <x:c r="AD1275" s="52" t="n">
        <x:f>IF(OR(R1275="No",U1275*S1275=0),"",AA1275/(U1275*S1275))</x:f>
        <x:v>0.03268916309150122</x:v>
      </x:c>
      <x:c r="AE1275" s="50" t="str">
        <x:f>IF(R1275="No","No finance data",IF(AB1275&gt;=10%,"Severe",IF(AB1275&gt;=5%,"High",IF(AB1275&gt;=2%,"Moderate","Low"))))</x:f>
        <x:v>Moderate</x:v>
      </x:c>
      <x:c r="AF1275" s="60" t="n">
        <x:v>39.326798</x:v>
      </x:c>
      <x:c r="AG1275" s="60" t="n">
        <x:v>-82.100985</x:v>
      </x:c>
      <x:c r="AH1275" s="44" t="str">
        <x:v>Undergraduate tuition-contribution proxy only; not an audited total institutional budget.</x:v>
      </x:c>
    </x:row>
    <x:row r="1276">
      <x:c r="A1276" s="16" t="n">
        <x:v>204909</x:v>
      </x:c>
      <x:c r="B1276" s="16" t="str">
        <x:v>Ohio Wesleyan University</x:v>
      </x:c>
      <x:c r="C1276" s="16" t="str">
        <x:v>OH</x:v>
      </x:c>
      <x:c r="D1276" s="16" t="str">
        <x:v>Private nonprofit</x:v>
      </x:c>
      <x:c r="E1276" s="34" t="n">
        <x:v>1665</x:v>
      </x:c>
      <x:c r="F1276" s="21" t="n">
        <x:v>0.7402</x:v>
      </x:c>
      <x:c r="G1276" s="16" t="str">
        <x:v>Regional</x:v>
      </x:c>
      <x:c r="H1276" s="36" t="n">
        <x:f>IF(G1276="National",Assumptions!$B$11,IF(G1276="Statewide",Assumptions!$B$12,Assumptions!$B$13))</x:f>
        <x:v>0.85</x:v>
      </x:c>
      <x:c r="I1276" s="21" t="n">
        <x:v>-0.04950305674999822</x:v>
      </x:c>
      <x:c r="J1276" s="21" t="n">
        <x:v>-0.04440257007856163</x:v>
      </x:c>
      <x:c r="K1276" s="21" t="n">
        <x:v>-0.11831712275879658</x:v>
      </x:c>
      <x:c r="L1276" s="36" t="n">
        <x:f>IF(Assumptions!$B$4=2030,I1276,IF(Assumptions!$B$4=2035,J1276,K1276))</x:f>
        <x:v>-0.04440257007856163</x:v>
      </x:c>
      <x:c r="M1276" s="36" t="n">
        <x:f>Assumptions!$B$19</x:f>
        <x:v>-0.04739891965741583</x:v>
      </x:c>
      <x:c r="N1276" s="52" t="n">
        <x:f>H1276*L1276+(1-H1276)*M1276+O1276</x:f>
        <x:v>-0.044852022515389764</x:v>
      </x:c>
      <x:c r="O1276" s="36" t="n">
        <x:f>Assumptions!$B$10</x:f>
        <x:v>0</x:v>
      </x:c>
      <x:c r="P1276" s="54" t="n">
        <x:f>E1276*(1+N1276)</x:f>
        <x:v>1590.321382511876</x:v>
      </x:c>
      <x:c r="Q1276" s="54" t="n">
        <x:f>P1276-E1276</x:f>
        <x:v>-74.67861748812402</x:v>
      </x:c>
      <x:c r="R1276" s="16" t="str">
        <x:v>Yes</x:v>
      </x:c>
      <x:c r="S1276" s="56" t="n">
        <x:v>12949</x:v>
      </x:c>
      <x:c r="T1276" s="56" t="n">
        <x:v>15294</x:v>
      </x:c>
      <x:c r="U1276" s="40" t="n">
        <x:f>E1276*Assumptions!$B$8</x:f>
        <x:v>1415.25</x:v>
      </x:c>
      <x:c r="V1276" s="40" t="n">
        <x:f>P1276*Assumptions!$B$8</x:f>
        <x:v>1351.7731751350946</x:v>
      </x:c>
      <x:c r="W1276" s="54" t="n">
        <x:f>V1276-U1276</x:f>
        <x:v>-63.47682486490544</x:v>
      </x:c>
      <x:c r="X1276" s="58" t="n">
        <x:f>IF(R1276="No","",W1276*S1276)</x:f>
        <x:v>-821961.4051756605</x:v>
      </x:c>
      <x:c r="Y1276" s="58" t="n">
        <x:f>IF(R1276="No","",W1276*T1276*Assumptions!$B$9)</x:f>
        <x:v>-291244.36784515914</x:v>
      </x:c>
      <x:c r="Z1276" s="58" t="n">
        <x:f>IF(R1276="No","",X1276-Y1276)</x:f>
        <x:v>-530717.0373305014</x:v>
      </x:c>
      <x:c r="AA1276" s="58" t="n">
        <x:f>IF(R1276="No","",MAX(0,-Z1276))</x:f>
        <x:v>530717.0373305014</x:v>
      </x:c>
      <x:c r="AB1276" s="52" t="n">
        <x:f>IF(OR(R1276="No",U1276*S1276=0),"",AA1276/(U1276*S1276))</x:f>
        <x:v>0.028959671777486384</x:v>
      </x:c>
      <x:c r="AC1276" s="54" t="n">
        <x:f>IF(OR(R1276="No",S1276-T1276*Assumptions!$B$9&lt;=0),"",AA1276/(Assumptions!$B$8*(S1276-T1276*Assumptions!$B$9)))</x:f>
        <x:v>74.67861748812405</x:v>
      </x:c>
      <x:c r="AD1276" s="52" t="n">
        <x:f>IF(OR(R1276="No",U1276*S1276=0),"",AA1276/(U1276*S1276))</x:f>
        <x:v>0.028959671777486384</x:v>
      </x:c>
      <x:c r="AE1276" s="50" t="str">
        <x:f>IF(R1276="No","No finance data",IF(AB1276&gt;=10%,"Severe",IF(AB1276&gt;=5%,"High",IF(AB1276&gt;=2%,"Moderate","Low"))))</x:f>
        <x:v>Moderate</x:v>
      </x:c>
      <x:c r="AF1276" s="60" t="n">
        <x:v>40.295963</x:v>
      </x:c>
      <x:c r="AG1276" s="60" t="n">
        <x:v>-83.069757</x:v>
      </x:c>
      <x:c r="AH1276" s="44" t="str">
        <x:v>Undergraduate tuition-contribution proxy only; not an audited total institutional budget.</x:v>
      </x:c>
    </x:row>
    <x:row r="1277">
      <x:c r="A1277" s="16" t="n">
        <x:v>204936</x:v>
      </x:c>
      <x:c r="B1277" s="16" t="str">
        <x:v>Otterbein University</x:v>
      </x:c>
      <x:c r="C1277" s="16" t="str">
        <x:v>OH</x:v>
      </x:c>
      <x:c r="D1277" s="16" t="str">
        <x:v>Private nonprofit</x:v>
      </x:c>
      <x:c r="E1277" s="34" t="n">
        <x:v>2235</x:v>
      </x:c>
      <x:c r="F1277" s="21" t="n">
        <x:v>0.829</x:v>
      </x:c>
      <x:c r="G1277" s="16" t="str">
        <x:v>Regional</x:v>
      </x:c>
      <x:c r="H1277" s="36" t="n">
        <x:f>IF(G1277="National",Assumptions!$B$11,IF(G1277="Statewide",Assumptions!$B$12,Assumptions!$B$13))</x:f>
        <x:v>0.85</x:v>
      </x:c>
      <x:c r="I1277" s="21" t="n">
        <x:v>-0.04950305674999822</x:v>
      </x:c>
      <x:c r="J1277" s="21" t="n">
        <x:v>-0.04440257007856163</x:v>
      </x:c>
      <x:c r="K1277" s="21" t="n">
        <x:v>-0.11831712275879658</x:v>
      </x:c>
      <x:c r="L1277" s="36" t="n">
        <x:f>IF(Assumptions!$B$4=2030,I1277,IF(Assumptions!$B$4=2035,J1277,K1277))</x:f>
        <x:v>-0.04440257007856163</x:v>
      </x:c>
      <x:c r="M1277" s="36" t="n">
        <x:f>Assumptions!$B$19</x:f>
        <x:v>-0.04739891965741583</x:v>
      </x:c>
      <x:c r="N1277" s="52" t="n">
        <x:f>H1277*L1277+(1-H1277)*M1277+O1277</x:f>
        <x:v>-0.044852022515389764</x:v>
      </x:c>
      <x:c r="O1277" s="36" t="n">
        <x:f>Assumptions!$B$10</x:f>
        <x:v>0</x:v>
      </x:c>
      <x:c r="P1277" s="54" t="n">
        <x:f>E1277*(1+N1277)</x:f>
        <x:v>2134.7557296781038</x:v>
      </x:c>
      <x:c r="Q1277" s="54" t="n">
        <x:f>P1277-E1277</x:f>
        <x:v>-100.24427032189624</x:v>
      </x:c>
      <x:c r="R1277" s="16" t="str">
        <x:v>Yes</x:v>
      </x:c>
      <x:c r="S1277" s="56" t="n">
        <x:v>15391</x:v>
      </x:c>
      <x:c r="T1277" s="56" t="n">
        <x:v>10083</x:v>
      </x:c>
      <x:c r="U1277" s="40" t="n">
        <x:f>E1277*Assumptions!$B$8</x:f>
        <x:v>1899.75</x:v>
      </x:c>
      <x:c r="V1277" s="40" t="n">
        <x:f>P1277*Assumptions!$B$8</x:f>
        <x:v>1814.5423702263881</x:v>
      </x:c>
      <x:c r="W1277" s="54" t="n">
        <x:f>V1277-U1277</x:f>
        <x:v>-85.20762977361187</x:v>
      </x:c>
      <x:c r="X1277" s="58" t="n">
        <x:f>IF(R1277="No","",W1277*S1277)</x:f>
        <x:v>-1311430.6298456604</x:v>
      </x:c>
      <x:c r="Y1277" s="58" t="n">
        <x:f>IF(R1277="No","",W1277*T1277*Assumptions!$B$9)</x:f>
        <x:v>-257744.55930219856</x:v>
      </x:c>
      <x:c r="Z1277" s="58" t="n">
        <x:f>IF(R1277="No","",X1277-Y1277)</x:f>
        <x:v>-1053686.070543462</x:v>
      </x:c>
      <x:c r="AA1277" s="58" t="n">
        <x:f>IF(R1277="No","",MAX(0,-Z1277))</x:f>
        <x:v>1053686.070543462</x:v>
      </x:c>
      <x:c r="AB1277" s="52" t="n">
        <x:f>IF(OR(R1277="No",U1277*S1277=0),"",AA1277/(U1277*S1277))</x:f>
        <x:v>0.03603694338428708</x:v>
      </x:c>
      <x:c r="AC1277" s="54" t="n">
        <x:f>IF(OR(R1277="No",S1277-T1277*Assumptions!$B$9&lt;=0),"",AA1277/(Assumptions!$B$8*(S1277-T1277*Assumptions!$B$9)))</x:f>
        <x:v>100.24427032189634</x:v>
      </x:c>
      <x:c r="AD1277" s="52" t="n">
        <x:f>IF(OR(R1277="No",U1277*S1277=0),"",AA1277/(U1277*S1277))</x:f>
        <x:v>0.03603694338428708</x:v>
      </x:c>
      <x:c r="AE1277" s="50" t="str">
        <x:f>IF(R1277="No","No finance data",IF(AB1277&gt;=10%,"Severe",IF(AB1277&gt;=5%,"High",IF(AB1277&gt;=2%,"Moderate","Low"))))</x:f>
        <x:v>Moderate</x:v>
      </x:c>
      <x:c r="AF1277" s="60" t="n">
        <x:v>40.125327</x:v>
      </x:c>
      <x:c r="AG1277" s="60" t="n">
        <x:v>-82.936444</x:v>
      </x:c>
      <x:c r="AH1277" s="44" t="str">
        <x:v>Undergraduate tuition-contribution proxy only; not an audited total institutional budget.</x:v>
      </x:c>
    </x:row>
    <x:row r="1278">
      <x:c r="A1278" s="16" t="n">
        <x:v>205027</x:v>
      </x:c>
      <x:c r="B1278" s="16" t="str">
        <x:v>Pontifical College Josephinum</x:v>
      </x:c>
      <x:c r="C1278" s="16" t="str">
        <x:v>OH</x:v>
      </x:c>
      <x:c r="D1278" s="16" t="str">
        <x:v>Private nonprofit</x:v>
      </x:c>
      <x:c r="E1278" s="34" t="n">
        <x:v>111</x:v>
      </x:c>
      <x:c r="F1278" s="21"/>
      <x:c r="G1278" s="16" t="str">
        <x:v>Regional</x:v>
      </x:c>
      <x:c r="H1278" s="36" t="n">
        <x:f>IF(G1278="National",Assumptions!$B$11,IF(G1278="Statewide",Assumptions!$B$12,Assumptions!$B$13))</x:f>
        <x:v>0.85</x:v>
      </x:c>
      <x:c r="I1278" s="21" t="n">
        <x:v>-0.04950305674999822</x:v>
      </x:c>
      <x:c r="J1278" s="21" t="n">
        <x:v>-0.04440257007856163</x:v>
      </x:c>
      <x:c r="K1278" s="21" t="n">
        <x:v>-0.11831712275879658</x:v>
      </x:c>
      <x:c r="L1278" s="36" t="n">
        <x:f>IF(Assumptions!$B$4=2030,I1278,IF(Assumptions!$B$4=2035,J1278,K1278))</x:f>
        <x:v>-0.04440257007856163</x:v>
      </x:c>
      <x:c r="M1278" s="36" t="n">
        <x:f>Assumptions!$B$19</x:f>
        <x:v>-0.04739891965741583</x:v>
      </x:c>
      <x:c r="N1278" s="52" t="n">
        <x:f>H1278*L1278+(1-H1278)*M1278+O1278</x:f>
        <x:v>-0.044852022515389764</x:v>
      </x:c>
      <x:c r="O1278" s="36" t="n">
        <x:f>Assumptions!$B$10</x:f>
        <x:v>0</x:v>
      </x:c>
      <x:c r="P1278" s="54" t="n">
        <x:f>E1278*(1+N1278)</x:f>
        <x:v>106.02142550079174</x:v>
      </x:c>
      <x:c r="Q1278" s="54" t="n">
        <x:f>P1278-E1278</x:f>
        <x:v>-4.978574499208264</x:v>
      </x:c>
      <x:c r="R1278" s="16" t="str">
        <x:v>No</x:v>
      </x:c>
      <x:c r="S1278" s="56"/>
      <x:c r="T1278" s="56"/>
      <x:c r="U1278" s="40" t="n">
        <x:f>E1278*Assumptions!$B$8</x:f>
        <x:v>94.35</x:v>
      </x:c>
      <x:c r="V1278" s="40" t="n">
        <x:f>P1278*Assumptions!$B$8</x:f>
        <x:v>90.11821167567297</x:v>
      </x:c>
      <x:c r="W1278" s="54" t="n">
        <x:f>V1278-U1278</x:f>
        <x:v>-4.231788324327027</x:v>
      </x:c>
      <x:c r="X1278" s="58" t="str">
        <x:f>IF(R1278="No","",W1278*S1278)</x:f>
      </x:c>
      <x:c r="Y1278" s="58" t="str">
        <x:f>IF(R1278="No","",W1278*T1278*Assumptions!$B$9)</x:f>
      </x:c>
      <x:c r="Z1278" s="58" t="str">
        <x:f>IF(R1278="No","",X1278-Y1278)</x:f>
      </x:c>
      <x:c r="AA1278" s="58" t="str">
        <x:f>IF(R1278="No","",MAX(0,-Z1278))</x:f>
      </x:c>
      <x:c r="AB1278" s="52" t="str">
        <x:f>IF(OR(R1278="No",U1278*S1278=0),"",AA1278/(U1278*S1278))</x:f>
      </x:c>
      <x:c r="AC1278" s="54" t="str">
        <x:f>IF(OR(R1278="No",S1278-T1278*Assumptions!$B$9&lt;=0),"",AA1278/(Assumptions!$B$8*(S1278-T1278*Assumptions!$B$9)))</x:f>
      </x:c>
      <x:c r="AD1278" s="52" t="str">
        <x:f>IF(OR(R1278="No",U1278*S1278=0),"",AA1278/(U1278*S1278))</x:f>
      </x:c>
      <x:c r="AE1278" s="50" t="str">
        <x:f>IF(R1278="No","No finance data",IF(AB1278&gt;=10%,"Severe",IF(AB1278&gt;=5%,"High",IF(AB1278&gt;=2%,"Moderate","Low"))))</x:f>
        <x:v>No finance data</x:v>
      </x:c>
      <x:c r="AF1278" s="60"/>
      <x:c r="AG1278" s="60"/>
      <x:c r="AH1278" s="44" t="str">
        <x:v>Undergraduate tuition-contribution proxy only; not an audited total institutional budget.</x:v>
      </x:c>
    </x:row>
    <x:row r="1279">
      <x:c r="A1279" s="16" t="n">
        <x:v>205124</x:v>
      </x:c>
      <x:c r="B1279" s="16" t="str">
        <x:v>Rabbinical College Telshe</x:v>
      </x:c>
      <x:c r="C1279" s="16" t="str">
        <x:v>OH</x:v>
      </x:c>
      <x:c r="D1279" s="16" t="str">
        <x:v>Private nonprofit</x:v>
      </x:c>
      <x:c r="E1279" s="34" t="n">
        <x:v>38</x:v>
      </x:c>
      <x:c r="F1279" s="21"/>
      <x:c r="G1279" s="16" t="str">
        <x:v>Regional</x:v>
      </x:c>
      <x:c r="H1279" s="36" t="n">
        <x:f>IF(G1279="National",Assumptions!$B$11,IF(G1279="Statewide",Assumptions!$B$12,Assumptions!$B$13))</x:f>
        <x:v>0.85</x:v>
      </x:c>
      <x:c r="I1279" s="21" t="n">
        <x:v>-0.04950305674999822</x:v>
      </x:c>
      <x:c r="J1279" s="21" t="n">
        <x:v>-0.04440257007856163</x:v>
      </x:c>
      <x:c r="K1279" s="21" t="n">
        <x:v>-0.11831712275879658</x:v>
      </x:c>
      <x:c r="L1279" s="36" t="n">
        <x:f>IF(Assumptions!$B$4=2030,I1279,IF(Assumptions!$B$4=2035,J1279,K1279))</x:f>
        <x:v>-0.04440257007856163</x:v>
      </x:c>
      <x:c r="M1279" s="36" t="n">
        <x:f>Assumptions!$B$19</x:f>
        <x:v>-0.04739891965741583</x:v>
      </x:c>
      <x:c r="N1279" s="52" t="n">
        <x:f>H1279*L1279+(1-H1279)*M1279+O1279</x:f>
        <x:v>-0.044852022515389764</x:v>
      </x:c>
      <x:c r="O1279" s="36" t="n">
        <x:f>Assumptions!$B$10</x:f>
        <x:v>0</x:v>
      </x:c>
      <x:c r="P1279" s="54" t="n">
        <x:f>E1279*(1+N1279)</x:f>
        <x:v>36.29562314441519</x:v>
      </x:c>
      <x:c r="Q1279" s="54" t="n">
        <x:f>P1279-E1279</x:f>
        <x:v>-1.7043768555848118</x:v>
      </x:c>
      <x:c r="R1279" s="16" t="str">
        <x:v>No</x:v>
      </x:c>
      <x:c r="S1279" s="56"/>
      <x:c r="T1279" s="56"/>
      <x:c r="U1279" s="40" t="n">
        <x:f>E1279*Assumptions!$B$8</x:f>
        <x:v>32.3</x:v>
      </x:c>
      <x:c r="V1279" s="40" t="n">
        <x:f>P1279*Assumptions!$B$8</x:f>
        <x:v>30.85127967275291</x:v>
      </x:c>
      <x:c r="W1279" s="54" t="n">
        <x:f>V1279-U1279</x:f>
        <x:v>-1.4487203272470879</x:v>
      </x:c>
      <x:c r="X1279" s="58" t="str">
        <x:f>IF(R1279="No","",W1279*S1279)</x:f>
      </x:c>
      <x:c r="Y1279" s="58" t="str">
        <x:f>IF(R1279="No","",W1279*T1279*Assumptions!$B$9)</x:f>
      </x:c>
      <x:c r="Z1279" s="58" t="str">
        <x:f>IF(R1279="No","",X1279-Y1279)</x:f>
      </x:c>
      <x:c r="AA1279" s="58" t="str">
        <x:f>IF(R1279="No","",MAX(0,-Z1279))</x:f>
      </x:c>
      <x:c r="AB1279" s="52" t="str">
        <x:f>IF(OR(R1279="No",U1279*S1279=0),"",AA1279/(U1279*S1279))</x:f>
      </x:c>
      <x:c r="AC1279" s="54" t="str">
        <x:f>IF(OR(R1279="No",S1279-T1279*Assumptions!$B$9&lt;=0),"",AA1279/(Assumptions!$B$8*(S1279-T1279*Assumptions!$B$9)))</x:f>
      </x:c>
      <x:c r="AD1279" s="52" t="str">
        <x:f>IF(OR(R1279="No",U1279*S1279=0),"",AA1279/(U1279*S1279))</x:f>
      </x:c>
      <x:c r="AE1279" s="50" t="str">
        <x:f>IF(R1279="No","No finance data",IF(AB1279&gt;=10%,"Severe",IF(AB1279&gt;=5%,"High",IF(AB1279&gt;=2%,"Moderate","Low"))))</x:f>
        <x:v>No finance data</x:v>
      </x:c>
      <x:c r="AF1279" s="60"/>
      <x:c r="AG1279" s="60"/>
      <x:c r="AH1279" s="44" t="str">
        <x:v>Undergraduate tuition-contribution proxy only; not an audited total institutional budget.</x:v>
      </x:c>
    </x:row>
    <x:row r="1280">
      <x:c r="A1280" s="16" t="n">
        <x:v>205443</x:v>
      </x:c>
      <x:c r="B1280" s="16" t="str">
        <x:v>Shawnee State University</x:v>
      </x:c>
      <x:c r="C1280" s="16" t="str">
        <x:v>OH</x:v>
      </x:c>
      <x:c r="D1280" s="16" t="str">
        <x:v>Public</x:v>
      </x:c>
      <x:c r="E1280" s="34" t="n">
        <x:v>3446</x:v>
      </x:c>
      <x:c r="F1280" s="21"/>
      <x:c r="G1280" s="16" t="str">
        <x:v>Regional</x:v>
      </x:c>
      <x:c r="H1280" s="36" t="n">
        <x:f>IF(G1280="National",Assumptions!$B$11,IF(G1280="Statewide",Assumptions!$B$12,Assumptions!$B$13))</x:f>
        <x:v>0.85</x:v>
      </x:c>
      <x:c r="I1280" s="21" t="n">
        <x:v>-0.04950305674999822</x:v>
      </x:c>
      <x:c r="J1280" s="21" t="n">
        <x:v>-0.04440257007856163</x:v>
      </x:c>
      <x:c r="K1280" s="21" t="n">
        <x:v>-0.11831712275879658</x:v>
      </x:c>
      <x:c r="L1280" s="36" t="n">
        <x:f>IF(Assumptions!$B$4=2030,I1280,IF(Assumptions!$B$4=2035,J1280,K1280))</x:f>
        <x:v>-0.04440257007856163</x:v>
      </x:c>
      <x:c r="M1280" s="36" t="n">
        <x:f>Assumptions!$B$19</x:f>
        <x:v>-0.04739891965741583</x:v>
      </x:c>
      <x:c r="N1280" s="52" t="n">
        <x:f>H1280*L1280+(1-H1280)*M1280+O1280</x:f>
        <x:v>-0.044852022515389764</x:v>
      </x:c>
      <x:c r="O1280" s="36" t="n">
        <x:f>Assumptions!$B$10</x:f>
        <x:v>0</x:v>
      </x:c>
      <x:c r="P1280" s="54" t="n">
        <x:f>E1280*(1+N1280)</x:f>
        <x:v>3291.439930411967</x:v>
      </x:c>
      <x:c r="Q1280" s="54" t="n">
        <x:f>P1280-E1280</x:f>
        <x:v>-154.560069588033</x:v>
      </x:c>
      <x:c r="R1280" s="16" t="str">
        <x:v>Yes</x:v>
      </x:c>
      <x:c r="S1280" s="56" t="n">
        <x:v>5931</x:v>
      </x:c>
      <x:c r="T1280" s="56" t="n">
        <x:v>6293</x:v>
      </x:c>
      <x:c r="U1280" s="40" t="n">
        <x:f>E1280*Assumptions!$B$8</x:f>
        <x:v>2929.1</x:v>
      </x:c>
      <x:c r="V1280" s="40" t="n">
        <x:f>P1280*Assumptions!$B$8</x:f>
        <x:v>2797.723940850172</x:v>
      </x:c>
      <x:c r="W1280" s="54" t="n">
        <x:f>V1280-U1280</x:f>
        <x:v>-131.37605914982805</x:v>
      </x:c>
      <x:c r="X1280" s="58" t="n">
        <x:f>IF(R1280="No","",W1280*S1280)</x:f>
        <x:v>-779191.4068176302</x:v>
      </x:c>
      <x:c r="Y1280" s="58" t="n">
        <x:f>IF(R1280="No","",W1280*T1280*Assumptions!$B$9)</x:f>
        <x:v>-248024.86206896036</x:v>
      </x:c>
      <x:c r="Z1280" s="58" t="n">
        <x:f>IF(R1280="No","",X1280-Y1280)</x:f>
        <x:v>-531166.5447486698</x:v>
      </x:c>
      <x:c r="AA1280" s="58" t="n">
        <x:f>IF(R1280="No","",MAX(0,-Z1280))</x:f>
        <x:v>531166.5447486698</x:v>
      </x:c>
      <x:c r="AB1280" s="52" t="n">
        <x:f>IF(OR(R1280="No",U1280*S1280=0),"",AA1280/(U1280*S1280))</x:f>
        <x:v>0.030575149592306904</x:v>
      </x:c>
      <x:c r="AC1280" s="54" t="n">
        <x:f>IF(OR(R1280="No",S1280-T1280*Assumptions!$B$9&lt;=0),"",AA1280/(Assumptions!$B$8*(S1280-T1280*Assumptions!$B$9)))</x:f>
        <x:v>154.560069588033</x:v>
      </x:c>
      <x:c r="AD1280" s="52" t="n">
        <x:f>IF(OR(R1280="No",U1280*S1280=0),"",AA1280/(U1280*S1280))</x:f>
        <x:v>0.030575149592306904</x:v>
      </x:c>
      <x:c r="AE1280" s="50" t="str">
        <x:f>IF(R1280="No","No finance data",IF(AB1280&gt;=10%,"Severe",IF(AB1280&gt;=5%,"High",IF(AB1280&gt;=2%,"Moderate","Low"))))</x:f>
        <x:v>Moderate</x:v>
      </x:c>
      <x:c r="AF1280" s="60" t="n">
        <x:v>38.730867</x:v>
      </x:c>
      <x:c r="AG1280" s="60" t="n">
        <x:v>-82.993769</x:v>
      </x:c>
      <x:c r="AH1280" s="44" t="str">
        <x:v>Undergraduate tuition-contribution proxy only; not an audited total institutional budget.</x:v>
      </x:c>
    </x:row>
    <x:row r="1281">
      <x:c r="A1281" s="16" t="n">
        <x:v>206589</x:v>
      </x:c>
      <x:c r="B1281" s="16" t="str">
        <x:v>The College of Wooster</x:v>
      </x:c>
      <x:c r="C1281" s="16" t="str">
        <x:v>OH</x:v>
      </x:c>
      <x:c r="D1281" s="16" t="str">
        <x:v>Private nonprofit</x:v>
      </x:c>
      <x:c r="E1281" s="34" t="n">
        <x:v>2026</x:v>
      </x:c>
      <x:c r="F1281" s="21" t="n">
        <x:v>0.6063</x:v>
      </x:c>
      <x:c r="G1281" s="16" t="str">
        <x:v>Regional</x:v>
      </x:c>
      <x:c r="H1281" s="36" t="n">
        <x:f>IF(G1281="National",Assumptions!$B$11,IF(G1281="Statewide",Assumptions!$B$12,Assumptions!$B$13))</x:f>
        <x:v>0.85</x:v>
      </x:c>
      <x:c r="I1281" s="21" t="n">
        <x:v>-0.04950305674999822</x:v>
      </x:c>
      <x:c r="J1281" s="21" t="n">
        <x:v>-0.04440257007856163</x:v>
      </x:c>
      <x:c r="K1281" s="21" t="n">
        <x:v>-0.11831712275879658</x:v>
      </x:c>
      <x:c r="L1281" s="36" t="n">
        <x:f>IF(Assumptions!$B$4=2030,I1281,IF(Assumptions!$B$4=2035,J1281,K1281))</x:f>
        <x:v>-0.04440257007856163</x:v>
      </x:c>
      <x:c r="M1281" s="36" t="n">
        <x:f>Assumptions!$B$19</x:f>
        <x:v>-0.04739891965741583</x:v>
      </x:c>
      <x:c r="N1281" s="52" t="n">
        <x:f>H1281*L1281+(1-H1281)*M1281+O1281</x:f>
        <x:v>-0.044852022515389764</x:v>
      </x:c>
      <x:c r="O1281" s="36" t="n">
        <x:f>Assumptions!$B$10</x:f>
        <x:v>0</x:v>
      </x:c>
      <x:c r="P1281" s="54" t="n">
        <x:f>E1281*(1+N1281)</x:f>
        <x:v>1935.1298023838203</x:v>
      </x:c>
      <x:c r="Q1281" s="54" t="n">
        <x:f>P1281-E1281</x:f>
        <x:v>-90.87019761617967</x:v>
      </x:c>
      <x:c r="R1281" s="16" t="str">
        <x:v>Yes</x:v>
      </x:c>
      <x:c r="S1281" s="56" t="n">
        <x:v>18474</x:v>
      </x:c>
      <x:c r="T1281" s="56" t="n">
        <x:v>15081</x:v>
      </x:c>
      <x:c r="U1281" s="40" t="n">
        <x:f>E1281*Assumptions!$B$8</x:f>
        <x:v>1722.1</x:v>
      </x:c>
      <x:c r="V1281" s="40" t="n">
        <x:f>P1281*Assumptions!$B$8</x:f>
        <x:v>1644.8603320262473</x:v>
      </x:c>
      <x:c r="W1281" s="54" t="n">
        <x:f>V1281-U1281</x:f>
        <x:v>-77.2396679737526</x:v>
      </x:c>
      <x:c r="X1281" s="58" t="n">
        <x:f>IF(R1281="No","",W1281*S1281)</x:f>
        <x:v>-1426925.6261471056</x:v>
      </x:c>
      <x:c r="Y1281" s="58" t="n">
        <x:f>IF(R1281="No","",W1281*T1281*Assumptions!$B$9)</x:f>
        <x:v>-349455.4298136489</x:v>
      </x:c>
      <x:c r="Z1281" s="58" t="n">
        <x:f>IF(R1281="No","",X1281-Y1281)</x:f>
        <x:v>-1077470.1963334568</x:v>
      </x:c>
      <x:c r="AA1281" s="58" t="n">
        <x:f>IF(R1281="No","",MAX(0,-Z1281))</x:f>
        <x:v>1077470.1963334568</x:v>
      </x:c>
      <x:c r="AB1281" s="52" t="n">
        <x:f>IF(OR(R1281="No",U1281*S1281=0),"",AA1281/(U1281*S1281))</x:f>
        <x:v>0.03386771995685459</x:v>
      </x:c>
      <x:c r="AC1281" s="54" t="n">
        <x:f>IF(OR(R1281="No",S1281-T1281*Assumptions!$B$9&lt;=0),"",AA1281/(Assumptions!$B$8*(S1281-T1281*Assumptions!$B$9)))</x:f>
        <x:v>90.87019761617954</x:v>
      </x:c>
      <x:c r="AD1281" s="52" t="n">
        <x:f>IF(OR(R1281="No",U1281*S1281=0),"",AA1281/(U1281*S1281))</x:f>
        <x:v>0.03386771995685459</x:v>
      </x:c>
      <x:c r="AE1281" s="50" t="str">
        <x:f>IF(R1281="No","No finance data",IF(AB1281&gt;=10%,"Severe",IF(AB1281&gt;=5%,"High",IF(AB1281&gt;=2%,"Moderate","Low"))))</x:f>
        <x:v>Moderate</x:v>
      </x:c>
      <x:c r="AF1281" s="60" t="n">
        <x:v>40.81046</x:v>
      </x:c>
      <x:c r="AG1281" s="60" t="n">
        <x:v>-81.934674</x:v>
      </x:c>
      <x:c r="AH1281" s="44" t="str">
        <x:v>Undergraduate tuition-contribution proxy only; not an audited total institutional budget.</x:v>
      </x:c>
    </x:row>
    <x:row r="1282">
      <x:c r="A1282" s="16" t="n">
        <x:v>202763</x:v>
      </x:c>
      <x:c r="B1282" s="16" t="str">
        <x:v>The University of Findlay</x:v>
      </x:c>
      <x:c r="C1282" s="16" t="str">
        <x:v>OH</x:v>
      </x:c>
      <x:c r="D1282" s="16" t="str">
        <x:v>Private nonprofit</x:v>
      </x:c>
      <x:c r="E1282" s="34" t="n">
        <x:v>2882</x:v>
      </x:c>
      <x:c r="F1282" s="21" t="n">
        <x:v>0.836</x:v>
      </x:c>
      <x:c r="G1282" s="16" t="str">
        <x:v>Regional</x:v>
      </x:c>
      <x:c r="H1282" s="36" t="n">
        <x:f>IF(G1282="National",Assumptions!$B$11,IF(G1282="Statewide",Assumptions!$B$12,Assumptions!$B$13))</x:f>
        <x:v>0.85</x:v>
      </x:c>
      <x:c r="I1282" s="21" t="n">
        <x:v>-0.04950305674999822</x:v>
      </x:c>
      <x:c r="J1282" s="21" t="n">
        <x:v>-0.04440257007856163</x:v>
      </x:c>
      <x:c r="K1282" s="21" t="n">
        <x:v>-0.11831712275879658</x:v>
      </x:c>
      <x:c r="L1282" s="36" t="n">
        <x:f>IF(Assumptions!$B$4=2030,I1282,IF(Assumptions!$B$4=2035,J1282,K1282))</x:f>
        <x:v>-0.04440257007856163</x:v>
      </x:c>
      <x:c r="M1282" s="36" t="n">
        <x:f>Assumptions!$B$19</x:f>
        <x:v>-0.04739891965741583</x:v>
      </x:c>
      <x:c r="N1282" s="52" t="n">
        <x:f>H1282*L1282+(1-H1282)*M1282+O1282</x:f>
        <x:v>-0.044852022515389764</x:v>
      </x:c>
      <x:c r="O1282" s="36" t="n">
        <x:f>Assumptions!$B$10</x:f>
        <x:v>0</x:v>
      </x:c>
      <x:c r="P1282" s="54" t="n">
        <x:f>E1282*(1+N1282)</x:f>
        <x:v>2752.7364711106466</x:v>
      </x:c>
      <x:c r="Q1282" s="54" t="n">
        <x:f>P1282-E1282</x:f>
        <x:v>-129.26352888935344</x:v>
      </x:c>
      <x:c r="R1282" s="16" t="str">
        <x:v>Yes</x:v>
      </x:c>
      <x:c r="S1282" s="56" t="n">
        <x:v>14838</x:v>
      </x:c>
      <x:c r="T1282" s="56" t="n">
        <x:v>10006</x:v>
      </x:c>
      <x:c r="U1282" s="40" t="n">
        <x:f>E1282*Assumptions!$B$8</x:f>
        <x:v>2449.7</x:v>
      </x:c>
      <x:c r="V1282" s="40" t="n">
        <x:f>P1282*Assumptions!$B$8</x:f>
        <x:v>2339.8260004440494</x:v>
      </x:c>
      <x:c r="W1282" s="54" t="n">
        <x:f>V1282-U1282</x:f>
        <x:v>-109.87399955595038</x:v>
      </x:c>
      <x:c r="X1282" s="58" t="n">
        <x:f>IF(R1282="No","",W1282*S1282)</x:f>
        <x:v>-1630310.4054111918</x:v>
      </x:c>
      <x:c r="Y1282" s="58" t="n">
        <x:f>IF(R1282="No","",W1282*T1282*Assumptions!$B$9)</x:f>
        <x:v>-329819.77186705184</x:v>
      </x:c>
      <x:c r="Z1282" s="58" t="n">
        <x:f>IF(R1282="No","",X1282-Y1282)</x:f>
        <x:v>-1300490.63354414</x:v>
      </x:c>
      <x:c r="AA1282" s="58" t="n">
        <x:f>IF(R1282="No","",MAX(0,-Z1282))</x:f>
        <x:v>1300490.63354414</x:v>
      </x:c>
      <x:c r="AB1282" s="52" t="n">
        <x:f>IF(OR(R1282="No",U1282*S1282=0),"",AA1282/(U1282*S1282))</x:f>
        <x:v>0.03577823890663545</x:v>
      </x:c>
      <x:c r="AC1282" s="54" t="n">
        <x:f>IF(OR(R1282="No",S1282-T1282*Assumptions!$B$9&lt;=0),"",AA1282/(Assumptions!$B$8*(S1282-T1282*Assumptions!$B$9)))</x:f>
        <x:v>129.2635288893534</x:v>
      </x:c>
      <x:c r="AD1282" s="52" t="n">
        <x:f>IF(OR(R1282="No",U1282*S1282=0),"",AA1282/(U1282*S1282))</x:f>
        <x:v>0.03577823890663545</x:v>
      </x:c>
      <x:c r="AE1282" s="50" t="str">
        <x:f>IF(R1282="No","No finance data",IF(AB1282&gt;=10%,"Severe",IF(AB1282&gt;=5%,"High",IF(AB1282&gt;=2%,"Moderate","Low"))))</x:f>
        <x:v>Moderate</x:v>
      </x:c>
      <x:c r="AF1282" s="60" t="n">
        <x:v>41.053344</x:v>
      </x:c>
      <x:c r="AG1282" s="60" t="n">
        <x:v>-83.652313</x:v>
      </x:c>
      <x:c r="AH1282" s="44" t="str">
        <x:v>Undergraduate tuition-contribution proxy only; not an audited total institutional budget.</x:v>
      </x:c>
    </x:row>
    <x:row r="1283">
      <x:c r="A1283" s="16" t="n">
        <x:v>206048</x:v>
      </x:c>
      <x:c r="B1283" s="16" t="str">
        <x:v>Tiffin University</x:v>
      </x:c>
      <x:c r="C1283" s="16" t="str">
        <x:v>OH</x:v>
      </x:c>
      <x:c r="D1283" s="16" t="str">
        <x:v>Private nonprofit</x:v>
      </x:c>
      <x:c r="E1283" s="34" t="n">
        <x:v>2305</x:v>
      </x:c>
      <x:c r="F1283" s="21" t="n">
        <x:v>0.7374</x:v>
      </x:c>
      <x:c r="G1283" s="16" t="str">
        <x:v>Regional</x:v>
      </x:c>
      <x:c r="H1283" s="36" t="n">
        <x:f>IF(G1283="National",Assumptions!$B$11,IF(G1283="Statewide",Assumptions!$B$12,Assumptions!$B$13))</x:f>
        <x:v>0.85</x:v>
      </x:c>
      <x:c r="I1283" s="21" t="n">
        <x:v>-0.04950305674999822</x:v>
      </x:c>
      <x:c r="J1283" s="21" t="n">
        <x:v>-0.04440257007856163</x:v>
      </x:c>
      <x:c r="K1283" s="21" t="n">
        <x:v>-0.11831712275879658</x:v>
      </x:c>
      <x:c r="L1283" s="36" t="n">
        <x:f>IF(Assumptions!$B$4=2030,I1283,IF(Assumptions!$B$4=2035,J1283,K1283))</x:f>
        <x:v>-0.04440257007856163</x:v>
      </x:c>
      <x:c r="M1283" s="36" t="n">
        <x:f>Assumptions!$B$19</x:f>
        <x:v>-0.04739891965741583</x:v>
      </x:c>
      <x:c r="N1283" s="52" t="n">
        <x:f>H1283*L1283+(1-H1283)*M1283+O1283</x:f>
        <x:v>-0.044852022515389764</x:v>
      </x:c>
      <x:c r="O1283" s="36" t="n">
        <x:f>Assumptions!$B$10</x:f>
        <x:v>0</x:v>
      </x:c>
      <x:c r="P1283" s="54" t="n">
        <x:f>E1283*(1+N1283)</x:f>
        <x:v>2201.6160881020264</x:v>
      </x:c>
      <x:c r="Q1283" s="54" t="n">
        <x:f>P1283-E1283</x:f>
        <x:v>-103.38391189797358</x:v>
      </x:c>
      <x:c r="R1283" s="16" t="str">
        <x:v>Yes</x:v>
      </x:c>
      <x:c r="S1283" s="56" t="n">
        <x:v>11842</x:v>
      </x:c>
      <x:c r="T1283" s="56" t="n">
        <x:v>4906</x:v>
      </x:c>
      <x:c r="U1283" s="40" t="n">
        <x:f>E1283*Assumptions!$B$8</x:f>
        <x:v>1959.25</x:v>
      </x:c>
      <x:c r="V1283" s="40" t="n">
        <x:f>P1283*Assumptions!$B$8</x:f>
        <x:v>1871.3736748867225</x:v>
      </x:c>
      <x:c r="W1283" s="54" t="n">
        <x:f>V1283-U1283</x:f>
        <x:v>-87.87632511327752</x:v>
      </x:c>
      <x:c r="X1283" s="58" t="n">
        <x:f>IF(R1283="No","",W1283*S1283)</x:f>
        <x:v>-1040631.4419914323</x:v>
      </x:c>
      <x:c r="Y1283" s="58" t="n">
        <x:f>IF(R1283="No","",W1283*T1283*Assumptions!$B$9)</x:f>
        <x:v>-129336.37530172184</x:v>
      </x:c>
      <x:c r="Z1283" s="58" t="n">
        <x:f>IF(R1283="No","",X1283-Y1283)</x:f>
        <x:v>-911295.0666897105</x:v>
      </x:c>
      <x:c r="AA1283" s="58" t="n">
        <x:f>IF(R1283="No","",MAX(0,-Z1283))</x:f>
        <x:v>911295.0666897105</x:v>
      </x:c>
      <x:c r="AB1283" s="52" t="n">
        <x:f>IF(OR(R1283="No",U1283*S1283=0),"",AA1283/(U1283*S1283))</x:f>
        <x:v>0.039277524395296026</x:v>
      </x:c>
      <x:c r="AC1283" s="54" t="n">
        <x:f>IF(OR(R1283="No",S1283-T1283*Assumptions!$B$9&lt;=0),"",AA1283/(Assumptions!$B$8*(S1283-T1283*Assumptions!$B$9)))</x:f>
        <x:v>103.38391189797355</x:v>
      </x:c>
      <x:c r="AD1283" s="52" t="n">
        <x:f>IF(OR(R1283="No",U1283*S1283=0),"",AA1283/(U1283*S1283))</x:f>
        <x:v>0.039277524395296026</x:v>
      </x:c>
      <x:c r="AE1283" s="50" t="str">
        <x:f>IF(R1283="No","No finance data",IF(AB1283&gt;=10%,"Severe",IF(AB1283&gt;=5%,"High",IF(AB1283&gt;=2%,"Moderate","Low"))))</x:f>
        <x:v>Moderate</x:v>
      </x:c>
      <x:c r="AF1283" s="60" t="n">
        <x:v>41.118316</x:v>
      </x:c>
      <x:c r="AG1283" s="60" t="n">
        <x:v>-83.184197</x:v>
      </x:c>
      <x:c r="AH1283" s="44" t="str">
        <x:v>Undergraduate tuition-contribution proxy only; not an audited total institutional budget.</x:v>
      </x:c>
    </x:row>
    <x:row r="1284">
      <x:c r="A1284" s="16" t="n">
        <x:v>206154</x:v>
      </x:c>
      <x:c r="B1284" s="16" t="str">
        <x:v>Tri-State Bible College</x:v>
      </x:c>
      <x:c r="C1284" s="16" t="str">
        <x:v>OH</x:v>
      </x:c>
      <x:c r="D1284" s="16" t="str">
        <x:v>Private nonprofit</x:v>
      </x:c>
      <x:c r="E1284" s="34" t="n">
        <x:v>49</x:v>
      </x:c>
      <x:c r="F1284" s="21"/>
      <x:c r="G1284" s="16" t="str">
        <x:v>Regional</x:v>
      </x:c>
      <x:c r="H1284" s="36" t="n">
        <x:f>IF(G1284="National",Assumptions!$B$11,IF(G1284="Statewide",Assumptions!$B$12,Assumptions!$B$13))</x:f>
        <x:v>0.85</x:v>
      </x:c>
      <x:c r="I1284" s="21" t="n">
        <x:v>-0.04950305674999822</x:v>
      </x:c>
      <x:c r="J1284" s="21" t="n">
        <x:v>-0.04440257007856163</x:v>
      </x:c>
      <x:c r="K1284" s="21" t="n">
        <x:v>-0.11831712275879658</x:v>
      </x:c>
      <x:c r="L1284" s="36" t="n">
        <x:f>IF(Assumptions!$B$4=2030,I1284,IF(Assumptions!$B$4=2035,J1284,K1284))</x:f>
        <x:v>-0.04440257007856163</x:v>
      </x:c>
      <x:c r="M1284" s="36" t="n">
        <x:f>Assumptions!$B$19</x:f>
        <x:v>-0.04739891965741583</x:v>
      </x:c>
      <x:c r="N1284" s="52" t="n">
        <x:f>H1284*L1284+(1-H1284)*M1284+O1284</x:f>
        <x:v>-0.044852022515389764</x:v>
      </x:c>
      <x:c r="O1284" s="36" t="n">
        <x:f>Assumptions!$B$10</x:f>
        <x:v>0</x:v>
      </x:c>
      <x:c r="P1284" s="54" t="n">
        <x:f>E1284*(1+N1284)</x:f>
        <x:v>46.8022508967459</x:v>
      </x:c>
      <x:c r="Q1284" s="54" t="n">
        <x:f>P1284-E1284</x:f>
        <x:v>-2.197749103254097</x:v>
      </x:c>
      <x:c r="R1284" s="16" t="str">
        <x:v>No</x:v>
      </x:c>
      <x:c r="S1284" s="56"/>
      <x:c r="T1284" s="56"/>
      <x:c r="U1284" s="40" t="n">
        <x:f>E1284*Assumptions!$B$8</x:f>
        <x:v>41.65</x:v>
      </x:c>
      <x:c r="V1284" s="40" t="n">
        <x:f>P1284*Assumptions!$B$8</x:f>
        <x:v>39.78191326223401</x:v>
      </x:c>
      <x:c r="W1284" s="54" t="n">
        <x:f>V1284-U1284</x:f>
        <x:v>-1.868086737765985</x:v>
      </x:c>
      <x:c r="X1284" s="58" t="str">
        <x:f>IF(R1284="No","",W1284*S1284)</x:f>
      </x:c>
      <x:c r="Y1284" s="58" t="str">
        <x:f>IF(R1284="No","",W1284*T1284*Assumptions!$B$9)</x:f>
      </x:c>
      <x:c r="Z1284" s="58" t="str">
        <x:f>IF(R1284="No","",X1284-Y1284)</x:f>
      </x:c>
      <x:c r="AA1284" s="58" t="str">
        <x:f>IF(R1284="No","",MAX(0,-Z1284))</x:f>
      </x:c>
      <x:c r="AB1284" s="52" t="str">
        <x:f>IF(OR(R1284="No",U1284*S1284=0),"",AA1284/(U1284*S1284))</x:f>
      </x:c>
      <x:c r="AC1284" s="54" t="str">
        <x:f>IF(OR(R1284="No",S1284-T1284*Assumptions!$B$9&lt;=0),"",AA1284/(Assumptions!$B$8*(S1284-T1284*Assumptions!$B$9)))</x:f>
      </x:c>
      <x:c r="AD1284" s="52" t="str">
        <x:f>IF(OR(R1284="No",U1284*S1284=0),"",AA1284/(U1284*S1284))</x:f>
      </x:c>
      <x:c r="AE1284" s="50" t="str">
        <x:f>IF(R1284="No","No finance data",IF(AB1284&gt;=10%,"Severe",IF(AB1284&gt;=5%,"High",IF(AB1284&gt;=2%,"Moderate","Low"))))</x:f>
        <x:v>No finance data</x:v>
      </x:c>
      <x:c r="AF1284" s="60"/>
      <x:c r="AG1284" s="60"/>
      <x:c r="AH1284" s="44" t="str">
        <x:v>Undergraduate tuition-contribution proxy only; not an audited total institutional budget.</x:v>
      </x:c>
    </x:row>
    <x:row r="1285">
      <x:c r="A1285" s="16" t="n">
        <x:v>206279</x:v>
      </x:c>
      <x:c r="B1285" s="16" t="str">
        <x:v>Union Institute &amp; University</x:v>
      </x:c>
      <x:c r="C1285" s="16" t="str">
        <x:v>OH</x:v>
      </x:c>
      <x:c r="D1285" s="16" t="str">
        <x:v>Private nonprofit</x:v>
      </x:c>
      <x:c r="E1285" s="34" t="n">
        <x:v>1027</x:v>
      </x:c>
      <x:c r="F1285" s="21"/>
      <x:c r="G1285" s="16" t="str">
        <x:v>Regional</x:v>
      </x:c>
      <x:c r="H1285" s="36" t="n">
        <x:f>IF(G1285="National",Assumptions!$B$11,IF(G1285="Statewide",Assumptions!$B$12,Assumptions!$B$13))</x:f>
        <x:v>0.85</x:v>
      </x:c>
      <x:c r="I1285" s="21" t="n">
        <x:v>-0.04950305674999822</x:v>
      </x:c>
      <x:c r="J1285" s="21" t="n">
        <x:v>-0.04440257007856163</x:v>
      </x:c>
      <x:c r="K1285" s="21" t="n">
        <x:v>-0.11831712275879658</x:v>
      </x:c>
      <x:c r="L1285" s="36" t="n">
        <x:f>IF(Assumptions!$B$4=2030,I1285,IF(Assumptions!$B$4=2035,J1285,K1285))</x:f>
        <x:v>-0.04440257007856163</x:v>
      </x:c>
      <x:c r="M1285" s="36" t="n">
        <x:f>Assumptions!$B$19</x:f>
        <x:v>-0.04739891965741583</x:v>
      </x:c>
      <x:c r="N1285" s="52" t="n">
        <x:f>H1285*L1285+(1-H1285)*M1285+O1285</x:f>
        <x:v>-0.044852022515389764</x:v>
      </x:c>
      <x:c r="O1285" s="36" t="n">
        <x:f>Assumptions!$B$10</x:f>
        <x:v>0</x:v>
      </x:c>
      <x:c r="P1285" s="54" t="n">
        <x:f>E1285*(1+N1285)</x:f>
        <x:v>980.9369728766947</x:v>
      </x:c>
      <x:c r="Q1285" s="54" t="n">
        <x:f>P1285-E1285</x:f>
        <x:v>-46.063027123305346</x:v>
      </x:c>
      <x:c r="R1285" s="16" t="str">
        <x:v>No</x:v>
      </x:c>
      <x:c r="S1285" s="56"/>
      <x:c r="T1285" s="56"/>
      <x:c r="U1285" s="40" t="n">
        <x:f>E1285*Assumptions!$B$8</x:f>
        <x:v>872.9499999999999</x:v>
      </x:c>
      <x:c r="V1285" s="40" t="n">
        <x:f>P1285*Assumptions!$B$8</x:f>
        <x:v>833.7964269451904</x:v>
      </x:c>
      <x:c r="W1285" s="54" t="n">
        <x:f>V1285-U1285</x:f>
        <x:v>-39.1535730548095</x:v>
      </x:c>
      <x:c r="X1285" s="58" t="str">
        <x:f>IF(R1285="No","",W1285*S1285)</x:f>
      </x:c>
      <x:c r="Y1285" s="58" t="str">
        <x:f>IF(R1285="No","",W1285*T1285*Assumptions!$B$9)</x:f>
      </x:c>
      <x:c r="Z1285" s="58" t="str">
        <x:f>IF(R1285="No","",X1285-Y1285)</x:f>
      </x:c>
      <x:c r="AA1285" s="58" t="str">
        <x:f>IF(R1285="No","",MAX(0,-Z1285))</x:f>
      </x:c>
      <x:c r="AB1285" s="52" t="str">
        <x:f>IF(OR(R1285="No",U1285*S1285=0),"",AA1285/(U1285*S1285))</x:f>
      </x:c>
      <x:c r="AC1285" s="54" t="str">
        <x:f>IF(OR(R1285="No",S1285-T1285*Assumptions!$B$9&lt;=0),"",AA1285/(Assumptions!$B$8*(S1285-T1285*Assumptions!$B$9)))</x:f>
      </x:c>
      <x:c r="AD1285" s="52" t="str">
        <x:f>IF(OR(R1285="No",U1285*S1285=0),"",AA1285/(U1285*S1285))</x:f>
      </x:c>
      <x:c r="AE1285" s="50" t="str">
        <x:f>IF(R1285="No","No finance data",IF(AB1285&gt;=10%,"Severe",IF(AB1285&gt;=5%,"High",IF(AB1285&gt;=2%,"Moderate","Low"))))</x:f>
        <x:v>No finance data</x:v>
      </x:c>
      <x:c r="AF1285" s="60"/>
      <x:c r="AG1285" s="60"/>
      <x:c r="AH1285" s="44" t="str">
        <x:v>Undergraduate tuition-contribution proxy only; not an audited total institutional budget.</x:v>
      </x:c>
    </x:row>
    <x:row r="1286">
      <x:c r="A1286" s="16" t="n">
        <x:v>200800</x:v>
      </x:c>
      <x:c r="B1286" s="16" t="str">
        <x:v>University of Akron Main Campus</x:v>
      </x:c>
      <x:c r="C1286" s="16" t="str">
        <x:v>OH</x:v>
      </x:c>
      <x:c r="D1286" s="16" t="str">
        <x:v>Public</x:v>
      </x:c>
      <x:c r="E1286" s="34" t="n">
        <x:v>17240</x:v>
      </x:c>
      <x:c r="F1286" s="21" t="n">
        <x:v>0.8492</x:v>
      </x:c>
      <x:c r="G1286" s="16" t="str">
        <x:v>Statewide</x:v>
      </x:c>
      <x:c r="H1286" s="36" t="n">
        <x:f>IF(G1286="National",Assumptions!$B$11,IF(G1286="Statewide",Assumptions!$B$12,Assumptions!$B$13))</x:f>
        <x:v>0.6</x:v>
      </x:c>
      <x:c r="I1286" s="21" t="n">
        <x:v>-0.04950305674999822</x:v>
      </x:c>
      <x:c r="J1286" s="21" t="n">
        <x:v>-0.04440257007856163</x:v>
      </x:c>
      <x:c r="K1286" s="21" t="n">
        <x:v>-0.11831712275879658</x:v>
      </x:c>
      <x:c r="L1286" s="36" t="n">
        <x:f>IF(Assumptions!$B$4=2030,I1286,IF(Assumptions!$B$4=2035,J1286,K1286))</x:f>
        <x:v>-0.04440257007856163</x:v>
      </x:c>
      <x:c r="M1286" s="36" t="n">
        <x:f>Assumptions!$B$19</x:f>
        <x:v>-0.04739891965741583</x:v>
      </x:c>
      <x:c r="N1286" s="52" t="n">
        <x:f>H1286*L1286+(1-H1286)*M1286+O1286</x:f>
        <x:v>-0.04560110991010331</x:v>
      </x:c>
      <x:c r="O1286" s="36" t="n">
        <x:f>Assumptions!$B$10</x:f>
        <x:v>0</x:v>
      </x:c>
      <x:c r="P1286" s="54" t="n">
        <x:f>E1286*(1+N1286)</x:f>
        <x:v>16453.836865149817</x:v>
      </x:c>
      <x:c r="Q1286" s="54" t="n">
        <x:f>P1286-E1286</x:f>
        <x:v>-786.1631348501833</x:v>
      </x:c>
      <x:c r="R1286" s="16" t="str">
        <x:v>Yes</x:v>
      </x:c>
      <x:c r="S1286" s="56" t="n">
        <x:v>7816</x:v>
      </x:c>
      <x:c r="T1286" s="56" t="n">
        <x:v>8610</x:v>
      </x:c>
      <x:c r="U1286" s="40" t="n">
        <x:f>E1286*Assumptions!$B$8</x:f>
        <x:v>14654</x:v>
      </x:c>
      <x:c r="V1286" s="40" t="n">
        <x:f>P1286*Assumptions!$B$8</x:f>
        <x:v>13985.761335377343</x:v>
      </x:c>
      <x:c r="W1286" s="54" t="n">
        <x:f>V1286-U1286</x:f>
        <x:v>-668.2386646226569</x:v>
      </x:c>
      <x:c r="X1286" s="58" t="n">
        <x:f>IF(R1286="No","",W1286*S1286)</x:f>
        <x:v>-5222953.402690686</x:v>
      </x:c>
      <x:c r="Y1286" s="58" t="n">
        <x:f>IF(R1286="No","",W1286*T1286*Assumptions!$B$9)</x:f>
        <x:v>-1726060.4707203226</x:v>
      </x:c>
      <x:c r="Z1286" s="58" t="n">
        <x:f>IF(R1286="No","",X1286-Y1286)</x:f>
        <x:v>-3496892.9319703635</x:v>
      </x:c>
      <x:c r="AA1286" s="58" t="n">
        <x:f>IF(R1286="No","",MAX(0,-Z1286))</x:f>
        <x:v>3496892.9319703635</x:v>
      </x:c>
      <x:c r="AB1286" s="52" t="n">
        <x:f>IF(OR(R1286="No",U1286*S1286=0),"",AA1286/(U1286*S1286))</x:f>
        <x:v>0.030531039938532713</x:v>
      </x:c>
      <x:c r="AC1286" s="54" t="n">
        <x:f>IF(OR(R1286="No",S1286-T1286*Assumptions!$B$9&lt;=0),"",AA1286/(Assumptions!$B$8*(S1286-T1286*Assumptions!$B$9)))</x:f>
        <x:v>786.1631348501845</x:v>
      </x:c>
      <x:c r="AD1286" s="52" t="n">
        <x:f>IF(OR(R1286="No",U1286*S1286=0),"",AA1286/(U1286*S1286))</x:f>
        <x:v>0.030531039938532713</x:v>
      </x:c>
      <x:c r="AE1286" s="50" t="str">
        <x:f>IF(R1286="No","No finance data",IF(AB1286&gt;=10%,"Severe",IF(AB1286&gt;=5%,"High",IF(AB1286&gt;=2%,"Moderate","Low"))))</x:f>
        <x:v>Moderate</x:v>
      </x:c>
      <x:c r="AF1286" s="60" t="n">
        <x:v>41.075923</x:v>
      </x:c>
      <x:c r="AG1286" s="60" t="n">
        <x:v>-81.511167</x:v>
      </x:c>
      <x:c r="AH1286" s="44" t="str">
        <x:v>Undergraduate tuition-contribution proxy only; not an audited total institutional budget.</x:v>
      </x:c>
    </x:row>
    <x:row r="1287">
      <x:c r="A1287" s="16" t="n">
        <x:v>201885</x:v>
      </x:c>
      <x:c r="B1287" s="16" t="str">
        <x:v>University of Cincinnati-Main Campus</x:v>
      </x:c>
      <x:c r="C1287" s="16" t="str">
        <x:v>OH</x:v>
      </x:c>
      <x:c r="D1287" s="16" t="str">
        <x:v>Public</x:v>
      </x:c>
      <x:c r="E1287" s="34" t="n">
        <x:v>24066</x:v>
      </x:c>
      <x:c r="F1287" s="21" t="n">
        <x:v>0.8483</x:v>
      </x:c>
      <x:c r="G1287" s="16" t="str">
        <x:v>Statewide</x:v>
      </x:c>
      <x:c r="H1287" s="36" t="n">
        <x:f>IF(G1287="National",Assumptions!$B$11,IF(G1287="Statewide",Assumptions!$B$12,Assumptions!$B$13))</x:f>
        <x:v>0.6</x:v>
      </x:c>
      <x:c r="I1287" s="21" t="n">
        <x:v>-0.04950305674999822</x:v>
      </x:c>
      <x:c r="J1287" s="21" t="n">
        <x:v>-0.04440257007856163</x:v>
      </x:c>
      <x:c r="K1287" s="21" t="n">
        <x:v>-0.11831712275879658</x:v>
      </x:c>
      <x:c r="L1287" s="36" t="n">
        <x:f>IF(Assumptions!$B$4=2030,I1287,IF(Assumptions!$B$4=2035,J1287,K1287))</x:f>
        <x:v>-0.04440257007856163</x:v>
      </x:c>
      <x:c r="M1287" s="36" t="n">
        <x:f>Assumptions!$B$19</x:f>
        <x:v>-0.04739891965741583</x:v>
      </x:c>
      <x:c r="N1287" s="52" t="n">
        <x:f>H1287*L1287+(1-H1287)*M1287+O1287</x:f>
        <x:v>-0.04560110991010331</x:v>
      </x:c>
      <x:c r="O1287" s="36" t="n">
        <x:f>Assumptions!$B$10</x:f>
        <x:v>0</x:v>
      </x:c>
      <x:c r="P1287" s="54" t="n">
        <x:f>E1287*(1+N1287)</x:f>
        <x:v>22968.563688903454</x:v>
      </x:c>
      <x:c r="Q1287" s="54" t="n">
        <x:f>P1287-E1287</x:f>
        <x:v>-1097.436311096546</x:v>
      </x:c>
      <x:c r="R1287" s="16" t="str">
        <x:v>Yes</x:v>
      </x:c>
      <x:c r="S1287" s="56" t="n">
        <x:v>12661</x:v>
      </x:c>
      <x:c r="T1287" s="56" t="n">
        <x:v>11124</x:v>
      </x:c>
      <x:c r="U1287" s="40" t="n">
        <x:f>E1287*Assumptions!$B$8</x:f>
        <x:v>20456.1</x:v>
      </x:c>
      <x:c r="V1287" s="40" t="n">
        <x:f>P1287*Assumptions!$B$8</x:f>
        <x:v>19523.279135567936</x:v>
      </x:c>
      <x:c r="W1287" s="54" t="n">
        <x:f>V1287-U1287</x:f>
        <x:v>-932.8208644320621</x:v>
      </x:c>
      <x:c r="X1287" s="58" t="n">
        <x:f>IF(R1287="No","",W1287*S1287)</x:f>
        <x:v>-11810444.964574339</x:v>
      </x:c>
      <x:c r="Y1287" s="58" t="n">
        <x:f>IF(R1287="No","",W1287*T1287*Assumptions!$B$9)</x:f>
        <x:v>-3113009.788782677</x:v>
      </x:c>
      <x:c r="Z1287" s="58" t="n">
        <x:f>IF(R1287="No","",X1287-Y1287)</x:f>
        <x:v>-8697435.175791662</x:v>
      </x:c>
      <x:c r="AA1287" s="58" t="n">
        <x:f>IF(R1287="No","",MAX(0,-Z1287))</x:f>
        <x:v>8697435.175791662</x:v>
      </x:c>
      <x:c r="AB1287" s="52" t="n">
        <x:f>IF(OR(R1287="No",U1287*S1287=0),"",AA1287/(U1287*S1287))</x:f>
        <x:v>0.033581520304859044</x:v>
      </x:c>
      <x:c r="AC1287" s="54" t="n">
        <x:f>IF(OR(R1287="No",S1287-T1287*Assumptions!$B$9&lt;=0),"",AA1287/(Assumptions!$B$8*(S1287-T1287*Assumptions!$B$9)))</x:f>
        <x:v>1097.436311096544</x:v>
      </x:c>
      <x:c r="AD1287" s="52" t="n">
        <x:f>IF(OR(R1287="No",U1287*S1287=0),"",AA1287/(U1287*S1287))</x:f>
        <x:v>0.033581520304859044</x:v>
      </x:c>
      <x:c r="AE1287" s="50" t="str">
        <x:f>IF(R1287="No","No finance data",IF(AB1287&gt;=10%,"Severe",IF(AB1287&gt;=5%,"High",IF(AB1287&gt;=2%,"Moderate","Low"))))</x:f>
        <x:v>Moderate</x:v>
      </x:c>
      <x:c r="AF1287" s="60" t="n">
        <x:v>39.131159</x:v>
      </x:c>
      <x:c r="AG1287" s="60" t="n">
        <x:v>-84.51428</x:v>
      </x:c>
      <x:c r="AH1287" s="44" t="str">
        <x:v>Undergraduate tuition-contribution proxy only; not an audited total institutional budget.</x:v>
      </x:c>
    </x:row>
    <x:row r="1288">
      <x:c r="A1288" s="16" t="n">
        <x:v>202480</x:v>
      </x:c>
      <x:c r="B1288" s="16" t="str">
        <x:v>University of Dayton</x:v>
      </x:c>
      <x:c r="C1288" s="16" t="str">
        <x:v>OH</x:v>
      </x:c>
      <x:c r="D1288" s="16" t="str">
        <x:v>Private nonprofit</x:v>
      </x:c>
      <x:c r="E1288" s="34" t="n">
        <x:v>8556</x:v>
      </x:c>
      <x:c r="F1288" s="21" t="n">
        <x:v>0.8063</x:v>
      </x:c>
      <x:c r="G1288" s="16" t="str">
        <x:v>Statewide</x:v>
      </x:c>
      <x:c r="H1288" s="36" t="n">
        <x:f>IF(G1288="National",Assumptions!$B$11,IF(G1288="Statewide",Assumptions!$B$12,Assumptions!$B$13))</x:f>
        <x:v>0.6</x:v>
      </x:c>
      <x:c r="I1288" s="21" t="n">
        <x:v>-0.04950305674999822</x:v>
      </x:c>
      <x:c r="J1288" s="21" t="n">
        <x:v>-0.04440257007856163</x:v>
      </x:c>
      <x:c r="K1288" s="21" t="n">
        <x:v>-0.11831712275879658</x:v>
      </x:c>
      <x:c r="L1288" s="36" t="n">
        <x:f>IF(Assumptions!$B$4=2030,I1288,IF(Assumptions!$B$4=2035,J1288,K1288))</x:f>
        <x:v>-0.04440257007856163</x:v>
      </x:c>
      <x:c r="M1288" s="36" t="n">
        <x:f>Assumptions!$B$19</x:f>
        <x:v>-0.04739891965741583</x:v>
      </x:c>
      <x:c r="N1288" s="52" t="n">
        <x:f>H1288*L1288+(1-H1288)*M1288+O1288</x:f>
        <x:v>-0.04560110991010331</x:v>
      </x:c>
      <x:c r="O1288" s="36" t="n">
        <x:f>Assumptions!$B$10</x:f>
        <x:v>0</x:v>
      </x:c>
      <x:c r="P1288" s="54" t="n">
        <x:f>E1288*(1+N1288)</x:f>
        <x:v>8165.836903609155</x:v>
      </x:c>
      <x:c r="Q1288" s="54" t="n">
        <x:f>P1288-E1288</x:f>
        <x:v>-390.16309639084466</x:v>
      </x:c>
      <x:c r="R1288" s="16" t="str">
        <x:v>Yes</x:v>
      </x:c>
      <x:c r="S1288" s="56" t="n">
        <x:v>18061</x:v>
      </x:c>
      <x:c r="T1288" s="56" t="n">
        <x:v>12716</x:v>
      </x:c>
      <x:c r="U1288" s="40" t="n">
        <x:f>E1288*Assumptions!$B$8</x:f>
        <x:v>7272.599999999999</x:v>
      </x:c>
      <x:c r="V1288" s="40" t="n">
        <x:f>P1288*Assumptions!$B$8</x:f>
        <x:v>6940.961368067782</x:v>
      </x:c>
      <x:c r="W1288" s="54" t="n">
        <x:f>V1288-U1288</x:f>
        <x:v>-331.6386319322173</x:v>
      </x:c>
      <x:c r="X1288" s="58" t="n">
        <x:f>IF(R1288="No","",W1288*S1288)</x:f>
        <x:v>-5989725.331327777</x:v>
      </x:c>
      <x:c r="Y1288" s="58" t="n">
        <x:f>IF(R1288="No","",W1288*T1288*Assumptions!$B$9)</x:f>
        <x:v>-1265135.0530950227</x:v>
      </x:c>
      <x:c r="Z1288" s="58" t="n">
        <x:f>IF(R1288="No","",X1288-Y1288)</x:f>
        <x:v>-4724590.278232755</x:v>
      </x:c>
      <x:c r="AA1288" s="58" t="n">
        <x:f>IF(R1288="No","",MAX(0,-Z1288))</x:f>
        <x:v>4724590.278232755</x:v>
      </x:c>
      <x:c r="AB1288" s="52" t="n">
        <x:f>IF(OR(R1288="No",U1288*S1288=0),"",AA1288/(U1288*S1288))</x:f>
        <x:v>0.035969355628221795</x:v>
      </x:c>
      <x:c r="AC1288" s="54" t="n">
        <x:f>IF(OR(R1288="No",S1288-T1288*Assumptions!$B$9&lt;=0),"",AA1288/(Assumptions!$B$8*(S1288-T1288*Assumptions!$B$9)))</x:f>
        <x:v>390.163096390844</x:v>
      </x:c>
      <x:c r="AD1288" s="52" t="n">
        <x:f>IF(OR(R1288="No",U1288*S1288=0),"",AA1288/(U1288*S1288))</x:f>
        <x:v>0.035969355628221795</x:v>
      </x:c>
      <x:c r="AE1288" s="50" t="str">
        <x:f>IF(R1288="No","No finance data",IF(AB1288&gt;=10%,"Severe",IF(AB1288&gt;=5%,"High",IF(AB1288&gt;=2%,"Moderate","Low"))))</x:f>
        <x:v>Moderate</x:v>
      </x:c>
      <x:c r="AF1288" s="60" t="n">
        <x:v>39.739547</x:v>
      </x:c>
      <x:c r="AG1288" s="60" t="n">
        <x:v>-84.176113</x:v>
      </x:c>
      <x:c r="AH1288" s="44" t="str">
        <x:v>Undergraduate tuition-contribution proxy only; not an audited total institutional budget.</x:v>
      </x:c>
    </x:row>
    <x:row r="1289">
      <x:c r="A1289" s="16" t="n">
        <x:v>204185</x:v>
      </x:c>
      <x:c r="B1289" s="16" t="str">
        <x:v>University of Mount Union</x:v>
      </x:c>
      <x:c r="C1289" s="16" t="str">
        <x:v>OH</x:v>
      </x:c>
      <x:c r="D1289" s="16" t="str">
        <x:v>Private nonprofit</x:v>
      </x:c>
      <x:c r="E1289" s="34" t="n">
        <x:v>2061</x:v>
      </x:c>
      <x:c r="F1289" s="21" t="n">
        <x:v>0.7974</x:v>
      </x:c>
      <x:c r="G1289" s="16" t="str">
        <x:v>Regional</x:v>
      </x:c>
      <x:c r="H1289" s="36" t="n">
        <x:f>IF(G1289="National",Assumptions!$B$11,IF(G1289="Statewide",Assumptions!$B$12,Assumptions!$B$13))</x:f>
        <x:v>0.85</x:v>
      </x:c>
      <x:c r="I1289" s="21" t="n">
        <x:v>-0.04950305674999822</x:v>
      </x:c>
      <x:c r="J1289" s="21" t="n">
        <x:v>-0.04440257007856163</x:v>
      </x:c>
      <x:c r="K1289" s="21" t="n">
        <x:v>-0.11831712275879658</x:v>
      </x:c>
      <x:c r="L1289" s="36" t="n">
        <x:f>IF(Assumptions!$B$4=2030,I1289,IF(Assumptions!$B$4=2035,J1289,K1289))</x:f>
        <x:v>-0.04440257007856163</x:v>
      </x:c>
      <x:c r="M1289" s="36" t="n">
        <x:f>Assumptions!$B$19</x:f>
        <x:v>-0.04739891965741583</x:v>
      </x:c>
      <x:c r="N1289" s="52" t="n">
        <x:f>H1289*L1289+(1-H1289)*M1289+O1289</x:f>
        <x:v>-0.044852022515389764</x:v>
      </x:c>
      <x:c r="O1289" s="36" t="n">
        <x:f>Assumptions!$B$10</x:f>
        <x:v>0</x:v>
      </x:c>
      <x:c r="P1289" s="54" t="n">
        <x:f>E1289*(1+N1289)</x:f>
        <x:v>1968.5599815957817</x:v>
      </x:c>
      <x:c r="Q1289" s="54" t="n">
        <x:f>P1289-E1289</x:f>
        <x:v>-92.44001840421834</x:v>
      </x:c>
      <x:c r="R1289" s="16" t="str">
        <x:v>Yes</x:v>
      </x:c>
      <x:c r="S1289" s="56" t="n">
        <x:v>15129</x:v>
      </x:c>
      <x:c r="T1289" s="56" t="n">
        <x:v>9683</x:v>
      </x:c>
      <x:c r="U1289" s="40" t="n">
        <x:f>E1289*Assumptions!$B$8</x:f>
        <x:v>1751.85</x:v>
      </x:c>
      <x:c r="V1289" s="40" t="n">
        <x:f>P1289*Assumptions!$B$8</x:f>
        <x:v>1673.2759843564145</x:v>
      </x:c>
      <x:c r="W1289" s="54" t="n">
        <x:f>V1289-U1289</x:f>
        <x:v>-78.57401564358543</x:v>
      </x:c>
      <x:c r="X1289" s="58" t="n">
        <x:f>IF(R1289="No","",W1289*S1289)</x:f>
        <x:v>-1188746.2826718038</x:v>
      </x:c>
      <x:c r="Y1289" s="58" t="n">
        <x:f>IF(R1289="No","",W1289*T1289*Assumptions!$B$9)</x:f>
        <x:v>-228249.6580430513</x:v>
      </x:c>
      <x:c r="Z1289" s="58" t="n">
        <x:f>IF(R1289="No","",X1289-Y1289)</x:f>
        <x:v>-960496.6246287525</x:v>
      </x:c>
      <x:c r="AA1289" s="58" t="n">
        <x:f>IF(R1289="No","",MAX(0,-Z1289))</x:f>
        <x:v>960496.6246287525</x:v>
      </x:c>
      <x:c r="AB1289" s="52" t="n">
        <x:f>IF(OR(R1289="No",U1289*S1289=0),"",AA1289/(U1289*S1289))</x:f>
        <x:v>0.03624004286009486</x:v>
      </x:c>
      <x:c r="AC1289" s="54" t="n">
        <x:f>IF(OR(R1289="No",S1289-T1289*Assumptions!$B$9&lt;=0),"",AA1289/(Assumptions!$B$8*(S1289-T1289*Assumptions!$B$9)))</x:f>
        <x:v>92.44001840421814</x:v>
      </x:c>
      <x:c r="AD1289" s="52" t="n">
        <x:f>IF(OR(R1289="No",U1289*S1289=0),"",AA1289/(U1289*S1289))</x:f>
        <x:v>0.03624004286009486</x:v>
      </x:c>
      <x:c r="AE1289" s="50" t="str">
        <x:f>IF(R1289="No","No finance data",IF(AB1289&gt;=10%,"Severe",IF(AB1289&gt;=5%,"High",IF(AB1289&gt;=2%,"Moderate","Low"))))</x:f>
        <x:v>Moderate</x:v>
      </x:c>
      <x:c r="AF1289" s="60" t="n">
        <x:v>40.905256</x:v>
      </x:c>
      <x:c r="AG1289" s="60" t="n">
        <x:v>-81.111029</x:v>
      </x:c>
      <x:c r="AH1289" s="44" t="str">
        <x:v>Undergraduate tuition-contribution proxy only; not an audited total institutional budget.</x:v>
      </x:c>
    </x:row>
    <x:row r="1290">
      <x:c r="A1290" s="16" t="n">
        <x:v>206084</x:v>
      </x:c>
      <x:c r="B1290" s="16" t="str">
        <x:v>University of Toledo</x:v>
      </x:c>
      <x:c r="C1290" s="16" t="str">
        <x:v>OH</x:v>
      </x:c>
      <x:c r="D1290" s="16" t="str">
        <x:v>Public</x:v>
      </x:c>
      <x:c r="E1290" s="34" t="n">
        <x:v>14989</x:v>
      </x:c>
      <x:c r="F1290" s="21" t="n">
        <x:v>0.9652</x:v>
      </x:c>
      <x:c r="G1290" s="16" t="str">
        <x:v>Statewide</x:v>
      </x:c>
      <x:c r="H1290" s="36" t="n">
        <x:f>IF(G1290="National",Assumptions!$B$11,IF(G1290="Statewide",Assumptions!$B$12,Assumptions!$B$13))</x:f>
        <x:v>0.6</x:v>
      </x:c>
      <x:c r="I1290" s="21" t="n">
        <x:v>-0.04950305674999822</x:v>
      </x:c>
      <x:c r="J1290" s="21" t="n">
        <x:v>-0.04440257007856163</x:v>
      </x:c>
      <x:c r="K1290" s="21" t="n">
        <x:v>-0.11831712275879658</x:v>
      </x:c>
      <x:c r="L1290" s="36" t="n">
        <x:f>IF(Assumptions!$B$4=2030,I1290,IF(Assumptions!$B$4=2035,J1290,K1290))</x:f>
        <x:v>-0.04440257007856163</x:v>
      </x:c>
      <x:c r="M1290" s="36" t="n">
        <x:f>Assumptions!$B$19</x:f>
        <x:v>-0.04739891965741583</x:v>
      </x:c>
      <x:c r="N1290" s="52" t="n">
        <x:f>H1290*L1290+(1-H1290)*M1290+O1290</x:f>
        <x:v>-0.04560110991010331</x:v>
      </x:c>
      <x:c r="O1290" s="36" t="n">
        <x:f>Assumptions!$B$10</x:f>
        <x:v>0</x:v>
      </x:c>
      <x:c r="P1290" s="54" t="n">
        <x:f>E1290*(1+N1290)</x:f>
        <x:v>14305.484963557461</x:v>
      </x:c>
      <x:c r="Q1290" s="54" t="n">
        <x:f>P1290-E1290</x:f>
        <x:v>-683.515036442539</x:v>
      </x:c>
      <x:c r="R1290" s="16" t="str">
        <x:v>Yes</x:v>
      </x:c>
      <x:c r="S1290" s="56" t="n">
        <x:v>11516</x:v>
      </x:c>
      <x:c r="T1290" s="56" t="n">
        <x:v>14454</x:v>
      </x:c>
      <x:c r="U1290" s="40" t="n">
        <x:f>E1290*Assumptions!$B$8</x:f>
        <x:v>12740.65</x:v>
      </x:c>
      <x:c r="V1290" s="40" t="n">
        <x:f>P1290*Assumptions!$B$8</x:f>
        <x:v>12159.662219023841</x:v>
      </x:c>
      <x:c r="W1290" s="54" t="n">
        <x:f>V1290-U1290</x:f>
        <x:v>-580.9877809761583</x:v>
      </x:c>
      <x:c r="X1290" s="58" t="n">
        <x:f>IF(R1290="No","",W1290*S1290)</x:f>
        <x:v>-6690655.285721439</x:v>
      </x:c>
      <x:c r="Y1290" s="58" t="n">
        <x:f>IF(R1290="No","",W1290*T1290*Assumptions!$B$9)</x:f>
        <x:v>-2519279.2158688176</x:v>
      </x:c>
      <x:c r="Z1290" s="58" t="n">
        <x:f>IF(R1290="No","",X1290-Y1290)</x:f>
        <x:v>-4171376.0698526213</x:v>
      </x:c>
      <x:c r="AA1290" s="58" t="n">
        <x:f>IF(R1290="No","",MAX(0,-Z1290))</x:f>
        <x:v>4171376.0698526213</x:v>
      </x:c>
      <x:c r="AB1290" s="52" t="n">
        <x:f>IF(OR(R1290="No",U1290*S1290=0),"",AA1290/(U1290*S1290))</x:f>
        <x:v>0.02843060515218479</x:v>
      </x:c>
      <x:c r="AC1290" s="54" t="n">
        <x:f>IF(OR(R1290="No",S1290-T1290*Assumptions!$B$9&lt;=0),"",AA1290/(Assumptions!$B$8*(S1290-T1290*Assumptions!$B$9)))</x:f>
        <x:v>683.5150364425392</x:v>
      </x:c>
      <x:c r="AD1290" s="52" t="n">
        <x:f>IF(OR(R1290="No",U1290*S1290=0),"",AA1290/(U1290*S1290))</x:f>
        <x:v>0.02843060515218479</x:v>
      </x:c>
      <x:c r="AE1290" s="50" t="str">
        <x:f>IF(R1290="No","No finance data",IF(AB1290&gt;=10%,"Severe",IF(AB1290&gt;=5%,"High",IF(AB1290&gt;=2%,"Moderate","Low"))))</x:f>
        <x:v>Moderate</x:v>
      </x:c>
      <x:c r="AF1290" s="60" t="n">
        <x:v>41.660572</x:v>
      </x:c>
      <x:c r="AG1290" s="60" t="n">
        <x:v>-83.614714</x:v>
      </x:c>
      <x:c r="AH1290" s="44" t="str">
        <x:v>Undergraduate tuition-contribution proxy only; not an audited total institutional budget.</x:v>
      </x:c>
    </x:row>
    <x:row r="1291">
      <x:c r="A1291" s="16" t="n">
        <x:v>206330</x:v>
      </x:c>
      <x:c r="B1291" s="16" t="str">
        <x:v>Urbana University</x:v>
      </x:c>
      <x:c r="C1291" s="16" t="str">
        <x:v>OH</x:v>
      </x:c>
      <x:c r="D1291" s="16" t="str">
        <x:v>Private nonprofit</x:v>
      </x:c>
      <x:c r="E1291" s="34" t="n">
        <x:v>704</x:v>
      </x:c>
      <x:c r="F1291" s="21"/>
      <x:c r="G1291" s="16" t="str">
        <x:v>Regional</x:v>
      </x:c>
      <x:c r="H1291" s="36" t="n">
        <x:f>IF(G1291="National",Assumptions!$B$11,IF(G1291="Statewide",Assumptions!$B$12,Assumptions!$B$13))</x:f>
        <x:v>0.85</x:v>
      </x:c>
      <x:c r="I1291" s="21" t="n">
        <x:v>-0.04950305674999822</x:v>
      </x:c>
      <x:c r="J1291" s="21" t="n">
        <x:v>-0.04440257007856163</x:v>
      </x:c>
      <x:c r="K1291" s="21" t="n">
        <x:v>-0.11831712275879658</x:v>
      </x:c>
      <x:c r="L1291" s="36" t="n">
        <x:f>IF(Assumptions!$B$4=2030,I1291,IF(Assumptions!$B$4=2035,J1291,K1291))</x:f>
        <x:v>-0.04440257007856163</x:v>
      </x:c>
      <x:c r="M1291" s="36" t="n">
        <x:f>Assumptions!$B$19</x:f>
        <x:v>-0.04739891965741583</x:v>
      </x:c>
      <x:c r="N1291" s="52" t="n">
        <x:f>H1291*L1291+(1-H1291)*M1291+O1291</x:f>
        <x:v>-0.044852022515389764</x:v>
      </x:c>
      <x:c r="O1291" s="36" t="n">
        <x:f>Assumptions!$B$10</x:f>
        <x:v>0</x:v>
      </x:c>
      <x:c r="P1291" s="54" t="n">
        <x:f>E1291*(1+N1291)</x:f>
        <x:v>672.4241761491656</x:v>
      </x:c>
      <x:c r="Q1291" s="54" t="n">
        <x:f>P1291-E1291</x:f>
        <x:v>-31.575823850834354</x:v>
      </x:c>
      <x:c r="R1291" s="16" t="str">
        <x:v>No</x:v>
      </x:c>
      <x:c r="S1291" s="56"/>
      <x:c r="T1291" s="56"/>
      <x:c r="U1291" s="40" t="n">
        <x:f>E1291*Assumptions!$B$8</x:f>
        <x:v>598.4</x:v>
      </x:c>
      <x:c r="V1291" s="40" t="n">
        <x:f>P1291*Assumptions!$B$8</x:f>
        <x:v>571.5605497267908</x:v>
      </x:c>
      <x:c r="W1291" s="54" t="n">
        <x:f>V1291-U1291</x:f>
        <x:v>-26.839450273209195</x:v>
      </x:c>
      <x:c r="X1291" s="58" t="str">
        <x:f>IF(R1291="No","",W1291*S1291)</x:f>
      </x:c>
      <x:c r="Y1291" s="58" t="str">
        <x:f>IF(R1291="No","",W1291*T1291*Assumptions!$B$9)</x:f>
      </x:c>
      <x:c r="Z1291" s="58" t="str">
        <x:f>IF(R1291="No","",X1291-Y1291)</x:f>
      </x:c>
      <x:c r="AA1291" s="58" t="str">
        <x:f>IF(R1291="No","",MAX(0,-Z1291))</x:f>
      </x:c>
      <x:c r="AB1291" s="52" t="str">
        <x:f>IF(OR(R1291="No",U1291*S1291=0),"",AA1291/(U1291*S1291))</x:f>
      </x:c>
      <x:c r="AC1291" s="54" t="str">
        <x:f>IF(OR(R1291="No",S1291-T1291*Assumptions!$B$9&lt;=0),"",AA1291/(Assumptions!$B$8*(S1291-T1291*Assumptions!$B$9)))</x:f>
      </x:c>
      <x:c r="AD1291" s="52" t="str">
        <x:f>IF(OR(R1291="No",U1291*S1291=0),"",AA1291/(U1291*S1291))</x:f>
      </x:c>
      <x:c r="AE1291" s="50" t="str">
        <x:f>IF(R1291="No","No finance data",IF(AB1291&gt;=10%,"Severe",IF(AB1291&gt;=5%,"High",IF(AB1291&gt;=2%,"Moderate","Low"))))</x:f>
        <x:v>No finance data</x:v>
      </x:c>
      <x:c r="AF1291" s="60"/>
      <x:c r="AG1291" s="60"/>
      <x:c r="AH1291" s="44" t="str">
        <x:v>Undergraduate tuition-contribution proxy only; not an audited total institutional budget.</x:v>
      </x:c>
    </x:row>
    <x:row r="1292">
      <x:c r="A1292" s="16" t="n">
        <x:v>206349</x:v>
      </x:c>
      <x:c r="B1292" s="16" t="str">
        <x:v>Ursuline College</x:v>
      </x:c>
      <x:c r="C1292" s="16" t="str">
        <x:v>OH</x:v>
      </x:c>
      <x:c r="D1292" s="16" t="str">
        <x:v>Private nonprofit</x:v>
      </x:c>
      <x:c r="E1292" s="34" t="n">
        <x:v>641</x:v>
      </x:c>
      <x:c r="F1292" s="21" t="n">
        <x:v>0.8246</x:v>
      </x:c>
      <x:c r="G1292" s="16" t="str">
        <x:v>Regional</x:v>
      </x:c>
      <x:c r="H1292" s="36" t="n">
        <x:f>IF(G1292="National",Assumptions!$B$11,IF(G1292="Statewide",Assumptions!$B$12,Assumptions!$B$13))</x:f>
        <x:v>0.85</x:v>
      </x:c>
      <x:c r="I1292" s="21" t="n">
        <x:v>-0.04950305674999822</x:v>
      </x:c>
      <x:c r="J1292" s="21" t="n">
        <x:v>-0.04440257007856163</x:v>
      </x:c>
      <x:c r="K1292" s="21" t="n">
        <x:v>-0.11831712275879658</x:v>
      </x:c>
      <x:c r="L1292" s="36" t="n">
        <x:f>IF(Assumptions!$B$4=2030,I1292,IF(Assumptions!$B$4=2035,J1292,K1292))</x:f>
        <x:v>-0.04440257007856163</x:v>
      </x:c>
      <x:c r="M1292" s="36" t="n">
        <x:f>Assumptions!$B$19</x:f>
        <x:v>-0.04739891965741583</x:v>
      </x:c>
      <x:c r="N1292" s="52" t="n">
        <x:f>H1292*L1292+(1-H1292)*M1292+O1292</x:f>
        <x:v>-0.044852022515389764</x:v>
      </x:c>
      <x:c r="O1292" s="36" t="n">
        <x:f>Assumptions!$B$10</x:f>
        <x:v>0</x:v>
      </x:c>
      <x:c r="P1292" s="54" t="n">
        <x:f>E1292*(1+N1292)</x:f>
        <x:v>612.2498535676351</x:v>
      </x:c>
      <x:c r="Q1292" s="54" t="n">
        <x:f>P1292-E1292</x:f>
        <x:v>-28.750146432364886</x:v>
      </x:c>
      <x:c r="R1292" s="16" t="str">
        <x:v>Yes</x:v>
      </x:c>
      <x:c r="S1292" s="56" t="n">
        <x:v>18242</x:v>
      </x:c>
      <x:c r="T1292" s="56" t="n">
        <x:v>8860</x:v>
      </x:c>
      <x:c r="U1292" s="40" t="n">
        <x:f>E1292*Assumptions!$B$8</x:f>
        <x:v>544.85</x:v>
      </x:c>
      <x:c r="V1292" s="40" t="n">
        <x:f>P1292*Assumptions!$B$8</x:f>
        <x:v>520.4123755324898</x:v>
      </x:c>
      <x:c r="W1292" s="54" t="n">
        <x:f>V1292-U1292</x:f>
        <x:v>-24.437624467510204</x:v>
      </x:c>
      <x:c r="X1292" s="58" t="n">
        <x:f>IF(R1292="No","",W1292*S1292)</x:f>
        <x:v>-445791.14553632116</x:v>
      </x:c>
      <x:c r="Y1292" s="58" t="n">
        <x:f>IF(R1292="No","",W1292*T1292*Assumptions!$B$9)</x:f>
        <x:v>-64955.20583464212</x:v>
      </x:c>
      <x:c r="Z1292" s="58" t="n">
        <x:f>IF(R1292="No","",X1292-Y1292)</x:f>
        <x:v>-380835.93970167905</x:v>
      </x:c>
      <x:c r="AA1292" s="58" t="n">
        <x:f>IF(R1292="No","",MAX(0,-Z1292))</x:f>
        <x:v>380835.93970167905</x:v>
      </x:c>
      <x:c r="AB1292" s="52" t="n">
        <x:f>IF(OR(R1292="No",U1292*S1292=0),"",AA1292/(U1292*S1292))</x:f>
        <x:v>0.0383167371384627</x:v>
      </x:c>
      <x:c r="AC1292" s="54" t="n">
        <x:f>IF(OR(R1292="No",S1292-T1292*Assumptions!$B$9&lt;=0),"",AA1292/(Assumptions!$B$8*(S1292-T1292*Assumptions!$B$9)))</x:f>
        <x:v>28.75014643236495</x:v>
      </x:c>
      <x:c r="AD1292" s="52" t="n">
        <x:f>IF(OR(R1292="No",U1292*S1292=0),"",AA1292/(U1292*S1292))</x:f>
        <x:v>0.0383167371384627</x:v>
      </x:c>
      <x:c r="AE1292" s="50" t="str">
        <x:f>IF(R1292="No","No finance data",IF(AB1292&gt;=10%,"Severe",IF(AB1292&gt;=5%,"High",IF(AB1292&gt;=2%,"Moderate","Low"))))</x:f>
        <x:v>Moderate</x:v>
      </x:c>
      <x:c r="AF1292" s="60" t="n">
        <x:v>41.497035</x:v>
      </x:c>
      <x:c r="AG1292" s="60" t="n">
        <x:v>-81.465118</x:v>
      </x:c>
      <x:c r="AH1292" s="44" t="str">
        <x:v>Undergraduate tuition-contribution proxy only; not an audited total institutional budget.</x:v>
      </x:c>
    </x:row>
    <x:row r="1293">
      <x:c r="A1293" s="16" t="n">
        <x:v>206437</x:v>
      </x:c>
      <x:c r="B1293" s="16" t="str">
        <x:v>Walsh University</x:v>
      </x:c>
      <x:c r="C1293" s="16" t="str">
        <x:v>OH</x:v>
      </x:c>
      <x:c r="D1293" s="16" t="str">
        <x:v>Private nonprofit</x:v>
      </x:c>
      <x:c r="E1293" s="34" t="n">
        <x:v>2156</x:v>
      </x:c>
      <x:c r="F1293" s="21" t="n">
        <x:v>0.7992</x:v>
      </x:c>
      <x:c r="G1293" s="16" t="str">
        <x:v>Regional</x:v>
      </x:c>
      <x:c r="H1293" s="36" t="n">
        <x:f>IF(G1293="National",Assumptions!$B$11,IF(G1293="Statewide",Assumptions!$B$12,Assumptions!$B$13))</x:f>
        <x:v>0.85</x:v>
      </x:c>
      <x:c r="I1293" s="21" t="n">
        <x:v>-0.04950305674999822</x:v>
      </x:c>
      <x:c r="J1293" s="21" t="n">
        <x:v>-0.04440257007856163</x:v>
      </x:c>
      <x:c r="K1293" s="21" t="n">
        <x:v>-0.11831712275879658</x:v>
      </x:c>
      <x:c r="L1293" s="36" t="n">
        <x:f>IF(Assumptions!$B$4=2030,I1293,IF(Assumptions!$B$4=2035,J1293,K1293))</x:f>
        <x:v>-0.04440257007856163</x:v>
      </x:c>
      <x:c r="M1293" s="36" t="n">
        <x:f>Assumptions!$B$19</x:f>
        <x:v>-0.04739891965741583</x:v>
      </x:c>
      <x:c r="N1293" s="52" t="n">
        <x:f>H1293*L1293+(1-H1293)*M1293+O1293</x:f>
        <x:v>-0.044852022515389764</x:v>
      </x:c>
      <x:c r="O1293" s="36" t="n">
        <x:f>Assumptions!$B$10</x:f>
        <x:v>0</x:v>
      </x:c>
      <x:c r="P1293" s="54" t="n">
        <x:f>E1293*(1+N1293)</x:f>
        <x:v>2059.2990394568196</x:v>
      </x:c>
      <x:c r="Q1293" s="54" t="n">
        <x:f>P1293-E1293</x:f>
        <x:v>-96.70096054318037</x:v>
      </x:c>
      <x:c r="R1293" s="16" t="str">
        <x:v>Yes</x:v>
      </x:c>
      <x:c r="S1293" s="56" t="n">
        <x:v>13170</x:v>
      </x:c>
      <x:c r="T1293" s="56" t="n">
        <x:v>6707</x:v>
      </x:c>
      <x:c r="U1293" s="40" t="n">
        <x:f>E1293*Assumptions!$B$8</x:f>
        <x:v>1832.6</x:v>
      </x:c>
      <x:c r="V1293" s="40" t="n">
        <x:f>P1293*Assumptions!$B$8</x:f>
        <x:v>1750.4041835382966</x:v>
      </x:c>
      <x:c r="W1293" s="54" t="n">
        <x:f>V1293-U1293</x:f>
        <x:v>-82.19581646170332</x:v>
      </x:c>
      <x:c r="X1293" s="58" t="n">
        <x:f>IF(R1293="No","",W1293*S1293)</x:f>
        <x:v>-1082518.9028006326</x:v>
      </x:c>
      <x:c r="Y1293" s="58" t="n">
        <x:f>IF(R1293="No","",W1293*T1293*Assumptions!$B$9)</x:f>
        <x:v>-165386.2023025932</x:v>
      </x:c>
      <x:c r="Z1293" s="58" t="n">
        <x:f>IF(R1293="No","",X1293-Y1293)</x:f>
        <x:v>-917132.7004980394</x:v>
      </x:c>
      <x:c r="AA1293" s="58" t="n">
        <x:f>IF(R1293="No","",MAX(0,-Z1293))</x:f>
        <x:v>917132.7004980394</x:v>
      </x:c>
      <x:c r="AB1293" s="52" t="n">
        <x:f>IF(OR(R1293="No",U1293*S1293=0),"",AA1293/(U1293*S1293))</x:f>
        <x:v>0.03799957342630734</x:v>
      </x:c>
      <x:c r="AC1293" s="54" t="n">
        <x:f>IF(OR(R1293="No",S1293-T1293*Assumptions!$B$9&lt;=0),"",AA1293/(Assumptions!$B$8*(S1293-T1293*Assumptions!$B$9)))</x:f>
        <x:v>96.70096054318036</x:v>
      </x:c>
      <x:c r="AD1293" s="52" t="n">
        <x:f>IF(OR(R1293="No",U1293*S1293=0),"",AA1293/(U1293*S1293))</x:f>
        <x:v>0.03799957342630734</x:v>
      </x:c>
      <x:c r="AE1293" s="50" t="str">
        <x:f>IF(R1293="No","No finance data",IF(AB1293&gt;=10%,"Severe",IF(AB1293&gt;=5%,"High",IF(AB1293&gt;=2%,"Moderate","Low"))))</x:f>
        <x:v>Moderate</x:v>
      </x:c>
      <x:c r="AF1293" s="60" t="n">
        <x:v>40.873908</x:v>
      </x:c>
      <x:c r="AG1293" s="60" t="n">
        <x:v>-81.369931</x:v>
      </x:c>
      <x:c r="AH1293" s="44" t="str">
        <x:v>Undergraduate tuition-contribution proxy only; not an audited total institutional budget.</x:v>
      </x:c>
    </x:row>
    <x:row r="1294">
      <x:c r="A1294" s="16" t="n">
        <x:v>206491</x:v>
      </x:c>
      <x:c r="B1294" s="16" t="str">
        <x:v>Wilberforce University</x:v>
      </x:c>
      <x:c r="C1294" s="16" t="str">
        <x:v>OH</x:v>
      </x:c>
      <x:c r="D1294" s="16" t="str">
        <x:v>Private nonprofit</x:v>
      </x:c>
      <x:c r="E1294" s="34" t="n">
        <x:v>586</x:v>
      </x:c>
      <x:c r="F1294" s="21" t="n">
        <x:v>0.388</x:v>
      </x:c>
      <x:c r="G1294" s="16" t="str">
        <x:v>Regional</x:v>
      </x:c>
      <x:c r="H1294" s="36" t="n">
        <x:f>IF(G1294="National",Assumptions!$B$11,IF(G1294="Statewide",Assumptions!$B$12,Assumptions!$B$13))</x:f>
        <x:v>0.85</x:v>
      </x:c>
      <x:c r="I1294" s="21" t="n">
        <x:v>-0.04950305674999822</x:v>
      </x:c>
      <x:c r="J1294" s="21" t="n">
        <x:v>-0.04440257007856163</x:v>
      </x:c>
      <x:c r="K1294" s="21" t="n">
        <x:v>-0.11831712275879658</x:v>
      </x:c>
      <x:c r="L1294" s="36" t="n">
        <x:f>IF(Assumptions!$B$4=2030,I1294,IF(Assumptions!$B$4=2035,J1294,K1294))</x:f>
        <x:v>-0.04440257007856163</x:v>
      </x:c>
      <x:c r="M1294" s="36" t="n">
        <x:f>Assumptions!$B$19</x:f>
        <x:v>-0.04739891965741583</x:v>
      </x:c>
      <x:c r="N1294" s="52" t="n">
        <x:f>H1294*L1294+(1-H1294)*M1294+O1294</x:f>
        <x:v>-0.044852022515389764</x:v>
      </x:c>
      <x:c r="O1294" s="36" t="n">
        <x:f>Assumptions!$B$10</x:f>
        <x:v>0</x:v>
      </x:c>
      <x:c r="P1294" s="54" t="n">
        <x:f>E1294*(1+N1294)</x:f>
        <x:v>559.7167148059816</x:v>
      </x:c>
      <x:c r="Q1294" s="54" t="n">
        <x:f>P1294-E1294</x:f>
        <x:v>-26.28328519401839</x:v>
      </x:c>
      <x:c r="R1294" s="16" t="str">
        <x:v>Yes</x:v>
      </x:c>
      <x:c r="S1294" s="56" t="n">
        <x:v>12287</x:v>
      </x:c>
      <x:c r="T1294" s="56" t="n">
        <x:v>6460</x:v>
      </x:c>
      <x:c r="U1294" s="40" t="n">
        <x:f>E1294*Assumptions!$B$8</x:f>
        <x:v>498.09999999999997</x:v>
      </x:c>
      <x:c r="V1294" s="40" t="n">
        <x:f>P1294*Assumptions!$B$8</x:f>
        <x:v>475.75920758508437</x:v>
      </x:c>
      <x:c r="W1294" s="54" t="n">
        <x:f>V1294-U1294</x:f>
        <x:v>-22.340792414915597</x:v>
      </x:c>
      <x:c r="X1294" s="58" t="n">
        <x:f>IF(R1294="No","",W1294*S1294)</x:f>
        <x:v>-274501.31640206795</x:v>
      </x:c>
      <x:c r="Y1294" s="58" t="n">
        <x:f>IF(R1294="No","",W1294*T1294*Assumptions!$B$9)</x:f>
        <x:v>-43296.455700106424</x:v>
      </x:c>
      <x:c r="Z1294" s="58" t="n">
        <x:f>IF(R1294="No","",X1294-Y1294)</x:f>
        <x:v>-231204.86070196153</x:v>
      </x:c>
      <x:c r="AA1294" s="58" t="n">
        <x:f>IF(R1294="No","",MAX(0,-Z1294))</x:f>
        <x:v>231204.86070196153</x:v>
      </x:c>
      <x:c r="AB1294" s="52" t="n">
        <x:f>IF(OR(R1294="No",U1294*S1294=0),"",AA1294/(U1294*S1294))</x:f>
        <x:v>0.03777761707591502</x:v>
      </x:c>
      <x:c r="AC1294" s="54" t="n">
        <x:f>IF(OR(R1294="No",S1294-T1294*Assumptions!$B$9&lt;=0),"",AA1294/(Assumptions!$B$8*(S1294-T1294*Assumptions!$B$9)))</x:f>
        <x:v>26.28328519401835</x:v>
      </x:c>
      <x:c r="AD1294" s="52" t="n">
        <x:f>IF(OR(R1294="No",U1294*S1294=0),"",AA1294/(U1294*S1294))</x:f>
        <x:v>0.03777761707591502</x:v>
      </x:c>
      <x:c r="AE1294" s="50" t="str">
        <x:f>IF(R1294="No","No finance data",IF(AB1294&gt;=10%,"Severe",IF(AB1294&gt;=5%,"High",IF(AB1294&gt;=2%,"Moderate","Low"))))</x:f>
        <x:v>Moderate</x:v>
      </x:c>
      <x:c r="AF1294" s="60" t="n">
        <x:v>39.707291</x:v>
      </x:c>
      <x:c r="AG1294" s="60" t="n">
        <x:v>-83.880595</x:v>
      </x:c>
      <x:c r="AH1294" s="44" t="str">
        <x:v>Undergraduate tuition-contribution proxy only; not an audited total institutional budget.</x:v>
      </x:c>
    </x:row>
    <x:row r="1295">
      <x:c r="A1295" s="16" t="n">
        <x:v>206507</x:v>
      </x:c>
      <x:c r="B1295" s="16" t="str">
        <x:v>Wilmington College</x:v>
      </x:c>
      <x:c r="C1295" s="16" t="str">
        <x:v>OH</x:v>
      </x:c>
      <x:c r="D1295" s="16" t="str">
        <x:v>Private nonprofit</x:v>
      </x:c>
      <x:c r="E1295" s="34" t="n">
        <x:v>1112</x:v>
      </x:c>
      <x:c r="F1295" s="21" t="n">
        <x:v>0.8688</x:v>
      </x:c>
      <x:c r="G1295" s="16" t="str">
        <x:v>Regional</x:v>
      </x:c>
      <x:c r="H1295" s="36" t="n">
        <x:f>IF(G1295="National",Assumptions!$B$11,IF(G1295="Statewide",Assumptions!$B$12,Assumptions!$B$13))</x:f>
        <x:v>0.85</x:v>
      </x:c>
      <x:c r="I1295" s="21" t="n">
        <x:v>-0.04950305674999822</x:v>
      </x:c>
      <x:c r="J1295" s="21" t="n">
        <x:v>-0.04440257007856163</x:v>
      </x:c>
      <x:c r="K1295" s="21" t="n">
        <x:v>-0.11831712275879658</x:v>
      </x:c>
      <x:c r="L1295" s="36" t="n">
        <x:f>IF(Assumptions!$B$4=2030,I1295,IF(Assumptions!$B$4=2035,J1295,K1295))</x:f>
        <x:v>-0.04440257007856163</x:v>
      </x:c>
      <x:c r="M1295" s="36" t="n">
        <x:f>Assumptions!$B$19</x:f>
        <x:v>-0.04739891965741583</x:v>
      </x:c>
      <x:c r="N1295" s="52" t="n">
        <x:f>H1295*L1295+(1-H1295)*M1295+O1295</x:f>
        <x:v>-0.044852022515389764</x:v>
      </x:c>
      <x:c r="O1295" s="36" t="n">
        <x:f>Assumptions!$B$10</x:f>
        <x:v>0</x:v>
      </x:c>
      <x:c r="P1295" s="54" t="n">
        <x:f>E1295*(1+N1295)</x:f>
        <x:v>1062.1245509628866</x:v>
      </x:c>
      <x:c r="Q1295" s="54" t="n">
        <x:f>P1295-E1295</x:f>
        <x:v>-49.87544903711341</x:v>
      </x:c>
      <x:c r="R1295" s="16" t="str">
        <x:v>Yes</x:v>
      </x:c>
      <x:c r="S1295" s="56" t="n">
        <x:v>11185</x:v>
      </x:c>
      <x:c r="T1295" s="56" t="n">
        <x:v>5954</x:v>
      </x:c>
      <x:c r="U1295" s="40" t="n">
        <x:f>E1295*Assumptions!$B$8</x:f>
        <x:v>945.1999999999999</x:v>
      </x:c>
      <x:c r="V1295" s="40" t="n">
        <x:f>P1295*Assumptions!$B$8</x:f>
        <x:v>902.8058683184536</x:v>
      </x:c>
      <x:c r="W1295" s="54" t="n">
        <x:f>V1295-U1295</x:f>
        <x:v>-42.394131681546355</x:v>
      </x:c>
      <x:c r="X1295" s="58" t="n">
        <x:f>IF(R1295="No","",W1295*S1295)</x:f>
        <x:v>-474178.36285809596</x:v>
      </x:c>
      <x:c r="Y1295" s="58" t="n">
        <x:f>IF(R1295="No","",W1295*T1295*Assumptions!$B$9)</x:f>
        <x:v>-75724.3980095781</x:v>
      </x:c>
      <x:c r="Z1295" s="58" t="n">
        <x:f>IF(R1295="No","",X1295-Y1295)</x:f>
        <x:v>-398453.96484851785</x:v>
      </x:c>
      <x:c r="AA1295" s="58" t="n">
        <x:f>IF(R1295="No","",MAX(0,-Z1295))</x:f>
        <x:v>398453.96484851785</x:v>
      </x:c>
      <x:c r="AB1295" s="52" t="n">
        <x:f>IF(OR(R1295="No",U1295*S1295=0),"",AA1295/(U1295*S1295))</x:f>
        <x:v>0.03768933296536833</x:v>
      </x:c>
      <x:c r="AC1295" s="54" t="n">
        <x:f>IF(OR(R1295="No",S1295-T1295*Assumptions!$B$9&lt;=0),"",AA1295/(Assumptions!$B$8*(S1295-T1295*Assumptions!$B$9)))</x:f>
        <x:v>49.875449037113356</x:v>
      </x:c>
      <x:c r="AD1295" s="52" t="n">
        <x:f>IF(OR(R1295="No",U1295*S1295=0),"",AA1295/(U1295*S1295))</x:f>
        <x:v>0.03768933296536833</x:v>
      </x:c>
      <x:c r="AE1295" s="50" t="str">
        <x:f>IF(R1295="No","No finance data",IF(AB1295&gt;=10%,"Severe",IF(AB1295&gt;=5%,"High",IF(AB1295&gt;=2%,"Moderate","Low"))))</x:f>
        <x:v>Moderate</x:v>
      </x:c>
      <x:c r="AF1295" s="60" t="n">
        <x:v>39.444744</x:v>
      </x:c>
      <x:c r="AG1295" s="60" t="n">
        <x:v>-83.818342</x:v>
      </x:c>
      <x:c r="AH1295" s="44" t="str">
        <x:v>Undergraduate tuition-contribution proxy only; not an audited total institutional budget.</x:v>
      </x:c>
    </x:row>
    <x:row r="1296">
      <x:c r="A1296" s="16" t="n">
        <x:v>206525</x:v>
      </x:c>
      <x:c r="B1296" s="16" t="str">
        <x:v>Wittenberg University</x:v>
      </x:c>
      <x:c r="C1296" s="16" t="str">
        <x:v>OH</x:v>
      </x:c>
      <x:c r="D1296" s="16" t="str">
        <x:v>Private nonprofit</x:v>
      </x:c>
      <x:c r="E1296" s="34" t="n">
        <x:v>1805</x:v>
      </x:c>
      <x:c r="F1296" s="21" t="n">
        <x:v>0.9227</x:v>
      </x:c>
      <x:c r="G1296" s="16" t="str">
        <x:v>Regional</x:v>
      </x:c>
      <x:c r="H1296" s="36" t="n">
        <x:f>IF(G1296="National",Assumptions!$B$11,IF(G1296="Statewide",Assumptions!$B$12,Assumptions!$B$13))</x:f>
        <x:v>0.85</x:v>
      </x:c>
      <x:c r="I1296" s="21" t="n">
        <x:v>-0.04950305674999822</x:v>
      </x:c>
      <x:c r="J1296" s="21" t="n">
        <x:v>-0.04440257007856163</x:v>
      </x:c>
      <x:c r="K1296" s="21" t="n">
        <x:v>-0.11831712275879658</x:v>
      </x:c>
      <x:c r="L1296" s="36" t="n">
        <x:f>IF(Assumptions!$B$4=2030,I1296,IF(Assumptions!$B$4=2035,J1296,K1296))</x:f>
        <x:v>-0.04440257007856163</x:v>
      </x:c>
      <x:c r="M1296" s="36" t="n">
        <x:f>Assumptions!$B$19</x:f>
        <x:v>-0.04739891965741583</x:v>
      </x:c>
      <x:c r="N1296" s="52" t="n">
        <x:f>H1296*L1296+(1-H1296)*M1296+O1296</x:f>
        <x:v>-0.044852022515389764</x:v>
      </x:c>
      <x:c r="O1296" s="36" t="n">
        <x:f>Assumptions!$B$10</x:f>
        <x:v>0</x:v>
      </x:c>
      <x:c r="P1296" s="54" t="n">
        <x:f>E1296*(1+N1296)</x:f>
        <x:v>1724.0420993597215</x:v>
      </x:c>
      <x:c r="Q1296" s="54" t="n">
        <x:f>P1296-E1296</x:f>
        <x:v>-80.95790064027847</x:v>
      </x:c>
      <x:c r="R1296" s="16" t="str">
        <x:v>Yes</x:v>
      </x:c>
      <x:c r="S1296" s="56" t="n">
        <x:v>12305</x:v>
      </x:c>
      <x:c r="T1296" s="56" t="n">
        <x:v>11072</x:v>
      </x:c>
      <x:c r="U1296" s="40" t="n">
        <x:f>E1296*Assumptions!$B$8</x:f>
        <x:v>1534.25</x:v>
      </x:c>
      <x:c r="V1296" s="40" t="n">
        <x:f>P1296*Assumptions!$B$8</x:f>
        <x:v>1465.4357844557633</x:v>
      </x:c>
      <x:c r="W1296" s="54" t="n">
        <x:f>V1296-U1296</x:f>
        <x:v>-68.81421554423673</x:v>
      </x:c>
      <x:c r="X1296" s="58" t="n">
        <x:f>IF(R1296="No","",W1296*S1296)</x:f>
        <x:v>-846758.9222718329</x:v>
      </x:c>
      <x:c r="Y1296" s="58" t="n">
        <x:f>IF(R1296="No","",W1296*T1296*Assumptions!$B$9)</x:f>
        <x:v>-228573.29835173674</x:v>
      </x:c>
      <x:c r="Z1296" s="58" t="n">
        <x:f>IF(R1296="No","",X1296-Y1296)</x:f>
        <x:v>-618185.6239200962</x:v>
      </x:c>
      <x:c r="AA1296" s="58" t="n">
        <x:f>IF(R1296="No","",MAX(0,-Z1296))</x:f>
        <x:v>618185.6239200962</x:v>
      </x:c>
      <x:c r="AB1296" s="52" t="n">
        <x:f>IF(OR(R1296="No",U1296*S1296=0),"",AA1296/(U1296*S1296))</x:f>
        <x:v>0.03274471020436833</x:v>
      </x:c>
      <x:c r="AC1296" s="54" t="n">
        <x:f>IF(OR(R1296="No",S1296-T1296*Assumptions!$B$9&lt;=0),"",AA1296/(Assumptions!$B$8*(S1296-T1296*Assumptions!$B$9)))</x:f>
        <x:v>80.95790064027851</x:v>
      </x:c>
      <x:c r="AD1296" s="52" t="n">
        <x:f>IF(OR(R1296="No",U1296*S1296=0),"",AA1296/(U1296*S1296))</x:f>
        <x:v>0.03274471020436833</x:v>
      </x:c>
      <x:c r="AE1296" s="50" t="str">
        <x:f>IF(R1296="No","No finance data",IF(AB1296&gt;=10%,"Severe",IF(AB1296&gt;=5%,"High",IF(AB1296&gt;=2%,"Moderate","Low"))))</x:f>
        <x:v>Moderate</x:v>
      </x:c>
      <x:c r="AF1296" s="60" t="n">
        <x:v>39.934029</x:v>
      </x:c>
      <x:c r="AG1296" s="60" t="n">
        <x:v>-83.815445</x:v>
      </x:c>
      <x:c r="AH1296" s="44" t="str">
        <x:v>Undergraduate tuition-contribution proxy only; not an audited total institutional budget.</x:v>
      </x:c>
    </x:row>
    <x:row r="1297">
      <x:c r="A1297" s="16" t="n">
        <x:v>206613</x:v>
      </x:c>
      <x:c r="B1297" s="16" t="str">
        <x:v>Wright State University-Lake Campus</x:v>
      </x:c>
      <x:c r="C1297" s="16" t="str">
        <x:v>OH</x:v>
      </x:c>
      <x:c r="D1297" s="16" t="str">
        <x:v>Public</x:v>
      </x:c>
      <x:c r="E1297" s="34" t="n">
        <x:v>992</x:v>
      </x:c>
      <x:c r="F1297" s="21" t="n">
        <x:v>0.9841</x:v>
      </x:c>
      <x:c r="G1297" s="16" t="str">
        <x:v>Regional</x:v>
      </x:c>
      <x:c r="H1297" s="36" t="n">
        <x:f>IF(G1297="National",Assumptions!$B$11,IF(G1297="Statewide",Assumptions!$B$12,Assumptions!$B$13))</x:f>
        <x:v>0.85</x:v>
      </x:c>
      <x:c r="I1297" s="21" t="n">
        <x:v>-0.04950305674999822</x:v>
      </x:c>
      <x:c r="J1297" s="21" t="n">
        <x:v>-0.04440257007856163</x:v>
      </x:c>
      <x:c r="K1297" s="21" t="n">
        <x:v>-0.11831712275879658</x:v>
      </x:c>
      <x:c r="L1297" s="36" t="n">
        <x:f>IF(Assumptions!$B$4=2030,I1297,IF(Assumptions!$B$4=2035,J1297,K1297))</x:f>
        <x:v>-0.04440257007856163</x:v>
      </x:c>
      <x:c r="M1297" s="36" t="n">
        <x:f>Assumptions!$B$19</x:f>
        <x:v>-0.04739891965741583</x:v>
      </x:c>
      <x:c r="N1297" s="52" t="n">
        <x:f>H1297*L1297+(1-H1297)*M1297+O1297</x:f>
        <x:v>-0.044852022515389764</x:v>
      </x:c>
      <x:c r="O1297" s="36" t="n">
        <x:f>Assumptions!$B$10</x:f>
        <x:v>0</x:v>
      </x:c>
      <x:c r="P1297" s="54" t="n">
        <x:f>E1297*(1+N1297)</x:f>
        <x:v>947.5067936647333</x:v>
      </x:c>
      <x:c r="Q1297" s="54" t="n">
        <x:f>P1297-E1297</x:f>
        <x:v>-44.49320633526668</x:v>
      </x:c>
      <x:c r="R1297" s="16" t="str">
        <x:v>Yes</x:v>
      </x:c>
      <x:c r="S1297" s="56" t="n">
        <x:v>6193</x:v>
      </x:c>
      <x:c r="T1297" s="56" t="n">
        <x:v>4178</x:v>
      </x:c>
      <x:c r="U1297" s="40" t="n">
        <x:f>E1297*Assumptions!$B$8</x:f>
        <x:v>843.1999999999999</x:v>
      </x:c>
      <x:c r="V1297" s="40" t="n">
        <x:f>P1297*Assumptions!$B$8</x:f>
        <x:v>805.3807746150233</x:v>
      </x:c>
      <x:c r="W1297" s="54" t="n">
        <x:f>V1297-U1297</x:f>
        <x:v>-37.819225384976676</x:v>
      </x:c>
      <x:c r="X1297" s="58" t="n">
        <x:f>IF(R1297="No","",W1297*S1297)</x:f>
        <x:v>-234214.46280916056</x:v>
      </x:c>
      <x:c r="Y1297" s="58" t="n">
        <x:f>IF(R1297="No","",W1297*T1297*Assumptions!$B$9)</x:f>
        <x:v>-47402.617097529765</x:v>
      </x:c>
      <x:c r="Z1297" s="58" t="n">
        <x:f>IF(R1297="No","",X1297-Y1297)</x:f>
        <x:v>-186811.8457116308</x:v>
      </x:c>
      <x:c r="AA1297" s="58" t="n">
        <x:f>IF(R1297="No","",MAX(0,-Z1297))</x:f>
        <x:v>186811.8457116308</x:v>
      </x:c>
      <x:c r="AB1297" s="52" t="n">
        <x:f>IF(OR(R1297="No",U1297*S1297=0),"",AA1297/(U1297*S1297))</x:f>
        <x:v>0.03577443087631511</x:v>
      </x:c>
      <x:c r="AC1297" s="54" t="n">
        <x:f>IF(OR(R1297="No",S1297-T1297*Assumptions!$B$9&lt;=0),"",AA1297/(Assumptions!$B$8*(S1297-T1297*Assumptions!$B$9)))</x:f>
        <x:v>44.493206335266684</x:v>
      </x:c>
      <x:c r="AD1297" s="52" t="n">
        <x:f>IF(OR(R1297="No",U1297*S1297=0),"",AA1297/(U1297*S1297))</x:f>
        <x:v>0.03577443087631511</x:v>
      </x:c>
      <x:c r="AE1297" s="50" t="str">
        <x:f>IF(R1297="No","No finance data",IF(AB1297&gt;=10%,"Severe",IF(AB1297&gt;=5%,"High",IF(AB1297&gt;=2%,"Moderate","Low"))))</x:f>
        <x:v>Moderate</x:v>
      </x:c>
      <x:c r="AF1297" s="60" t="n">
        <x:v>40.546074</x:v>
      </x:c>
      <x:c r="AG1297" s="60" t="n">
        <x:v>-84.509194</x:v>
      </x:c>
      <x:c r="AH1297" s="44" t="str">
        <x:v>Undergraduate tuition-contribution proxy only; not an audited total institutional budget.</x:v>
      </x:c>
    </x:row>
    <x:row r="1298">
      <x:c r="A1298" s="16" t="n">
        <x:v>206604</x:v>
      </x:c>
      <x:c r="B1298" s="16" t="str">
        <x:v>Wright State University-Main Campus</x:v>
      </x:c>
      <x:c r="C1298" s="16" t="str">
        <x:v>OH</x:v>
      </x:c>
      <x:c r="D1298" s="16" t="str">
        <x:v>Public</x:v>
      </x:c>
      <x:c r="E1298" s="34" t="n">
        <x:v>12040</x:v>
      </x:c>
      <x:c r="F1298" s="21" t="n">
        <x:v>0.9604</x:v>
      </x:c>
      <x:c r="G1298" s="16" t="str">
        <x:v>Statewide</x:v>
      </x:c>
      <x:c r="H1298" s="36" t="n">
        <x:f>IF(G1298="National",Assumptions!$B$11,IF(G1298="Statewide",Assumptions!$B$12,Assumptions!$B$13))</x:f>
        <x:v>0.6</x:v>
      </x:c>
      <x:c r="I1298" s="21" t="n">
        <x:v>-0.04950305674999822</x:v>
      </x:c>
      <x:c r="J1298" s="21" t="n">
        <x:v>-0.04440257007856163</x:v>
      </x:c>
      <x:c r="K1298" s="21" t="n">
        <x:v>-0.11831712275879658</x:v>
      </x:c>
      <x:c r="L1298" s="36" t="n">
        <x:f>IF(Assumptions!$B$4=2030,I1298,IF(Assumptions!$B$4=2035,J1298,K1298))</x:f>
        <x:v>-0.04440257007856163</x:v>
      </x:c>
      <x:c r="M1298" s="36" t="n">
        <x:f>Assumptions!$B$19</x:f>
        <x:v>-0.04739891965741583</x:v>
      </x:c>
      <x:c r="N1298" s="52" t="n">
        <x:f>H1298*L1298+(1-H1298)*M1298+O1298</x:f>
        <x:v>-0.04560110991010331</x:v>
      </x:c>
      <x:c r="O1298" s="36" t="n">
        <x:f>Assumptions!$B$10</x:f>
        <x:v>0</x:v>
      </x:c>
      <x:c r="P1298" s="54" t="n">
        <x:f>E1298*(1+N1298)</x:f>
        <x:v>11490.962636682356</x:v>
      </x:c>
      <x:c r="Q1298" s="54" t="n">
        <x:f>P1298-E1298</x:f>
        <x:v>-549.0373633176441</x:v>
      </x:c>
      <x:c r="R1298" s="16" t="str">
        <x:v>Yes</x:v>
      </x:c>
      <x:c r="S1298" s="56" t="n">
        <x:v>10419</x:v>
      </x:c>
      <x:c r="T1298" s="56" t="n">
        <x:v>12333</x:v>
      </x:c>
      <x:c r="U1298" s="40" t="n">
        <x:f>E1298*Assumptions!$B$8</x:f>
        <x:v>10234</x:v>
      </x:c>
      <x:c r="V1298" s="40" t="n">
        <x:f>P1298*Assumptions!$B$8</x:f>
        <x:v>9767.318241180003</x:v>
      </x:c>
      <x:c r="W1298" s="54" t="n">
        <x:f>V1298-U1298</x:f>
        <x:v>-466.6817588199974</x:v>
      </x:c>
      <x:c r="X1298" s="58" t="n">
        <x:f>IF(R1298="No","",W1298*S1298)</x:f>
        <x:v>-4862357.245145553</x:v>
      </x:c>
      <x:c r="Y1298" s="58" t="n">
        <x:f>IF(R1298="No","",W1298*T1298*Assumptions!$B$9)</x:f>
        <x:v>-1726675.8394581084</x:v>
      </x:c>
      <x:c r="Z1298" s="58" t="n">
        <x:f>IF(R1298="No","",X1298-Y1298)</x:f>
        <x:v>-3135681.4056874444</x:v>
      </x:c>
      <x:c r="AA1298" s="58" t="n">
        <x:f>IF(R1298="No","",MAX(0,-Z1298))</x:f>
        <x:v>3135681.4056874444</x:v>
      </x:c>
      <x:c r="AB1298" s="52" t="n">
        <x:f>IF(OR(R1298="No",U1298*S1298=0),"",AA1298/(U1298*S1298))</x:f>
        <x:v>0.0294076607732964</x:v>
      </x:c>
      <x:c r="AC1298" s="54" t="n">
        <x:f>IF(OR(R1298="No",S1298-T1298*Assumptions!$B$9&lt;=0),"",AA1298/(Assumptions!$B$8*(S1298-T1298*Assumptions!$B$9)))</x:f>
        <x:v>549.0373633176439</x:v>
      </x:c>
      <x:c r="AD1298" s="52" t="n">
        <x:f>IF(OR(R1298="No",U1298*S1298=0),"",AA1298/(U1298*S1298))</x:f>
        <x:v>0.0294076607732964</x:v>
      </x:c>
      <x:c r="AE1298" s="50" t="str">
        <x:f>IF(R1298="No","No finance data",IF(AB1298&gt;=10%,"Severe",IF(AB1298&gt;=5%,"High",IF(AB1298&gt;=2%,"Moderate","Low"))))</x:f>
        <x:v>Moderate</x:v>
      </x:c>
      <x:c r="AF1298" s="60" t="n">
        <x:v>39.780634</x:v>
      </x:c>
      <x:c r="AG1298" s="60" t="n">
        <x:v>-84.064881</x:v>
      </x:c>
      <x:c r="AH1298" s="44" t="str">
        <x:v>Undergraduate tuition-contribution proxy only; not an audited total institutional budget.</x:v>
      </x:c>
    </x:row>
    <x:row r="1299">
      <x:c r="A1299" s="16" t="n">
        <x:v>206622</x:v>
      </x:c>
      <x:c r="B1299" s="16" t="str">
        <x:v>Xavier University</x:v>
      </x:c>
      <x:c r="C1299" s="16" t="str">
        <x:v>OH</x:v>
      </x:c>
      <x:c r="D1299" s="16" t="str">
        <x:v>Private nonprofit</x:v>
      </x:c>
      <x:c r="E1299" s="34" t="n">
        <x:v>4460</x:v>
      </x:c>
      <x:c r="F1299" s="21" t="n">
        <x:v>0.8402</x:v>
      </x:c>
      <x:c r="G1299" s="16" t="str">
        <x:v>Regional</x:v>
      </x:c>
      <x:c r="H1299" s="36" t="n">
        <x:f>IF(G1299="National",Assumptions!$B$11,IF(G1299="Statewide",Assumptions!$B$12,Assumptions!$B$13))</x:f>
        <x:v>0.85</x:v>
      </x:c>
      <x:c r="I1299" s="21" t="n">
        <x:v>-0.04950305674999822</x:v>
      </x:c>
      <x:c r="J1299" s="21" t="n">
        <x:v>-0.04440257007856163</x:v>
      </x:c>
      <x:c r="K1299" s="21" t="n">
        <x:v>-0.11831712275879658</x:v>
      </x:c>
      <x:c r="L1299" s="36" t="n">
        <x:f>IF(Assumptions!$B$4=2030,I1299,IF(Assumptions!$B$4=2035,J1299,K1299))</x:f>
        <x:v>-0.04440257007856163</x:v>
      </x:c>
      <x:c r="M1299" s="36" t="n">
        <x:f>Assumptions!$B$19</x:f>
        <x:v>-0.04739891965741583</x:v>
      </x:c>
      <x:c r="N1299" s="52" t="n">
        <x:f>H1299*L1299+(1-H1299)*M1299+O1299</x:f>
        <x:v>-0.044852022515389764</x:v>
      </x:c>
      <x:c r="O1299" s="36" t="n">
        <x:f>Assumptions!$B$10</x:f>
        <x:v>0</x:v>
      </x:c>
      <x:c r="P1299" s="54" t="n">
        <x:f>E1299*(1+N1299)</x:f>
        <x:v>4259.959979581362</x:v>
      </x:c>
      <x:c r="Q1299" s="54" t="n">
        <x:f>P1299-E1299</x:f>
        <x:v>-200.04002041863805</x:v>
      </x:c>
      <x:c r="R1299" s="16" t="str">
        <x:v>Yes</x:v>
      </x:c>
      <x:c r="S1299" s="56" t="n">
        <x:v>19734</x:v>
      </x:c>
      <x:c r="T1299" s="56" t="n">
        <x:v>11873</x:v>
      </x:c>
      <x:c r="U1299" s="40" t="n">
        <x:f>E1299*Assumptions!$B$8</x:f>
        <x:v>3791</x:v>
      </x:c>
      <x:c r="V1299" s="40" t="n">
        <x:f>P1299*Assumptions!$B$8</x:f>
        <x:v>3620.9659826441575</x:v>
      </x:c>
      <x:c r="W1299" s="54" t="n">
        <x:f>V1299-U1299</x:f>
        <x:v>-170.03401735584248</x:v>
      </x:c>
      <x:c r="X1299" s="58" t="n">
        <x:f>IF(R1299="No","",W1299*S1299)</x:f>
        <x:v>-3355451.2985001956</x:v>
      </x:c>
      <x:c r="Y1299" s="58" t="n">
        <x:f>IF(R1299="No","",W1299*T1299*Assumptions!$B$9)</x:f>
        <x:v>-605644.1664197752</x:v>
      </x:c>
      <x:c r="Z1299" s="58" t="n">
        <x:f>IF(R1299="No","",X1299-Y1299)</x:f>
        <x:v>-2749807.1320804204</x:v>
      </x:c>
      <x:c r="AA1299" s="58" t="n">
        <x:f>IF(R1299="No","",MAX(0,-Z1299))</x:f>
        <x:v>2749807.1320804204</x:v>
      </x:c>
      <x:c r="AB1299" s="52" t="n">
        <x:f>IF(OR(R1299="No",U1299*S1299=0),"",AA1299/(U1299*S1299))</x:f>
        <x:v>0.03675643018755115</x:v>
      </x:c>
      <x:c r="AC1299" s="54" t="n">
        <x:f>IF(OR(R1299="No",S1299-T1299*Assumptions!$B$9&lt;=0),"",AA1299/(Assumptions!$B$8*(S1299-T1299*Assumptions!$B$9)))</x:f>
        <x:v>200.04002041863822</x:v>
      </x:c>
      <x:c r="AD1299" s="52" t="n">
        <x:f>IF(OR(R1299="No",U1299*S1299=0),"",AA1299/(U1299*S1299))</x:f>
        <x:v>0.03675643018755115</x:v>
      </x:c>
      <x:c r="AE1299" s="50" t="str">
        <x:f>IF(R1299="No","No finance data",IF(AB1299&gt;=10%,"Severe",IF(AB1299&gt;=5%,"High",IF(AB1299&gt;=2%,"Moderate","Low"))))</x:f>
        <x:v>Moderate</x:v>
      </x:c>
      <x:c r="AF1299" s="60" t="n">
        <x:v>39.149547</x:v>
      </x:c>
      <x:c r="AG1299" s="60" t="n">
        <x:v>-84.47465</x:v>
      </x:c>
      <x:c r="AH1299" s="44" t="str">
        <x:v>Undergraduate tuition-contribution proxy only; not an audited total institutional budget.</x:v>
      </x:c>
    </x:row>
    <x:row r="1300">
      <x:c r="A1300" s="16" t="n">
        <x:v>206695</x:v>
      </x:c>
      <x:c r="B1300" s="16" t="str">
        <x:v>Youngstown State University</x:v>
      </x:c>
      <x:c r="C1300" s="16" t="str">
        <x:v>OH</x:v>
      </x:c>
      <x:c r="D1300" s="16" t="str">
        <x:v>Public</x:v>
      </x:c>
      <x:c r="E1300" s="34" t="n">
        <x:v>10196</x:v>
      </x:c>
      <x:c r="F1300" s="21" t="n">
        <x:v>0.7815</x:v>
      </x:c>
      <x:c r="G1300" s="16" t="str">
        <x:v>Statewide</x:v>
      </x:c>
      <x:c r="H1300" s="36" t="n">
        <x:f>IF(G1300="National",Assumptions!$B$11,IF(G1300="Statewide",Assumptions!$B$12,Assumptions!$B$13))</x:f>
        <x:v>0.6</x:v>
      </x:c>
      <x:c r="I1300" s="21" t="n">
        <x:v>-0.04950305674999822</x:v>
      </x:c>
      <x:c r="J1300" s="21" t="n">
        <x:v>-0.04440257007856163</x:v>
      </x:c>
      <x:c r="K1300" s="21" t="n">
        <x:v>-0.11831712275879658</x:v>
      </x:c>
      <x:c r="L1300" s="36" t="n">
        <x:f>IF(Assumptions!$B$4=2030,I1300,IF(Assumptions!$B$4=2035,J1300,K1300))</x:f>
        <x:v>-0.04440257007856163</x:v>
      </x:c>
      <x:c r="M1300" s="36" t="n">
        <x:f>Assumptions!$B$19</x:f>
        <x:v>-0.04739891965741583</x:v>
      </x:c>
      <x:c r="N1300" s="52" t="n">
        <x:f>H1300*L1300+(1-H1300)*M1300+O1300</x:f>
        <x:v>-0.04560110991010331</x:v>
      </x:c>
      <x:c r="O1300" s="36" t="n">
        <x:f>Assumptions!$B$10</x:f>
        <x:v>0</x:v>
      </x:c>
      <x:c r="P1300" s="54" t="n">
        <x:f>E1300*(1+N1300)</x:f>
        <x:v>9731.051083356586</x:v>
      </x:c>
      <x:c r="Q1300" s="54" t="n">
        <x:f>P1300-E1300</x:f>
        <x:v>-464.9489166434141</x:v>
      </x:c>
      <x:c r="R1300" s="16" t="str">
        <x:v>Yes</x:v>
      </x:c>
      <x:c r="S1300" s="56" t="n">
        <x:v>8048</x:v>
      </x:c>
      <x:c r="T1300" s="56" t="n">
        <x:v>7617</x:v>
      </x:c>
      <x:c r="U1300" s="40" t="n">
        <x:f>E1300*Assumptions!$B$8</x:f>
        <x:v>8666.6</x:v>
      </x:c>
      <x:c r="V1300" s="40" t="n">
        <x:f>P1300*Assumptions!$B$8</x:f>
        <x:v>8271.393420853097</x:v>
      </x:c>
      <x:c r="W1300" s="54" t="n">
        <x:f>V1300-U1300</x:f>
        <x:v>-395.2065791469031</x:v>
      </x:c>
      <x:c r="X1300" s="58" t="n">
        <x:f>IF(R1300="No","",W1300*S1300)</x:f>
        <x:v>-3180622.548974276</x:v>
      </x:c>
      <x:c r="Y1300" s="58" t="n">
        <x:f>IF(R1300="No","",W1300*T1300*Assumptions!$B$9)</x:f>
        <x:v>-903086.5540085882</x:v>
      </x:c>
      <x:c r="Z1300" s="58" t="n">
        <x:f>IF(R1300="No","",X1300-Y1300)</x:f>
        <x:v>-2277535.994965688</x:v>
      </x:c>
      <x:c r="AA1300" s="58" t="n">
        <x:f>IF(R1300="No","",MAX(0,-Z1300))</x:f>
        <x:v>2277535.994965688</x:v>
      </x:c>
      <x:c r="AB1300" s="52" t="n">
        <x:f>IF(OR(R1300="No",U1300*S1300=0),"",AA1300/(U1300*S1300))</x:f>
        <x:v>0.032653409083118236</x:v>
      </x:c>
      <x:c r="AC1300" s="54" t="n">
        <x:f>IF(OR(R1300="No",S1300-T1300*Assumptions!$B$9&lt;=0),"",AA1300/(Assumptions!$B$8*(S1300-T1300*Assumptions!$B$9)))</x:f>
        <x:v>464.9489166434155</x:v>
      </x:c>
      <x:c r="AD1300" s="52" t="n">
        <x:f>IF(OR(R1300="No",U1300*S1300=0),"",AA1300/(U1300*S1300))</x:f>
        <x:v>0.032653409083118236</x:v>
      </x:c>
      <x:c r="AE1300" s="50" t="str">
        <x:f>IF(R1300="No","No finance data",IF(AB1300&gt;=10%,"Severe",IF(AB1300&gt;=5%,"High",IF(AB1300&gt;=2%,"Moderate","Low"))))</x:f>
        <x:v>Moderate</x:v>
      </x:c>
      <x:c r="AF1300" s="60" t="n">
        <x:v>41.104928</x:v>
      </x:c>
      <x:c r="AG1300" s="60" t="n">
        <x:v>-80.64659</x:v>
      </x:c>
      <x:c r="AH1300" s="44" t="str">
        <x:v>Undergraduate tuition-contribution proxy only; not an audited total institutional budget.</x:v>
      </x:c>
    </x:row>
    <x:row r="1301">
      <x:c r="A1301" s="16" t="n">
        <x:v>206817</x:v>
      </x:c>
      <x:c r="B1301" s="16" t="str">
        <x:v>Bacone College</x:v>
      </x:c>
      <x:c r="C1301" s="16" t="str">
        <x:v>OK</x:v>
      </x:c>
      <x:c r="D1301" s="16" t="str">
        <x:v>Private nonprofit</x:v>
      </x:c>
      <x:c r="E1301" s="34" t="n">
        <x:v>805</x:v>
      </x:c>
      <x:c r="F1301" s="21"/>
      <x:c r="G1301" s="16" t="str">
        <x:v>Regional</x:v>
      </x:c>
      <x:c r="H1301" s="36" t="n">
        <x:f>IF(G1301="National",Assumptions!$B$11,IF(G1301="Statewide",Assumptions!$B$12,Assumptions!$B$13))</x:f>
        <x:v>0.85</x:v>
      </x:c>
      <x:c r="I1301" s="21" t="n">
        <x:v>-0.023124347534912992</x:v>
      </x:c>
      <x:c r="J1301" s="21" t="n">
        <x:v>-0.04553960093758003</x:v>
      </x:c>
      <x:c r="K1301" s="21" t="n">
        <x:v>-0.08901101065610906</x:v>
      </x:c>
      <x:c r="L1301" s="36" t="n">
        <x:f>IF(Assumptions!$B$4=2030,I1301,IF(Assumptions!$B$4=2035,J1301,K1301))</x:f>
        <x:v>-0.04553960093758003</x:v>
      </x:c>
      <x:c r="M1301" s="36" t="n">
        <x:f>Assumptions!$B$19</x:f>
        <x:v>-0.04739891965741583</x:v>
      </x:c>
      <x:c r="N1301" s="52" t="n">
        <x:f>H1301*L1301+(1-H1301)*M1301+O1301</x:f>
        <x:v>-0.0458184987455554</x:v>
      </x:c>
      <x:c r="O1301" s="36" t="n">
        <x:f>Assumptions!$B$10</x:f>
        <x:v>0</x:v>
      </x:c>
      <x:c r="P1301" s="54" t="n">
        <x:f>E1301*(1+N1301)</x:f>
        <x:v>768.1161085098279</x:v>
      </x:c>
      <x:c r="Q1301" s="54" t="n">
        <x:f>P1301-E1301</x:f>
        <x:v>-36.88389149017212</x:v>
      </x:c>
      <x:c r="R1301" s="16" t="str">
        <x:v>No</x:v>
      </x:c>
      <x:c r="S1301" s="56"/>
      <x:c r="T1301" s="56"/>
      <x:c r="U1301" s="40" t="n">
        <x:f>E1301*Assumptions!$B$8</x:f>
        <x:v>684.25</x:v>
      </x:c>
      <x:c r="V1301" s="40" t="n">
        <x:f>P1301*Assumptions!$B$8</x:f>
        <x:v>652.8986922333537</x:v>
      </x:c>
      <x:c r="W1301" s="54" t="n">
        <x:f>V1301-U1301</x:f>
        <x:v>-31.3513077666463</x:v>
      </x:c>
      <x:c r="X1301" s="58" t="str">
        <x:f>IF(R1301="No","",W1301*S1301)</x:f>
      </x:c>
      <x:c r="Y1301" s="58" t="str">
        <x:f>IF(R1301="No","",W1301*T1301*Assumptions!$B$9)</x:f>
      </x:c>
      <x:c r="Z1301" s="58" t="str">
        <x:f>IF(R1301="No","",X1301-Y1301)</x:f>
      </x:c>
      <x:c r="AA1301" s="58" t="str">
        <x:f>IF(R1301="No","",MAX(0,-Z1301))</x:f>
      </x:c>
      <x:c r="AB1301" s="52" t="str">
        <x:f>IF(OR(R1301="No",U1301*S1301=0),"",AA1301/(U1301*S1301))</x:f>
      </x:c>
      <x:c r="AC1301" s="54" t="str">
        <x:f>IF(OR(R1301="No",S1301-T1301*Assumptions!$B$9&lt;=0),"",AA1301/(Assumptions!$B$8*(S1301-T1301*Assumptions!$B$9)))</x:f>
      </x:c>
      <x:c r="AD1301" s="52" t="str">
        <x:f>IF(OR(R1301="No",U1301*S1301=0),"",AA1301/(U1301*S1301))</x:f>
      </x:c>
      <x:c r="AE1301" s="50" t="str">
        <x:f>IF(R1301="No","No finance data",IF(AB1301&gt;=10%,"Severe",IF(AB1301&gt;=5%,"High",IF(AB1301&gt;=2%,"Moderate","Low"))))</x:f>
        <x:v>No finance data</x:v>
      </x:c>
      <x:c r="AF1301" s="60"/>
      <x:c r="AG1301" s="60"/>
      <x:c r="AH1301" s="44" t="str">
        <x:v>Undergraduate tuition-contribution proxy only; not an audited total institutional budget.</x:v>
      </x:c>
    </x:row>
    <x:row r="1302">
      <x:c r="A1302" s="16" t="n">
        <x:v>207041</x:v>
      </x:c>
      <x:c r="B1302" s="16" t="str">
        <x:v>East Central University</x:v>
      </x:c>
      <x:c r="C1302" s="16" t="str">
        <x:v>OK</x:v>
      </x:c>
      <x:c r="D1302" s="16" t="str">
        <x:v>Public</x:v>
      </x:c>
      <x:c r="E1302" s="34" t="n">
        <x:v>3546</x:v>
      </x:c>
      <x:c r="F1302" s="21" t="n">
        <x:v>0.6468</x:v>
      </x:c>
      <x:c r="G1302" s="16" t="str">
        <x:v>Regional</x:v>
      </x:c>
      <x:c r="H1302" s="36" t="n">
        <x:f>IF(G1302="National",Assumptions!$B$11,IF(G1302="Statewide",Assumptions!$B$12,Assumptions!$B$13))</x:f>
        <x:v>0.85</x:v>
      </x:c>
      <x:c r="I1302" s="21" t="n">
        <x:v>-0.023124347534912992</x:v>
      </x:c>
      <x:c r="J1302" s="21" t="n">
        <x:v>-0.04553960093758003</x:v>
      </x:c>
      <x:c r="K1302" s="21" t="n">
        <x:v>-0.08901101065610906</x:v>
      </x:c>
      <x:c r="L1302" s="36" t="n">
        <x:f>IF(Assumptions!$B$4=2030,I1302,IF(Assumptions!$B$4=2035,J1302,K1302))</x:f>
        <x:v>-0.04553960093758003</x:v>
      </x:c>
      <x:c r="M1302" s="36" t="n">
        <x:f>Assumptions!$B$19</x:f>
        <x:v>-0.04739891965741583</x:v>
      </x:c>
      <x:c r="N1302" s="52" t="n">
        <x:f>H1302*L1302+(1-H1302)*M1302+O1302</x:f>
        <x:v>-0.0458184987455554</x:v>
      </x:c>
      <x:c r="O1302" s="36" t="n">
        <x:f>Assumptions!$B$10</x:f>
        <x:v>0</x:v>
      </x:c>
      <x:c r="P1302" s="54" t="n">
        <x:f>E1302*(1+N1302)</x:f>
        <x:v>3383.5276034482604</x:v>
      </x:c>
      <x:c r="Q1302" s="54" t="n">
        <x:f>P1302-E1302</x:f>
        <x:v>-162.47239655173962</x:v>
      </x:c>
      <x:c r="R1302" s="16" t="str">
        <x:v>Yes</x:v>
      </x:c>
      <x:c r="S1302" s="56" t="n">
        <x:v>6482</x:v>
      </x:c>
      <x:c r="T1302" s="56" t="n">
        <x:v>8236</x:v>
      </x:c>
      <x:c r="U1302" s="40" t="n">
        <x:f>E1302*Assumptions!$B$8</x:f>
        <x:v>3014.1</x:v>
      </x:c>
      <x:c r="V1302" s="40" t="n">
        <x:f>P1302*Assumptions!$B$8</x:f>
        <x:v>2875.998462931021</x:v>
      </x:c>
      <x:c r="W1302" s="54" t="n">
        <x:f>V1302-U1302</x:f>
        <x:v>-138.1015370689788</x:v>
      </x:c>
      <x:c r="X1302" s="58" t="n">
        <x:f>IF(R1302="No","",W1302*S1302)</x:f>
        <x:v>-895174.1632811207</x:v>
      </x:c>
      <x:c r="Y1302" s="58" t="n">
        <x:f>IF(R1302="No","",W1302*T1302*Assumptions!$B$9)</x:f>
        <x:v>-341221.27779003285</x:v>
      </x:c>
      <x:c r="Z1302" s="58" t="n">
        <x:f>IF(R1302="No","",X1302-Y1302)</x:f>
        <x:v>-553952.8854910878</x:v>
      </x:c>
      <x:c r="AA1302" s="58" t="n">
        <x:f>IF(R1302="No","",MAX(0,-Z1302))</x:f>
        <x:v>553952.8854910878</x:v>
      </x:c>
      <x:c r="AB1302" s="52" t="n">
        <x:f>IF(OR(R1302="No",U1302*S1302=0),"",AA1302/(U1302*S1302))</x:f>
        <x:v>0.028353465314435698</x:v>
      </x:c>
      <x:c r="AC1302" s="54" t="n">
        <x:f>IF(OR(R1302="No",S1302-T1302*Assumptions!$B$9&lt;=0),"",AA1302/(Assumptions!$B$8*(S1302-T1302*Assumptions!$B$9)))</x:f>
        <x:v>162.47239655173976</x:v>
      </x:c>
      <x:c r="AD1302" s="52" t="n">
        <x:f>IF(OR(R1302="No",U1302*S1302=0),"",AA1302/(U1302*S1302))</x:f>
        <x:v>0.028353465314435698</x:v>
      </x:c>
      <x:c r="AE1302" s="50" t="str">
        <x:f>IF(R1302="No","No finance data",IF(AB1302&gt;=10%,"Severe",IF(AB1302&gt;=5%,"High",IF(AB1302&gt;=2%,"Moderate","Low"))))</x:f>
        <x:v>Moderate</x:v>
      </x:c>
      <x:c r="AF1302" s="60" t="n">
        <x:v>34.771934</x:v>
      </x:c>
      <x:c r="AG1302" s="60" t="n">
        <x:v>-96.663849</x:v>
      </x:c>
      <x:c r="AH1302" s="44" t="str">
        <x:v>Undergraduate tuition-contribution proxy only; not an audited total institutional budget.</x:v>
      </x:c>
    </x:row>
    <x:row r="1303">
      <x:c r="A1303" s="16" t="n">
        <x:v>443058</x:v>
      </x:c>
      <x:c r="B1303" s="16" t="str">
        <x:v>Family of Faith Christian University</x:v>
      </x:c>
      <x:c r="C1303" s="16" t="str">
        <x:v>OK</x:v>
      </x:c>
      <x:c r="D1303" s="16" t="str">
        <x:v>Private nonprofit</x:v>
      </x:c>
      <x:c r="E1303" s="34" t="n">
        <x:v>17</x:v>
      </x:c>
      <x:c r="F1303" s="21"/>
      <x:c r="G1303" s="16" t="str">
        <x:v>Regional</x:v>
      </x:c>
      <x:c r="H1303" s="36" t="n">
        <x:f>IF(G1303="National",Assumptions!$B$11,IF(G1303="Statewide",Assumptions!$B$12,Assumptions!$B$13))</x:f>
        <x:v>0.85</x:v>
      </x:c>
      <x:c r="I1303" s="21" t="n">
        <x:v>-0.023124347534912992</x:v>
      </x:c>
      <x:c r="J1303" s="21" t="n">
        <x:v>-0.04553960093758003</x:v>
      </x:c>
      <x:c r="K1303" s="21" t="n">
        <x:v>-0.08901101065610906</x:v>
      </x:c>
      <x:c r="L1303" s="36" t="n">
        <x:f>IF(Assumptions!$B$4=2030,I1303,IF(Assumptions!$B$4=2035,J1303,K1303))</x:f>
        <x:v>-0.04553960093758003</x:v>
      </x:c>
      <x:c r="M1303" s="36" t="n">
        <x:f>Assumptions!$B$19</x:f>
        <x:v>-0.04739891965741583</x:v>
      </x:c>
      <x:c r="N1303" s="52" t="n">
        <x:f>H1303*L1303+(1-H1303)*M1303+O1303</x:f>
        <x:v>-0.0458184987455554</x:v>
      </x:c>
      <x:c r="O1303" s="36" t="n">
        <x:f>Assumptions!$B$10</x:f>
        <x:v>0</x:v>
      </x:c>
      <x:c r="P1303" s="54" t="n">
        <x:f>E1303*(1+N1303)</x:f>
        <x:v>16.22108552132556</x:v>
      </x:c>
      <x:c r="Q1303" s="54" t="n">
        <x:f>P1303-E1303</x:f>
        <x:v>-0.7789144786744409</x:v>
      </x:c>
      <x:c r="R1303" s="16" t="str">
        <x:v>No</x:v>
      </x:c>
      <x:c r="S1303" s="56"/>
      <x:c r="T1303" s="56"/>
      <x:c r="U1303" s="40" t="n">
        <x:f>E1303*Assumptions!$B$8</x:f>
        <x:v>14.45</x:v>
      </x:c>
      <x:c r="V1303" s="40" t="n">
        <x:f>P1303*Assumptions!$B$8</x:f>
        <x:v>13.787922693126724</x:v>
      </x:c>
      <x:c r="W1303" s="54" t="n">
        <x:f>V1303-U1303</x:f>
        <x:v>-0.6620773068732753</x:v>
      </x:c>
      <x:c r="X1303" s="58" t="str">
        <x:f>IF(R1303="No","",W1303*S1303)</x:f>
      </x:c>
      <x:c r="Y1303" s="58" t="str">
        <x:f>IF(R1303="No","",W1303*T1303*Assumptions!$B$9)</x:f>
      </x:c>
      <x:c r="Z1303" s="58" t="str">
        <x:f>IF(R1303="No","",X1303-Y1303)</x:f>
      </x:c>
      <x:c r="AA1303" s="58" t="str">
        <x:f>IF(R1303="No","",MAX(0,-Z1303))</x:f>
      </x:c>
      <x:c r="AB1303" s="52" t="str">
        <x:f>IF(OR(R1303="No",U1303*S1303=0),"",AA1303/(U1303*S1303))</x:f>
      </x:c>
      <x:c r="AC1303" s="54" t="str">
        <x:f>IF(OR(R1303="No",S1303-T1303*Assumptions!$B$9&lt;=0),"",AA1303/(Assumptions!$B$8*(S1303-T1303*Assumptions!$B$9)))</x:f>
      </x:c>
      <x:c r="AD1303" s="52" t="str">
        <x:f>IF(OR(R1303="No",U1303*S1303=0),"",AA1303/(U1303*S1303))</x:f>
      </x:c>
      <x:c r="AE1303" s="50" t="str">
        <x:f>IF(R1303="No","No finance data",IF(AB1303&gt;=10%,"Severe",IF(AB1303&gt;=5%,"High",IF(AB1303&gt;=2%,"Moderate","Low"))))</x:f>
        <x:v>No finance data</x:v>
      </x:c>
      <x:c r="AF1303" s="60"/>
      <x:c r="AG1303" s="60"/>
      <x:c r="AH1303" s="44" t="str">
        <x:v>Undergraduate tuition-contribution proxy only; not an audited total institutional budget.</x:v>
      </x:c>
    </x:row>
    <x:row r="1304">
      <x:c r="A1304" s="16" t="n">
        <x:v>207209</x:v>
      </x:c>
      <x:c r="B1304" s="16" t="str">
        <x:v>Langston University</x:v>
      </x:c>
      <x:c r="C1304" s="16" t="str">
        <x:v>OK</x:v>
      </x:c>
      <x:c r="D1304" s="16" t="str">
        <x:v>Public</x:v>
      </x:c>
      <x:c r="E1304" s="34" t="n">
        <x:v>2139</x:v>
      </x:c>
      <x:c r="F1304" s="21"/>
      <x:c r="G1304" s="16" t="str">
        <x:v>Regional</x:v>
      </x:c>
      <x:c r="H1304" s="36" t="n">
        <x:f>IF(G1304="National",Assumptions!$B$11,IF(G1304="Statewide",Assumptions!$B$12,Assumptions!$B$13))</x:f>
        <x:v>0.85</x:v>
      </x:c>
      <x:c r="I1304" s="21" t="n">
        <x:v>-0.023124347534912992</x:v>
      </x:c>
      <x:c r="J1304" s="21" t="n">
        <x:v>-0.04553960093758003</x:v>
      </x:c>
      <x:c r="K1304" s="21" t="n">
        <x:v>-0.08901101065610906</x:v>
      </x:c>
      <x:c r="L1304" s="36" t="n">
        <x:f>IF(Assumptions!$B$4=2030,I1304,IF(Assumptions!$B$4=2035,J1304,K1304))</x:f>
        <x:v>-0.04553960093758003</x:v>
      </x:c>
      <x:c r="M1304" s="36" t="n">
        <x:f>Assumptions!$B$19</x:f>
        <x:v>-0.04739891965741583</x:v>
      </x:c>
      <x:c r="N1304" s="52" t="n">
        <x:f>H1304*L1304+(1-H1304)*M1304+O1304</x:f>
        <x:v>-0.0458184987455554</x:v>
      </x:c>
      <x:c r="O1304" s="36" t="n">
        <x:f>Assumptions!$B$10</x:f>
        <x:v>0</x:v>
      </x:c>
      <x:c r="P1304" s="54" t="n">
        <x:f>E1304*(1+N1304)</x:f>
        <x:v>2040.994231183257</x:v>
      </x:c>
      <x:c r="Q1304" s="54" t="n">
        <x:f>P1304-E1304</x:f>
        <x:v>-98.00576881674306</x:v>
      </x:c>
      <x:c r="R1304" s="16" t="str">
        <x:v>Yes</x:v>
      </x:c>
      <x:c r="S1304" s="56" t="n">
        <x:v>4349</x:v>
      </x:c>
      <x:c r="T1304" s="56" t="n">
        <x:v>6781</x:v>
      </x:c>
      <x:c r="U1304" s="40" t="n">
        <x:f>E1304*Assumptions!$B$8</x:f>
        <x:v>1818.1499999999999</x:v>
      </x:c>
      <x:c r="V1304" s="40" t="n">
        <x:f>P1304*Assumptions!$B$8</x:f>
        <x:v>1734.8450965057684</x:v>
      </x:c>
      <x:c r="W1304" s="54" t="n">
        <x:f>V1304-U1304</x:f>
        <x:v>-83.30490349423144</x:v>
      </x:c>
      <x:c r="X1304" s="58" t="n">
        <x:f>IF(R1304="No","",W1304*S1304)</x:f>
        <x:v>-362293.0252964125</x:v>
      </x:c>
      <x:c r="Y1304" s="58" t="n">
        <x:f>IF(R1304="No","",W1304*T1304*Assumptions!$B$9)</x:f>
        <x:v>-169467.16517831502</x:v>
      </x:c>
      <x:c r="Z1304" s="58" t="n">
        <x:f>IF(R1304="No","",X1304-Y1304)</x:f>
        <x:v>-192825.8601180975</x:v>
      </x:c>
      <x:c r="AA1304" s="58" t="n">
        <x:f>IF(R1304="No","",MAX(0,-Z1304))</x:f>
        <x:v>192825.8601180975</x:v>
      </x:c>
      <x:c r="AB1304" s="52" t="n">
        <x:f>IF(OR(R1304="No",U1304*S1304=0),"",AA1304/(U1304*S1304))</x:f>
        <x:v>0.024386313875911003</x:v>
      </x:c>
      <x:c r="AC1304" s="54" t="n">
        <x:f>IF(OR(R1304="No",S1304-T1304*Assumptions!$B$9&lt;=0),"",AA1304/(Assumptions!$B$8*(S1304-T1304*Assumptions!$B$9)))</x:f>
        <x:v>98.00576881674287</x:v>
      </x:c>
      <x:c r="AD1304" s="52" t="n">
        <x:f>IF(OR(R1304="No",U1304*S1304=0),"",AA1304/(U1304*S1304))</x:f>
        <x:v>0.024386313875911003</x:v>
      </x:c>
      <x:c r="AE1304" s="50" t="str">
        <x:f>IF(R1304="No","No finance data",IF(AB1304&gt;=10%,"Severe",IF(AB1304&gt;=5%,"High",IF(AB1304&gt;=2%,"Moderate","Low"))))</x:f>
        <x:v>Moderate</x:v>
      </x:c>
      <x:c r="AF1304" s="60" t="n">
        <x:v>35.943982</x:v>
      </x:c>
      <x:c r="AG1304" s="60" t="n">
        <x:v>-97.260317</x:v>
      </x:c>
      <x:c r="AH1304" s="44" t="str">
        <x:v>Undergraduate tuition-contribution proxy only; not an audited total institutional budget.</x:v>
      </x:c>
    </x:row>
    <x:row r="1305">
      <x:c r="A1305" s="16" t="n">
        <x:v>245953</x:v>
      </x:c>
      <x:c r="B1305" s="16" t="str">
        <x:v>Mid-America Christian University</x:v>
      </x:c>
      <x:c r="C1305" s="16" t="str">
        <x:v>OK</x:v>
      </x:c>
      <x:c r="D1305" s="16" t="str">
        <x:v>Private nonprofit</x:v>
      </x:c>
      <x:c r="E1305" s="34" t="n">
        <x:v>1980</x:v>
      </x:c>
      <x:c r="F1305" s="21"/>
      <x:c r="G1305" s="16" t="str">
        <x:v>Regional</x:v>
      </x:c>
      <x:c r="H1305" s="36" t="n">
        <x:f>IF(G1305="National",Assumptions!$B$11,IF(G1305="Statewide",Assumptions!$B$12,Assumptions!$B$13))</x:f>
        <x:v>0.85</x:v>
      </x:c>
      <x:c r="I1305" s="21" t="n">
        <x:v>-0.023124347534912992</x:v>
      </x:c>
      <x:c r="J1305" s="21" t="n">
        <x:v>-0.04553960093758003</x:v>
      </x:c>
      <x:c r="K1305" s="21" t="n">
        <x:v>-0.08901101065610906</x:v>
      </x:c>
      <x:c r="L1305" s="36" t="n">
        <x:f>IF(Assumptions!$B$4=2030,I1305,IF(Assumptions!$B$4=2035,J1305,K1305))</x:f>
        <x:v>-0.04553960093758003</x:v>
      </x:c>
      <x:c r="M1305" s="36" t="n">
        <x:f>Assumptions!$B$19</x:f>
        <x:v>-0.04739891965741583</x:v>
      </x:c>
      <x:c r="N1305" s="52" t="n">
        <x:f>H1305*L1305+(1-H1305)*M1305+O1305</x:f>
        <x:v>-0.0458184987455554</x:v>
      </x:c>
      <x:c r="O1305" s="36" t="n">
        <x:f>Assumptions!$B$10</x:f>
        <x:v>0</x:v>
      </x:c>
      <x:c r="P1305" s="54" t="n">
        <x:f>E1305*(1+N1305)</x:f>
        <x:v>1889.2793724838002</x:v>
      </x:c>
      <x:c r="Q1305" s="54" t="n">
        <x:f>P1305-E1305</x:f>
        <x:v>-90.72062751619978</x:v>
      </x:c>
      <x:c r="R1305" s="16" t="str">
        <x:v>Yes</x:v>
      </x:c>
      <x:c r="S1305" s="56" t="n">
        <x:v>11843</x:v>
      </x:c>
      <x:c r="T1305" s="56" t="n">
        <x:v>3541</x:v>
      </x:c>
      <x:c r="U1305" s="40" t="n">
        <x:f>E1305*Assumptions!$B$8</x:f>
        <x:v>1683</x:v>
      </x:c>
      <x:c r="V1305" s="40" t="n">
        <x:f>P1305*Assumptions!$B$8</x:f>
        <x:v>1605.8874666112301</x:v>
      </x:c>
      <x:c r="W1305" s="54" t="n">
        <x:f>V1305-U1305</x:f>
        <x:v>-77.11253338876986</x:v>
      </x:c>
      <x:c r="X1305" s="58" t="n">
        <x:f>IF(R1305="No","",W1305*S1305)</x:f>
        <x:v>-913243.7329232015</x:v>
      </x:c>
      <x:c r="Y1305" s="58" t="n">
        <x:f>IF(R1305="No","",W1305*T1305*Assumptions!$B$9)</x:f>
        <x:v>-81916.64421889021</x:v>
      </x:c>
      <x:c r="Z1305" s="58" t="n">
        <x:f>IF(R1305="No","",X1305-Y1305)</x:f>
        <x:v>-831327.0887043113</x:v>
      </x:c>
      <x:c r="AA1305" s="58" t="n">
        <x:f>IF(R1305="No","",MAX(0,-Z1305))</x:f>
        <x:v>831327.0887043113</x:v>
      </x:c>
      <x:c r="AB1305" s="52" t="n">
        <x:f>IF(OR(R1305="No",U1305*S1305=0),"",AA1305/(U1305*S1305))</x:f>
        <x:v>0.04170864556499282</x:v>
      </x:c>
      <x:c r="AC1305" s="54" t="n">
        <x:f>IF(OR(R1305="No",S1305-T1305*Assumptions!$B$9&lt;=0),"",AA1305/(Assumptions!$B$8*(S1305-T1305*Assumptions!$B$9)))</x:f>
        <x:v>90.72062751619983</x:v>
      </x:c>
      <x:c r="AD1305" s="52" t="n">
        <x:f>IF(OR(R1305="No",U1305*S1305=0),"",AA1305/(U1305*S1305))</x:f>
        <x:v>0.04170864556499282</x:v>
      </x:c>
      <x:c r="AE1305" s="50" t="str">
        <x:f>IF(R1305="No","No finance data",IF(AB1305&gt;=10%,"Severe",IF(AB1305&gt;=5%,"High",IF(AB1305&gt;=2%,"Moderate","Low"))))</x:f>
        <x:v>Moderate</x:v>
      </x:c>
      <x:c r="AF1305" s="60" t="n">
        <x:v>35.347785</x:v>
      </x:c>
      <x:c r="AG1305" s="60" t="n">
        <x:v>-97.578297</x:v>
      </x:c>
      <x:c r="AH1305" s="44" t="str">
        <x:v>Undergraduate tuition-contribution proxy only; not an audited total institutional budget.</x:v>
      </x:c>
    </x:row>
    <x:row r="1306">
      <x:c r="A1306" s="16" t="n">
        <x:v>207263</x:v>
      </x:c>
      <x:c r="B1306" s="16" t="str">
        <x:v>Northeastern State University</x:v>
      </x:c>
      <x:c r="C1306" s="16" t="str">
        <x:v>OK</x:v>
      </x:c>
      <x:c r="D1306" s="16" t="str">
        <x:v>Public</x:v>
      </x:c>
      <x:c r="E1306" s="34" t="n">
        <x:v>6788</x:v>
      </x:c>
      <x:c r="F1306" s="21" t="n">
        <x:v>0.9946</x:v>
      </x:c>
      <x:c r="G1306" s="16" t="str">
        <x:v>Statewide</x:v>
      </x:c>
      <x:c r="H1306" s="36" t="n">
        <x:f>IF(G1306="National",Assumptions!$B$11,IF(G1306="Statewide",Assumptions!$B$12,Assumptions!$B$13))</x:f>
        <x:v>0.6</x:v>
      </x:c>
      <x:c r="I1306" s="21" t="n">
        <x:v>-0.023124347534912992</x:v>
      </x:c>
      <x:c r="J1306" s="21" t="n">
        <x:v>-0.04553960093758003</x:v>
      </x:c>
      <x:c r="K1306" s="21" t="n">
        <x:v>-0.08901101065610906</x:v>
      </x:c>
      <x:c r="L1306" s="36" t="n">
        <x:f>IF(Assumptions!$B$4=2030,I1306,IF(Assumptions!$B$4=2035,J1306,K1306))</x:f>
        <x:v>-0.04553960093758003</x:v>
      </x:c>
      <x:c r="M1306" s="36" t="n">
        <x:f>Assumptions!$B$19</x:f>
        <x:v>-0.04739891965741583</x:v>
      </x:c>
      <x:c r="N1306" s="52" t="n">
        <x:f>H1306*L1306+(1-H1306)*M1306+O1306</x:f>
        <x:v>-0.046283328425514345</x:v>
      </x:c>
      <x:c r="O1306" s="36" t="n">
        <x:f>Assumptions!$B$10</x:f>
        <x:v>0</x:v>
      </x:c>
      <x:c r="P1306" s="54" t="n">
        <x:f>E1306*(1+N1306)</x:f>
        <x:v>6473.828766647609</x:v>
      </x:c>
      <x:c r="Q1306" s="54" t="n">
        <x:f>P1306-E1306</x:f>
        <x:v>-314.171233352391</x:v>
      </x:c>
      <x:c r="R1306" s="16" t="str">
        <x:v>Yes</x:v>
      </x:c>
      <x:c r="S1306" s="56" t="n">
        <x:v>6496</x:v>
      </x:c>
      <x:c r="T1306" s="56" t="n">
        <x:v>9652</x:v>
      </x:c>
      <x:c r="U1306" s="40" t="n">
        <x:f>E1306*Assumptions!$B$8</x:f>
        <x:v>5769.8</x:v>
      </x:c>
      <x:c r="V1306" s="40" t="n">
        <x:f>P1306*Assumptions!$B$8</x:f>
        <x:v>5502.754451650468</x:v>
      </x:c>
      <x:c r="W1306" s="54" t="n">
        <x:f>V1306-U1306</x:f>
        <x:v>-267.0455483495325</x:v>
      </x:c>
      <x:c r="X1306" s="58" t="n">
        <x:f>IF(R1306="No","",W1306*S1306)</x:f>
        <x:v>-1734727.882078563</x:v>
      </x:c>
      <x:c r="Y1306" s="58" t="n">
        <x:f>IF(R1306="No","",W1306*T1306*Assumptions!$B$9)</x:f>
        <x:v>-773257.0898009063</x:v>
      </x:c>
      <x:c r="Z1306" s="58" t="n">
        <x:f>IF(R1306="No","",X1306-Y1306)</x:f>
        <x:v>-961470.7922776568</x:v>
      </x:c>
      <x:c r="AA1306" s="58" t="n">
        <x:f>IF(R1306="No","",MAX(0,-Z1306))</x:f>
        <x:v>961470.7922776568</x:v>
      </x:c>
      <x:c r="AB1306" s="52" t="n">
        <x:f>IF(OR(R1306="No",U1306*S1306=0),"",AA1306/(U1306*S1306))</x:f>
        <x:v>0.02565247778066837</x:v>
      </x:c>
      <x:c r="AC1306" s="54" t="n">
        <x:f>IF(OR(R1306="No",S1306-T1306*Assumptions!$B$9&lt;=0),"",AA1306/(Assumptions!$B$8*(S1306-T1306*Assumptions!$B$9)))</x:f>
        <x:v>314.1712333523912</x:v>
      </x:c>
      <x:c r="AD1306" s="52" t="n">
        <x:f>IF(OR(R1306="No",U1306*S1306=0),"",AA1306/(U1306*S1306))</x:f>
        <x:v>0.02565247778066837</x:v>
      </x:c>
      <x:c r="AE1306" s="50" t="str">
        <x:f>IF(R1306="No","No finance data",IF(AB1306&gt;=10%,"Severe",IF(AB1306&gt;=5%,"High",IF(AB1306&gt;=2%,"Moderate","Low"))))</x:f>
        <x:v>Moderate</x:v>
      </x:c>
      <x:c r="AF1306" s="60" t="n">
        <x:v>35.919939</x:v>
      </x:c>
      <x:c r="AG1306" s="60" t="n">
        <x:v>-94.967229</x:v>
      </x:c>
      <x:c r="AH1306" s="44" t="str">
        <x:v>Undergraduate tuition-contribution proxy only; not an audited total institutional budget.</x:v>
      </x:c>
    </x:row>
    <x:row r="1307">
      <x:c r="A1307" s="16" t="n">
        <x:v>207306</x:v>
      </x:c>
      <x:c r="B1307" s="16" t="str">
        <x:v>Northwestern Oklahoma State University</x:v>
      </x:c>
      <x:c r="C1307" s="16" t="str">
        <x:v>OK</x:v>
      </x:c>
      <x:c r="D1307" s="16" t="str">
        <x:v>Public</x:v>
      </x:c>
      <x:c r="E1307" s="34" t="n">
        <x:v>1815</x:v>
      </x:c>
      <x:c r="F1307" s="21" t="n">
        <x:v>0.593</x:v>
      </x:c>
      <x:c r="G1307" s="16" t="str">
        <x:v>Regional</x:v>
      </x:c>
      <x:c r="H1307" s="36" t="n">
        <x:f>IF(G1307="National",Assumptions!$B$11,IF(G1307="Statewide",Assumptions!$B$12,Assumptions!$B$13))</x:f>
        <x:v>0.85</x:v>
      </x:c>
      <x:c r="I1307" s="21" t="n">
        <x:v>-0.023124347534912992</x:v>
      </x:c>
      <x:c r="J1307" s="21" t="n">
        <x:v>-0.04553960093758003</x:v>
      </x:c>
      <x:c r="K1307" s="21" t="n">
        <x:v>-0.08901101065610906</x:v>
      </x:c>
      <x:c r="L1307" s="36" t="n">
        <x:f>IF(Assumptions!$B$4=2030,I1307,IF(Assumptions!$B$4=2035,J1307,K1307))</x:f>
        <x:v>-0.04553960093758003</x:v>
      </x:c>
      <x:c r="M1307" s="36" t="n">
        <x:f>Assumptions!$B$19</x:f>
        <x:v>-0.04739891965741583</x:v>
      </x:c>
      <x:c r="N1307" s="52" t="n">
        <x:f>H1307*L1307+(1-H1307)*M1307+O1307</x:f>
        <x:v>-0.0458184987455554</x:v>
      </x:c>
      <x:c r="O1307" s="36" t="n">
        <x:f>Assumptions!$B$10</x:f>
        <x:v>0</x:v>
      </x:c>
      <x:c r="P1307" s="54" t="n">
        <x:f>E1307*(1+N1307)</x:f>
        <x:v>1731.839424776817</x:v>
      </x:c>
      <x:c r="Q1307" s="54" t="n">
        <x:f>P1307-E1307</x:f>
        <x:v>-83.16057522318306</x:v>
      </x:c>
      <x:c r="R1307" s="16" t="str">
        <x:v>Yes</x:v>
      </x:c>
      <x:c r="S1307" s="56" t="n">
        <x:v>6078</x:v>
      </x:c>
      <x:c r="T1307" s="56" t="n">
        <x:v>7778</x:v>
      </x:c>
      <x:c r="U1307" s="40" t="n">
        <x:f>E1307*Assumptions!$B$8</x:f>
        <x:v>1542.75</x:v>
      </x:c>
      <x:c r="V1307" s="40" t="n">
        <x:f>P1307*Assumptions!$B$8</x:f>
        <x:v>1472.0635110602943</x:v>
      </x:c>
      <x:c r="W1307" s="54" t="n">
        <x:f>V1307-U1307</x:f>
        <x:v>-70.68648893970567</x:v>
      </x:c>
      <x:c r="X1307" s="58" t="n">
        <x:f>IF(R1307="No","",W1307*S1307)</x:f>
        <x:v>-429632.47977553104</x:v>
      </x:c>
      <x:c r="Y1307" s="58" t="n">
        <x:f>IF(R1307="No","",W1307*T1307*Assumptions!$B$9)</x:f>
        <x:v>-164939.8532919092</x:v>
      </x:c>
      <x:c r="Z1307" s="58" t="n">
        <x:f>IF(R1307="No","",X1307-Y1307)</x:f>
        <x:v>-264692.62648362183</x:v>
      </x:c>
      <x:c r="AA1307" s="58" t="n">
        <x:f>IF(R1307="No","",MAX(0,-Z1307))</x:f>
        <x:v>264692.62648362183</x:v>
      </x:c>
      <x:c r="AB1307" s="52" t="n">
        <x:f>IF(OR(R1307="No",U1307*S1307=0),"",AA1307/(U1307*S1307))</x:f>
        <x:v>0.028228356433466096</x:v>
      </x:c>
      <x:c r="AC1307" s="54" t="n">
        <x:f>IF(OR(R1307="No",S1307-T1307*Assumptions!$B$9&lt;=0),"",AA1307/(Assumptions!$B$8*(S1307-T1307*Assumptions!$B$9)))</x:f>
        <x:v>83.16057522318314</x:v>
      </x:c>
      <x:c r="AD1307" s="52" t="n">
        <x:f>IF(OR(R1307="No",U1307*S1307=0),"",AA1307/(U1307*S1307))</x:f>
        <x:v>0.028228356433466096</x:v>
      </x:c>
      <x:c r="AE1307" s="50" t="str">
        <x:f>IF(R1307="No","No finance data",IF(AB1307&gt;=10%,"Severe",IF(AB1307&gt;=5%,"High",IF(AB1307&gt;=2%,"Moderate","Low"))))</x:f>
        <x:v>Moderate</x:v>
      </x:c>
      <x:c r="AF1307" s="60" t="n">
        <x:v>36.796658</x:v>
      </x:c>
      <x:c r="AG1307" s="60" t="n">
        <x:v>-98.667673</x:v>
      </x:c>
      <x:c r="AH1307" s="44" t="str">
        <x:v>Undergraduate tuition-contribution proxy only; not an audited total institutional budget.</x:v>
      </x:c>
    </x:row>
    <x:row r="1308">
      <x:c r="A1308" s="16" t="n">
        <x:v>207403</x:v>
      </x:c>
      <x:c r="B1308" s="16" t="str">
        <x:v>Oklahoma Baptist University</x:v>
      </x:c>
      <x:c r="C1308" s="16" t="str">
        <x:v>OK</x:v>
      </x:c>
      <x:c r="D1308" s="16" t="str">
        <x:v>Private nonprofit</x:v>
      </x:c>
      <x:c r="E1308" s="34" t="n">
        <x:v>1817</x:v>
      </x:c>
      <x:c r="F1308" s="21" t="n">
        <x:v>0.5574</x:v>
      </x:c>
      <x:c r="G1308" s="16" t="str">
        <x:v>Regional</x:v>
      </x:c>
      <x:c r="H1308" s="36" t="n">
        <x:f>IF(G1308="National",Assumptions!$B$11,IF(G1308="Statewide",Assumptions!$B$12,Assumptions!$B$13))</x:f>
        <x:v>0.85</x:v>
      </x:c>
      <x:c r="I1308" s="21" t="n">
        <x:v>-0.023124347534912992</x:v>
      </x:c>
      <x:c r="J1308" s="21" t="n">
        <x:v>-0.04553960093758003</x:v>
      </x:c>
      <x:c r="K1308" s="21" t="n">
        <x:v>-0.08901101065610906</x:v>
      </x:c>
      <x:c r="L1308" s="36" t="n">
        <x:f>IF(Assumptions!$B$4=2030,I1308,IF(Assumptions!$B$4=2035,J1308,K1308))</x:f>
        <x:v>-0.04553960093758003</x:v>
      </x:c>
      <x:c r="M1308" s="36" t="n">
        <x:f>Assumptions!$B$19</x:f>
        <x:v>-0.04739891965741583</x:v>
      </x:c>
      <x:c r="N1308" s="52" t="n">
        <x:f>H1308*L1308+(1-H1308)*M1308+O1308</x:f>
        <x:v>-0.0458184987455554</x:v>
      </x:c>
      <x:c r="O1308" s="36" t="n">
        <x:f>Assumptions!$B$10</x:f>
        <x:v>0</x:v>
      </x:c>
      <x:c r="P1308" s="54" t="n">
        <x:f>E1308*(1+N1308)</x:f>
        <x:v>1733.7477877793258</x:v>
      </x:c>
      <x:c r="Q1308" s="54" t="n">
        <x:f>P1308-E1308</x:f>
        <x:v>-83.25221222067421</x:v>
      </x:c>
      <x:c r="R1308" s="16" t="str">
        <x:v>Yes</x:v>
      </x:c>
      <x:c r="S1308" s="56" t="n">
        <x:v>12801</x:v>
      </x:c>
      <x:c r="T1308" s="56" t="n">
        <x:v>7695</x:v>
      </x:c>
      <x:c r="U1308" s="40" t="n">
        <x:f>E1308*Assumptions!$B$8</x:f>
        <x:v>1544.45</x:v>
      </x:c>
      <x:c r="V1308" s="40" t="n">
        <x:f>P1308*Assumptions!$B$8</x:f>
        <x:v>1473.685619612427</x:v>
      </x:c>
      <x:c r="W1308" s="54" t="n">
        <x:f>V1308-U1308</x:f>
        <x:v>-70.76438038757306</x:v>
      </x:c>
      <x:c r="X1308" s="58" t="n">
        <x:f>IF(R1308="No","",W1308*S1308)</x:f>
        <x:v>-905854.8333413227</x:v>
      </x:c>
      <x:c r="Y1308" s="58" t="n">
        <x:f>IF(R1308="No","",W1308*T1308*Assumptions!$B$9)</x:f>
        <x:v>-163359.5721247124</x:v>
      </x:c>
      <x:c r="Z1308" s="58" t="n">
        <x:f>IF(R1308="No","",X1308-Y1308)</x:f>
        <x:v>-742495.2612166103</x:v>
      </x:c>
      <x:c r="AA1308" s="58" t="n">
        <x:f>IF(R1308="No","",MAX(0,-Z1308))</x:f>
        <x:v>742495.2612166103</x:v>
      </x:c>
      <x:c r="AB1308" s="52" t="n">
        <x:f>IF(OR(R1308="No",U1308*S1308=0),"",AA1308/(U1308*S1308))</x:f>
        <x:v>0.037555706436039386</x:v>
      </x:c>
      <x:c r="AC1308" s="54" t="n">
        <x:f>IF(OR(R1308="No",S1308-T1308*Assumptions!$B$9&lt;=0),"",AA1308/(Assumptions!$B$8*(S1308-T1308*Assumptions!$B$9)))</x:f>
        <x:v>83.25221222067418</x:v>
      </x:c>
      <x:c r="AD1308" s="52" t="n">
        <x:f>IF(OR(R1308="No",U1308*S1308=0),"",AA1308/(U1308*S1308))</x:f>
        <x:v>0.037555706436039386</x:v>
      </x:c>
      <x:c r="AE1308" s="50" t="str">
        <x:f>IF(R1308="No","No finance data",IF(AB1308&gt;=10%,"Severe",IF(AB1308&gt;=5%,"High",IF(AB1308&gt;=2%,"Moderate","Low"))))</x:f>
        <x:v>Moderate</x:v>
      </x:c>
      <x:c r="AF1308" s="60" t="n">
        <x:v>35.360492</x:v>
      </x:c>
      <x:c r="AG1308" s="60" t="n">
        <x:v>-96.932459</x:v>
      </x:c>
      <x:c r="AH1308" s="44" t="str">
        <x:v>Undergraduate tuition-contribution proxy only; not an audited total institutional budget.</x:v>
      </x:c>
    </x:row>
    <x:row r="1309">
      <x:c r="A1309" s="16" t="n">
        <x:v>207324</x:v>
      </x:c>
      <x:c r="B1309" s="16" t="str">
        <x:v>Oklahoma Christian University</x:v>
      </x:c>
      <x:c r="C1309" s="16" t="str">
        <x:v>OK</x:v>
      </x:c>
      <x:c r="D1309" s="16" t="str">
        <x:v>Private nonprofit</x:v>
      </x:c>
      <x:c r="E1309" s="34" t="n">
        <x:v>1948</x:v>
      </x:c>
      <x:c r="F1309" s="21" t="n">
        <x:v>0.9653</x:v>
      </x:c>
      <x:c r="G1309" s="16" t="str">
        <x:v>Regional</x:v>
      </x:c>
      <x:c r="H1309" s="36" t="n">
        <x:f>IF(G1309="National",Assumptions!$B$11,IF(G1309="Statewide",Assumptions!$B$12,Assumptions!$B$13))</x:f>
        <x:v>0.85</x:v>
      </x:c>
      <x:c r="I1309" s="21" t="n">
        <x:v>-0.023124347534912992</x:v>
      </x:c>
      <x:c r="J1309" s="21" t="n">
        <x:v>-0.04553960093758003</x:v>
      </x:c>
      <x:c r="K1309" s="21" t="n">
        <x:v>-0.08901101065610906</x:v>
      </x:c>
      <x:c r="L1309" s="36" t="n">
        <x:f>IF(Assumptions!$B$4=2030,I1309,IF(Assumptions!$B$4=2035,J1309,K1309))</x:f>
        <x:v>-0.04553960093758003</x:v>
      </x:c>
      <x:c r="M1309" s="36" t="n">
        <x:f>Assumptions!$B$19</x:f>
        <x:v>-0.04739891965741583</x:v>
      </x:c>
      <x:c r="N1309" s="52" t="n">
        <x:f>H1309*L1309+(1-H1309)*M1309+O1309</x:f>
        <x:v>-0.0458184987455554</x:v>
      </x:c>
      <x:c r="O1309" s="36" t="n">
        <x:f>Assumptions!$B$10</x:f>
        <x:v>0</x:v>
      </x:c>
      <x:c r="P1309" s="54" t="n">
        <x:f>E1309*(1+N1309)</x:f>
        <x:v>1858.745564443658</x:v>
      </x:c>
      <x:c r="Q1309" s="54" t="n">
        <x:f>P1309-E1309</x:f>
        <x:v>-89.25443555634206</x:v>
      </x:c>
      <x:c r="R1309" s="16" t="str">
        <x:v>Yes</x:v>
      </x:c>
      <x:c r="S1309" s="56" t="n">
        <x:v>12523</x:v>
      </x:c>
      <x:c r="T1309" s="56" t="n">
        <x:v>7413</x:v>
      </x:c>
      <x:c r="U1309" s="40" t="n">
        <x:f>E1309*Assumptions!$B$8</x:f>
        <x:v>1655.8</x:v>
      </x:c>
      <x:c r="V1309" s="40" t="n">
        <x:f>P1309*Assumptions!$B$8</x:f>
        <x:v>1579.9337297771092</x:v>
      </x:c>
      <x:c r="W1309" s="54" t="n">
        <x:f>V1309-U1309</x:f>
        <x:v>-75.86627022289076</x:v>
      </x:c>
      <x:c r="X1309" s="58" t="n">
        <x:f>IF(R1309="No","",W1309*S1309)</x:f>
        <x:v>-950073.302001261</x:v>
      </x:c>
      <x:c r="Y1309" s="58" t="n">
        <x:f>IF(R1309="No","",W1309*T1309*Assumptions!$B$9)</x:f>
        <x:v>-168718.99834868676</x:v>
      </x:c>
      <x:c r="Z1309" s="58" t="n">
        <x:f>IF(R1309="No","",X1309-Y1309)</x:f>
        <x:v>-781354.3036525743</x:v>
      </x:c>
      <x:c r="AA1309" s="58" t="n">
        <x:f>IF(R1309="No","",MAX(0,-Z1309))</x:f>
        <x:v>781354.3036525743</x:v>
      </x:c>
      <x:c r="AB1309" s="52" t="n">
        <x:f>IF(OR(R1309="No",U1309*S1309=0),"",AA1309/(U1309*S1309))</x:f>
        <x:v>0.037681809504938955</x:v>
      </x:c>
      <x:c r="AC1309" s="54" t="n">
        <x:f>IF(OR(R1309="No",S1309-T1309*Assumptions!$B$9&lt;=0),"",AA1309/(Assumptions!$B$8*(S1309-T1309*Assumptions!$B$9)))</x:f>
        <x:v>89.25443555634207</x:v>
      </x:c>
      <x:c r="AD1309" s="52" t="n">
        <x:f>IF(OR(R1309="No",U1309*S1309=0),"",AA1309/(U1309*S1309))</x:f>
        <x:v>0.037681809504938955</x:v>
      </x:c>
      <x:c r="AE1309" s="50" t="str">
        <x:f>IF(R1309="No","No finance data",IF(AB1309&gt;=10%,"Severe",IF(AB1309&gt;=5%,"High",IF(AB1309&gt;=2%,"Moderate","Low"))))</x:f>
        <x:v>Moderate</x:v>
      </x:c>
      <x:c r="AF1309" s="60" t="n">
        <x:v>35.611412</x:v>
      </x:c>
      <x:c r="AG1309" s="60" t="n">
        <x:v>-97.469526</x:v>
      </x:c>
      <x:c r="AH1309" s="44" t="str">
        <x:v>Undergraduate tuition-contribution proxy only; not an audited total institutional budget.</x:v>
      </x:c>
    </x:row>
    <x:row r="1310">
      <x:c r="A1310" s="16" t="n">
        <x:v>207458</x:v>
      </x:c>
      <x:c r="B1310" s="16" t="str">
        <x:v>Oklahoma City University</x:v>
      </x:c>
      <x:c r="C1310" s="16" t="str">
        <x:v>OK</x:v>
      </x:c>
      <x:c r="D1310" s="16" t="str">
        <x:v>Private nonprofit</x:v>
      </x:c>
      <x:c r="E1310" s="34" t="n">
        <x:v>1791</x:v>
      </x:c>
      <x:c r="F1310" s="21" t="n">
        <x:v>0.7924</x:v>
      </x:c>
      <x:c r="G1310" s="16" t="str">
        <x:v>Regional</x:v>
      </x:c>
      <x:c r="H1310" s="36" t="n">
        <x:f>IF(G1310="National",Assumptions!$B$11,IF(G1310="Statewide",Assumptions!$B$12,Assumptions!$B$13))</x:f>
        <x:v>0.85</x:v>
      </x:c>
      <x:c r="I1310" s="21" t="n">
        <x:v>-0.023124347534912992</x:v>
      </x:c>
      <x:c r="J1310" s="21" t="n">
        <x:v>-0.04553960093758003</x:v>
      </x:c>
      <x:c r="K1310" s="21" t="n">
        <x:v>-0.08901101065610906</x:v>
      </x:c>
      <x:c r="L1310" s="36" t="n">
        <x:f>IF(Assumptions!$B$4=2030,I1310,IF(Assumptions!$B$4=2035,J1310,K1310))</x:f>
        <x:v>-0.04553960093758003</x:v>
      </x:c>
      <x:c r="M1310" s="36" t="n">
        <x:f>Assumptions!$B$19</x:f>
        <x:v>-0.04739891965741583</x:v>
      </x:c>
      <x:c r="N1310" s="52" t="n">
        <x:f>H1310*L1310+(1-H1310)*M1310+O1310</x:f>
        <x:v>-0.0458184987455554</x:v>
      </x:c>
      <x:c r="O1310" s="36" t="n">
        <x:f>Assumptions!$B$10</x:f>
        <x:v>0</x:v>
      </x:c>
      <x:c r="P1310" s="54" t="n">
        <x:f>E1310*(1+N1310)</x:f>
        <x:v>1708.9390687467103</x:v>
      </x:c>
      <x:c r="Q1310" s="54" t="n">
        <x:f>P1310-E1310</x:f>
        <x:v>-82.06093125328971</x:v>
      </x:c>
      <x:c r="R1310" s="16" t="str">
        <x:v>Yes</x:v>
      </x:c>
      <x:c r="S1310" s="56" t="n">
        <x:v>17837</x:v>
      </x:c>
      <x:c r="T1310" s="56" t="n">
        <x:v>14586</x:v>
      </x:c>
      <x:c r="U1310" s="40" t="n">
        <x:f>E1310*Assumptions!$B$8</x:f>
        <x:v>1522.35</x:v>
      </x:c>
      <x:c r="V1310" s="40" t="n">
        <x:f>P1310*Assumptions!$B$8</x:f>
        <x:v>1452.5982084347038</x:v>
      </x:c>
      <x:c r="W1310" s="54" t="n">
        <x:f>V1310-U1310</x:f>
        <x:v>-69.75179156529612</x:v>
      </x:c>
      <x:c r="X1310" s="58" t="n">
        <x:f>IF(R1310="No","",W1310*S1310)</x:f>
        <x:v>-1244162.7061501867</x:v>
      </x:c>
      <x:c r="Y1310" s="58" t="n">
        <x:f>IF(R1310="No","",W1310*T1310*Assumptions!$B$9)</x:f>
        <x:v>-305219.88953142276</x:v>
      </x:c>
      <x:c r="Z1310" s="58" t="n">
        <x:f>IF(R1310="No","",X1310-Y1310)</x:f>
        <x:v>-938942.816618764</x:v>
      </x:c>
      <x:c r="AA1310" s="58" t="n">
        <x:f>IF(R1310="No","",MAX(0,-Z1310))</x:f>
        <x:v>938942.816618764</x:v>
      </x:c>
      <x:c r="AB1310" s="52" t="n">
        <x:f>IF(OR(R1310="No",U1310*S1310=0),"",AA1310/(U1310*S1310))</x:f>
        <x:v>0.03457823486649487</x:v>
      </x:c>
      <x:c r="AC1310" s="54" t="n">
        <x:f>IF(OR(R1310="No",S1310-T1310*Assumptions!$B$9&lt;=0),"",AA1310/(Assumptions!$B$8*(S1310-T1310*Assumptions!$B$9)))</x:f>
        <x:v>82.06093125328954</x:v>
      </x:c>
      <x:c r="AD1310" s="52" t="n">
        <x:f>IF(OR(R1310="No",U1310*S1310=0),"",AA1310/(U1310*S1310))</x:f>
        <x:v>0.03457823486649487</x:v>
      </x:c>
      <x:c r="AE1310" s="50" t="str">
        <x:f>IF(R1310="No","No finance data",IF(AB1310&gt;=10%,"Severe",IF(AB1310&gt;=5%,"High",IF(AB1310&gt;=2%,"Moderate","Low"))))</x:f>
        <x:v>Moderate</x:v>
      </x:c>
      <x:c r="AF1310" s="60" t="n">
        <x:v>35.495271</x:v>
      </x:c>
      <x:c r="AG1310" s="60" t="n">
        <x:v>-97.541242</x:v>
      </x:c>
      <x:c r="AH1310" s="44" t="str">
        <x:v>Undergraduate tuition-contribution proxy only; not an audited total institutional budget.</x:v>
      </x:c>
    </x:row>
    <x:row r="1311">
      <x:c r="A1311" s="16" t="n">
        <x:v>207351</x:v>
      </x:c>
      <x:c r="B1311" s="16" t="str">
        <x:v>Oklahoma Panhandle State University</x:v>
      </x:c>
      <x:c r="C1311" s="16" t="str">
        <x:v>OK</x:v>
      </x:c>
      <x:c r="D1311" s="16" t="str">
        <x:v>Public</x:v>
      </x:c>
      <x:c r="E1311" s="34" t="n">
        <x:v>1065</x:v>
      </x:c>
      <x:c r="F1311" s="21"/>
      <x:c r="G1311" s="16" t="str">
        <x:v>Regional</x:v>
      </x:c>
      <x:c r="H1311" s="36" t="n">
        <x:f>IF(G1311="National",Assumptions!$B$11,IF(G1311="Statewide",Assumptions!$B$12,Assumptions!$B$13))</x:f>
        <x:v>0.85</x:v>
      </x:c>
      <x:c r="I1311" s="21" t="n">
        <x:v>-0.023124347534912992</x:v>
      </x:c>
      <x:c r="J1311" s="21" t="n">
        <x:v>-0.04553960093758003</x:v>
      </x:c>
      <x:c r="K1311" s="21" t="n">
        <x:v>-0.08901101065610906</x:v>
      </x:c>
      <x:c r="L1311" s="36" t="n">
        <x:f>IF(Assumptions!$B$4=2030,I1311,IF(Assumptions!$B$4=2035,J1311,K1311))</x:f>
        <x:v>-0.04553960093758003</x:v>
      </x:c>
      <x:c r="M1311" s="36" t="n">
        <x:f>Assumptions!$B$19</x:f>
        <x:v>-0.04739891965741583</x:v>
      </x:c>
      <x:c r="N1311" s="52" t="n">
        <x:f>H1311*L1311+(1-H1311)*M1311+O1311</x:f>
        <x:v>-0.0458184987455554</x:v>
      </x:c>
      <x:c r="O1311" s="36" t="n">
        <x:f>Assumptions!$B$10</x:f>
        <x:v>0</x:v>
      </x:c>
      <x:c r="P1311" s="54" t="n">
        <x:f>E1311*(1+N1311)</x:f>
        <x:v>1016.2032988359834</x:v>
      </x:c>
      <x:c r="Q1311" s="54" t="n">
        <x:f>P1311-E1311</x:f>
        <x:v>-48.796701164016554</x:v>
      </x:c>
      <x:c r="R1311" s="16" t="str">
        <x:v>Yes</x:v>
      </x:c>
      <x:c r="S1311" s="56" t="n">
        <x:v>5821</x:v>
      </x:c>
      <x:c r="T1311" s="56" t="n">
        <x:v>4611</x:v>
      </x:c>
      <x:c r="U1311" s="40" t="n">
        <x:f>E1311*Assumptions!$B$8</x:f>
        <x:v>905.25</x:v>
      </x:c>
      <x:c r="V1311" s="40" t="n">
        <x:f>P1311*Assumptions!$B$8</x:f>
        <x:v>863.7728040105859</x:v>
      </x:c>
      <x:c r="W1311" s="54" t="n">
        <x:f>V1311-U1311</x:f>
        <x:v>-41.4771959894141</x:v>
      </x:c>
      <x:c r="X1311" s="58" t="n">
        <x:f>IF(R1311="No","",W1311*S1311)</x:f>
        <x:v>-241438.75785437948</x:v>
      </x:c>
      <x:c r="Y1311" s="58" t="n">
        <x:f>IF(R1311="No","",W1311*T1311*Assumptions!$B$9)</x:f>
        <x:v>-57375.405212156526</x:v>
      </x:c>
      <x:c r="Z1311" s="58" t="n">
        <x:f>IF(R1311="No","",X1311-Y1311)</x:f>
        <x:v>-184063.35264222295</x:v>
      </x:c>
      <x:c r="AA1311" s="58" t="n">
        <x:f>IF(R1311="No","",MAX(0,-Z1311))</x:f>
        <x:v>184063.35264222295</x:v>
      </x:c>
      <x:c r="AB1311" s="52" t="n">
        <x:f>IF(OR(R1311="No",U1311*S1311=0),"",AA1311/(U1311*S1311))</x:f>
        <x:v>0.03493020990949176</x:v>
      </x:c>
      <x:c r="AC1311" s="54" t="n">
        <x:f>IF(OR(R1311="No",S1311-T1311*Assumptions!$B$9&lt;=0),"",AA1311/(Assumptions!$B$8*(S1311-T1311*Assumptions!$B$9)))</x:f>
        <x:v>48.79670116401659</x:v>
      </x:c>
      <x:c r="AD1311" s="52" t="n">
        <x:f>IF(OR(R1311="No",U1311*S1311=0),"",AA1311/(U1311*S1311))</x:f>
        <x:v>0.03493020990949176</x:v>
      </x:c>
      <x:c r="AE1311" s="50" t="str">
        <x:f>IF(R1311="No","No finance data",IF(AB1311&gt;=10%,"Severe",IF(AB1311&gt;=5%,"High",IF(AB1311&gt;=2%,"Moderate","Low"))))</x:f>
        <x:v>Moderate</x:v>
      </x:c>
      <x:c r="AF1311" s="60" t="n">
        <x:v>36.594518</x:v>
      </x:c>
      <x:c r="AG1311" s="60" t="n">
        <x:v>-101.638488</x:v>
      </x:c>
      <x:c r="AH1311" s="44" t="str">
        <x:v>Undergraduate tuition-contribution proxy only; not an audited total institutional budget.</x:v>
      </x:c>
    </x:row>
    <x:row r="1312">
      <x:c r="A1312" s="16" t="n">
        <x:v>207388</x:v>
      </x:c>
      <x:c r="B1312" s="16" t="str">
        <x:v>Oklahoma State University-Main Campus</x:v>
      </x:c>
      <x:c r="C1312" s="16" t="str">
        <x:v>OK</x:v>
      </x:c>
      <x:c r="D1312" s="16" t="str">
        <x:v>Public</x:v>
      </x:c>
      <x:c r="E1312" s="34" t="n">
        <x:v>20805</x:v>
      </x:c>
      <x:c r="F1312" s="21" t="n">
        <x:v>0.6837</x:v>
      </x:c>
      <x:c r="G1312" s="16" t="str">
        <x:v>Statewide</x:v>
      </x:c>
      <x:c r="H1312" s="36" t="n">
        <x:f>IF(G1312="National",Assumptions!$B$11,IF(G1312="Statewide",Assumptions!$B$12,Assumptions!$B$13))</x:f>
        <x:v>0.6</x:v>
      </x:c>
      <x:c r="I1312" s="21" t="n">
        <x:v>-0.023124347534912992</x:v>
      </x:c>
      <x:c r="J1312" s="21" t="n">
        <x:v>-0.04553960093758003</x:v>
      </x:c>
      <x:c r="K1312" s="21" t="n">
        <x:v>-0.08901101065610906</x:v>
      </x:c>
      <x:c r="L1312" s="36" t="n">
        <x:f>IF(Assumptions!$B$4=2030,I1312,IF(Assumptions!$B$4=2035,J1312,K1312))</x:f>
        <x:v>-0.04553960093758003</x:v>
      </x:c>
      <x:c r="M1312" s="36" t="n">
        <x:f>Assumptions!$B$19</x:f>
        <x:v>-0.04739891965741583</x:v>
      </x:c>
      <x:c r="N1312" s="52" t="n">
        <x:f>H1312*L1312+(1-H1312)*M1312+O1312</x:f>
        <x:v>-0.046283328425514345</x:v>
      </x:c>
      <x:c r="O1312" s="36" t="n">
        <x:f>Assumptions!$B$10</x:f>
        <x:v>0</x:v>
      </x:c>
      <x:c r="P1312" s="54" t="n">
        <x:f>E1312*(1+N1312)</x:f>
        <x:v>19842.075352107175</x:v>
      </x:c>
      <x:c r="Q1312" s="54" t="n">
        <x:f>P1312-E1312</x:f>
        <x:v>-962.9246478928253</x:v>
      </x:c>
      <x:c r="R1312" s="16" t="str">
        <x:v>Yes</x:v>
      </x:c>
      <x:c r="S1312" s="56" t="n">
        <x:v>12204</x:v>
      </x:c>
      <x:c r="T1312" s="56" t="n">
        <x:v>10484</x:v>
      </x:c>
      <x:c r="U1312" s="40" t="n">
        <x:f>E1312*Assumptions!$B$8</x:f>
        <x:v>17684.25</x:v>
      </x:c>
      <x:c r="V1312" s="40" t="n">
        <x:f>P1312*Assumptions!$B$8</x:f>
        <x:v>16865.764049291098</x:v>
      </x:c>
      <x:c r="W1312" s="54" t="n">
        <x:f>V1312-U1312</x:f>
        <x:v>-818.4859507089022</x:v>
      </x:c>
      <x:c r="X1312" s="58" t="n">
        <x:f>IF(R1312="No","",W1312*S1312)</x:f>
        <x:v>-9988802.542451443</x:v>
      </x:c>
      <x:c r="Y1312" s="58" t="n">
        <x:f>IF(R1312="No","",W1312*T1312*Assumptions!$B$9)</x:f>
        <x:v>-2574302.012169639</x:v>
      </x:c>
      <x:c r="Z1312" s="58" t="n">
        <x:f>IF(R1312="No","",X1312-Y1312)</x:f>
        <x:v>-7414500.5302818045</x:v>
      </x:c>
      <x:c r="AA1312" s="58" t="n">
        <x:f>IF(R1312="No","",MAX(0,-Z1312))</x:f>
        <x:v>7414500.5302818045</x:v>
      </x:c>
      <x:c r="AB1312" s="52" t="n">
        <x:f>IF(OR(R1312="No",U1312*S1312=0),"",AA1312/(U1312*S1312))</x:f>
        <x:v>0.034355245455674324</x:v>
      </x:c>
      <x:c r="AC1312" s="54" t="n">
        <x:f>IF(OR(R1312="No",S1312-T1312*Assumptions!$B$9&lt;=0),"",AA1312/(Assumptions!$B$8*(S1312-T1312*Assumptions!$B$9)))</x:f>
        <x:v>962.9246478928263</x:v>
      </x:c>
      <x:c r="AD1312" s="52" t="n">
        <x:f>IF(OR(R1312="No",U1312*S1312=0),"",AA1312/(U1312*S1312))</x:f>
        <x:v>0.034355245455674324</x:v>
      </x:c>
      <x:c r="AE1312" s="50" t="str">
        <x:f>IF(R1312="No","No finance data",IF(AB1312&gt;=10%,"Severe",IF(AB1312&gt;=5%,"High",IF(AB1312&gt;=2%,"Moderate","Low"))))</x:f>
        <x:v>Moderate</x:v>
      </x:c>
      <x:c r="AF1312" s="60" t="n">
        <x:v>36.123085</x:v>
      </x:c>
      <x:c r="AG1312" s="60" t="n">
        <x:v>-97.069743</x:v>
      </x:c>
      <x:c r="AH1312" s="44" t="str">
        <x:v>Undergraduate tuition-contribution proxy only; not an audited total institutional budget.</x:v>
      </x:c>
    </x:row>
    <x:row r="1313">
      <x:c r="A1313" s="16" t="n">
        <x:v>206835</x:v>
      </x:c>
      <x:c r="B1313" s="16" t="str">
        <x:v>Oklahoma Wesleyan University</x:v>
      </x:c>
      <x:c r="C1313" s="16" t="str">
        <x:v>OK</x:v>
      </x:c>
      <x:c r="D1313" s="16" t="str">
        <x:v>Private nonprofit</x:v>
      </x:c>
      <x:c r="E1313" s="34" t="n">
        <x:v>1216</x:v>
      </x:c>
      <x:c r="F1313" s="21" t="n">
        <x:v>0.5391</x:v>
      </x:c>
      <x:c r="G1313" s="16" t="str">
        <x:v>Regional</x:v>
      </x:c>
      <x:c r="H1313" s="36" t="n">
        <x:f>IF(G1313="National",Assumptions!$B$11,IF(G1313="Statewide",Assumptions!$B$12,Assumptions!$B$13))</x:f>
        <x:v>0.85</x:v>
      </x:c>
      <x:c r="I1313" s="21" t="n">
        <x:v>-0.023124347534912992</x:v>
      </x:c>
      <x:c r="J1313" s="21" t="n">
        <x:v>-0.04553960093758003</x:v>
      </x:c>
      <x:c r="K1313" s="21" t="n">
        <x:v>-0.08901101065610906</x:v>
      </x:c>
      <x:c r="L1313" s="36" t="n">
        <x:f>IF(Assumptions!$B$4=2030,I1313,IF(Assumptions!$B$4=2035,J1313,K1313))</x:f>
        <x:v>-0.04553960093758003</x:v>
      </x:c>
      <x:c r="M1313" s="36" t="n">
        <x:f>Assumptions!$B$19</x:f>
        <x:v>-0.04739891965741583</x:v>
      </x:c>
      <x:c r="N1313" s="52" t="n">
        <x:f>H1313*L1313+(1-H1313)*M1313+O1313</x:f>
        <x:v>-0.0458184987455554</x:v>
      </x:c>
      <x:c r="O1313" s="36" t="n">
        <x:f>Assumptions!$B$10</x:f>
        <x:v>0</x:v>
      </x:c>
      <x:c r="P1313" s="54" t="n">
        <x:f>E1313*(1+N1313)</x:f>
        <x:v>1160.2847055254047</x:v>
      </x:c>
      <x:c r="Q1313" s="54" t="n">
        <x:f>P1313-E1313</x:f>
        <x:v>-55.71529447459534</x:v>
      </x:c>
      <x:c r="R1313" s="16" t="str">
        <x:v>Yes</x:v>
      </x:c>
      <x:c r="S1313" s="56" t="n">
        <x:v>14505</x:v>
      </x:c>
      <x:c r="T1313" s="56" t="n">
        <x:v>8329</x:v>
      </x:c>
      <x:c r="U1313" s="40" t="n">
        <x:f>E1313*Assumptions!$B$8</x:f>
        <x:v>1033.6</x:v>
      </x:c>
      <x:c r="V1313" s="40" t="n">
        <x:f>P1313*Assumptions!$B$8</x:f>
        <x:v>986.2419996965939</x:v>
      </x:c>
      <x:c r="W1313" s="54" t="n">
        <x:f>V1313-U1313</x:f>
        <x:v>-47.358000303406016</x:v>
      </x:c>
      <x:c r="X1313" s="58" t="n">
        <x:f>IF(R1313="No","",W1313*S1313)</x:f>
        <x:v>-686927.7944009042</x:v>
      </x:c>
      <x:c r="Y1313" s="58" t="n">
        <x:f>IF(R1313="No","",W1313*T1313*Assumptions!$B$9)</x:f>
        <x:v>-118333.43535812061</x:v>
      </x:c>
      <x:c r="Z1313" s="58" t="n">
        <x:f>IF(R1313="No","",X1313-Y1313)</x:f>
        <x:v>-568594.3590427836</x:v>
      </x:c>
      <x:c r="AA1313" s="58" t="n">
        <x:f>IF(R1313="No","",MAX(0,-Z1313))</x:f>
        <x:v>568594.3590427836</x:v>
      </x:c>
      <x:c r="AB1313" s="52" t="n">
        <x:f>IF(OR(R1313="No",U1313*S1313=0),"",AA1313/(U1313*S1313))</x:f>
        <x:v>0.03792558714158989</x:v>
      </x:c>
      <x:c r="AC1313" s="54" t="n">
        <x:f>IF(OR(R1313="No",S1313-T1313*Assumptions!$B$9&lt;=0),"",AA1313/(Assumptions!$B$8*(S1313-T1313*Assumptions!$B$9)))</x:f>
        <x:v>55.71529447459531</x:v>
      </x:c>
      <x:c r="AD1313" s="52" t="n">
        <x:f>IF(OR(R1313="No",U1313*S1313=0),"",AA1313/(U1313*S1313))</x:f>
        <x:v>0.03792558714158989</x:v>
      </x:c>
      <x:c r="AE1313" s="50" t="str">
        <x:f>IF(R1313="No","No finance data",IF(AB1313&gt;=10%,"Severe",IF(AB1313&gt;=5%,"High",IF(AB1313&gt;=2%,"Moderate","Low"))))</x:f>
        <x:v>Moderate</x:v>
      </x:c>
      <x:c r="AF1313" s="60" t="n">
        <x:v>36.717453</x:v>
      </x:c>
      <x:c r="AG1313" s="60" t="n">
        <x:v>-95.95671</x:v>
      </x:c>
      <x:c r="AH1313" s="44" t="str">
        <x:v>Undergraduate tuition-contribution proxy only; not an audited total institutional budget.</x:v>
      </x:c>
    </x:row>
    <x:row r="1314">
      <x:c r="A1314" s="16" t="n">
        <x:v>207582</x:v>
      </x:c>
      <x:c r="B1314" s="16" t="str">
        <x:v>Oral Roberts University</x:v>
      </x:c>
      <x:c r="C1314" s="16" t="str">
        <x:v>OK</x:v>
      </x:c>
      <x:c r="D1314" s="16" t="str">
        <x:v>Private nonprofit</x:v>
      </x:c>
      <x:c r="E1314" s="34" t="n">
        <x:v>3054</x:v>
      </x:c>
      <x:c r="F1314" s="21" t="n">
        <x:v>0.8499</x:v>
      </x:c>
      <x:c r="G1314" s="16" t="str">
        <x:v>Regional</x:v>
      </x:c>
      <x:c r="H1314" s="36" t="n">
        <x:f>IF(G1314="National",Assumptions!$B$11,IF(G1314="Statewide",Assumptions!$B$12,Assumptions!$B$13))</x:f>
        <x:v>0.85</x:v>
      </x:c>
      <x:c r="I1314" s="21" t="n">
        <x:v>-0.023124347534912992</x:v>
      </x:c>
      <x:c r="J1314" s="21" t="n">
        <x:v>-0.04553960093758003</x:v>
      </x:c>
      <x:c r="K1314" s="21" t="n">
        <x:v>-0.08901101065610906</x:v>
      </x:c>
      <x:c r="L1314" s="36" t="n">
        <x:f>IF(Assumptions!$B$4=2030,I1314,IF(Assumptions!$B$4=2035,J1314,K1314))</x:f>
        <x:v>-0.04553960093758003</x:v>
      </x:c>
      <x:c r="M1314" s="36" t="n">
        <x:f>Assumptions!$B$19</x:f>
        <x:v>-0.04739891965741583</x:v>
      </x:c>
      <x:c r="N1314" s="52" t="n">
        <x:f>H1314*L1314+(1-H1314)*M1314+O1314</x:f>
        <x:v>-0.0458184987455554</x:v>
      </x:c>
      <x:c r="O1314" s="36" t="n">
        <x:f>Assumptions!$B$10</x:f>
        <x:v>0</x:v>
      </x:c>
      <x:c r="P1314" s="54" t="n">
        <x:f>E1314*(1+N1314)</x:f>
        <x:v>2914.070304831074</x:v>
      </x:c>
      <x:c r="Q1314" s="54" t="n">
        <x:f>P1314-E1314</x:f>
        <x:v>-139.92969516892617</x:v>
      </x:c>
      <x:c r="R1314" s="16" t="str">
        <x:v>Yes</x:v>
      </x:c>
      <x:c r="S1314" s="56" t="n">
        <x:v>11309</x:v>
      </x:c>
      <x:c r="T1314" s="56" t="n">
        <x:v>6679</x:v>
      </x:c>
      <x:c r="U1314" s="40" t="n">
        <x:f>E1314*Assumptions!$B$8</x:f>
        <x:v>2595.9</x:v>
      </x:c>
      <x:c r="V1314" s="40" t="n">
        <x:f>P1314*Assumptions!$B$8</x:f>
        <x:v>2476.9597591064125</x:v>
      </x:c>
      <x:c r="W1314" s="54" t="n">
        <x:f>V1314-U1314</x:f>
        <x:v>-118.94024089358754</x:v>
      </x:c>
      <x:c r="X1314" s="58" t="n">
        <x:f>IF(R1314="No","",W1314*S1314)</x:f>
        <x:v>-1345095.1842655814</x:v>
      </x:c>
      <x:c r="Y1314" s="58" t="n">
        <x:f>IF(R1314="No","",W1314*T1314*Assumptions!$B$9)</x:f>
        <x:v>-238320.56067848136</x:v>
      </x:c>
      <x:c r="Z1314" s="58" t="n">
        <x:f>IF(R1314="No","",X1314-Y1314)</x:f>
        <x:v>-1106774.6235871</x:v>
      </x:c>
      <x:c r="AA1314" s="58" t="n">
        <x:f>IF(R1314="No","",MAX(0,-Z1314))</x:f>
        <x:v>1106774.6235871</x:v>
      </x:c>
      <x:c r="AB1314" s="52" t="n">
        <x:f>IF(OR(R1314="No",U1314*S1314=0),"",AA1314/(U1314*S1314))</x:f>
        <x:v>0.03770049309196371</x:v>
      </x:c>
      <x:c r="AC1314" s="54" t="n">
        <x:f>IF(OR(R1314="No",S1314-T1314*Assumptions!$B$9&lt;=0),"",AA1314/(Assumptions!$B$8*(S1314-T1314*Assumptions!$B$9)))</x:f>
        <x:v>139.92969516892651</x:v>
      </x:c>
      <x:c r="AD1314" s="52" t="n">
        <x:f>IF(OR(R1314="No",U1314*S1314=0),"",AA1314/(U1314*S1314))</x:f>
        <x:v>0.03770049309196371</x:v>
      </x:c>
      <x:c r="AE1314" s="50" t="str">
        <x:f>IF(R1314="No","No finance data",IF(AB1314&gt;=10%,"Severe",IF(AB1314&gt;=5%,"High",IF(AB1314&gt;=2%,"Moderate","Low"))))</x:f>
        <x:v>Moderate</x:v>
      </x:c>
      <x:c r="AF1314" s="60" t="n">
        <x:v>36.049129</x:v>
      </x:c>
      <x:c r="AG1314" s="60" t="n">
        <x:v>-95.952547</x:v>
      </x:c>
      <x:c r="AH1314" s="44" t="str">
        <x:v>Undergraduate tuition-contribution proxy only; not an audited total institutional budget.</x:v>
      </x:c>
    </x:row>
    <x:row r="1315">
      <x:c r="A1315" s="16" t="n">
        <x:v>207157</x:v>
      </x:c>
      <x:c r="B1315" s="16" t="str">
        <x:v>Randall University</x:v>
      </x:c>
      <x:c r="C1315" s="16" t="str">
        <x:v>OK</x:v>
      </x:c>
      <x:c r="D1315" s="16" t="str">
        <x:v>Private nonprofit</x:v>
      </x:c>
      <x:c r="E1315" s="34" t="n">
        <x:v>314</x:v>
      </x:c>
      <x:c r="F1315" s="21"/>
      <x:c r="G1315" s="16" t="str">
        <x:v>Regional</x:v>
      </x:c>
      <x:c r="H1315" s="36" t="n">
        <x:f>IF(G1315="National",Assumptions!$B$11,IF(G1315="Statewide",Assumptions!$B$12,Assumptions!$B$13))</x:f>
        <x:v>0.85</x:v>
      </x:c>
      <x:c r="I1315" s="21" t="n">
        <x:v>-0.023124347534912992</x:v>
      </x:c>
      <x:c r="J1315" s="21" t="n">
        <x:v>-0.04553960093758003</x:v>
      </x:c>
      <x:c r="K1315" s="21" t="n">
        <x:v>-0.08901101065610906</x:v>
      </x:c>
      <x:c r="L1315" s="36" t="n">
        <x:f>IF(Assumptions!$B$4=2030,I1315,IF(Assumptions!$B$4=2035,J1315,K1315))</x:f>
        <x:v>-0.04553960093758003</x:v>
      </x:c>
      <x:c r="M1315" s="36" t="n">
        <x:f>Assumptions!$B$19</x:f>
        <x:v>-0.04739891965741583</x:v>
      </x:c>
      <x:c r="N1315" s="52" t="n">
        <x:f>H1315*L1315+(1-H1315)*M1315+O1315</x:f>
        <x:v>-0.0458184987455554</x:v>
      </x:c>
      <x:c r="O1315" s="36" t="n">
        <x:f>Assumptions!$B$10</x:f>
        <x:v>0</x:v>
      </x:c>
      <x:c r="P1315" s="54" t="n">
        <x:f>E1315*(1+N1315)</x:f>
        <x:v>299.6129913938956</x:v>
      </x:c>
      <x:c r="Q1315" s="54" t="n">
        <x:f>P1315-E1315</x:f>
        <x:v>-14.387008606104416</x:v>
      </x:c>
      <x:c r="R1315" s="16" t="str">
        <x:v>No</x:v>
      </x:c>
      <x:c r="S1315" s="56"/>
      <x:c r="T1315" s="56"/>
      <x:c r="U1315" s="40" t="n">
        <x:f>E1315*Assumptions!$B$8</x:f>
        <x:v>266.9</x:v>
      </x:c>
      <x:c r="V1315" s="40" t="n">
        <x:f>P1315*Assumptions!$B$8</x:f>
        <x:v>254.67104268481123</x:v>
      </x:c>
      <x:c r="W1315" s="54" t="n">
        <x:f>V1315-U1315</x:f>
        <x:v>-12.228957315188751</x:v>
      </x:c>
      <x:c r="X1315" s="58" t="str">
        <x:f>IF(R1315="No","",W1315*S1315)</x:f>
      </x:c>
      <x:c r="Y1315" s="58" t="str">
        <x:f>IF(R1315="No","",W1315*T1315*Assumptions!$B$9)</x:f>
      </x:c>
      <x:c r="Z1315" s="58" t="str">
        <x:f>IF(R1315="No","",X1315-Y1315)</x:f>
      </x:c>
      <x:c r="AA1315" s="58" t="str">
        <x:f>IF(R1315="No","",MAX(0,-Z1315))</x:f>
      </x:c>
      <x:c r="AB1315" s="52" t="str">
        <x:f>IF(OR(R1315="No",U1315*S1315=0),"",AA1315/(U1315*S1315))</x:f>
      </x:c>
      <x:c r="AC1315" s="54" t="str">
        <x:f>IF(OR(R1315="No",S1315-T1315*Assumptions!$B$9&lt;=0),"",AA1315/(Assumptions!$B$8*(S1315-T1315*Assumptions!$B$9)))</x:f>
      </x:c>
      <x:c r="AD1315" s="52" t="str">
        <x:f>IF(OR(R1315="No",U1315*S1315=0),"",AA1315/(U1315*S1315))</x:f>
      </x:c>
      <x:c r="AE1315" s="50" t="str">
        <x:f>IF(R1315="No","No finance data",IF(AB1315&gt;=10%,"Severe",IF(AB1315&gt;=5%,"High",IF(AB1315&gt;=2%,"Moderate","Low"))))</x:f>
        <x:v>No finance data</x:v>
      </x:c>
      <x:c r="AF1315" s="60"/>
      <x:c r="AG1315" s="60"/>
      <x:c r="AH1315" s="44" t="str">
        <x:v>Undergraduate tuition-contribution proxy only; not an audited total institutional budget.</x:v>
      </x:c>
    </x:row>
    <x:row r="1316">
      <x:c r="A1316" s="16" t="n">
        <x:v>207661</x:v>
      </x:c>
      <x:c r="B1316" s="16" t="str">
        <x:v>Rogers State University</x:v>
      </x:c>
      <x:c r="C1316" s="16" t="str">
        <x:v>OK</x:v>
      </x:c>
      <x:c r="D1316" s="16" t="str">
        <x:v>Public</x:v>
      </x:c>
      <x:c r="E1316" s="34" t="n">
        <x:v>3663</x:v>
      </x:c>
      <x:c r="F1316" s="21"/>
      <x:c r="G1316" s="16" t="str">
        <x:v>Regional</x:v>
      </x:c>
      <x:c r="H1316" s="36" t="n">
        <x:f>IF(G1316="National",Assumptions!$B$11,IF(G1316="Statewide",Assumptions!$B$12,Assumptions!$B$13))</x:f>
        <x:v>0.85</x:v>
      </x:c>
      <x:c r="I1316" s="21" t="n">
        <x:v>-0.023124347534912992</x:v>
      </x:c>
      <x:c r="J1316" s="21" t="n">
        <x:v>-0.04553960093758003</x:v>
      </x:c>
      <x:c r="K1316" s="21" t="n">
        <x:v>-0.08901101065610906</x:v>
      </x:c>
      <x:c r="L1316" s="36" t="n">
        <x:f>IF(Assumptions!$B$4=2030,I1316,IF(Assumptions!$B$4=2035,J1316,K1316))</x:f>
        <x:v>-0.04553960093758003</x:v>
      </x:c>
      <x:c r="M1316" s="36" t="n">
        <x:f>Assumptions!$B$19</x:f>
        <x:v>-0.04739891965741583</x:v>
      </x:c>
      <x:c r="N1316" s="52" t="n">
        <x:f>H1316*L1316+(1-H1316)*M1316+O1316</x:f>
        <x:v>-0.0458184987455554</x:v>
      </x:c>
      <x:c r="O1316" s="36" t="n">
        <x:f>Assumptions!$B$10</x:f>
        <x:v>0</x:v>
      </x:c>
      <x:c r="P1316" s="54" t="n">
        <x:f>E1316*(1+N1316)</x:f>
        <x:v>3495.1668390950304</x:v>
      </x:c>
      <x:c r="Q1316" s="54" t="n">
        <x:f>P1316-E1316</x:f>
        <x:v>-167.83316090496965</x:v>
      </x:c>
      <x:c r="R1316" s="16" t="str">
        <x:v>Yes</x:v>
      </x:c>
      <x:c r="S1316" s="56" t="n">
        <x:v>5482</x:v>
      </x:c>
      <x:c r="T1316" s="56" t="n">
        <x:v>4959</x:v>
      </x:c>
      <x:c r="U1316" s="40" t="n">
        <x:f>E1316*Assumptions!$B$8</x:f>
        <x:v>3113.5499999999997</x:v>
      </x:c>
      <x:c r="V1316" s="40" t="n">
        <x:f>P1316*Assumptions!$B$8</x:f>
        <x:v>2970.891813230776</x:v>
      </x:c>
      <x:c r="W1316" s="54" t="n">
        <x:f>V1316-U1316</x:f>
        <x:v>-142.6581867692239</x:v>
      </x:c>
      <x:c r="X1316" s="58" t="n">
        <x:f>IF(R1316="No","",W1316*S1316)</x:f>
        <x:v>-782052.1798688854</x:v>
      </x:c>
      <x:c r="Y1316" s="58" t="n">
        <x:f>IF(R1316="No","",W1316*T1316*Assumptions!$B$9)</x:f>
        <x:v>-212232.5844565744</x:v>
      </x:c>
      <x:c r="Z1316" s="58" t="n">
        <x:f>IF(R1316="No","",X1316-Y1316)</x:f>
        <x:v>-569819.595412311</x:v>
      </x:c>
      <x:c r="AA1316" s="58" t="n">
        <x:f>IF(R1316="No","",MAX(0,-Z1316))</x:f>
        <x:v>569819.595412311</x:v>
      </x:c>
      <x:c r="AB1316" s="52" t="n">
        <x:f>IF(OR(R1316="No",U1316*S1316=0),"",AA1316/(U1316*S1316))</x:f>
        <x:v>0.033384317683212664</x:v>
      </x:c>
      <x:c r="AC1316" s="54" t="n">
        <x:f>IF(OR(R1316="No",S1316-T1316*Assumptions!$B$9&lt;=0),"",AA1316/(Assumptions!$B$8*(S1316-T1316*Assumptions!$B$9)))</x:f>
        <x:v>167.83316090496928</x:v>
      </x:c>
      <x:c r="AD1316" s="52" t="n">
        <x:f>IF(OR(R1316="No",U1316*S1316=0),"",AA1316/(U1316*S1316))</x:f>
        <x:v>0.033384317683212664</x:v>
      </x:c>
      <x:c r="AE1316" s="50" t="str">
        <x:f>IF(R1316="No","No finance data",IF(AB1316&gt;=10%,"Severe",IF(AB1316&gt;=5%,"High",IF(AB1316&gt;=2%,"Moderate","Low"))))</x:f>
        <x:v>Moderate</x:v>
      </x:c>
      <x:c r="AF1316" s="60" t="n">
        <x:v>36.321437</x:v>
      </x:c>
      <x:c r="AG1316" s="60" t="n">
        <x:v>-95.635718</x:v>
      </x:c>
      <x:c r="AH1316" s="44" t="str">
        <x:v>Undergraduate tuition-contribution proxy only; not an audited total institutional budget.</x:v>
      </x:c>
    </x:row>
    <x:row r="1317">
      <x:c r="A1317" s="16" t="n">
        <x:v>207847</x:v>
      </x:c>
      <x:c r="B1317" s="16" t="str">
        <x:v>Southeastern Oklahoma State University</x:v>
      </x:c>
      <x:c r="C1317" s="16" t="str">
        <x:v>OK</x:v>
      </x:c>
      <x:c r="D1317" s="16" t="str">
        <x:v>Public</x:v>
      </x:c>
      <x:c r="E1317" s="34" t="n">
        <x:v>3125</x:v>
      </x:c>
      <x:c r="F1317" s="21" t="n">
        <x:v>0.737</x:v>
      </x:c>
      <x:c r="G1317" s="16" t="str">
        <x:v>Regional</x:v>
      </x:c>
      <x:c r="H1317" s="36" t="n">
        <x:f>IF(G1317="National",Assumptions!$B$11,IF(G1317="Statewide",Assumptions!$B$12,Assumptions!$B$13))</x:f>
        <x:v>0.85</x:v>
      </x:c>
      <x:c r="I1317" s="21" t="n">
        <x:v>-0.023124347534912992</x:v>
      </x:c>
      <x:c r="J1317" s="21" t="n">
        <x:v>-0.04553960093758003</x:v>
      </x:c>
      <x:c r="K1317" s="21" t="n">
        <x:v>-0.08901101065610906</x:v>
      </x:c>
      <x:c r="L1317" s="36" t="n">
        <x:f>IF(Assumptions!$B$4=2030,I1317,IF(Assumptions!$B$4=2035,J1317,K1317))</x:f>
        <x:v>-0.04553960093758003</x:v>
      </x:c>
      <x:c r="M1317" s="36" t="n">
        <x:f>Assumptions!$B$19</x:f>
        <x:v>-0.04739891965741583</x:v>
      </x:c>
      <x:c r="N1317" s="52" t="n">
        <x:f>H1317*L1317+(1-H1317)*M1317+O1317</x:f>
        <x:v>-0.0458184987455554</x:v>
      </x:c>
      <x:c r="O1317" s="36" t="n">
        <x:f>Assumptions!$B$10</x:f>
        <x:v>0</x:v>
      </x:c>
      <x:c r="P1317" s="54" t="n">
        <x:f>E1317*(1+N1317)</x:f>
        <x:v>2981.8171914201394</x:v>
      </x:c>
      <x:c r="Q1317" s="54" t="n">
        <x:f>P1317-E1317</x:f>
        <x:v>-143.18280857986065</x:v>
      </x:c>
      <x:c r="R1317" s="16" t="str">
        <x:v>Yes</x:v>
      </x:c>
      <x:c r="S1317" s="56" t="n">
        <x:v>6897</x:v>
      </x:c>
      <x:c r="T1317" s="56" t="n">
        <x:v>6408</x:v>
      </x:c>
      <x:c r="U1317" s="40" t="n">
        <x:f>E1317*Assumptions!$B$8</x:f>
        <x:v>2656.25</x:v>
      </x:c>
      <x:c r="V1317" s="40" t="n">
        <x:f>P1317*Assumptions!$B$8</x:f>
        <x:v>2534.544612707118</x:v>
      </x:c>
      <x:c r="W1317" s="54" t="n">
        <x:f>V1317-U1317</x:f>
        <x:v>-121.70538729288182</x:v>
      </x:c>
      <x:c r="X1317" s="58" t="n">
        <x:f>IF(R1317="No","",W1317*S1317)</x:f>
        <x:v>-839402.056159006</x:v>
      </x:c>
      <x:c r="Y1317" s="58" t="n">
        <x:f>IF(R1317="No","",W1317*T1317*Assumptions!$B$9)</x:f>
        <x:v>-233966.43653183602</x:v>
      </x:c>
      <x:c r="Z1317" s="58" t="n">
        <x:f>IF(R1317="No","",X1317-Y1317)</x:f>
        <x:v>-605435.6196271699</x:v>
      </x:c>
      <x:c r="AA1317" s="58" t="n">
        <x:f>IF(R1317="No","",MAX(0,-Z1317))</x:f>
        <x:v>605435.6196271699</x:v>
      </x:c>
      <x:c r="AB1317" s="52" t="n">
        <x:f>IF(OR(R1317="No",U1317*S1317=0),"",AA1317/(U1317*S1317))</x:f>
        <x:v>0.033047513971239735</x:v>
      </x:c>
      <x:c r="AC1317" s="54" t="n">
        <x:f>IF(OR(R1317="No",S1317-T1317*Assumptions!$B$9&lt;=0),"",AA1317/(Assumptions!$B$8*(S1317-T1317*Assumptions!$B$9)))</x:f>
        <x:v>143.18280857986096</x:v>
      </x:c>
      <x:c r="AD1317" s="52" t="n">
        <x:f>IF(OR(R1317="No",U1317*S1317=0),"",AA1317/(U1317*S1317))</x:f>
        <x:v>0.033047513971239735</x:v>
      </x:c>
      <x:c r="AE1317" s="50" t="str">
        <x:f>IF(R1317="No","No finance data",IF(AB1317&gt;=10%,"Severe",IF(AB1317&gt;=5%,"High",IF(AB1317&gt;=2%,"Moderate","Low"))))</x:f>
        <x:v>Moderate</x:v>
      </x:c>
      <x:c r="AF1317" s="60" t="n">
        <x:v>34.006808</x:v>
      </x:c>
      <x:c r="AG1317" s="60" t="n">
        <x:v>-96.376864</x:v>
      </x:c>
      <x:c r="AH1317" s="44" t="str">
        <x:v>Undergraduate tuition-contribution proxy only; not an audited total institutional budget.</x:v>
      </x:c>
    </x:row>
    <x:row r="1318">
      <x:c r="A1318" s="16" t="n">
        <x:v>206862</x:v>
      </x:c>
      <x:c r="B1318" s="16" t="str">
        <x:v>Southern Nazarene University</x:v>
      </x:c>
      <x:c r="C1318" s="16" t="str">
        <x:v>OK</x:v>
      </x:c>
      <x:c r="D1318" s="16" t="str">
        <x:v>Private nonprofit</x:v>
      </x:c>
      <x:c r="E1318" s="34" t="n">
        <x:v>1642</x:v>
      </x:c>
      <x:c r="F1318" s="21"/>
      <x:c r="G1318" s="16" t="str">
        <x:v>Regional</x:v>
      </x:c>
      <x:c r="H1318" s="36" t="n">
        <x:f>IF(G1318="National",Assumptions!$B$11,IF(G1318="Statewide",Assumptions!$B$12,Assumptions!$B$13))</x:f>
        <x:v>0.85</x:v>
      </x:c>
      <x:c r="I1318" s="21" t="n">
        <x:v>-0.023124347534912992</x:v>
      </x:c>
      <x:c r="J1318" s="21" t="n">
        <x:v>-0.04553960093758003</x:v>
      </x:c>
      <x:c r="K1318" s="21" t="n">
        <x:v>-0.08901101065610906</x:v>
      </x:c>
      <x:c r="L1318" s="36" t="n">
        <x:f>IF(Assumptions!$B$4=2030,I1318,IF(Assumptions!$B$4=2035,J1318,K1318))</x:f>
        <x:v>-0.04553960093758003</x:v>
      </x:c>
      <x:c r="M1318" s="36" t="n">
        <x:f>Assumptions!$B$19</x:f>
        <x:v>-0.04739891965741583</x:v>
      </x:c>
      <x:c r="N1318" s="52" t="n">
        <x:f>H1318*L1318+(1-H1318)*M1318+O1318</x:f>
        <x:v>-0.0458184987455554</x:v>
      </x:c>
      <x:c r="O1318" s="36" t="n">
        <x:f>Assumptions!$B$10</x:f>
        <x:v>0</x:v>
      </x:c>
      <x:c r="P1318" s="54" t="n">
        <x:f>E1318*(1+N1318)</x:f>
        <x:v>1566.766025059798</x:v>
      </x:c>
      <x:c r="Q1318" s="54" t="n">
        <x:f>P1318-E1318</x:f>
        <x:v>-75.23397494020196</x:v>
      </x:c>
      <x:c r="R1318" s="16" t="str">
        <x:v>Yes</x:v>
      </x:c>
      <x:c r="S1318" s="56" t="n">
        <x:v>13170</x:v>
      </x:c>
      <x:c r="T1318" s="56" t="n">
        <x:v>9231</x:v>
      </x:c>
      <x:c r="U1318" s="40" t="n">
        <x:f>E1318*Assumptions!$B$8</x:f>
        <x:v>1395.7</x:v>
      </x:c>
      <x:c r="V1318" s="40" t="n">
        <x:f>P1318*Assumptions!$B$8</x:f>
        <x:v>1331.7511213008283</x:v>
      </x:c>
      <x:c r="W1318" s="54" t="n">
        <x:f>V1318-U1318</x:f>
        <x:v>-63.9488786991717</x:v>
      </x:c>
      <x:c r="X1318" s="58" t="n">
        <x:f>IF(R1318="No","",W1318*S1318)</x:f>
        <x:v>-842206.7324680913</x:v>
      </x:c>
      <x:c r="Y1318" s="58" t="n">
        <x:f>IF(R1318="No","",W1318*T1318*Assumptions!$B$9)</x:f>
        <x:v>-177093.62978161618</x:v>
      </x:c>
      <x:c r="Z1318" s="58" t="n">
        <x:f>IF(R1318="No","",X1318-Y1318)</x:f>
        <x:v>-665113.1026864751</x:v>
      </x:c>
      <x:c r="AA1318" s="58" t="n">
        <x:f>IF(R1318="No","",MAX(0,-Z1318))</x:f>
        <x:v>665113.1026864751</x:v>
      </x:c>
      <x:c r="AB1318" s="52" t="n">
        <x:f>IF(OR(R1318="No",U1318*S1318=0),"",AA1318/(U1318*S1318))</x:f>
        <x:v>0.03618408959019729</x:v>
      </x:c>
      <x:c r="AC1318" s="54" t="n">
        <x:f>IF(OR(R1318="No",S1318-T1318*Assumptions!$B$9&lt;=0),"",AA1318/(Assumptions!$B$8*(S1318-T1318*Assumptions!$B$9)))</x:f>
        <x:v>75.23397494020199</x:v>
      </x:c>
      <x:c r="AD1318" s="52" t="n">
        <x:f>IF(OR(R1318="No",U1318*S1318=0),"",AA1318/(U1318*S1318))</x:f>
        <x:v>0.03618408959019729</x:v>
      </x:c>
      <x:c r="AE1318" s="50" t="str">
        <x:f>IF(R1318="No","No finance data",IF(AB1318&gt;=10%,"Severe",IF(AB1318&gt;=5%,"High",IF(AB1318&gt;=2%,"Moderate","Low"))))</x:f>
        <x:v>Moderate</x:v>
      </x:c>
      <x:c r="AF1318" s="60" t="n">
        <x:v>35.513295</x:v>
      </x:c>
      <x:c r="AG1318" s="60" t="n">
        <x:v>-97.629504</x:v>
      </x:c>
      <x:c r="AH1318" s="44" t="str">
        <x:v>Undergraduate tuition-contribution proxy only; not an audited total institutional budget.</x:v>
      </x:c>
    </x:row>
    <x:row r="1319">
      <x:c r="A1319" s="16" t="n">
        <x:v>207856</x:v>
      </x:c>
      <x:c r="B1319" s="16" t="str">
        <x:v>Southwestern Christian University</x:v>
      </x:c>
      <x:c r="C1319" s="16" t="str">
        <x:v>OK</x:v>
      </x:c>
      <x:c r="D1319" s="16" t="str">
        <x:v>Private nonprofit</x:v>
      </x:c>
      <x:c r="E1319" s="34" t="n">
        <x:v>714</x:v>
      </x:c>
      <x:c r="F1319" s="21"/>
      <x:c r="G1319" s="16" t="str">
        <x:v>Regional</x:v>
      </x:c>
      <x:c r="H1319" s="36" t="n">
        <x:f>IF(G1319="National",Assumptions!$B$11,IF(G1319="Statewide",Assumptions!$B$12,Assumptions!$B$13))</x:f>
        <x:v>0.85</x:v>
      </x:c>
      <x:c r="I1319" s="21" t="n">
        <x:v>-0.023124347534912992</x:v>
      </x:c>
      <x:c r="J1319" s="21" t="n">
        <x:v>-0.04553960093758003</x:v>
      </x:c>
      <x:c r="K1319" s="21" t="n">
        <x:v>-0.08901101065610906</x:v>
      </x:c>
      <x:c r="L1319" s="36" t="n">
        <x:f>IF(Assumptions!$B$4=2030,I1319,IF(Assumptions!$B$4=2035,J1319,K1319))</x:f>
        <x:v>-0.04553960093758003</x:v>
      </x:c>
      <x:c r="M1319" s="36" t="n">
        <x:f>Assumptions!$B$19</x:f>
        <x:v>-0.04739891965741583</x:v>
      </x:c>
      <x:c r="N1319" s="52" t="n">
        <x:f>H1319*L1319+(1-H1319)*M1319+O1319</x:f>
        <x:v>-0.0458184987455554</x:v>
      </x:c>
      <x:c r="O1319" s="36" t="n">
        <x:f>Assumptions!$B$10</x:f>
        <x:v>0</x:v>
      </x:c>
      <x:c r="P1319" s="54" t="n">
        <x:f>E1319*(1+N1319)</x:f>
        <x:v>681.2855918956734</x:v>
      </x:c>
      <x:c r="Q1319" s="54" t="n">
        <x:f>P1319-E1319</x:f>
        <x:v>-32.714408104326594</x:v>
      </x:c>
      <x:c r="R1319" s="16" t="str">
        <x:v>No</x:v>
      </x:c>
      <x:c r="S1319" s="56"/>
      <x:c r="T1319" s="56"/>
      <x:c r="U1319" s="40" t="n">
        <x:f>E1319*Assumptions!$B$8</x:f>
        <x:v>606.9</x:v>
      </x:c>
      <x:c r="V1319" s="40" t="n">
        <x:f>P1319*Assumptions!$B$8</x:f>
        <x:v>579.0927531113224</x:v>
      </x:c>
      <x:c r="W1319" s="54" t="n">
        <x:f>V1319-U1319</x:f>
        <x:v>-27.807246888677582</x:v>
      </x:c>
      <x:c r="X1319" s="58" t="str">
        <x:f>IF(R1319="No","",W1319*S1319)</x:f>
      </x:c>
      <x:c r="Y1319" s="58" t="str">
        <x:f>IF(R1319="No","",W1319*T1319*Assumptions!$B$9)</x:f>
      </x:c>
      <x:c r="Z1319" s="58" t="str">
        <x:f>IF(R1319="No","",X1319-Y1319)</x:f>
      </x:c>
      <x:c r="AA1319" s="58" t="str">
        <x:f>IF(R1319="No","",MAX(0,-Z1319))</x:f>
      </x:c>
      <x:c r="AB1319" s="52" t="str">
        <x:f>IF(OR(R1319="No",U1319*S1319=0),"",AA1319/(U1319*S1319))</x:f>
      </x:c>
      <x:c r="AC1319" s="54" t="str">
        <x:f>IF(OR(R1319="No",S1319-T1319*Assumptions!$B$9&lt;=0),"",AA1319/(Assumptions!$B$8*(S1319-T1319*Assumptions!$B$9)))</x:f>
      </x:c>
      <x:c r="AD1319" s="52" t="str">
        <x:f>IF(OR(R1319="No",U1319*S1319=0),"",AA1319/(U1319*S1319))</x:f>
      </x:c>
      <x:c r="AE1319" s="50" t="str">
        <x:f>IF(R1319="No","No finance data",IF(AB1319&gt;=10%,"Severe",IF(AB1319&gt;=5%,"High",IF(AB1319&gt;=2%,"Moderate","Low"))))</x:f>
        <x:v>No finance data</x:v>
      </x:c>
      <x:c r="AF1319" s="60"/>
      <x:c r="AG1319" s="60"/>
      <x:c r="AH1319" s="44" t="str">
        <x:v>Undergraduate tuition-contribution proxy only; not an audited total institutional budget.</x:v>
      </x:c>
    </x:row>
    <x:row r="1320">
      <x:c r="A1320" s="16" t="n">
        <x:v>207865</x:v>
      </x:c>
      <x:c r="B1320" s="16" t="str">
        <x:v>Southwestern Oklahoma State University</x:v>
      </x:c>
      <x:c r="C1320" s="16" t="str">
        <x:v>OK</x:v>
      </x:c>
      <x:c r="D1320" s="16" t="str">
        <x:v>Public</x:v>
      </x:c>
      <x:c r="E1320" s="34" t="n">
        <x:v>4133</x:v>
      </x:c>
      <x:c r="F1320" s="21" t="n">
        <x:v>0.9412</x:v>
      </x:c>
      <x:c r="G1320" s="16" t="str">
        <x:v>Regional</x:v>
      </x:c>
      <x:c r="H1320" s="36" t="n">
        <x:f>IF(G1320="National",Assumptions!$B$11,IF(G1320="Statewide",Assumptions!$B$12,Assumptions!$B$13))</x:f>
        <x:v>0.85</x:v>
      </x:c>
      <x:c r="I1320" s="21" t="n">
        <x:v>-0.023124347534912992</x:v>
      </x:c>
      <x:c r="J1320" s="21" t="n">
        <x:v>-0.04553960093758003</x:v>
      </x:c>
      <x:c r="K1320" s="21" t="n">
        <x:v>-0.08901101065610906</x:v>
      </x:c>
      <x:c r="L1320" s="36" t="n">
        <x:f>IF(Assumptions!$B$4=2030,I1320,IF(Assumptions!$B$4=2035,J1320,K1320))</x:f>
        <x:v>-0.04553960093758003</x:v>
      </x:c>
      <x:c r="M1320" s="36" t="n">
        <x:f>Assumptions!$B$19</x:f>
        <x:v>-0.04739891965741583</x:v>
      </x:c>
      <x:c r="N1320" s="52" t="n">
        <x:f>H1320*L1320+(1-H1320)*M1320+O1320</x:f>
        <x:v>-0.0458184987455554</x:v>
      </x:c>
      <x:c r="O1320" s="36" t="n">
        <x:f>Assumptions!$B$10</x:f>
        <x:v>0</x:v>
      </x:c>
      <x:c r="P1320" s="54" t="n">
        <x:f>E1320*(1+N1320)</x:f>
        <x:v>3943.6321446846196</x:v>
      </x:c>
      <x:c r="Q1320" s="54" t="n">
        <x:f>P1320-E1320</x:f>
        <x:v>-189.36785531538044</x:v>
      </x:c>
      <x:c r="R1320" s="16" t="str">
        <x:v>Yes</x:v>
      </x:c>
      <x:c r="S1320" s="56" t="n">
        <x:v>6298</x:v>
      </x:c>
      <x:c r="T1320" s="56" t="n">
        <x:v>8966</x:v>
      </x:c>
      <x:c r="U1320" s="40" t="n">
        <x:f>E1320*Assumptions!$B$8</x:f>
        <x:v>3513.0499999999997</x:v>
      </x:c>
      <x:c r="V1320" s="40" t="n">
        <x:f>P1320*Assumptions!$B$8</x:f>
        <x:v>3352.0873229819267</x:v>
      </x:c>
      <x:c r="W1320" s="54" t="n">
        <x:f>V1320-U1320</x:f>
        <x:v>-160.962677018073</x:v>
      </x:c>
      <x:c r="X1320" s="58" t="n">
        <x:f>IF(R1320="No","",W1320*S1320)</x:f>
        <x:v>-1013742.9398598238</x:v>
      </x:c>
      <x:c r="Y1320" s="58" t="n">
        <x:f>IF(R1320="No","",W1320*T1320*Assumptions!$B$9)</x:f>
        <x:v>-432957.40864321275</x:v>
      </x:c>
      <x:c r="Z1320" s="58" t="n">
        <x:f>IF(R1320="No","",X1320-Y1320)</x:f>
        <x:v>-580785.531216611</x:v>
      </x:c>
      <x:c r="AA1320" s="58" t="n">
        <x:f>IF(R1320="No","",MAX(0,-Z1320))</x:f>
        <x:v>580785.531216611</x:v>
      </x:c>
      <x:c r="AB1320" s="52" t="n">
        <x:f>IF(OR(R1320="No",U1320*S1320=0),"",AA1320/(U1320*S1320))</x:f>
        <x:v>0.02624996938293309</x:v>
      </x:c>
      <x:c r="AC1320" s="54" t="n">
        <x:f>IF(OR(R1320="No",S1320-T1320*Assumptions!$B$9&lt;=0),"",AA1320/(Assumptions!$B$8*(S1320-T1320*Assumptions!$B$9)))</x:f>
        <x:v>189.36785531537998</x:v>
      </x:c>
      <x:c r="AD1320" s="52" t="n">
        <x:f>IF(OR(R1320="No",U1320*S1320=0),"",AA1320/(U1320*S1320))</x:f>
        <x:v>0.02624996938293309</x:v>
      </x:c>
      <x:c r="AE1320" s="50" t="str">
        <x:f>IF(R1320="No","No finance data",IF(AB1320&gt;=10%,"Severe",IF(AB1320&gt;=5%,"High",IF(AB1320&gt;=2%,"Moderate","Low"))))</x:f>
        <x:v>Moderate</x:v>
      </x:c>
      <x:c r="AF1320" s="60" t="n">
        <x:v>35.535281</x:v>
      </x:c>
      <x:c r="AG1320" s="60" t="n">
        <x:v>-98.707768</x:v>
      </x:c>
      <x:c r="AH1320" s="44" t="str">
        <x:v>Undergraduate tuition-contribution proxy only; not an audited total institutional budget.</x:v>
      </x:c>
    </x:row>
    <x:row r="1321">
      <x:c r="A1321" s="16" t="n">
        <x:v>207689</x:v>
      </x:c>
      <x:c r="B1321" s="16" t="str">
        <x:v>St. Gregory's University</x:v>
      </x:c>
      <x:c r="C1321" s="16" t="str">
        <x:v>OK</x:v>
      </x:c>
      <x:c r="D1321" s="16" t="str">
        <x:v>Private nonprofit</x:v>
      </x:c>
      <x:c r="E1321" s="34" t="n">
        <x:v>580</x:v>
      </x:c>
      <x:c r="F1321" s="21"/>
      <x:c r="G1321" s="16" t="str">
        <x:v>Regional</x:v>
      </x:c>
      <x:c r="H1321" s="36" t="n">
        <x:f>IF(G1321="National",Assumptions!$B$11,IF(G1321="Statewide",Assumptions!$B$12,Assumptions!$B$13))</x:f>
        <x:v>0.85</x:v>
      </x:c>
      <x:c r="I1321" s="21" t="n">
        <x:v>-0.023124347534912992</x:v>
      </x:c>
      <x:c r="J1321" s="21" t="n">
        <x:v>-0.04553960093758003</x:v>
      </x:c>
      <x:c r="K1321" s="21" t="n">
        <x:v>-0.08901101065610906</x:v>
      </x:c>
      <x:c r="L1321" s="36" t="n">
        <x:f>IF(Assumptions!$B$4=2030,I1321,IF(Assumptions!$B$4=2035,J1321,K1321))</x:f>
        <x:v>-0.04553960093758003</x:v>
      </x:c>
      <x:c r="M1321" s="36" t="n">
        <x:f>Assumptions!$B$19</x:f>
        <x:v>-0.04739891965741583</x:v>
      </x:c>
      <x:c r="N1321" s="52" t="n">
        <x:f>H1321*L1321+(1-H1321)*M1321+O1321</x:f>
        <x:v>-0.0458184987455554</x:v>
      </x:c>
      <x:c r="O1321" s="36" t="n">
        <x:f>Assumptions!$B$10</x:f>
        <x:v>0</x:v>
      </x:c>
      <x:c r="P1321" s="54" t="n">
        <x:f>E1321*(1+N1321)</x:f>
        <x:v>553.4252707275779</x:v>
      </x:c>
      <x:c r="Q1321" s="54" t="n">
        <x:f>P1321-E1321</x:f>
        <x:v>-26.574729272422132</x:v>
      </x:c>
      <x:c r="R1321" s="16" t="str">
        <x:v>No</x:v>
      </x:c>
      <x:c r="S1321" s="56"/>
      <x:c r="T1321" s="56"/>
      <x:c r="U1321" s="40" t="n">
        <x:f>E1321*Assumptions!$B$8</x:f>
        <x:v>493</x:v>
      </x:c>
      <x:c r="V1321" s="40" t="n">
        <x:f>P1321*Assumptions!$B$8</x:f>
        <x:v>470.41148011844115</x:v>
      </x:c>
      <x:c r="W1321" s="54" t="n">
        <x:f>V1321-U1321</x:f>
        <x:v>-22.588519881558852</x:v>
      </x:c>
      <x:c r="X1321" s="58" t="str">
        <x:f>IF(R1321="No","",W1321*S1321)</x:f>
      </x:c>
      <x:c r="Y1321" s="58" t="str">
        <x:f>IF(R1321="No","",W1321*T1321*Assumptions!$B$9)</x:f>
      </x:c>
      <x:c r="Z1321" s="58" t="str">
        <x:f>IF(R1321="No","",X1321-Y1321)</x:f>
      </x:c>
      <x:c r="AA1321" s="58" t="str">
        <x:f>IF(R1321="No","",MAX(0,-Z1321))</x:f>
      </x:c>
      <x:c r="AB1321" s="52" t="str">
        <x:f>IF(OR(R1321="No",U1321*S1321=0),"",AA1321/(U1321*S1321))</x:f>
      </x:c>
      <x:c r="AC1321" s="54" t="str">
        <x:f>IF(OR(R1321="No",S1321-T1321*Assumptions!$B$9&lt;=0),"",AA1321/(Assumptions!$B$8*(S1321-T1321*Assumptions!$B$9)))</x:f>
      </x:c>
      <x:c r="AD1321" s="52" t="str">
        <x:f>IF(OR(R1321="No",U1321*S1321=0),"",AA1321/(U1321*S1321))</x:f>
      </x:c>
      <x:c r="AE1321" s="50" t="str">
        <x:f>IF(R1321="No","No finance data",IF(AB1321&gt;=10%,"Severe",IF(AB1321&gt;=5%,"High",IF(AB1321&gt;=2%,"Moderate","Low"))))</x:f>
        <x:v>No finance data</x:v>
      </x:c>
      <x:c r="AF1321" s="60"/>
      <x:c r="AG1321" s="60"/>
      <x:c r="AH1321" s="44" t="str">
        <x:v>Undergraduate tuition-contribution proxy only; not an audited total institutional budget.</x:v>
      </x:c>
    </x:row>
    <x:row r="1322">
      <x:c r="A1322" s="16" t="n">
        <x:v>206941</x:v>
      </x:c>
      <x:c r="B1322" s="16" t="str">
        <x:v>University of Central Oklahoma</x:v>
      </x:c>
      <x:c r="C1322" s="16" t="str">
        <x:v>OK</x:v>
      </x:c>
      <x:c r="D1322" s="16" t="str">
        <x:v>Public</x:v>
      </x:c>
      <x:c r="E1322" s="34" t="n">
        <x:v>14270</x:v>
      </x:c>
      <x:c r="F1322" s="21" t="n">
        <x:v>0.813</x:v>
      </x:c>
      <x:c r="G1322" s="16" t="str">
        <x:v>Statewide</x:v>
      </x:c>
      <x:c r="H1322" s="36" t="n">
        <x:f>IF(G1322="National",Assumptions!$B$11,IF(G1322="Statewide",Assumptions!$B$12,Assumptions!$B$13))</x:f>
        <x:v>0.6</x:v>
      </x:c>
      <x:c r="I1322" s="21" t="n">
        <x:v>-0.023124347534912992</x:v>
      </x:c>
      <x:c r="J1322" s="21" t="n">
        <x:v>-0.04553960093758003</x:v>
      </x:c>
      <x:c r="K1322" s="21" t="n">
        <x:v>-0.08901101065610906</x:v>
      </x:c>
      <x:c r="L1322" s="36" t="n">
        <x:f>IF(Assumptions!$B$4=2030,I1322,IF(Assumptions!$B$4=2035,J1322,K1322))</x:f>
        <x:v>-0.04553960093758003</x:v>
      </x:c>
      <x:c r="M1322" s="36" t="n">
        <x:f>Assumptions!$B$19</x:f>
        <x:v>-0.04739891965741583</x:v>
      </x:c>
      <x:c r="N1322" s="52" t="n">
        <x:f>H1322*L1322+(1-H1322)*M1322+O1322</x:f>
        <x:v>-0.046283328425514345</x:v>
      </x:c>
      <x:c r="O1322" s="36" t="n">
        <x:f>Assumptions!$B$10</x:f>
        <x:v>0</x:v>
      </x:c>
      <x:c r="P1322" s="54" t="n">
        <x:f>E1322*(1+N1322)</x:f>
        <x:v>13609.53690336791</x:v>
      </x:c>
      <x:c r="Q1322" s="54" t="n">
        <x:f>P1322-E1322</x:f>
        <x:v>-660.4630966320892</x:v>
      </x:c>
      <x:c r="R1322" s="16" t="str">
        <x:v>Yes</x:v>
      </x:c>
      <x:c r="S1322" s="56" t="n">
        <x:v>7910</x:v>
      </x:c>
      <x:c r="T1322" s="56" t="n">
        <x:v>9395</x:v>
      </x:c>
      <x:c r="U1322" s="40" t="n">
        <x:f>E1322*Assumptions!$B$8</x:f>
        <x:v>12129.5</x:v>
      </x:c>
      <x:c r="V1322" s="40" t="n">
        <x:f>P1322*Assumptions!$B$8</x:f>
        <x:v>11568.106367862723</x:v>
      </x:c>
      <x:c r="W1322" s="54" t="n">
        <x:f>V1322-U1322</x:f>
        <x:v>-561.3936321372767</x:v>
      </x:c>
      <x:c r="X1322" s="58" t="n">
        <x:f>IF(R1322="No","",W1322*S1322)</x:f>
        <x:v>-4440623.6302058585</x:v>
      </x:c>
      <x:c r="Y1322" s="58" t="n">
        <x:f>IF(R1322="No","",W1322*T1322*Assumptions!$B$9)</x:f>
        <x:v>-1582287.9521789143</x:v>
      </x:c>
      <x:c r="Z1322" s="58" t="n">
        <x:f>IF(R1322="No","",X1322-Y1322)</x:f>
        <x:v>-2858335.6780269444</x:v>
      </x:c>
      <x:c r="AA1322" s="58" t="n">
        <x:f>IF(R1322="No","",MAX(0,-Z1322))</x:f>
        <x:v>2858335.6780269444</x:v>
      </x:c>
      <x:c r="AB1322" s="52" t="n">
        <x:f>IF(OR(R1322="No",U1322*S1322=0),"",AA1322/(U1322*S1322))</x:f>
        <x:v>0.02979160135000082</x:v>
      </x:c>
      <x:c r="AC1322" s="54" t="n">
        <x:f>IF(OR(R1322="No",S1322-T1322*Assumptions!$B$9&lt;=0),"",AA1322/(Assumptions!$B$8*(S1322-T1322*Assumptions!$B$9)))</x:f>
        <x:v>660.4630966320904</x:v>
      </x:c>
      <x:c r="AD1322" s="52" t="n">
        <x:f>IF(OR(R1322="No",U1322*S1322=0),"",AA1322/(U1322*S1322))</x:f>
        <x:v>0.02979160135000082</x:v>
      </x:c>
      <x:c r="AE1322" s="50" t="str">
        <x:f>IF(R1322="No","No finance data",IF(AB1322&gt;=10%,"Severe",IF(AB1322&gt;=5%,"High",IF(AB1322&gt;=2%,"Moderate","Low"))))</x:f>
        <x:v>Moderate</x:v>
      </x:c>
      <x:c r="AF1322" s="60" t="n">
        <x:v>35.6552</x:v>
      </x:c>
      <x:c r="AG1322" s="60" t="n">
        <x:v>-97.471508</x:v>
      </x:c>
      <x:c r="AH1322" s="44" t="str">
        <x:v>Undergraduate tuition-contribution proxy only; not an audited total institutional budget.</x:v>
      </x:c>
    </x:row>
    <x:row r="1323">
      <x:c r="A1323" s="16" t="n">
        <x:v>207342</x:v>
      </x:c>
      <x:c r="B1323" s="16" t="str">
        <x:v>University of Oklahoma-Health Sciences Center</x:v>
      </x:c>
      <x:c r="C1323" s="16" t="str">
        <x:v>OK</x:v>
      </x:c>
      <x:c r="D1323" s="16" t="str">
        <x:v>Public</x:v>
      </x:c>
      <x:c r="E1323" s="34" t="n">
        <x:v>835</x:v>
      </x:c>
      <x:c r="F1323" s="21"/>
      <x:c r="G1323" s="16" t="str">
        <x:v>Regional</x:v>
      </x:c>
      <x:c r="H1323" s="36" t="n">
        <x:f>IF(G1323="National",Assumptions!$B$11,IF(G1323="Statewide",Assumptions!$B$12,Assumptions!$B$13))</x:f>
        <x:v>0.85</x:v>
      </x:c>
      <x:c r="I1323" s="21" t="n">
        <x:v>-0.023124347534912992</x:v>
      </x:c>
      <x:c r="J1323" s="21" t="n">
        <x:v>-0.04553960093758003</x:v>
      </x:c>
      <x:c r="K1323" s="21" t="n">
        <x:v>-0.08901101065610906</x:v>
      </x:c>
      <x:c r="L1323" s="36" t="n">
        <x:f>IF(Assumptions!$B$4=2030,I1323,IF(Assumptions!$B$4=2035,J1323,K1323))</x:f>
        <x:v>-0.04553960093758003</x:v>
      </x:c>
      <x:c r="M1323" s="36" t="n">
        <x:f>Assumptions!$B$19</x:f>
        <x:v>-0.04739891965741583</x:v>
      </x:c>
      <x:c r="N1323" s="52" t="n">
        <x:f>H1323*L1323+(1-H1323)*M1323+O1323</x:f>
        <x:v>-0.0458184987455554</x:v>
      </x:c>
      <x:c r="O1323" s="36" t="n">
        <x:f>Assumptions!$B$10</x:f>
        <x:v>0</x:v>
      </x:c>
      <x:c r="P1323" s="54" t="n">
        <x:f>E1323*(1+N1323)</x:f>
        <x:v>796.7415535474612</x:v>
      </x:c>
      <x:c r="Q1323" s="54" t="n">
        <x:f>P1323-E1323</x:f>
        <x:v>-38.258446452538806</x:v>
      </x:c>
      <x:c r="R1323" s="16" t="str">
        <x:v>Yes</x:v>
      </x:c>
      <x:c r="S1323" s="56" t="n">
        <x:v>16877</x:v>
      </x:c>
      <x:c r="T1323" s="56" t="n">
        <x:v>54149</x:v>
      </x:c>
      <x:c r="U1323" s="40" t="n">
        <x:f>E1323*Assumptions!$B$8</x:f>
        <x:v>709.75</x:v>
      </x:c>
      <x:c r="V1323" s="40" t="n">
        <x:f>P1323*Assumptions!$B$8</x:f>
        <x:v>677.230320515342</x:v>
      </x:c>
      <x:c r="W1323" s="54" t="n">
        <x:f>V1323-U1323</x:f>
        <x:v>-32.51967948465801</x:v>
      </x:c>
      <x:c r="X1323" s="58" t="n">
        <x:f>IF(R1323="No","",W1323*S1323)</x:f>
        <x:v>-548834.6306625733</x:v>
      </x:c>
      <x:c r="Y1323" s="58" t="n">
        <x:f>IF(R1323="No","",W1323*T1323*Assumptions!$B$9)</x:f>
        <x:v>-528272.4373244239</x:v>
      </x:c>
      <x:c r="Z1323" s="58" t="n">
        <x:f>IF(R1323="No","",X1323-Y1323)</x:f>
        <x:v>-20562.193338149344</x:v>
      </x:c>
      <x:c r="AA1323" s="58" t="n">
        <x:f>IF(R1323="No","",MAX(0,-Z1323))</x:f>
        <x:v>20562.193338149344</x:v>
      </x:c>
      <x:c r="AB1323" s="52" t="n">
        <x:f>IF(OR(R1323="No",U1323*S1323=0),"",AA1323/(U1323*S1323))</x:f>
        <x:v>0.0017165987294433167</x:v>
      </x:c>
      <x:c r="AC1323" s="54" t="n">
        <x:f>IF(OR(R1323="No",S1323-T1323*Assumptions!$B$9&lt;=0),"",AA1323/(Assumptions!$B$8*(S1323-T1323*Assumptions!$B$9)))</x:f>
        <x:v>38.25844645253893</x:v>
      </x:c>
      <x:c r="AD1323" s="52" t="n">
        <x:f>IF(OR(R1323="No",U1323*S1323=0),"",AA1323/(U1323*S1323))</x:f>
        <x:v>0.0017165987294433167</x:v>
      </x:c>
      <x:c r="AE1323" s="50" t="str">
        <x:f>IF(R1323="No","No finance data",IF(AB1323&gt;=10%,"Severe",IF(AB1323&gt;=5%,"High",IF(AB1323&gt;=2%,"Moderate","Low"))))</x:f>
        <x:v>Low</x:v>
      </x:c>
      <x:c r="AF1323" s="60" t="n">
        <x:v>35.47928</x:v>
      </x:c>
      <x:c r="AG1323" s="60" t="n">
        <x:v>-97.496289</x:v>
      </x:c>
      <x:c r="AH1323" s="44" t="str">
        <x:v>Undergraduate tuition-contribution proxy only; not an audited total institutional budget.</x:v>
      </x:c>
    </x:row>
    <x:row r="1324">
      <x:c r="A1324" s="16" t="n">
        <x:v>207500</x:v>
      </x:c>
      <x:c r="B1324" s="16" t="str">
        <x:v>University of Oklahoma-Norman Campus</x:v>
      </x:c>
      <x:c r="C1324" s="16" t="str">
        <x:v>OK</x:v>
      </x:c>
      <x:c r="D1324" s="16" t="str">
        <x:v>Public</x:v>
      </x:c>
      <x:c r="E1324" s="34" t="n">
        <x:v>20689</x:v>
      </x:c>
      <x:c r="F1324" s="21" t="n">
        <x:v>0.8523</x:v>
      </x:c>
      <x:c r="G1324" s="16" t="str">
        <x:v>Statewide</x:v>
      </x:c>
      <x:c r="H1324" s="36" t="n">
        <x:f>IF(G1324="National",Assumptions!$B$11,IF(G1324="Statewide",Assumptions!$B$12,Assumptions!$B$13))</x:f>
        <x:v>0.6</x:v>
      </x:c>
      <x:c r="I1324" s="21" t="n">
        <x:v>-0.023124347534912992</x:v>
      </x:c>
      <x:c r="J1324" s="21" t="n">
        <x:v>-0.04553960093758003</x:v>
      </x:c>
      <x:c r="K1324" s="21" t="n">
        <x:v>-0.08901101065610906</x:v>
      </x:c>
      <x:c r="L1324" s="36" t="n">
        <x:f>IF(Assumptions!$B$4=2030,I1324,IF(Assumptions!$B$4=2035,J1324,K1324))</x:f>
        <x:v>-0.04553960093758003</x:v>
      </x:c>
      <x:c r="M1324" s="36" t="n">
        <x:f>Assumptions!$B$19</x:f>
        <x:v>-0.04739891965741583</x:v>
      </x:c>
      <x:c r="N1324" s="52" t="n">
        <x:f>H1324*L1324+(1-H1324)*M1324+O1324</x:f>
        <x:v>-0.046283328425514345</x:v>
      </x:c>
      <x:c r="O1324" s="36" t="n">
        <x:f>Assumptions!$B$10</x:f>
        <x:v>0</x:v>
      </x:c>
      <x:c r="P1324" s="54" t="n">
        <x:f>E1324*(1+N1324)</x:f>
        <x:v>19731.444218204535</x:v>
      </x:c>
      <x:c r="Q1324" s="54" t="n">
        <x:f>P1324-E1324</x:f>
        <x:v>-957.555781795465</x:v>
      </x:c>
      <x:c r="R1324" s="16" t="str">
        <x:v>Yes</x:v>
      </x:c>
      <x:c r="S1324" s="56" t="n">
        <x:v>14350</x:v>
      </x:c>
      <x:c r="T1324" s="56" t="n">
        <x:v>12340</x:v>
      </x:c>
      <x:c r="U1324" s="40" t="n">
        <x:f>E1324*Assumptions!$B$8</x:f>
        <x:v>17585.649999999998</x:v>
      </x:c>
      <x:c r="V1324" s="40" t="n">
        <x:f>P1324*Assumptions!$B$8</x:f>
        <x:v>16771.727585473855</x:v>
      </x:c>
      <x:c r="W1324" s="54" t="n">
        <x:f>V1324-U1324</x:f>
        <x:v>-813.9224145261433</x:v>
      </x:c>
      <x:c r="X1324" s="58" t="n">
        <x:f>IF(R1324="No","",W1324*S1324)</x:f>
        <x:v>-11679786.648450155</x:v>
      </x:c>
      <x:c r="Y1324" s="58" t="n">
        <x:f>IF(R1324="No","",W1324*T1324*Assumptions!$B$9)</x:f>
        <x:v>-3013140.778575782</x:v>
      </x:c>
      <x:c r="Z1324" s="58" t="n">
        <x:f>IF(R1324="No","",X1324-Y1324)</x:f>
        <x:v>-8666645.869874373</x:v>
      </x:c>
      <x:c r="AA1324" s="58" t="n">
        <x:f>IF(R1324="No","",MAX(0,-Z1324))</x:f>
        <x:v>8666645.869874373</x:v>
      </x:c>
      <x:c r="AB1324" s="52" t="n">
        <x:f>IF(OR(R1324="No",U1324*S1324=0),"",AA1324/(U1324*S1324))</x:f>
        <x:v>0.03434319728744773</x:v>
      </x:c>
      <x:c r="AC1324" s="54" t="n">
        <x:f>IF(OR(R1324="No",S1324-T1324*Assumptions!$B$9&lt;=0),"",AA1324/(Assumptions!$B$8*(S1324-T1324*Assumptions!$B$9)))</x:f>
        <x:v>957.5557817954627</x:v>
      </x:c>
      <x:c r="AD1324" s="52" t="n">
        <x:f>IF(OR(R1324="No",U1324*S1324=0),"",AA1324/(U1324*S1324))</x:f>
        <x:v>0.03434319728744773</x:v>
      </x:c>
      <x:c r="AE1324" s="50" t="str">
        <x:f>IF(R1324="No","No finance data",IF(AB1324&gt;=10%,"Severe",IF(AB1324&gt;=5%,"High",IF(AB1324&gt;=2%,"Moderate","Low"))))</x:f>
        <x:v>Moderate</x:v>
      </x:c>
      <x:c r="AF1324" s="60" t="n">
        <x:v>35.209407</x:v>
      </x:c>
      <x:c r="AG1324" s="60" t="n">
        <x:v>-97.444211</x:v>
      </x:c>
      <x:c r="AH1324" s="44" t="str">
        <x:v>Undergraduate tuition-contribution proxy only; not an audited total institutional budget.</x:v>
      </x:c>
    </x:row>
    <x:row r="1325">
      <x:c r="A1325" s="16" t="n">
        <x:v>207722</x:v>
      </x:c>
      <x:c r="B1325" s="16" t="str">
        <x:v>University of Science and Arts of Oklahoma</x:v>
      </x:c>
      <x:c r="C1325" s="16" t="str">
        <x:v>OK</x:v>
      </x:c>
      <x:c r="D1325" s="16" t="str">
        <x:v>Public</x:v>
      </x:c>
      <x:c r="E1325" s="34" t="n">
        <x:v>850</x:v>
      </x:c>
      <x:c r="F1325" s="21" t="n">
        <x:v>0.6345</x:v>
      </x:c>
      <x:c r="G1325" s="16" t="str">
        <x:v>Regional</x:v>
      </x:c>
      <x:c r="H1325" s="36" t="n">
        <x:f>IF(G1325="National",Assumptions!$B$11,IF(G1325="Statewide",Assumptions!$B$12,Assumptions!$B$13))</x:f>
        <x:v>0.85</x:v>
      </x:c>
      <x:c r="I1325" s="21" t="n">
        <x:v>-0.023124347534912992</x:v>
      </x:c>
      <x:c r="J1325" s="21" t="n">
        <x:v>-0.04553960093758003</x:v>
      </x:c>
      <x:c r="K1325" s="21" t="n">
        <x:v>-0.08901101065610906</x:v>
      </x:c>
      <x:c r="L1325" s="36" t="n">
        <x:f>IF(Assumptions!$B$4=2030,I1325,IF(Assumptions!$B$4=2035,J1325,K1325))</x:f>
        <x:v>-0.04553960093758003</x:v>
      </x:c>
      <x:c r="M1325" s="36" t="n">
        <x:f>Assumptions!$B$19</x:f>
        <x:v>-0.04739891965741583</x:v>
      </x:c>
      <x:c r="N1325" s="52" t="n">
        <x:f>H1325*L1325+(1-H1325)*M1325+O1325</x:f>
        <x:v>-0.0458184987455554</x:v>
      </x:c>
      <x:c r="O1325" s="36" t="n">
        <x:f>Assumptions!$B$10</x:f>
        <x:v>0</x:v>
      </x:c>
      <x:c r="P1325" s="54" t="n">
        <x:f>E1325*(1+N1325)</x:f>
        <x:v>811.0542760662779</x:v>
      </x:c>
      <x:c r="Q1325" s="54" t="n">
        <x:f>P1325-E1325</x:f>
        <x:v>-38.94572393372209</x:v>
      </x:c>
      <x:c r="R1325" s="16" t="str">
        <x:v>Yes</x:v>
      </x:c>
      <x:c r="S1325" s="56" t="n">
        <x:v>6493</x:v>
      </x:c>
      <x:c r="T1325" s="56" t="n">
        <x:v>9884</x:v>
      </x:c>
      <x:c r="U1325" s="40" t="n">
        <x:f>E1325*Assumptions!$B$8</x:f>
        <x:v>722.5</x:v>
      </x:c>
      <x:c r="V1325" s="40" t="n">
        <x:f>P1325*Assumptions!$B$8</x:f>
        <x:v>689.3961346563362</x:v>
      </x:c>
      <x:c r="W1325" s="54" t="n">
        <x:f>V1325-U1325</x:f>
        <x:v>-33.103865343663756</x:v>
      </x:c>
      <x:c r="X1325" s="58" t="n">
        <x:f>IF(R1325="No","",W1325*S1325)</x:f>
        <x:v>-214943.39767640876</x:v>
      </x:c>
      <x:c r="Y1325" s="58" t="n">
        <x:f>IF(R1325="No","",W1325*T1325*Assumptions!$B$9)</x:f>
        <x:v>-98159.58151703178</x:v>
      </x:c>
      <x:c r="Z1325" s="58" t="n">
        <x:f>IF(R1325="No","",X1325-Y1325)</x:f>
        <x:v>-116783.81615937698</x:v>
      </x:c>
      <x:c r="AA1325" s="58" t="n">
        <x:f>IF(R1325="No","",MAX(0,-Z1325))</x:f>
        <x:v>116783.81615937698</x:v>
      </x:c>
      <x:c r="AB1325" s="52" t="n">
        <x:f>IF(OR(R1325="No",U1325*S1325=0),"",AA1325/(U1325*S1325))</x:f>
        <x:v>0.024894270733801047</x:v>
      </x:c>
      <x:c r="AC1325" s="54" t="n">
        <x:f>IF(OR(R1325="No",S1325-T1325*Assumptions!$B$9&lt;=0),"",AA1325/(Assumptions!$B$8*(S1325-T1325*Assumptions!$B$9)))</x:f>
        <x:v>38.94572393372206</x:v>
      </x:c>
      <x:c r="AD1325" s="52" t="n">
        <x:f>IF(OR(R1325="No",U1325*S1325=0),"",AA1325/(U1325*S1325))</x:f>
        <x:v>0.024894270733801047</x:v>
      </x:c>
      <x:c r="AE1325" s="50" t="str">
        <x:f>IF(R1325="No","No finance data",IF(AB1325&gt;=10%,"Severe",IF(AB1325&gt;=5%,"High",IF(AB1325&gt;=2%,"Moderate","Low"))))</x:f>
        <x:v>Moderate</x:v>
      </x:c>
      <x:c r="AF1325" s="60" t="n">
        <x:v>35.031392</x:v>
      </x:c>
      <x:c r="AG1325" s="60" t="n">
        <x:v>-97.95641</x:v>
      </x:c>
      <x:c r="AH1325" s="44" t="str">
        <x:v>Undergraduate tuition-contribution proxy only; not an audited total institutional budget.</x:v>
      </x:c>
    </x:row>
    <x:row r="1326">
      <x:c r="A1326" s="16" t="n">
        <x:v>207971</x:v>
      </x:c>
      <x:c r="B1326" s="16" t="str">
        <x:v>University of Tulsa</x:v>
      </x:c>
      <x:c r="C1326" s="16" t="str">
        <x:v>OK</x:v>
      </x:c>
      <x:c r="D1326" s="16" t="str">
        <x:v>Private nonprofit</x:v>
      </x:c>
      <x:c r="E1326" s="34" t="n">
        <x:v>3450</x:v>
      </x:c>
      <x:c r="F1326" s="21" t="n">
        <x:v>0.7524</x:v>
      </x:c>
      <x:c r="G1326" s="16" t="str">
        <x:v>Regional</x:v>
      </x:c>
      <x:c r="H1326" s="36" t="n">
        <x:f>IF(G1326="National",Assumptions!$B$11,IF(G1326="Statewide",Assumptions!$B$12,Assumptions!$B$13))</x:f>
        <x:v>0.85</x:v>
      </x:c>
      <x:c r="I1326" s="21" t="n">
        <x:v>-0.023124347534912992</x:v>
      </x:c>
      <x:c r="J1326" s="21" t="n">
        <x:v>-0.04553960093758003</x:v>
      </x:c>
      <x:c r="K1326" s="21" t="n">
        <x:v>-0.08901101065610906</x:v>
      </x:c>
      <x:c r="L1326" s="36" t="n">
        <x:f>IF(Assumptions!$B$4=2030,I1326,IF(Assumptions!$B$4=2035,J1326,K1326))</x:f>
        <x:v>-0.04553960093758003</x:v>
      </x:c>
      <x:c r="M1326" s="36" t="n">
        <x:f>Assumptions!$B$19</x:f>
        <x:v>-0.04739891965741583</x:v>
      </x:c>
      <x:c r="N1326" s="52" t="n">
        <x:f>H1326*L1326+(1-H1326)*M1326+O1326</x:f>
        <x:v>-0.0458184987455554</x:v>
      </x:c>
      <x:c r="O1326" s="36" t="n">
        <x:f>Assumptions!$B$10</x:f>
        <x:v>0</x:v>
      </x:c>
      <x:c r="P1326" s="54" t="n">
        <x:f>E1326*(1+N1326)</x:f>
        <x:v>3291.926179327834</x:v>
      </x:c>
      <x:c r="Q1326" s="54" t="n">
        <x:f>P1326-E1326</x:f>
        <x:v>-158.07382067216622</x:v>
      </x:c>
      <x:c r="R1326" s="16" t="str">
        <x:v>Yes</x:v>
      </x:c>
      <x:c r="S1326" s="56" t="n">
        <x:v>18001</x:v>
      </x:c>
      <x:c r="T1326" s="56" t="n">
        <x:v>15297</x:v>
      </x:c>
      <x:c r="U1326" s="40" t="n">
        <x:f>E1326*Assumptions!$B$8</x:f>
        <x:v>2932.5</x:v>
      </x:c>
      <x:c r="V1326" s="40" t="n">
        <x:f>P1326*Assumptions!$B$8</x:f>
        <x:v>2798.1372524286585</x:v>
      </x:c>
      <x:c r="W1326" s="54" t="n">
        <x:f>V1326-U1326</x:f>
        <x:v>-134.36274757134152</x:v>
      </x:c>
      <x:c r="X1326" s="58" t="n">
        <x:f>IF(R1326="No","",W1326*S1326)</x:f>
        <x:v>-2418663.8190317187</x:v>
      </x:c>
      <x:c r="Y1326" s="58" t="n">
        <x:f>IF(R1326="No","",W1326*T1326*Assumptions!$B$9)</x:f>
        <x:v>-616604.0848796433</x:v>
      </x:c>
      <x:c r="Z1326" s="58" t="n">
        <x:f>IF(R1326="No","",X1326-Y1326)</x:f>
        <x:v>-1802059.7341520754</x:v>
      </x:c>
      <x:c r="AA1326" s="58" t="n">
        <x:f>IF(R1326="No","",MAX(0,-Z1326))</x:f>
        <x:v>1802059.7341520754</x:v>
      </x:c>
      <x:c r="AB1326" s="52" t="n">
        <x:f>IF(OR(R1326="No",U1326*S1326=0),"",AA1326/(U1326*S1326))</x:f>
        <x:v>0.034137721422449634</x:v>
      </x:c>
      <x:c r="AC1326" s="54" t="n">
        <x:f>IF(OR(R1326="No",S1326-T1326*Assumptions!$B$9&lt;=0),"",AA1326/(Assumptions!$B$8*(S1326-T1326*Assumptions!$B$9)))</x:f>
        <x:v>158.07382067216648</x:v>
      </x:c>
      <x:c r="AD1326" s="52" t="n">
        <x:f>IF(OR(R1326="No",U1326*S1326=0),"",AA1326/(U1326*S1326))</x:f>
        <x:v>0.034137721422449634</x:v>
      </x:c>
      <x:c r="AE1326" s="50" t="str">
        <x:f>IF(R1326="No","No finance data",IF(AB1326&gt;=10%,"Severe",IF(AB1326&gt;=5%,"High",IF(AB1326&gt;=2%,"Moderate","Low"))))</x:f>
        <x:v>Moderate</x:v>
      </x:c>
      <x:c r="AF1326" s="60" t="n">
        <x:v>36.152324</x:v>
      </x:c>
      <x:c r="AG1326" s="60" t="n">
        <x:v>-95.945941</x:v>
      </x:c>
      <x:c r="AH1326" s="44" t="str">
        <x:v>Undergraduate tuition-contribution proxy only; not an audited total institutional budget.</x:v>
      </x:c>
    </x:row>
    <x:row r="1327">
      <x:c r="A1327" s="16" t="n">
        <x:v>442949</x:v>
      </x:c>
      <x:c r="B1327" s="16" t="str">
        <x:v>Birthingway College of Midwifery</x:v>
      </x:c>
      <x:c r="C1327" s="16" t="str">
        <x:v>OR</x:v>
      </x:c>
      <x:c r="D1327" s="16" t="str">
        <x:v>Private nonprofit</x:v>
      </x:c>
      <x:c r="E1327" s="34" t="n">
        <x:v>74</x:v>
      </x:c>
      <x:c r="F1327" s="21"/>
      <x:c r="G1327" s="16" t="str">
        <x:v>Regional</x:v>
      </x:c>
      <x:c r="H1327" s="36" t="n">
        <x:f>IF(G1327="National",Assumptions!$B$11,IF(G1327="Statewide",Assumptions!$B$12,Assumptions!$B$13))</x:f>
        <x:v>0.85</x:v>
      </x:c>
      <x:c r="I1327" s="21" t="n">
        <x:v>-0.08536613833189388</x:v>
      </x:c>
      <x:c r="J1327" s="21" t="n">
        <x:v>-0.10481103667219127</x:v>
      </x:c>
      <x:c r="K1327" s="21" t="n">
        <x:v>-0.22332454072223906</x:v>
      </x:c>
      <x:c r="L1327" s="36" t="n">
        <x:f>IF(Assumptions!$B$4=2030,I1327,IF(Assumptions!$B$4=2035,J1327,K1327))</x:f>
        <x:v>-0.10481103667219127</x:v>
      </x:c>
      <x:c r="M1327" s="36" t="n">
        <x:f>Assumptions!$B$19</x:f>
        <x:v>-0.04739891965741583</x:v>
      </x:c>
      <x:c r="N1327" s="52" t="n">
        <x:f>H1327*L1327+(1-H1327)*M1327+O1327</x:f>
        <x:v>-0.09619921911997495</x:v>
      </x:c>
      <x:c r="O1327" s="36" t="n">
        <x:f>Assumptions!$B$10</x:f>
        <x:v>0</x:v>
      </x:c>
      <x:c r="P1327" s="54" t="n">
        <x:f>E1327*(1+N1327)</x:f>
        <x:v>66.88125778512185</x:v>
      </x:c>
      <x:c r="Q1327" s="54" t="n">
        <x:f>P1327-E1327</x:f>
        <x:v>-7.118742214878154</x:v>
      </x:c>
      <x:c r="R1327" s="16" t="str">
        <x:v>No</x:v>
      </x:c>
      <x:c r="S1327" s="56"/>
      <x:c r="T1327" s="56"/>
      <x:c r="U1327" s="40" t="n">
        <x:f>E1327*Assumptions!$B$8</x:f>
        <x:v>62.9</x:v>
      </x:c>
      <x:c r="V1327" s="40" t="n">
        <x:f>P1327*Assumptions!$B$8</x:f>
        <x:v>56.849069117353565</x:v>
      </x:c>
      <x:c r="W1327" s="54" t="n">
        <x:f>V1327-U1327</x:f>
        <x:v>-6.050930882646433</x:v>
      </x:c>
      <x:c r="X1327" s="58" t="str">
        <x:f>IF(R1327="No","",W1327*S1327)</x:f>
      </x:c>
      <x:c r="Y1327" s="58" t="str">
        <x:f>IF(R1327="No","",W1327*T1327*Assumptions!$B$9)</x:f>
      </x:c>
      <x:c r="Z1327" s="58" t="str">
        <x:f>IF(R1327="No","",X1327-Y1327)</x:f>
      </x:c>
      <x:c r="AA1327" s="58" t="str">
        <x:f>IF(R1327="No","",MAX(0,-Z1327))</x:f>
      </x:c>
      <x:c r="AB1327" s="52" t="str">
        <x:f>IF(OR(R1327="No",U1327*S1327=0),"",AA1327/(U1327*S1327))</x:f>
      </x:c>
      <x:c r="AC1327" s="54" t="str">
        <x:f>IF(OR(R1327="No",S1327-T1327*Assumptions!$B$9&lt;=0),"",AA1327/(Assumptions!$B$8*(S1327-T1327*Assumptions!$B$9)))</x:f>
      </x:c>
      <x:c r="AD1327" s="52" t="str">
        <x:f>IF(OR(R1327="No",U1327*S1327=0),"",AA1327/(U1327*S1327))</x:f>
      </x:c>
      <x:c r="AE1327" s="50" t="str">
        <x:f>IF(R1327="No","No finance data",IF(AB1327&gt;=10%,"Severe",IF(AB1327&gt;=5%,"High",IF(AB1327&gt;=2%,"Moderate","Low"))))</x:f>
        <x:v>No finance data</x:v>
      </x:c>
      <x:c r="AF1327" s="60"/>
      <x:c r="AG1327" s="60"/>
      <x:c r="AH1327" s="44" t="str">
        <x:v>Undergraduate tuition-contribution proxy only; not an audited total institutional budget.</x:v>
      </x:c>
    </x:row>
    <x:row r="1328">
      <x:c r="A1328" s="16" t="n">
        <x:v>208488</x:v>
      </x:c>
      <x:c r="B1328" s="16" t="str">
        <x:v>Concordia University-Portland</x:v>
      </x:c>
      <x:c r="C1328" s="16" t="str">
        <x:v>OR</x:v>
      </x:c>
      <x:c r="D1328" s="16" t="str">
        <x:v>Private nonprofit</x:v>
      </x:c>
      <x:c r="E1328" s="34" t="n">
        <x:v>1168</x:v>
      </x:c>
      <x:c r="F1328" s="21"/>
      <x:c r="G1328" s="16" t="str">
        <x:v>Regional</x:v>
      </x:c>
      <x:c r="H1328" s="36" t="n">
        <x:f>IF(G1328="National",Assumptions!$B$11,IF(G1328="Statewide",Assumptions!$B$12,Assumptions!$B$13))</x:f>
        <x:v>0.85</x:v>
      </x:c>
      <x:c r="I1328" s="21" t="n">
        <x:v>-0.08536613833189388</x:v>
      </x:c>
      <x:c r="J1328" s="21" t="n">
        <x:v>-0.10481103667219127</x:v>
      </x:c>
      <x:c r="K1328" s="21" t="n">
        <x:v>-0.22332454072223906</x:v>
      </x:c>
      <x:c r="L1328" s="36" t="n">
        <x:f>IF(Assumptions!$B$4=2030,I1328,IF(Assumptions!$B$4=2035,J1328,K1328))</x:f>
        <x:v>-0.10481103667219127</x:v>
      </x:c>
      <x:c r="M1328" s="36" t="n">
        <x:f>Assumptions!$B$19</x:f>
        <x:v>-0.04739891965741583</x:v>
      </x:c>
      <x:c r="N1328" s="52" t="n">
        <x:f>H1328*L1328+(1-H1328)*M1328+O1328</x:f>
        <x:v>-0.09619921911997495</x:v>
      </x:c>
      <x:c r="O1328" s="36" t="n">
        <x:f>Assumptions!$B$10</x:f>
        <x:v>0</x:v>
      </x:c>
      <x:c r="P1328" s="54" t="n">
        <x:f>E1328*(1+N1328)</x:f>
        <x:v>1055.6393120678692</x:v>
      </x:c>
      <x:c r="Q1328" s="54" t="n">
        <x:f>P1328-E1328</x:f>
        <x:v>-112.36068793213076</x:v>
      </x:c>
      <x:c r="R1328" s="16" t="str">
        <x:v>No</x:v>
      </x:c>
      <x:c r="S1328" s="56"/>
      <x:c r="T1328" s="56"/>
      <x:c r="U1328" s="40" t="n">
        <x:f>E1328*Assumptions!$B$8</x:f>
        <x:v>992.8</x:v>
      </x:c>
      <x:c r="V1328" s="40" t="n">
        <x:f>P1328*Assumptions!$B$8</x:f>
        <x:v>897.2934152576888</x:v>
      </x:c>
      <x:c r="W1328" s="54" t="n">
        <x:f>V1328-U1328</x:f>
        <x:v>-95.50658474231113</x:v>
      </x:c>
      <x:c r="X1328" s="58" t="str">
        <x:f>IF(R1328="No","",W1328*S1328)</x:f>
      </x:c>
      <x:c r="Y1328" s="58" t="str">
        <x:f>IF(R1328="No","",W1328*T1328*Assumptions!$B$9)</x:f>
      </x:c>
      <x:c r="Z1328" s="58" t="str">
        <x:f>IF(R1328="No","",X1328-Y1328)</x:f>
      </x:c>
      <x:c r="AA1328" s="58" t="str">
        <x:f>IF(R1328="No","",MAX(0,-Z1328))</x:f>
      </x:c>
      <x:c r="AB1328" s="52" t="str">
        <x:f>IF(OR(R1328="No",U1328*S1328=0),"",AA1328/(U1328*S1328))</x:f>
      </x:c>
      <x:c r="AC1328" s="54" t="str">
        <x:f>IF(OR(R1328="No",S1328-T1328*Assumptions!$B$9&lt;=0),"",AA1328/(Assumptions!$B$8*(S1328-T1328*Assumptions!$B$9)))</x:f>
      </x:c>
      <x:c r="AD1328" s="52" t="str">
        <x:f>IF(OR(R1328="No",U1328*S1328=0),"",AA1328/(U1328*S1328))</x:f>
      </x:c>
      <x:c r="AE1328" s="50" t="str">
        <x:f>IF(R1328="No","No finance data",IF(AB1328&gt;=10%,"Severe",IF(AB1328&gt;=5%,"High",IF(AB1328&gt;=2%,"Moderate","Low"))))</x:f>
        <x:v>No finance data</x:v>
      </x:c>
      <x:c r="AF1328" s="60"/>
      <x:c r="AG1328" s="60"/>
      <x:c r="AH1328" s="44" t="str">
        <x:v>Undergraduate tuition-contribution proxy only; not an audited total institutional budget.</x:v>
      </x:c>
    </x:row>
    <x:row r="1329">
      <x:c r="A1329" s="16" t="n">
        <x:v>210331</x:v>
      </x:c>
      <x:c r="B1329" s="16" t="str">
        <x:v>Corban University</x:v>
      </x:c>
      <x:c r="C1329" s="16" t="str">
        <x:v>OR</x:v>
      </x:c>
      <x:c r="D1329" s="16" t="str">
        <x:v>Private nonprofit</x:v>
      </x:c>
      <x:c r="E1329" s="34" t="n">
        <x:v>983</x:v>
      </x:c>
      <x:c r="F1329" s="21" t="n">
        <x:v>0.375</x:v>
      </x:c>
      <x:c r="G1329" s="16" t="str">
        <x:v>Regional</x:v>
      </x:c>
      <x:c r="H1329" s="36" t="n">
        <x:f>IF(G1329="National",Assumptions!$B$11,IF(G1329="Statewide",Assumptions!$B$12,Assumptions!$B$13))</x:f>
        <x:v>0.85</x:v>
      </x:c>
      <x:c r="I1329" s="21" t="n">
        <x:v>-0.08536613833189388</x:v>
      </x:c>
      <x:c r="J1329" s="21" t="n">
        <x:v>-0.10481103667219127</x:v>
      </x:c>
      <x:c r="K1329" s="21" t="n">
        <x:v>-0.22332454072223906</x:v>
      </x:c>
      <x:c r="L1329" s="36" t="n">
        <x:f>IF(Assumptions!$B$4=2030,I1329,IF(Assumptions!$B$4=2035,J1329,K1329))</x:f>
        <x:v>-0.10481103667219127</x:v>
      </x:c>
      <x:c r="M1329" s="36" t="n">
        <x:f>Assumptions!$B$19</x:f>
        <x:v>-0.04739891965741583</x:v>
      </x:c>
      <x:c r="N1329" s="52" t="n">
        <x:f>H1329*L1329+(1-H1329)*M1329+O1329</x:f>
        <x:v>-0.09619921911997495</x:v>
      </x:c>
      <x:c r="O1329" s="36" t="n">
        <x:f>Assumptions!$B$10</x:f>
        <x:v>0</x:v>
      </x:c>
      <x:c r="P1329" s="54" t="n">
        <x:f>E1329*(1+N1329)</x:f>
        <x:v>888.4361676050646</x:v>
      </x:c>
      <x:c r="Q1329" s="54" t="n">
        <x:f>P1329-E1329</x:f>
        <x:v>-94.56383239493539</x:v>
      </x:c>
      <x:c r="R1329" s="16" t="str">
        <x:v>Yes</x:v>
      </x:c>
      <x:c r="S1329" s="56" t="n">
        <x:v>9967</x:v>
      </x:c>
      <x:c r="T1329" s="56" t="n">
        <x:v>3900</x:v>
      </x:c>
      <x:c r="U1329" s="40" t="n">
        <x:f>E1329*Assumptions!$B$8</x:f>
        <x:v>835.55</x:v>
      </x:c>
      <x:c r="V1329" s="40" t="n">
        <x:f>P1329*Assumptions!$B$8</x:f>
        <x:v>755.1707424643049</x:v>
      </x:c>
      <x:c r="W1329" s="54" t="n">
        <x:f>V1329-U1329</x:f>
        <x:v>-80.37925753569505</x:v>
      </x:c>
      <x:c r="X1329" s="58" t="n">
        <x:f>IF(R1329="No","",W1329*S1329)</x:f>
        <x:v>-801140.0598582726</x:v>
      </x:c>
      <x:c r="Y1329" s="58" t="n">
        <x:f>IF(R1329="No","",W1329*T1329*Assumptions!$B$9)</x:f>
        <x:v>-94043.73131676321</x:v>
      </x:c>
      <x:c r="Z1329" s="58" t="n">
        <x:f>IF(R1329="No","",X1329-Y1329)</x:f>
        <x:v>-707096.3285415093</x:v>
      </x:c>
      <x:c r="AA1329" s="58" t="n">
        <x:f>IF(R1329="No","",MAX(0,-Z1329))</x:f>
        <x:v>707096.3285415093</x:v>
      </x:c>
      <x:c r="AB1329" s="52" t="n">
        <x:f>IF(OR(R1329="No",U1329*S1329=0),"",AA1329/(U1329*S1329))</x:f>
        <x:v>0.08490664498830335</x:v>
      </x:c>
      <x:c r="AC1329" s="54" t="n">
        <x:f>IF(OR(R1329="No",S1329-T1329*Assumptions!$B$9&lt;=0),"",AA1329/(Assumptions!$B$8*(S1329-T1329*Assumptions!$B$9)))</x:f>
        <x:v>94.56383239493536</x:v>
      </x:c>
      <x:c r="AD1329" s="52" t="n">
        <x:f>IF(OR(R1329="No",U1329*S1329=0),"",AA1329/(U1329*S1329))</x:f>
        <x:v>0.08490664498830335</x:v>
      </x:c>
      <x:c r="AE1329" s="50" t="str">
        <x:f>IF(R1329="No","No finance data",IF(AB1329&gt;=10%,"Severe",IF(AB1329&gt;=5%,"High",IF(AB1329&gt;=2%,"Moderate","Low"))))</x:f>
        <x:v>High</x:v>
      </x:c>
      <x:c r="AF1329" s="60" t="n">
        <x:v>44.882399</x:v>
      </x:c>
      <x:c r="AG1329" s="60" t="n">
        <x:v>-122.961129</x:v>
      </x:c>
      <x:c r="AH1329" s="44" t="str">
        <x:v>Undergraduate tuition-contribution proxy only; not an audited total institutional budget.</x:v>
      </x:c>
    </x:row>
    <x:row r="1330">
      <x:c r="A1330" s="16" t="n">
        <x:v>208646</x:v>
      </x:c>
      <x:c r="B1330" s="16" t="str">
        <x:v>Eastern Oregon University</x:v>
      </x:c>
      <x:c r="C1330" s="16" t="str">
        <x:v>OR</x:v>
      </x:c>
      <x:c r="D1330" s="16" t="str">
        <x:v>Public</x:v>
      </x:c>
      <x:c r="E1330" s="34" t="n">
        <x:v>2765</x:v>
      </x:c>
      <x:c r="F1330" s="21" t="n">
        <x:v>0.9768</x:v>
      </x:c>
      <x:c r="G1330" s="16" t="str">
        <x:v>Regional</x:v>
      </x:c>
      <x:c r="H1330" s="36" t="n">
        <x:f>IF(G1330="National",Assumptions!$B$11,IF(G1330="Statewide",Assumptions!$B$12,Assumptions!$B$13))</x:f>
        <x:v>0.85</x:v>
      </x:c>
      <x:c r="I1330" s="21" t="n">
        <x:v>-0.08536613833189388</x:v>
      </x:c>
      <x:c r="J1330" s="21" t="n">
        <x:v>-0.10481103667219127</x:v>
      </x:c>
      <x:c r="K1330" s="21" t="n">
        <x:v>-0.22332454072223906</x:v>
      </x:c>
      <x:c r="L1330" s="36" t="n">
        <x:f>IF(Assumptions!$B$4=2030,I1330,IF(Assumptions!$B$4=2035,J1330,K1330))</x:f>
        <x:v>-0.10481103667219127</x:v>
      </x:c>
      <x:c r="M1330" s="36" t="n">
        <x:f>Assumptions!$B$19</x:f>
        <x:v>-0.04739891965741583</x:v>
      </x:c>
      <x:c r="N1330" s="52" t="n">
        <x:f>H1330*L1330+(1-H1330)*M1330+O1330</x:f>
        <x:v>-0.09619921911997495</x:v>
      </x:c>
      <x:c r="O1330" s="36" t="n">
        <x:f>Assumptions!$B$10</x:f>
        <x:v>0</x:v>
      </x:c>
      <x:c r="P1330" s="54" t="n">
        <x:f>E1330*(1+N1330)</x:f>
        <x:v>2499.0091591332693</x:v>
      </x:c>
      <x:c r="Q1330" s="54" t="n">
        <x:f>P1330-E1330</x:f>
        <x:v>-265.99084086673065</x:v>
      </x:c>
      <x:c r="R1330" s="16" t="str">
        <x:v>Yes</x:v>
      </x:c>
      <x:c r="S1330" s="56" t="n">
        <x:v>8637</x:v>
      </x:c>
      <x:c r="T1330" s="56" t="n">
        <x:v>7354</x:v>
      </x:c>
      <x:c r="U1330" s="40" t="n">
        <x:f>E1330*Assumptions!$B$8</x:f>
        <x:v>2350.25</x:v>
      </x:c>
      <x:c r="V1330" s="40" t="n">
        <x:f>P1330*Assumptions!$B$8</x:f>
        <x:v>2124.157785263279</x:v>
      </x:c>
      <x:c r="W1330" s="54" t="n">
        <x:f>V1330-U1330</x:f>
        <x:v>-226.09221473672096</x:v>
      </x:c>
      <x:c r="X1330" s="58" t="n">
        <x:f>IF(R1330="No","",W1330*S1330)</x:f>
        <x:v>-1952758.4586810588</x:v>
      </x:c>
      <x:c r="Y1330" s="58" t="n">
        <x:f>IF(R1330="No","",W1330*T1330*Assumptions!$B$9)</x:f>
        <x:v>-498804.64415215375</x:v>
      </x:c>
      <x:c r="Z1330" s="58" t="n">
        <x:f>IF(R1330="No","",X1330-Y1330)</x:f>
        <x:v>-1453953.814528905</x:v>
      </x:c>
      <x:c r="AA1330" s="58" t="n">
        <x:f>IF(R1330="No","",MAX(0,-Z1330))</x:f>
        <x:v>1453953.814528905</x:v>
      </x:c>
      <x:c r="AB1330" s="52" t="n">
        <x:f>IF(OR(R1330="No",U1330*S1330=0),"",AA1330/(U1330*S1330))</x:f>
        <x:v>0.07162648353788752</x:v>
      </x:c>
      <x:c r="AC1330" s="54" t="n">
        <x:f>IF(OR(R1330="No",S1330-T1330*Assumptions!$B$9&lt;=0),"",AA1330/(Assumptions!$B$8*(S1330-T1330*Assumptions!$B$9)))</x:f>
        <x:v>265.99084086673054</x:v>
      </x:c>
      <x:c r="AD1330" s="52" t="n">
        <x:f>IF(OR(R1330="No",U1330*S1330=0),"",AA1330/(U1330*S1330))</x:f>
        <x:v>0.07162648353788752</x:v>
      </x:c>
      <x:c r="AE1330" s="50" t="str">
        <x:f>IF(R1330="No","No finance data",IF(AB1330&gt;=10%,"Severe",IF(AB1330&gt;=5%,"High",IF(AB1330&gt;=2%,"Moderate","Low"))))</x:f>
        <x:v>High</x:v>
      </x:c>
      <x:c r="AF1330" s="60" t="n">
        <x:v>45.319795</x:v>
      </x:c>
      <x:c r="AG1330" s="60" t="n">
        <x:v>-118.092495</x:v>
      </x:c>
      <x:c r="AH1330" s="44" t="str">
        <x:v>Undergraduate tuition-contribution proxy only; not an audited total institutional budget.</x:v>
      </x:c>
    </x:row>
    <x:row r="1331">
      <x:c r="A1331" s="16" t="n">
        <x:v>208822</x:v>
      </x:c>
      <x:c r="B1331" s="16" t="str">
        <x:v>George Fox University</x:v>
      </x:c>
      <x:c r="C1331" s="16" t="str">
        <x:v>OR</x:v>
      </x:c>
      <x:c r="D1331" s="16" t="str">
        <x:v>Private nonprofit</x:v>
      </x:c>
      <x:c r="E1331" s="34" t="n">
        <x:v>2567</x:v>
      </x:c>
      <x:c r="F1331" s="21" t="n">
        <x:v>0.8254</x:v>
      </x:c>
      <x:c r="G1331" s="16" t="str">
        <x:v>Regional</x:v>
      </x:c>
      <x:c r="H1331" s="36" t="n">
        <x:f>IF(G1331="National",Assumptions!$B$11,IF(G1331="Statewide",Assumptions!$B$12,Assumptions!$B$13))</x:f>
        <x:v>0.85</x:v>
      </x:c>
      <x:c r="I1331" s="21" t="n">
        <x:v>-0.08536613833189388</x:v>
      </x:c>
      <x:c r="J1331" s="21" t="n">
        <x:v>-0.10481103667219127</x:v>
      </x:c>
      <x:c r="K1331" s="21" t="n">
        <x:v>-0.22332454072223906</x:v>
      </x:c>
      <x:c r="L1331" s="36" t="n">
        <x:f>IF(Assumptions!$B$4=2030,I1331,IF(Assumptions!$B$4=2035,J1331,K1331))</x:f>
        <x:v>-0.10481103667219127</x:v>
      </x:c>
      <x:c r="M1331" s="36" t="n">
        <x:f>Assumptions!$B$19</x:f>
        <x:v>-0.04739891965741583</x:v>
      </x:c>
      <x:c r="N1331" s="52" t="n">
        <x:f>H1331*L1331+(1-H1331)*M1331+O1331</x:f>
        <x:v>-0.09619921911997495</x:v>
      </x:c>
      <x:c r="O1331" s="36" t="n">
        <x:f>Assumptions!$B$10</x:f>
        <x:v>0</x:v>
      </x:c>
      <x:c r="P1331" s="54" t="n">
        <x:f>E1331*(1+N1331)</x:f>
        <x:v>2320.0566045190244</x:v>
      </x:c>
      <x:c r="Q1331" s="54" t="n">
        <x:f>P1331-E1331</x:f>
        <x:v>-246.9433954809756</x:v>
      </x:c>
      <x:c r="R1331" s="16" t="str">
        <x:v>Yes</x:v>
      </x:c>
      <x:c r="S1331" s="56" t="n">
        <x:v>19634</x:v>
      </x:c>
      <x:c r="T1331" s="56" t="n">
        <x:v>11140</x:v>
      </x:c>
      <x:c r="U1331" s="40" t="n">
        <x:f>E1331*Assumptions!$B$8</x:f>
        <x:v>2181.95</x:v>
      </x:c>
      <x:c r="V1331" s="40" t="n">
        <x:f>P1331*Assumptions!$B$8</x:f>
        <x:v>1972.0481138411708</x:v>
      </x:c>
      <x:c r="W1331" s="54" t="n">
        <x:f>V1331-U1331</x:f>
        <x:v>-209.90188615882903</x:v>
      </x:c>
      <x:c r="X1331" s="58" t="n">
        <x:f>IF(R1331="No","",W1331*S1331)</x:f>
        <x:v>-4121213.632842449</x:v>
      </x:c>
      <x:c r="Y1331" s="58" t="n">
        <x:f>IF(R1331="No","",W1331*T1331*Assumptions!$B$9)</x:f>
        <x:v>-701492.1035428067</x:v>
      </x:c>
      <x:c r="Z1331" s="58" t="n">
        <x:f>IF(R1331="No","",X1331-Y1331)</x:f>
        <x:v>-3419721.5292996424</x:v>
      </x:c>
      <x:c r="AA1331" s="58" t="n">
        <x:f>IF(R1331="No","",MAX(0,-Z1331))</x:f>
        <x:v>3419721.5292996424</x:v>
      </x:c>
      <x:c r="AB1331" s="52" t="n">
        <x:f>IF(OR(R1331="No",U1331*S1331=0),"",AA1331/(U1331*S1331))</x:f>
        <x:v>0.07982467545597584</x:v>
      </x:c>
      <x:c r="AC1331" s="54" t="n">
        <x:f>IF(OR(R1331="No",S1331-T1331*Assumptions!$B$9&lt;=0),"",AA1331/(Assumptions!$B$8*(S1331-T1331*Assumptions!$B$9)))</x:f>
        <x:v>246.94339548097534</x:v>
      </x:c>
      <x:c r="AD1331" s="52" t="n">
        <x:f>IF(OR(R1331="No",U1331*S1331=0),"",AA1331/(U1331*S1331))</x:f>
        <x:v>0.07982467545597584</x:v>
      </x:c>
      <x:c r="AE1331" s="50" t="str">
        <x:f>IF(R1331="No","No finance data",IF(AB1331&gt;=10%,"Severe",IF(AB1331&gt;=5%,"High",IF(AB1331&gt;=2%,"Moderate","Low"))))</x:f>
        <x:v>High</x:v>
      </x:c>
      <x:c r="AF1331" s="60" t="n">
        <x:v>45.303629</x:v>
      </x:c>
      <x:c r="AG1331" s="60" t="n">
        <x:v>-122.967494</x:v>
      </x:c>
      <x:c r="AH1331" s="44" t="str">
        <x:v>Undergraduate tuition-contribution proxy only; not an audited total institutional budget.</x:v>
      </x:c>
    </x:row>
    <x:row r="1332">
      <x:c r="A1332" s="16" t="n">
        <x:v>209056</x:v>
      </x:c>
      <x:c r="B1332" s="16" t="str">
        <x:v>Lewis &amp; Clark College</x:v>
      </x:c>
      <x:c r="C1332" s="16" t="str">
        <x:v>OR</x:v>
      </x:c>
      <x:c r="D1332" s="16" t="str">
        <x:v>Private nonprofit</x:v>
      </x:c>
      <x:c r="E1332" s="34" t="n">
        <x:v>2087</x:v>
      </x:c>
      <x:c r="F1332" s="21" t="n">
        <x:v>0.7945</x:v>
      </x:c>
      <x:c r="G1332" s="16" t="str">
        <x:v>Regional</x:v>
      </x:c>
      <x:c r="H1332" s="36" t="n">
        <x:f>IF(G1332="National",Assumptions!$B$11,IF(G1332="Statewide",Assumptions!$B$12,Assumptions!$B$13))</x:f>
        <x:v>0.85</x:v>
      </x:c>
      <x:c r="I1332" s="21" t="n">
        <x:v>-0.08536613833189388</x:v>
      </x:c>
      <x:c r="J1332" s="21" t="n">
        <x:v>-0.10481103667219127</x:v>
      </x:c>
      <x:c r="K1332" s="21" t="n">
        <x:v>-0.22332454072223906</x:v>
      </x:c>
      <x:c r="L1332" s="36" t="n">
        <x:f>IF(Assumptions!$B$4=2030,I1332,IF(Assumptions!$B$4=2035,J1332,K1332))</x:f>
        <x:v>-0.10481103667219127</x:v>
      </x:c>
      <x:c r="M1332" s="36" t="n">
        <x:f>Assumptions!$B$19</x:f>
        <x:v>-0.04739891965741583</x:v>
      </x:c>
      <x:c r="N1332" s="52" t="n">
        <x:f>H1332*L1332+(1-H1332)*M1332+O1332</x:f>
        <x:v>-0.09619921911997495</x:v>
      </x:c>
      <x:c r="O1332" s="36" t="n">
        <x:f>Assumptions!$B$10</x:f>
        <x:v>0</x:v>
      </x:c>
      <x:c r="P1332" s="54" t="n">
        <x:f>E1332*(1+N1332)</x:f>
        <x:v>1886.2322296966122</x:v>
      </x:c>
      <x:c r="Q1332" s="54" t="n">
        <x:f>P1332-E1332</x:f>
        <x:v>-200.7677703033878</x:v>
      </x:c>
      <x:c r="R1332" s="16" t="str">
        <x:v>Yes</x:v>
      </x:c>
      <x:c r="S1332" s="56" t="n">
        <x:v>24736</x:v>
      </x:c>
      <x:c r="T1332" s="56" t="n">
        <x:v>15529</x:v>
      </x:c>
      <x:c r="U1332" s="40" t="n">
        <x:f>E1332*Assumptions!$B$8</x:f>
        <x:v>1773.95</x:v>
      </x:c>
      <x:c r="V1332" s="40" t="n">
        <x:f>P1332*Assumptions!$B$8</x:f>
        <x:v>1603.2973952421203</x:v>
      </x:c>
      <x:c r="W1332" s="54" t="n">
        <x:f>V1332-U1332</x:f>
        <x:v>-170.65260475787977</x:v>
      </x:c>
      <x:c r="X1332" s="58" t="n">
        <x:f>IF(R1332="No","",W1332*S1332)</x:f>
        <x:v>-4221262.831290914</x:v>
      </x:c>
      <x:c r="Y1332" s="58" t="n">
        <x:f>IF(R1332="No","",W1332*T1332*Assumptions!$B$9)</x:f>
        <x:v>-795019.2897855344</x:v>
      </x:c>
      <x:c r="Z1332" s="58" t="n">
        <x:f>IF(R1332="No","",X1332-Y1332)</x:f>
        <x:v>-3426243.5415053796</x:v>
      </x:c>
      <x:c r="AA1332" s="58" t="n">
        <x:f>IF(R1332="No","",MAX(0,-Z1332))</x:f>
        <x:v>3426243.5415053796</x:v>
      </x:c>
      <x:c r="AB1332" s="52" t="n">
        <x:f>IF(OR(R1332="No",U1332*S1332=0),"",AA1332/(U1332*S1332))</x:f>
        <x:v>0.07808136246917348</x:v>
      </x:c>
      <x:c r="AC1332" s="54" t="n">
        <x:f>IF(OR(R1332="No",S1332-T1332*Assumptions!$B$9&lt;=0),"",AA1332/(Assumptions!$B$8*(S1332-T1332*Assumptions!$B$9)))</x:f>
        <x:v>200.767770303388</x:v>
      </x:c>
      <x:c r="AD1332" s="52" t="n">
        <x:f>IF(OR(R1332="No",U1332*S1332=0),"",AA1332/(U1332*S1332))</x:f>
        <x:v>0.07808136246917348</x:v>
      </x:c>
      <x:c r="AE1332" s="50" t="str">
        <x:f>IF(R1332="No","No finance data",IF(AB1332&gt;=10%,"Severe",IF(AB1332&gt;=5%,"High",IF(AB1332&gt;=2%,"Moderate","Low"))))</x:f>
        <x:v>High</x:v>
      </x:c>
      <x:c r="AF1332" s="60" t="n">
        <x:v>45.450882</x:v>
      </x:c>
      <x:c r="AG1332" s="60" t="n">
        <x:v>-122.669137</x:v>
      </x:c>
      <x:c r="AH1332" s="44" t="str">
        <x:v>Undergraduate tuition-contribution proxy only; not an audited total institutional budget.</x:v>
      </x:c>
    </x:row>
    <x:row r="1333">
      <x:c r="A1333" s="16" t="n">
        <x:v>209065</x:v>
      </x:c>
      <x:c r="B1333" s="16" t="str">
        <x:v>Linfield College-McMinnville Campus</x:v>
      </x:c>
      <x:c r="C1333" s="16" t="str">
        <x:v>OR</x:v>
      </x:c>
      <x:c r="D1333" s="16" t="str">
        <x:v>Private nonprofit</x:v>
      </x:c>
      <x:c r="E1333" s="34" t="n">
        <x:v>1663</x:v>
      </x:c>
      <x:c r="F1333" s="21" t="n">
        <x:v>0.8459</x:v>
      </x:c>
      <x:c r="G1333" s="16" t="str">
        <x:v>Regional</x:v>
      </x:c>
      <x:c r="H1333" s="36" t="n">
        <x:f>IF(G1333="National",Assumptions!$B$11,IF(G1333="Statewide",Assumptions!$B$12,Assumptions!$B$13))</x:f>
        <x:v>0.85</x:v>
      </x:c>
      <x:c r="I1333" s="21" t="n">
        <x:v>-0.08536613833189388</x:v>
      </x:c>
      <x:c r="J1333" s="21" t="n">
        <x:v>-0.10481103667219127</x:v>
      </x:c>
      <x:c r="K1333" s="21" t="n">
        <x:v>-0.22332454072223906</x:v>
      </x:c>
      <x:c r="L1333" s="36" t="n">
        <x:f>IF(Assumptions!$B$4=2030,I1333,IF(Assumptions!$B$4=2035,J1333,K1333))</x:f>
        <x:v>-0.10481103667219127</x:v>
      </x:c>
      <x:c r="M1333" s="36" t="n">
        <x:f>Assumptions!$B$19</x:f>
        <x:v>-0.04739891965741583</x:v>
      </x:c>
      <x:c r="N1333" s="52" t="n">
        <x:f>H1333*L1333+(1-H1333)*M1333+O1333</x:f>
        <x:v>-0.09619921911997495</x:v>
      </x:c>
      <x:c r="O1333" s="36" t="n">
        <x:f>Assumptions!$B$10</x:f>
        <x:v>0</x:v>
      </x:c>
      <x:c r="P1333" s="54" t="n">
        <x:f>E1333*(1+N1333)</x:f>
        <x:v>1503.0206986034816</x:v>
      </x:c>
      <x:c r="Q1333" s="54" t="n">
        <x:f>P1333-E1333</x:f>
        <x:v>-159.9793013965184</x:v>
      </x:c>
      <x:c r="R1333" s="16" t="str">
        <x:v>Yes</x:v>
      </x:c>
      <x:c r="S1333" s="56" t="n">
        <x:v>22376</x:v>
      </x:c>
      <x:c r="T1333" s="56" t="n">
        <x:v>13063</x:v>
      </x:c>
      <x:c r="U1333" s="40" t="n">
        <x:f>E1333*Assumptions!$B$8</x:f>
        <x:v>1413.55</x:v>
      </x:c>
      <x:c r="V1333" s="40" t="n">
        <x:f>P1333*Assumptions!$B$8</x:f>
        <x:v>1277.5675938129593</x:v>
      </x:c>
      <x:c r="W1333" s="54" t="n">
        <x:f>V1333-U1333</x:f>
        <x:v>-135.98240618704062</x:v>
      </x:c>
      <x:c r="X1333" s="58" t="n">
        <x:f>IF(R1333="No","",W1333*S1333)</x:f>
        <x:v>-3042742.320841221</x:v>
      </x:c>
      <x:c r="Y1333" s="58" t="n">
        <x:f>IF(R1333="No","",W1333*T1333*Assumptions!$B$9)</x:f>
        <x:v>-532901.4516063934</x:v>
      </x:c>
      <x:c r="Z1333" s="58" t="n">
        <x:f>IF(R1333="No","",X1333-Y1333)</x:f>
        <x:v>-2509840.869234828</x:v>
      </x:c>
      <x:c r="AA1333" s="58" t="n">
        <x:f>IF(R1333="No","",MAX(0,-Z1333))</x:f>
        <x:v>2509840.869234828</x:v>
      </x:c>
      <x:c r="AB1333" s="52" t="n">
        <x:f>IF(OR(R1333="No",U1333*S1333=0),"",AA1333/(U1333*S1333))</x:f>
        <x:v>0.07935102820965724</x:v>
      </x:c>
      <x:c r="AC1333" s="54" t="n">
        <x:f>IF(OR(R1333="No",S1333-T1333*Assumptions!$B$9&lt;=0),"",AA1333/(Assumptions!$B$8*(S1333-T1333*Assumptions!$B$9)))</x:f>
        <x:v>159.97930139651842</x:v>
      </x:c>
      <x:c r="AD1333" s="52" t="n">
        <x:f>IF(OR(R1333="No",U1333*S1333=0),"",AA1333/(U1333*S1333))</x:f>
        <x:v>0.07935102820965724</x:v>
      </x:c>
      <x:c r="AE1333" s="50" t="str">
        <x:f>IF(R1333="No","No finance data",IF(AB1333&gt;=10%,"Severe",IF(AB1333&gt;=5%,"High",IF(AB1333&gt;=2%,"Moderate","Low"))))</x:f>
        <x:v>High</x:v>
      </x:c>
      <x:c r="AF1333" s="60" t="n">
        <x:v>45.201173</x:v>
      </x:c>
      <x:c r="AG1333" s="60" t="n">
        <x:v>-123.199642</x:v>
      </x:c>
      <x:c r="AH1333" s="44" t="str">
        <x:v>Undergraduate tuition-contribution proxy only; not an audited total institutional budget.</x:v>
      </x:c>
    </x:row>
    <x:row r="1334">
      <x:c r="A1334" s="16" t="n">
        <x:v>437316</x:v>
      </x:c>
      <x:c r="B1334" s="16" t="str">
        <x:v>Linfield College-School of Nursing</x:v>
      </x:c>
      <x:c r="C1334" s="16" t="str">
        <x:v>OR</x:v>
      </x:c>
      <x:c r="D1334" s="16" t="str">
        <x:v>Private nonprofit</x:v>
      </x:c>
      <x:c r="E1334" s="34" t="n">
        <x:v>350</x:v>
      </x:c>
      <x:c r="F1334" s="21"/>
      <x:c r="G1334" s="16" t="str">
        <x:v>Regional</x:v>
      </x:c>
      <x:c r="H1334" s="36" t="n">
        <x:f>IF(G1334="National",Assumptions!$B$11,IF(G1334="Statewide",Assumptions!$B$12,Assumptions!$B$13))</x:f>
        <x:v>0.85</x:v>
      </x:c>
      <x:c r="I1334" s="21" t="n">
        <x:v>-0.08536613833189388</x:v>
      </x:c>
      <x:c r="J1334" s="21" t="n">
        <x:v>-0.10481103667219127</x:v>
      </x:c>
      <x:c r="K1334" s="21" t="n">
        <x:v>-0.22332454072223906</x:v>
      </x:c>
      <x:c r="L1334" s="36" t="n">
        <x:f>IF(Assumptions!$B$4=2030,I1334,IF(Assumptions!$B$4=2035,J1334,K1334))</x:f>
        <x:v>-0.10481103667219127</x:v>
      </x:c>
      <x:c r="M1334" s="36" t="n">
        <x:f>Assumptions!$B$19</x:f>
        <x:v>-0.04739891965741583</x:v>
      </x:c>
      <x:c r="N1334" s="52" t="n">
        <x:f>H1334*L1334+(1-H1334)*M1334+O1334</x:f>
        <x:v>-0.09619921911997495</x:v>
      </x:c>
      <x:c r="O1334" s="36" t="n">
        <x:f>Assumptions!$B$10</x:f>
        <x:v>0</x:v>
      </x:c>
      <x:c r="P1334" s="54" t="n">
        <x:f>E1334*(1+N1334)</x:f>
        <x:v>316.33027330800877</x:v>
      </x:c>
      <x:c r="Q1334" s="54" t="n">
        <x:f>P1334-E1334</x:f>
        <x:v>-33.66972669199123</x:v>
      </x:c>
      <x:c r="R1334" s="16" t="str">
        <x:v>No</x:v>
      </x:c>
      <x:c r="S1334" s="56"/>
      <x:c r="T1334" s="56"/>
      <x:c r="U1334" s="40" t="n">
        <x:f>E1334*Assumptions!$B$8</x:f>
        <x:v>297.5</x:v>
      </x:c>
      <x:c r="V1334" s="40" t="n">
        <x:f>P1334*Assumptions!$B$8</x:f>
        <x:v>268.88073231180744</x:v>
      </x:c>
      <x:c r="W1334" s="54" t="n">
        <x:f>V1334-U1334</x:f>
        <x:v>-28.619267688192565</x:v>
      </x:c>
      <x:c r="X1334" s="58" t="str">
        <x:f>IF(R1334="No","",W1334*S1334)</x:f>
      </x:c>
      <x:c r="Y1334" s="58" t="str">
        <x:f>IF(R1334="No","",W1334*T1334*Assumptions!$B$9)</x:f>
      </x:c>
      <x:c r="Z1334" s="58" t="str">
        <x:f>IF(R1334="No","",X1334-Y1334)</x:f>
      </x:c>
      <x:c r="AA1334" s="58" t="str">
        <x:f>IF(R1334="No","",MAX(0,-Z1334))</x:f>
      </x:c>
      <x:c r="AB1334" s="52" t="str">
        <x:f>IF(OR(R1334="No",U1334*S1334=0),"",AA1334/(U1334*S1334))</x:f>
      </x:c>
      <x:c r="AC1334" s="54" t="str">
        <x:f>IF(OR(R1334="No",S1334-T1334*Assumptions!$B$9&lt;=0),"",AA1334/(Assumptions!$B$8*(S1334-T1334*Assumptions!$B$9)))</x:f>
      </x:c>
      <x:c r="AD1334" s="52" t="str">
        <x:f>IF(OR(R1334="No",U1334*S1334=0),"",AA1334/(U1334*S1334))</x:f>
      </x:c>
      <x:c r="AE1334" s="50" t="str">
        <x:f>IF(R1334="No","No finance data",IF(AB1334&gt;=10%,"Severe",IF(AB1334&gt;=5%,"High",IF(AB1334&gt;=2%,"Moderate","Low"))))</x:f>
        <x:v>No finance data</x:v>
      </x:c>
      <x:c r="AF1334" s="60"/>
      <x:c r="AG1334" s="60"/>
      <x:c r="AH1334" s="44" t="str">
        <x:v>Undergraduate tuition-contribution proxy only; not an audited total institutional budget.</x:v>
      </x:c>
    </x:row>
    <x:row r="1335">
      <x:c r="A1335" s="16" t="n">
        <x:v>209108</x:v>
      </x:c>
      <x:c r="B1335" s="16" t="str">
        <x:v>Marylhurst University</x:v>
      </x:c>
      <x:c r="C1335" s="16" t="str">
        <x:v>OR</x:v>
      </x:c>
      <x:c r="D1335" s="16" t="str">
        <x:v>Private nonprofit</x:v>
      </x:c>
      <x:c r="E1335" s="34" t="n">
        <x:v>503</x:v>
      </x:c>
      <x:c r="F1335" s="21"/>
      <x:c r="G1335" s="16" t="str">
        <x:v>Regional</x:v>
      </x:c>
      <x:c r="H1335" s="36" t="n">
        <x:f>IF(G1335="National",Assumptions!$B$11,IF(G1335="Statewide",Assumptions!$B$12,Assumptions!$B$13))</x:f>
        <x:v>0.85</x:v>
      </x:c>
      <x:c r="I1335" s="21" t="n">
        <x:v>-0.08536613833189388</x:v>
      </x:c>
      <x:c r="J1335" s="21" t="n">
        <x:v>-0.10481103667219127</x:v>
      </x:c>
      <x:c r="K1335" s="21" t="n">
        <x:v>-0.22332454072223906</x:v>
      </x:c>
      <x:c r="L1335" s="36" t="n">
        <x:f>IF(Assumptions!$B$4=2030,I1335,IF(Assumptions!$B$4=2035,J1335,K1335))</x:f>
        <x:v>-0.10481103667219127</x:v>
      </x:c>
      <x:c r="M1335" s="36" t="n">
        <x:f>Assumptions!$B$19</x:f>
        <x:v>-0.04739891965741583</x:v>
      </x:c>
      <x:c r="N1335" s="52" t="n">
        <x:f>H1335*L1335+(1-H1335)*M1335+O1335</x:f>
        <x:v>-0.09619921911997495</x:v>
      </x:c>
      <x:c r="O1335" s="36" t="n">
        <x:f>Assumptions!$B$10</x:f>
        <x:v>0</x:v>
      </x:c>
      <x:c r="P1335" s="54" t="n">
        <x:f>E1335*(1+N1335)</x:f>
        <x:v>454.61179278265257</x:v>
      </x:c>
      <x:c r="Q1335" s="54" t="n">
        <x:f>P1335-E1335</x:f>
        <x:v>-48.38820721734743</x:v>
      </x:c>
      <x:c r="R1335" s="16" t="str">
        <x:v>No</x:v>
      </x:c>
      <x:c r="S1335" s="56"/>
      <x:c r="T1335" s="56"/>
      <x:c r="U1335" s="40" t="n">
        <x:f>E1335*Assumptions!$B$8</x:f>
        <x:v>427.55</x:v>
      </x:c>
      <x:c r="V1335" s="40" t="n">
        <x:f>P1335*Assumptions!$B$8</x:f>
        <x:v>386.4200238652547</x:v>
      </x:c>
      <x:c r="W1335" s="54" t="n">
        <x:f>V1335-U1335</x:f>
        <x:v>-41.129976134745334</x:v>
      </x:c>
      <x:c r="X1335" s="58" t="str">
        <x:f>IF(R1335="No","",W1335*S1335)</x:f>
      </x:c>
      <x:c r="Y1335" s="58" t="str">
        <x:f>IF(R1335="No","",W1335*T1335*Assumptions!$B$9)</x:f>
      </x:c>
      <x:c r="Z1335" s="58" t="str">
        <x:f>IF(R1335="No","",X1335-Y1335)</x:f>
      </x:c>
      <x:c r="AA1335" s="58" t="str">
        <x:f>IF(R1335="No","",MAX(0,-Z1335))</x:f>
      </x:c>
      <x:c r="AB1335" s="52" t="str">
        <x:f>IF(OR(R1335="No",U1335*S1335=0),"",AA1335/(U1335*S1335))</x:f>
      </x:c>
      <x:c r="AC1335" s="54" t="str">
        <x:f>IF(OR(R1335="No",S1335-T1335*Assumptions!$B$9&lt;=0),"",AA1335/(Assumptions!$B$8*(S1335-T1335*Assumptions!$B$9)))</x:f>
      </x:c>
      <x:c r="AD1335" s="52" t="str">
        <x:f>IF(OR(R1335="No",U1335*S1335=0),"",AA1335/(U1335*S1335))</x:f>
      </x:c>
      <x:c r="AE1335" s="50" t="str">
        <x:f>IF(R1335="No","No finance data",IF(AB1335&gt;=10%,"Severe",IF(AB1335&gt;=5%,"High",IF(AB1335&gt;=2%,"Moderate","Low"))))</x:f>
        <x:v>No finance data</x:v>
      </x:c>
      <x:c r="AF1335" s="60"/>
      <x:c r="AG1335" s="60"/>
      <x:c r="AH1335" s="44" t="str">
        <x:v>Undergraduate tuition-contribution proxy only; not an audited total institutional budget.</x:v>
      </x:c>
    </x:row>
    <x:row r="1336">
      <x:c r="A1336" s="16" t="n">
        <x:v>209241</x:v>
      </x:c>
      <x:c r="B1336" s="16" t="str">
        <x:v>Mount Angel Seminary</x:v>
      </x:c>
      <x:c r="C1336" s="16" t="str">
        <x:v>OR</x:v>
      </x:c>
      <x:c r="D1336" s="16" t="str">
        <x:v>Private nonprofit</x:v>
      </x:c>
      <x:c r="E1336" s="34" t="n">
        <x:v>65</x:v>
      </x:c>
      <x:c r="F1336" s="21"/>
      <x:c r="G1336" s="16" t="str">
        <x:v>Regional</x:v>
      </x:c>
      <x:c r="H1336" s="36" t="n">
        <x:f>IF(G1336="National",Assumptions!$B$11,IF(G1336="Statewide",Assumptions!$B$12,Assumptions!$B$13))</x:f>
        <x:v>0.85</x:v>
      </x:c>
      <x:c r="I1336" s="21" t="n">
        <x:v>-0.08536613833189388</x:v>
      </x:c>
      <x:c r="J1336" s="21" t="n">
        <x:v>-0.10481103667219127</x:v>
      </x:c>
      <x:c r="K1336" s="21" t="n">
        <x:v>-0.22332454072223906</x:v>
      </x:c>
      <x:c r="L1336" s="36" t="n">
        <x:f>IF(Assumptions!$B$4=2030,I1336,IF(Assumptions!$B$4=2035,J1336,K1336))</x:f>
        <x:v>-0.10481103667219127</x:v>
      </x:c>
      <x:c r="M1336" s="36" t="n">
        <x:f>Assumptions!$B$19</x:f>
        <x:v>-0.04739891965741583</x:v>
      </x:c>
      <x:c r="N1336" s="52" t="n">
        <x:f>H1336*L1336+(1-H1336)*M1336+O1336</x:f>
        <x:v>-0.09619921911997495</x:v>
      </x:c>
      <x:c r="O1336" s="36" t="n">
        <x:f>Assumptions!$B$10</x:f>
        <x:v>0</x:v>
      </x:c>
      <x:c r="P1336" s="54" t="n">
        <x:f>E1336*(1+N1336)</x:f>
        <x:v>58.74705075720163</x:v>
      </x:c>
      <x:c r="Q1336" s="54" t="n">
        <x:f>P1336-E1336</x:f>
        <x:v>-6.252949242798373</x:v>
      </x:c>
      <x:c r="R1336" s="16" t="str">
        <x:v>No</x:v>
      </x:c>
      <x:c r="S1336" s="56"/>
      <x:c r="T1336" s="56"/>
      <x:c r="U1336" s="40" t="n">
        <x:f>E1336*Assumptions!$B$8</x:f>
        <x:v>55.25</x:v>
      </x:c>
      <x:c r="V1336" s="40" t="n">
        <x:f>P1336*Assumptions!$B$8</x:f>
        <x:v>49.934993143621384</x:v>
      </x:c>
      <x:c r="W1336" s="54" t="n">
        <x:f>V1336-U1336</x:f>
        <x:v>-5.315006856378616</x:v>
      </x:c>
      <x:c r="X1336" s="58" t="str">
        <x:f>IF(R1336="No","",W1336*S1336)</x:f>
      </x:c>
      <x:c r="Y1336" s="58" t="str">
        <x:f>IF(R1336="No","",W1336*T1336*Assumptions!$B$9)</x:f>
      </x:c>
      <x:c r="Z1336" s="58" t="str">
        <x:f>IF(R1336="No","",X1336-Y1336)</x:f>
      </x:c>
      <x:c r="AA1336" s="58" t="str">
        <x:f>IF(R1336="No","",MAX(0,-Z1336))</x:f>
      </x:c>
      <x:c r="AB1336" s="52" t="str">
        <x:f>IF(OR(R1336="No",U1336*S1336=0),"",AA1336/(U1336*S1336))</x:f>
      </x:c>
      <x:c r="AC1336" s="54" t="str">
        <x:f>IF(OR(R1336="No",S1336-T1336*Assumptions!$B$9&lt;=0),"",AA1336/(Assumptions!$B$8*(S1336-T1336*Assumptions!$B$9)))</x:f>
      </x:c>
      <x:c r="AD1336" s="52" t="str">
        <x:f>IF(OR(R1336="No",U1336*S1336=0),"",AA1336/(U1336*S1336))</x:f>
      </x:c>
      <x:c r="AE1336" s="50" t="str">
        <x:f>IF(R1336="No","No finance data",IF(AB1336&gt;=10%,"Severe",IF(AB1336&gt;=5%,"High",IF(AB1336&gt;=2%,"Moderate","Low"))))</x:f>
        <x:v>No finance data</x:v>
      </x:c>
      <x:c r="AF1336" s="60"/>
      <x:c r="AG1336" s="60"/>
      <x:c r="AH1336" s="44" t="str">
        <x:v>Undergraduate tuition-contribution proxy only; not an audited total institutional budget.</x:v>
      </x:c>
    </x:row>
    <x:row r="1337">
      <x:c r="A1337" s="16" t="n">
        <x:v>209287</x:v>
      </x:c>
      <x:c r="B1337" s="16" t="str">
        <x:v>Multnomah University</x:v>
      </x:c>
      <x:c r="C1337" s="16" t="str">
        <x:v>OR</x:v>
      </x:c>
      <x:c r="D1337" s="16" t="str">
        <x:v>Private nonprofit</x:v>
      </x:c>
      <x:c r="E1337" s="34" t="n">
        <x:v>405</x:v>
      </x:c>
      <x:c r="F1337" s="21"/>
      <x:c r="G1337" s="16" t="str">
        <x:v>Regional</x:v>
      </x:c>
      <x:c r="H1337" s="36" t="n">
        <x:f>IF(G1337="National",Assumptions!$B$11,IF(G1337="Statewide",Assumptions!$B$12,Assumptions!$B$13))</x:f>
        <x:v>0.85</x:v>
      </x:c>
      <x:c r="I1337" s="21" t="n">
        <x:v>-0.08536613833189388</x:v>
      </x:c>
      <x:c r="J1337" s="21" t="n">
        <x:v>-0.10481103667219127</x:v>
      </x:c>
      <x:c r="K1337" s="21" t="n">
        <x:v>-0.22332454072223906</x:v>
      </x:c>
      <x:c r="L1337" s="36" t="n">
        <x:f>IF(Assumptions!$B$4=2030,I1337,IF(Assumptions!$B$4=2035,J1337,K1337))</x:f>
        <x:v>-0.10481103667219127</x:v>
      </x:c>
      <x:c r="M1337" s="36" t="n">
        <x:f>Assumptions!$B$19</x:f>
        <x:v>-0.04739891965741583</x:v>
      </x:c>
      <x:c r="N1337" s="52" t="n">
        <x:f>H1337*L1337+(1-H1337)*M1337+O1337</x:f>
        <x:v>-0.09619921911997495</x:v>
      </x:c>
      <x:c r="O1337" s="36" t="n">
        <x:f>Assumptions!$B$10</x:f>
        <x:v>0</x:v>
      </x:c>
      <x:c r="P1337" s="54" t="n">
        <x:f>E1337*(1+N1337)</x:f>
        <x:v>366.03931625641013</x:v>
      </x:c>
      <x:c r="Q1337" s="54" t="n">
        <x:f>P1337-E1337</x:f>
        <x:v>-38.96068374358987</x:v>
      </x:c>
      <x:c r="R1337" s="16" t="str">
        <x:v>No</x:v>
      </x:c>
      <x:c r="S1337" s="56"/>
      <x:c r="T1337" s="56"/>
      <x:c r="U1337" s="40" t="n">
        <x:f>E1337*Assumptions!$B$8</x:f>
        <x:v>344.25</x:v>
      </x:c>
      <x:c r="V1337" s="40" t="n">
        <x:f>P1337*Assumptions!$B$8</x:f>
        <x:v>311.1334188179486</x:v>
      </x:c>
      <x:c r="W1337" s="54" t="n">
        <x:f>V1337-U1337</x:f>
        <x:v>-33.11658118205139</x:v>
      </x:c>
      <x:c r="X1337" s="58" t="str">
        <x:f>IF(R1337="No","",W1337*S1337)</x:f>
      </x:c>
      <x:c r="Y1337" s="58" t="str">
        <x:f>IF(R1337="No","",W1337*T1337*Assumptions!$B$9)</x:f>
      </x:c>
      <x:c r="Z1337" s="58" t="str">
        <x:f>IF(R1337="No","",X1337-Y1337)</x:f>
      </x:c>
      <x:c r="AA1337" s="58" t="str">
        <x:f>IF(R1337="No","",MAX(0,-Z1337))</x:f>
      </x:c>
      <x:c r="AB1337" s="52" t="str">
        <x:f>IF(OR(R1337="No",U1337*S1337=0),"",AA1337/(U1337*S1337))</x:f>
      </x:c>
      <x:c r="AC1337" s="54" t="str">
        <x:f>IF(OR(R1337="No",S1337-T1337*Assumptions!$B$9&lt;=0),"",AA1337/(Assumptions!$B$8*(S1337-T1337*Assumptions!$B$9)))</x:f>
      </x:c>
      <x:c r="AD1337" s="52" t="str">
        <x:f>IF(OR(R1337="No",U1337*S1337=0),"",AA1337/(U1337*S1337))</x:f>
      </x:c>
      <x:c r="AE1337" s="50" t="str">
        <x:f>IF(R1337="No","No finance data",IF(AB1337&gt;=10%,"Severe",IF(AB1337&gt;=5%,"High",IF(AB1337&gt;=2%,"Moderate","Low"))))</x:f>
        <x:v>No finance data</x:v>
      </x:c>
      <x:c r="AF1337" s="60"/>
      <x:c r="AG1337" s="60"/>
      <x:c r="AH1337" s="44" t="str">
        <x:v>Undergraduate tuition-contribution proxy only; not an audited total institutional budget.</x:v>
      </x:c>
    </x:row>
    <x:row r="1338">
      <x:c r="A1338" s="16" t="n">
        <x:v>208725</x:v>
      </x:c>
      <x:c r="B1338" s="16" t="str">
        <x:v>New Hope Christian College-Eugene</x:v>
      </x:c>
      <x:c r="C1338" s="16" t="str">
        <x:v>OR</x:v>
      </x:c>
      <x:c r="D1338" s="16" t="str">
        <x:v>Private nonprofit</x:v>
      </x:c>
      <x:c r="E1338" s="34" t="n">
        <x:v>140</x:v>
      </x:c>
      <x:c r="F1338" s="21"/>
      <x:c r="G1338" s="16" t="str">
        <x:v>Regional</x:v>
      </x:c>
      <x:c r="H1338" s="36" t="n">
        <x:f>IF(G1338="National",Assumptions!$B$11,IF(G1338="Statewide",Assumptions!$B$12,Assumptions!$B$13))</x:f>
        <x:v>0.85</x:v>
      </x:c>
      <x:c r="I1338" s="21" t="n">
        <x:v>-0.08536613833189388</x:v>
      </x:c>
      <x:c r="J1338" s="21" t="n">
        <x:v>-0.10481103667219127</x:v>
      </x:c>
      <x:c r="K1338" s="21" t="n">
        <x:v>-0.22332454072223906</x:v>
      </x:c>
      <x:c r="L1338" s="36" t="n">
        <x:f>IF(Assumptions!$B$4=2030,I1338,IF(Assumptions!$B$4=2035,J1338,K1338))</x:f>
        <x:v>-0.10481103667219127</x:v>
      </x:c>
      <x:c r="M1338" s="36" t="n">
        <x:f>Assumptions!$B$19</x:f>
        <x:v>-0.04739891965741583</x:v>
      </x:c>
      <x:c r="N1338" s="52" t="n">
        <x:f>H1338*L1338+(1-H1338)*M1338+O1338</x:f>
        <x:v>-0.09619921911997495</x:v>
      </x:c>
      <x:c r="O1338" s="36" t="n">
        <x:f>Assumptions!$B$10</x:f>
        <x:v>0</x:v>
      </x:c>
      <x:c r="P1338" s="54" t="n">
        <x:f>E1338*(1+N1338)</x:f>
        <x:v>126.5321093232035</x:v>
      </x:c>
      <x:c r="Q1338" s="54" t="n">
        <x:f>P1338-E1338</x:f>
        <x:v>-13.4678906767965</x:v>
      </x:c>
      <x:c r="R1338" s="16" t="str">
        <x:v>No</x:v>
      </x:c>
      <x:c r="S1338" s="56"/>
      <x:c r="T1338" s="56"/>
      <x:c r="U1338" s="40" t="n">
        <x:f>E1338*Assumptions!$B$8</x:f>
        <x:v>119</x:v>
      </x:c>
      <x:c r="V1338" s="40" t="n">
        <x:f>P1338*Assumptions!$B$8</x:f>
        <x:v>107.55229292472298</x:v>
      </x:c>
      <x:c r="W1338" s="54" t="n">
        <x:f>V1338-U1338</x:f>
        <x:v>-11.447707075277023</x:v>
      </x:c>
      <x:c r="X1338" s="58" t="str">
        <x:f>IF(R1338="No","",W1338*S1338)</x:f>
      </x:c>
      <x:c r="Y1338" s="58" t="str">
        <x:f>IF(R1338="No","",W1338*T1338*Assumptions!$B$9)</x:f>
      </x:c>
      <x:c r="Z1338" s="58" t="str">
        <x:f>IF(R1338="No","",X1338-Y1338)</x:f>
      </x:c>
      <x:c r="AA1338" s="58" t="str">
        <x:f>IF(R1338="No","",MAX(0,-Z1338))</x:f>
      </x:c>
      <x:c r="AB1338" s="52" t="str">
        <x:f>IF(OR(R1338="No",U1338*S1338=0),"",AA1338/(U1338*S1338))</x:f>
      </x:c>
      <x:c r="AC1338" s="54" t="str">
        <x:f>IF(OR(R1338="No",S1338-T1338*Assumptions!$B$9&lt;=0),"",AA1338/(Assumptions!$B$8*(S1338-T1338*Assumptions!$B$9)))</x:f>
      </x:c>
      <x:c r="AD1338" s="52" t="str">
        <x:f>IF(OR(R1338="No",U1338*S1338=0),"",AA1338/(U1338*S1338))</x:f>
      </x:c>
      <x:c r="AE1338" s="50" t="str">
        <x:f>IF(R1338="No","No finance data",IF(AB1338&gt;=10%,"Severe",IF(AB1338&gt;=5%,"High",IF(AB1338&gt;=2%,"Moderate","Low"))))</x:f>
        <x:v>No finance data</x:v>
      </x:c>
      <x:c r="AF1338" s="60"/>
      <x:c r="AG1338" s="60"/>
      <x:c r="AH1338" s="44" t="str">
        <x:v>Undergraduate tuition-contribution proxy only; not an audited total institutional budget.</x:v>
      </x:c>
    </x:row>
    <x:row r="1339">
      <x:c r="A1339" s="16" t="n">
        <x:v>209409</x:v>
      </x:c>
      <x:c r="B1339" s="16" t="str">
        <x:v>Northwest Christian University</x:v>
      </x:c>
      <x:c r="C1339" s="16" t="str">
        <x:v>OR</x:v>
      </x:c>
      <x:c r="D1339" s="16" t="str">
        <x:v>Private nonprofit</x:v>
      </x:c>
      <x:c r="E1339" s="34" t="n">
        <x:v>528</x:v>
      </x:c>
      <x:c r="F1339" s="21"/>
      <x:c r="G1339" s="16" t="str">
        <x:v>Regional</x:v>
      </x:c>
      <x:c r="H1339" s="36" t="n">
        <x:f>IF(G1339="National",Assumptions!$B$11,IF(G1339="Statewide",Assumptions!$B$12,Assumptions!$B$13))</x:f>
        <x:v>0.85</x:v>
      </x:c>
      <x:c r="I1339" s="21" t="n">
        <x:v>-0.08536613833189388</x:v>
      </x:c>
      <x:c r="J1339" s="21" t="n">
        <x:v>-0.10481103667219127</x:v>
      </x:c>
      <x:c r="K1339" s="21" t="n">
        <x:v>-0.22332454072223906</x:v>
      </x:c>
      <x:c r="L1339" s="36" t="n">
        <x:f>IF(Assumptions!$B$4=2030,I1339,IF(Assumptions!$B$4=2035,J1339,K1339))</x:f>
        <x:v>-0.10481103667219127</x:v>
      </x:c>
      <x:c r="M1339" s="36" t="n">
        <x:f>Assumptions!$B$19</x:f>
        <x:v>-0.04739891965741583</x:v>
      </x:c>
      <x:c r="N1339" s="52" t="n">
        <x:f>H1339*L1339+(1-H1339)*M1339+O1339</x:f>
        <x:v>-0.09619921911997495</x:v>
      </x:c>
      <x:c r="O1339" s="36" t="n">
        <x:f>Assumptions!$B$10</x:f>
        <x:v>0</x:v>
      </x:c>
      <x:c r="P1339" s="54" t="n">
        <x:f>E1339*(1+N1339)</x:f>
        <x:v>477.2068123046532</x:v>
      </x:c>
      <x:c r="Q1339" s="54" t="n">
        <x:f>P1339-E1339</x:f>
        <x:v>-50.793187695346774</x:v>
      </x:c>
      <x:c r="R1339" s="16" t="str">
        <x:v>No</x:v>
      </x:c>
      <x:c r="S1339" s="56"/>
      <x:c r="T1339" s="56"/>
      <x:c r="U1339" s="40" t="n">
        <x:f>E1339*Assumptions!$B$8</x:f>
        <x:v>448.8</x:v>
      </x:c>
      <x:c r="V1339" s="40" t="n">
        <x:f>P1339*Assumptions!$B$8</x:f>
        <x:v>405.62579045895524</x:v>
      </x:c>
      <x:c r="W1339" s="54" t="n">
        <x:f>V1339-U1339</x:f>
        <x:v>-43.174209541044775</x:v>
      </x:c>
      <x:c r="X1339" s="58" t="str">
        <x:f>IF(R1339="No","",W1339*S1339)</x:f>
      </x:c>
      <x:c r="Y1339" s="58" t="str">
        <x:f>IF(R1339="No","",W1339*T1339*Assumptions!$B$9)</x:f>
      </x:c>
      <x:c r="Z1339" s="58" t="str">
        <x:f>IF(R1339="No","",X1339-Y1339)</x:f>
      </x:c>
      <x:c r="AA1339" s="58" t="str">
        <x:f>IF(R1339="No","",MAX(0,-Z1339))</x:f>
      </x:c>
      <x:c r="AB1339" s="52" t="str">
        <x:f>IF(OR(R1339="No",U1339*S1339=0),"",AA1339/(U1339*S1339))</x:f>
      </x:c>
      <x:c r="AC1339" s="54" t="str">
        <x:f>IF(OR(R1339="No",S1339-T1339*Assumptions!$B$9&lt;=0),"",AA1339/(Assumptions!$B$8*(S1339-T1339*Assumptions!$B$9)))</x:f>
      </x:c>
      <x:c r="AD1339" s="52" t="str">
        <x:f>IF(OR(R1339="No",U1339*S1339=0),"",AA1339/(U1339*S1339))</x:f>
      </x:c>
      <x:c r="AE1339" s="50" t="str">
        <x:f>IF(R1339="No","No finance data",IF(AB1339&gt;=10%,"Severe",IF(AB1339&gt;=5%,"High",IF(AB1339&gt;=2%,"Moderate","Low"))))</x:f>
        <x:v>No finance data</x:v>
      </x:c>
      <x:c r="AF1339" s="60"/>
      <x:c r="AG1339" s="60"/>
      <x:c r="AH1339" s="44" t="str">
        <x:v>Undergraduate tuition-contribution proxy only; not an audited total institutional budget.</x:v>
      </x:c>
    </x:row>
    <x:row r="1340">
      <x:c r="A1340" s="16" t="n">
        <x:v>209533</x:v>
      </x:c>
      <x:c r="B1340" s="16" t="str">
        <x:v>Oregon College of Art and Craft</x:v>
      </x:c>
      <x:c r="C1340" s="16" t="str">
        <x:v>OR</x:v>
      </x:c>
      <x:c r="D1340" s="16" t="str">
        <x:v>Private nonprofit</x:v>
      </x:c>
      <x:c r="E1340" s="34" t="n">
        <x:v>111</x:v>
      </x:c>
      <x:c r="F1340" s="21"/>
      <x:c r="G1340" s="16" t="str">
        <x:v>Regional</x:v>
      </x:c>
      <x:c r="H1340" s="36" t="n">
        <x:f>IF(G1340="National",Assumptions!$B$11,IF(G1340="Statewide",Assumptions!$B$12,Assumptions!$B$13))</x:f>
        <x:v>0.85</x:v>
      </x:c>
      <x:c r="I1340" s="21" t="n">
        <x:v>-0.08536613833189388</x:v>
      </x:c>
      <x:c r="J1340" s="21" t="n">
        <x:v>-0.10481103667219127</x:v>
      </x:c>
      <x:c r="K1340" s="21" t="n">
        <x:v>-0.22332454072223906</x:v>
      </x:c>
      <x:c r="L1340" s="36" t="n">
        <x:f>IF(Assumptions!$B$4=2030,I1340,IF(Assumptions!$B$4=2035,J1340,K1340))</x:f>
        <x:v>-0.10481103667219127</x:v>
      </x:c>
      <x:c r="M1340" s="36" t="n">
        <x:f>Assumptions!$B$19</x:f>
        <x:v>-0.04739891965741583</x:v>
      </x:c>
      <x:c r="N1340" s="52" t="n">
        <x:f>H1340*L1340+(1-H1340)*M1340+O1340</x:f>
        <x:v>-0.09619921911997495</x:v>
      </x:c>
      <x:c r="O1340" s="36" t="n">
        <x:f>Assumptions!$B$10</x:f>
        <x:v>0</x:v>
      </x:c>
      <x:c r="P1340" s="54" t="n">
        <x:f>E1340*(1+N1340)</x:f>
        <x:v>100.32188667768278</x:v>
      </x:c>
      <x:c r="Q1340" s="54" t="n">
        <x:f>P1340-E1340</x:f>
        <x:v>-10.678113322317216</x:v>
      </x:c>
      <x:c r="R1340" s="16" t="str">
        <x:v>No</x:v>
      </x:c>
      <x:c r="S1340" s="56"/>
      <x:c r="T1340" s="56"/>
      <x:c r="U1340" s="40" t="n">
        <x:f>E1340*Assumptions!$B$8</x:f>
        <x:v>94.35</x:v>
      </x:c>
      <x:c r="V1340" s="40" t="n">
        <x:f>P1340*Assumptions!$B$8</x:f>
        <x:v>85.27360367603036</x:v>
      </x:c>
      <x:c r="W1340" s="54" t="n">
        <x:f>V1340-U1340</x:f>
        <x:v>-9.076396323969632</x:v>
      </x:c>
      <x:c r="X1340" s="58" t="str">
        <x:f>IF(R1340="No","",W1340*S1340)</x:f>
      </x:c>
      <x:c r="Y1340" s="58" t="str">
        <x:f>IF(R1340="No","",W1340*T1340*Assumptions!$B$9)</x:f>
      </x:c>
      <x:c r="Z1340" s="58" t="str">
        <x:f>IF(R1340="No","",X1340-Y1340)</x:f>
      </x:c>
      <x:c r="AA1340" s="58" t="str">
        <x:f>IF(R1340="No","",MAX(0,-Z1340))</x:f>
      </x:c>
      <x:c r="AB1340" s="52" t="str">
        <x:f>IF(OR(R1340="No",U1340*S1340=0),"",AA1340/(U1340*S1340))</x:f>
      </x:c>
      <x:c r="AC1340" s="54" t="str">
        <x:f>IF(OR(R1340="No",S1340-T1340*Assumptions!$B$9&lt;=0),"",AA1340/(Assumptions!$B$8*(S1340-T1340*Assumptions!$B$9)))</x:f>
      </x:c>
      <x:c r="AD1340" s="52" t="str">
        <x:f>IF(OR(R1340="No",U1340*S1340=0),"",AA1340/(U1340*S1340))</x:f>
      </x:c>
      <x:c r="AE1340" s="50" t="str">
        <x:f>IF(R1340="No","No finance data",IF(AB1340&gt;=10%,"Severe",IF(AB1340&gt;=5%,"High",IF(AB1340&gt;=2%,"Moderate","Low"))))</x:f>
        <x:v>No finance data</x:v>
      </x:c>
      <x:c r="AF1340" s="60"/>
      <x:c r="AG1340" s="60"/>
      <x:c r="AH1340" s="44" t="str">
        <x:v>Undergraduate tuition-contribution proxy only; not an audited total institutional budget.</x:v>
      </x:c>
    </x:row>
    <x:row r="1341">
      <x:c r="A1341" s="16" t="n">
        <x:v>209490</x:v>
      </x:c>
      <x:c r="B1341" s="16" t="str">
        <x:v>Oregon Health &amp; Science University</x:v>
      </x:c>
      <x:c r="C1341" s="16" t="str">
        <x:v>OR</x:v>
      </x:c>
      <x:c r="D1341" s="16" t="str">
        <x:v>Public</x:v>
      </x:c>
      <x:c r="E1341" s="34" t="n">
        <x:v>827</x:v>
      </x:c>
      <x:c r="F1341" s="21"/>
      <x:c r="G1341" s="16" t="str">
        <x:v>Regional</x:v>
      </x:c>
      <x:c r="H1341" s="36" t="n">
        <x:f>IF(G1341="National",Assumptions!$B$11,IF(G1341="Statewide",Assumptions!$B$12,Assumptions!$B$13))</x:f>
        <x:v>0.85</x:v>
      </x:c>
      <x:c r="I1341" s="21" t="n">
        <x:v>-0.08536613833189388</x:v>
      </x:c>
      <x:c r="J1341" s="21" t="n">
        <x:v>-0.10481103667219127</x:v>
      </x:c>
      <x:c r="K1341" s="21" t="n">
        <x:v>-0.22332454072223906</x:v>
      </x:c>
      <x:c r="L1341" s="36" t="n">
        <x:f>IF(Assumptions!$B$4=2030,I1341,IF(Assumptions!$B$4=2035,J1341,K1341))</x:f>
        <x:v>-0.10481103667219127</x:v>
      </x:c>
      <x:c r="M1341" s="36" t="n">
        <x:f>Assumptions!$B$19</x:f>
        <x:v>-0.04739891965741583</x:v>
      </x:c>
      <x:c r="N1341" s="52" t="n">
        <x:f>H1341*L1341+(1-H1341)*M1341+O1341</x:f>
        <x:v>-0.09619921911997495</x:v>
      </x:c>
      <x:c r="O1341" s="36" t="n">
        <x:f>Assumptions!$B$10</x:f>
        <x:v>0</x:v>
      </x:c>
      <x:c r="P1341" s="54" t="n">
        <x:f>E1341*(1+N1341)</x:f>
        <x:v>747.4432457877807</x:v>
      </x:c>
      <x:c r="Q1341" s="54" t="n">
        <x:f>P1341-E1341</x:f>
        <x:v>-79.55675421221929</x:v>
      </x:c>
      <x:c r="R1341" s="16" t="str">
        <x:v>Yes</x:v>
      </x:c>
      <x:c r="S1341" s="56" t="n">
        <x:v>29548</x:v>
      </x:c>
      <x:c r="T1341" s="56" t="n">
        <x:v>88663</x:v>
      </x:c>
      <x:c r="U1341" s="40" t="n">
        <x:f>E1341*Assumptions!$B$8</x:f>
        <x:v>702.9499999999999</x:v>
      </x:c>
      <x:c r="V1341" s="40" t="n">
        <x:f>P1341*Assumptions!$B$8</x:f>
        <x:v>635.3267589196136</x:v>
      </x:c>
      <x:c r="W1341" s="54" t="n">
        <x:f>V1341-U1341</x:f>
        <x:v>-67.62324108038638</x:v>
      </x:c>
      <x:c r="X1341" s="58" t="n">
        <x:f>IF(R1341="No","",W1341*S1341)</x:f>
        <x:v>-1998131.5274432567</x:v>
      </x:c>
      <x:c r="Y1341" s="58" t="n">
        <x:f>IF(R1341="No","",W1341*T1341*Assumptions!$B$9)</x:f>
        <x:v>-1798703.8271730891</x:v>
      </x:c>
      <x:c r="Z1341" s="58" t="n">
        <x:f>IF(R1341="No","",X1341-Y1341)</x:f>
        <x:v>-199427.70027016755</x:v>
      </x:c>
      <x:c r="AA1341" s="58" t="n">
        <x:f>IF(R1341="No","",MAX(0,-Z1341))</x:f>
        <x:v>199427.70027016755</x:v>
      </x:c>
      <x:c r="AB1341" s="52" t="n">
        <x:f>IF(OR(R1341="No",U1341*S1341=0),"",AA1341/(U1341*S1341))</x:f>
        <x:v>0.009601364461443015</x:v>
      </x:c>
      <x:c r="AC1341" s="54" t="n">
        <x:f>IF(OR(R1341="No",S1341-T1341*Assumptions!$B$9&lt;=0),"",AA1341/(Assumptions!$B$8*(S1341-T1341*Assumptions!$B$9)))</x:f>
        <x:v>79.55675421221925</x:v>
      </x:c>
      <x:c r="AD1341" s="52" t="n">
        <x:f>IF(OR(R1341="No",U1341*S1341=0),"",AA1341/(U1341*S1341))</x:f>
        <x:v>0.009601364461443015</x:v>
      </x:c>
      <x:c r="AE1341" s="50" t="str">
        <x:f>IF(R1341="No","No finance data",IF(AB1341&gt;=10%,"Severe",IF(AB1341&gt;=5%,"High",IF(AB1341&gt;=2%,"Moderate","Low"))))</x:f>
        <x:v>Low</x:v>
      </x:c>
      <x:c r="AF1341" s="60" t="n">
        <x:v>45.498772</x:v>
      </x:c>
      <x:c r="AG1341" s="60" t="n">
        <x:v>-122.686096</x:v>
      </x:c>
      <x:c r="AH1341" s="44" t="str">
        <x:v>Undergraduate tuition-contribution proxy only; not an audited total institutional budget.</x:v>
      </x:c>
    </x:row>
    <x:row r="1342">
      <x:c r="A1342" s="16" t="n">
        <x:v>209506</x:v>
      </x:c>
      <x:c r="B1342" s="16" t="str">
        <x:v>Oregon Institute of Technology</x:v>
      </x:c>
      <x:c r="C1342" s="16" t="str">
        <x:v>OR</x:v>
      </x:c>
      <x:c r="D1342" s="16" t="str">
        <x:v>Public</x:v>
      </x:c>
      <x:c r="E1342" s="34" t="n">
        <x:v>3582</x:v>
      </x:c>
      <x:c r="F1342" s="21" t="n">
        <x:v>0.9062</x:v>
      </x:c>
      <x:c r="G1342" s="16" t="str">
        <x:v>Regional</x:v>
      </x:c>
      <x:c r="H1342" s="36" t="n">
        <x:f>IF(G1342="National",Assumptions!$B$11,IF(G1342="Statewide",Assumptions!$B$12,Assumptions!$B$13))</x:f>
        <x:v>0.85</x:v>
      </x:c>
      <x:c r="I1342" s="21" t="n">
        <x:v>-0.08536613833189388</x:v>
      </x:c>
      <x:c r="J1342" s="21" t="n">
        <x:v>-0.10481103667219127</x:v>
      </x:c>
      <x:c r="K1342" s="21" t="n">
        <x:v>-0.22332454072223906</x:v>
      </x:c>
      <x:c r="L1342" s="36" t="n">
        <x:f>IF(Assumptions!$B$4=2030,I1342,IF(Assumptions!$B$4=2035,J1342,K1342))</x:f>
        <x:v>-0.10481103667219127</x:v>
      </x:c>
      <x:c r="M1342" s="36" t="n">
        <x:f>Assumptions!$B$19</x:f>
        <x:v>-0.04739891965741583</x:v>
      </x:c>
      <x:c r="N1342" s="52" t="n">
        <x:f>H1342*L1342+(1-H1342)*M1342+O1342</x:f>
        <x:v>-0.09619921911997495</x:v>
      </x:c>
      <x:c r="O1342" s="36" t="n">
        <x:f>Assumptions!$B$10</x:f>
        <x:v>0</x:v>
      </x:c>
      <x:c r="P1342" s="54" t="n">
        <x:f>E1342*(1+N1342)</x:f>
        <x:v>3237.41439711225</x:v>
      </x:c>
      <x:c r="Q1342" s="54" t="n">
        <x:f>P1342-E1342</x:f>
        <x:v>-344.58560288775016</x:v>
      </x:c>
      <x:c r="R1342" s="16" t="str">
        <x:v>Yes</x:v>
      </x:c>
      <x:c r="S1342" s="56" t="n">
        <x:v>9092</x:v>
      </x:c>
      <x:c r="T1342" s="56" t="n">
        <x:v>9605</x:v>
      </x:c>
      <x:c r="U1342" s="40" t="n">
        <x:f>E1342*Assumptions!$B$8</x:f>
        <x:v>3044.7</x:v>
      </x:c>
      <x:c r="V1342" s="40" t="n">
        <x:f>P1342*Assumptions!$B$8</x:f>
        <x:v>2751.8022375454125</x:v>
      </x:c>
      <x:c r="W1342" s="54" t="n">
        <x:f>V1342-U1342</x:f>
        <x:v>-292.89776245458734</x:v>
      </x:c>
      <x:c r="X1342" s="58" t="n">
        <x:f>IF(R1342="No","",W1342*S1342)</x:f>
        <x:v>-2663026.456237108</x:v>
      </x:c>
      <x:c r="Y1342" s="58" t="n">
        <x:f>IF(R1342="No","",W1342*T1342*Assumptions!$B$9)</x:f>
        <x:v>-843984.9025128934</x:v>
      </x:c>
      <x:c r="Z1342" s="58" t="n">
        <x:f>IF(R1342="No","",X1342-Y1342)</x:f>
        <x:v>-1819041.5537242144</x:v>
      </x:c>
      <x:c r="AA1342" s="58" t="n">
        <x:f>IF(R1342="No","",MAX(0,-Z1342))</x:f>
        <x:v>1819041.5537242144</x:v>
      </x:c>
      <x:c r="AB1342" s="52" t="n">
        <x:f>IF(OR(R1342="No",U1342*S1342=0),"",AA1342/(U1342*S1342))</x:f>
        <x:v>0.06571109220684157</x:v>
      </x:c>
      <x:c r="AC1342" s="54" t="n">
        <x:f>IF(OR(R1342="No",S1342-T1342*Assumptions!$B$9&lt;=0),"",AA1342/(Assumptions!$B$8*(S1342-T1342*Assumptions!$B$9)))</x:f>
        <x:v>344.58560288774976</x:v>
      </x:c>
      <x:c r="AD1342" s="52" t="n">
        <x:f>IF(OR(R1342="No",U1342*S1342=0),"",AA1342/(U1342*S1342))</x:f>
        <x:v>0.06571109220684157</x:v>
      </x:c>
      <x:c r="AE1342" s="50" t="str">
        <x:f>IF(R1342="No","No finance data",IF(AB1342&gt;=10%,"Severe",IF(AB1342&gt;=5%,"High",IF(AB1342&gt;=2%,"Moderate","Low"))))</x:f>
        <x:v>High</x:v>
      </x:c>
      <x:c r="AF1342" s="60" t="n">
        <x:v>42.257152</x:v>
      </x:c>
      <x:c r="AG1342" s="60" t="n">
        <x:v>-121.785177</x:v>
      </x:c>
      <x:c r="AH1342" s="44" t="str">
        <x:v>Undergraduate tuition-contribution proxy only; not an audited total institutional budget.</x:v>
      </x:c>
    </x:row>
    <x:row r="1343">
      <x:c r="A1343" s="16" t="n">
        <x:v>209542</x:v>
      </x:c>
      <x:c r="B1343" s="16" t="str">
        <x:v>Oregon State University</x:v>
      </x:c>
      <x:c r="C1343" s="16" t="str">
        <x:v>OR</x:v>
      </x:c>
      <x:c r="D1343" s="16" t="str">
        <x:v>Public</x:v>
      </x:c>
      <x:c r="E1343" s="34" t="n">
        <x:v>23656</x:v>
      </x:c>
      <x:c r="F1343" s="21" t="n">
        <x:v>0.8921</x:v>
      </x:c>
      <x:c r="G1343" s="16" t="str">
        <x:v>Statewide</x:v>
      </x:c>
      <x:c r="H1343" s="36" t="n">
        <x:f>IF(G1343="National",Assumptions!$B$11,IF(G1343="Statewide",Assumptions!$B$12,Assumptions!$B$13))</x:f>
        <x:v>0.6</x:v>
      </x:c>
      <x:c r="I1343" s="21" t="n">
        <x:v>-0.08536613833189388</x:v>
      </x:c>
      <x:c r="J1343" s="21" t="n">
        <x:v>-0.10481103667219127</x:v>
      </x:c>
      <x:c r="K1343" s="21" t="n">
        <x:v>-0.22332454072223906</x:v>
      </x:c>
      <x:c r="L1343" s="36" t="n">
        <x:f>IF(Assumptions!$B$4=2030,I1343,IF(Assumptions!$B$4=2035,J1343,K1343))</x:f>
        <x:v>-0.10481103667219127</x:v>
      </x:c>
      <x:c r="M1343" s="36" t="n">
        <x:f>Assumptions!$B$19</x:f>
        <x:v>-0.04739891965741583</x:v>
      </x:c>
      <x:c r="N1343" s="52" t="n">
        <x:f>H1343*L1343+(1-H1343)*M1343+O1343</x:f>
        <x:v>-0.08184618986628109</x:v>
      </x:c>
      <x:c r="O1343" s="36" t="n">
        <x:f>Assumptions!$B$10</x:f>
        <x:v>0</x:v>
      </x:c>
      <x:c r="P1343" s="54" t="n">
        <x:f>E1343*(1+N1343)</x:f>
        <x:v>21719.846532523254</x:v>
      </x:c>
      <x:c r="Q1343" s="54" t="n">
        <x:f>P1343-E1343</x:f>
        <x:v>-1936.1534674767463</x:v>
      </x:c>
      <x:c r="R1343" s="16" t="str">
        <x:v>Yes</x:v>
      </x:c>
      <x:c r="S1343" s="56" t="n">
        <x:v>12585</x:v>
      </x:c>
      <x:c r="T1343" s="56" t="n">
        <x:v>11183</x:v>
      </x:c>
      <x:c r="U1343" s="40" t="n">
        <x:f>E1343*Assumptions!$B$8</x:f>
        <x:v>20107.6</x:v>
      </x:c>
      <x:c r="V1343" s="40" t="n">
        <x:f>P1343*Assumptions!$B$8</x:f>
        <x:v>18461.869552644766</x:v>
      </x:c>
      <x:c r="W1343" s="54" t="n">
        <x:f>V1343-U1343</x:f>
        <x:v>-1645.7304473552322</x:v>
      </x:c>
      <x:c r="X1343" s="58" t="n">
        <x:f>IF(R1343="No","",W1343*S1343)</x:f>
        <x:v>-20711517.679965597</x:v>
      </x:c>
      <x:c r="Y1343" s="58" t="n">
        <x:f>IF(R1343="No","",W1343*T1343*Assumptions!$B$9)</x:f>
        <x:v>-5521261.077832068</x:v>
      </x:c>
      <x:c r="Z1343" s="58" t="n">
        <x:f>IF(R1343="No","",X1343-Y1343)</x:f>
        <x:v>-15190256.602133527</x:v>
      </x:c>
      <x:c r="AA1343" s="58" t="n">
        <x:f>IF(R1343="No","",MAX(0,-Z1343))</x:f>
        <x:v>15190256.602133527</x:v>
      </x:c>
      <x:c r="AB1343" s="52" t="n">
        <x:f>IF(OR(R1343="No",U1343*S1343=0),"",AA1343/(U1343*S1343))</x:f>
        <x:v>0.060027693054013544</x:v>
      </x:c>
      <x:c r="AC1343" s="54" t="n">
        <x:f>IF(OR(R1343="No",S1343-T1343*Assumptions!$B$9&lt;=0),"",AA1343/(Assumptions!$B$8*(S1343-T1343*Assumptions!$B$9)))</x:f>
        <x:v>1936.1534674767436</x:v>
      </x:c>
      <x:c r="AD1343" s="52" t="n">
        <x:f>IF(OR(R1343="No",U1343*S1343=0),"",AA1343/(U1343*S1343))</x:f>
        <x:v>0.060027693054013544</x:v>
      </x:c>
      <x:c r="AE1343" s="50" t="str">
        <x:f>IF(R1343="No","No finance data",IF(AB1343&gt;=10%,"Severe",IF(AB1343&gt;=5%,"High",IF(AB1343&gt;=2%,"Moderate","Low"))))</x:f>
        <x:v>High</x:v>
      </x:c>
      <x:c r="AF1343" s="60" t="n">
        <x:v>44.56395</x:v>
      </x:c>
      <x:c r="AG1343" s="60" t="n">
        <x:v>-123.274723</x:v>
      </x:c>
      <x:c r="AH1343" s="44" t="str">
        <x:v>Undergraduate tuition-contribution proxy only; not an audited total institutional budget.</x:v>
      </x:c>
    </x:row>
    <x:row r="1344">
      <x:c r="A1344" s="16" t="n">
        <x:v>440828</x:v>
      </x:c>
      <x:c r="B1344" s="16" t="str">
        <x:v>Oregon State University-Cascades Campus</x:v>
      </x:c>
      <x:c r="C1344" s="16" t="str">
        <x:v>OR</x:v>
      </x:c>
      <x:c r="D1344" s="16" t="str">
        <x:v>Public</x:v>
      </x:c>
      <x:c r="E1344" s="34" t="n">
        <x:v>854</x:v>
      </x:c>
      <x:c r="F1344" s="21"/>
      <x:c r="G1344" s="16" t="str">
        <x:v>Regional</x:v>
      </x:c>
      <x:c r="H1344" s="36" t="n">
        <x:f>IF(G1344="National",Assumptions!$B$11,IF(G1344="Statewide",Assumptions!$B$12,Assumptions!$B$13))</x:f>
        <x:v>0.85</x:v>
      </x:c>
      <x:c r="I1344" s="21" t="n">
        <x:v>-0.08536613833189388</x:v>
      </x:c>
      <x:c r="J1344" s="21" t="n">
        <x:v>-0.10481103667219127</x:v>
      </x:c>
      <x:c r="K1344" s="21" t="n">
        <x:v>-0.22332454072223906</x:v>
      </x:c>
      <x:c r="L1344" s="36" t="n">
        <x:f>IF(Assumptions!$B$4=2030,I1344,IF(Assumptions!$B$4=2035,J1344,K1344))</x:f>
        <x:v>-0.10481103667219127</x:v>
      </x:c>
      <x:c r="M1344" s="36" t="n">
        <x:f>Assumptions!$B$19</x:f>
        <x:v>-0.04739891965741583</x:v>
      </x:c>
      <x:c r="N1344" s="52" t="n">
        <x:f>H1344*L1344+(1-H1344)*M1344+O1344</x:f>
        <x:v>-0.09619921911997495</x:v>
      </x:c>
      <x:c r="O1344" s="36" t="n">
        <x:f>Assumptions!$B$10</x:f>
        <x:v>0</x:v>
      </x:c>
      <x:c r="P1344" s="54" t="n">
        <x:f>E1344*(1+N1344)</x:f>
        <x:v>771.8458668715414</x:v>
      </x:c>
      <x:c r="Q1344" s="54" t="n">
        <x:f>P1344-E1344</x:f>
        <x:v>-82.15413312845862</x:v>
      </x:c>
      <x:c r="R1344" s="16" t="str">
        <x:v>No</x:v>
      </x:c>
      <x:c r="S1344" s="56"/>
      <x:c r="T1344" s="56"/>
      <x:c r="U1344" s="40" t="n">
        <x:f>E1344*Assumptions!$B$8</x:f>
        <x:v>725.9</x:v>
      </x:c>
      <x:c r="V1344" s="40" t="n">
        <x:f>P1344*Assumptions!$B$8</x:f>
        <x:v>656.0689868408101</x:v>
      </x:c>
      <x:c r="W1344" s="54" t="n">
        <x:f>V1344-U1344</x:f>
        <x:v>-69.83101315918987</x:v>
      </x:c>
      <x:c r="X1344" s="58" t="str">
        <x:f>IF(R1344="No","",W1344*S1344)</x:f>
      </x:c>
      <x:c r="Y1344" s="58" t="str">
        <x:f>IF(R1344="No","",W1344*T1344*Assumptions!$B$9)</x:f>
      </x:c>
      <x:c r="Z1344" s="58" t="str">
        <x:f>IF(R1344="No","",X1344-Y1344)</x:f>
      </x:c>
      <x:c r="AA1344" s="58" t="str">
        <x:f>IF(R1344="No","",MAX(0,-Z1344))</x:f>
      </x:c>
      <x:c r="AB1344" s="52" t="str">
        <x:f>IF(OR(R1344="No",U1344*S1344=0),"",AA1344/(U1344*S1344))</x:f>
      </x:c>
      <x:c r="AC1344" s="54" t="str">
        <x:f>IF(OR(R1344="No",S1344-T1344*Assumptions!$B$9&lt;=0),"",AA1344/(Assumptions!$B$8*(S1344-T1344*Assumptions!$B$9)))</x:f>
      </x:c>
      <x:c r="AD1344" s="52" t="str">
        <x:f>IF(OR(R1344="No",U1344*S1344=0),"",AA1344/(U1344*S1344))</x:f>
      </x:c>
      <x:c r="AE1344" s="50" t="str">
        <x:f>IF(R1344="No","No finance data",IF(AB1344&gt;=10%,"Severe",IF(AB1344&gt;=5%,"High",IF(AB1344&gt;=2%,"Moderate","Low"))))</x:f>
        <x:v>No finance data</x:v>
      </x:c>
      <x:c r="AF1344" s="60"/>
      <x:c r="AG1344" s="60"/>
      <x:c r="AH1344" s="44" t="str">
        <x:v>Undergraduate tuition-contribution proxy only; not an audited total institutional budget.</x:v>
      </x:c>
    </x:row>
    <x:row r="1345">
      <x:c r="A1345" s="16" t="n">
        <x:v>209603</x:v>
      </x:c>
      <x:c r="B1345" s="16" t="str">
        <x:v>Pacific Northwest College of Art</x:v>
      </x:c>
      <x:c r="C1345" s="16" t="str">
        <x:v>OR</x:v>
      </x:c>
      <x:c r="D1345" s="16" t="str">
        <x:v>Private nonprofit</x:v>
      </x:c>
      <x:c r="E1345" s="34" t="n">
        <x:v>399</x:v>
      </x:c>
      <x:c r="F1345" s="21"/>
      <x:c r="G1345" s="16" t="str">
        <x:v>Regional</x:v>
      </x:c>
      <x:c r="H1345" s="36" t="n">
        <x:f>IF(G1345="National",Assumptions!$B$11,IF(G1345="Statewide",Assumptions!$B$12,Assumptions!$B$13))</x:f>
        <x:v>0.85</x:v>
      </x:c>
      <x:c r="I1345" s="21" t="n">
        <x:v>-0.08536613833189388</x:v>
      </x:c>
      <x:c r="J1345" s="21" t="n">
        <x:v>-0.10481103667219127</x:v>
      </x:c>
      <x:c r="K1345" s="21" t="n">
        <x:v>-0.22332454072223906</x:v>
      </x:c>
      <x:c r="L1345" s="36" t="n">
        <x:f>IF(Assumptions!$B$4=2030,I1345,IF(Assumptions!$B$4=2035,J1345,K1345))</x:f>
        <x:v>-0.10481103667219127</x:v>
      </x:c>
      <x:c r="M1345" s="36" t="n">
        <x:f>Assumptions!$B$19</x:f>
        <x:v>-0.04739891965741583</x:v>
      </x:c>
      <x:c r="N1345" s="52" t="n">
        <x:f>H1345*L1345+(1-H1345)*M1345+O1345</x:f>
        <x:v>-0.09619921911997495</x:v>
      </x:c>
      <x:c r="O1345" s="36" t="n">
        <x:f>Assumptions!$B$10</x:f>
        <x:v>0</x:v>
      </x:c>
      <x:c r="P1345" s="54" t="n">
        <x:f>E1345*(1+N1345)</x:f>
        <x:v>360.61651157113</x:v>
      </x:c>
      <x:c r="Q1345" s="54" t="n">
        <x:f>P1345-E1345</x:f>
        <x:v>-38.38348842887001</x:v>
      </x:c>
      <x:c r="R1345" s="16" t="str">
        <x:v>No</x:v>
      </x:c>
      <x:c r="S1345" s="56"/>
      <x:c r="T1345" s="56"/>
      <x:c r="U1345" s="40" t="n">
        <x:f>E1345*Assumptions!$B$8</x:f>
        <x:v>339.15</x:v>
      </x:c>
      <x:c r="V1345" s="40" t="n">
        <x:f>P1345*Assumptions!$B$8</x:f>
        <x:v>306.5240348354605</x:v>
      </x:c>
      <x:c r="W1345" s="54" t="n">
        <x:f>V1345-U1345</x:f>
        <x:v>-32.62596516453948</x:v>
      </x:c>
      <x:c r="X1345" s="58" t="str">
        <x:f>IF(R1345="No","",W1345*S1345)</x:f>
      </x:c>
      <x:c r="Y1345" s="58" t="str">
        <x:f>IF(R1345="No","",W1345*T1345*Assumptions!$B$9)</x:f>
      </x:c>
      <x:c r="Z1345" s="58" t="str">
        <x:f>IF(R1345="No","",X1345-Y1345)</x:f>
      </x:c>
      <x:c r="AA1345" s="58" t="str">
        <x:f>IF(R1345="No","",MAX(0,-Z1345))</x:f>
      </x:c>
      <x:c r="AB1345" s="52" t="str">
        <x:f>IF(OR(R1345="No",U1345*S1345=0),"",AA1345/(U1345*S1345))</x:f>
      </x:c>
      <x:c r="AC1345" s="54" t="str">
        <x:f>IF(OR(R1345="No",S1345-T1345*Assumptions!$B$9&lt;=0),"",AA1345/(Assumptions!$B$8*(S1345-T1345*Assumptions!$B$9)))</x:f>
      </x:c>
      <x:c r="AD1345" s="52" t="str">
        <x:f>IF(OR(R1345="No",U1345*S1345=0),"",AA1345/(U1345*S1345))</x:f>
      </x:c>
      <x:c r="AE1345" s="50" t="str">
        <x:f>IF(R1345="No","No finance data",IF(AB1345&gt;=10%,"Severe",IF(AB1345&gt;=5%,"High",IF(AB1345&gt;=2%,"Moderate","Low"))))</x:f>
        <x:v>No finance data</x:v>
      </x:c>
      <x:c r="AF1345" s="60"/>
      <x:c r="AG1345" s="60"/>
      <x:c r="AH1345" s="44" t="str">
        <x:v>Undergraduate tuition-contribution proxy only; not an audited total institutional budget.</x:v>
      </x:c>
    </x:row>
    <x:row r="1346">
      <x:c r="A1346" s="16" t="n">
        <x:v>209612</x:v>
      </x:c>
      <x:c r="B1346" s="16" t="str">
        <x:v>Pacific University</x:v>
      </x:c>
      <x:c r="C1346" s="16" t="str">
        <x:v>OR</x:v>
      </x:c>
      <x:c r="D1346" s="16" t="str">
        <x:v>Private nonprofit</x:v>
      </x:c>
      <x:c r="E1346" s="34" t="n">
        <x:v>1884</x:v>
      </x:c>
      <x:c r="F1346" s="21" t="n">
        <x:v>0.9104</x:v>
      </x:c>
      <x:c r="G1346" s="16" t="str">
        <x:v>Regional</x:v>
      </x:c>
      <x:c r="H1346" s="36" t="n">
        <x:f>IF(G1346="National",Assumptions!$B$11,IF(G1346="Statewide",Assumptions!$B$12,Assumptions!$B$13))</x:f>
        <x:v>0.85</x:v>
      </x:c>
      <x:c r="I1346" s="21" t="n">
        <x:v>-0.08536613833189388</x:v>
      </x:c>
      <x:c r="J1346" s="21" t="n">
        <x:v>-0.10481103667219127</x:v>
      </x:c>
      <x:c r="K1346" s="21" t="n">
        <x:v>-0.22332454072223906</x:v>
      </x:c>
      <x:c r="L1346" s="36" t="n">
        <x:f>IF(Assumptions!$B$4=2030,I1346,IF(Assumptions!$B$4=2035,J1346,K1346))</x:f>
        <x:v>-0.10481103667219127</x:v>
      </x:c>
      <x:c r="M1346" s="36" t="n">
        <x:f>Assumptions!$B$19</x:f>
        <x:v>-0.04739891965741583</x:v>
      </x:c>
      <x:c r="N1346" s="52" t="n">
        <x:f>H1346*L1346+(1-H1346)*M1346+O1346</x:f>
        <x:v>-0.09619921911997495</x:v>
      </x:c>
      <x:c r="O1346" s="36" t="n">
        <x:f>Assumptions!$B$10</x:f>
        <x:v>0</x:v>
      </x:c>
      <x:c r="P1346" s="54" t="n">
        <x:f>E1346*(1+N1346)</x:f>
        <x:v>1702.7606711779672</x:v>
      </x:c>
      <x:c r="Q1346" s="54" t="n">
        <x:f>P1346-E1346</x:f>
        <x:v>-181.2393288220328</x:v>
      </x:c>
      <x:c r="R1346" s="16" t="str">
        <x:v>Yes</x:v>
      </x:c>
      <x:c r="S1346" s="56" t="n">
        <x:v>25392</x:v>
      </x:c>
      <x:c r="T1346" s="56" t="n">
        <x:v>11503</x:v>
      </x:c>
      <x:c r="U1346" s="40" t="n">
        <x:f>E1346*Assumptions!$B$8</x:f>
        <x:v>1601.3999999999999</x:v>
      </x:c>
      <x:c r="V1346" s="40" t="n">
        <x:f>P1346*Assumptions!$B$8</x:f>
        <x:v>1447.346570501272</x:v>
      </x:c>
      <x:c r="W1346" s="54" t="n">
        <x:f>V1346-U1346</x:f>
        <x:v>-154.05342949872784</x:v>
      </x:c>
      <x:c r="X1346" s="58" t="n">
        <x:f>IF(R1346="No","",W1346*S1346)</x:f>
        <x:v>-3911724.6818316975</x:v>
      </x:c>
      <x:c r="Y1346" s="58" t="n">
        <x:f>IF(R1346="No","",W1346*T1346*Assumptions!$B$9)</x:f>
        <x:v>-531622.9798571599</x:v>
      </x:c>
      <x:c r="Z1346" s="58" t="n">
        <x:f>IF(R1346="No","",X1346-Y1346)</x:f>
        <x:v>-3380101.7019745377</x:v>
      </x:c>
      <x:c r="AA1346" s="58" t="n">
        <x:f>IF(R1346="No","",MAX(0,-Z1346))</x:f>
        <x:v>3380101.7019745377</x:v>
      </x:c>
      <x:c r="AB1346" s="52" t="n">
        <x:f>IF(OR(R1346="No",U1346*S1346=0),"",AA1346/(U1346*S1346))</x:f>
        <x:v>0.08312526333621936</x:v>
      </x:c>
      <x:c r="AC1346" s="54" t="n">
        <x:f>IF(OR(R1346="No",S1346-T1346*Assumptions!$B$9&lt;=0),"",AA1346/(Assumptions!$B$8*(S1346-T1346*Assumptions!$B$9)))</x:f>
        <x:v>181.2393288220328</x:v>
      </x:c>
      <x:c r="AD1346" s="52" t="n">
        <x:f>IF(OR(R1346="No",U1346*S1346=0),"",AA1346/(U1346*S1346))</x:f>
        <x:v>0.08312526333621936</x:v>
      </x:c>
      <x:c r="AE1346" s="50" t="str">
        <x:f>IF(R1346="No","No finance data",IF(AB1346&gt;=10%,"Severe",IF(AB1346&gt;=5%,"High",IF(AB1346&gt;=2%,"Moderate","Low"))))</x:f>
        <x:v>High</x:v>
      </x:c>
      <x:c r="AF1346" s="60" t="n">
        <x:v>45.521394</x:v>
      </x:c>
      <x:c r="AG1346" s="60" t="n">
        <x:v>-123.108777</x:v>
      </x:c>
      <x:c r="AH1346" s="44" t="str">
        <x:v>Undergraduate tuition-contribution proxy only; not an audited total institutional budget.</x:v>
      </x:c>
    </x:row>
    <x:row r="1347">
      <x:c r="A1347" s="16" t="n">
        <x:v>209807</x:v>
      </x:c>
      <x:c r="B1347" s="16" t="str">
        <x:v>Portland State University</x:v>
      </x:c>
      <x:c r="C1347" s="16" t="str">
        <x:v>OR</x:v>
      </x:c>
      <x:c r="D1347" s="16" t="str">
        <x:v>Public</x:v>
      </x:c>
      <x:c r="E1347" s="34" t="n">
        <x:v>19648</x:v>
      </x:c>
      <x:c r="F1347" s="21" t="n">
        <x:v>0.9843</x:v>
      </x:c>
      <x:c r="G1347" s="16" t="str">
        <x:v>Statewide</x:v>
      </x:c>
      <x:c r="H1347" s="36" t="n">
        <x:f>IF(G1347="National",Assumptions!$B$11,IF(G1347="Statewide",Assumptions!$B$12,Assumptions!$B$13))</x:f>
        <x:v>0.6</x:v>
      </x:c>
      <x:c r="I1347" s="21" t="n">
        <x:v>-0.08536613833189388</x:v>
      </x:c>
      <x:c r="J1347" s="21" t="n">
        <x:v>-0.10481103667219127</x:v>
      </x:c>
      <x:c r="K1347" s="21" t="n">
        <x:v>-0.22332454072223906</x:v>
      </x:c>
      <x:c r="L1347" s="36" t="n">
        <x:f>IF(Assumptions!$B$4=2030,I1347,IF(Assumptions!$B$4=2035,J1347,K1347))</x:f>
        <x:v>-0.10481103667219127</x:v>
      </x:c>
      <x:c r="M1347" s="36" t="n">
        <x:f>Assumptions!$B$19</x:f>
        <x:v>-0.04739891965741583</x:v>
      </x:c>
      <x:c r="N1347" s="52" t="n">
        <x:f>H1347*L1347+(1-H1347)*M1347+O1347</x:f>
        <x:v>-0.08184618986628109</x:v>
      </x:c>
      <x:c r="O1347" s="36" t="n">
        <x:f>Assumptions!$B$10</x:f>
        <x:v>0</x:v>
      </x:c>
      <x:c r="P1347" s="54" t="n">
        <x:f>E1347*(1+N1347)</x:f>
        <x:v>18039.88606150731</x:v>
      </x:c>
      <x:c r="Q1347" s="54" t="n">
        <x:f>P1347-E1347</x:f>
        <x:v>-1608.11393849269</x:v>
      </x:c>
      <x:c r="R1347" s="16" t="str">
        <x:v>Yes</x:v>
      </x:c>
      <x:c r="S1347" s="56" t="n">
        <x:v>10003</x:v>
      </x:c>
      <x:c r="T1347" s="56" t="n">
        <x:v>9642</x:v>
      </x:c>
      <x:c r="U1347" s="40" t="n">
        <x:f>E1347*Assumptions!$B$8</x:f>
        <x:v>16700.8</x:v>
      </x:c>
      <x:c r="V1347" s="40" t="n">
        <x:f>P1347*Assumptions!$B$8</x:f>
        <x:v>15333.903152281213</x:v>
      </x:c>
      <x:c r="W1347" s="54" t="n">
        <x:f>V1347-U1347</x:f>
        <x:v>-1366.8968477187864</x:v>
      </x:c>
      <x:c r="X1347" s="58" t="n">
        <x:f>IF(R1347="No","",W1347*S1347)</x:f>
        <x:v>-13673069.16773102</x:v>
      </x:c>
      <x:c r="Y1347" s="58" t="n">
        <x:f>IF(R1347="No","",W1347*T1347*Assumptions!$B$9)</x:f>
        <x:v>-3953885.821711361</x:v>
      </x:c>
      <x:c r="Z1347" s="58" t="n">
        <x:f>IF(R1347="No","",X1347-Y1347)</x:f>
        <x:v>-9719183.34601966</x:v>
      </x:c>
      <x:c r="AA1347" s="58" t="n">
        <x:f>IF(R1347="No","",MAX(0,-Z1347))</x:f>
        <x:v>9719183.34601966</x:v>
      </x:c>
      <x:c r="AB1347" s="52" t="n">
        <x:f>IF(OR(R1347="No",U1347*S1347=0),"",AA1347/(U1347*S1347))</x:f>
        <x:v>0.05817846130412923</x:v>
      </x:c>
      <x:c r="AC1347" s="54" t="n">
        <x:f>IF(OR(R1347="No",S1347-T1347*Assumptions!$B$9&lt;=0),"",AA1347/(Assumptions!$B$8*(S1347-T1347*Assumptions!$B$9)))</x:f>
        <x:v>1608.11393849269</x:v>
      </x:c>
      <x:c r="AD1347" s="52" t="n">
        <x:f>IF(OR(R1347="No",U1347*S1347=0),"",AA1347/(U1347*S1347))</x:f>
        <x:v>0.05817846130412923</x:v>
      </x:c>
      <x:c r="AE1347" s="50" t="str">
        <x:f>IF(R1347="No","No finance data",IF(AB1347&gt;=10%,"Severe",IF(AB1347&gt;=5%,"High",IF(AB1347&gt;=2%,"Moderate","Low"))))</x:f>
        <x:v>High</x:v>
      </x:c>
      <x:c r="AF1347" s="60" t="n">
        <x:v>45.511601</x:v>
      </x:c>
      <x:c r="AG1347" s="60" t="n">
        <x:v>-122.686289</x:v>
      </x:c>
      <x:c r="AH1347" s="44" t="str">
        <x:v>Undergraduate tuition-contribution proxy only; not an audited total institutional budget.</x:v>
      </x:c>
    </x:row>
    <x:row r="1348">
      <x:c r="A1348" s="16" t="n">
        <x:v>209922</x:v>
      </x:c>
      <x:c r="B1348" s="16" t="str">
        <x:v>Reed College</x:v>
      </x:c>
      <x:c r="C1348" s="16" t="str">
        <x:v>OR</x:v>
      </x:c>
      <x:c r="D1348" s="16" t="str">
        <x:v>Private nonprofit</x:v>
      </x:c>
      <x:c r="E1348" s="34" t="n">
        <x:v>1396</x:v>
      </x:c>
      <x:c r="F1348" s="21" t="n">
        <x:v>0.4381</x:v>
      </x:c>
      <x:c r="G1348" s="16" t="str">
        <x:v>Regional</x:v>
      </x:c>
      <x:c r="H1348" s="36" t="n">
        <x:f>IF(G1348="National",Assumptions!$B$11,IF(G1348="Statewide",Assumptions!$B$12,Assumptions!$B$13))</x:f>
        <x:v>0.85</x:v>
      </x:c>
      <x:c r="I1348" s="21" t="n">
        <x:v>-0.08536613833189388</x:v>
      </x:c>
      <x:c r="J1348" s="21" t="n">
        <x:v>-0.10481103667219127</x:v>
      </x:c>
      <x:c r="K1348" s="21" t="n">
        <x:v>-0.22332454072223906</x:v>
      </x:c>
      <x:c r="L1348" s="36" t="n">
        <x:f>IF(Assumptions!$B$4=2030,I1348,IF(Assumptions!$B$4=2035,J1348,K1348))</x:f>
        <x:v>-0.10481103667219127</x:v>
      </x:c>
      <x:c r="M1348" s="36" t="n">
        <x:f>Assumptions!$B$19</x:f>
        <x:v>-0.04739891965741583</x:v>
      </x:c>
      <x:c r="N1348" s="52" t="n">
        <x:f>H1348*L1348+(1-H1348)*M1348+O1348</x:f>
        <x:v>-0.09619921911997495</x:v>
      </x:c>
      <x:c r="O1348" s="36" t="n">
        <x:f>Assumptions!$B$10</x:f>
        <x:v>0</x:v>
      </x:c>
      <x:c r="P1348" s="54" t="n">
        <x:f>E1348*(1+N1348)</x:f>
        <x:v>1261.705890108515</x:v>
      </x:c>
      <x:c r="Q1348" s="54" t="n">
        <x:f>P1348-E1348</x:f>
        <x:v>-134.29410989148505</x:v>
      </x:c>
      <x:c r="R1348" s="16" t="str">
        <x:v>Yes</x:v>
      </x:c>
      <x:c r="S1348" s="56" t="n">
        <x:v>36939</x:v>
      </x:c>
      <x:c r="T1348" s="56" t="n">
        <x:v>27013</x:v>
      </x:c>
      <x:c r="U1348" s="40" t="n">
        <x:f>E1348*Assumptions!$B$8</x:f>
        <x:v>1186.6</x:v>
      </x:c>
      <x:c r="V1348" s="40" t="n">
        <x:f>P1348*Assumptions!$B$8</x:f>
        <x:v>1072.4500065922377</x:v>
      </x:c>
      <x:c r="W1348" s="54" t="n">
        <x:f>V1348-U1348</x:f>
        <x:v>-114.14999340776217</x:v>
      </x:c>
      <x:c r="X1348" s="58" t="n">
        <x:f>IF(R1348="No","",W1348*S1348)</x:f>
        <x:v>-4216586.606489327</x:v>
      </x:c>
      <x:c r="Y1348" s="58" t="n">
        <x:f>IF(R1348="No","",W1348*T1348*Assumptions!$B$9)</x:f>
        <x:v>-925060.1315771638</x:v>
      </x:c>
      <x:c r="Z1348" s="58" t="n">
        <x:f>IF(R1348="No","",X1348-Y1348)</x:f>
        <x:v>-3291526.474912163</x:v>
      </x:c>
      <x:c r="AA1348" s="58" t="n">
        <x:f>IF(R1348="No","",MAX(0,-Z1348))</x:f>
        <x:v>3291526.474912163</x:v>
      </x:c>
      <x:c r="AB1348" s="52" t="n">
        <x:f>IF(OR(R1348="No",U1348*S1348=0),"",AA1348/(U1348*S1348))</x:f>
        <x:v>0.07509445581218731</x:v>
      </x:c>
      <x:c r="AC1348" s="54" t="n">
        <x:f>IF(OR(R1348="No",S1348-T1348*Assumptions!$B$9&lt;=0),"",AA1348/(Assumptions!$B$8*(S1348-T1348*Assumptions!$B$9)))</x:f>
        <x:v>134.2941098914849</x:v>
      </x:c>
      <x:c r="AD1348" s="52" t="n">
        <x:f>IF(OR(R1348="No",U1348*S1348=0),"",AA1348/(U1348*S1348))</x:f>
        <x:v>0.07509445581218731</x:v>
      </x:c>
      <x:c r="AE1348" s="50" t="str">
        <x:f>IF(R1348="No","No finance data",IF(AB1348&gt;=10%,"Severe",IF(AB1348&gt;=5%,"High",IF(AB1348&gt;=2%,"Moderate","Low"))))</x:f>
        <x:v>High</x:v>
      </x:c>
      <x:c r="AF1348" s="60" t="n">
        <x:v>45.480959</x:v>
      </x:c>
      <x:c r="AG1348" s="60" t="n">
        <x:v>-122.630348</x:v>
      </x:c>
      <x:c r="AH1348" s="44" t="str">
        <x:v>Undergraduate tuition-contribution proxy only; not an audited total institutional budget.</x:v>
      </x:c>
    </x:row>
    <x:row r="1349">
      <x:c r="A1349" s="16" t="n">
        <x:v>210146</x:v>
      </x:c>
      <x:c r="B1349" s="16" t="str">
        <x:v>Southern Oregon University</x:v>
      </x:c>
      <x:c r="C1349" s="16" t="str">
        <x:v>OR</x:v>
      </x:c>
      <x:c r="D1349" s="16" t="str">
        <x:v>Public</x:v>
      </x:c>
      <x:c r="E1349" s="34" t="n">
        <x:v>4316</x:v>
      </x:c>
      <x:c r="F1349" s="21" t="n">
        <x:v>0.897</x:v>
      </x:c>
      <x:c r="G1349" s="16" t="str">
        <x:v>Regional</x:v>
      </x:c>
      <x:c r="H1349" s="36" t="n">
        <x:f>IF(G1349="National",Assumptions!$B$11,IF(G1349="Statewide",Assumptions!$B$12,Assumptions!$B$13))</x:f>
        <x:v>0.85</x:v>
      </x:c>
      <x:c r="I1349" s="21" t="n">
        <x:v>-0.08536613833189388</x:v>
      </x:c>
      <x:c r="J1349" s="21" t="n">
        <x:v>-0.10481103667219127</x:v>
      </x:c>
      <x:c r="K1349" s="21" t="n">
        <x:v>-0.22332454072223906</x:v>
      </x:c>
      <x:c r="L1349" s="36" t="n">
        <x:f>IF(Assumptions!$B$4=2030,I1349,IF(Assumptions!$B$4=2035,J1349,K1349))</x:f>
        <x:v>-0.10481103667219127</x:v>
      </x:c>
      <x:c r="M1349" s="36" t="n">
        <x:f>Assumptions!$B$19</x:f>
        <x:v>-0.04739891965741583</x:v>
      </x:c>
      <x:c r="N1349" s="52" t="n">
        <x:f>H1349*L1349+(1-H1349)*M1349+O1349</x:f>
        <x:v>-0.09619921911997495</x:v>
      </x:c>
      <x:c r="O1349" s="36" t="n">
        <x:f>Assumptions!$B$10</x:f>
        <x:v>0</x:v>
      </x:c>
      <x:c r="P1349" s="54" t="n">
        <x:f>E1349*(1+N1349)</x:f>
        <x:v>3900.804170278188</x:v>
      </x:c>
      <x:c r="Q1349" s="54" t="n">
        <x:f>P1349-E1349</x:f>
        <x:v>-415.19582972181206</x:v>
      </x:c>
      <x:c r="R1349" s="16" t="str">
        <x:v>Yes</x:v>
      </x:c>
      <x:c r="S1349" s="56" t="n">
        <x:v>8027</x:v>
      </x:c>
      <x:c r="T1349" s="56" t="n">
        <x:v>8758</x:v>
      </x:c>
      <x:c r="U1349" s="40" t="n">
        <x:f>E1349*Assumptions!$B$8</x:f>
        <x:v>3668.6</x:v>
      </x:c>
      <x:c r="V1349" s="40" t="n">
        <x:f>P1349*Assumptions!$B$8</x:f>
        <x:v>3315.6835447364597</x:v>
      </x:c>
      <x:c r="W1349" s="54" t="n">
        <x:f>V1349-U1349</x:f>
        <x:v>-352.91645526354023</x:v>
      </x:c>
      <x:c r="X1349" s="58" t="n">
        <x:f>IF(R1349="No","",W1349*S1349)</x:f>
        <x:v>-2832860.3864004374</x:v>
      </x:c>
      <x:c r="Y1349" s="58" t="n">
        <x:f>IF(R1349="No","",W1349*T1349*Assumptions!$B$9)</x:f>
        <x:v>-927252.6945594256</x:v>
      </x:c>
      <x:c r="Z1349" s="58" t="n">
        <x:f>IF(R1349="No","",X1349-Y1349)</x:f>
        <x:v>-1905607.6918410119</x:v>
      </x:c>
      <x:c r="AA1349" s="58" t="n">
        <x:f>IF(R1349="No","",MAX(0,-Z1349))</x:f>
        <x:v>1905607.6918410119</x:v>
      </x:c>
      <x:c r="AB1349" s="52" t="n">
        <x:f>IF(OR(R1349="No",U1349*S1349=0),"",AA1349/(U1349*S1349))</x:f>
        <x:v>0.06471126243431131</x:v>
      </x:c>
      <x:c r="AC1349" s="54" t="n">
        <x:f>IF(OR(R1349="No",S1349-T1349*Assumptions!$B$9&lt;=0),"",AA1349/(Assumptions!$B$8*(S1349-T1349*Assumptions!$B$9)))</x:f>
        <x:v>415.19582972181206</x:v>
      </x:c>
      <x:c r="AD1349" s="52" t="n">
        <x:f>IF(OR(R1349="No",U1349*S1349=0),"",AA1349/(U1349*S1349))</x:f>
        <x:v>0.06471126243431131</x:v>
      </x:c>
      <x:c r="AE1349" s="50" t="str">
        <x:f>IF(R1349="No","No finance data",IF(AB1349&gt;=10%,"Severe",IF(AB1349&gt;=5%,"High",IF(AB1349&gt;=2%,"Moderate","Low"))))</x:f>
        <x:v>High</x:v>
      </x:c>
      <x:c r="AF1349" s="60" t="n">
        <x:v>42.185077</x:v>
      </x:c>
      <x:c r="AG1349" s="60" t="n">
        <x:v>-122.695081</x:v>
      </x:c>
      <x:c r="AH1349" s="44" t="str">
        <x:v>Undergraduate tuition-contribution proxy only; not an audited total institutional budget.</x:v>
      </x:c>
    </x:row>
    <x:row r="1350">
      <x:c r="A1350" s="16" t="n">
        <x:v>209551</x:v>
      </x:c>
      <x:c r="B1350" s="16" t="str">
        <x:v>University of Oregon</x:v>
      </x:c>
      <x:c r="C1350" s="16" t="str">
        <x:v>OR</x:v>
      </x:c>
      <x:c r="D1350" s="16" t="str">
        <x:v>Public</x:v>
      </x:c>
      <x:c r="E1350" s="34" t="n">
        <x:v>20220</x:v>
      </x:c>
      <x:c r="F1350" s="21" t="n">
        <x:v>0.9342</x:v>
      </x:c>
      <x:c r="G1350" s="16" t="str">
        <x:v>Statewide</x:v>
      </x:c>
      <x:c r="H1350" s="36" t="n">
        <x:f>IF(G1350="National",Assumptions!$B$11,IF(G1350="Statewide",Assumptions!$B$12,Assumptions!$B$13))</x:f>
        <x:v>0.6</x:v>
      </x:c>
      <x:c r="I1350" s="21" t="n">
        <x:v>-0.08536613833189388</x:v>
      </x:c>
      <x:c r="J1350" s="21" t="n">
        <x:v>-0.10481103667219127</x:v>
      </x:c>
      <x:c r="K1350" s="21" t="n">
        <x:v>-0.22332454072223906</x:v>
      </x:c>
      <x:c r="L1350" s="36" t="n">
        <x:f>IF(Assumptions!$B$4=2030,I1350,IF(Assumptions!$B$4=2035,J1350,K1350))</x:f>
        <x:v>-0.10481103667219127</x:v>
      </x:c>
      <x:c r="M1350" s="36" t="n">
        <x:f>Assumptions!$B$19</x:f>
        <x:v>-0.04739891965741583</x:v>
      </x:c>
      <x:c r="N1350" s="52" t="n">
        <x:f>H1350*L1350+(1-H1350)*M1350+O1350</x:f>
        <x:v>-0.08184618986628109</x:v>
      </x:c>
      <x:c r="O1350" s="36" t="n">
        <x:f>Assumptions!$B$10</x:f>
        <x:v>0</x:v>
      </x:c>
      <x:c r="P1350" s="54" t="n">
        <x:f>E1350*(1+N1350)</x:f>
        <x:v>18565.070040903796</x:v>
      </x:c>
      <x:c r="Q1350" s="54" t="n">
        <x:f>P1350-E1350</x:f>
        <x:v>-1654.9299590962037</x:v>
      </x:c>
      <x:c r="R1350" s="16" t="str">
        <x:v>Yes</x:v>
      </x:c>
      <x:c r="S1350" s="56" t="n">
        <x:v>17658</x:v>
      </x:c>
      <x:c r="T1350" s="56" t="n">
        <x:v>15491</x:v>
      </x:c>
      <x:c r="U1350" s="40" t="n">
        <x:f>E1350*Assumptions!$B$8</x:f>
        <x:v>17187</x:v>
      </x:c>
      <x:c r="V1350" s="40" t="n">
        <x:f>P1350*Assumptions!$B$8</x:f>
        <x:v>15780.309534768227</x:v>
      </x:c>
      <x:c r="W1350" s="54" t="n">
        <x:f>V1350-U1350</x:f>
        <x:v>-1406.6904652317735</x:v>
      </x:c>
      <x:c r="X1350" s="58" t="n">
        <x:f>IF(R1350="No","",W1350*S1350)</x:f>
        <x:v>-24839340.235062655</x:v>
      </x:c>
      <x:c r="Y1350" s="58" t="n">
        <x:f>IF(R1350="No","",W1350*T1350*Assumptions!$B$9)</x:f>
        <x:v>-6537312.59907162</x:v>
      </x:c>
      <x:c r="Z1350" s="58" t="n">
        <x:f>IF(R1350="No","",X1350-Y1350)</x:f>
        <x:v>-18302027.635991037</x:v>
      </x:c>
      <x:c r="AA1350" s="58" t="n">
        <x:f>IF(R1350="No","",MAX(0,-Z1350))</x:f>
        <x:v>18302027.635991037</x:v>
      </x:c>
      <x:c r="AB1350" s="52" t="n">
        <x:f>IF(OR(R1350="No",U1350*S1350=0),"",AA1350/(U1350*S1350))</x:f>
        <x:v>0.060305596471470366</x:v>
      </x:c>
      <x:c r="AC1350" s="54" t="n">
        <x:f>IF(OR(R1350="No",S1350-T1350*Assumptions!$B$9&lt;=0),"",AA1350/(Assumptions!$B$8*(S1350-T1350*Assumptions!$B$9)))</x:f>
        <x:v>1654.9299590962041</x:v>
      </x:c>
      <x:c r="AD1350" s="52" t="n">
        <x:f>IF(OR(R1350="No",U1350*S1350=0),"",AA1350/(U1350*S1350))</x:f>
        <x:v>0.060305596471470366</x:v>
      </x:c>
      <x:c r="AE1350" s="50" t="str">
        <x:f>IF(R1350="No","No finance data",IF(AB1350&gt;=10%,"Severe",IF(AB1350&gt;=5%,"High",IF(AB1350&gt;=2%,"Moderate","Low"))))</x:f>
        <x:v>High</x:v>
      </x:c>
      <x:c r="AF1350" s="60" t="n">
        <x:v>44.045146</x:v>
      </x:c>
      <x:c r="AG1350" s="60" t="n">
        <x:v>-123.075792</x:v>
      </x:c>
      <x:c r="AH1350" s="44" t="str">
        <x:v>Undergraduate tuition-contribution proxy only; not an audited total institutional budget.</x:v>
      </x:c>
    </x:row>
    <x:row r="1351">
      <x:c r="A1351" s="16" t="n">
        <x:v>209825</x:v>
      </x:c>
      <x:c r="B1351" s="16" t="str">
        <x:v>University of Portland</x:v>
      </x:c>
      <x:c r="C1351" s="16" t="str">
        <x:v>OR</x:v>
      </x:c>
      <x:c r="D1351" s="16" t="str">
        <x:v>Private nonprofit</x:v>
      </x:c>
      <x:c r="E1351" s="34" t="n">
        <x:v>3741</x:v>
      </x:c>
      <x:c r="F1351" s="21" t="n">
        <x:v>0.8119</x:v>
      </x:c>
      <x:c r="G1351" s="16" t="str">
        <x:v>Regional</x:v>
      </x:c>
      <x:c r="H1351" s="36" t="n">
        <x:f>IF(G1351="National",Assumptions!$B$11,IF(G1351="Statewide",Assumptions!$B$12,Assumptions!$B$13))</x:f>
        <x:v>0.85</x:v>
      </x:c>
      <x:c r="I1351" s="21" t="n">
        <x:v>-0.08536613833189388</x:v>
      </x:c>
      <x:c r="J1351" s="21" t="n">
        <x:v>-0.10481103667219127</x:v>
      </x:c>
      <x:c r="K1351" s="21" t="n">
        <x:v>-0.22332454072223906</x:v>
      </x:c>
      <x:c r="L1351" s="36" t="n">
        <x:f>IF(Assumptions!$B$4=2030,I1351,IF(Assumptions!$B$4=2035,J1351,K1351))</x:f>
        <x:v>-0.10481103667219127</x:v>
      </x:c>
      <x:c r="M1351" s="36" t="n">
        <x:f>Assumptions!$B$19</x:f>
        <x:v>-0.04739891965741583</x:v>
      </x:c>
      <x:c r="N1351" s="52" t="n">
        <x:f>H1351*L1351+(1-H1351)*M1351+O1351</x:f>
        <x:v>-0.09619921911997495</x:v>
      </x:c>
      <x:c r="O1351" s="36" t="n">
        <x:f>Assumptions!$B$10</x:f>
        <x:v>0</x:v>
      </x:c>
      <x:c r="P1351" s="54" t="n">
        <x:f>E1351*(1+N1351)</x:f>
        <x:v>3381.1187212721734</x:v>
      </x:c>
      <x:c r="Q1351" s="54" t="n">
        <x:f>P1351-E1351</x:f>
        <x:v>-359.8812787278266</x:v>
      </x:c>
      <x:c r="R1351" s="16" t="str">
        <x:v>Yes</x:v>
      </x:c>
      <x:c r="S1351" s="56" t="n">
        <x:v>23803</x:v>
      </x:c>
      <x:c r="T1351" s="56" t="n">
        <x:v>14188</x:v>
      </x:c>
      <x:c r="U1351" s="40" t="n">
        <x:f>E1351*Assumptions!$B$8</x:f>
        <x:v>3179.85</x:v>
      </x:c>
      <x:c r="V1351" s="40" t="n">
        <x:f>P1351*Assumptions!$B$8</x:f>
        <x:v>2873.950913081347</x:v>
      </x:c>
      <x:c r="W1351" s="54" t="n">
        <x:f>V1351-U1351</x:f>
        <x:v>-305.89908691865276</x:v>
      </x:c>
      <x:c r="X1351" s="58" t="n">
        <x:f>IF(R1351="No","",W1351*S1351)</x:f>
        <x:v>-7281315.965924691</x:v>
      </x:c>
      <x:c r="Y1351" s="58" t="n">
        <x:f>IF(R1351="No","",W1351*T1351*Assumptions!$B$9)</x:f>
        <x:v>-1302028.8735605536</x:v>
      </x:c>
      <x:c r="Z1351" s="58" t="n">
        <x:f>IF(R1351="No","",X1351-Y1351)</x:f>
        <x:v>-5979287.092364138</x:v>
      </x:c>
      <x:c r="AA1351" s="58" t="n">
        <x:f>IF(R1351="No","",MAX(0,-Z1351))</x:f>
        <x:v>5979287.092364138</x:v>
      </x:c>
      <x:c r="AB1351" s="52" t="n">
        <x:f>IF(OR(R1351="No",U1351*S1351=0),"",AA1351/(U1351*S1351))</x:f>
        <x:v>0.07899708677269693</x:v>
      </x:c>
      <x:c r="AC1351" s="54" t="n">
        <x:f>IF(OR(R1351="No",S1351-T1351*Assumptions!$B$9&lt;=0),"",AA1351/(Assumptions!$B$8*(S1351-T1351*Assumptions!$B$9)))</x:f>
        <x:v>359.88127872782684</x:v>
      </x:c>
      <x:c r="AD1351" s="52" t="n">
        <x:f>IF(OR(R1351="No",U1351*S1351=0),"",AA1351/(U1351*S1351))</x:f>
        <x:v>0.07899708677269693</x:v>
      </x:c>
      <x:c r="AE1351" s="50" t="str">
        <x:f>IF(R1351="No","No finance data",IF(AB1351&gt;=10%,"Severe",IF(AB1351&gt;=5%,"High",IF(AB1351&gt;=2%,"Moderate","Low"))))</x:f>
        <x:v>High</x:v>
      </x:c>
      <x:c r="AF1351" s="60" t="n">
        <x:v>45.572724</x:v>
      </x:c>
      <x:c r="AG1351" s="60" t="n">
        <x:v>-122.726691</x:v>
      </x:c>
      <x:c r="AH1351" s="44" t="str">
        <x:v>Undergraduate tuition-contribution proxy only; not an audited total institutional budget.</x:v>
      </x:c>
    </x:row>
    <x:row r="1352">
      <x:c r="A1352" s="16" t="n">
        <x:v>210304</x:v>
      </x:c>
      <x:c r="B1352" s="16" t="str">
        <x:v>Warner Pacific College</x:v>
      </x:c>
      <x:c r="C1352" s="16" t="str">
        <x:v>OR</x:v>
      </x:c>
      <x:c r="D1352" s="16" t="str">
        <x:v>Private nonprofit</x:v>
      </x:c>
      <x:c r="E1352" s="34" t="n">
        <x:v>519</x:v>
      </x:c>
      <x:c r="F1352" s="21"/>
      <x:c r="G1352" s="16" t="str">
        <x:v>Regional</x:v>
      </x:c>
      <x:c r="H1352" s="36" t="n">
        <x:f>IF(G1352="National",Assumptions!$B$11,IF(G1352="Statewide",Assumptions!$B$12,Assumptions!$B$13))</x:f>
        <x:v>0.85</x:v>
      </x:c>
      <x:c r="I1352" s="21" t="n">
        <x:v>-0.08536613833189388</x:v>
      </x:c>
      <x:c r="J1352" s="21" t="n">
        <x:v>-0.10481103667219127</x:v>
      </x:c>
      <x:c r="K1352" s="21" t="n">
        <x:v>-0.22332454072223906</x:v>
      </x:c>
      <x:c r="L1352" s="36" t="n">
        <x:f>IF(Assumptions!$B$4=2030,I1352,IF(Assumptions!$B$4=2035,J1352,K1352))</x:f>
        <x:v>-0.10481103667219127</x:v>
      </x:c>
      <x:c r="M1352" s="36" t="n">
        <x:f>Assumptions!$B$19</x:f>
        <x:v>-0.04739891965741583</x:v>
      </x:c>
      <x:c r="N1352" s="52" t="n">
        <x:f>H1352*L1352+(1-H1352)*M1352+O1352</x:f>
        <x:v>-0.09619921911997495</x:v>
      </x:c>
      <x:c r="O1352" s="36" t="n">
        <x:f>Assumptions!$B$10</x:f>
        <x:v>0</x:v>
      </x:c>
      <x:c r="P1352" s="54" t="n">
        <x:f>E1352*(1+N1352)</x:f>
        <x:v>469.072605276733</x:v>
      </x:c>
      <x:c r="Q1352" s="54" t="n">
        <x:f>P1352-E1352</x:f>
        <x:v>-49.927394723267014</x:v>
      </x:c>
      <x:c r="R1352" s="16" t="str">
        <x:v>No</x:v>
      </x:c>
      <x:c r="S1352" s="56"/>
      <x:c r="T1352" s="56"/>
      <x:c r="U1352" s="40" t="n">
        <x:f>E1352*Assumptions!$B$8</x:f>
        <x:v>441.15</x:v>
      </x:c>
      <x:c r="V1352" s="40" t="n">
        <x:f>P1352*Assumptions!$B$8</x:f>
        <x:v>398.711714485223</x:v>
      </x:c>
      <x:c r="W1352" s="54" t="n">
        <x:f>V1352-U1352</x:f>
        <x:v>-42.438285514776965</x:v>
      </x:c>
      <x:c r="X1352" s="58" t="str">
        <x:f>IF(R1352="No","",W1352*S1352)</x:f>
      </x:c>
      <x:c r="Y1352" s="58" t="str">
        <x:f>IF(R1352="No","",W1352*T1352*Assumptions!$B$9)</x:f>
      </x:c>
      <x:c r="Z1352" s="58" t="str">
        <x:f>IF(R1352="No","",X1352-Y1352)</x:f>
      </x:c>
      <x:c r="AA1352" s="58" t="str">
        <x:f>IF(R1352="No","",MAX(0,-Z1352))</x:f>
      </x:c>
      <x:c r="AB1352" s="52" t="str">
        <x:f>IF(OR(R1352="No",U1352*S1352=0),"",AA1352/(U1352*S1352))</x:f>
      </x:c>
      <x:c r="AC1352" s="54" t="str">
        <x:f>IF(OR(R1352="No",S1352-T1352*Assumptions!$B$9&lt;=0),"",AA1352/(Assumptions!$B$8*(S1352-T1352*Assumptions!$B$9)))</x:f>
      </x:c>
      <x:c r="AD1352" s="52" t="str">
        <x:f>IF(OR(R1352="No",U1352*S1352=0),"",AA1352/(U1352*S1352))</x:f>
      </x:c>
      <x:c r="AE1352" s="50" t="str">
        <x:f>IF(R1352="No","No finance data",IF(AB1352&gt;=10%,"Severe",IF(AB1352&gt;=5%,"High",IF(AB1352&gt;=2%,"Moderate","Low"))))</x:f>
        <x:v>No finance data</x:v>
      </x:c>
      <x:c r="AF1352" s="60"/>
      <x:c r="AG1352" s="60"/>
      <x:c r="AH1352" s="44" t="str">
        <x:v>Undergraduate tuition-contribution proxy only; not an audited total institutional budget.</x:v>
      </x:c>
    </x:row>
    <x:row r="1353">
      <x:c r="A1353" s="16" t="n">
        <x:v>480198</x:v>
      </x:c>
      <x:c r="B1353" s="16" t="str">
        <x:v>Warner Pacific College Adult Degree Program</x:v>
      </x:c>
      <x:c r="C1353" s="16" t="str">
        <x:v>OR</x:v>
      </x:c>
      <x:c r="D1353" s="16" t="str">
        <x:v>Private nonprofit</x:v>
      </x:c>
      <x:c r="E1353" s="34" t="n">
        <x:v>596</x:v>
      </x:c>
      <x:c r="F1353" s="21"/>
      <x:c r="G1353" s="16" t="str">
        <x:v>Regional</x:v>
      </x:c>
      <x:c r="H1353" s="36" t="n">
        <x:f>IF(G1353="National",Assumptions!$B$11,IF(G1353="Statewide",Assumptions!$B$12,Assumptions!$B$13))</x:f>
        <x:v>0.85</x:v>
      </x:c>
      <x:c r="I1353" s="21" t="n">
        <x:v>-0.08536613833189388</x:v>
      </x:c>
      <x:c r="J1353" s="21" t="n">
        <x:v>-0.10481103667219127</x:v>
      </x:c>
      <x:c r="K1353" s="21" t="n">
        <x:v>-0.22332454072223906</x:v>
      </x:c>
      <x:c r="L1353" s="36" t="n">
        <x:f>IF(Assumptions!$B$4=2030,I1353,IF(Assumptions!$B$4=2035,J1353,K1353))</x:f>
        <x:v>-0.10481103667219127</x:v>
      </x:c>
      <x:c r="M1353" s="36" t="n">
        <x:f>Assumptions!$B$19</x:f>
        <x:v>-0.04739891965741583</x:v>
      </x:c>
      <x:c r="N1353" s="52" t="n">
        <x:f>H1353*L1353+(1-H1353)*M1353+O1353</x:f>
        <x:v>-0.09619921911997495</x:v>
      </x:c>
      <x:c r="O1353" s="36" t="n">
        <x:f>Assumptions!$B$10</x:f>
        <x:v>0</x:v>
      </x:c>
      <x:c r="P1353" s="54" t="n">
        <x:f>E1353*(1+N1353)</x:f>
        <x:v>538.6652654044949</x:v>
      </x:c>
      <x:c r="Q1353" s="54" t="n">
        <x:f>P1353-E1353</x:f>
        <x:v>-57.3347345955051</x:v>
      </x:c>
      <x:c r="R1353" s="16" t="str">
        <x:v>No</x:v>
      </x:c>
      <x:c r="S1353" s="56"/>
      <x:c r="T1353" s="56"/>
      <x:c r="U1353" s="40" t="n">
        <x:f>E1353*Assumptions!$B$8</x:f>
        <x:v>506.59999999999997</x:v>
      </x:c>
      <x:c r="V1353" s="40" t="n">
        <x:f>P1353*Assumptions!$B$8</x:f>
        <x:v>457.86547559382063</x:v>
      </x:c>
      <x:c r="W1353" s="54" t="n">
        <x:f>V1353-U1353</x:f>
        <x:v>-48.73452440617933</x:v>
      </x:c>
      <x:c r="X1353" s="58" t="str">
        <x:f>IF(R1353="No","",W1353*S1353)</x:f>
      </x:c>
      <x:c r="Y1353" s="58" t="str">
        <x:f>IF(R1353="No","",W1353*T1353*Assumptions!$B$9)</x:f>
      </x:c>
      <x:c r="Z1353" s="58" t="str">
        <x:f>IF(R1353="No","",X1353-Y1353)</x:f>
      </x:c>
      <x:c r="AA1353" s="58" t="str">
        <x:f>IF(R1353="No","",MAX(0,-Z1353))</x:f>
      </x:c>
      <x:c r="AB1353" s="52" t="str">
        <x:f>IF(OR(R1353="No",U1353*S1353=0),"",AA1353/(U1353*S1353))</x:f>
      </x:c>
      <x:c r="AC1353" s="54" t="str">
        <x:f>IF(OR(R1353="No",S1353-T1353*Assumptions!$B$9&lt;=0),"",AA1353/(Assumptions!$B$8*(S1353-T1353*Assumptions!$B$9)))</x:f>
      </x:c>
      <x:c r="AD1353" s="52" t="str">
        <x:f>IF(OR(R1353="No",U1353*S1353=0),"",AA1353/(U1353*S1353))</x:f>
      </x:c>
      <x:c r="AE1353" s="50" t="str">
        <x:f>IF(R1353="No","No finance data",IF(AB1353&gt;=10%,"Severe",IF(AB1353&gt;=5%,"High",IF(AB1353&gt;=2%,"Moderate","Low"))))</x:f>
        <x:v>No finance data</x:v>
      </x:c>
      <x:c r="AF1353" s="60"/>
      <x:c r="AG1353" s="60"/>
      <x:c r="AH1353" s="44" t="str">
        <x:v>Undergraduate tuition-contribution proxy only; not an audited total institutional budget.</x:v>
      </x:c>
    </x:row>
    <x:row r="1354">
      <x:c r="A1354" s="16" t="n">
        <x:v>210429</x:v>
      </x:c>
      <x:c r="B1354" s="16" t="str">
        <x:v>Western Oregon University</x:v>
      </x:c>
      <x:c r="C1354" s="16" t="str">
        <x:v>OR</x:v>
      </x:c>
      <x:c r="D1354" s="16" t="str">
        <x:v>Public</x:v>
      </x:c>
      <x:c r="E1354" s="34" t="n">
        <x:v>4781</x:v>
      </x:c>
      <x:c r="F1354" s="21" t="n">
        <x:v>0.9157</x:v>
      </x:c>
      <x:c r="G1354" s="16" t="str">
        <x:v>Regional</x:v>
      </x:c>
      <x:c r="H1354" s="36" t="n">
        <x:f>IF(G1354="National",Assumptions!$B$11,IF(G1354="Statewide",Assumptions!$B$12,Assumptions!$B$13))</x:f>
        <x:v>0.85</x:v>
      </x:c>
      <x:c r="I1354" s="21" t="n">
        <x:v>-0.08536613833189388</x:v>
      </x:c>
      <x:c r="J1354" s="21" t="n">
        <x:v>-0.10481103667219127</x:v>
      </x:c>
      <x:c r="K1354" s="21" t="n">
        <x:v>-0.22332454072223906</x:v>
      </x:c>
      <x:c r="L1354" s="36" t="n">
        <x:f>IF(Assumptions!$B$4=2030,I1354,IF(Assumptions!$B$4=2035,J1354,K1354))</x:f>
        <x:v>-0.10481103667219127</x:v>
      </x:c>
      <x:c r="M1354" s="36" t="n">
        <x:f>Assumptions!$B$19</x:f>
        <x:v>-0.04739891965741583</x:v>
      </x:c>
      <x:c r="N1354" s="52" t="n">
        <x:f>H1354*L1354+(1-H1354)*M1354+O1354</x:f>
        <x:v>-0.09619921911997495</x:v>
      </x:c>
      <x:c r="O1354" s="36" t="n">
        <x:f>Assumptions!$B$10</x:f>
        <x:v>0</x:v>
      </x:c>
      <x:c r="P1354" s="54" t="n">
        <x:f>E1354*(1+N1354)</x:f>
        <x:v>4321.0715333873995</x:v>
      </x:c>
      <x:c r="Q1354" s="54" t="n">
        <x:f>P1354-E1354</x:f>
        <x:v>-459.92846661260046</x:v>
      </x:c>
      <x:c r="R1354" s="16" t="str">
        <x:v>Yes</x:v>
      </x:c>
      <x:c r="S1354" s="56" t="n">
        <x:v>7589</x:v>
      </x:c>
      <x:c r="T1354" s="56" t="n">
        <x:v>9312</x:v>
      </x:c>
      <x:c r="U1354" s="40" t="n">
        <x:f>E1354*Assumptions!$B$8</x:f>
        <x:v>4063.85</x:v>
      </x:c>
      <x:c r="V1354" s="40" t="n">
        <x:f>P1354*Assumptions!$B$8</x:f>
        <x:v>3672.9108033792895</x:v>
      </x:c>
      <x:c r="W1354" s="54" t="n">
        <x:f>V1354-U1354</x:f>
        <x:v>-390.9391966207104</x:v>
      </x:c>
      <x:c r="X1354" s="58" t="n">
        <x:f>IF(R1354="No","",W1354*S1354)</x:f>
        <x:v>-2966837.563154571</x:v>
      </x:c>
      <x:c r="Y1354" s="58" t="n">
        <x:f>IF(R1354="No","",W1354*T1354*Assumptions!$B$9)</x:f>
        <x:v>-1092127.7396796164</x:v>
      </x:c>
      <x:c r="Z1354" s="58" t="n">
        <x:f>IF(R1354="No","",X1354-Y1354)</x:f>
        <x:v>-1874709.8234749548</x:v>
      </x:c>
      <x:c r="AA1354" s="58" t="n">
        <x:f>IF(R1354="No","",MAX(0,-Z1354))</x:f>
        <x:v>1874709.8234749548</x:v>
      </x:c>
      <x:c r="AB1354" s="52" t="n">
        <x:f>IF(OR(R1354="No",U1354*S1354=0),"",AA1354/(U1354*S1354))</x:f>
        <x:v>0.06078715711792439</x:v>
      </x:c>
      <x:c r="AC1354" s="54" t="n">
        <x:f>IF(OR(R1354="No",S1354-T1354*Assumptions!$B$9&lt;=0),"",AA1354/(Assumptions!$B$8*(S1354-T1354*Assumptions!$B$9)))</x:f>
        <x:v>459.9284666126006</x:v>
      </x:c>
      <x:c r="AD1354" s="52" t="n">
        <x:f>IF(OR(R1354="No",U1354*S1354=0),"",AA1354/(U1354*S1354))</x:f>
        <x:v>0.06078715711792439</x:v>
      </x:c>
      <x:c r="AE1354" s="50" t="str">
        <x:f>IF(R1354="No","No finance data",IF(AB1354&gt;=10%,"Severe",IF(AB1354&gt;=5%,"High",IF(AB1354&gt;=2%,"Moderate","Low"))))</x:f>
        <x:v>High</x:v>
      </x:c>
      <x:c r="AF1354" s="60" t="n">
        <x:v>44.852235</x:v>
      </x:c>
      <x:c r="AG1354" s="60" t="n">
        <x:v>-123.238309</x:v>
      </x:c>
      <x:c r="AH1354" s="44" t="str">
        <x:v>Undergraduate tuition-contribution proxy only; not an audited total institutional budget.</x:v>
      </x:c>
    </x:row>
    <x:row r="1355">
      <x:c r="A1355" s="16" t="n">
        <x:v>210401</x:v>
      </x:c>
      <x:c r="B1355" s="16" t="str">
        <x:v>Willamette University</x:v>
      </x:c>
      <x:c r="C1355" s="16" t="str">
        <x:v>OR</x:v>
      </x:c>
      <x:c r="D1355" s="16" t="str">
        <x:v>Private nonprofit</x:v>
      </x:c>
      <x:c r="E1355" s="34" t="n">
        <x:v>1925</x:v>
      </x:c>
      <x:c r="F1355" s="21" t="n">
        <x:v>0.7962</x:v>
      </x:c>
      <x:c r="G1355" s="16" t="str">
        <x:v>Regional</x:v>
      </x:c>
      <x:c r="H1355" s="36" t="n">
        <x:f>IF(G1355="National",Assumptions!$B$11,IF(G1355="Statewide",Assumptions!$B$12,Assumptions!$B$13))</x:f>
        <x:v>0.85</x:v>
      </x:c>
      <x:c r="I1355" s="21" t="n">
        <x:v>-0.08536613833189388</x:v>
      </x:c>
      <x:c r="J1355" s="21" t="n">
        <x:v>-0.10481103667219127</x:v>
      </x:c>
      <x:c r="K1355" s="21" t="n">
        <x:v>-0.22332454072223906</x:v>
      </x:c>
      <x:c r="L1355" s="36" t="n">
        <x:f>IF(Assumptions!$B$4=2030,I1355,IF(Assumptions!$B$4=2035,J1355,K1355))</x:f>
        <x:v>-0.10481103667219127</x:v>
      </x:c>
      <x:c r="M1355" s="36" t="n">
        <x:f>Assumptions!$B$19</x:f>
        <x:v>-0.04739891965741583</x:v>
      </x:c>
      <x:c r="N1355" s="52" t="n">
        <x:f>H1355*L1355+(1-H1355)*M1355+O1355</x:f>
        <x:v>-0.09619921911997495</x:v>
      </x:c>
      <x:c r="O1355" s="36" t="n">
        <x:f>Assumptions!$B$10</x:f>
        <x:v>0</x:v>
      </x:c>
      <x:c r="P1355" s="54" t="n">
        <x:f>E1355*(1+N1355)</x:f>
        <x:v>1739.8165031940482</x:v>
      </x:c>
      <x:c r="Q1355" s="54" t="n">
        <x:f>P1355-E1355</x:f>
        <x:v>-185.1834968059518</x:v>
      </x:c>
      <x:c r="R1355" s="16" t="str">
        <x:v>Yes</x:v>
      </x:c>
      <x:c r="S1355" s="56" t="n">
        <x:v>23880</x:v>
      </x:c>
      <x:c r="T1355" s="56" t="n">
        <x:v>16095</x:v>
      </x:c>
      <x:c r="U1355" s="40" t="n">
        <x:f>E1355*Assumptions!$B$8</x:f>
        <x:v>1636.25</x:v>
      </x:c>
      <x:c r="V1355" s="40" t="n">
        <x:f>P1355*Assumptions!$B$8</x:f>
        <x:v>1478.844027714941</x:v>
      </x:c>
      <x:c r="W1355" s="54" t="n">
        <x:f>V1355-U1355</x:f>
        <x:v>-157.40597228505908</x:v>
      </x:c>
      <x:c r="X1355" s="58" t="n">
        <x:f>IF(R1355="No","",W1355*S1355)</x:f>
        <x:v>-3758854.618167211</x:v>
      </x:c>
      <x:c r="Y1355" s="58" t="n">
        <x:f>IF(R1355="No","",W1355*T1355*Assumptions!$B$9)</x:f>
        <x:v>-760034.7371784077</x:v>
      </x:c>
      <x:c r="Z1355" s="58" t="n">
        <x:f>IF(R1355="No","",X1355-Y1355)</x:f>
        <x:v>-2998819.880988803</x:v>
      </x:c>
      <x:c r="AA1355" s="58" t="n">
        <x:f>IF(R1355="No","",MAX(0,-Z1355))</x:f>
        <x:v>2998819.880988803</x:v>
      </x:c>
      <x:c r="AB1355" s="52" t="n">
        <x:f>IF(OR(R1355="No",U1355*S1355=0),"",AA1355/(U1355*S1355))</x:f>
        <x:v>0.07674788203786448</x:v>
      </x:c>
      <x:c r="AC1355" s="54" t="n">
        <x:f>IF(OR(R1355="No",S1355-T1355*Assumptions!$B$9&lt;=0),"",AA1355/(Assumptions!$B$8*(S1355-T1355*Assumptions!$B$9)))</x:f>
        <x:v>185.18349680595188</x:v>
      </x:c>
      <x:c r="AD1355" s="52" t="n">
        <x:f>IF(OR(R1355="No",U1355*S1355=0),"",AA1355/(U1355*S1355))</x:f>
        <x:v>0.07674788203786448</x:v>
      </x:c>
      <x:c r="AE1355" s="50" t="str">
        <x:f>IF(R1355="No","No finance data",IF(AB1355&gt;=10%,"Severe",IF(AB1355&gt;=5%,"High",IF(AB1355&gt;=2%,"Moderate","Low"))))</x:f>
        <x:v>High</x:v>
      </x:c>
      <x:c r="AF1355" s="60" t="n">
        <x:v>44.935457</x:v>
      </x:c>
      <x:c r="AG1355" s="60" t="n">
        <x:v>-123.030537</x:v>
      </x:c>
      <x:c r="AH1355" s="44" t="str">
        <x:v>Undergraduate tuition-contribution proxy only; not an audited total institutional budget.</x:v>
      </x:c>
    </x:row>
    <x:row r="1356">
      <x:c r="A1356" s="16" t="n">
        <x:v>210571</x:v>
      </x:c>
      <x:c r="B1356" s="16" t="str">
        <x:v>Albright College</x:v>
      </x:c>
      <x:c r="C1356" s="16" t="str">
        <x:v>PA</x:v>
      </x:c>
      <x:c r="D1356" s="16" t="str">
        <x:v>Private nonprofit</x:v>
      </x:c>
      <x:c r="E1356" s="34" t="n">
        <x:v>2228</x:v>
      </x:c>
      <x:c r="F1356" s="21" t="n">
        <x:v>0.7631</x:v>
      </x:c>
      <x:c r="G1356" s="16" t="str">
        <x:v>Regional</x:v>
      </x:c>
      <x:c r="H1356" s="36" t="n">
        <x:f>IF(G1356="National",Assumptions!$B$11,IF(G1356="Statewide",Assumptions!$B$12,Assumptions!$B$13))</x:f>
        <x:v>0.85</x:v>
      </x:c>
      <x:c r="I1356" s="21" t="n">
        <x:v>-0.07201174532693544</x:v>
      </x:c>
      <x:c r="J1356" s="21" t="n">
        <x:v>-0.08817589343264343</x:v>
      </x:c>
      <x:c r="K1356" s="21" t="n">
        <x:v>-0.16258683663969065</x:v>
      </x:c>
      <x:c r="L1356" s="36" t="n">
        <x:f>IF(Assumptions!$B$4=2030,I1356,IF(Assumptions!$B$4=2035,J1356,K1356))</x:f>
        <x:v>-0.08817589343264343</x:v>
      </x:c>
      <x:c r="M1356" s="36" t="n">
        <x:f>Assumptions!$B$19</x:f>
        <x:v>-0.04739891965741583</x:v>
      </x:c>
      <x:c r="N1356" s="52" t="n">
        <x:f>H1356*L1356+(1-H1356)*M1356+O1356</x:f>
        <x:v>-0.08205934736635928</x:v>
      </x:c>
      <x:c r="O1356" s="36" t="n">
        <x:f>Assumptions!$B$10</x:f>
        <x:v>0</x:v>
      </x:c>
      <x:c r="P1356" s="54" t="n">
        <x:f>E1356*(1+N1356)</x:f>
        <x:v>2045.1717740677514</x:v>
      </x:c>
      <x:c r="Q1356" s="54" t="n">
        <x:f>P1356-E1356</x:f>
        <x:v>-182.82822593224864</x:v>
      </x:c>
      <x:c r="R1356" s="16" t="str">
        <x:v>Yes</x:v>
      </x:c>
      <x:c r="S1356" s="56" t="n">
        <x:v>12257</x:v>
      </x:c>
      <x:c r="T1356" s="56" t="n">
        <x:v>12394</x:v>
      </x:c>
      <x:c r="U1356" s="40" t="n">
        <x:f>E1356*Assumptions!$B$8</x:f>
        <x:v>1893.8</x:v>
      </x:c>
      <x:c r="V1356" s="40" t="n">
        <x:f>P1356*Assumptions!$B$8</x:f>
        <x:v>1738.3960079575886</x:v>
      </x:c>
      <x:c r="W1356" s="54" t="n">
        <x:f>V1356-U1356</x:f>
        <x:v>-155.40399204241135</x:v>
      </x:c>
      <x:c r="X1356" s="58" t="n">
        <x:f>IF(R1356="No","",W1356*S1356)</x:f>
        <x:v>-1904786.7304638359</x:v>
      </x:c>
      <x:c r="Y1356" s="58" t="n">
        <x:f>IF(R1356="No","",W1356*T1356*Assumptions!$B$9)</x:f>
        <x:v>-577823.1232120938</x:v>
      </x:c>
      <x:c r="Z1356" s="58" t="n">
        <x:f>IF(R1356="No","",X1356-Y1356)</x:f>
        <x:v>-1326963.607251742</x:v>
      </x:c>
      <x:c r="AA1356" s="58" t="n">
        <x:f>IF(R1356="No","",MAX(0,-Z1356))</x:f>
        <x:v>1326963.607251742</x:v>
      </x:c>
      <x:c r="AB1356" s="52" t="n">
        <x:f>IF(OR(R1356="No",U1356*S1356=0),"",AA1356/(U1356*S1356))</x:f>
        <x:v>0.05716638290706284</x:v>
      </x:c>
      <x:c r="AC1356" s="54" t="n">
        <x:f>IF(OR(R1356="No",S1356-T1356*Assumptions!$B$9&lt;=0),"",AA1356/(Assumptions!$B$8*(S1356-T1356*Assumptions!$B$9)))</x:f>
        <x:v>182.82822593224864</x:v>
      </x:c>
      <x:c r="AD1356" s="52" t="n">
        <x:f>IF(OR(R1356="No",U1356*S1356=0),"",AA1356/(U1356*S1356))</x:f>
        <x:v>0.05716638290706284</x:v>
      </x:c>
      <x:c r="AE1356" s="50" t="str">
        <x:f>IF(R1356="No","No finance data",IF(AB1356&gt;=10%,"Severe",IF(AB1356&gt;=5%,"High",IF(AB1356&gt;=2%,"Moderate","Low"))))</x:f>
        <x:v>High</x:v>
      </x:c>
      <x:c r="AF1356" s="60" t="n">
        <x:v>40.361351</x:v>
      </x:c>
      <x:c r="AG1356" s="60" t="n">
        <x:v>-75.909742</x:v>
      </x:c>
      <x:c r="AH1356" s="44" t="str">
        <x:v>Undergraduate tuition-contribution proxy only; not an audited total institutional budget.</x:v>
      </x:c>
    </x:row>
    <x:row r="1357">
      <x:c r="A1357" s="16" t="n">
        <x:v>210669</x:v>
      </x:c>
      <x:c r="B1357" s="16" t="str">
        <x:v>Allegheny College</x:v>
      </x:c>
      <x:c r="C1357" s="16" t="str">
        <x:v>PA</x:v>
      </x:c>
      <x:c r="D1357" s="16" t="str">
        <x:v>Private nonprofit</x:v>
      </x:c>
      <x:c r="E1357" s="34" t="n">
        <x:v>1896</x:v>
      </x:c>
      <x:c r="F1357" s="21" t="n">
        <x:v>0.7544</x:v>
      </x:c>
      <x:c r="G1357" s="16" t="str">
        <x:v>Regional</x:v>
      </x:c>
      <x:c r="H1357" s="36" t="n">
        <x:f>IF(G1357="National",Assumptions!$B$11,IF(G1357="Statewide",Assumptions!$B$12,Assumptions!$B$13))</x:f>
        <x:v>0.85</x:v>
      </x:c>
      <x:c r="I1357" s="21" t="n">
        <x:v>-0.07201174532693544</x:v>
      </x:c>
      <x:c r="J1357" s="21" t="n">
        <x:v>-0.08817589343264343</x:v>
      </x:c>
      <x:c r="K1357" s="21" t="n">
        <x:v>-0.16258683663969065</x:v>
      </x:c>
      <x:c r="L1357" s="36" t="n">
        <x:f>IF(Assumptions!$B$4=2030,I1357,IF(Assumptions!$B$4=2035,J1357,K1357))</x:f>
        <x:v>-0.08817589343264343</x:v>
      </x:c>
      <x:c r="M1357" s="36" t="n">
        <x:f>Assumptions!$B$19</x:f>
        <x:v>-0.04739891965741583</x:v>
      </x:c>
      <x:c r="N1357" s="52" t="n">
        <x:f>H1357*L1357+(1-H1357)*M1357+O1357</x:f>
        <x:v>-0.08205934736635928</x:v>
      </x:c>
      <x:c r="O1357" s="36" t="n">
        <x:f>Assumptions!$B$10</x:f>
        <x:v>0</x:v>
      </x:c>
      <x:c r="P1357" s="54" t="n">
        <x:f>E1357*(1+N1357)</x:f>
        <x:v>1740.4154773933826</x:v>
      </x:c>
      <x:c r="Q1357" s="54" t="n">
        <x:f>P1357-E1357</x:f>
        <x:v>-155.58452260661738</x:v>
      </x:c>
      <x:c r="R1357" s="16" t="str">
        <x:v>Yes</x:v>
      </x:c>
      <x:c r="S1357" s="56" t="n">
        <x:v>16770</x:v>
      </x:c>
      <x:c r="T1357" s="56" t="n">
        <x:v>12284</x:v>
      </x:c>
      <x:c r="U1357" s="40" t="n">
        <x:f>E1357*Assumptions!$B$8</x:f>
        <x:v>1611.6</x:v>
      </x:c>
      <x:c r="V1357" s="40" t="n">
        <x:f>P1357*Assumptions!$B$8</x:f>
        <x:v>1479.353155784375</x:v>
      </x:c>
      <x:c r="W1357" s="54" t="n">
        <x:f>V1357-U1357</x:f>
        <x:v>-132.24684421562483</x:v>
      </x:c>
      <x:c r="X1357" s="58" t="n">
        <x:f>IF(R1357="No","",W1357*S1357)</x:f>
        <x:v>-2217779.5774960285</x:v>
      </x:c>
      <x:c r="Y1357" s="58" t="n">
        <x:f>IF(R1357="No","",W1357*T1357*Assumptions!$B$9)</x:f>
        <x:v>-487356.07030342065</x:v>
      </x:c>
      <x:c r="Z1357" s="58" t="n">
        <x:f>IF(R1357="No","",X1357-Y1357)</x:f>
        <x:v>-1730423.507192608</x:v>
      </x:c>
      <x:c r="AA1357" s="58" t="n">
        <x:f>IF(R1357="No","",MAX(0,-Z1357))</x:f>
        <x:v>1730423.507192608</x:v>
      </x:c>
      <x:c r="AB1357" s="52" t="n">
        <x:f>IF(OR(R1357="No",U1357*S1357=0),"",AA1357/(U1357*S1357))</x:f>
        <x:v>0.06402684248177339</x:v>
      </x:c>
      <x:c r="AC1357" s="54" t="n">
        <x:f>IF(OR(R1357="No",S1357-T1357*Assumptions!$B$9&lt;=0),"",AA1357/(Assumptions!$B$8*(S1357-T1357*Assumptions!$B$9)))</x:f>
        <x:v>155.58452260661747</x:v>
      </x:c>
      <x:c r="AD1357" s="52" t="n">
        <x:f>IF(OR(R1357="No",U1357*S1357=0),"",AA1357/(U1357*S1357))</x:f>
        <x:v>0.06402684248177339</x:v>
      </x:c>
      <x:c r="AE1357" s="50" t="str">
        <x:f>IF(R1357="No","No finance data",IF(AB1357&gt;=10%,"Severe",IF(AB1357&gt;=5%,"High",IF(AB1357&gt;=2%,"Moderate","Low"))))</x:f>
        <x:v>High</x:v>
      </x:c>
      <x:c r="AF1357" s="60" t="n">
        <x:v>41.64869</x:v>
      </x:c>
      <x:c r="AG1357" s="60" t="n">
        <x:v>-80.147168</x:v>
      </x:c>
      <x:c r="AH1357" s="44" t="str">
        <x:v>Undergraduate tuition-contribution proxy only; not an audited total institutional budget.</x:v>
      </x:c>
    </x:row>
    <x:row r="1358">
      <x:c r="A1358" s="16" t="n">
        <x:v>210775</x:v>
      </x:c>
      <x:c r="B1358" s="16" t="str">
        <x:v>Alvernia University</x:v>
      </x:c>
      <x:c r="C1358" s="16" t="str">
        <x:v>PA</x:v>
      </x:c>
      <x:c r="D1358" s="16" t="str">
        <x:v>Private nonprofit</x:v>
      </x:c>
      <x:c r="E1358" s="34" t="n">
        <x:v>2177</x:v>
      </x:c>
      <x:c r="F1358" s="21" t="n">
        <x:v>0.5777</x:v>
      </x:c>
      <x:c r="G1358" s="16" t="str">
        <x:v>Regional</x:v>
      </x:c>
      <x:c r="H1358" s="36" t="n">
        <x:f>IF(G1358="National",Assumptions!$B$11,IF(G1358="Statewide",Assumptions!$B$12,Assumptions!$B$13))</x:f>
        <x:v>0.85</x:v>
      </x:c>
      <x:c r="I1358" s="21" t="n">
        <x:v>-0.07201174532693544</x:v>
      </x:c>
      <x:c r="J1358" s="21" t="n">
        <x:v>-0.08817589343264343</x:v>
      </x:c>
      <x:c r="K1358" s="21" t="n">
        <x:v>-0.16258683663969065</x:v>
      </x:c>
      <x:c r="L1358" s="36" t="n">
        <x:f>IF(Assumptions!$B$4=2030,I1358,IF(Assumptions!$B$4=2035,J1358,K1358))</x:f>
        <x:v>-0.08817589343264343</x:v>
      </x:c>
      <x:c r="M1358" s="36" t="n">
        <x:f>Assumptions!$B$19</x:f>
        <x:v>-0.04739891965741583</x:v>
      </x:c>
      <x:c r="N1358" s="52" t="n">
        <x:f>H1358*L1358+(1-H1358)*M1358+O1358</x:f>
        <x:v>-0.08205934736635928</x:v>
      </x:c>
      <x:c r="O1358" s="36" t="n">
        <x:f>Assumptions!$B$10</x:f>
        <x:v>0</x:v>
      </x:c>
      <x:c r="P1358" s="54" t="n">
        <x:f>E1358*(1+N1358)</x:f>
        <x:v>1998.3568007834358</x:v>
      </x:c>
      <x:c r="Q1358" s="54" t="n">
        <x:f>P1358-E1358</x:f>
        <x:v>-178.6431992165642</x:v>
      </x:c>
      <x:c r="R1358" s="16" t="str">
        <x:v>Yes</x:v>
      </x:c>
      <x:c r="S1358" s="56" t="n">
        <x:v>18656</x:v>
      </x:c>
      <x:c r="T1358" s="56" t="n">
        <x:v>6683</x:v>
      </x:c>
      <x:c r="U1358" s="40" t="n">
        <x:f>E1358*Assumptions!$B$8</x:f>
        <x:v>1850.45</x:v>
      </x:c>
      <x:c r="V1358" s="40" t="n">
        <x:f>P1358*Assumptions!$B$8</x:f>
        <x:v>1698.6032806659205</x:v>
      </x:c>
      <x:c r="W1358" s="54" t="n">
        <x:f>V1358-U1358</x:f>
        <x:v>-151.84671933407958</x:v>
      </x:c>
      <x:c r="X1358" s="58" t="n">
        <x:f>IF(R1358="No","",W1358*S1358)</x:f>
        <x:v>-2832852.3958965885</x:v>
      </x:c>
      <x:c r="Y1358" s="58" t="n">
        <x:f>IF(R1358="No","",W1358*T1358*Assumptions!$B$9)</x:f>
        <x:v>-304437.48759289616</x:v>
      </x:c>
      <x:c r="Z1358" s="58" t="n">
        <x:f>IF(R1358="No","",X1358-Y1358)</x:f>
        <x:v>-2528414.9083036925</x:v>
      </x:c>
      <x:c r="AA1358" s="58" t="n">
        <x:f>IF(R1358="No","",MAX(0,-Z1358))</x:f>
        <x:v>2528414.9083036925</x:v>
      </x:c>
      <x:c r="AB1358" s="52" t="n">
        <x:f>IF(OR(R1358="No",U1358*S1358=0),"",AA1358/(U1358*S1358))</x:f>
        <x:v>0.07324069462542802</x:v>
      </x:c>
      <x:c r="AC1358" s="54" t="n">
        <x:f>IF(OR(R1358="No",S1358-T1358*Assumptions!$B$9&lt;=0),"",AA1358/(Assumptions!$B$8*(S1358-T1358*Assumptions!$B$9)))</x:f>
        <x:v>178.64319921656423</x:v>
      </x:c>
      <x:c r="AD1358" s="52" t="n">
        <x:f>IF(OR(R1358="No",U1358*S1358=0),"",AA1358/(U1358*S1358))</x:f>
        <x:v>0.07324069462542802</x:v>
      </x:c>
      <x:c r="AE1358" s="50" t="str">
        <x:f>IF(R1358="No","No finance data",IF(AB1358&gt;=10%,"Severe",IF(AB1358&gt;=5%,"High",IF(AB1358&gt;=2%,"Moderate","Low"))))</x:f>
        <x:v>High</x:v>
      </x:c>
      <x:c r="AF1358" s="60" t="n">
        <x:v>40.310028</x:v>
      </x:c>
      <x:c r="AG1358" s="60" t="n">
        <x:v>-75.936754</x:v>
      </x:c>
      <x:c r="AH1358" s="44" t="str">
        <x:v>Undergraduate tuition-contribution proxy only; not an audited total institutional budget.</x:v>
      </x:c>
    </x:row>
    <x:row r="1359">
      <x:c r="A1359" s="16" t="n">
        <x:v>211088</x:v>
      </x:c>
      <x:c r="B1359" s="16" t="str">
        <x:v>Arcadia University</x:v>
      </x:c>
      <x:c r="C1359" s="16" t="str">
        <x:v>PA</x:v>
      </x:c>
      <x:c r="D1359" s="16" t="str">
        <x:v>Private nonprofit</x:v>
      </x:c>
      <x:c r="E1359" s="34" t="n">
        <x:v>2501</x:v>
      </x:c>
      <x:c r="F1359" s="21" t="n">
        <x:v>0.8242</x:v>
      </x:c>
      <x:c r="G1359" s="16" t="str">
        <x:v>Regional</x:v>
      </x:c>
      <x:c r="H1359" s="36" t="n">
        <x:f>IF(G1359="National",Assumptions!$B$11,IF(G1359="Statewide",Assumptions!$B$12,Assumptions!$B$13))</x:f>
        <x:v>0.85</x:v>
      </x:c>
      <x:c r="I1359" s="21" t="n">
        <x:v>-0.07201174532693544</x:v>
      </x:c>
      <x:c r="J1359" s="21" t="n">
        <x:v>-0.08817589343264343</x:v>
      </x:c>
      <x:c r="K1359" s="21" t="n">
        <x:v>-0.16258683663969065</x:v>
      </x:c>
      <x:c r="L1359" s="36" t="n">
        <x:f>IF(Assumptions!$B$4=2030,I1359,IF(Assumptions!$B$4=2035,J1359,K1359))</x:f>
        <x:v>-0.08817589343264343</x:v>
      </x:c>
      <x:c r="M1359" s="36" t="n">
        <x:f>Assumptions!$B$19</x:f>
        <x:v>-0.04739891965741583</x:v>
      </x:c>
      <x:c r="N1359" s="52" t="n">
        <x:f>H1359*L1359+(1-H1359)*M1359+O1359</x:f>
        <x:v>-0.08205934736635928</x:v>
      </x:c>
      <x:c r="O1359" s="36" t="n">
        <x:f>Assumptions!$B$10</x:f>
        <x:v>0</x:v>
      </x:c>
      <x:c r="P1359" s="54" t="n">
        <x:f>E1359*(1+N1359)</x:f>
        <x:v>2295.7695722367353</x:v>
      </x:c>
      <x:c r="Q1359" s="54" t="n">
        <x:f>P1359-E1359</x:f>
        <x:v>-205.23042776326474</x:v>
      </x:c>
      <x:c r="R1359" s="16" t="str">
        <x:v>Yes</x:v>
      </x:c>
      <x:c r="S1359" s="56" t="n">
        <x:v>19894</x:v>
      </x:c>
      <x:c r="T1359" s="56" t="n">
        <x:v>9343</x:v>
      </x:c>
      <x:c r="U1359" s="40" t="n">
        <x:f>E1359*Assumptions!$B$8</x:f>
        <x:v>2125.85</x:v>
      </x:c>
      <x:c r="V1359" s="40" t="n">
        <x:f>P1359*Assumptions!$B$8</x:f>
        <x:v>1951.4041364012248</x:v>
      </x:c>
      <x:c r="W1359" s="54" t="n">
        <x:f>V1359-U1359</x:f>
        <x:v>-174.44586359877508</x:v>
      </x:c>
      <x:c r="X1359" s="58" t="n">
        <x:f>IF(R1359="No","",W1359*S1359)</x:f>
        <x:v>-3470426.0104340315</x:v>
      </x:c>
      <x:c r="Y1359" s="58" t="n">
        <x:f>IF(R1359="No","",W1359*T1359*Assumptions!$B$9)</x:f>
        <x:v>-488954.3110810066</x:v>
      </x:c>
      <x:c r="Z1359" s="58" t="n">
        <x:f>IF(R1359="No","",X1359-Y1359)</x:f>
        <x:v>-2981471.699353025</x:v>
      </x:c>
      <x:c r="AA1359" s="58" t="n">
        <x:f>IF(R1359="No","",MAX(0,-Z1359))</x:f>
        <x:v>2981471.699353025</x:v>
      </x:c>
      <x:c r="AB1359" s="52" t="n">
        <x:f>IF(OR(R1359="No",U1359*S1359=0),"",AA1359/(U1359*S1359))</x:f>
        <x:v>0.07049786426928646</x:v>
      </x:c>
      <x:c r="AC1359" s="54" t="n">
        <x:f>IF(OR(R1359="No",S1359-T1359*Assumptions!$B$9&lt;=0),"",AA1359/(Assumptions!$B$8*(S1359-T1359*Assumptions!$B$9)))</x:f>
        <x:v>205.23042776326483</x:v>
      </x:c>
      <x:c r="AD1359" s="52" t="n">
        <x:f>IF(OR(R1359="No",U1359*S1359=0),"",AA1359/(U1359*S1359))</x:f>
        <x:v>0.07049786426928646</x:v>
      </x:c>
      <x:c r="AE1359" s="50" t="str">
        <x:f>IF(R1359="No","No finance data",IF(AB1359&gt;=10%,"Severe",IF(AB1359&gt;=5%,"High",IF(AB1359&gt;=2%,"Moderate","Low"))))</x:f>
        <x:v>High</x:v>
      </x:c>
      <x:c r="AF1359" s="60" t="n">
        <x:v>40.092606</x:v>
      </x:c>
      <x:c r="AG1359" s="60" t="n">
        <x:v>-75.163876</x:v>
      </x:c>
      <x:c r="AH1359" s="44" t="str">
        <x:v>Undergraduate tuition-contribution proxy only; not an audited total institutional budget.</x:v>
      </x:c>
    </x:row>
    <x:row r="1360">
      <x:c r="A1360" s="16" t="n">
        <x:v>211158</x:v>
      </x:c>
      <x:c r="B1360" s="16" t="str">
        <x:v>Bloomsburg University of Pennsylvania</x:v>
      </x:c>
      <x:c r="C1360" s="16" t="str">
        <x:v>PA</x:v>
      </x:c>
      <x:c r="D1360" s="16" t="str">
        <x:v>Public</x:v>
      </x:c>
      <x:c r="E1360" s="34" t="n">
        <x:v>8892</x:v>
      </x:c>
      <x:c r="F1360" s="21" t="n">
        <x:v>0.901</x:v>
      </x:c>
      <x:c r="G1360" s="16" t="str">
        <x:v>Statewide</x:v>
      </x:c>
      <x:c r="H1360" s="36" t="n">
        <x:f>IF(G1360="National",Assumptions!$B$11,IF(G1360="Statewide",Assumptions!$B$12,Assumptions!$B$13))</x:f>
        <x:v>0.6</x:v>
      </x:c>
      <x:c r="I1360" s="21" t="n">
        <x:v>-0.07201174532693544</x:v>
      </x:c>
      <x:c r="J1360" s="21" t="n">
        <x:v>-0.08817589343264343</x:v>
      </x:c>
      <x:c r="K1360" s="21" t="n">
        <x:v>-0.16258683663969065</x:v>
      </x:c>
      <x:c r="L1360" s="36" t="n">
        <x:f>IF(Assumptions!$B$4=2030,I1360,IF(Assumptions!$B$4=2035,J1360,K1360))</x:f>
        <x:v>-0.08817589343264343</x:v>
      </x:c>
      <x:c r="M1360" s="36" t="n">
        <x:f>Assumptions!$B$19</x:f>
        <x:v>-0.04739891965741583</x:v>
      </x:c>
      <x:c r="N1360" s="52" t="n">
        <x:f>H1360*L1360+(1-H1360)*M1360+O1360</x:f>
        <x:v>-0.07186510392255238</x:v>
      </x:c>
      <x:c r="O1360" s="36" t="n">
        <x:f>Assumptions!$B$10</x:f>
        <x:v>0</x:v>
      </x:c>
      <x:c r="P1360" s="54" t="n">
        <x:f>E1360*(1+N1360)</x:f>
        <x:v>8252.975495920664</x:v>
      </x:c>
      <x:c r="Q1360" s="54" t="n">
        <x:f>P1360-E1360</x:f>
        <x:v>-639.0245040793361</x:v>
      </x:c>
      <x:c r="R1360" s="16" t="str">
        <x:v>Yes</x:v>
      </x:c>
      <x:c r="S1360" s="56" t="n">
        <x:v>9337</x:v>
      </x:c>
      <x:c r="T1360" s="56" t="n">
        <x:v>9439</x:v>
      </x:c>
      <x:c r="U1360" s="40" t="n">
        <x:f>E1360*Assumptions!$B$8</x:f>
        <x:v>7558.2</x:v>
      </x:c>
      <x:c r="V1360" s="40" t="n">
        <x:f>P1360*Assumptions!$B$8</x:f>
        <x:v>7015.029171532564</x:v>
      </x:c>
      <x:c r="W1360" s="54" t="n">
        <x:f>V1360-U1360</x:f>
        <x:v>-543.170828467436</x:v>
      </x:c>
      <x:c r="X1360" s="58" t="n">
        <x:f>IF(R1360="No","",W1360*S1360)</x:f>
        <x:v>-5071586.0254004495</x:v>
      </x:c>
      <x:c r="Y1360" s="58" t="n">
        <x:f>IF(R1360="No","",W1360*T1360*Assumptions!$B$9)</x:f>
        <x:v>-1538096.8349712384</x:v>
      </x:c>
      <x:c r="Z1360" s="58" t="n">
        <x:f>IF(R1360="No","",X1360-Y1360)</x:f>
        <x:v>-3533489.190429211</x:v>
      </x:c>
      <x:c r="AA1360" s="58" t="n">
        <x:f>IF(R1360="No","",MAX(0,-Z1360))</x:f>
        <x:v>3533489.190429211</x:v>
      </x:c>
      <x:c r="AB1360" s="52" t="n">
        <x:f>IF(OR(R1360="No",U1360*S1360=0),"",AA1360/(U1360*S1360))</x:f>
        <x:v>0.05007005039599235</x:v>
      </x:c>
      <x:c r="AC1360" s="54" t="n">
        <x:f>IF(OR(R1360="No",S1360-T1360*Assumptions!$B$9&lt;=0),"",AA1360/(Assumptions!$B$8*(S1360-T1360*Assumptions!$B$9)))</x:f>
        <x:v>639.0245040793365</x:v>
      </x:c>
      <x:c r="AD1360" s="52" t="n">
        <x:f>IF(OR(R1360="No",U1360*S1360=0),"",AA1360/(U1360*S1360))</x:f>
        <x:v>0.05007005039599235</x:v>
      </x:c>
      <x:c r="AE1360" s="50" t="str">
        <x:f>IF(R1360="No","No finance data",IF(AB1360&gt;=10%,"Severe",IF(AB1360&gt;=5%,"High",IF(AB1360&gt;=2%,"Moderate","Low"))))</x:f>
        <x:v>High</x:v>
      </x:c>
      <x:c r="AF1360" s="60" t="n">
        <x:v>41.00782</x:v>
      </x:c>
      <x:c r="AG1360" s="60" t="n">
        <x:v>-76.447844</x:v>
      </x:c>
      <x:c r="AH1360" s="44" t="str">
        <x:v>Undergraduate tuition-contribution proxy only; not an audited total institutional budget.</x:v>
      </x:c>
    </x:row>
    <x:row r="1361">
      <x:c r="A1361" s="16" t="n">
        <x:v>210492</x:v>
      </x:c>
      <x:c r="B1361" s="16" t="str">
        <x:v>Bryn Athyn College of the New Church</x:v>
      </x:c>
      <x:c r="C1361" s="16" t="str">
        <x:v>PA</x:v>
      </x:c>
      <x:c r="D1361" s="16" t="str">
        <x:v>Private nonprofit</x:v>
      </x:c>
      <x:c r="E1361" s="34" t="n">
        <x:v>272</x:v>
      </x:c>
      <x:c r="F1361" s="21"/>
      <x:c r="G1361" s="16" t="str">
        <x:v>Regional</x:v>
      </x:c>
      <x:c r="H1361" s="36" t="n">
        <x:f>IF(G1361="National",Assumptions!$B$11,IF(G1361="Statewide",Assumptions!$B$12,Assumptions!$B$13))</x:f>
        <x:v>0.85</x:v>
      </x:c>
      <x:c r="I1361" s="21" t="n">
        <x:v>-0.07201174532693544</x:v>
      </x:c>
      <x:c r="J1361" s="21" t="n">
        <x:v>-0.08817589343264343</x:v>
      </x:c>
      <x:c r="K1361" s="21" t="n">
        <x:v>-0.16258683663969065</x:v>
      </x:c>
      <x:c r="L1361" s="36" t="n">
        <x:f>IF(Assumptions!$B$4=2030,I1361,IF(Assumptions!$B$4=2035,J1361,K1361))</x:f>
        <x:v>-0.08817589343264343</x:v>
      </x:c>
      <x:c r="M1361" s="36" t="n">
        <x:f>Assumptions!$B$19</x:f>
        <x:v>-0.04739891965741583</x:v>
      </x:c>
      <x:c r="N1361" s="52" t="n">
        <x:f>H1361*L1361+(1-H1361)*M1361+O1361</x:f>
        <x:v>-0.08205934736635928</x:v>
      </x:c>
      <x:c r="O1361" s="36" t="n">
        <x:f>Assumptions!$B$10</x:f>
        <x:v>0</x:v>
      </x:c>
      <x:c r="P1361" s="54" t="n">
        <x:f>E1361*(1+N1361)</x:f>
        <x:v>249.67985751635027</x:v>
      </x:c>
      <x:c r="Q1361" s="54" t="n">
        <x:f>P1361-E1361</x:f>
        <x:v>-22.320142483649732</x:v>
      </x:c>
      <x:c r="R1361" s="16" t="str">
        <x:v>No</x:v>
      </x:c>
      <x:c r="S1361" s="56"/>
      <x:c r="T1361" s="56"/>
      <x:c r="U1361" s="40" t="n">
        <x:f>E1361*Assumptions!$B$8</x:f>
        <x:v>231.2</x:v>
      </x:c>
      <x:c r="V1361" s="40" t="n">
        <x:f>P1361*Assumptions!$B$8</x:f>
        <x:v>212.22787888889772</x:v>
      </x:c>
      <x:c r="W1361" s="54" t="n">
        <x:f>V1361-U1361</x:f>
        <x:v>-18.97212111110227</x:v>
      </x:c>
      <x:c r="X1361" s="58" t="str">
        <x:f>IF(R1361="No","",W1361*S1361)</x:f>
      </x:c>
      <x:c r="Y1361" s="58" t="str">
        <x:f>IF(R1361="No","",W1361*T1361*Assumptions!$B$9)</x:f>
      </x:c>
      <x:c r="Z1361" s="58" t="str">
        <x:f>IF(R1361="No","",X1361-Y1361)</x:f>
      </x:c>
      <x:c r="AA1361" s="58" t="str">
        <x:f>IF(R1361="No","",MAX(0,-Z1361))</x:f>
      </x:c>
      <x:c r="AB1361" s="52" t="str">
        <x:f>IF(OR(R1361="No",U1361*S1361=0),"",AA1361/(U1361*S1361))</x:f>
      </x:c>
      <x:c r="AC1361" s="54" t="str">
        <x:f>IF(OR(R1361="No",S1361-T1361*Assumptions!$B$9&lt;=0),"",AA1361/(Assumptions!$B$8*(S1361-T1361*Assumptions!$B$9)))</x:f>
      </x:c>
      <x:c r="AD1361" s="52" t="str">
        <x:f>IF(OR(R1361="No",U1361*S1361=0),"",AA1361/(U1361*S1361))</x:f>
      </x:c>
      <x:c r="AE1361" s="50" t="str">
        <x:f>IF(R1361="No","No finance data",IF(AB1361&gt;=10%,"Severe",IF(AB1361&gt;=5%,"High",IF(AB1361&gt;=2%,"Moderate","Low"))))</x:f>
        <x:v>No finance data</x:v>
      </x:c>
      <x:c r="AF1361" s="60"/>
      <x:c r="AG1361" s="60"/>
      <x:c r="AH1361" s="44" t="str">
        <x:v>Undergraduate tuition-contribution proxy only; not an audited total institutional budget.</x:v>
      </x:c>
    </x:row>
    <x:row r="1362">
      <x:c r="A1362" s="16" t="n">
        <x:v>211273</x:v>
      </x:c>
      <x:c r="B1362" s="16" t="str">
        <x:v>Bryn Mawr College</x:v>
      </x:c>
      <x:c r="C1362" s="16" t="str">
        <x:v>PA</x:v>
      </x:c>
      <x:c r="D1362" s="16" t="str">
        <x:v>Private nonprofit</x:v>
      </x:c>
      <x:c r="E1362" s="34" t="n">
        <x:v>1341</x:v>
      </x:c>
      <x:c r="F1362" s="21" t="n">
        <x:v>0.3934</x:v>
      </x:c>
      <x:c r="G1362" s="16" t="str">
        <x:v>Regional</x:v>
      </x:c>
      <x:c r="H1362" s="36" t="n">
        <x:f>IF(G1362="National",Assumptions!$B$11,IF(G1362="Statewide",Assumptions!$B$12,Assumptions!$B$13))</x:f>
        <x:v>0.85</x:v>
      </x:c>
      <x:c r="I1362" s="21" t="n">
        <x:v>-0.07201174532693544</x:v>
      </x:c>
      <x:c r="J1362" s="21" t="n">
        <x:v>-0.08817589343264343</x:v>
      </x:c>
      <x:c r="K1362" s="21" t="n">
        <x:v>-0.16258683663969065</x:v>
      </x:c>
      <x:c r="L1362" s="36" t="n">
        <x:f>IF(Assumptions!$B$4=2030,I1362,IF(Assumptions!$B$4=2035,J1362,K1362))</x:f>
        <x:v>-0.08817589343264343</x:v>
      </x:c>
      <x:c r="M1362" s="36" t="n">
        <x:f>Assumptions!$B$19</x:f>
        <x:v>-0.04739891965741583</x:v>
      </x:c>
      <x:c r="N1362" s="52" t="n">
        <x:f>H1362*L1362+(1-H1362)*M1362+O1362</x:f>
        <x:v>-0.08205934736635928</x:v>
      </x:c>
      <x:c r="O1362" s="36" t="n">
        <x:f>Assumptions!$B$10</x:f>
        <x:v>0</x:v>
      </x:c>
      <x:c r="P1362" s="54" t="n">
        <x:f>E1362*(1+N1362)</x:f>
        <x:v>1230.958415181712</x:v>
      </x:c>
      <x:c r="Q1362" s="54" t="n">
        <x:f>P1362-E1362</x:f>
        <x:v>-110.0415848182879</x:v>
      </x:c>
      <x:c r="R1362" s="16" t="str">
        <x:v>Yes</x:v>
      </x:c>
      <x:c r="S1362" s="56" t="n">
        <x:v>26140</x:v>
      </x:c>
      <x:c r="T1362" s="56" t="n">
        <x:v>25585</x:v>
      </x:c>
      <x:c r="U1362" s="40" t="n">
        <x:f>E1362*Assumptions!$B$8</x:f>
        <x:v>1139.85</x:v>
      </x:c>
      <x:c r="V1362" s="40" t="n">
        <x:f>P1362*Assumptions!$B$8</x:f>
        <x:v>1046.3146529044552</x:v>
      </x:c>
      <x:c r="W1362" s="54" t="n">
        <x:f>V1362-U1362</x:f>
        <x:v>-93.5353470955447</x:v>
      </x:c>
      <x:c r="X1362" s="58" t="n">
        <x:f>IF(R1362="No","",W1362*S1362)</x:f>
        <x:v>-2445013.9730775384</x:v>
      </x:c>
      <x:c r="Y1362" s="58" t="n">
        <x:f>IF(R1362="No","",W1362*T1362*Assumptions!$B$9)</x:f>
        <x:v>-717930.5566318533</x:v>
      </x:c>
      <x:c r="Z1362" s="58" t="n">
        <x:f>IF(R1362="No","",X1362-Y1362)</x:f>
        <x:v>-1727083.416445685</x:v>
      </x:c>
      <x:c r="AA1362" s="58" t="n">
        <x:f>IF(R1362="No","",MAX(0,-Z1362))</x:f>
        <x:v>1727083.416445685</x:v>
      </x:c>
      <x:c r="AB1362" s="52" t="n">
        <x:f>IF(OR(R1362="No",U1362*S1362=0),"",AA1362/(U1362*S1362))</x:f>
        <x:v>0.057964224156317606</x:v>
      </x:c>
      <x:c r="AC1362" s="54" t="n">
        <x:f>IF(OR(R1362="No",S1362-T1362*Assumptions!$B$9&lt;=0),"",AA1362/(Assumptions!$B$8*(S1362-T1362*Assumptions!$B$9)))</x:f>
        <x:v>110.04158481828789</x:v>
      </x:c>
      <x:c r="AD1362" s="52" t="n">
        <x:f>IF(OR(R1362="No",U1362*S1362=0),"",AA1362/(U1362*S1362))</x:f>
        <x:v>0.057964224156317606</x:v>
      </x:c>
      <x:c r="AE1362" s="50" t="str">
        <x:f>IF(R1362="No","No finance data",IF(AB1362&gt;=10%,"Severe",IF(AB1362&gt;=5%,"High",IF(AB1362&gt;=2%,"Moderate","Low"))))</x:f>
        <x:v>High</x:v>
      </x:c>
      <x:c r="AF1362" s="60" t="n">
        <x:v>40.02736</x:v>
      </x:c>
      <x:c r="AG1362" s="60" t="n">
        <x:v>-75.313223</x:v>
      </x:c>
      <x:c r="AH1362" s="44" t="str">
        <x:v>Undergraduate tuition-contribution proxy only; not an audited total institutional budget.</x:v>
      </x:c>
    </x:row>
    <x:row r="1363">
      <x:c r="A1363" s="16" t="n">
        <x:v>211291</x:v>
      </x:c>
      <x:c r="B1363" s="16" t="str">
        <x:v>Bucknell University</x:v>
      </x:c>
      <x:c r="C1363" s="16" t="str">
        <x:v>PA</x:v>
      </x:c>
      <x:c r="D1363" s="16" t="str">
        <x:v>Private nonprofit</x:v>
      </x:c>
      <x:c r="E1363" s="34" t="n">
        <x:v>3522</x:v>
      </x:c>
      <x:c r="F1363" s="21" t="n">
        <x:v>0.345</x:v>
      </x:c>
      <x:c r="G1363" s="16" t="str">
        <x:v>National</x:v>
      </x:c>
      <x:c r="H1363" s="36" t="n">
        <x:f>IF(G1363="National",Assumptions!$B$11,IF(G1363="Statewide",Assumptions!$B$12,Assumptions!$B$13))</x:f>
        <x:v>0.25</x:v>
      </x:c>
      <x:c r="I1363" s="21" t="n">
        <x:v>-0.07201174532693544</x:v>
      </x:c>
      <x:c r="J1363" s="21" t="n">
        <x:v>-0.08817589343264343</x:v>
      </x:c>
      <x:c r="K1363" s="21" t="n">
        <x:v>-0.16258683663969065</x:v>
      </x:c>
      <x:c r="L1363" s="36" t="n">
        <x:f>IF(Assumptions!$B$4=2030,I1363,IF(Assumptions!$B$4=2035,J1363,K1363))</x:f>
        <x:v>-0.08817589343264343</x:v>
      </x:c>
      <x:c r="M1363" s="36" t="n">
        <x:f>Assumptions!$B$19</x:f>
        <x:v>-0.04739891965741583</x:v>
      </x:c>
      <x:c r="N1363" s="52" t="n">
        <x:f>H1363*L1363+(1-H1363)*M1363+O1363</x:f>
        <x:v>-0.05759316310122273</x:v>
      </x:c>
      <x:c r="O1363" s="36" t="n">
        <x:f>Assumptions!$B$10</x:f>
        <x:v>0</x:v>
      </x:c>
      <x:c r="P1363" s="54" t="n">
        <x:f>E1363*(1+N1363)</x:f>
        <x:v>3319.1568795574935</x:v>
      </x:c>
      <x:c r="Q1363" s="54" t="n">
        <x:f>P1363-E1363</x:f>
        <x:v>-202.84312044250646</x:v>
      </x:c>
      <x:c r="R1363" s="16" t="str">
        <x:v>Yes</x:v>
      </x:c>
      <x:c r="S1363" s="56" t="n">
        <x:v>38138</x:v>
      </x:c>
      <x:c r="T1363" s="56" t="n">
        <x:v>22588</x:v>
      </x:c>
      <x:c r="U1363" s="40" t="n">
        <x:f>E1363*Assumptions!$B$8</x:f>
        <x:v>2993.7</x:v>
      </x:c>
      <x:c r="V1363" s="40" t="n">
        <x:f>P1363*Assumptions!$B$8</x:f>
        <x:v>2821.2833476238693</x:v>
      </x:c>
      <x:c r="W1363" s="54" t="n">
        <x:f>V1363-U1363</x:f>
        <x:v>-172.41665237613051</x:v>
      </x:c>
      <x:c r="X1363" s="58" t="n">
        <x:f>IF(R1363="No","",W1363*S1363)</x:f>
        <x:v>-6575626.2883208655</x:v>
      </x:c>
      <x:c r="Y1363" s="58" t="n">
        <x:f>IF(R1363="No","",W1363*T1363*Assumptions!$B$9)</x:f>
        <x:v>-1168364.2031616108</x:v>
      </x:c>
      <x:c r="Z1363" s="58" t="n">
        <x:f>IF(R1363="No","",X1363-Y1363)</x:f>
        <x:v>-5407262.085159255</x:v>
      </x:c>
      <x:c r="AA1363" s="58" t="n">
        <x:f>IF(R1363="No","",MAX(0,-Z1363))</x:f>
        <x:v>5407262.085159255</x:v>
      </x:c>
      <x:c r="AB1363" s="52" t="n">
        <x:f>IF(OR(R1363="No",U1363*S1363=0),"",AA1363/(U1363*S1363))</x:f>
        <x:v>0.0473599492347608</x:v>
      </x:c>
      <x:c r="AC1363" s="54" t="n">
        <x:f>IF(OR(R1363="No",S1363-T1363*Assumptions!$B$9&lt;=0),"",AA1363/(Assumptions!$B$8*(S1363-T1363*Assumptions!$B$9)))</x:f>
        <x:v>202.84312044250652</x:v>
      </x:c>
      <x:c r="AD1363" s="52" t="n">
        <x:f>IF(OR(R1363="No",U1363*S1363=0),"",AA1363/(U1363*S1363))</x:f>
        <x:v>0.0473599492347608</x:v>
      </x:c>
      <x:c r="AE1363" s="50" t="str">
        <x:f>IF(R1363="No","No finance data",IF(AB1363&gt;=10%,"Severe",IF(AB1363&gt;=5%,"High",IF(AB1363&gt;=2%,"Moderate","Low"))))</x:f>
        <x:v>Moderate</x:v>
      </x:c>
      <x:c r="AF1363" s="60" t="n">
        <x:v>40.954317</x:v>
      </x:c>
      <x:c r="AG1363" s="60" t="n">
        <x:v>-76.882616</x:v>
      </x:c>
      <x:c r="AH1363" s="44" t="str">
        <x:v>Undergraduate tuition-contribution proxy only; not an audited total institutional budget.</x:v>
      </x:c>
    </x:row>
    <x:row r="1364">
      <x:c r="A1364" s="16" t="n">
        <x:v>211352</x:v>
      </x:c>
      <x:c r="B1364" s="16" t="str">
        <x:v>Cabrini University</x:v>
      </x:c>
      <x:c r="C1364" s="16" t="str">
        <x:v>PA</x:v>
      </x:c>
      <x:c r="D1364" s="16" t="str">
        <x:v>Private nonprofit</x:v>
      </x:c>
      <x:c r="E1364" s="34" t="n">
        <x:v>1377</x:v>
      </x:c>
      <x:c r="F1364" s="21" t="n">
        <x:v>0.8004</x:v>
      </x:c>
      <x:c r="G1364" s="16" t="str">
        <x:v>Regional</x:v>
      </x:c>
      <x:c r="H1364" s="36" t="n">
        <x:f>IF(G1364="National",Assumptions!$B$11,IF(G1364="Statewide",Assumptions!$B$12,Assumptions!$B$13))</x:f>
        <x:v>0.85</x:v>
      </x:c>
      <x:c r="I1364" s="21" t="n">
        <x:v>-0.07201174532693544</x:v>
      </x:c>
      <x:c r="J1364" s="21" t="n">
        <x:v>-0.08817589343264343</x:v>
      </x:c>
      <x:c r="K1364" s="21" t="n">
        <x:v>-0.16258683663969065</x:v>
      </x:c>
      <x:c r="L1364" s="36" t="n">
        <x:f>IF(Assumptions!$B$4=2030,I1364,IF(Assumptions!$B$4=2035,J1364,K1364))</x:f>
        <x:v>-0.08817589343264343</x:v>
      </x:c>
      <x:c r="M1364" s="36" t="n">
        <x:f>Assumptions!$B$19</x:f>
        <x:v>-0.04739891965741583</x:v>
      </x:c>
      <x:c r="N1364" s="52" t="n">
        <x:f>H1364*L1364+(1-H1364)*M1364+O1364</x:f>
        <x:v>-0.08205934736635928</x:v>
      </x:c>
      <x:c r="O1364" s="36" t="n">
        <x:f>Assumptions!$B$10</x:f>
        <x:v>0</x:v>
      </x:c>
      <x:c r="P1364" s="54" t="n">
        <x:f>E1364*(1+N1364)</x:f>
        <x:v>1264.0042786765232</x:v>
      </x:c>
      <x:c r="Q1364" s="54" t="n">
        <x:f>P1364-E1364</x:f>
        <x:v>-112.9957213234768</x:v>
      </x:c>
      <x:c r="R1364" s="16" t="str">
        <x:v>Yes</x:v>
      </x:c>
      <x:c r="S1364" s="56" t="n">
        <x:v>15511</x:v>
      </x:c>
      <x:c r="T1364" s="56" t="n">
        <x:v>8964</x:v>
      </x:c>
      <x:c r="U1364" s="40" t="n">
        <x:f>E1364*Assumptions!$B$8</x:f>
        <x:v>1170.45</x:v>
      </x:c>
      <x:c r="V1364" s="40" t="n">
        <x:f>P1364*Assumptions!$B$8</x:f>
        <x:v>1074.4036368750446</x:v>
      </x:c>
      <x:c r="W1364" s="54" t="n">
        <x:f>V1364-U1364</x:f>
        <x:v>-96.0463631249554</x:v>
      </x:c>
      <x:c r="X1364" s="58" t="n">
        <x:f>IF(R1364="No","",W1364*S1364)</x:f>
        <x:v>-1489775.1384311833</x:v>
      </x:c>
      <x:c r="Y1364" s="58" t="n">
        <x:f>IF(R1364="No","",W1364*T1364*Assumptions!$B$9)</x:f>
        <x:v>-258287.87971563006</x:v>
      </x:c>
      <x:c r="Z1364" s="58" t="n">
        <x:f>IF(R1364="No","",X1364-Y1364)</x:f>
        <x:v>-1231487.2587155532</x:v>
      </x:c>
      <x:c r="AA1364" s="58" t="n">
        <x:f>IF(R1364="No","",MAX(0,-Z1364))</x:f>
        <x:v>1231487.2587155532</x:v>
      </x:c>
      <x:c r="AB1364" s="52" t="n">
        <x:f>IF(OR(R1364="No",U1364*S1364=0),"",AA1364/(U1364*S1364))</x:f>
        <x:v>0.06783241184075736</x:v>
      </x:c>
      <x:c r="AC1364" s="54" t="n">
        <x:f>IF(OR(R1364="No",S1364-T1364*Assumptions!$B$9&lt;=0),"",AA1364/(Assumptions!$B$8*(S1364-T1364*Assumptions!$B$9)))</x:f>
        <x:v>112.99572132347696</x:v>
      </x:c>
      <x:c r="AD1364" s="52" t="n">
        <x:f>IF(OR(R1364="No",U1364*S1364=0),"",AA1364/(U1364*S1364))</x:f>
        <x:v>0.06783241184075736</x:v>
      </x:c>
      <x:c r="AE1364" s="50" t="str">
        <x:f>IF(R1364="No","No finance data",IF(AB1364&gt;=10%,"Severe",IF(AB1364&gt;=5%,"High",IF(AB1364&gt;=2%,"Moderate","Low"))))</x:f>
        <x:v>High</x:v>
      </x:c>
      <x:c r="AF1364" s="60" t="n">
        <x:v>40.056355</x:v>
      </x:c>
      <x:c r="AG1364" s="60" t="n">
        <x:v>-75.375263</x:v>
      </x:c>
      <x:c r="AH1364" s="44" t="str">
        <x:v>Undergraduate tuition-contribution proxy only; not an audited total institutional budget.</x:v>
      </x:c>
    </x:row>
    <x:row r="1365">
      <x:c r="A1365" s="16" t="n">
        <x:v>215114</x:v>
      </x:c>
      <x:c r="B1365" s="16" t="str">
        <x:v>Cairn University-Langhorne</x:v>
      </x:c>
      <x:c r="C1365" s="16" t="str">
        <x:v>PA</x:v>
      </x:c>
      <x:c r="D1365" s="16" t="str">
        <x:v>Private nonprofit</x:v>
      </x:c>
      <x:c r="E1365" s="34" t="n">
        <x:v>772</x:v>
      </x:c>
      <x:c r="F1365" s="21" t="n">
        <x:v>0.8232</x:v>
      </x:c>
      <x:c r="G1365" s="16" t="str">
        <x:v>Regional</x:v>
      </x:c>
      <x:c r="H1365" s="36" t="n">
        <x:f>IF(G1365="National",Assumptions!$B$11,IF(G1365="Statewide",Assumptions!$B$12,Assumptions!$B$13))</x:f>
        <x:v>0.85</x:v>
      </x:c>
      <x:c r="I1365" s="21" t="n">
        <x:v>-0.07201174532693544</x:v>
      </x:c>
      <x:c r="J1365" s="21" t="n">
        <x:v>-0.08817589343264343</x:v>
      </x:c>
      <x:c r="K1365" s="21" t="n">
        <x:v>-0.16258683663969065</x:v>
      </x:c>
      <x:c r="L1365" s="36" t="n">
        <x:f>IF(Assumptions!$B$4=2030,I1365,IF(Assumptions!$B$4=2035,J1365,K1365))</x:f>
        <x:v>-0.08817589343264343</x:v>
      </x:c>
      <x:c r="M1365" s="36" t="n">
        <x:f>Assumptions!$B$19</x:f>
        <x:v>-0.04739891965741583</x:v>
      </x:c>
      <x:c r="N1365" s="52" t="n">
        <x:f>H1365*L1365+(1-H1365)*M1365+O1365</x:f>
        <x:v>-0.08205934736635928</x:v>
      </x:c>
      <x:c r="O1365" s="36" t="n">
        <x:f>Assumptions!$B$10</x:f>
        <x:v>0</x:v>
      </x:c>
      <x:c r="P1365" s="54" t="n">
        <x:f>E1365*(1+N1365)</x:f>
        <x:v>708.6501838331706</x:v>
      </x:c>
      <x:c r="Q1365" s="54" t="n">
        <x:f>P1365-E1365</x:f>
        <x:v>-63.34981616682944</x:v>
      </x:c>
      <x:c r="R1365" s="16" t="str">
        <x:v>Yes</x:v>
      </x:c>
      <x:c r="S1365" s="56" t="n">
        <x:v>11191</x:v>
      </x:c>
      <x:c r="T1365" s="56" t="n">
        <x:v>6055</x:v>
      </x:c>
      <x:c r="U1365" s="40" t="n">
        <x:f>E1365*Assumptions!$B$8</x:f>
        <x:v>656.1999999999999</x:v>
      </x:c>
      <x:c r="V1365" s="40" t="n">
        <x:f>P1365*Assumptions!$B$8</x:f>
        <x:v>602.352656258195</x:v>
      </x:c>
      <x:c r="W1365" s="54" t="n">
        <x:f>V1365-U1365</x:f>
        <x:v>-53.847343741804934</x:v>
      </x:c>
      <x:c r="X1365" s="58" t="n">
        <x:f>IF(R1365="No","",W1365*S1365)</x:f>
        <x:v>-602605.623814539</x:v>
      </x:c>
      <x:c r="Y1365" s="58" t="n">
        <x:f>IF(R1365="No","",W1365*T1365*Assumptions!$B$9)</x:f>
        <x:v>-97813.69990698867</x:v>
      </x:c>
      <x:c r="Z1365" s="58" t="n">
        <x:f>IF(R1365="No","",X1365-Y1365)</x:f>
        <x:v>-504791.9239075504</x:v>
      </x:c>
      <x:c r="AA1365" s="58" t="n">
        <x:f>IF(R1365="No","",MAX(0,-Z1365))</x:f>
        <x:v>504791.9239075504</x:v>
      </x:c>
      <x:c r="AB1365" s="52" t="n">
        <x:f>IF(OR(R1365="No",U1365*S1365=0),"",AA1365/(U1365*S1365))</x:f>
        <x:v>0.06873964363201991</x:v>
      </x:c>
      <x:c r="AC1365" s="54" t="n">
        <x:f>IF(OR(R1365="No",S1365-T1365*Assumptions!$B$9&lt;=0),"",AA1365/(Assumptions!$B$8*(S1365-T1365*Assumptions!$B$9)))</x:f>
        <x:v>63.34981616682934</x:v>
      </x:c>
      <x:c r="AD1365" s="52" t="n">
        <x:f>IF(OR(R1365="No",U1365*S1365=0),"",AA1365/(U1365*S1365))</x:f>
        <x:v>0.06873964363201991</x:v>
      </x:c>
      <x:c r="AE1365" s="50" t="str">
        <x:f>IF(R1365="No","No finance data",IF(AB1365&gt;=10%,"Severe",IF(AB1365&gt;=5%,"High",IF(AB1365&gt;=2%,"Moderate","Low"))))</x:f>
        <x:v>High</x:v>
      </x:c>
      <x:c r="AF1365" s="60" t="n">
        <x:v>40.165809</x:v>
      </x:c>
      <x:c r="AG1365" s="60" t="n">
        <x:v>-74.909509</x:v>
      </x:c>
      <x:c r="AH1365" s="44" t="str">
        <x:v>Undergraduate tuition-contribution proxy only; not an audited total institutional budget.</x:v>
      </x:c>
    </x:row>
    <x:row r="1366">
      <x:c r="A1366" s="16" t="n">
        <x:v>211361</x:v>
      </x:c>
      <x:c r="B1366" s="16" t="str">
        <x:v>California University of Pennsylvania</x:v>
      </x:c>
      <x:c r="C1366" s="16" t="str">
        <x:v>PA</x:v>
      </x:c>
      <x:c r="D1366" s="16" t="str">
        <x:v>Public</x:v>
      </x:c>
      <x:c r="E1366" s="34" t="n">
        <x:v>5715</x:v>
      </x:c>
      <x:c r="F1366" s="21" t="n">
        <x:v>0.9708</x:v>
      </x:c>
      <x:c r="G1366" s="16" t="str">
        <x:v>Statewide</x:v>
      </x:c>
      <x:c r="H1366" s="36" t="n">
        <x:f>IF(G1366="National",Assumptions!$B$11,IF(G1366="Statewide",Assumptions!$B$12,Assumptions!$B$13))</x:f>
        <x:v>0.6</x:v>
      </x:c>
      <x:c r="I1366" s="21" t="n">
        <x:v>-0.07201174532693544</x:v>
      </x:c>
      <x:c r="J1366" s="21" t="n">
        <x:v>-0.08817589343264343</x:v>
      </x:c>
      <x:c r="K1366" s="21" t="n">
        <x:v>-0.16258683663969065</x:v>
      </x:c>
      <x:c r="L1366" s="36" t="n">
        <x:f>IF(Assumptions!$B$4=2030,I1366,IF(Assumptions!$B$4=2035,J1366,K1366))</x:f>
        <x:v>-0.08817589343264343</x:v>
      </x:c>
      <x:c r="M1366" s="36" t="n">
        <x:f>Assumptions!$B$19</x:f>
        <x:v>-0.04739891965741583</x:v>
      </x:c>
      <x:c r="N1366" s="52" t="n">
        <x:f>H1366*L1366+(1-H1366)*M1366+O1366</x:f>
        <x:v>-0.07186510392255238</x:v>
      </x:c>
      <x:c r="O1366" s="36" t="n">
        <x:f>Assumptions!$B$10</x:f>
        <x:v>0</x:v>
      </x:c>
      <x:c r="P1366" s="54" t="n">
        <x:f>E1366*(1+N1366)</x:f>
        <x:v>5304.290931082613</x:v>
      </x:c>
      <x:c r="Q1366" s="54" t="n">
        <x:f>P1366-E1366</x:f>
        <x:v>-410.7090689173874</x:v>
      </x:c>
      <x:c r="R1366" s="16" t="str">
        <x:v>Yes</x:v>
      </x:c>
      <x:c r="S1366" s="56" t="n">
        <x:v>9491</x:v>
      </x:c>
      <x:c r="T1366" s="56" t="n">
        <x:v>8446</x:v>
      </x:c>
      <x:c r="U1366" s="40" t="n">
        <x:f>E1366*Assumptions!$B$8</x:f>
        <x:v>4857.75</x:v>
      </x:c>
      <x:c r="V1366" s="40" t="n">
        <x:f>P1366*Assumptions!$B$8</x:f>
        <x:v>4508.64729142022</x:v>
      </x:c>
      <x:c r="W1366" s="54" t="n">
        <x:f>V1366-U1366</x:f>
        <x:v>-349.1027085797796</x:v>
      </x:c>
      <x:c r="X1366" s="58" t="n">
        <x:f>IF(R1366="No","",W1366*S1366)</x:f>
        <x:v>-3313333.807130688</x:v>
      </x:c>
      <x:c r="Y1366" s="58" t="n">
        <x:f>IF(R1366="No","",W1366*T1366*Assumptions!$B$9)</x:f>
        <x:v>-884556.4429994455</x:v>
      </x:c>
      <x:c r="Z1366" s="58" t="n">
        <x:f>IF(R1366="No","",X1366-Y1366)</x:f>
        <x:v>-2428777.3641312425</x:v>
      </x:c>
      <x:c r="AA1366" s="58" t="n">
        <x:f>IF(R1366="No","",MAX(0,-Z1366))</x:f>
        <x:v>2428777.3641312425</x:v>
      </x:c>
      <x:c r="AB1366" s="52" t="n">
        <x:f>IF(OR(R1366="No",U1366*S1366=0),"",AA1366/(U1366*S1366))</x:f>
        <x:v>0.05267937003582157</x:v>
      </x:c>
      <x:c r="AC1366" s="54" t="n">
        <x:f>IF(OR(R1366="No",S1366-T1366*Assumptions!$B$9&lt;=0),"",AA1366/(Assumptions!$B$8*(S1366-T1366*Assumptions!$B$9)))</x:f>
        <x:v>410.7090689173877</x:v>
      </x:c>
      <x:c r="AD1366" s="52" t="n">
        <x:f>IF(OR(R1366="No",U1366*S1366=0),"",AA1366/(U1366*S1366))</x:f>
        <x:v>0.05267937003582157</x:v>
      </x:c>
      <x:c r="AE1366" s="50" t="str">
        <x:f>IF(R1366="No","No finance data",IF(AB1366&gt;=10%,"Severe",IF(AB1366&gt;=5%,"High",IF(AB1366&gt;=2%,"Moderate","Low"))))</x:f>
        <x:v>High</x:v>
      </x:c>
      <x:c r="AF1366" s="60" t="n">
        <x:v>40.064964</x:v>
      </x:c>
      <x:c r="AG1366" s="60" t="n">
        <x:v>-79.88679</x:v>
      </x:c>
      <x:c r="AH1366" s="44" t="str">
        <x:v>Undergraduate tuition-contribution proxy only; not an audited total institutional budget.</x:v>
      </x:c>
    </x:row>
    <x:row r="1367">
      <x:c r="A1367" s="16" t="n">
        <x:v>211431</x:v>
      </x:c>
      <x:c r="B1367" s="16" t="str">
        <x:v>Carlow University</x:v>
      </x:c>
      <x:c r="C1367" s="16" t="str">
        <x:v>PA</x:v>
      </x:c>
      <x:c r="D1367" s="16" t="str">
        <x:v>Private nonprofit</x:v>
      </x:c>
      <x:c r="E1367" s="34" t="n">
        <x:v>1377</x:v>
      </x:c>
      <x:c r="F1367" s="21" t="n">
        <x:v>0.9205</x:v>
      </x:c>
      <x:c r="G1367" s="16" t="str">
        <x:v>Regional</x:v>
      </x:c>
      <x:c r="H1367" s="36" t="n">
        <x:f>IF(G1367="National",Assumptions!$B$11,IF(G1367="Statewide",Assumptions!$B$12,Assumptions!$B$13))</x:f>
        <x:v>0.85</x:v>
      </x:c>
      <x:c r="I1367" s="21" t="n">
        <x:v>-0.07201174532693544</x:v>
      </x:c>
      <x:c r="J1367" s="21" t="n">
        <x:v>-0.08817589343264343</x:v>
      </x:c>
      <x:c r="K1367" s="21" t="n">
        <x:v>-0.16258683663969065</x:v>
      </x:c>
      <x:c r="L1367" s="36" t="n">
        <x:f>IF(Assumptions!$B$4=2030,I1367,IF(Assumptions!$B$4=2035,J1367,K1367))</x:f>
        <x:v>-0.08817589343264343</x:v>
      </x:c>
      <x:c r="M1367" s="36" t="n">
        <x:f>Assumptions!$B$19</x:f>
        <x:v>-0.04739891965741583</x:v>
      </x:c>
      <x:c r="N1367" s="52" t="n">
        <x:f>H1367*L1367+(1-H1367)*M1367+O1367</x:f>
        <x:v>-0.08205934736635928</x:v>
      </x:c>
      <x:c r="O1367" s="36" t="n">
        <x:f>Assumptions!$B$10</x:f>
        <x:v>0</x:v>
      </x:c>
      <x:c r="P1367" s="54" t="n">
        <x:f>E1367*(1+N1367)</x:f>
        <x:v>1264.0042786765232</x:v>
      </x:c>
      <x:c r="Q1367" s="54" t="n">
        <x:f>P1367-E1367</x:f>
        <x:v>-112.9957213234768</x:v>
      </x:c>
      <x:c r="R1367" s="16" t="str">
        <x:v>Yes</x:v>
      </x:c>
      <x:c r="S1367" s="56" t="n">
        <x:v>20378</x:v>
      </x:c>
      <x:c r="T1367" s="56" t="n">
        <x:v>11125</x:v>
      </x:c>
      <x:c r="U1367" s="40" t="n">
        <x:f>E1367*Assumptions!$B$8</x:f>
        <x:v>1170.45</x:v>
      </x:c>
      <x:c r="V1367" s="40" t="n">
        <x:f>P1367*Assumptions!$B$8</x:f>
        <x:v>1074.4036368750446</x:v>
      </x:c>
      <x:c r="W1367" s="54" t="n">
        <x:f>V1367-U1367</x:f>
        <x:v>-96.0463631249554</x:v>
      </x:c>
      <x:c r="X1367" s="58" t="n">
        <x:f>IF(R1367="No","",W1367*S1367)</x:f>
        <x:v>-1957232.7877603413</x:v>
      </x:c>
      <x:c r="Y1367" s="58" t="n">
        <x:f>IF(R1367="No","",W1367*T1367*Assumptions!$B$9)</x:f>
        <x:v>-320554.73692953866</x:v>
      </x:c>
      <x:c r="Z1367" s="58" t="n">
        <x:f>IF(R1367="No","",X1367-Y1367)</x:f>
        <x:v>-1636678.0508308026</x:v>
      </x:c>
      <x:c r="AA1367" s="58" t="n">
        <x:f>IF(R1367="No","",MAX(0,-Z1367))</x:f>
        <x:v>1636678.0508308026</x:v>
      </x:c>
      <x:c r="AB1367" s="52" t="n">
        <x:f>IF(OR(R1367="No",U1367*S1367=0),"",AA1367/(U1367*S1367))</x:f>
        <x:v>0.06861970305213701</x:v>
      </x:c>
      <x:c r="AC1367" s="54" t="n">
        <x:f>IF(OR(R1367="No",S1367-T1367*Assumptions!$B$9&lt;=0),"",AA1367/(Assumptions!$B$8*(S1367-T1367*Assumptions!$B$9)))</x:f>
        <x:v>112.99572132347696</x:v>
      </x:c>
      <x:c r="AD1367" s="52" t="n">
        <x:f>IF(OR(R1367="No",U1367*S1367=0),"",AA1367/(U1367*S1367))</x:f>
        <x:v>0.06861970305213701</x:v>
      </x:c>
      <x:c r="AE1367" s="50" t="str">
        <x:f>IF(R1367="No","No finance data",IF(AB1367&gt;=10%,"Severe",IF(AB1367&gt;=5%,"High",IF(AB1367&gt;=2%,"Moderate","Low"))))</x:f>
        <x:v>High</x:v>
      </x:c>
      <x:c r="AF1367" s="60" t="n">
        <x:v>40.439293</x:v>
      </x:c>
      <x:c r="AG1367" s="60" t="n">
        <x:v>-79.963448</x:v>
      </x:c>
      <x:c r="AH1367" s="44" t="str">
        <x:v>Undergraduate tuition-contribution proxy only; not an audited total institutional budget.</x:v>
      </x:c>
    </x:row>
    <x:row r="1368">
      <x:c r="A1368" s="16" t="n">
        <x:v>211440</x:v>
      </x:c>
      <x:c r="B1368" s="16" t="str">
        <x:v>Carnegie Mellon University</x:v>
      </x:c>
      <x:c r="C1368" s="16" t="str">
        <x:v>PA</x:v>
      </x:c>
      <x:c r="D1368" s="16" t="str">
        <x:v>Private nonprofit</x:v>
      </x:c>
      <x:c r="E1368" s="34" t="n">
        <x:v>5964</x:v>
      </x:c>
      <x:c r="F1368" s="21" t="n">
        <x:v>0.1354</x:v>
      </x:c>
      <x:c r="G1368" s="16" t="str">
        <x:v>National</x:v>
      </x:c>
      <x:c r="H1368" s="36" t="n">
        <x:f>IF(G1368="National",Assumptions!$B$11,IF(G1368="Statewide",Assumptions!$B$12,Assumptions!$B$13))</x:f>
        <x:v>0.25</x:v>
      </x:c>
      <x:c r="I1368" s="21" t="n">
        <x:v>-0.07201174532693544</x:v>
      </x:c>
      <x:c r="J1368" s="21" t="n">
        <x:v>-0.08817589343264343</x:v>
      </x:c>
      <x:c r="K1368" s="21" t="n">
        <x:v>-0.16258683663969065</x:v>
      </x:c>
      <x:c r="L1368" s="36" t="n">
        <x:f>IF(Assumptions!$B$4=2030,I1368,IF(Assumptions!$B$4=2035,J1368,K1368))</x:f>
        <x:v>-0.08817589343264343</x:v>
      </x:c>
      <x:c r="M1368" s="36" t="n">
        <x:f>Assumptions!$B$19</x:f>
        <x:v>-0.04739891965741583</x:v>
      </x:c>
      <x:c r="N1368" s="52" t="n">
        <x:f>H1368*L1368+(1-H1368)*M1368+O1368</x:f>
        <x:v>-0.05759316310122273</x:v>
      </x:c>
      <x:c r="O1368" s="36" t="n">
        <x:f>Assumptions!$B$10</x:f>
        <x:v>0</x:v>
      </x:c>
      <x:c r="P1368" s="54" t="n">
        <x:f>E1368*(1+N1368)</x:f>
        <x:v>5620.514375264307</x:v>
      </x:c>
      <x:c r="Q1368" s="54" t="n">
        <x:f>P1368-E1368</x:f>
        <x:v>-343.4856247356929</x:v>
      </x:c>
      <x:c r="R1368" s="16" t="str">
        <x:v>Yes</x:v>
      </x:c>
      <x:c r="S1368" s="56" t="n">
        <x:v>43851</x:v>
      </x:c>
      <x:c r="T1368" s="56" t="n">
        <x:v>34891</x:v>
      </x:c>
      <x:c r="U1368" s="40" t="n">
        <x:f>E1368*Assumptions!$B$8</x:f>
        <x:v>5069.4</x:v>
      </x:c>
      <x:c r="V1368" s="40" t="n">
        <x:f>P1368*Assumptions!$B$8</x:f>
        <x:v>4777.437218974661</x:v>
      </x:c>
      <x:c r="W1368" s="54" t="n">
        <x:f>V1368-U1368</x:f>
        <x:v>-291.9627810253387</x:v>
      </x:c>
      <x:c r="X1368" s="58" t="n">
        <x:f>IF(R1368="No","",W1368*S1368)</x:f>
        <x:v>-12802859.910742126</x:v>
      </x:c>
      <x:c r="Y1368" s="58" t="n">
        <x:f>IF(R1368="No","",W1368*T1368*Assumptions!$B$9)</x:f>
        <x:v>-3056062.017826528</x:v>
      </x:c>
      <x:c r="Z1368" s="58" t="n">
        <x:f>IF(R1368="No","",X1368-Y1368)</x:f>
        <x:v>-9746797.892915599</x:v>
      </x:c>
      <x:c r="AA1368" s="58" t="n">
        <x:f>IF(R1368="No","",MAX(0,-Z1368))</x:f>
        <x:v>9746797.892915599</x:v>
      </x:c>
      <x:c r="AB1368" s="52" t="n">
        <x:f>IF(OR(R1368="No",U1368*S1368=0),"",AA1368/(U1368*S1368))</x:f>
        <x:v>0.04384558799166018</x:v>
      </x:c>
      <x:c r="AC1368" s="54" t="n">
        <x:f>IF(OR(R1368="No",S1368-T1368*Assumptions!$B$9&lt;=0),"",AA1368/(Assumptions!$B$8*(S1368-T1368*Assumptions!$B$9)))</x:f>
        <x:v>343.4856247356926</x:v>
      </x:c>
      <x:c r="AD1368" s="52" t="n">
        <x:f>IF(OR(R1368="No",U1368*S1368=0),"",AA1368/(U1368*S1368))</x:f>
        <x:v>0.04384558799166018</x:v>
      </x:c>
      <x:c r="AE1368" s="50" t="str">
        <x:f>IF(R1368="No","No finance data",IF(AB1368&gt;=10%,"Severe",IF(AB1368&gt;=5%,"High",IF(AB1368&gt;=2%,"Moderate","Low"))))</x:f>
        <x:v>Moderate</x:v>
      </x:c>
      <x:c r="AF1368" s="60" t="n">
        <x:v>40.44357</x:v>
      </x:c>
      <x:c r="AG1368" s="60" t="n">
        <x:v>-79.941993</x:v>
      </x:c>
      <x:c r="AH1368" s="44" t="str">
        <x:v>Undergraduate tuition-contribution proxy only; not an audited total institutional budget.</x:v>
      </x:c>
    </x:row>
    <x:row r="1369">
      <x:c r="A1369" s="16" t="n">
        <x:v>211468</x:v>
      </x:c>
      <x:c r="B1369" s="16" t="str">
        <x:v>Cedar Crest College</x:v>
      </x:c>
      <x:c r="C1369" s="16" t="str">
        <x:v>PA</x:v>
      </x:c>
      <x:c r="D1369" s="16" t="str">
        <x:v>Private nonprofit</x:v>
      </x:c>
      <x:c r="E1369" s="34" t="n">
        <x:v>1360</x:v>
      </x:c>
      <x:c r="F1369" s="21" t="n">
        <x:v>0.6878</x:v>
      </x:c>
      <x:c r="G1369" s="16" t="str">
        <x:v>Regional</x:v>
      </x:c>
      <x:c r="H1369" s="36" t="n">
        <x:f>IF(G1369="National",Assumptions!$B$11,IF(G1369="Statewide",Assumptions!$B$12,Assumptions!$B$13))</x:f>
        <x:v>0.85</x:v>
      </x:c>
      <x:c r="I1369" s="21" t="n">
        <x:v>-0.07201174532693544</x:v>
      </x:c>
      <x:c r="J1369" s="21" t="n">
        <x:v>-0.08817589343264343</x:v>
      </x:c>
      <x:c r="K1369" s="21" t="n">
        <x:v>-0.16258683663969065</x:v>
      </x:c>
      <x:c r="L1369" s="36" t="n">
        <x:f>IF(Assumptions!$B$4=2030,I1369,IF(Assumptions!$B$4=2035,J1369,K1369))</x:f>
        <x:v>-0.08817589343264343</x:v>
      </x:c>
      <x:c r="M1369" s="36" t="n">
        <x:f>Assumptions!$B$19</x:f>
        <x:v>-0.04739891965741583</x:v>
      </x:c>
      <x:c r="N1369" s="52" t="n">
        <x:f>H1369*L1369+(1-H1369)*M1369+O1369</x:f>
        <x:v>-0.08205934736635928</x:v>
      </x:c>
      <x:c r="O1369" s="36" t="n">
        <x:f>Assumptions!$B$10</x:f>
        <x:v>0</x:v>
      </x:c>
      <x:c r="P1369" s="54" t="n">
        <x:f>E1369*(1+N1369)</x:f>
        <x:v>1248.3992875817512</x:v>
      </x:c>
      <x:c r="Q1369" s="54" t="n">
        <x:f>P1369-E1369</x:f>
        <x:v>-111.6007124182488</x:v>
      </x:c>
      <x:c r="R1369" s="16" t="str">
        <x:v>Yes</x:v>
      </x:c>
      <x:c r="S1369" s="56" t="n">
        <x:v>18329</x:v>
      </x:c>
      <x:c r="T1369" s="56" t="n">
        <x:v>10674</x:v>
      </x:c>
      <x:c r="U1369" s="40" t="n">
        <x:f>E1369*Assumptions!$B$8</x:f>
        <x:v>1156</x:v>
      </x:c>
      <x:c r="V1369" s="40" t="n">
        <x:f>P1369*Assumptions!$B$8</x:f>
        <x:v>1061.1393944444885</x:v>
      </x:c>
      <x:c r="W1369" s="54" t="n">
        <x:f>V1369-U1369</x:f>
        <x:v>-94.86060555551148</x:v>
      </x:c>
      <x:c r="X1369" s="58" t="n">
        <x:f>IF(R1369="No","",W1369*S1369)</x:f>
        <x:v>-1738700.03922697</x:v>
      </x:c>
      <x:c r="Y1369" s="58" t="n">
        <x:f>IF(R1369="No","",W1369*T1369*Assumptions!$B$9)</x:f>
        <x:v>-303762.63110985886</x:v>
      </x:c>
      <x:c r="Z1369" s="58" t="n">
        <x:f>IF(R1369="No","",X1369-Y1369)</x:f>
        <x:v>-1434937.408117111</x:v>
      </x:c>
      <x:c r="AA1369" s="58" t="n">
        <x:f>IF(R1369="No","",MAX(0,-Z1369))</x:f>
        <x:v>1434937.408117111</x:v>
      </x:c>
      <x:c r="AB1369" s="52" t="n">
        <x:f>IF(OR(R1369="No",U1369*S1369=0),"",AA1369/(U1369*S1369))</x:f>
        <x:v>0.06772302557375992</x:v>
      </x:c>
      <x:c r="AC1369" s="54" t="n">
        <x:f>IF(OR(R1369="No",S1369-T1369*Assumptions!$B$9&lt;=0),"",AA1369/(Assumptions!$B$8*(S1369-T1369*Assumptions!$B$9)))</x:f>
        <x:v>111.60071241824882</x:v>
      </x:c>
      <x:c r="AD1369" s="52" t="n">
        <x:f>IF(OR(R1369="No",U1369*S1369=0),"",AA1369/(U1369*S1369))</x:f>
        <x:v>0.06772302557375992</x:v>
      </x:c>
      <x:c r="AE1369" s="50" t="str">
        <x:f>IF(R1369="No","No finance data",IF(AB1369&gt;=10%,"Severe",IF(AB1369&gt;=5%,"High",IF(AB1369&gt;=2%,"Moderate","Low"))))</x:f>
        <x:v>High</x:v>
      </x:c>
      <x:c r="AF1369" s="60" t="n">
        <x:v>40.586318</x:v>
      </x:c>
      <x:c r="AG1369" s="60" t="n">
        <x:v>-75.519221</x:v>
      </x:c>
      <x:c r="AH1369" s="44" t="str">
        <x:v>Undergraduate tuition-contribution proxy only; not an audited total institutional budget.</x:v>
      </x:c>
    </x:row>
    <x:row r="1370">
      <x:c r="A1370" s="16" t="n">
        <x:v>211556</x:v>
      </x:c>
      <x:c r="B1370" s="16" t="str">
        <x:v>Chatham University</x:v>
      </x:c>
      <x:c r="C1370" s="16" t="str">
        <x:v>PA</x:v>
      </x:c>
      <x:c r="D1370" s="16" t="str">
        <x:v>Private nonprofit</x:v>
      </x:c>
      <x:c r="E1370" s="34" t="n">
        <x:v>695</x:v>
      </x:c>
      <x:c r="F1370" s="21" t="n">
        <x:v>0.7339</x:v>
      </x:c>
      <x:c r="G1370" s="16" t="str">
        <x:v>Regional</x:v>
      </x:c>
      <x:c r="H1370" s="36" t="n">
        <x:f>IF(G1370="National",Assumptions!$B$11,IF(G1370="Statewide",Assumptions!$B$12,Assumptions!$B$13))</x:f>
        <x:v>0.85</x:v>
      </x:c>
      <x:c r="I1370" s="21" t="n">
        <x:v>-0.07201174532693544</x:v>
      </x:c>
      <x:c r="J1370" s="21" t="n">
        <x:v>-0.08817589343264343</x:v>
      </x:c>
      <x:c r="K1370" s="21" t="n">
        <x:v>-0.16258683663969065</x:v>
      </x:c>
      <x:c r="L1370" s="36" t="n">
        <x:f>IF(Assumptions!$B$4=2030,I1370,IF(Assumptions!$B$4=2035,J1370,K1370))</x:f>
        <x:v>-0.08817589343264343</x:v>
      </x:c>
      <x:c r="M1370" s="36" t="n">
        <x:f>Assumptions!$B$19</x:f>
        <x:v>-0.04739891965741583</x:v>
      </x:c>
      <x:c r="N1370" s="52" t="n">
        <x:f>H1370*L1370+(1-H1370)*M1370+O1370</x:f>
        <x:v>-0.08205934736635928</x:v>
      </x:c>
      <x:c r="O1370" s="36" t="n">
        <x:f>Assumptions!$B$10</x:f>
        <x:v>0</x:v>
      </x:c>
      <x:c r="P1370" s="54" t="n">
        <x:f>E1370*(1+N1370)</x:f>
        <x:v>637.9687535803803</x:v>
      </x:c>
      <x:c r="Q1370" s="54" t="n">
        <x:f>P1370-E1370</x:f>
        <x:v>-57.03124641961972</x:v>
      </x:c>
      <x:c r="R1370" s="16" t="str">
        <x:v>Yes</x:v>
      </x:c>
      <x:c r="S1370" s="56" t="n">
        <x:v>19763</x:v>
      </x:c>
      <x:c r="T1370" s="56" t="n">
        <x:v>11872</x:v>
      </x:c>
      <x:c r="U1370" s="40" t="n">
        <x:f>E1370*Assumptions!$B$8</x:f>
        <x:v>590.75</x:v>
      </x:c>
      <x:c r="V1370" s="40" t="n">
        <x:f>P1370*Assumptions!$B$8</x:f>
        <x:v>542.2734405433232</x:v>
      </x:c>
      <x:c r="W1370" s="54" t="n">
        <x:f>V1370-U1370</x:f>
        <x:v>-48.476559456676796</x:v>
      </x:c>
      <x:c r="X1370" s="58" t="n">
        <x:f>IF(R1370="No","",W1370*S1370)</x:f>
        <x:v>-958042.2445423035</x:v>
      </x:c>
      <x:c r="Y1370" s="58" t="n">
        <x:f>IF(R1370="No","",W1370*T1370*Assumptions!$B$9)</x:f>
        <x:v>-172654.11416090006</x:v>
      </x:c>
      <x:c r="Z1370" s="58" t="n">
        <x:f>IF(R1370="No","",X1370-Y1370)</x:f>
        <x:v>-785388.1303814035</x:v>
      </x:c>
      <x:c r="AA1370" s="58" t="n">
        <x:f>IF(R1370="No","",MAX(0,-Z1370))</x:f>
        <x:v>785388.1303814035</x:v>
      </x:c>
      <x:c r="AB1370" s="52" t="n">
        <x:f>IF(OR(R1370="No",U1370*S1370=0),"",AA1370/(U1370*S1370))</x:f>
        <x:v>0.06727097659370211</x:v>
      </x:c>
      <x:c r="AC1370" s="54" t="n">
        <x:f>IF(OR(R1370="No",S1370-T1370*Assumptions!$B$9&lt;=0),"",AA1370/(Assumptions!$B$8*(S1370-T1370*Assumptions!$B$9)))</x:f>
        <x:v>57.03124641961977</x:v>
      </x:c>
      <x:c r="AD1370" s="52" t="n">
        <x:f>IF(OR(R1370="No",U1370*S1370=0),"",AA1370/(U1370*S1370))</x:f>
        <x:v>0.06727097659370211</x:v>
      </x:c>
      <x:c r="AE1370" s="50" t="str">
        <x:f>IF(R1370="No","No finance data",IF(AB1370&gt;=10%,"Severe",IF(AB1370&gt;=5%,"High",IF(AB1370&gt;=2%,"Moderate","Low"))))</x:f>
        <x:v>High</x:v>
      </x:c>
      <x:c r="AF1370" s="60" t="n">
        <x:v>40.448432</x:v>
      </x:c>
      <x:c r="AG1370" s="60" t="n">
        <x:v>-79.926083</x:v>
      </x:c>
      <x:c r="AH1370" s="44" t="str">
        <x:v>Undergraduate tuition-contribution proxy only; not an audited total institutional budget.</x:v>
      </x:c>
    </x:row>
    <x:row r="1371">
      <x:c r="A1371" s="16" t="n">
        <x:v>211583</x:v>
      </x:c>
      <x:c r="B1371" s="16" t="str">
        <x:v>Chestnut Hill College</x:v>
      </x:c>
      <x:c r="C1371" s="16" t="str">
        <x:v>PA</x:v>
      </x:c>
      <x:c r="D1371" s="16" t="str">
        <x:v>Private nonprofit</x:v>
      </x:c>
      <x:c r="E1371" s="34" t="n">
        <x:v>1405</x:v>
      </x:c>
      <x:c r="F1371" s="21" t="n">
        <x:v>0.9791</x:v>
      </x:c>
      <x:c r="G1371" s="16" t="str">
        <x:v>Regional</x:v>
      </x:c>
      <x:c r="H1371" s="36" t="n">
        <x:f>IF(G1371="National",Assumptions!$B$11,IF(G1371="Statewide",Assumptions!$B$12,Assumptions!$B$13))</x:f>
        <x:v>0.85</x:v>
      </x:c>
      <x:c r="I1371" s="21" t="n">
        <x:v>-0.07201174532693544</x:v>
      </x:c>
      <x:c r="J1371" s="21" t="n">
        <x:v>-0.08817589343264343</x:v>
      </x:c>
      <x:c r="K1371" s="21" t="n">
        <x:v>-0.16258683663969065</x:v>
      </x:c>
      <x:c r="L1371" s="36" t="n">
        <x:f>IF(Assumptions!$B$4=2030,I1371,IF(Assumptions!$B$4=2035,J1371,K1371))</x:f>
        <x:v>-0.08817589343264343</x:v>
      </x:c>
      <x:c r="M1371" s="36" t="n">
        <x:f>Assumptions!$B$19</x:f>
        <x:v>-0.04739891965741583</x:v>
      </x:c>
      <x:c r="N1371" s="52" t="n">
        <x:f>H1371*L1371+(1-H1371)*M1371+O1371</x:f>
        <x:v>-0.08205934736635928</x:v>
      </x:c>
      <x:c r="O1371" s="36" t="n">
        <x:f>Assumptions!$B$10</x:f>
        <x:v>0</x:v>
      </x:c>
      <x:c r="P1371" s="54" t="n">
        <x:f>E1371*(1+N1371)</x:f>
        <x:v>1289.7066169502652</x:v>
      </x:c>
      <x:c r="Q1371" s="54" t="n">
        <x:f>P1371-E1371</x:f>
        <x:v>-115.29338304973476</x:v>
      </x:c>
      <x:c r="R1371" s="16" t="str">
        <x:v>Yes</x:v>
      </x:c>
      <x:c r="S1371" s="56" t="n">
        <x:v>12912</x:v>
      </x:c>
      <x:c r="T1371" s="56" t="n">
        <x:v>6811</x:v>
      </x:c>
      <x:c r="U1371" s="40" t="n">
        <x:f>E1371*Assumptions!$B$8</x:f>
        <x:v>1194.25</x:v>
      </x:c>
      <x:c r="V1371" s="40" t="n">
        <x:f>P1371*Assumptions!$B$8</x:f>
        <x:v>1096.2506244077254</x:v>
      </x:c>
      <x:c r="W1371" s="54" t="n">
        <x:f>V1371-U1371</x:f>
        <x:v>-97.99937559227465</x:v>
      </x:c>
      <x:c r="X1371" s="58" t="n">
        <x:f>IF(R1371="No","",W1371*S1371)</x:f>
        <x:v>-1265367.9376474502</x:v>
      </x:c>
      <x:c r="Y1371" s="58" t="n">
        <x:f>IF(R1371="No","",W1371*T1371*Assumptions!$B$9)</x:f>
        <x:v>-200242.12414769476</x:v>
      </x:c>
      <x:c r="Z1371" s="58" t="n">
        <x:f>IF(R1371="No","",X1371-Y1371)</x:f>
        <x:v>-1065125.8134997555</x:v>
      </x:c>
      <x:c r="AA1371" s="58" t="n">
        <x:f>IF(R1371="No","",MAX(0,-Z1371))</x:f>
        <x:v>1065125.8134997555</x:v>
      </x:c>
      <x:c r="AB1371" s="52" t="n">
        <x:f>IF(OR(R1371="No",U1371*S1371=0),"",AA1371/(U1371*S1371))</x:f>
        <x:v>0.06907360817230095</x:v>
      </x:c>
      <x:c r="AC1371" s="54" t="n">
        <x:f>IF(OR(R1371="No",S1371-T1371*Assumptions!$B$9&lt;=0),"",AA1371/(Assumptions!$B$8*(S1371-T1371*Assumptions!$B$9)))</x:f>
        <x:v>115.29338304973487</x:v>
      </x:c>
      <x:c r="AD1371" s="52" t="n">
        <x:f>IF(OR(R1371="No",U1371*S1371=0),"",AA1371/(U1371*S1371))</x:f>
        <x:v>0.06907360817230095</x:v>
      </x:c>
      <x:c r="AE1371" s="50" t="str">
        <x:f>IF(R1371="No","No finance data",IF(AB1371&gt;=10%,"Severe",IF(AB1371&gt;=5%,"High",IF(AB1371&gt;=2%,"Moderate","Low"))))</x:f>
        <x:v>High</x:v>
      </x:c>
      <x:c r="AF1371" s="60" t="n">
        <x:v>40.08678</x:v>
      </x:c>
      <x:c r="AG1371" s="60" t="n">
        <x:v>-75.228742</x:v>
      </x:c>
      <x:c r="AH1371" s="44" t="str">
        <x:v>Undergraduate tuition-contribution proxy only; not an audited total institutional budget.</x:v>
      </x:c>
    </x:row>
    <x:row r="1372">
      <x:c r="A1372" s="16" t="n">
        <x:v>211608</x:v>
      </x:c>
      <x:c r="B1372" s="16" t="str">
        <x:v>Cheyney University of Pennsylvania</x:v>
      </x:c>
      <x:c r="C1372" s="16" t="str">
        <x:v>PA</x:v>
      </x:c>
      <x:c r="D1372" s="16" t="str">
        <x:v>Public</x:v>
      </x:c>
      <x:c r="E1372" s="34" t="n">
        <x:v>686</x:v>
      </x:c>
      <x:c r="F1372" s="21"/>
      <x:c r="G1372" s="16" t="str">
        <x:v>Regional</x:v>
      </x:c>
      <x:c r="H1372" s="36" t="n">
        <x:f>IF(G1372="National",Assumptions!$B$11,IF(G1372="Statewide",Assumptions!$B$12,Assumptions!$B$13))</x:f>
        <x:v>0.85</x:v>
      </x:c>
      <x:c r="I1372" s="21" t="n">
        <x:v>-0.07201174532693544</x:v>
      </x:c>
      <x:c r="J1372" s="21" t="n">
        <x:v>-0.08817589343264343</x:v>
      </x:c>
      <x:c r="K1372" s="21" t="n">
        <x:v>-0.16258683663969065</x:v>
      </x:c>
      <x:c r="L1372" s="36" t="n">
        <x:f>IF(Assumptions!$B$4=2030,I1372,IF(Assumptions!$B$4=2035,J1372,K1372))</x:f>
        <x:v>-0.08817589343264343</x:v>
      </x:c>
      <x:c r="M1372" s="36" t="n">
        <x:f>Assumptions!$B$19</x:f>
        <x:v>-0.04739891965741583</x:v>
      </x:c>
      <x:c r="N1372" s="52" t="n">
        <x:f>H1372*L1372+(1-H1372)*M1372+O1372</x:f>
        <x:v>-0.08205934736635928</x:v>
      </x:c>
      <x:c r="O1372" s="36" t="n">
        <x:f>Assumptions!$B$10</x:f>
        <x:v>0</x:v>
      </x:c>
      <x:c r="P1372" s="54" t="n">
        <x:f>E1372*(1+N1372)</x:f>
        <x:v>629.7072877066774</x:v>
      </x:c>
      <x:c r="Q1372" s="54" t="n">
        <x:f>P1372-E1372</x:f>
        <x:v>-56.29271229332255</x:v>
      </x:c>
      <x:c r="R1372" s="16" t="str">
        <x:v>Yes</x:v>
      </x:c>
      <x:c r="S1372" s="56" t="n">
        <x:v>590</x:v>
      </x:c>
      <x:c r="T1372" s="56" t="n">
        <x:v>9890</x:v>
      </x:c>
      <x:c r="U1372" s="40" t="n">
        <x:f>E1372*Assumptions!$B$8</x:f>
        <x:v>583.1</x:v>
      </x:c>
      <x:c r="V1372" s="40" t="n">
        <x:f>P1372*Assumptions!$B$8</x:f>
        <x:v>535.2511945506758</x:v>
      </x:c>
      <x:c r="W1372" s="54" t="n">
        <x:f>V1372-U1372</x:f>
        <x:v>-47.84880544932423</x:v>
      </x:c>
      <x:c r="X1372" s="58" t="n">
        <x:f>IF(R1372="No","",W1372*S1372)</x:f>
        <x:v>-28230.795215101298</x:v>
      </x:c>
      <x:c r="Y1372" s="58" t="n">
        <x:f>IF(R1372="No","",W1372*T1372*Assumptions!$B$9)</x:f>
        <x:v>-141967.405768145</x:v>
      </x:c>
      <x:c r="Z1372" s="58" t="n">
        <x:f>IF(R1372="No","",X1372-Y1372)</x:f>
        <x:v>113736.61055304369</x:v>
      </x:c>
      <x:c r="AA1372" s="58" t="n">
        <x:f>IF(R1372="No","",MAX(0,-Z1372))</x:f>
        <x:v>0</x:v>
      </x:c>
      <x:c r="AB1372" s="52" t="n">
        <x:f>IF(OR(R1372="No",U1372*S1372=0),"",AA1372/(U1372*S1372))</x:f>
        <x:v>0</x:v>
      </x:c>
      <x:c r="AC1372" s="54" t="str">
        <x:f>IF(OR(R1372="No",S1372-T1372*Assumptions!$B$9&lt;=0),"",AA1372/(Assumptions!$B$8*(S1372-T1372*Assumptions!$B$9)))</x:f>
      </x:c>
      <x:c r="AD1372" s="52" t="n">
        <x:f>IF(OR(R1372="No",U1372*S1372=0),"",AA1372/(U1372*S1372))</x:f>
        <x:v>0</x:v>
      </x:c>
      <x:c r="AE1372" s="50" t="str">
        <x:f>IF(R1372="No","No finance data",IF(AB1372&gt;=10%,"Severe",IF(AB1372&gt;=5%,"High",IF(AB1372&gt;=2%,"Moderate","Low"))))</x:f>
        <x:v>Low</x:v>
      </x:c>
      <x:c r="AF1372" s="60" t="n">
        <x:v>39.932274</x:v>
      </x:c>
      <x:c r="AG1372" s="60" t="n">
        <x:v>-75.529262</x:v>
      </x:c>
      <x:c r="AH1372" s="44" t="str">
        <x:v>Undergraduate tuition-contribution proxy only; not an audited total institutional budget.</x:v>
      </x:c>
    </x:row>
    <x:row r="1373">
      <x:c r="A1373" s="16" t="n">
        <x:v>211644</x:v>
      </x:c>
      <x:c r="B1373" s="16" t="str">
        <x:v>Clarion University of Pennsylvania</x:v>
      </x:c>
      <x:c r="C1373" s="16" t="str">
        <x:v>PA</x:v>
      </x:c>
      <x:c r="D1373" s="16" t="str">
        <x:v>Public</x:v>
      </x:c>
      <x:c r="E1373" s="34" t="n">
        <x:v>4401</x:v>
      </x:c>
      <x:c r="F1373" s="21" t="n">
        <x:v>0.9921</x:v>
      </x:c>
      <x:c r="G1373" s="16" t="str">
        <x:v>Regional</x:v>
      </x:c>
      <x:c r="H1373" s="36" t="n">
        <x:f>IF(G1373="National",Assumptions!$B$11,IF(G1373="Statewide",Assumptions!$B$12,Assumptions!$B$13))</x:f>
        <x:v>0.85</x:v>
      </x:c>
      <x:c r="I1373" s="21" t="n">
        <x:v>-0.07201174532693544</x:v>
      </x:c>
      <x:c r="J1373" s="21" t="n">
        <x:v>-0.08817589343264343</x:v>
      </x:c>
      <x:c r="K1373" s="21" t="n">
        <x:v>-0.16258683663969065</x:v>
      </x:c>
      <x:c r="L1373" s="36" t="n">
        <x:f>IF(Assumptions!$B$4=2030,I1373,IF(Assumptions!$B$4=2035,J1373,K1373))</x:f>
        <x:v>-0.08817589343264343</x:v>
      </x:c>
      <x:c r="M1373" s="36" t="n">
        <x:f>Assumptions!$B$19</x:f>
        <x:v>-0.04739891965741583</x:v>
      </x:c>
      <x:c r="N1373" s="52" t="n">
        <x:f>H1373*L1373+(1-H1373)*M1373+O1373</x:f>
        <x:v>-0.08205934736635928</x:v>
      </x:c>
      <x:c r="O1373" s="36" t="n">
        <x:f>Assumptions!$B$10</x:f>
        <x:v>0</x:v>
      </x:c>
      <x:c r="P1373" s="54" t="n">
        <x:f>E1373*(1+N1373)</x:f>
        <x:v>4039.8568122406527</x:v>
      </x:c>
      <x:c r="Q1373" s="54" t="n">
        <x:f>P1373-E1373</x:f>
        <x:v>-361.14318775934726</x:v>
      </x:c>
      <x:c r="R1373" s="16" t="str">
        <x:v>Yes</x:v>
      </x:c>
      <x:c r="S1373" s="56" t="n">
        <x:v>8653</x:v>
      </x:c>
      <x:c r="T1373" s="56" t="n">
        <x:v>9709</x:v>
      </x:c>
      <x:c r="U1373" s="40" t="n">
        <x:f>E1373*Assumptions!$B$8</x:f>
        <x:v>3740.85</x:v>
      </x:c>
      <x:c r="V1373" s="40" t="n">
        <x:f>P1373*Assumptions!$B$8</x:f>
        <x:v>3433.8782904045547</x:v>
      </x:c>
      <x:c r="W1373" s="54" t="n">
        <x:f>V1373-U1373</x:f>
        <x:v>-306.9717095954452</x:v>
      </x:c>
      <x:c r="X1373" s="58" t="n">
        <x:f>IF(R1373="No","",W1373*S1373)</x:f>
        <x:v>-2656226.2031293875</x:v>
      </x:c>
      <x:c r="Y1373" s="58" t="n">
        <x:f>IF(R1373="No","",W1373*T1373*Assumptions!$B$9)</x:f>
        <x:v>-894116.4985386532</x:v>
      </x:c>
      <x:c r="Z1373" s="58" t="n">
        <x:f>IF(R1373="No","",X1373-Y1373)</x:f>
        <x:v>-1762109.704590734</x:v>
      </x:c>
      <x:c r="AA1373" s="58" t="n">
        <x:f>IF(R1373="No","",MAX(0,-Z1373))</x:f>
        <x:v>1762109.704590734</x:v>
      </x:c>
      <x:c r="AB1373" s="52" t="n">
        <x:f>IF(OR(R1373="No",U1373*S1373=0),"",AA1373/(U1373*S1373))</x:f>
        <x:v>0.05443722081210127</x:v>
      </x:c>
      <x:c r="AC1373" s="54" t="n">
        <x:f>IF(OR(R1373="No",S1373-T1373*Assumptions!$B$9&lt;=0),"",AA1373/(Assumptions!$B$8*(S1373-T1373*Assumptions!$B$9)))</x:f>
        <x:v>361.1431877593473</x:v>
      </x:c>
      <x:c r="AD1373" s="52" t="n">
        <x:f>IF(OR(R1373="No",U1373*S1373=0),"",AA1373/(U1373*S1373))</x:f>
        <x:v>0.05443722081210127</x:v>
      </x:c>
      <x:c r="AE1373" s="50" t="str">
        <x:f>IF(R1373="No","No finance data",IF(AB1373&gt;=10%,"Severe",IF(AB1373&gt;=5%,"High",IF(AB1373&gt;=2%,"Moderate","Low"))))</x:f>
        <x:v>High</x:v>
      </x:c>
      <x:c r="AF1373" s="60" t="n">
        <x:v>41.207805</x:v>
      </x:c>
      <x:c r="AG1373" s="60" t="n">
        <x:v>-79.377501</x:v>
      </x:c>
      <x:c r="AH1373" s="44" t="str">
        <x:v>Undergraduate tuition-contribution proxy only; not an audited total institutional budget.</x:v>
      </x:c>
    </x:row>
    <x:row r="1374">
      <x:c r="A1374" s="16" t="n">
        <x:v>211024</x:v>
      </x:c>
      <x:c r="B1374" s="16" t="str">
        <x:v>Clarks Summit University</x:v>
      </x:c>
      <x:c r="C1374" s="16" t="str">
        <x:v>PA</x:v>
      </x:c>
      <x:c r="D1374" s="16" t="str">
        <x:v>Private nonprofit</x:v>
      </x:c>
      <x:c r="E1374" s="34" t="n">
        <x:v>540</x:v>
      </x:c>
      <x:c r="F1374" s="21"/>
      <x:c r="G1374" s="16" t="str">
        <x:v>Regional</x:v>
      </x:c>
      <x:c r="H1374" s="36" t="n">
        <x:f>IF(G1374="National",Assumptions!$B$11,IF(G1374="Statewide",Assumptions!$B$12,Assumptions!$B$13))</x:f>
        <x:v>0.85</x:v>
      </x:c>
      <x:c r="I1374" s="21" t="n">
        <x:v>-0.07201174532693544</x:v>
      </x:c>
      <x:c r="J1374" s="21" t="n">
        <x:v>-0.08817589343264343</x:v>
      </x:c>
      <x:c r="K1374" s="21" t="n">
        <x:v>-0.16258683663969065</x:v>
      </x:c>
      <x:c r="L1374" s="36" t="n">
        <x:f>IF(Assumptions!$B$4=2030,I1374,IF(Assumptions!$B$4=2035,J1374,K1374))</x:f>
        <x:v>-0.08817589343264343</x:v>
      </x:c>
      <x:c r="M1374" s="36" t="n">
        <x:f>Assumptions!$B$19</x:f>
        <x:v>-0.04739891965741583</x:v>
      </x:c>
      <x:c r="N1374" s="52" t="n">
        <x:f>H1374*L1374+(1-H1374)*M1374+O1374</x:f>
        <x:v>-0.08205934736635928</x:v>
      </x:c>
      <x:c r="O1374" s="36" t="n">
        <x:f>Assumptions!$B$10</x:f>
        <x:v>0</x:v>
      </x:c>
      <x:c r="P1374" s="54" t="n">
        <x:f>E1374*(1+N1374)</x:f>
        <x:v>495.68795242216595</x:v>
      </x:c>
      <x:c r="Q1374" s="54" t="n">
        <x:f>P1374-E1374</x:f>
        <x:v>-44.31204757783405</x:v>
      </x:c>
      <x:c r="R1374" s="16" t="str">
        <x:v>No</x:v>
      </x:c>
      <x:c r="S1374" s="56"/>
      <x:c r="T1374" s="56"/>
      <x:c r="U1374" s="40" t="n">
        <x:f>E1374*Assumptions!$B$8</x:f>
        <x:v>459</x:v>
      </x:c>
      <x:c r="V1374" s="40" t="n">
        <x:f>P1374*Assumptions!$B$8</x:f>
        <x:v>421.33475955884103</x:v>
      </x:c>
      <x:c r="W1374" s="54" t="n">
        <x:f>V1374-U1374</x:f>
        <x:v>-37.66524044115897</x:v>
      </x:c>
      <x:c r="X1374" s="58" t="str">
        <x:f>IF(R1374="No","",W1374*S1374)</x:f>
      </x:c>
      <x:c r="Y1374" s="58" t="str">
        <x:f>IF(R1374="No","",W1374*T1374*Assumptions!$B$9)</x:f>
      </x:c>
      <x:c r="Z1374" s="58" t="str">
        <x:f>IF(R1374="No","",X1374-Y1374)</x:f>
      </x:c>
      <x:c r="AA1374" s="58" t="str">
        <x:f>IF(R1374="No","",MAX(0,-Z1374))</x:f>
      </x:c>
      <x:c r="AB1374" s="52" t="str">
        <x:f>IF(OR(R1374="No",U1374*S1374=0),"",AA1374/(U1374*S1374))</x:f>
      </x:c>
      <x:c r="AC1374" s="54" t="str">
        <x:f>IF(OR(R1374="No",S1374-T1374*Assumptions!$B$9&lt;=0),"",AA1374/(Assumptions!$B$8*(S1374-T1374*Assumptions!$B$9)))</x:f>
      </x:c>
      <x:c r="AD1374" s="52" t="str">
        <x:f>IF(OR(R1374="No",U1374*S1374=0),"",AA1374/(U1374*S1374))</x:f>
      </x:c>
      <x:c r="AE1374" s="50" t="str">
        <x:f>IF(R1374="No","No finance data",IF(AB1374&gt;=10%,"Severe",IF(AB1374&gt;=5%,"High",IF(AB1374&gt;=2%,"Moderate","Low"))))</x:f>
        <x:v>No finance data</x:v>
      </x:c>
      <x:c r="AF1374" s="60"/>
      <x:c r="AG1374" s="60"/>
      <x:c r="AH1374" s="44" t="str">
        <x:v>Undergraduate tuition-contribution proxy only; not an audited total institutional budget.</x:v>
      </x:c>
    </x:row>
    <x:row r="1375">
      <x:c r="A1375" s="16" t="n">
        <x:v>211893</x:v>
      </x:c>
      <x:c r="B1375" s="16" t="str">
        <x:v>Curtis Institute of Music</x:v>
      </x:c>
      <x:c r="C1375" s="16" t="str">
        <x:v>PA</x:v>
      </x:c>
      <x:c r="D1375" s="16" t="str">
        <x:v>Private nonprofit</x:v>
      </x:c>
      <x:c r="E1375" s="34" t="n">
        <x:v>130</x:v>
      </x:c>
      <x:c r="F1375" s="21"/>
      <x:c r="G1375" s="16" t="str">
        <x:v>Regional</x:v>
      </x:c>
      <x:c r="H1375" s="36" t="n">
        <x:f>IF(G1375="National",Assumptions!$B$11,IF(G1375="Statewide",Assumptions!$B$12,Assumptions!$B$13))</x:f>
        <x:v>0.85</x:v>
      </x:c>
      <x:c r="I1375" s="21" t="n">
        <x:v>-0.07201174532693544</x:v>
      </x:c>
      <x:c r="J1375" s="21" t="n">
        <x:v>-0.08817589343264343</x:v>
      </x:c>
      <x:c r="K1375" s="21" t="n">
        <x:v>-0.16258683663969065</x:v>
      </x:c>
      <x:c r="L1375" s="36" t="n">
        <x:f>IF(Assumptions!$B$4=2030,I1375,IF(Assumptions!$B$4=2035,J1375,K1375))</x:f>
        <x:v>-0.08817589343264343</x:v>
      </x:c>
      <x:c r="M1375" s="36" t="n">
        <x:f>Assumptions!$B$19</x:f>
        <x:v>-0.04739891965741583</x:v>
      </x:c>
      <x:c r="N1375" s="52" t="n">
        <x:f>H1375*L1375+(1-H1375)*M1375+O1375</x:f>
        <x:v>-0.08205934736635928</x:v>
      </x:c>
      <x:c r="O1375" s="36" t="n">
        <x:f>Assumptions!$B$10</x:f>
        <x:v>0</x:v>
      </x:c>
      <x:c r="P1375" s="54" t="n">
        <x:f>E1375*(1+N1375)</x:f>
        <x:v>119.33228484237328</x:v>
      </x:c>
      <x:c r="Q1375" s="54" t="n">
        <x:f>P1375-E1375</x:f>
        <x:v>-10.667715157626716</x:v>
      </x:c>
      <x:c r="R1375" s="16" t="str">
        <x:v>No</x:v>
      </x:c>
      <x:c r="S1375" s="56"/>
      <x:c r="T1375" s="56"/>
      <x:c r="U1375" s="40" t="n">
        <x:f>E1375*Assumptions!$B$8</x:f>
        <x:v>110.5</x:v>
      </x:c>
      <x:c r="V1375" s="40" t="n">
        <x:f>P1375*Assumptions!$B$8</x:f>
        <x:v>101.43244211601728</x:v>
      </x:c>
      <x:c r="W1375" s="54" t="n">
        <x:f>V1375-U1375</x:f>
        <x:v>-9.067557883982715</x:v>
      </x:c>
      <x:c r="X1375" s="58" t="str">
        <x:f>IF(R1375="No","",W1375*S1375)</x:f>
      </x:c>
      <x:c r="Y1375" s="58" t="str">
        <x:f>IF(R1375="No","",W1375*T1375*Assumptions!$B$9)</x:f>
      </x:c>
      <x:c r="Z1375" s="58" t="str">
        <x:f>IF(R1375="No","",X1375-Y1375)</x:f>
      </x:c>
      <x:c r="AA1375" s="58" t="str">
        <x:f>IF(R1375="No","",MAX(0,-Z1375))</x:f>
      </x:c>
      <x:c r="AB1375" s="52" t="str">
        <x:f>IF(OR(R1375="No",U1375*S1375=0),"",AA1375/(U1375*S1375))</x:f>
      </x:c>
      <x:c r="AC1375" s="54" t="str">
        <x:f>IF(OR(R1375="No",S1375-T1375*Assumptions!$B$9&lt;=0),"",AA1375/(Assumptions!$B$8*(S1375-T1375*Assumptions!$B$9)))</x:f>
      </x:c>
      <x:c r="AD1375" s="52" t="str">
        <x:f>IF(OR(R1375="No",U1375*S1375=0),"",AA1375/(U1375*S1375))</x:f>
      </x:c>
      <x:c r="AE1375" s="50" t="str">
        <x:f>IF(R1375="No","No finance data",IF(AB1375&gt;=10%,"Severe",IF(AB1375&gt;=5%,"High",IF(AB1375&gt;=2%,"Moderate","Low"))))</x:f>
        <x:v>No finance data</x:v>
      </x:c>
      <x:c r="AF1375" s="60"/>
      <x:c r="AG1375" s="60"/>
      <x:c r="AH1375" s="44" t="str">
        <x:v>Undergraduate tuition-contribution proxy only; not an audited total institutional budget.</x:v>
      </x:c>
    </x:row>
    <x:row r="1376">
      <x:c r="A1376" s="16" t="n">
        <x:v>210739</x:v>
      </x:c>
      <x:c r="B1376" s="16" t="str">
        <x:v>DeSales University</x:v>
      </x:c>
      <x:c r="C1376" s="16" t="str">
        <x:v>PA</x:v>
      </x:c>
      <x:c r="D1376" s="16" t="str">
        <x:v>Private nonprofit</x:v>
      </x:c>
      <x:c r="E1376" s="34" t="n">
        <x:v>2291</x:v>
      </x:c>
      <x:c r="F1376" s="21" t="n">
        <x:v>0.7822</x:v>
      </x:c>
      <x:c r="G1376" s="16" t="str">
        <x:v>Regional</x:v>
      </x:c>
      <x:c r="H1376" s="36" t="n">
        <x:f>IF(G1376="National",Assumptions!$B$11,IF(G1376="Statewide",Assumptions!$B$12,Assumptions!$B$13))</x:f>
        <x:v>0.85</x:v>
      </x:c>
      <x:c r="I1376" s="21" t="n">
        <x:v>-0.07201174532693544</x:v>
      </x:c>
      <x:c r="J1376" s="21" t="n">
        <x:v>-0.08817589343264343</x:v>
      </x:c>
      <x:c r="K1376" s="21" t="n">
        <x:v>-0.16258683663969065</x:v>
      </x:c>
      <x:c r="L1376" s="36" t="n">
        <x:f>IF(Assumptions!$B$4=2030,I1376,IF(Assumptions!$B$4=2035,J1376,K1376))</x:f>
        <x:v>-0.08817589343264343</x:v>
      </x:c>
      <x:c r="M1376" s="36" t="n">
        <x:f>Assumptions!$B$19</x:f>
        <x:v>-0.04739891965741583</x:v>
      </x:c>
      <x:c r="N1376" s="52" t="n">
        <x:f>H1376*L1376+(1-H1376)*M1376+O1376</x:f>
        <x:v>-0.08205934736635928</x:v>
      </x:c>
      <x:c r="O1376" s="36" t="n">
        <x:f>Assumptions!$B$10</x:f>
        <x:v>0</x:v>
      </x:c>
      <x:c r="P1376" s="54" t="n">
        <x:f>E1376*(1+N1376)</x:f>
        <x:v>2103.0020351836706</x:v>
      </x:c>
      <x:c r="Q1376" s="54" t="n">
        <x:f>P1376-E1376</x:f>
        <x:v>-187.9979648163294</x:v>
      </x:c>
      <x:c r="R1376" s="16" t="str">
        <x:v>Yes</x:v>
      </x:c>
      <x:c r="S1376" s="56" t="n">
        <x:v>16421</x:v>
      </x:c>
      <x:c r="T1376" s="56" t="n">
        <x:v>10214</x:v>
      </x:c>
      <x:c r="U1376" s="40" t="n">
        <x:f>E1376*Assumptions!$B$8</x:f>
        <x:v>1947.35</x:v>
      </x:c>
      <x:c r="V1376" s="40" t="n">
        <x:f>P1376*Assumptions!$B$8</x:f>
        <x:v>1787.55172990612</x:v>
      </x:c>
      <x:c r="W1376" s="54" t="n">
        <x:f>V1376-U1376</x:f>
        <x:v>-159.79827009387986</x:v>
      </x:c>
      <x:c r="X1376" s="58" t="n">
        <x:f>IF(R1376="No","",W1376*S1376)</x:f>
        <x:v>-2624047.3932116013</x:v>
      </x:c>
      <x:c r="Y1376" s="58" t="n">
        <x:f>IF(R1376="No","",W1376*T1376*Assumptions!$B$9)</x:f>
        <x:v>-489653.8592216667</x:v>
      </x:c>
      <x:c r="Z1376" s="58" t="n">
        <x:f>IF(R1376="No","",X1376-Y1376)</x:f>
        <x:v>-2134393.5339899347</x:v>
      </x:c>
      <x:c r="AA1376" s="58" t="n">
        <x:f>IF(R1376="No","",MAX(0,-Z1376))</x:f>
        <x:v>2134393.5339899347</x:v>
      </x:c>
      <x:c r="AB1376" s="52" t="n">
        <x:f>IF(OR(R1376="No",U1376*S1376=0),"",AA1376/(U1376*S1376))</x:f>
        <x:v>0.06674686626289437</x:v>
      </x:c>
      <x:c r="AC1376" s="54" t="n">
        <x:f>IF(OR(R1376="No",S1376-T1376*Assumptions!$B$9&lt;=0),"",AA1376/(Assumptions!$B$8*(S1376-T1376*Assumptions!$B$9)))</x:f>
        <x:v>187.99796481632927</x:v>
      </x:c>
      <x:c r="AD1376" s="52" t="n">
        <x:f>IF(OR(R1376="No",U1376*S1376=0),"",AA1376/(U1376*S1376))</x:f>
        <x:v>0.06674686626289437</x:v>
      </x:c>
      <x:c r="AE1376" s="50" t="str">
        <x:f>IF(R1376="No","No finance data",IF(AB1376&gt;=10%,"Severe",IF(AB1376&gt;=5%,"High",IF(AB1376&gt;=2%,"Moderate","Low"))))</x:f>
        <x:v>High</x:v>
      </x:c>
      <x:c r="AF1376" s="60" t="n">
        <x:v>40.539091</x:v>
      </x:c>
      <x:c r="AG1376" s="60" t="n">
        <x:v>-75.375608</x:v>
      </x:c>
      <x:c r="AH1376" s="44" t="str">
        <x:v>Undergraduate tuition-contribution proxy only; not an audited total institutional budget.</x:v>
      </x:c>
    </x:row>
    <x:row r="1377">
      <x:c r="A1377" s="16" t="n">
        <x:v>211981</x:v>
      </x:c>
      <x:c r="B1377" s="16" t="str">
        <x:v>Delaware Valley University</x:v>
      </x:c>
      <x:c r="C1377" s="16" t="str">
        <x:v>PA</x:v>
      </x:c>
      <x:c r="D1377" s="16" t="str">
        <x:v>Private nonprofit</x:v>
      </x:c>
      <x:c r="E1377" s="34" t="n">
        <x:v>1896</x:v>
      </x:c>
      <x:c r="F1377" s="21" t="n">
        <x:v>0.9283</x:v>
      </x:c>
      <x:c r="G1377" s="16" t="str">
        <x:v>Regional</x:v>
      </x:c>
      <x:c r="H1377" s="36" t="n">
        <x:f>IF(G1377="National",Assumptions!$B$11,IF(G1377="Statewide",Assumptions!$B$12,Assumptions!$B$13))</x:f>
        <x:v>0.85</x:v>
      </x:c>
      <x:c r="I1377" s="21" t="n">
        <x:v>-0.07201174532693544</x:v>
      </x:c>
      <x:c r="J1377" s="21" t="n">
        <x:v>-0.08817589343264343</x:v>
      </x:c>
      <x:c r="K1377" s="21" t="n">
        <x:v>-0.16258683663969065</x:v>
      </x:c>
      <x:c r="L1377" s="36" t="n">
        <x:f>IF(Assumptions!$B$4=2030,I1377,IF(Assumptions!$B$4=2035,J1377,K1377))</x:f>
        <x:v>-0.08817589343264343</x:v>
      </x:c>
      <x:c r="M1377" s="36" t="n">
        <x:f>Assumptions!$B$19</x:f>
        <x:v>-0.04739891965741583</x:v>
      </x:c>
      <x:c r="N1377" s="52" t="n">
        <x:f>H1377*L1377+(1-H1377)*M1377+O1377</x:f>
        <x:v>-0.08205934736635928</x:v>
      </x:c>
      <x:c r="O1377" s="36" t="n">
        <x:f>Assumptions!$B$10</x:f>
        <x:v>0</x:v>
      </x:c>
      <x:c r="P1377" s="54" t="n">
        <x:f>E1377*(1+N1377)</x:f>
        <x:v>1740.4154773933826</x:v>
      </x:c>
      <x:c r="Q1377" s="54" t="n">
        <x:f>P1377-E1377</x:f>
        <x:v>-155.58452260661738</x:v>
      </x:c>
      <x:c r="R1377" s="16" t="str">
        <x:v>Yes</x:v>
      </x:c>
      <x:c r="S1377" s="56" t="n">
        <x:v>16415</x:v>
      </x:c>
      <x:c r="T1377" s="56" t="n">
        <x:v>9533</x:v>
      </x:c>
      <x:c r="U1377" s="40" t="n">
        <x:f>E1377*Assumptions!$B$8</x:f>
        <x:v>1611.6</x:v>
      </x:c>
      <x:c r="V1377" s="40" t="n">
        <x:f>P1377*Assumptions!$B$8</x:f>
        <x:v>1479.353155784375</x:v>
      </x:c>
      <x:c r="W1377" s="54" t="n">
        <x:f>V1377-U1377</x:f>
        <x:v>-132.24684421562483</x:v>
      </x:c>
      <x:c r="X1377" s="58" t="n">
        <x:f>IF(R1377="No","",W1377*S1377)</x:f>
        <x:v>-2170831.9477994815</x:v>
      </x:c>
      <x:c r="Y1377" s="58" t="n">
        <x:f>IF(R1377="No","",W1377*T1377*Assumptions!$B$9)</x:f>
        <x:v>-378212.74977226544</x:v>
      </x:c>
      <x:c r="Z1377" s="58" t="n">
        <x:f>IF(R1377="No","",X1377-Y1377)</x:f>
        <x:v>-1792619.198027216</x:v>
      </x:c>
      <x:c r="AA1377" s="58" t="n">
        <x:f>IF(R1377="No","",MAX(0,-Z1377))</x:f>
        <x:v>1792619.198027216</x:v>
      </x:c>
      <x:c r="AB1377" s="52" t="n">
        <x:f>IF(OR(R1377="No",U1377*S1377=0),"",AA1377/(U1377*S1377))</x:f>
        <x:v>0.06776257444323718</x:v>
      </x:c>
      <x:c r="AC1377" s="54" t="n">
        <x:f>IF(OR(R1377="No",S1377-T1377*Assumptions!$B$9&lt;=0),"",AA1377/(Assumptions!$B$8*(S1377-T1377*Assumptions!$B$9)))</x:f>
        <x:v>155.58452260661744</x:v>
      </x:c>
      <x:c r="AD1377" s="52" t="n">
        <x:f>IF(OR(R1377="No",U1377*S1377=0),"",AA1377/(U1377*S1377))</x:f>
        <x:v>0.06776257444323718</x:v>
      </x:c>
      <x:c r="AE1377" s="50" t="str">
        <x:f>IF(R1377="No","No finance data",IF(AB1377&gt;=10%,"Severe",IF(AB1377&gt;=5%,"High",IF(AB1377&gt;=2%,"Moderate","Low"))))</x:f>
        <x:v>High</x:v>
      </x:c>
      <x:c r="AF1377" s="60" t="n">
        <x:v>40.298659</x:v>
      </x:c>
      <x:c r="AG1377" s="60" t="n">
        <x:v>-75.158452</x:v>
      </x:c>
      <x:c r="AH1377" s="44" t="str">
        <x:v>Undergraduate tuition-contribution proxy only; not an audited total institutional budget.</x:v>
      </x:c>
    </x:row>
    <x:row r="1378">
      <x:c r="A1378" s="16" t="n">
        <x:v>212009</x:v>
      </x:c>
      <x:c r="B1378" s="16" t="str">
        <x:v>Dickinson College</x:v>
      </x:c>
      <x:c r="C1378" s="16" t="str">
        <x:v>PA</x:v>
      </x:c>
      <x:c r="D1378" s="16" t="str">
        <x:v>Private nonprofit</x:v>
      </x:c>
      <x:c r="E1378" s="34" t="n">
        <x:v>2381</x:v>
      </x:c>
      <x:c r="F1378" s="21" t="n">
        <x:v>0.4808</x:v>
      </x:c>
      <x:c r="G1378" s="16" t="str">
        <x:v>Regional</x:v>
      </x:c>
      <x:c r="H1378" s="36" t="n">
        <x:f>IF(G1378="National",Assumptions!$B$11,IF(G1378="Statewide",Assumptions!$B$12,Assumptions!$B$13))</x:f>
        <x:v>0.85</x:v>
      </x:c>
      <x:c r="I1378" s="21" t="n">
        <x:v>-0.07201174532693544</x:v>
      </x:c>
      <x:c r="J1378" s="21" t="n">
        <x:v>-0.08817589343264343</x:v>
      </x:c>
      <x:c r="K1378" s="21" t="n">
        <x:v>-0.16258683663969065</x:v>
      </x:c>
      <x:c r="L1378" s="36" t="n">
        <x:f>IF(Assumptions!$B$4=2030,I1378,IF(Assumptions!$B$4=2035,J1378,K1378))</x:f>
        <x:v>-0.08817589343264343</x:v>
      </x:c>
      <x:c r="M1378" s="36" t="n">
        <x:f>Assumptions!$B$19</x:f>
        <x:v>-0.04739891965741583</x:v>
      </x:c>
      <x:c r="N1378" s="52" t="n">
        <x:f>H1378*L1378+(1-H1378)*M1378+O1378</x:f>
        <x:v>-0.08205934736635928</x:v>
      </x:c>
      <x:c r="O1378" s="36" t="n">
        <x:f>Assumptions!$B$10</x:f>
        <x:v>0</x:v>
      </x:c>
      <x:c r="P1378" s="54" t="n">
        <x:f>E1378*(1+N1378)</x:f>
        <x:v>2185.6166939206983</x:v>
      </x:c>
      <x:c r="Q1378" s="54" t="n">
        <x:f>P1378-E1378</x:f>
        <x:v>-195.38330607930175</x:v>
      </x:c>
      <x:c r="R1378" s="16" t="str">
        <x:v>Yes</x:v>
      </x:c>
      <x:c r="S1378" s="56" t="n">
        <x:v>24036</x:v>
      </x:c>
      <x:c r="T1378" s="56" t="n">
        <x:v>18456</x:v>
      </x:c>
      <x:c r="U1378" s="40" t="n">
        <x:f>E1378*Assumptions!$B$8</x:f>
        <x:v>2023.85</x:v>
      </x:c>
      <x:c r="V1378" s="40" t="n">
        <x:f>P1378*Assumptions!$B$8</x:f>
        <x:v>1857.7741898325935</x:v>
      </x:c>
      <x:c r="W1378" s="54" t="n">
        <x:f>V1378-U1378</x:f>
        <x:v>-166.07581016740642</x:v>
      </x:c>
      <x:c r="X1378" s="58" t="n">
        <x:f>IF(R1378="No","",W1378*S1378)</x:f>
        <x:v>-3991798.1731837806</x:v>
      </x:c>
      <x:c r="Y1378" s="58" t="n">
        <x:f>IF(R1378="No","",W1378*T1378*Assumptions!$B$9)</x:f>
        <x:v>-919528.5457348959</x:v>
      </x:c>
      <x:c r="Z1378" s="58" t="n">
        <x:f>IF(R1378="No","",X1378-Y1378)</x:f>
        <x:v>-3072269.627448885</x:v>
      </x:c>
      <x:c r="AA1378" s="58" t="n">
        <x:f>IF(R1378="No","",MAX(0,-Z1378))</x:f>
        <x:v>3072269.627448885</x:v>
      </x:c>
      <x:c r="AB1378" s="52" t="n">
        <x:f>IF(OR(R1378="No",U1378*S1378=0),"",AA1378/(U1378*S1378))</x:f>
        <x:v>0.0631566100349374</x:v>
      </x:c>
      <x:c r="AC1378" s="54" t="n">
        <x:f>IF(OR(R1378="No",S1378-T1378*Assumptions!$B$9&lt;=0),"",AA1378/(Assumptions!$B$8*(S1378-T1378*Assumptions!$B$9)))</x:f>
        <x:v>195.38330607930166</x:v>
      </x:c>
      <x:c r="AD1378" s="52" t="n">
        <x:f>IF(OR(R1378="No",U1378*S1378=0),"",AA1378/(U1378*S1378))</x:f>
        <x:v>0.0631566100349374</x:v>
      </x:c>
      <x:c r="AE1378" s="50" t="str">
        <x:f>IF(R1378="No","No finance data",IF(AB1378&gt;=10%,"Severe",IF(AB1378&gt;=5%,"High",IF(AB1378&gt;=2%,"Moderate","Low"))))</x:f>
        <x:v>High</x:v>
      </x:c>
      <x:c r="AF1378" s="60" t="n">
        <x:v>40.202796</x:v>
      </x:c>
      <x:c r="AG1378" s="60" t="n">
        <x:v>-77.197854</x:v>
      </x:c>
      <x:c r="AH1378" s="44" t="str">
        <x:v>Undergraduate tuition-contribution proxy only; not an audited total institutional budget.</x:v>
      </x:c>
    </x:row>
    <x:row r="1379">
      <x:c r="A1379" s="16" t="n">
        <x:v>212054</x:v>
      </x:c>
      <x:c r="B1379" s="16" t="str">
        <x:v>Drexel University</x:v>
      </x:c>
      <x:c r="C1379" s="16" t="str">
        <x:v>PA</x:v>
      </x:c>
      <x:c r="D1379" s="16" t="str">
        <x:v>Private nonprofit</x:v>
      </x:c>
      <x:c r="E1379" s="34" t="n">
        <x:v>16227</x:v>
      </x:c>
      <x:c r="F1379" s="21" t="n">
        <x:v>0.8263</x:v>
      </x:c>
      <x:c r="G1379" s="16" t="str">
        <x:v>Statewide</x:v>
      </x:c>
      <x:c r="H1379" s="36" t="n">
        <x:f>IF(G1379="National",Assumptions!$B$11,IF(G1379="Statewide",Assumptions!$B$12,Assumptions!$B$13))</x:f>
        <x:v>0.6</x:v>
      </x:c>
      <x:c r="I1379" s="21" t="n">
        <x:v>-0.07201174532693544</x:v>
      </x:c>
      <x:c r="J1379" s="21" t="n">
        <x:v>-0.08817589343264343</x:v>
      </x:c>
      <x:c r="K1379" s="21" t="n">
        <x:v>-0.16258683663969065</x:v>
      </x:c>
      <x:c r="L1379" s="36" t="n">
        <x:f>IF(Assumptions!$B$4=2030,I1379,IF(Assumptions!$B$4=2035,J1379,K1379))</x:f>
        <x:v>-0.08817589343264343</x:v>
      </x:c>
      <x:c r="M1379" s="36" t="n">
        <x:f>Assumptions!$B$19</x:f>
        <x:v>-0.04739891965741583</x:v>
      </x:c>
      <x:c r="N1379" s="52" t="n">
        <x:f>H1379*L1379+(1-H1379)*M1379+O1379</x:f>
        <x:v>-0.07186510392255238</x:v>
      </x:c>
      <x:c r="O1379" s="36" t="n">
        <x:f>Assumptions!$B$10</x:f>
        <x:v>0</x:v>
      </x:c>
      <x:c r="P1379" s="54" t="n">
        <x:f>E1379*(1+N1379)</x:f>
        <x:v>15060.844958648742</x:v>
      </x:c>
      <x:c r="Q1379" s="54" t="n">
        <x:f>P1379-E1379</x:f>
        <x:v>-1166.1550413512578</x:v>
      </x:c>
      <x:c r="R1379" s="16" t="str">
        <x:v>Yes</x:v>
      </x:c>
      <x:c r="S1379" s="56" t="n">
        <x:v>27777</x:v>
      </x:c>
      <x:c r="T1379" s="56" t="n">
        <x:v>16830</x:v>
      </x:c>
      <x:c r="U1379" s="40" t="n">
        <x:f>E1379*Assumptions!$B$8</x:f>
        <x:v>13792.949999999999</x:v>
      </x:c>
      <x:c r="V1379" s="40" t="n">
        <x:f>P1379*Assumptions!$B$8</x:f>
        <x:v>12801.718214851431</x:v>
      </x:c>
      <x:c r="W1379" s="54" t="n">
        <x:f>V1379-U1379</x:f>
        <x:v>-991.2317851485677</x:v>
      </x:c>
      <x:c r="X1379" s="58" t="n">
        <x:f>IF(R1379="No","",W1379*S1379)</x:f>
        <x:v>-27533445.296071764</x:v>
      </x:c>
      <x:c r="Y1379" s="58" t="n">
        <x:f>IF(R1379="No","",W1379*T1379*Assumptions!$B$9)</x:f>
        <x:v>-5004729.283215118</x:v>
      </x:c>
      <x:c r="Z1379" s="58" t="n">
        <x:f>IF(R1379="No","",X1379-Y1379)</x:f>
        <x:v>-22528716.012856647</x:v>
      </x:c>
      <x:c r="AA1379" s="58" t="n">
        <x:f>IF(R1379="No","",MAX(0,-Z1379))</x:f>
        <x:v>22528716.012856647</x:v>
      </x:c>
      <x:c r="AB1379" s="52" t="n">
        <x:f>IF(OR(R1379="No",U1379*S1379=0),"",AA1379/(U1379*S1379))</x:f>
        <x:v>0.05880224941324724</x:v>
      </x:c>
      <x:c r="AC1379" s="54" t="n">
        <x:f>IF(OR(R1379="No",S1379-T1379*Assumptions!$B$9&lt;=0),"",AA1379/(Assumptions!$B$8*(S1379-T1379*Assumptions!$B$9)))</x:f>
        <x:v>1166.1550413512562</x:v>
      </x:c>
      <x:c r="AD1379" s="52" t="n">
        <x:f>IF(OR(R1379="No",U1379*S1379=0),"",AA1379/(U1379*S1379))</x:f>
        <x:v>0.05880224941324724</x:v>
      </x:c>
      <x:c r="AE1379" s="50" t="str">
        <x:f>IF(R1379="No","No finance data",IF(AB1379&gt;=10%,"Severe",IF(AB1379&gt;=5%,"High",IF(AB1379&gt;=2%,"Moderate","Low"))))</x:f>
        <x:v>High</x:v>
      </x:c>
      <x:c r="AF1379" s="60" t="n">
        <x:v>39.955217</x:v>
      </x:c>
      <x:c r="AG1379" s="60" t="n">
        <x:v>-75.190051</x:v>
      </x:c>
      <x:c r="AH1379" s="44" t="str">
        <x:v>Undergraduate tuition-contribution proxy only; not an audited total institutional budget.</x:v>
      </x:c>
    </x:row>
    <x:row r="1380">
      <x:c r="A1380" s="16" t="n">
        <x:v>212106</x:v>
      </x:c>
      <x:c r="B1380" s="16" t="str">
        <x:v>Duquesne University</x:v>
      </x:c>
      <x:c r="C1380" s="16" t="str">
        <x:v>PA</x:v>
      </x:c>
      <x:c r="D1380" s="16" t="str">
        <x:v>Private nonprofit</x:v>
      </x:c>
      <x:c r="E1380" s="34" t="n">
        <x:v>5943</x:v>
      </x:c>
      <x:c r="F1380" s="21" t="n">
        <x:v>0.8426</x:v>
      </x:c>
      <x:c r="G1380" s="16" t="str">
        <x:v>Regional</x:v>
      </x:c>
      <x:c r="H1380" s="36" t="n">
        <x:f>IF(G1380="National",Assumptions!$B$11,IF(G1380="Statewide",Assumptions!$B$12,Assumptions!$B$13))</x:f>
        <x:v>0.85</x:v>
      </x:c>
      <x:c r="I1380" s="21" t="n">
        <x:v>-0.07201174532693544</x:v>
      </x:c>
      <x:c r="J1380" s="21" t="n">
        <x:v>-0.08817589343264343</x:v>
      </x:c>
      <x:c r="K1380" s="21" t="n">
        <x:v>-0.16258683663969065</x:v>
      </x:c>
      <x:c r="L1380" s="36" t="n">
        <x:f>IF(Assumptions!$B$4=2030,I1380,IF(Assumptions!$B$4=2035,J1380,K1380))</x:f>
        <x:v>-0.08817589343264343</x:v>
      </x:c>
      <x:c r="M1380" s="36" t="n">
        <x:f>Assumptions!$B$19</x:f>
        <x:v>-0.04739891965741583</x:v>
      </x:c>
      <x:c r="N1380" s="52" t="n">
        <x:f>H1380*L1380+(1-H1380)*M1380+O1380</x:f>
        <x:v>-0.08205934736635928</x:v>
      </x:c>
      <x:c r="O1380" s="36" t="n">
        <x:f>Assumptions!$B$10</x:f>
        <x:v>0</x:v>
      </x:c>
      <x:c r="P1380" s="54" t="n">
        <x:f>E1380*(1+N1380)</x:f>
        <x:v>5455.321298601726</x:v>
      </x:c>
      <x:c r="Q1380" s="54" t="n">
        <x:f>P1380-E1380</x:f>
        <x:v>-487.6787013982739</x:v>
      </x:c>
      <x:c r="R1380" s="16" t="str">
        <x:v>Yes</x:v>
      </x:c>
      <x:c r="S1380" s="56" t="n">
        <x:v>25244</x:v>
      </x:c>
      <x:c r="T1380" s="56" t="n">
        <x:v>13255</x:v>
      </x:c>
      <x:c r="U1380" s="40" t="n">
        <x:f>E1380*Assumptions!$B$8</x:f>
        <x:v>5051.55</x:v>
      </x:c>
      <x:c r="V1380" s="40" t="n">
        <x:f>P1380*Assumptions!$B$8</x:f>
        <x:v>4637.023103811467</x:v>
      </x:c>
      <x:c r="W1380" s="54" t="n">
        <x:f>V1380-U1380</x:f>
        <x:v>-414.5268961885331</x:v>
      </x:c>
      <x:c r="X1380" s="58" t="n">
        <x:f>IF(R1380="No","",W1380*S1380)</x:f>
        <x:v>-10464316.967383329</x:v>
      </x:c>
      <x:c r="Y1380" s="58" t="n">
        <x:f>IF(R1380="No","",W1380*T1380*Assumptions!$B$9)</x:f>
        <x:v>-1648366.202693702</x:v>
      </x:c>
      <x:c r="Z1380" s="58" t="n">
        <x:f>IF(R1380="No","",X1380-Y1380)</x:f>
        <x:v>-8815950.764689626</x:v>
      </x:c>
      <x:c r="AA1380" s="58" t="n">
        <x:f>IF(R1380="No","",MAX(0,-Z1380))</x:f>
        <x:v>8815950.764689626</x:v>
      </x:c>
      <x:c r="AB1380" s="52" t="n">
        <x:f>IF(OR(R1380="No",U1380*S1380=0),"",AA1380/(U1380*S1380))</x:f>
        <x:v>0.06913314728704045</x:v>
      </x:c>
      <x:c r="AC1380" s="54" t="n">
        <x:f>IF(OR(R1380="No",S1380-T1380*Assumptions!$B$9&lt;=0),"",AA1380/(Assumptions!$B$8*(S1380-T1380*Assumptions!$B$9)))</x:f>
        <x:v>487.67870139827414</x:v>
      </x:c>
      <x:c r="AD1380" s="52" t="n">
        <x:f>IF(OR(R1380="No",U1380*S1380=0),"",AA1380/(U1380*S1380))</x:f>
        <x:v>0.06913314728704045</x:v>
      </x:c>
      <x:c r="AE1380" s="50" t="str">
        <x:f>IF(R1380="No","No finance data",IF(AB1380&gt;=10%,"Severe",IF(AB1380&gt;=5%,"High",IF(AB1380&gt;=2%,"Moderate","Low"))))</x:f>
        <x:v>High</x:v>
      </x:c>
      <x:c r="AF1380" s="60" t="n">
        <x:v>40.43589</x:v>
      </x:c>
      <x:c r="AG1380" s="60" t="n">
        <x:v>-79.993123</x:v>
      </x:c>
      <x:c r="AH1380" s="44" t="str">
        <x:v>Undergraduate tuition-contribution proxy only; not an audited total institutional budget.</x:v>
      </x:c>
    </x:row>
    <x:row r="1381">
      <x:c r="A1381" s="16" t="n">
        <x:v>212115</x:v>
      </x:c>
      <x:c r="B1381" s="16" t="str">
        <x:v>East Stroudsburg University of Pennsylvania</x:v>
      </x:c>
      <x:c r="C1381" s="16" t="str">
        <x:v>PA</x:v>
      </x:c>
      <x:c r="D1381" s="16" t="str">
        <x:v>Public</x:v>
      </x:c>
      <x:c r="E1381" s="34" t="n">
        <x:v>6105</x:v>
      </x:c>
      <x:c r="F1381" s="21" t="n">
        <x:v>0.9339</x:v>
      </x:c>
      <x:c r="G1381" s="16" t="str">
        <x:v>Statewide</x:v>
      </x:c>
      <x:c r="H1381" s="36" t="n">
        <x:f>IF(G1381="National",Assumptions!$B$11,IF(G1381="Statewide",Assumptions!$B$12,Assumptions!$B$13))</x:f>
        <x:v>0.6</x:v>
      </x:c>
      <x:c r="I1381" s="21" t="n">
        <x:v>-0.07201174532693544</x:v>
      </x:c>
      <x:c r="J1381" s="21" t="n">
        <x:v>-0.08817589343264343</x:v>
      </x:c>
      <x:c r="K1381" s="21" t="n">
        <x:v>-0.16258683663969065</x:v>
      </x:c>
      <x:c r="L1381" s="36" t="n">
        <x:f>IF(Assumptions!$B$4=2030,I1381,IF(Assumptions!$B$4=2035,J1381,K1381))</x:f>
        <x:v>-0.08817589343264343</x:v>
      </x:c>
      <x:c r="M1381" s="36" t="n">
        <x:f>Assumptions!$B$19</x:f>
        <x:v>-0.04739891965741583</x:v>
      </x:c>
      <x:c r="N1381" s="52" t="n">
        <x:f>H1381*L1381+(1-H1381)*M1381+O1381</x:f>
        <x:v>-0.07186510392255238</x:v>
      </x:c>
      <x:c r="O1381" s="36" t="n">
        <x:f>Assumptions!$B$10</x:f>
        <x:v>0</x:v>
      </x:c>
      <x:c r="P1381" s="54" t="n">
        <x:f>E1381*(1+N1381)</x:f>
        <x:v>5666.263540552817</x:v>
      </x:c>
      <x:c r="Q1381" s="54" t="n">
        <x:f>P1381-E1381</x:f>
        <x:v>-438.7364594471828</x:v>
      </x:c>
      <x:c r="R1381" s="16" t="str">
        <x:v>Yes</x:v>
      </x:c>
      <x:c r="S1381" s="56" t="n">
        <x:v>9146</x:v>
      </x:c>
      <x:c r="T1381" s="56" t="n">
        <x:v>8058</x:v>
      </x:c>
      <x:c r="U1381" s="40" t="n">
        <x:f>E1381*Assumptions!$B$8</x:f>
        <x:v>5189.25</x:v>
      </x:c>
      <x:c r="V1381" s="40" t="n">
        <x:f>P1381*Assumptions!$B$8</x:f>
        <x:v>4816.324009469895</x:v>
      </x:c>
      <x:c r="W1381" s="54" t="n">
        <x:f>V1381-U1381</x:f>
        <x:v>-372.9259905301051</x:v>
      </x:c>
      <x:c r="X1381" s="58" t="n">
        <x:f>IF(R1381="No","",W1381*S1381)</x:f>
        <x:v>-3410781.109388341</x:v>
      </x:c>
      <x:c r="Y1381" s="58" t="n">
        <x:f>IF(R1381="No","",W1381*T1381*Assumptions!$B$9)</x:f>
        <x:v>-901511.289507476</x:v>
      </x:c>
      <x:c r="Z1381" s="58" t="n">
        <x:f>IF(R1381="No","",X1381-Y1381)</x:f>
        <x:v>-2509269.819880865</x:v>
      </x:c>
      <x:c r="AA1381" s="58" t="n">
        <x:f>IF(R1381="No","",MAX(0,-Z1381))</x:f>
        <x:v>2509269.819880865</x:v>
      </x:c>
      <x:c r="AB1381" s="52" t="n">
        <x:f>IF(OR(R1381="No",U1381*S1381=0),"",AA1381/(U1381*S1381))</x:f>
        <x:v>0.05287027533930529</x:v>
      </x:c>
      <x:c r="AC1381" s="54" t="n">
        <x:f>IF(OR(R1381="No",S1381-T1381*Assumptions!$B$9&lt;=0),"",AA1381/(Assumptions!$B$8*(S1381-T1381*Assumptions!$B$9)))</x:f>
        <x:v>438.7364594471824</x:v>
      </x:c>
      <x:c r="AD1381" s="52" t="n">
        <x:f>IF(OR(R1381="No",U1381*S1381=0),"",AA1381/(U1381*S1381))</x:f>
        <x:v>0.05287027533930529</x:v>
      </x:c>
      <x:c r="AE1381" s="50" t="str">
        <x:f>IF(R1381="No","No finance data",IF(AB1381&gt;=10%,"Severe",IF(AB1381&gt;=5%,"High",IF(AB1381&gt;=2%,"Moderate","Low"))))</x:f>
        <x:v>High</x:v>
      </x:c>
      <x:c r="AF1381" s="60" t="n">
        <x:v>40.99599</x:v>
      </x:c>
      <x:c r="AG1381" s="60" t="n">
        <x:v>-75.173905</x:v>
      </x:c>
      <x:c r="AH1381" s="44" t="str">
        <x:v>Undergraduate tuition-contribution proxy only; not an audited total institutional budget.</x:v>
      </x:c>
    </x:row>
    <x:row r="1382">
      <x:c r="A1382" s="16" t="n">
        <x:v>212133</x:v>
      </x:c>
      <x:c r="B1382" s="16" t="str">
        <x:v>Eastern University</x:v>
      </x:c>
      <x:c r="C1382" s="16" t="str">
        <x:v>PA</x:v>
      </x:c>
      <x:c r="D1382" s="16" t="str">
        <x:v>Private nonprofit</x:v>
      </x:c>
      <x:c r="E1382" s="34" t="n">
        <x:v>2163</x:v>
      </x:c>
      <x:c r="F1382" s="21" t="n">
        <x:v>0.687</x:v>
      </x:c>
      <x:c r="G1382" s="16" t="str">
        <x:v>Regional</x:v>
      </x:c>
      <x:c r="H1382" s="36" t="n">
        <x:f>IF(G1382="National",Assumptions!$B$11,IF(G1382="Statewide",Assumptions!$B$12,Assumptions!$B$13))</x:f>
        <x:v>0.85</x:v>
      </x:c>
      <x:c r="I1382" s="21" t="n">
        <x:v>-0.07201174532693544</x:v>
      </x:c>
      <x:c r="J1382" s="21" t="n">
        <x:v>-0.08817589343264343</x:v>
      </x:c>
      <x:c r="K1382" s="21" t="n">
        <x:v>-0.16258683663969065</x:v>
      </x:c>
      <x:c r="L1382" s="36" t="n">
        <x:f>IF(Assumptions!$B$4=2030,I1382,IF(Assumptions!$B$4=2035,J1382,K1382))</x:f>
        <x:v>-0.08817589343264343</x:v>
      </x:c>
      <x:c r="M1382" s="36" t="n">
        <x:f>Assumptions!$B$19</x:f>
        <x:v>-0.04739891965741583</x:v>
      </x:c>
      <x:c r="N1382" s="52" t="n">
        <x:f>H1382*L1382+(1-H1382)*M1382+O1382</x:f>
        <x:v>-0.08205934736635928</x:v>
      </x:c>
      <x:c r="O1382" s="36" t="n">
        <x:f>Assumptions!$B$10</x:f>
        <x:v>0</x:v>
      </x:c>
      <x:c r="P1382" s="54" t="n">
        <x:f>E1382*(1+N1382)</x:f>
        <x:v>1985.5056316465648</x:v>
      </x:c>
      <x:c r="Q1382" s="54" t="n">
        <x:f>P1382-E1382</x:f>
        <x:v>-177.49436835343522</x:v>
      </x:c>
      <x:c r="R1382" s="16" t="str">
        <x:v>Yes</x:v>
      </x:c>
      <x:c r="S1382" s="56" t="n">
        <x:v>12442</x:v>
      </x:c>
      <x:c r="T1382" s="56" t="n">
        <x:v>6060</x:v>
      </x:c>
      <x:c r="U1382" s="40" t="n">
        <x:f>E1382*Assumptions!$B$8</x:f>
        <x:v>1838.55</x:v>
      </x:c>
      <x:c r="V1382" s="40" t="n">
        <x:f>P1382*Assumptions!$B$8</x:f>
        <x:v>1687.67978689958</x:v>
      </x:c>
      <x:c r="W1382" s="54" t="n">
        <x:f>V1382-U1382</x:f>
        <x:v>-150.87021310041996</x:v>
      </x:c>
      <x:c r="X1382" s="58" t="n">
        <x:f>IF(R1382="No","",W1382*S1382)</x:f>
        <x:v>-1877127.1913954252</x:v>
      </x:c>
      <x:c r="Y1382" s="58" t="n">
        <x:f>IF(R1382="No","",W1382*T1382*Assumptions!$B$9)</x:f>
        <x:v>-274282.04741656344</x:v>
      </x:c>
      <x:c r="Z1382" s="58" t="n">
        <x:f>IF(R1382="No","",X1382-Y1382)</x:f>
        <x:v>-1602845.1439788619</x:v>
      </x:c>
      <x:c r="AA1382" s="58" t="n">
        <x:f>IF(R1382="No","",MAX(0,-Z1382))</x:f>
        <x:v>1602845.1439788619</x:v>
      </x:c>
      <x:c r="AB1382" s="52" t="n">
        <x:f>IF(OR(R1382="No",U1382*S1382=0),"",AA1382/(U1382*S1382))</x:f>
        <x:v>0.0700690006767563</x:v>
      </x:c>
      <x:c r="AC1382" s="54" t="n">
        <x:f>IF(OR(R1382="No",S1382-T1382*Assumptions!$B$9&lt;=0),"",AA1382/(Assumptions!$B$8*(S1382-T1382*Assumptions!$B$9)))</x:f>
        <x:v>177.49436835343528</x:v>
      </x:c>
      <x:c r="AD1382" s="52" t="n">
        <x:f>IF(OR(R1382="No",U1382*S1382=0),"",AA1382/(U1382*S1382))</x:f>
        <x:v>0.0700690006767563</x:v>
      </x:c>
      <x:c r="AE1382" s="50" t="str">
        <x:f>IF(R1382="No","No finance data",IF(AB1382&gt;=10%,"Severe",IF(AB1382&gt;=5%,"High",IF(AB1382&gt;=2%,"Moderate","Low"))))</x:f>
        <x:v>High</x:v>
      </x:c>
      <x:c r="AF1382" s="60" t="n">
        <x:v>40.050448</x:v>
      </x:c>
      <x:c r="AG1382" s="60" t="n">
        <x:v>-75.370316</x:v>
      </x:c>
      <x:c r="AH1382" s="44" t="str">
        <x:v>Undergraduate tuition-contribution proxy only; not an audited total institutional budget.</x:v>
      </x:c>
    </x:row>
    <x:row r="1383">
      <x:c r="A1383" s="16" t="n">
        <x:v>212160</x:v>
      </x:c>
      <x:c r="B1383" s="16" t="str">
        <x:v>Edinboro University of Pennsylvania</x:v>
      </x:c>
      <x:c r="C1383" s="16" t="str">
        <x:v>PA</x:v>
      </x:c>
      <x:c r="D1383" s="16" t="str">
        <x:v>Public</x:v>
      </x:c>
      <x:c r="E1383" s="34" t="n">
        <x:v>5141</x:v>
      </x:c>
      <x:c r="F1383" s="21" t="n">
        <x:v>0.9237</x:v>
      </x:c>
      <x:c r="G1383" s="16" t="str">
        <x:v>Statewide</x:v>
      </x:c>
      <x:c r="H1383" s="36" t="n">
        <x:f>IF(G1383="National",Assumptions!$B$11,IF(G1383="Statewide",Assumptions!$B$12,Assumptions!$B$13))</x:f>
        <x:v>0.6</x:v>
      </x:c>
      <x:c r="I1383" s="21" t="n">
        <x:v>-0.07201174532693544</x:v>
      </x:c>
      <x:c r="J1383" s="21" t="n">
        <x:v>-0.08817589343264343</x:v>
      </x:c>
      <x:c r="K1383" s="21" t="n">
        <x:v>-0.16258683663969065</x:v>
      </x:c>
      <x:c r="L1383" s="36" t="n">
        <x:f>IF(Assumptions!$B$4=2030,I1383,IF(Assumptions!$B$4=2035,J1383,K1383))</x:f>
        <x:v>-0.08817589343264343</x:v>
      </x:c>
      <x:c r="M1383" s="36" t="n">
        <x:f>Assumptions!$B$19</x:f>
        <x:v>-0.04739891965741583</x:v>
      </x:c>
      <x:c r="N1383" s="52" t="n">
        <x:f>H1383*L1383+(1-H1383)*M1383+O1383</x:f>
        <x:v>-0.07186510392255238</x:v>
      </x:c>
      <x:c r="O1383" s="36" t="n">
        <x:f>Assumptions!$B$10</x:f>
        <x:v>0</x:v>
      </x:c>
      <x:c r="P1383" s="54" t="n">
        <x:f>E1383*(1+N1383)</x:f>
        <x:v>4771.541500734158</x:v>
      </x:c>
      <x:c r="Q1383" s="54" t="n">
        <x:f>P1383-E1383</x:f>
        <x:v>-369.45849926584197</x:v>
      </x:c>
      <x:c r="R1383" s="16" t="str">
        <x:v>Yes</x:v>
      </x:c>
      <x:c r="S1383" s="56" t="n">
        <x:v>9358</x:v>
      </x:c>
      <x:c r="T1383" s="56" t="n">
        <x:v>11945</x:v>
      </x:c>
      <x:c r="U1383" s="40" t="n">
        <x:f>E1383*Assumptions!$B$8</x:f>
        <x:v>4369.849999999999</x:v>
      </x:c>
      <x:c r="V1383" s="40" t="n">
        <x:f>P1383*Assumptions!$B$8</x:f>
        <x:v>4055.810275624034</x:v>
      </x:c>
      <x:c r="W1383" s="54" t="n">
        <x:f>V1383-U1383</x:f>
        <x:v>-314.0397243759653</x:v>
      </x:c>
      <x:c r="X1383" s="58" t="n">
        <x:f>IF(R1383="No","",W1383*S1383)</x:f>
        <x:v>-2938783.740710283</x:v>
      </x:c>
      <x:c r="Y1383" s="58" t="n">
        <x:f>IF(R1383="No","",W1383*T1383*Assumptions!$B$9)</x:f>
        <x:v>-1125361.3523012716</x:v>
      </x:c>
      <x:c r="Z1383" s="58" t="n">
        <x:f>IF(R1383="No","",X1383-Y1383)</x:f>
        <x:v>-1813422.3884090115</x:v>
      </x:c>
      <x:c r="AA1383" s="58" t="n">
        <x:f>IF(R1383="No","",MAX(0,-Z1383))</x:f>
        <x:v>1813422.3884090115</x:v>
      </x:c>
      <x:c r="AB1383" s="52" t="n">
        <x:f>IF(OR(R1383="No",U1383*S1383=0),"",AA1383/(U1383*S1383))</x:f>
        <x:v>0.04434548435571473</x:v>
      </x:c>
      <x:c r="AC1383" s="54" t="n">
        <x:f>IF(OR(R1383="No",S1383-T1383*Assumptions!$B$9&lt;=0),"",AA1383/(Assumptions!$B$8*(S1383-T1383*Assumptions!$B$9)))</x:f>
        <x:v>369.4584992658415</x:v>
      </x:c>
      <x:c r="AD1383" s="52" t="n">
        <x:f>IF(OR(R1383="No",U1383*S1383=0),"",AA1383/(U1383*S1383))</x:f>
        <x:v>0.04434548435571473</x:v>
      </x:c>
      <x:c r="AE1383" s="50" t="str">
        <x:f>IF(R1383="No","No finance data",IF(AB1383&gt;=10%,"Severe",IF(AB1383&gt;=5%,"High",IF(AB1383&gt;=2%,"Moderate","Low"))))</x:f>
        <x:v>Moderate</x:v>
      </x:c>
      <x:c r="AF1383" s="60" t="n">
        <x:v>41.870717</x:v>
      </x:c>
      <x:c r="AG1383" s="60" t="n">
        <x:v>-80.121318</x:v>
      </x:c>
      <x:c r="AH1383" s="44" t="str">
        <x:v>Undergraduate tuition-contribution proxy only; not an audited total institutional budget.</x:v>
      </x:c>
    </x:row>
    <x:row r="1384">
      <x:c r="A1384" s="16" t="n">
        <x:v>212197</x:v>
      </x:c>
      <x:c r="B1384" s="16" t="str">
        <x:v>Elizabethtown College</x:v>
      </x:c>
      <x:c r="C1384" s="16" t="str">
        <x:v>PA</x:v>
      </x:c>
      <x:c r="D1384" s="16" t="str">
        <x:v>Private nonprofit</x:v>
      </x:c>
      <x:c r="E1384" s="34" t="n">
        <x:v>1762</x:v>
      </x:c>
      <x:c r="F1384" s="21" t="n">
        <x:v>0.7948</x:v>
      </x:c>
      <x:c r="G1384" s="16" t="str">
        <x:v>Regional</x:v>
      </x:c>
      <x:c r="H1384" s="36" t="n">
        <x:f>IF(G1384="National",Assumptions!$B$11,IF(G1384="Statewide",Assumptions!$B$12,Assumptions!$B$13))</x:f>
        <x:v>0.85</x:v>
      </x:c>
      <x:c r="I1384" s="21" t="n">
        <x:v>-0.07201174532693544</x:v>
      </x:c>
      <x:c r="J1384" s="21" t="n">
        <x:v>-0.08817589343264343</x:v>
      </x:c>
      <x:c r="K1384" s="21" t="n">
        <x:v>-0.16258683663969065</x:v>
      </x:c>
      <x:c r="L1384" s="36" t="n">
        <x:f>IF(Assumptions!$B$4=2030,I1384,IF(Assumptions!$B$4=2035,J1384,K1384))</x:f>
        <x:v>-0.08817589343264343</x:v>
      </x:c>
      <x:c r="M1384" s="36" t="n">
        <x:f>Assumptions!$B$19</x:f>
        <x:v>-0.04739891965741583</x:v>
      </x:c>
      <x:c r="N1384" s="52" t="n">
        <x:f>H1384*L1384+(1-H1384)*M1384+O1384</x:f>
        <x:v>-0.08205934736635928</x:v>
      </x:c>
      <x:c r="O1384" s="36" t="n">
        <x:f>Assumptions!$B$10</x:f>
        <x:v>0</x:v>
      </x:c>
      <x:c r="P1384" s="54" t="n">
        <x:f>E1384*(1+N1384)</x:f>
        <x:v>1617.4114299404748</x:v>
      </x:c>
      <x:c r="Q1384" s="54" t="n">
        <x:f>P1384-E1384</x:f>
        <x:v>-144.58857005952518</x:v>
      </x:c>
      <x:c r="R1384" s="16" t="str">
        <x:v>Yes</x:v>
      </x:c>
      <x:c r="S1384" s="56" t="n">
        <x:v>16798</x:v>
      </x:c>
      <x:c r="T1384" s="56" t="n">
        <x:v>12454</x:v>
      </x:c>
      <x:c r="U1384" s="40" t="n">
        <x:f>E1384*Assumptions!$B$8</x:f>
        <x:v>1497.7</x:v>
      </x:c>
      <x:c r="V1384" s="40" t="n">
        <x:f>P1384*Assumptions!$B$8</x:f>
        <x:v>1374.7997154494035</x:v>
      </x:c>
      <x:c r="W1384" s="54" t="n">
        <x:f>V1384-U1384</x:f>
        <x:v>-122.90028455059655</x:v>
      </x:c>
      <x:c r="X1384" s="58" t="n">
        <x:f>IF(R1384="No","",W1384*S1384)</x:f>
        <x:v>-2064478.9798809208</x:v>
      </x:c>
      <x:c r="Y1384" s="58" t="n">
        <x:f>IF(R1384="No","",W1384*T1384*Assumptions!$B$9)</x:f>
        <x:v>-459180.0431379388</x:v>
      </x:c>
      <x:c r="Z1384" s="58" t="n">
        <x:f>IF(R1384="No","",X1384-Y1384)</x:f>
        <x:v>-1605298.9367429821</x:v>
      </x:c>
      <x:c r="AA1384" s="58" t="n">
        <x:f>IF(R1384="No","",MAX(0,-Z1384))</x:f>
        <x:v>1605298.9367429821</x:v>
      </x:c>
      <x:c r="AB1384" s="52" t="n">
        <x:f>IF(OR(R1384="No",U1384*S1384=0),"",AA1384/(U1384*S1384))</x:f>
        <x:v>0.06380776184247612</x:v>
      </x:c>
      <x:c r="AC1384" s="54" t="n">
        <x:f>IF(OR(R1384="No",S1384-T1384*Assumptions!$B$9&lt;=0),"",AA1384/(Assumptions!$B$8*(S1384-T1384*Assumptions!$B$9)))</x:f>
        <x:v>144.58857005952538</x:v>
      </x:c>
      <x:c r="AD1384" s="52" t="n">
        <x:f>IF(OR(R1384="No",U1384*S1384=0),"",AA1384/(U1384*S1384))</x:f>
        <x:v>0.06380776184247612</x:v>
      </x:c>
      <x:c r="AE1384" s="50" t="str">
        <x:f>IF(R1384="No","No finance data",IF(AB1384&gt;=10%,"Severe",IF(AB1384&gt;=5%,"High",IF(AB1384&gt;=2%,"Moderate","Low"))))</x:f>
        <x:v>High</x:v>
      </x:c>
      <x:c r="AF1384" s="60" t="n">
        <x:v>40.149236</x:v>
      </x:c>
      <x:c r="AG1384" s="60" t="n">
        <x:v>-76.593224</x:v>
      </x:c>
      <x:c r="AH1384" s="44" t="str">
        <x:v>Undergraduate tuition-contribution proxy only; not an audited total institutional budget.</x:v>
      </x:c>
    </x:row>
    <x:row r="1385">
      <x:c r="A1385" s="16" t="n">
        <x:v>480134</x:v>
      </x:c>
      <x:c r="B1385" s="16" t="str">
        <x:v>Elizabethtown College School of Continuing and Professional Studies</x:v>
      </x:c>
      <x:c r="C1385" s="16" t="str">
        <x:v>PA</x:v>
      </x:c>
      <x:c r="D1385" s="16" t="str">
        <x:v>Private nonprofit</x:v>
      </x:c>
      <x:c r="E1385" s="34" t="n">
        <x:v>356</x:v>
      </x:c>
      <x:c r="F1385" s="21"/>
      <x:c r="G1385" s="16" t="str">
        <x:v>Regional</x:v>
      </x:c>
      <x:c r="H1385" s="36" t="n">
        <x:f>IF(G1385="National",Assumptions!$B$11,IF(G1385="Statewide",Assumptions!$B$12,Assumptions!$B$13))</x:f>
        <x:v>0.85</x:v>
      </x:c>
      <x:c r="I1385" s="21" t="n">
        <x:v>-0.07201174532693544</x:v>
      </x:c>
      <x:c r="J1385" s="21" t="n">
        <x:v>-0.08817589343264343</x:v>
      </x:c>
      <x:c r="K1385" s="21" t="n">
        <x:v>-0.16258683663969065</x:v>
      </x:c>
      <x:c r="L1385" s="36" t="n">
        <x:f>IF(Assumptions!$B$4=2030,I1385,IF(Assumptions!$B$4=2035,J1385,K1385))</x:f>
        <x:v>-0.08817589343264343</x:v>
      </x:c>
      <x:c r="M1385" s="36" t="n">
        <x:f>Assumptions!$B$19</x:f>
        <x:v>-0.04739891965741583</x:v>
      </x:c>
      <x:c r="N1385" s="52" t="n">
        <x:f>H1385*L1385+(1-H1385)*M1385+O1385</x:f>
        <x:v>-0.08205934736635928</x:v>
      </x:c>
      <x:c r="O1385" s="36" t="n">
        <x:f>Assumptions!$B$10</x:f>
        <x:v>0</x:v>
      </x:c>
      <x:c r="P1385" s="54" t="n">
        <x:f>E1385*(1+N1385)</x:f>
        <x:v>326.7868723375761</x:v>
      </x:c>
      <x:c r="Q1385" s="54" t="n">
        <x:f>P1385-E1385</x:f>
        <x:v>-29.213127662423915</x:v>
      </x:c>
      <x:c r="R1385" s="16" t="str">
        <x:v>No</x:v>
      </x:c>
      <x:c r="S1385" s="56"/>
      <x:c r="T1385" s="56"/>
      <x:c r="U1385" s="40" t="n">
        <x:f>E1385*Assumptions!$B$8</x:f>
        <x:v>302.59999999999997</x:v>
      </x:c>
      <x:c r="V1385" s="40" t="n">
        <x:f>P1385*Assumptions!$B$8</x:f>
        <x:v>277.76884148693966</x:v>
      </x:c>
      <x:c r="W1385" s="54" t="n">
        <x:f>V1385-U1385</x:f>
        <x:v>-24.831158513060302</x:v>
      </x:c>
      <x:c r="X1385" s="58" t="str">
        <x:f>IF(R1385="No","",W1385*S1385)</x:f>
      </x:c>
      <x:c r="Y1385" s="58" t="str">
        <x:f>IF(R1385="No","",W1385*T1385*Assumptions!$B$9)</x:f>
      </x:c>
      <x:c r="Z1385" s="58" t="str">
        <x:f>IF(R1385="No","",X1385-Y1385)</x:f>
      </x:c>
      <x:c r="AA1385" s="58" t="str">
        <x:f>IF(R1385="No","",MAX(0,-Z1385))</x:f>
      </x:c>
      <x:c r="AB1385" s="52" t="str">
        <x:f>IF(OR(R1385="No",U1385*S1385=0),"",AA1385/(U1385*S1385))</x:f>
      </x:c>
      <x:c r="AC1385" s="54" t="str">
        <x:f>IF(OR(R1385="No",S1385-T1385*Assumptions!$B$9&lt;=0),"",AA1385/(Assumptions!$B$8*(S1385-T1385*Assumptions!$B$9)))</x:f>
      </x:c>
      <x:c r="AD1385" s="52" t="str">
        <x:f>IF(OR(R1385="No",U1385*S1385=0),"",AA1385/(U1385*S1385))</x:f>
      </x:c>
      <x:c r="AE1385" s="50" t="str">
        <x:f>IF(R1385="No","No finance data",IF(AB1385&gt;=10%,"Severe",IF(AB1385&gt;=5%,"High",IF(AB1385&gt;=2%,"Moderate","Low"))))</x:f>
        <x:v>No finance data</x:v>
      </x:c>
      <x:c r="AF1385" s="60"/>
      <x:c r="AG1385" s="60"/>
      <x:c r="AH1385" s="44" t="str">
        <x:v>Undergraduate tuition-contribution proxy only; not an audited total institutional budget.</x:v>
      </x:c>
    </x:row>
    <x:row r="1386">
      <x:c r="A1386" s="16" t="n">
        <x:v>212577</x:v>
      </x:c>
      <x:c r="B1386" s="16" t="str">
        <x:v>Franklin and Marshall College</x:v>
      </x:c>
      <x:c r="C1386" s="16" t="str">
        <x:v>PA</x:v>
      </x:c>
      <x:c r="D1386" s="16" t="str">
        <x:v>Private nonprofit</x:v>
      </x:c>
      <x:c r="E1386" s="34" t="n">
        <x:v>2219</x:v>
      </x:c>
      <x:c r="F1386" s="21" t="n">
        <x:v>0.3754</x:v>
      </x:c>
      <x:c r="G1386" s="16" t="str">
        <x:v>Regional</x:v>
      </x:c>
      <x:c r="H1386" s="36" t="n">
        <x:f>IF(G1386="National",Assumptions!$B$11,IF(G1386="Statewide",Assumptions!$B$12,Assumptions!$B$13))</x:f>
        <x:v>0.85</x:v>
      </x:c>
      <x:c r="I1386" s="21" t="n">
        <x:v>-0.07201174532693544</x:v>
      </x:c>
      <x:c r="J1386" s="21" t="n">
        <x:v>-0.08817589343264343</x:v>
      </x:c>
      <x:c r="K1386" s="21" t="n">
        <x:v>-0.16258683663969065</x:v>
      </x:c>
      <x:c r="L1386" s="36" t="n">
        <x:f>IF(Assumptions!$B$4=2030,I1386,IF(Assumptions!$B$4=2035,J1386,K1386))</x:f>
        <x:v>-0.08817589343264343</x:v>
      </x:c>
      <x:c r="M1386" s="36" t="n">
        <x:f>Assumptions!$B$19</x:f>
        <x:v>-0.04739891965741583</x:v>
      </x:c>
      <x:c r="N1386" s="52" t="n">
        <x:f>H1386*L1386+(1-H1386)*M1386+O1386</x:f>
        <x:v>-0.08205934736635928</x:v>
      </x:c>
      <x:c r="O1386" s="36" t="n">
        <x:f>Assumptions!$B$10</x:f>
        <x:v>0</x:v>
      </x:c>
      <x:c r="P1386" s="54" t="n">
        <x:f>E1386*(1+N1386)</x:f>
        <x:v>2036.9103081940486</x:v>
      </x:c>
      <x:c r="Q1386" s="54" t="n">
        <x:f>P1386-E1386</x:f>
        <x:v>-182.08969180595136</x:v>
      </x:c>
      <x:c r="R1386" s="16" t="str">
        <x:v>Yes</x:v>
      </x:c>
      <x:c r="S1386" s="56" t="n">
        <x:v>33526</x:v>
      </x:c>
      <x:c r="T1386" s="56" t="n">
        <x:v>18653</x:v>
      </x:c>
      <x:c r="U1386" s="40" t="n">
        <x:f>E1386*Assumptions!$B$8</x:f>
        <x:v>1886.1499999999999</x:v>
      </x:c>
      <x:c r="V1386" s="40" t="n">
        <x:f>P1386*Assumptions!$B$8</x:f>
        <x:v>1731.3737619649412</x:v>
      </x:c>
      <x:c r="W1386" s="54" t="n">
        <x:f>V1386-U1386</x:f>
        <x:v>-154.77623803505867</x:v>
      </x:c>
      <x:c r="X1386" s="58" t="n">
        <x:f>IF(R1386="No","",W1386*S1386)</x:f>
        <x:v>-5189028.156363377</x:v>
      </x:c>
      <x:c r="Y1386" s="58" t="n">
        <x:f>IF(R1386="No","",W1386*T1386*Assumptions!$B$9)</x:f>
        <x:v>-866112.3504203848</x:v>
      </x:c>
      <x:c r="Z1386" s="58" t="n">
        <x:f>IF(R1386="No","",X1386-Y1386)</x:f>
        <x:v>-4322915.805942993</x:v>
      </x:c>
      <x:c r="AA1386" s="58" t="n">
        <x:f>IF(R1386="No","",MAX(0,-Z1386))</x:f>
        <x:v>4322915.805942993</x:v>
      </x:c>
      <x:c r="AB1386" s="52" t="n">
        <x:f>IF(OR(R1386="No",U1386*S1386=0),"",AA1386/(U1386*S1386))</x:f>
        <x:v>0.06836263729276243</x:v>
      </x:c>
      <x:c r="AC1386" s="54" t="n">
        <x:f>IF(OR(R1386="No",S1386-T1386*Assumptions!$B$9&lt;=0),"",AA1386/(Assumptions!$B$8*(S1386-T1386*Assumptions!$B$9)))</x:f>
        <x:v>182.08969180595142</x:v>
      </x:c>
      <x:c r="AD1386" s="52" t="n">
        <x:f>IF(OR(R1386="No",U1386*S1386=0),"",AA1386/(U1386*S1386))</x:f>
        <x:v>0.06836263729276243</x:v>
      </x:c>
      <x:c r="AE1386" s="50" t="str">
        <x:f>IF(R1386="No","No finance data",IF(AB1386&gt;=10%,"Severe",IF(AB1386&gt;=5%,"High",IF(AB1386&gt;=2%,"Moderate","Low"))))</x:f>
        <x:v>High</x:v>
      </x:c>
      <x:c r="AF1386" s="60" t="n">
        <x:v>40.048045</x:v>
      </x:c>
      <x:c r="AG1386" s="60" t="n">
        <x:v>-76.319037</x:v>
      </x:c>
      <x:c r="AH1386" s="44" t="str">
        <x:v>Undergraduate tuition-contribution proxy only; not an audited total institutional budget.</x:v>
      </x:c>
    </x:row>
    <x:row r="1387">
      <x:c r="A1387" s="16" t="n">
        <x:v>212601</x:v>
      </x:c>
      <x:c r="B1387" s="16" t="str">
        <x:v>Gannon University</x:v>
      </x:c>
      <x:c r="C1387" s="16" t="str">
        <x:v>PA</x:v>
      </x:c>
      <x:c r="D1387" s="16" t="str">
        <x:v>Private nonprofit</x:v>
      </x:c>
      <x:c r="E1387" s="34" t="n">
        <x:v>2661</x:v>
      </x:c>
      <x:c r="F1387" s="21" t="n">
        <x:v>0.8359</x:v>
      </x:c>
      <x:c r="G1387" s="16" t="str">
        <x:v>Regional</x:v>
      </x:c>
      <x:c r="H1387" s="36" t="n">
        <x:f>IF(G1387="National",Assumptions!$B$11,IF(G1387="Statewide",Assumptions!$B$12,Assumptions!$B$13))</x:f>
        <x:v>0.85</x:v>
      </x:c>
      <x:c r="I1387" s="21" t="n">
        <x:v>-0.07201174532693544</x:v>
      </x:c>
      <x:c r="J1387" s="21" t="n">
        <x:v>-0.08817589343264343</x:v>
      </x:c>
      <x:c r="K1387" s="21" t="n">
        <x:v>-0.16258683663969065</x:v>
      </x:c>
      <x:c r="L1387" s="36" t="n">
        <x:f>IF(Assumptions!$B$4=2030,I1387,IF(Assumptions!$B$4=2035,J1387,K1387))</x:f>
        <x:v>-0.08817589343264343</x:v>
      </x:c>
      <x:c r="M1387" s="36" t="n">
        <x:f>Assumptions!$B$19</x:f>
        <x:v>-0.04739891965741583</x:v>
      </x:c>
      <x:c r="N1387" s="52" t="n">
        <x:f>H1387*L1387+(1-H1387)*M1387+O1387</x:f>
        <x:v>-0.08205934736635928</x:v>
      </x:c>
      <x:c r="O1387" s="36" t="n">
        <x:f>Assumptions!$B$10</x:f>
        <x:v>0</x:v>
      </x:c>
      <x:c r="P1387" s="54" t="n">
        <x:f>E1387*(1+N1387)</x:f>
        <x:v>2442.640076658118</x:v>
      </x:c>
      <x:c r="Q1387" s="54" t="n">
        <x:f>P1387-E1387</x:f>
        <x:v>-218.35992334188222</x:v>
      </x:c>
      <x:c r="R1387" s="16" t="str">
        <x:v>Yes</x:v>
      </x:c>
      <x:c r="S1387" s="56" t="n">
        <x:v>17708</x:v>
      </x:c>
      <x:c r="T1387" s="56" t="n">
        <x:v>9275</x:v>
      </x:c>
      <x:c r="U1387" s="40" t="n">
        <x:f>E1387*Assumptions!$B$8</x:f>
        <x:v>2261.85</x:v>
      </x:c>
      <x:c r="V1387" s="40" t="n">
        <x:f>P1387*Assumptions!$B$8</x:f>
        <x:v>2076.2440651594</x:v>
      </x:c>
      <x:c r="W1387" s="54" t="n">
        <x:f>V1387-U1387</x:f>
        <x:v>-185.60593484059973</x:v>
      </x:c>
      <x:c r="X1387" s="58" t="n">
        <x:f>IF(R1387="No","",W1387*S1387)</x:f>
        <x:v>-3286709.89415734</x:v>
      </x:c>
      <x:c r="Y1387" s="58" t="n">
        <x:f>IF(R1387="No","",W1387*T1387*Assumptions!$B$9)</x:f>
        <x:v>-516448.5136939687</x:v>
      </x:c>
      <x:c r="Z1387" s="58" t="n">
        <x:f>IF(R1387="No","",X1387-Y1387)</x:f>
        <x:v>-2770261.380463371</x:v>
      </x:c>
      <x:c r="AA1387" s="58" t="n">
        <x:f>IF(R1387="No","",MAX(0,-Z1387))</x:f>
        <x:v>2770261.380463371</x:v>
      </x:c>
      <x:c r="AB1387" s="52" t="n">
        <x:f>IF(OR(R1387="No",U1387*S1387=0),"",AA1387/(U1387*S1387))</x:f>
        <x:v>0.06916516767091684</x:v>
      </x:c>
      <x:c r="AC1387" s="54" t="n">
        <x:f>IF(OR(R1387="No",S1387-T1387*Assumptions!$B$9&lt;=0),"",AA1387/(Assumptions!$B$8*(S1387-T1387*Assumptions!$B$9)))</x:f>
        <x:v>218.35992334188202</x:v>
      </x:c>
      <x:c r="AD1387" s="52" t="n">
        <x:f>IF(OR(R1387="No",U1387*S1387=0),"",AA1387/(U1387*S1387))</x:f>
        <x:v>0.06916516767091684</x:v>
      </x:c>
      <x:c r="AE1387" s="50" t="str">
        <x:f>IF(R1387="No","No finance data",IF(AB1387&gt;=10%,"Severe",IF(AB1387&gt;=5%,"High",IF(AB1387&gt;=2%,"Moderate","Low"))))</x:f>
        <x:v>High</x:v>
      </x:c>
      <x:c r="AF1387" s="60" t="n">
        <x:v>42.128403</x:v>
      </x:c>
      <x:c r="AG1387" s="60" t="n">
        <x:v>-80.087166</x:v>
      </x:c>
      <x:c r="AH1387" s="44" t="str">
        <x:v>Undergraduate tuition-contribution proxy only; not an audited total institutional budget.</x:v>
      </x:c>
    </x:row>
    <x:row r="1388">
      <x:c r="A1388" s="16" t="n">
        <x:v>212656</x:v>
      </x:c>
      <x:c r="B1388" s="16" t="str">
        <x:v>Geneva College</x:v>
      </x:c>
      <x:c r="C1388" s="16" t="str">
        <x:v>PA</x:v>
      </x:c>
      <x:c r="D1388" s="16" t="str">
        <x:v>Private nonprofit</x:v>
      </x:c>
      <x:c r="E1388" s="34" t="n">
        <x:v>1459</x:v>
      </x:c>
      <x:c r="F1388" s="21" t="n">
        <x:v>0.7937</x:v>
      </x:c>
      <x:c r="G1388" s="16" t="str">
        <x:v>Regional</x:v>
      </x:c>
      <x:c r="H1388" s="36" t="n">
        <x:f>IF(G1388="National",Assumptions!$B$11,IF(G1388="Statewide",Assumptions!$B$12,Assumptions!$B$13))</x:f>
        <x:v>0.85</x:v>
      </x:c>
      <x:c r="I1388" s="21" t="n">
        <x:v>-0.07201174532693544</x:v>
      </x:c>
      <x:c r="J1388" s="21" t="n">
        <x:v>-0.08817589343264343</x:v>
      </x:c>
      <x:c r="K1388" s="21" t="n">
        <x:v>-0.16258683663969065</x:v>
      </x:c>
      <x:c r="L1388" s="36" t="n">
        <x:f>IF(Assumptions!$B$4=2030,I1388,IF(Assumptions!$B$4=2035,J1388,K1388))</x:f>
        <x:v>-0.08817589343264343</x:v>
      </x:c>
      <x:c r="M1388" s="36" t="n">
        <x:f>Assumptions!$B$19</x:f>
        <x:v>-0.04739891965741583</x:v>
      </x:c>
      <x:c r="N1388" s="52" t="n">
        <x:f>H1388*L1388+(1-H1388)*M1388+O1388</x:f>
        <x:v>-0.08205934736635928</x:v>
      </x:c>
      <x:c r="O1388" s="36" t="n">
        <x:f>Assumptions!$B$10</x:f>
        <x:v>0</x:v>
      </x:c>
      <x:c r="P1388" s="54" t="n">
        <x:f>E1388*(1+N1388)</x:f>
        <x:v>1339.2754121924818</x:v>
      </x:c>
      <x:c r="Q1388" s="54" t="n">
        <x:f>P1388-E1388</x:f>
        <x:v>-119.72458780751822</x:v>
      </x:c>
      <x:c r="R1388" s="16" t="str">
        <x:v>Yes</x:v>
      </x:c>
      <x:c r="S1388" s="56" t="n">
        <x:v>14258</x:v>
      </x:c>
      <x:c r="T1388" s="56" t="n">
        <x:v>8746</x:v>
      </x:c>
      <x:c r="U1388" s="40" t="n">
        <x:f>E1388*Assumptions!$B$8</x:f>
        <x:v>1240.1499999999999</x:v>
      </x:c>
      <x:c r="V1388" s="40" t="n">
        <x:f>P1388*Assumptions!$B$8</x:f>
        <x:v>1138.3841003636094</x:v>
      </x:c>
      <x:c r="W1388" s="54" t="n">
        <x:f>V1388-U1388</x:f>
        <x:v>-101.76589963639049</x:v>
      </x:c>
      <x:c r="X1388" s="58" t="n">
        <x:f>IF(R1388="No","",W1388*S1388)</x:f>
        <x:v>-1450978.1970156555</x:v>
      </x:c>
      <x:c r="Y1388" s="58" t="n">
        <x:f>IF(R1388="No","",W1388*T1388*Assumptions!$B$9)</x:f>
        <x:v>-267013.3674659613</x:v>
      </x:c>
      <x:c r="Z1388" s="58" t="n">
        <x:f>IF(R1388="No","",X1388-Y1388)</x:f>
        <x:v>-1183964.8295496942</x:v>
      </x:c>
      <x:c r="AA1388" s="58" t="n">
        <x:f>IF(R1388="No","",MAX(0,-Z1388))</x:f>
        <x:v>1183964.8295496942</x:v>
      </x:c>
      <x:c r="AB1388" s="52" t="n">
        <x:f>IF(OR(R1388="No",U1388*S1388=0),"",AA1388/(U1388*S1388))</x:f>
        <x:v>0.06695853970610867</x:v>
      </x:c>
      <x:c r="AC1388" s="54" t="n">
        <x:f>IF(OR(R1388="No",S1388-T1388*Assumptions!$B$9&lt;=0),"",AA1388/(Assumptions!$B$8*(S1388-T1388*Assumptions!$B$9)))</x:f>
        <x:v>119.72458780751822</x:v>
      </x:c>
      <x:c r="AD1388" s="52" t="n">
        <x:f>IF(OR(R1388="No",U1388*S1388=0),"",AA1388/(U1388*S1388))</x:f>
        <x:v>0.06695853970610867</x:v>
      </x:c>
      <x:c r="AE1388" s="50" t="str">
        <x:f>IF(R1388="No","No finance data",IF(AB1388&gt;=10%,"Severe",IF(AB1388&gt;=5%,"High",IF(AB1388&gt;=2%,"Moderate","Low"))))</x:f>
        <x:v>High</x:v>
      </x:c>
      <x:c r="AF1388" s="60" t="n">
        <x:v>40.772518</x:v>
      </x:c>
      <x:c r="AG1388" s="60" t="n">
        <x:v>-80.321826</x:v>
      </x:c>
      <x:c r="AH1388" s="44" t="str">
        <x:v>Undergraduate tuition-contribution proxy only; not an audited total institutional budget.</x:v>
      </x:c>
    </x:row>
    <x:row r="1389">
      <x:c r="A1389" s="16" t="n">
        <x:v>212674</x:v>
      </x:c>
      <x:c r="B1389" s="16" t="str">
        <x:v>Gettysburg College</x:v>
      </x:c>
      <x:c r="C1389" s="16" t="str">
        <x:v>PA</x:v>
      </x:c>
      <x:c r="D1389" s="16" t="str">
        <x:v>Private nonprofit</x:v>
      </x:c>
      <x:c r="E1389" s="34" t="n">
        <x:v>2442</x:v>
      </x:c>
      <x:c r="F1389" s="21" t="n">
        <x:v>0.5633</x:v>
      </x:c>
      <x:c r="G1389" s="16" t="str">
        <x:v>Regional</x:v>
      </x:c>
      <x:c r="H1389" s="36" t="n">
        <x:f>IF(G1389="National",Assumptions!$B$11,IF(G1389="Statewide",Assumptions!$B$12,Assumptions!$B$13))</x:f>
        <x:v>0.85</x:v>
      </x:c>
      <x:c r="I1389" s="21" t="n">
        <x:v>-0.07201174532693544</x:v>
      </x:c>
      <x:c r="J1389" s="21" t="n">
        <x:v>-0.08817589343264343</x:v>
      </x:c>
      <x:c r="K1389" s="21" t="n">
        <x:v>-0.16258683663969065</x:v>
      </x:c>
      <x:c r="L1389" s="36" t="n">
        <x:f>IF(Assumptions!$B$4=2030,I1389,IF(Assumptions!$B$4=2035,J1389,K1389))</x:f>
        <x:v>-0.08817589343264343</x:v>
      </x:c>
      <x:c r="M1389" s="36" t="n">
        <x:f>Assumptions!$B$19</x:f>
        <x:v>-0.04739891965741583</x:v>
      </x:c>
      <x:c r="N1389" s="52" t="n">
        <x:f>H1389*L1389+(1-H1389)*M1389+O1389</x:f>
        <x:v>-0.08205934736635928</x:v>
      </x:c>
      <x:c r="O1389" s="36" t="n">
        <x:f>Assumptions!$B$10</x:f>
        <x:v>0</x:v>
      </x:c>
      <x:c r="P1389" s="54" t="n">
        <x:f>E1389*(1+N1389)</x:f>
        <x:v>2241.6110737313506</x:v>
      </x:c>
      <x:c r="Q1389" s="54" t="n">
        <x:f>P1389-E1389</x:f>
        <x:v>-200.38892626864936</x:v>
      </x:c>
      <x:c r="R1389" s="16" t="str">
        <x:v>Yes</x:v>
      </x:c>
      <x:c r="S1389" s="56" t="n">
        <x:v>23041</x:v>
      </x:c>
      <x:c r="T1389" s="56" t="n">
        <x:v>15215</x:v>
      </x:c>
      <x:c r="U1389" s="40" t="n">
        <x:f>E1389*Assumptions!$B$8</x:f>
        <x:v>2075.7</x:v>
      </x:c>
      <x:c r="V1389" s="40" t="n">
        <x:f>P1389*Assumptions!$B$8</x:f>
        <x:v>1905.369412671648</x:v>
      </x:c>
      <x:c r="W1389" s="54" t="n">
        <x:f>V1389-U1389</x:f>
        <x:v>-170.33058732835184</x:v>
      </x:c>
      <x:c r="X1389" s="58" t="n">
        <x:f>IF(R1389="No","",W1389*S1389)</x:f>
        <x:v>-3924587.0626325547</x:v>
      </x:c>
      <x:c r="Y1389" s="58" t="n">
        <x:f>IF(R1389="No","",W1389*T1389*Assumptions!$B$9)</x:f>
        <x:v>-777473.9658602619</x:v>
      </x:c>
      <x:c r="Z1389" s="58" t="n">
        <x:f>IF(R1389="No","",X1389-Y1389)</x:f>
        <x:v>-3147113.0967722926</x:v>
      </x:c>
      <x:c r="AA1389" s="58" t="n">
        <x:f>IF(R1389="No","",MAX(0,-Z1389))</x:f>
        <x:v>3147113.0967722926</x:v>
      </x:c>
      <x:c r="AB1389" s="52" t="n">
        <x:f>IF(OR(R1389="No",U1389*S1389=0),"",AA1389/(U1389*S1389))</x:f>
        <x:v>0.06580311321620312</x:v>
      </x:c>
      <x:c r="AC1389" s="54" t="n">
        <x:f>IF(OR(R1389="No",S1389-T1389*Assumptions!$B$9&lt;=0),"",AA1389/(Assumptions!$B$8*(S1389-T1389*Assumptions!$B$9)))</x:f>
        <x:v>200.38892626864921</x:v>
      </x:c>
      <x:c r="AD1389" s="52" t="n">
        <x:f>IF(OR(R1389="No",U1389*S1389=0),"",AA1389/(U1389*S1389))</x:f>
        <x:v>0.06580311321620312</x:v>
      </x:c>
      <x:c r="AE1389" s="50" t="str">
        <x:f>IF(R1389="No","No finance data",IF(AB1389&gt;=10%,"Severe",IF(AB1389&gt;=5%,"High",IF(AB1389&gt;=2%,"Moderate","Low"))))</x:f>
        <x:v>High</x:v>
      </x:c>
      <x:c r="AF1389" s="60" t="n">
        <x:v>39.836597</x:v>
      </x:c>
      <x:c r="AG1389" s="60" t="n">
        <x:v>-77.236792</x:v>
      </x:c>
      <x:c r="AH1389" s="44" t="str">
        <x:v>Undergraduate tuition-contribution proxy only; not an audited total institutional budget.</x:v>
      </x:c>
    </x:row>
    <x:row r="1390">
      <x:c r="A1390" s="16" t="n">
        <x:v>212771</x:v>
      </x:c>
      <x:c r="B1390" s="16" t="str">
        <x:v>Gratz College</x:v>
      </x:c>
      <x:c r="C1390" s="16" t="str">
        <x:v>PA</x:v>
      </x:c>
      <x:c r="D1390" s="16" t="str">
        <x:v>Private nonprofit</x:v>
      </x:c>
      <x:c r="E1390" s="34" t="n">
        <x:v>5</x:v>
      </x:c>
      <x:c r="F1390" s="21"/>
      <x:c r="G1390" s="16" t="str">
        <x:v>Regional</x:v>
      </x:c>
      <x:c r="H1390" s="36" t="n">
        <x:f>IF(G1390="National",Assumptions!$B$11,IF(G1390="Statewide",Assumptions!$B$12,Assumptions!$B$13))</x:f>
        <x:v>0.85</x:v>
      </x:c>
      <x:c r="I1390" s="21" t="n">
        <x:v>-0.07201174532693544</x:v>
      </x:c>
      <x:c r="J1390" s="21" t="n">
        <x:v>-0.08817589343264343</x:v>
      </x:c>
      <x:c r="K1390" s="21" t="n">
        <x:v>-0.16258683663969065</x:v>
      </x:c>
      <x:c r="L1390" s="36" t="n">
        <x:f>IF(Assumptions!$B$4=2030,I1390,IF(Assumptions!$B$4=2035,J1390,K1390))</x:f>
        <x:v>-0.08817589343264343</x:v>
      </x:c>
      <x:c r="M1390" s="36" t="n">
        <x:f>Assumptions!$B$19</x:f>
        <x:v>-0.04739891965741583</x:v>
      </x:c>
      <x:c r="N1390" s="52" t="n">
        <x:f>H1390*L1390+(1-H1390)*M1390+O1390</x:f>
        <x:v>-0.08205934736635928</x:v>
      </x:c>
      <x:c r="O1390" s="36" t="n">
        <x:f>Assumptions!$B$10</x:f>
        <x:v>0</x:v>
      </x:c>
      <x:c r="P1390" s="54" t="n">
        <x:f>E1390*(1+N1390)</x:f>
        <x:v>4.589703263168204</x:v>
      </x:c>
      <x:c r="Q1390" s="54" t="n">
        <x:f>P1390-E1390</x:f>
        <x:v>-0.41029673683179624</x:v>
      </x:c>
      <x:c r="R1390" s="16" t="str">
        <x:v>No</x:v>
      </x:c>
      <x:c r="S1390" s="56"/>
      <x:c r="T1390" s="56"/>
      <x:c r="U1390" s="40" t="n">
        <x:f>E1390*Assumptions!$B$8</x:f>
        <x:v>4.25</x:v>
      </x:c>
      <x:c r="V1390" s="40" t="n">
        <x:f>P1390*Assumptions!$B$8</x:f>
        <x:v>3.901247773692973</x:v>
      </x:c>
      <x:c r="W1390" s="54" t="n">
        <x:f>V1390-U1390</x:f>
        <x:v>-0.34875222630702707</x:v>
      </x:c>
      <x:c r="X1390" s="58" t="str">
        <x:f>IF(R1390="No","",W1390*S1390)</x:f>
      </x:c>
      <x:c r="Y1390" s="58" t="str">
        <x:f>IF(R1390="No","",W1390*T1390*Assumptions!$B$9)</x:f>
      </x:c>
      <x:c r="Z1390" s="58" t="str">
        <x:f>IF(R1390="No","",X1390-Y1390)</x:f>
      </x:c>
      <x:c r="AA1390" s="58" t="str">
        <x:f>IF(R1390="No","",MAX(0,-Z1390))</x:f>
      </x:c>
      <x:c r="AB1390" s="52" t="str">
        <x:f>IF(OR(R1390="No",U1390*S1390=0),"",AA1390/(U1390*S1390))</x:f>
      </x:c>
      <x:c r="AC1390" s="54" t="str">
        <x:f>IF(OR(R1390="No",S1390-T1390*Assumptions!$B$9&lt;=0),"",AA1390/(Assumptions!$B$8*(S1390-T1390*Assumptions!$B$9)))</x:f>
      </x:c>
      <x:c r="AD1390" s="52" t="str">
        <x:f>IF(OR(R1390="No",U1390*S1390=0),"",AA1390/(U1390*S1390))</x:f>
      </x:c>
      <x:c r="AE1390" s="50" t="str">
        <x:f>IF(R1390="No","No finance data",IF(AB1390&gt;=10%,"Severe",IF(AB1390&gt;=5%,"High",IF(AB1390&gt;=2%,"Moderate","Low"))))</x:f>
        <x:v>No finance data</x:v>
      </x:c>
      <x:c r="AF1390" s="60"/>
      <x:c r="AG1390" s="60"/>
      <x:c r="AH1390" s="44" t="str">
        <x:v>Undergraduate tuition-contribution proxy only; not an audited total institutional budget.</x:v>
      </x:c>
    </x:row>
    <x:row r="1391">
      <x:c r="A1391" s="16" t="n">
        <x:v>212832</x:v>
      </x:c>
      <x:c r="B1391" s="16" t="str">
        <x:v>Gwynedd Mercy University</x:v>
      </x:c>
      <x:c r="C1391" s="16" t="str">
        <x:v>PA</x:v>
      </x:c>
      <x:c r="D1391" s="16" t="str">
        <x:v>Private nonprofit</x:v>
      </x:c>
      <x:c r="E1391" s="34" t="n">
        <x:v>1935</x:v>
      </x:c>
      <x:c r="F1391" s="21" t="n">
        <x:v>0.906</x:v>
      </x:c>
      <x:c r="G1391" s="16" t="str">
        <x:v>Regional</x:v>
      </x:c>
      <x:c r="H1391" s="36" t="n">
        <x:f>IF(G1391="National",Assumptions!$B$11,IF(G1391="Statewide",Assumptions!$B$12,Assumptions!$B$13))</x:f>
        <x:v>0.85</x:v>
      </x:c>
      <x:c r="I1391" s="21" t="n">
        <x:v>-0.07201174532693544</x:v>
      </x:c>
      <x:c r="J1391" s="21" t="n">
        <x:v>-0.08817589343264343</x:v>
      </x:c>
      <x:c r="K1391" s="21" t="n">
        <x:v>-0.16258683663969065</x:v>
      </x:c>
      <x:c r="L1391" s="36" t="n">
        <x:f>IF(Assumptions!$B$4=2030,I1391,IF(Assumptions!$B$4=2035,J1391,K1391))</x:f>
        <x:v>-0.08817589343264343</x:v>
      </x:c>
      <x:c r="M1391" s="36" t="n">
        <x:f>Assumptions!$B$19</x:f>
        <x:v>-0.04739891965741583</x:v>
      </x:c>
      <x:c r="N1391" s="52" t="n">
        <x:f>H1391*L1391+(1-H1391)*M1391+O1391</x:f>
        <x:v>-0.08205934736635928</x:v>
      </x:c>
      <x:c r="O1391" s="36" t="n">
        <x:f>Assumptions!$B$10</x:f>
        <x:v>0</x:v>
      </x:c>
      <x:c r="P1391" s="54" t="n">
        <x:f>E1391*(1+N1391)</x:f>
        <x:v>1776.2151628460947</x:v>
      </x:c>
      <x:c r="Q1391" s="54" t="n">
        <x:f>P1391-E1391</x:f>
        <x:v>-158.7848371539053</x:v>
      </x:c>
      <x:c r="R1391" s="16" t="str">
        <x:v>Yes</x:v>
      </x:c>
      <x:c r="S1391" s="56" t="n">
        <x:v>20316</x:v>
      </x:c>
      <x:c r="T1391" s="56" t="n">
        <x:v>10449</x:v>
      </x:c>
      <x:c r="U1391" s="40" t="n">
        <x:f>E1391*Assumptions!$B$8</x:f>
        <x:v>1644.75</x:v>
      </x:c>
      <x:c r="V1391" s="40" t="n">
        <x:f>P1391*Assumptions!$B$8</x:f>
        <x:v>1509.7828884191804</x:v>
      </x:c>
      <x:c r="W1391" s="54" t="n">
        <x:f>V1391-U1391</x:f>
        <x:v>-134.96711158081962</x:v>
      </x:c>
      <x:c r="X1391" s="58" t="n">
        <x:f>IF(R1391="No","",W1391*S1391)</x:f>
        <x:v>-2741991.838875931</x:v>
      </x:c>
      <x:c r="Y1391" s="58" t="n">
        <x:f>IF(R1391="No","",W1391*T1391*Assumptions!$B$9)</x:f>
        <x:v>-423081.4046723952</x:v>
      </x:c>
      <x:c r="Z1391" s="58" t="n">
        <x:f>IF(R1391="No","",X1391-Y1391)</x:f>
        <x:v>-2318910.4342035362</x:v>
      </x:c>
      <x:c r="AA1391" s="58" t="n">
        <x:f>IF(R1391="No","",MAX(0,-Z1391))</x:f>
        <x:v>2318910.4342035362</x:v>
      </x:c>
      <x:c r="AB1391" s="52" t="n">
        <x:f>IF(OR(R1391="No",U1391*S1391=0),"",AA1391/(U1391*S1391))</x:f>
        <x:v>0.06939782756968059</x:v>
      </x:c>
      <x:c r="AC1391" s="54" t="n">
        <x:f>IF(OR(R1391="No",S1391-T1391*Assumptions!$B$9&lt;=0),"",AA1391/(Assumptions!$B$8*(S1391-T1391*Assumptions!$B$9)))</x:f>
        <x:v>158.78483715390544</x:v>
      </x:c>
      <x:c r="AD1391" s="52" t="n">
        <x:f>IF(OR(R1391="No",U1391*S1391=0),"",AA1391/(U1391*S1391))</x:f>
        <x:v>0.06939782756968059</x:v>
      </x:c>
      <x:c r="AE1391" s="50" t="str">
        <x:f>IF(R1391="No","No finance data",IF(AB1391&gt;=10%,"Severe",IF(AB1391&gt;=5%,"High",IF(AB1391&gt;=2%,"Moderate","Low"))))</x:f>
        <x:v>High</x:v>
      </x:c>
      <x:c r="AF1391" s="60" t="n">
        <x:v>40.19774</x:v>
      </x:c>
      <x:c r="AG1391" s="60" t="n">
        <x:v>-75.237224</x:v>
      </x:c>
      <x:c r="AH1391" s="44" t="str">
        <x:v>Undergraduate tuition-contribution proxy only; not an audited total institutional budget.</x:v>
      </x:c>
    </x:row>
    <x:row r="1392">
      <x:c r="A1392" s="16" t="n">
        <x:v>446640</x:v>
      </x:c>
      <x:c r="B1392" s="16" t="str">
        <x:v>Harrisburg University of Science and Technology</x:v>
      </x:c>
      <x:c r="C1392" s="16" t="str">
        <x:v>PA</x:v>
      </x:c>
      <x:c r="D1392" s="16" t="str">
        <x:v>Private nonprofit</x:v>
      </x:c>
      <x:c r="E1392" s="34" t="n">
        <x:v>351</x:v>
      </x:c>
      <x:c r="F1392" s="21"/>
      <x:c r="G1392" s="16" t="str">
        <x:v>Regional</x:v>
      </x:c>
      <x:c r="H1392" s="36" t="n">
        <x:f>IF(G1392="National",Assumptions!$B$11,IF(G1392="Statewide",Assumptions!$B$12,Assumptions!$B$13))</x:f>
        <x:v>0.85</x:v>
      </x:c>
      <x:c r="I1392" s="21" t="n">
        <x:v>-0.07201174532693544</x:v>
      </x:c>
      <x:c r="J1392" s="21" t="n">
        <x:v>-0.08817589343264343</x:v>
      </x:c>
      <x:c r="K1392" s="21" t="n">
        <x:v>-0.16258683663969065</x:v>
      </x:c>
      <x:c r="L1392" s="36" t="n">
        <x:f>IF(Assumptions!$B$4=2030,I1392,IF(Assumptions!$B$4=2035,J1392,K1392))</x:f>
        <x:v>-0.08817589343264343</x:v>
      </x:c>
      <x:c r="M1392" s="36" t="n">
        <x:f>Assumptions!$B$19</x:f>
        <x:v>-0.04739891965741583</x:v>
      </x:c>
      <x:c r="N1392" s="52" t="n">
        <x:f>H1392*L1392+(1-H1392)*M1392+O1392</x:f>
        <x:v>-0.08205934736635928</x:v>
      </x:c>
      <x:c r="O1392" s="36" t="n">
        <x:f>Assumptions!$B$10</x:f>
        <x:v>0</x:v>
      </x:c>
      <x:c r="P1392" s="54" t="n">
        <x:f>E1392*(1+N1392)</x:f>
        <x:v>322.1971690744079</x:v>
      </x:c>
      <x:c r="Q1392" s="54" t="n">
        <x:f>P1392-E1392</x:f>
        <x:v>-28.802830925592104</x:v>
      </x:c>
      <x:c r="R1392" s="16" t="str">
        <x:v>Yes</x:v>
      </x:c>
      <x:c r="S1392" s="56" t="n">
        <x:v>17220</x:v>
      </x:c>
      <x:c r="T1392" s="56" t="n">
        <x:v>9028</x:v>
      </x:c>
      <x:c r="U1392" s="40" t="n">
        <x:f>E1392*Assumptions!$B$8</x:f>
        <x:v>298.34999999999997</x:v>
      </x:c>
      <x:c r="V1392" s="40" t="n">
        <x:f>P1392*Assumptions!$B$8</x:f>
        <x:v>273.8675937132467</x:v>
      </x:c>
      <x:c r="W1392" s="54" t="n">
        <x:f>V1392-U1392</x:f>
        <x:v>-24.482406286753246</x:v>
      </x:c>
      <x:c r="X1392" s="58" t="n">
        <x:f>IF(R1392="No","",W1392*S1392)</x:f>
        <x:v>-421587.0362578909</x:v>
      </x:c>
      <x:c r="Y1392" s="58" t="n">
        <x:f>IF(R1392="No","",W1392*T1392*Assumptions!$B$9)</x:f>
        <x:v>-66308.1491870425</x:v>
      </x:c>
      <x:c r="Z1392" s="58" t="n">
        <x:f>IF(R1392="No","",X1392-Y1392)</x:f>
        <x:v>-355278.88707084843</x:v>
      </x:c>
      <x:c r="AA1392" s="58" t="n">
        <x:f>IF(R1392="No","",MAX(0,-Z1392))</x:f>
        <x:v>355278.88707084843</x:v>
      </x:c>
      <x:c r="AB1392" s="52" t="n">
        <x:f>IF(OR(R1392="No",U1392*S1392=0),"",AA1392/(U1392*S1392))</x:f>
        <x:v>0.06915287022309277</x:v>
      </x:c>
      <x:c r="AC1392" s="54" t="n">
        <x:f>IF(OR(R1392="No",S1392-T1392*Assumptions!$B$9&lt;=0),"",AA1392/(Assumptions!$B$8*(S1392-T1392*Assumptions!$B$9)))</x:f>
        <x:v>28.802830925592055</x:v>
      </x:c>
      <x:c r="AD1392" s="52" t="n">
        <x:f>IF(OR(R1392="No",U1392*S1392=0),"",AA1392/(U1392*S1392))</x:f>
        <x:v>0.06915287022309277</x:v>
      </x:c>
      <x:c r="AE1392" s="50" t="str">
        <x:f>IF(R1392="No","No finance data",IF(AB1392&gt;=10%,"Severe",IF(AB1392&gt;=5%,"High",IF(AB1392&gt;=2%,"Moderate","Low"))))</x:f>
        <x:v>High</x:v>
      </x:c>
      <x:c r="AF1392" s="60" t="n">
        <x:v>40.26193</x:v>
      </x:c>
      <x:c r="AG1392" s="60" t="n">
        <x:v>-76.880261</x:v>
      </x:c>
      <x:c r="AH1392" s="44" t="str">
        <x:v>Undergraduate tuition-contribution proxy only; not an audited total institutional budget.</x:v>
      </x:c>
    </x:row>
    <x:row r="1393">
      <x:c r="A1393" s="16" t="n">
        <x:v>212911</x:v>
      </x:c>
      <x:c r="B1393" s="16" t="str">
        <x:v>Haverford College</x:v>
      </x:c>
      <x:c r="C1393" s="16" t="str">
        <x:v>PA</x:v>
      </x:c>
      <x:c r="D1393" s="16" t="str">
        <x:v>Private nonprofit</x:v>
      </x:c>
      <x:c r="E1393" s="34" t="n">
        <x:v>1229</x:v>
      </x:c>
      <x:c r="F1393" s="21" t="n">
        <x:v>0.1784</x:v>
      </x:c>
      <x:c r="G1393" s="16" t="str">
        <x:v>National</x:v>
      </x:c>
      <x:c r="H1393" s="36" t="n">
        <x:f>IF(G1393="National",Assumptions!$B$11,IF(G1393="Statewide",Assumptions!$B$12,Assumptions!$B$13))</x:f>
        <x:v>0.25</x:v>
      </x:c>
      <x:c r="I1393" s="21" t="n">
        <x:v>-0.07201174532693544</x:v>
      </x:c>
      <x:c r="J1393" s="21" t="n">
        <x:v>-0.08817589343264343</x:v>
      </x:c>
      <x:c r="K1393" s="21" t="n">
        <x:v>-0.16258683663969065</x:v>
      </x:c>
      <x:c r="L1393" s="36" t="n">
        <x:f>IF(Assumptions!$B$4=2030,I1393,IF(Assumptions!$B$4=2035,J1393,K1393))</x:f>
        <x:v>-0.08817589343264343</x:v>
      </x:c>
      <x:c r="M1393" s="36" t="n">
        <x:f>Assumptions!$B$19</x:f>
        <x:v>-0.04739891965741583</x:v>
      </x:c>
      <x:c r="N1393" s="52" t="n">
        <x:f>H1393*L1393+(1-H1393)*M1393+O1393</x:f>
        <x:v>-0.05759316310122273</x:v>
      </x:c>
      <x:c r="O1393" s="36" t="n">
        <x:f>Assumptions!$B$10</x:f>
        <x:v>0</x:v>
      </x:c>
      <x:c r="P1393" s="54" t="n">
        <x:f>E1393*(1+N1393)</x:f>
        <x:v>1158.2180025485973</x:v>
      </x:c>
      <x:c r="Q1393" s="54" t="n">
        <x:f>P1393-E1393</x:f>
        <x:v>-70.78199745140273</x:v>
      </x:c>
      <x:c r="R1393" s="16" t="str">
        <x:v>Yes</x:v>
      </x:c>
      <x:c r="S1393" s="56" t="n">
        <x:v>35266</x:v>
      </x:c>
      <x:c r="T1393" s="56" t="n">
        <x:v>25847</x:v>
      </x:c>
      <x:c r="U1393" s="40" t="n">
        <x:f>E1393*Assumptions!$B$8</x:f>
        <x:v>1044.6499999999999</x:v>
      </x:c>
      <x:c r="V1393" s="40" t="n">
        <x:f>P1393*Assumptions!$B$8</x:f>
        <x:v>984.4853021663076</x:v>
      </x:c>
      <x:c r="W1393" s="54" t="n">
        <x:f>V1393-U1393</x:f>
        <x:v>-60.16469783369223</x:v>
      </x:c>
      <x:c r="X1393" s="58" t="n">
        <x:f>IF(R1393="No","",W1393*S1393)</x:f>
        <x:v>-2121768.23380299</x:v>
      </x:c>
      <x:c r="Y1393" s="58" t="n">
        <x:f>IF(R1393="No","",W1393*T1393*Assumptions!$B$9)</x:f>
        <x:v>-466523.0834722329</x:v>
      </x:c>
      <x:c r="Z1393" s="58" t="n">
        <x:f>IF(R1393="No","",X1393-Y1393)</x:f>
        <x:v>-1655245.1503307573</x:v>
      </x:c>
      <x:c r="AA1393" s="58" t="n">
        <x:f>IF(R1393="No","",MAX(0,-Z1393))</x:f>
        <x:v>1655245.1503307573</x:v>
      </x:c>
      <x:c r="AB1393" s="52" t="n">
        <x:f>IF(OR(R1393="No",U1393*S1393=0),"",AA1393/(U1393*S1393))</x:f>
        <x:v>0.04492988555335244</x:v>
      </x:c>
      <x:c r="AC1393" s="54" t="n">
        <x:f>IF(OR(R1393="No",S1393-T1393*Assumptions!$B$9&lt;=0),"",AA1393/(Assumptions!$B$8*(S1393-T1393*Assumptions!$B$9)))</x:f>
        <x:v>70.78199745140262</x:v>
      </x:c>
      <x:c r="AD1393" s="52" t="n">
        <x:f>IF(OR(R1393="No",U1393*S1393=0),"",AA1393/(U1393*S1393))</x:f>
        <x:v>0.04492988555335244</x:v>
      </x:c>
      <x:c r="AE1393" s="50" t="str">
        <x:f>IF(R1393="No","No finance data",IF(AB1393&gt;=10%,"Severe",IF(AB1393&gt;=5%,"High",IF(AB1393&gt;=2%,"Moderate","Low"))))</x:f>
        <x:v>Moderate</x:v>
      </x:c>
      <x:c r="AF1393" s="60" t="n">
        <x:v>40.007452</x:v>
      </x:c>
      <x:c r="AG1393" s="60" t="n">
        <x:v>-75.305207</x:v>
      </x:c>
      <x:c r="AH1393" s="44" t="str">
        <x:v>Undergraduate tuition-contribution proxy only; not an audited total institutional budget.</x:v>
      </x:c>
    </x:row>
    <x:row r="1394">
      <x:c r="A1394" s="16" t="n">
        <x:v>212984</x:v>
      </x:c>
      <x:c r="B1394" s="16" t="str">
        <x:v>Holy Family University</x:v>
      </x:c>
      <x:c r="C1394" s="16" t="str">
        <x:v>PA</x:v>
      </x:c>
      <x:c r="D1394" s="16" t="str">
        <x:v>Private nonprofit</x:v>
      </x:c>
      <x:c r="E1394" s="34" t="n">
        <x:v>1824</x:v>
      </x:c>
      <x:c r="F1394" s="21" t="n">
        <x:v>0.7703</x:v>
      </x:c>
      <x:c r="G1394" s="16" t="str">
        <x:v>Regional</x:v>
      </x:c>
      <x:c r="H1394" s="36" t="n">
        <x:f>IF(G1394="National",Assumptions!$B$11,IF(G1394="Statewide",Assumptions!$B$12,Assumptions!$B$13))</x:f>
        <x:v>0.85</x:v>
      </x:c>
      <x:c r="I1394" s="21" t="n">
        <x:v>-0.07201174532693544</x:v>
      </x:c>
      <x:c r="J1394" s="21" t="n">
        <x:v>-0.08817589343264343</x:v>
      </x:c>
      <x:c r="K1394" s="21" t="n">
        <x:v>-0.16258683663969065</x:v>
      </x:c>
      <x:c r="L1394" s="36" t="n">
        <x:f>IF(Assumptions!$B$4=2030,I1394,IF(Assumptions!$B$4=2035,J1394,K1394))</x:f>
        <x:v>-0.08817589343264343</x:v>
      </x:c>
      <x:c r="M1394" s="36" t="n">
        <x:f>Assumptions!$B$19</x:f>
        <x:v>-0.04739891965741583</x:v>
      </x:c>
      <x:c r="N1394" s="52" t="n">
        <x:f>H1394*L1394+(1-H1394)*M1394+O1394</x:f>
        <x:v>-0.08205934736635928</x:v>
      </x:c>
      <x:c r="O1394" s="36" t="n">
        <x:f>Assumptions!$B$10</x:f>
        <x:v>0</x:v>
      </x:c>
      <x:c r="P1394" s="54" t="n">
        <x:f>E1394*(1+N1394)</x:f>
        <x:v>1674.3237504037606</x:v>
      </x:c>
      <x:c r="Q1394" s="54" t="n">
        <x:f>P1394-E1394</x:f>
        <x:v>-149.67624959623936</x:v>
      </x:c>
      <x:c r="R1394" s="16" t="str">
        <x:v>Yes</x:v>
      </x:c>
      <x:c r="S1394" s="56" t="n">
        <x:v>16514</x:v>
      </x:c>
      <x:c r="T1394" s="56" t="n">
        <x:v>8466</x:v>
      </x:c>
      <x:c r="U1394" s="40" t="n">
        <x:f>E1394*Assumptions!$B$8</x:f>
        <x:v>1550.3999999999999</x:v>
      </x:c>
      <x:c r="V1394" s="40" t="n">
        <x:f>P1394*Assumptions!$B$8</x:f>
        <x:v>1423.1751878431965</x:v>
      </x:c>
      <x:c r="W1394" s="54" t="n">
        <x:f>V1394-U1394</x:f>
        <x:v>-127.22481215680341</x:v>
      </x:c>
      <x:c r="X1394" s="58" t="n">
        <x:f>IF(R1394="No","",W1394*S1394)</x:f>
        <x:v>-2100990.5479574515</x:v>
      </x:c>
      <x:c r="Y1394" s="58" t="n">
        <x:f>IF(R1394="No","",W1394*T1394*Assumptions!$B$9)</x:f>
        <x:v>-323125.57791584934</x:v>
      </x:c>
      <x:c r="Z1394" s="58" t="n">
        <x:f>IF(R1394="No","",X1394-Y1394)</x:f>
        <x:v>-1777864.9700416022</x:v>
      </x:c>
      <x:c r="AA1394" s="58" t="n">
        <x:f>IF(R1394="No","",MAX(0,-Z1394))</x:f>
        <x:v>1777864.9700416022</x:v>
      </x:c>
      <x:c r="AB1394" s="52" t="n">
        <x:f>IF(OR(R1394="No",U1394*S1394=0),"",AA1394/(U1394*S1394))</x:f>
        <x:v>0.06943888409634115</x:v>
      </x:c>
      <x:c r="AC1394" s="54" t="n">
        <x:f>IF(OR(R1394="No",S1394-T1394*Assumptions!$B$9&lt;=0),"",AA1394/(Assumptions!$B$8*(S1394-T1394*Assumptions!$B$9)))</x:f>
        <x:v>149.6762495962393</x:v>
      </x:c>
      <x:c r="AD1394" s="52" t="n">
        <x:f>IF(OR(R1394="No",U1394*S1394=0),"",AA1394/(U1394*S1394))</x:f>
        <x:v>0.06943888409634115</x:v>
      </x:c>
      <x:c r="AE1394" s="50" t="str">
        <x:f>IF(R1394="No","No finance data",IF(AB1394&gt;=10%,"Severe",IF(AB1394&gt;=5%,"High",IF(AB1394&gt;=2%,"Moderate","Low"))))</x:f>
        <x:v>High</x:v>
      </x:c>
      <x:c r="AF1394" s="60" t="n">
        <x:v>40.060581</x:v>
      </x:c>
      <x:c r="AG1394" s="60" t="n">
        <x:v>-74.986451</x:v>
      </x:c>
      <x:c r="AH1394" s="44" t="str">
        <x:v>Undergraduate tuition-contribution proxy only; not an audited total institutional budget.</x:v>
      </x:c>
    </x:row>
    <x:row r="1395">
      <x:c r="A1395" s="16" t="n">
        <x:v>213011</x:v>
      </x:c>
      <x:c r="B1395" s="16" t="str">
        <x:v>Immaculata University</x:v>
      </x:c>
      <x:c r="C1395" s="16" t="str">
        <x:v>PA</x:v>
      </x:c>
      <x:c r="D1395" s="16" t="str">
        <x:v>Private nonprofit</x:v>
      </x:c>
      <x:c r="E1395" s="34" t="n">
        <x:v>1693</x:v>
      </x:c>
      <x:c r="F1395" s="21" t="n">
        <x:v>0.7958</x:v>
      </x:c>
      <x:c r="G1395" s="16" t="str">
        <x:v>Regional</x:v>
      </x:c>
      <x:c r="H1395" s="36" t="n">
        <x:f>IF(G1395="National",Assumptions!$B$11,IF(G1395="Statewide",Assumptions!$B$12,Assumptions!$B$13))</x:f>
        <x:v>0.85</x:v>
      </x:c>
      <x:c r="I1395" s="21" t="n">
        <x:v>-0.07201174532693544</x:v>
      </x:c>
      <x:c r="J1395" s="21" t="n">
        <x:v>-0.08817589343264343</x:v>
      </x:c>
      <x:c r="K1395" s="21" t="n">
        <x:v>-0.16258683663969065</x:v>
      </x:c>
      <x:c r="L1395" s="36" t="n">
        <x:f>IF(Assumptions!$B$4=2030,I1395,IF(Assumptions!$B$4=2035,J1395,K1395))</x:f>
        <x:v>-0.08817589343264343</x:v>
      </x:c>
      <x:c r="M1395" s="36" t="n">
        <x:f>Assumptions!$B$19</x:f>
        <x:v>-0.04739891965741583</x:v>
      </x:c>
      <x:c r="N1395" s="52" t="n">
        <x:f>H1395*L1395+(1-H1395)*M1395+O1395</x:f>
        <x:v>-0.08205934736635928</x:v>
      </x:c>
      <x:c r="O1395" s="36" t="n">
        <x:f>Assumptions!$B$10</x:f>
        <x:v>0</x:v>
      </x:c>
      <x:c r="P1395" s="54" t="n">
        <x:f>E1395*(1+N1395)</x:f>
        <x:v>1554.0735249087536</x:v>
      </x:c>
      <x:c r="Q1395" s="54" t="n">
        <x:f>P1395-E1395</x:f>
        <x:v>-138.9264750912464</x:v>
      </x:c>
      <x:c r="R1395" s="16" t="str">
        <x:v>Yes</x:v>
      </x:c>
      <x:c r="S1395" s="56" t="n">
        <x:v>13308</x:v>
      </x:c>
      <x:c r="T1395" s="56" t="n">
        <x:v>5820</x:v>
      </x:c>
      <x:c r="U1395" s="40" t="n">
        <x:f>E1395*Assumptions!$B$8</x:f>
        <x:v>1439.05</x:v>
      </x:c>
      <x:c r="V1395" s="40" t="n">
        <x:f>P1395*Assumptions!$B$8</x:f>
        <x:v>1320.9624961724405</x:v>
      </x:c>
      <x:c r="W1395" s="54" t="n">
        <x:f>V1395-U1395</x:f>
        <x:v>-118.08750382755943</x:v>
      </x:c>
      <x:c r="X1395" s="58" t="n">
        <x:f>IF(R1395="No","",W1395*S1395)</x:f>
        <x:v>-1571508.5009371608</x:v>
      </x:c>
      <x:c r="Y1395" s="58" t="n">
        <x:f>IF(R1395="No","",W1395*T1395*Assumptions!$B$9)</x:f>
        <x:v>-206180.78168291878</x:v>
      </x:c>
      <x:c r="Z1395" s="58" t="n">
        <x:f>IF(R1395="No","",X1395-Y1395)</x:f>
        <x:v>-1365327.719254242</x:v>
      </x:c>
      <x:c r="AA1395" s="58" t="n">
        <x:f>IF(R1395="No","",MAX(0,-Z1395))</x:f>
        <x:v>1365327.719254242</x:v>
      </x:c>
      <x:c r="AB1395" s="52" t="n">
        <x:f>IF(OR(R1395="No",U1395*S1395=0),"",AA1395/(U1395*S1395))</x:f>
        <x:v>0.071293220187094</x:v>
      </x:c>
      <x:c r="AC1395" s="54" t="n">
        <x:f>IF(OR(R1395="No",S1395-T1395*Assumptions!$B$9&lt;=0),"",AA1395/(Assumptions!$B$8*(S1395-T1395*Assumptions!$B$9)))</x:f>
        <x:v>138.9264750912464</x:v>
      </x:c>
      <x:c r="AD1395" s="52" t="n">
        <x:f>IF(OR(R1395="No",U1395*S1395=0),"",AA1395/(U1395*S1395))</x:f>
        <x:v>0.071293220187094</x:v>
      </x:c>
      <x:c r="AE1395" s="50" t="str">
        <x:f>IF(R1395="No","No finance data",IF(AB1395&gt;=10%,"Severe",IF(AB1395&gt;=5%,"High",IF(AB1395&gt;=2%,"Moderate","Low"))))</x:f>
        <x:v>High</x:v>
      </x:c>
      <x:c r="AF1395" s="60" t="n">
        <x:v>40.027981</x:v>
      </x:c>
      <x:c r="AG1395" s="60" t="n">
        <x:v>-75.570711</x:v>
      </x:c>
      <x:c r="AH1395" s="44" t="str">
        <x:v>Undergraduate tuition-contribution proxy only; not an audited total institutional budget.</x:v>
      </x:c>
    </x:row>
    <x:row r="1396">
      <x:c r="A1396" s="16" t="n">
        <x:v>213020</x:v>
      </x:c>
      <x:c r="B1396" s="16" t="str">
        <x:v>Indiana University of Pennsylvania-Main Campus</x:v>
      </x:c>
      <x:c r="C1396" s="16" t="str">
        <x:v>PA</x:v>
      </x:c>
      <x:c r="D1396" s="16" t="str">
        <x:v>Public</x:v>
      </x:c>
      <x:c r="E1396" s="34" t="n">
        <x:v>11297</x:v>
      </x:c>
      <x:c r="F1396" s="21" t="n">
        <x:v>0.942</x:v>
      </x:c>
      <x:c r="G1396" s="16" t="str">
        <x:v>Statewide</x:v>
      </x:c>
      <x:c r="H1396" s="36" t="n">
        <x:f>IF(G1396="National",Assumptions!$B$11,IF(G1396="Statewide",Assumptions!$B$12,Assumptions!$B$13))</x:f>
        <x:v>0.6</x:v>
      </x:c>
      <x:c r="I1396" s="21" t="n">
        <x:v>-0.07201174532693544</x:v>
      </x:c>
      <x:c r="J1396" s="21" t="n">
        <x:v>-0.08817589343264343</x:v>
      </x:c>
      <x:c r="K1396" s="21" t="n">
        <x:v>-0.16258683663969065</x:v>
      </x:c>
      <x:c r="L1396" s="36" t="n">
        <x:f>IF(Assumptions!$B$4=2030,I1396,IF(Assumptions!$B$4=2035,J1396,K1396))</x:f>
        <x:v>-0.08817589343264343</x:v>
      </x:c>
      <x:c r="M1396" s="36" t="n">
        <x:f>Assumptions!$B$19</x:f>
        <x:v>-0.04739891965741583</x:v>
      </x:c>
      <x:c r="N1396" s="52" t="n">
        <x:f>H1396*L1396+(1-H1396)*M1396+O1396</x:f>
        <x:v>-0.07186510392255238</x:v>
      </x:c>
      <x:c r="O1396" s="36" t="n">
        <x:f>Assumptions!$B$10</x:f>
        <x:v>0</x:v>
      </x:c>
      <x:c r="P1396" s="54" t="n">
        <x:f>E1396*(1+N1396)</x:f>
        <x:v>10485.139920986925</x:v>
      </x:c>
      <x:c r="Q1396" s="54" t="n">
        <x:f>P1396-E1396</x:f>
        <x:v>-811.8600790130749</x:v>
      </x:c>
      <x:c r="R1396" s="16" t="str">
        <x:v>Yes</x:v>
      </x:c>
      <x:c r="S1396" s="56" t="n">
        <x:v>9545</x:v>
      </x:c>
      <x:c r="T1396" s="56" t="n">
        <x:v>10927</x:v>
      </x:c>
      <x:c r="U1396" s="40" t="n">
        <x:f>E1396*Assumptions!$B$8</x:f>
        <x:v>9602.449999999999</x:v>
      </x:c>
      <x:c r="V1396" s="40" t="n">
        <x:f>P1396*Assumptions!$B$8</x:f>
        <x:v>8912.368932838886</x:v>
      </x:c>
      <x:c r="W1396" s="54" t="n">
        <x:f>V1396-U1396</x:f>
        <x:v>-690.0810671611125</x:v>
      </x:c>
      <x:c r="X1396" s="58" t="n">
        <x:f>IF(R1396="No","",W1396*S1396)</x:f>
        <x:v>-6586823.786052819</x:v>
      </x:c>
      <x:c r="Y1396" s="58" t="n">
        <x:f>IF(R1396="No","",W1396*T1396*Assumptions!$B$9)</x:f>
        <x:v>-2262154.746260843</x:v>
      </x:c>
      <x:c r="Z1396" s="58" t="n">
        <x:f>IF(R1396="No","",X1396-Y1396)</x:f>
        <x:v>-4324669.039791977</x:v>
      </x:c>
      <x:c r="AA1396" s="58" t="n">
        <x:f>IF(R1396="No","",MAX(0,-Z1396))</x:f>
        <x:v>4324669.039791977</x:v>
      </x:c>
      <x:c r="AB1396" s="52" t="n">
        <x:f>IF(OR(R1396="No",U1396*S1396=0),"",AA1396/(U1396*S1396))</x:f>
        <x:v>0.047184014643503754</x:v>
      </x:c>
      <x:c r="AC1396" s="54" t="n">
        <x:f>IF(OR(R1396="No",S1396-T1396*Assumptions!$B$9&lt;=0),"",AA1396/(Assumptions!$B$8*(S1396-T1396*Assumptions!$B$9)))</x:f>
        <x:v>811.8600790130738</x:v>
      </x:c>
      <x:c r="AD1396" s="52" t="n">
        <x:f>IF(OR(R1396="No",U1396*S1396=0),"",AA1396/(U1396*S1396))</x:f>
        <x:v>0.047184014643503754</x:v>
      </x:c>
      <x:c r="AE1396" s="50" t="str">
        <x:f>IF(R1396="No","No finance data",IF(AB1396&gt;=10%,"Severe",IF(AB1396&gt;=5%,"High",IF(AB1396&gt;=2%,"Moderate","Low"))))</x:f>
        <x:v>Moderate</x:v>
      </x:c>
      <x:c r="AF1396" s="60" t="n">
        <x:v>40.617531</x:v>
      </x:c>
      <x:c r="AG1396" s="60" t="n">
        <x:v>-79.159332</x:v>
      </x:c>
      <x:c r="AH1396" s="44" t="str">
        <x:v>Undergraduate tuition-contribution proxy only; not an audited total institutional budget.</x:v>
      </x:c>
    </x:row>
    <x:row r="1397">
      <x:c r="A1397" s="16" t="n">
        <x:v>213251</x:v>
      </x:c>
      <x:c r="B1397" s="16" t="str">
        <x:v>Juniata College</x:v>
      </x:c>
      <x:c r="C1397" s="16" t="str">
        <x:v>PA</x:v>
      </x:c>
      <x:c r="D1397" s="16" t="str">
        <x:v>Private nonprofit</x:v>
      </x:c>
      <x:c r="E1397" s="34" t="n">
        <x:v>1470</x:v>
      </x:c>
      <x:c r="F1397" s="21" t="n">
        <x:v>0.7443</x:v>
      </x:c>
      <x:c r="G1397" s="16" t="str">
        <x:v>Regional</x:v>
      </x:c>
      <x:c r="H1397" s="36" t="n">
        <x:f>IF(G1397="National",Assumptions!$B$11,IF(G1397="Statewide",Assumptions!$B$12,Assumptions!$B$13))</x:f>
        <x:v>0.85</x:v>
      </x:c>
      <x:c r="I1397" s="21" t="n">
        <x:v>-0.07201174532693544</x:v>
      </x:c>
      <x:c r="J1397" s="21" t="n">
        <x:v>-0.08817589343264343</x:v>
      </x:c>
      <x:c r="K1397" s="21" t="n">
        <x:v>-0.16258683663969065</x:v>
      </x:c>
      <x:c r="L1397" s="36" t="n">
        <x:f>IF(Assumptions!$B$4=2030,I1397,IF(Assumptions!$B$4=2035,J1397,K1397))</x:f>
        <x:v>-0.08817589343264343</x:v>
      </x:c>
      <x:c r="M1397" s="36" t="n">
        <x:f>Assumptions!$B$19</x:f>
        <x:v>-0.04739891965741583</x:v>
      </x:c>
      <x:c r="N1397" s="52" t="n">
        <x:f>H1397*L1397+(1-H1397)*M1397+O1397</x:f>
        <x:v>-0.08205934736635928</x:v>
      </x:c>
      <x:c r="O1397" s="36" t="n">
        <x:f>Assumptions!$B$10</x:f>
        <x:v>0</x:v>
      </x:c>
      <x:c r="P1397" s="54" t="n">
        <x:f>E1397*(1+N1397)</x:f>
        <x:v>1349.3727593714518</x:v>
      </x:c>
      <x:c r="Q1397" s="54" t="n">
        <x:f>P1397-E1397</x:f>
        <x:v>-120.62724062854818</x:v>
      </x:c>
      <x:c r="R1397" s="16" t="str">
        <x:v>Yes</x:v>
      </x:c>
      <x:c r="S1397" s="56" t="n">
        <x:v>17940</x:v>
      </x:c>
      <x:c r="T1397" s="56" t="n">
        <x:v>13616</x:v>
      </x:c>
      <x:c r="U1397" s="40" t="n">
        <x:f>E1397*Assumptions!$B$8</x:f>
        <x:v>1249.5</x:v>
      </x:c>
      <x:c r="V1397" s="40" t="n">
        <x:f>P1397*Assumptions!$B$8</x:f>
        <x:v>1146.966845465734</x:v>
      </x:c>
      <x:c r="W1397" s="54" t="n">
        <x:f>V1397-U1397</x:f>
        <x:v>-102.53315453426603</x:v>
      </x:c>
      <x:c r="X1397" s="58" t="n">
        <x:f>IF(R1397="No","",W1397*S1397)</x:f>
        <x:v>-1839444.7923447327</x:v>
      </x:c>
      <x:c r="Y1397" s="58" t="n">
        <x:f>IF(R1397="No","",W1397*T1397*Assumptions!$B$9)</x:f>
        <x:v>-418827.4296415699</x:v>
      </x:c>
      <x:c r="Z1397" s="58" t="n">
        <x:f>IF(R1397="No","",X1397-Y1397)</x:f>
        <x:v>-1420617.3627031627</x:v>
      </x:c>
      <x:c r="AA1397" s="58" t="n">
        <x:f>IF(R1397="No","",MAX(0,-Z1397))</x:f>
        <x:v>1420617.3627031627</x:v>
      </x:c>
      <x:c r="AB1397" s="52" t="n">
        <x:f>IF(OR(R1397="No",U1397*S1397=0),"",AA1397/(U1397*S1397))</x:f>
        <x:v>0.06337506519678832</x:v>
      </x:c>
      <x:c r="AC1397" s="54" t="n">
        <x:f>IF(OR(R1397="No",S1397-T1397*Assumptions!$B$9&lt;=0),"",AA1397/(Assumptions!$B$8*(S1397-T1397*Assumptions!$B$9)))</x:f>
        <x:v>120.62724062854826</x:v>
      </x:c>
      <x:c r="AD1397" s="52" t="n">
        <x:f>IF(OR(R1397="No",U1397*S1397=0),"",AA1397/(U1397*S1397))</x:f>
        <x:v>0.06337506519678832</x:v>
      </x:c>
      <x:c r="AE1397" s="50" t="str">
        <x:f>IF(R1397="No","No finance data",IF(AB1397&gt;=10%,"Severe",IF(AB1397&gt;=5%,"High",IF(AB1397&gt;=2%,"Moderate","Low"))))</x:f>
        <x:v>High</x:v>
      </x:c>
      <x:c r="AF1397" s="60" t="n">
        <x:v>40.500523</x:v>
      </x:c>
      <x:c r="AG1397" s="60" t="n">
        <x:v>-78.017292</x:v>
      </x:c>
      <x:c r="AH1397" s="44" t="str">
        <x:v>Undergraduate tuition-contribution proxy only; not an audited total institutional budget.</x:v>
      </x:c>
    </x:row>
    <x:row r="1398">
      <x:c r="A1398" s="16" t="n">
        <x:v>213303</x:v>
      </x:c>
      <x:c r="B1398" s="16" t="str">
        <x:v>Keystone College</x:v>
      </x:c>
      <x:c r="C1398" s="16" t="str">
        <x:v>PA</x:v>
      </x:c>
      <x:c r="D1398" s="16" t="str">
        <x:v>Private nonprofit</x:v>
      </x:c>
      <x:c r="E1398" s="34" t="n">
        <x:v>1325</x:v>
      </x:c>
      <x:c r="F1398" s="21" t="n">
        <x:v>0.8215</x:v>
      </x:c>
      <x:c r="G1398" s="16" t="str">
        <x:v>Regional</x:v>
      </x:c>
      <x:c r="H1398" s="36" t="n">
        <x:f>IF(G1398="National",Assumptions!$B$11,IF(G1398="Statewide",Assumptions!$B$12,Assumptions!$B$13))</x:f>
        <x:v>0.85</x:v>
      </x:c>
      <x:c r="I1398" s="21" t="n">
        <x:v>-0.07201174532693544</x:v>
      </x:c>
      <x:c r="J1398" s="21" t="n">
        <x:v>-0.08817589343264343</x:v>
      </x:c>
      <x:c r="K1398" s="21" t="n">
        <x:v>-0.16258683663969065</x:v>
      </x:c>
      <x:c r="L1398" s="36" t="n">
        <x:f>IF(Assumptions!$B$4=2030,I1398,IF(Assumptions!$B$4=2035,J1398,K1398))</x:f>
        <x:v>-0.08817589343264343</x:v>
      </x:c>
      <x:c r="M1398" s="36" t="n">
        <x:f>Assumptions!$B$19</x:f>
        <x:v>-0.04739891965741583</x:v>
      </x:c>
      <x:c r="N1398" s="52" t="n">
        <x:f>H1398*L1398+(1-H1398)*M1398+O1398</x:f>
        <x:v>-0.08205934736635928</x:v>
      </x:c>
      <x:c r="O1398" s="36" t="n">
        <x:f>Assumptions!$B$10</x:f>
        <x:v>0</x:v>
      </x:c>
      <x:c r="P1398" s="54" t="n">
        <x:f>E1398*(1+N1398)</x:f>
        <x:v>1216.271364739574</x:v>
      </x:c>
      <x:c r="Q1398" s="54" t="n">
        <x:f>P1398-E1398</x:f>
        <x:v>-108.72863526042602</x:v>
      </x:c>
      <x:c r="R1398" s="16" t="str">
        <x:v>Yes</x:v>
      </x:c>
      <x:c r="S1398" s="56" t="n">
        <x:v>9341</x:v>
      </x:c>
      <x:c r="T1398" s="56" t="n">
        <x:v>5675</x:v>
      </x:c>
      <x:c r="U1398" s="40" t="n">
        <x:f>E1398*Assumptions!$B$8</x:f>
        <x:v>1126.25</x:v>
      </x:c>
      <x:c r="V1398" s="40" t="n">
        <x:f>P1398*Assumptions!$B$8</x:f>
        <x:v>1033.8306600286378</x:v>
      </x:c>
      <x:c r="W1398" s="54" t="n">
        <x:f>V1398-U1398</x:f>
        <x:v>-92.4193399713622</x:v>
      </x:c>
      <x:c r="X1398" s="58" t="n">
        <x:f>IF(R1398="No","",W1398*S1398)</x:f>
        <x:v>-863289.0546724944</x:v>
      </x:c>
      <x:c r="Y1398" s="58" t="n">
        <x:f>IF(R1398="No","",W1398*T1398*Assumptions!$B$9)</x:f>
        <x:v>-157343.92630124415</x:v>
      </x:c>
      <x:c r="Z1398" s="58" t="n">
        <x:f>IF(R1398="No","",X1398-Y1398)</x:f>
        <x:v>-705945.1283712502</x:v>
      </x:c>
      <x:c r="AA1398" s="58" t="n">
        <x:f>IF(R1398="No","",MAX(0,-Z1398))</x:f>
        <x:v>705945.1283712502</x:v>
      </x:c>
      <x:c r="AB1398" s="52" t="n">
        <x:f>IF(OR(R1398="No",U1398*S1398=0),"",AA1398/(U1398*S1398))</x:f>
        <x:v>0.06710312866480418</x:v>
      </x:c>
      <x:c r="AC1398" s="54" t="n">
        <x:f>IF(OR(R1398="No",S1398-T1398*Assumptions!$B$9&lt;=0),"",AA1398/(Assumptions!$B$8*(S1398-T1398*Assumptions!$B$9)))</x:f>
        <x:v>108.72863526042613</x:v>
      </x:c>
      <x:c r="AD1398" s="52" t="n">
        <x:f>IF(OR(R1398="No",U1398*S1398=0),"",AA1398/(U1398*S1398))</x:f>
        <x:v>0.06710312866480418</x:v>
      </x:c>
      <x:c r="AE1398" s="50" t="str">
        <x:f>IF(R1398="No","No finance data",IF(AB1398&gt;=10%,"Severe",IF(AB1398&gt;=5%,"High",IF(AB1398&gt;=2%,"Moderate","Low"))))</x:f>
        <x:v>High</x:v>
      </x:c>
      <x:c r="AF1398" s="60" t="n">
        <x:v>41.558969</x:v>
      </x:c>
      <x:c r="AG1398" s="60" t="n">
        <x:v>-75.777456</x:v>
      </x:c>
      <x:c r="AH1398" s="44" t="str">
        <x:v>Undergraduate tuition-contribution proxy only; not an audited total institutional budget.</x:v>
      </x:c>
    </x:row>
    <x:row r="1399">
      <x:c r="A1399" s="16" t="n">
        <x:v>213321</x:v>
      </x:c>
      <x:c r="B1399" s="16" t="str">
        <x:v>King's College</x:v>
      </x:c>
      <x:c r="C1399" s="16" t="str">
        <x:v>PA</x:v>
      </x:c>
      <x:c r="D1399" s="16" t="str">
        <x:v>Private nonprofit</x:v>
      </x:c>
      <x:c r="E1399" s="34" t="n">
        <x:v>1859</x:v>
      </x:c>
      <x:c r="F1399" s="21" t="n">
        <x:v>0.9584</x:v>
      </x:c>
      <x:c r="G1399" s="16" t="str">
        <x:v>Regional</x:v>
      </x:c>
      <x:c r="H1399" s="36" t="n">
        <x:f>IF(G1399="National",Assumptions!$B$11,IF(G1399="Statewide",Assumptions!$B$12,Assumptions!$B$13))</x:f>
        <x:v>0.85</x:v>
      </x:c>
      <x:c r="I1399" s="21" t="n">
        <x:v>-0.07201174532693544</x:v>
      </x:c>
      <x:c r="J1399" s="21" t="n">
        <x:v>-0.08817589343264343</x:v>
      </x:c>
      <x:c r="K1399" s="21" t="n">
        <x:v>-0.16258683663969065</x:v>
      </x:c>
      <x:c r="L1399" s="36" t="n">
        <x:f>IF(Assumptions!$B$4=2030,I1399,IF(Assumptions!$B$4=2035,J1399,K1399))</x:f>
        <x:v>-0.08817589343264343</x:v>
      </x:c>
      <x:c r="M1399" s="36" t="n">
        <x:f>Assumptions!$B$19</x:f>
        <x:v>-0.04739891965741583</x:v>
      </x:c>
      <x:c r="N1399" s="52" t="n">
        <x:f>H1399*L1399+(1-H1399)*M1399+O1399</x:f>
        <x:v>-0.08205934736635928</x:v>
      </x:c>
      <x:c r="O1399" s="36" t="n">
        <x:f>Assumptions!$B$10</x:f>
        <x:v>0</x:v>
      </x:c>
      <x:c r="P1399" s="54" t="n">
        <x:f>E1399*(1+N1399)</x:f>
        <x:v>1706.451673245938</x:v>
      </x:c>
      <x:c r="Q1399" s="54" t="n">
        <x:f>P1399-E1399</x:f>
        <x:v>-152.54832675406192</x:v>
      </x:c>
      <x:c r="R1399" s="16" t="str">
        <x:v>Yes</x:v>
      </x:c>
      <x:c r="S1399" s="56" t="n">
        <x:v>19067</x:v>
      </x:c>
      <x:c r="T1399" s="56" t="n">
        <x:v>10879</x:v>
      </x:c>
      <x:c r="U1399" s="40" t="n">
        <x:f>E1399*Assumptions!$B$8</x:f>
        <x:v>1580.1499999999999</x:v>
      </x:c>
      <x:c r="V1399" s="40" t="n">
        <x:f>P1399*Assumptions!$B$8</x:f>
        <x:v>1450.4839222590474</x:v>
      </x:c>
      <x:c r="W1399" s="54" t="n">
        <x:f>V1399-U1399</x:f>
        <x:v>-129.66607774095246</x:v>
      </x:c>
      <x:c r="X1399" s="58" t="n">
        <x:f>IF(R1399="No","",W1399*S1399)</x:f>
        <x:v>-2472343.1042867405</x:v>
      </x:c>
      <x:c r="Y1399" s="58" t="n">
        <x:f>IF(R1399="No","",W1399*T1399*Assumptions!$B$9)</x:f>
        <x:v>-423191.1779231465</x:v>
      </x:c>
      <x:c r="Z1399" s="58" t="n">
        <x:f>IF(R1399="No","",X1399-Y1399)</x:f>
        <x:v>-2049151.926363594</x:v>
      </x:c>
      <x:c r="AA1399" s="58" t="n">
        <x:f>IF(R1399="No","",MAX(0,-Z1399))</x:f>
        <x:v>2049151.926363594</x:v>
      </x:c>
      <x:c r="AB1399" s="52" t="n">
        <x:f>IF(OR(R1399="No",U1399*S1399=0),"",AA1399/(U1399*S1399))</x:f>
        <x:v>0.06801324194864342</x:v>
      </x:c>
      <x:c r="AC1399" s="54" t="n">
        <x:f>IF(OR(R1399="No",S1399-T1399*Assumptions!$B$9&lt;=0),"",AA1399/(Assumptions!$B$8*(S1399-T1399*Assumptions!$B$9)))</x:f>
        <x:v>152.54832675406172</x:v>
      </x:c>
      <x:c r="AD1399" s="52" t="n">
        <x:f>IF(OR(R1399="No",U1399*S1399=0),"",AA1399/(U1399*S1399))</x:f>
        <x:v>0.06801324194864342</x:v>
      </x:c>
      <x:c r="AE1399" s="50" t="str">
        <x:f>IF(R1399="No","No finance data",IF(AB1399&gt;=10%,"Severe",IF(AB1399&gt;=5%,"High",IF(AB1399&gt;=2%,"Moderate","Low"))))</x:f>
        <x:v>High</x:v>
      </x:c>
      <x:c r="AF1399" s="60" t="n">
        <x:v>41.250097</x:v>
      </x:c>
      <x:c r="AG1399" s="60" t="n">
        <x:v>-75.879822</x:v>
      </x:c>
      <x:c r="AH1399" s="44" t="str">
        <x:v>Undergraduate tuition-contribution proxy only; not an audited total institutional budget.</x:v>
      </x:c>
    </x:row>
    <x:row r="1400">
      <x:c r="A1400" s="16" t="n">
        <x:v>213349</x:v>
      </x:c>
      <x:c r="B1400" s="16" t="str">
        <x:v>Kutztown University of Pennsylvania</x:v>
      </x:c>
      <x:c r="C1400" s="16" t="str">
        <x:v>PA</x:v>
      </x:c>
      <x:c r="D1400" s="16" t="str">
        <x:v>Public</x:v>
      </x:c>
      <x:c r="E1400" s="34" t="n">
        <x:v>8244</x:v>
      </x:c>
      <x:c r="F1400" s="21" t="n">
        <x:v>0.9725</x:v>
      </x:c>
      <x:c r="G1400" s="16" t="str">
        <x:v>Statewide</x:v>
      </x:c>
      <x:c r="H1400" s="36" t="n">
        <x:f>IF(G1400="National",Assumptions!$B$11,IF(G1400="Statewide",Assumptions!$B$12,Assumptions!$B$13))</x:f>
        <x:v>0.6</x:v>
      </x:c>
      <x:c r="I1400" s="21" t="n">
        <x:v>-0.07201174532693544</x:v>
      </x:c>
      <x:c r="J1400" s="21" t="n">
        <x:v>-0.08817589343264343</x:v>
      </x:c>
      <x:c r="K1400" s="21" t="n">
        <x:v>-0.16258683663969065</x:v>
      </x:c>
      <x:c r="L1400" s="36" t="n">
        <x:f>IF(Assumptions!$B$4=2030,I1400,IF(Assumptions!$B$4=2035,J1400,K1400))</x:f>
        <x:v>-0.08817589343264343</x:v>
      </x:c>
      <x:c r="M1400" s="36" t="n">
        <x:f>Assumptions!$B$19</x:f>
        <x:v>-0.04739891965741583</x:v>
      </x:c>
      <x:c r="N1400" s="52" t="n">
        <x:f>H1400*L1400+(1-H1400)*M1400+O1400</x:f>
        <x:v>-0.07186510392255238</x:v>
      </x:c>
      <x:c r="O1400" s="36" t="n">
        <x:f>Assumptions!$B$10</x:f>
        <x:v>0</x:v>
      </x:c>
      <x:c r="P1400" s="54" t="n">
        <x:f>E1400*(1+N1400)</x:f>
        <x:v>7651.544083262478</x:v>
      </x:c>
      <x:c r="Q1400" s="54" t="n">
        <x:f>P1400-E1400</x:f>
        <x:v>-592.4559167375219</x:v>
      </x:c>
      <x:c r="R1400" s="16" t="str">
        <x:v>Yes</x:v>
      </x:c>
      <x:c r="S1400" s="56" t="n">
        <x:v>8583</x:v>
      </x:c>
      <x:c r="T1400" s="56" t="n">
        <x:v>9682</x:v>
      </x:c>
      <x:c r="U1400" s="40" t="n">
        <x:f>E1400*Assumptions!$B$8</x:f>
        <x:v>7007.4</x:v>
      </x:c>
      <x:c r="V1400" s="40" t="n">
        <x:f>P1400*Assumptions!$B$8</x:f>
        <x:v>6503.812470773106</x:v>
      </x:c>
      <x:c r="W1400" s="54" t="n">
        <x:f>V1400-U1400</x:f>
        <x:v>-503.5875292268938</x:v>
      </x:c>
      <x:c r="X1400" s="58" t="n">
        <x:f>IF(R1400="No","",W1400*S1400)</x:f>
        <x:v>-4322291.76335443</x:v>
      </x:c>
      <x:c r="Y1400" s="58" t="n">
        <x:f>IF(R1400="No","",W1400*T1400*Assumptions!$B$9)</x:f>
        <x:v>-1462720.3373924356</x:v>
      </x:c>
      <x:c r="Z1400" s="58" t="n">
        <x:f>IF(R1400="No","",X1400-Y1400)</x:f>
        <x:v>-2859571.4259619946</x:v>
      </x:c>
      <x:c r="AA1400" s="58" t="n">
        <x:f>IF(R1400="No","",MAX(0,-Z1400))</x:f>
        <x:v>2859571.4259619946</x:v>
      </x:c>
      <x:c r="AB1400" s="52" t="n">
        <x:f>IF(OR(R1400="No",U1400*S1400=0),"",AA1400/(U1400*S1400))</x:f>
        <x:v>0.047545008285427216</x:v>
      </x:c>
      <x:c r="AC1400" s="54" t="n">
        <x:f>IF(OR(R1400="No",S1400-T1400*Assumptions!$B$9&lt;=0),"",AA1400/(Assumptions!$B$8*(S1400-T1400*Assumptions!$B$9)))</x:f>
        <x:v>592.4559167375223</x:v>
      </x:c>
      <x:c r="AD1400" s="52" t="n">
        <x:f>IF(OR(R1400="No",U1400*S1400=0),"",AA1400/(U1400*S1400))</x:f>
        <x:v>0.047545008285427216</x:v>
      </x:c>
      <x:c r="AE1400" s="50" t="str">
        <x:f>IF(R1400="No","No finance data",IF(AB1400&gt;=10%,"Severe",IF(AB1400&gt;=5%,"High",IF(AB1400&gt;=2%,"Moderate","Low"))))</x:f>
        <x:v>Moderate</x:v>
      </x:c>
      <x:c r="AF1400" s="60" t="n">
        <x:v>40.513561</x:v>
      </x:c>
      <x:c r="AG1400" s="60" t="n">
        <x:v>-75.783933</x:v>
      </x:c>
      <x:c r="AH1400" s="44" t="str">
        <x:v>Undergraduate tuition-contribution proxy only; not an audited total institutional budget.</x:v>
      </x:c>
    </x:row>
    <x:row r="1401">
      <x:c r="A1401" s="16" t="n">
        <x:v>213358</x:v>
      </x:c>
      <x:c r="B1401" s="16" t="str">
        <x:v>La Roche College</x:v>
      </x:c>
      <x:c r="C1401" s="16" t="str">
        <x:v>PA</x:v>
      </x:c>
      <x:c r="D1401" s="16" t="str">
        <x:v>Private nonprofit</x:v>
      </x:c>
      <x:c r="E1401" s="34" t="n">
        <x:v>1359</x:v>
      </x:c>
      <x:c r="F1401" s="21" t="n">
        <x:v>0.9813</x:v>
      </x:c>
      <x:c r="G1401" s="16" t="str">
        <x:v>Regional</x:v>
      </x:c>
      <x:c r="H1401" s="36" t="n">
        <x:f>IF(G1401="National",Assumptions!$B$11,IF(G1401="Statewide",Assumptions!$B$12,Assumptions!$B$13))</x:f>
        <x:v>0.85</x:v>
      </x:c>
      <x:c r="I1401" s="21" t="n">
        <x:v>-0.07201174532693544</x:v>
      </x:c>
      <x:c r="J1401" s="21" t="n">
        <x:v>-0.08817589343264343</x:v>
      </x:c>
      <x:c r="K1401" s="21" t="n">
        <x:v>-0.16258683663969065</x:v>
      </x:c>
      <x:c r="L1401" s="36" t="n">
        <x:f>IF(Assumptions!$B$4=2030,I1401,IF(Assumptions!$B$4=2035,J1401,K1401))</x:f>
        <x:v>-0.08817589343264343</x:v>
      </x:c>
      <x:c r="M1401" s="36" t="n">
        <x:f>Assumptions!$B$19</x:f>
        <x:v>-0.04739891965741583</x:v>
      </x:c>
      <x:c r="N1401" s="52" t="n">
        <x:f>H1401*L1401+(1-H1401)*M1401+O1401</x:f>
        <x:v>-0.08205934736635928</x:v>
      </x:c>
      <x:c r="O1401" s="36" t="n">
        <x:f>Assumptions!$B$10</x:f>
        <x:v>0</x:v>
      </x:c>
      <x:c r="P1401" s="54" t="n">
        <x:f>E1401*(1+N1401)</x:f>
        <x:v>1247.4813469291178</x:v>
      </x:c>
      <x:c r="Q1401" s="54" t="n">
        <x:f>P1401-E1401</x:f>
        <x:v>-111.51865307088224</x:v>
      </x:c>
      <x:c r="R1401" s="16" t="str">
        <x:v>Yes</x:v>
      </x:c>
      <x:c r="S1401" s="56" t="n">
        <x:v>20433</x:v>
      </x:c>
      <x:c r="T1401" s="56" t="n">
        <x:v>10276</x:v>
      </x:c>
      <x:c r="U1401" s="40" t="n">
        <x:f>E1401*Assumptions!$B$8</x:f>
        <x:v>1155.1499999999999</x:v>
      </x:c>
      <x:c r="V1401" s="40" t="n">
        <x:f>P1401*Assumptions!$B$8</x:f>
        <x:v>1060.35914488975</x:v>
      </x:c>
      <x:c r="W1401" s="54" t="n">
        <x:f>V1401-U1401</x:f>
        <x:v>-94.79085511024982</x:v>
      </x:c>
      <x:c r="X1401" s="58" t="n">
        <x:f>IF(R1401="No","",W1401*S1401)</x:f>
        <x:v>-1936861.5424677345</x:v>
      </x:c>
      <x:c r="Y1401" s="58" t="n">
        <x:f>IF(R1401="No","",W1401*T1401*Assumptions!$B$9)</x:f>
        <x:v>-292221.24813387817</x:v>
      </x:c>
      <x:c r="Z1401" s="58" t="n">
        <x:f>IF(R1401="No","",X1401-Y1401)</x:f>
        <x:v>-1644640.2943338563</x:v>
      </x:c>
      <x:c r="AA1401" s="58" t="n">
        <x:f>IF(R1401="No","",MAX(0,-Z1401))</x:f>
        <x:v>1644640.2943338563</x:v>
      </x:c>
      <x:c r="AB1401" s="52" t="n">
        <x:f>IF(OR(R1401="No",U1401*S1401=0),"",AA1401/(U1401*S1401))</x:f>
        <x:v>0.06967875929505239</x:v>
      </x:c>
      <x:c r="AC1401" s="54" t="n">
        <x:f>IF(OR(R1401="No",S1401-T1401*Assumptions!$B$9&lt;=0),"",AA1401/(Assumptions!$B$8*(S1401-T1401*Assumptions!$B$9)))</x:f>
        <x:v>111.51865307088214</x:v>
      </x:c>
      <x:c r="AD1401" s="52" t="n">
        <x:f>IF(OR(R1401="No",U1401*S1401=0),"",AA1401/(U1401*S1401))</x:f>
        <x:v>0.06967875929505239</x:v>
      </x:c>
      <x:c r="AE1401" s="50" t="str">
        <x:f>IF(R1401="No","No finance data",IF(AB1401&gt;=10%,"Severe",IF(AB1401&gt;=5%,"High",IF(AB1401&gt;=2%,"Moderate","Low"))))</x:f>
        <x:v>High</x:v>
      </x:c>
      <x:c r="AF1401" s="60" t="n">
        <x:v>40.568615</x:v>
      </x:c>
      <x:c r="AG1401" s="60" t="n">
        <x:v>-80.014851</x:v>
      </x:c>
      <x:c r="AH1401" s="44" t="str">
        <x:v>Undergraduate tuition-contribution proxy only; not an audited total institutional budget.</x:v>
      </x:c>
    </x:row>
    <x:row r="1402">
      <x:c r="A1402" s="16" t="n">
        <x:v>213367</x:v>
      </x:c>
      <x:c r="B1402" s="16" t="str">
        <x:v>La Salle University</x:v>
      </x:c>
      <x:c r="C1402" s="16" t="str">
        <x:v>PA</x:v>
      </x:c>
      <x:c r="D1402" s="16" t="str">
        <x:v>Private nonprofit</x:v>
      </x:c>
      <x:c r="E1402" s="34" t="n">
        <x:v>3801</x:v>
      </x:c>
      <x:c r="F1402" s="21" t="n">
        <x:v>0.8135</x:v>
      </x:c>
      <x:c r="G1402" s="16" t="str">
        <x:v>Regional</x:v>
      </x:c>
      <x:c r="H1402" s="36" t="n">
        <x:f>IF(G1402="National",Assumptions!$B$11,IF(G1402="Statewide",Assumptions!$B$12,Assumptions!$B$13))</x:f>
        <x:v>0.85</x:v>
      </x:c>
      <x:c r="I1402" s="21" t="n">
        <x:v>-0.07201174532693544</x:v>
      </x:c>
      <x:c r="J1402" s="21" t="n">
        <x:v>-0.08817589343264343</x:v>
      </x:c>
      <x:c r="K1402" s="21" t="n">
        <x:v>-0.16258683663969065</x:v>
      </x:c>
      <x:c r="L1402" s="36" t="n">
        <x:f>IF(Assumptions!$B$4=2030,I1402,IF(Assumptions!$B$4=2035,J1402,K1402))</x:f>
        <x:v>-0.08817589343264343</x:v>
      </x:c>
      <x:c r="M1402" s="36" t="n">
        <x:f>Assumptions!$B$19</x:f>
        <x:v>-0.04739891965741583</x:v>
      </x:c>
      <x:c r="N1402" s="52" t="n">
        <x:f>H1402*L1402+(1-H1402)*M1402+O1402</x:f>
        <x:v>-0.08205934736635928</x:v>
      </x:c>
      <x:c r="O1402" s="36" t="n">
        <x:f>Assumptions!$B$10</x:f>
        <x:v>0</x:v>
      </x:c>
      <x:c r="P1402" s="54" t="n">
        <x:f>E1402*(1+N1402)</x:f>
        <x:v>3489.092420660468</x:v>
      </x:c>
      <x:c r="Q1402" s="54" t="n">
        <x:f>P1402-E1402</x:f>
        <x:v>-311.9075793395318</x:v>
      </x:c>
      <x:c r="R1402" s="16" t="str">
        <x:v>Yes</x:v>
      </x:c>
      <x:c r="S1402" s="56" t="n">
        <x:v>16659</x:v>
      </x:c>
      <x:c r="T1402" s="56" t="n">
        <x:v>8515</x:v>
      </x:c>
      <x:c r="U1402" s="40" t="n">
        <x:f>E1402*Assumptions!$B$8</x:f>
        <x:v>3230.85</x:v>
      </x:c>
      <x:c r="V1402" s="40" t="n">
        <x:f>P1402*Assumptions!$B$8</x:f>
        <x:v>2965.728557561398</x:v>
      </x:c>
      <x:c r="W1402" s="54" t="n">
        <x:f>V1402-U1402</x:f>
        <x:v>-265.1214424386021</x:v>
      </x:c>
      <x:c r="X1402" s="58" t="n">
        <x:f>IF(R1402="No","",W1402*S1402)</x:f>
        <x:v>-4416658.109584672</x:v>
      </x:c>
      <x:c r="Y1402" s="58" t="n">
        <x:f>IF(R1402="No","",W1402*T1402*Assumptions!$B$9)</x:f>
        <x:v>-677252.724709409</x:v>
      </x:c>
      <x:c r="Z1402" s="58" t="n">
        <x:f>IF(R1402="No","",X1402-Y1402)</x:f>
        <x:v>-3739405.384875263</x:v>
      </x:c>
      <x:c r="AA1402" s="58" t="n">
        <x:f>IF(R1402="No","",MAX(0,-Z1402))</x:f>
        <x:v>3739405.384875263</x:v>
      </x:c>
      <x:c r="AB1402" s="52" t="n">
        <x:f>IF(OR(R1402="No",U1402*S1402=0),"",AA1402/(U1402*S1402))</x:f>
        <x:v>0.0694763230043109</x:v>
      </x:c>
      <x:c r="AC1402" s="54" t="n">
        <x:f>IF(OR(R1402="No",S1402-T1402*Assumptions!$B$9&lt;=0),"",AA1402/(Assumptions!$B$8*(S1402-T1402*Assumptions!$B$9)))</x:f>
        <x:v>311.9075793395319</x:v>
      </x:c>
      <x:c r="AD1402" s="52" t="n">
        <x:f>IF(OR(R1402="No",U1402*S1402=0),"",AA1402/(U1402*S1402))</x:f>
        <x:v>0.0694763230043109</x:v>
      </x:c>
      <x:c r="AE1402" s="50" t="str">
        <x:f>IF(R1402="No","No finance data",IF(AB1402&gt;=10%,"Severe",IF(AB1402&gt;=5%,"High",IF(AB1402&gt;=2%,"Moderate","Low"))))</x:f>
        <x:v>High</x:v>
      </x:c>
      <x:c r="AF1402" s="60" t="n">
        <x:v>40.037979</x:v>
      </x:c>
      <x:c r="AG1402" s="60" t="n">
        <x:v>-75.153061</x:v>
      </x:c>
      <x:c r="AH1402" s="44" t="str">
        <x:v>Undergraduate tuition-contribution proxy only; not an audited total institutional budget.</x:v>
      </x:c>
    </x:row>
    <x:row r="1403">
      <x:c r="A1403" s="16" t="n">
        <x:v>213385</x:v>
      </x:c>
      <x:c r="B1403" s="16" t="str">
        <x:v>Lafayette College</x:v>
      </x:c>
      <x:c r="C1403" s="16" t="str">
        <x:v>PA</x:v>
      </x:c>
      <x:c r="D1403" s="16" t="str">
        <x:v>Private nonprofit</x:v>
      </x:c>
      <x:c r="E1403" s="34" t="n">
        <x:v>2505</x:v>
      </x:c>
      <x:c r="F1403" s="21" t="n">
        <x:v>0.4074</x:v>
      </x:c>
      <x:c r="G1403" s="16" t="str">
        <x:v>Regional</x:v>
      </x:c>
      <x:c r="H1403" s="36" t="n">
        <x:f>IF(G1403="National",Assumptions!$B$11,IF(G1403="Statewide",Assumptions!$B$12,Assumptions!$B$13))</x:f>
        <x:v>0.85</x:v>
      </x:c>
      <x:c r="I1403" s="21" t="n">
        <x:v>-0.07201174532693544</x:v>
      </x:c>
      <x:c r="J1403" s="21" t="n">
        <x:v>-0.08817589343264343</x:v>
      </x:c>
      <x:c r="K1403" s="21" t="n">
        <x:v>-0.16258683663969065</x:v>
      </x:c>
      <x:c r="L1403" s="36" t="n">
        <x:f>IF(Assumptions!$B$4=2030,I1403,IF(Assumptions!$B$4=2035,J1403,K1403))</x:f>
        <x:v>-0.08817589343264343</x:v>
      </x:c>
      <x:c r="M1403" s="36" t="n">
        <x:f>Assumptions!$B$19</x:f>
        <x:v>-0.04739891965741583</x:v>
      </x:c>
      <x:c r="N1403" s="52" t="n">
        <x:f>H1403*L1403+(1-H1403)*M1403+O1403</x:f>
        <x:v>-0.08205934736635928</x:v>
      </x:c>
      <x:c r="O1403" s="36" t="n">
        <x:f>Assumptions!$B$10</x:f>
        <x:v>0</x:v>
      </x:c>
      <x:c r="P1403" s="54" t="n">
        <x:f>E1403*(1+N1403)</x:f>
        <x:v>2299.44133484727</x:v>
      </x:c>
      <x:c r="Q1403" s="54" t="n">
        <x:f>P1403-E1403</x:f>
        <x:v>-205.5586651527301</x:v>
      </x:c>
      <x:c r="R1403" s="16" t="str">
        <x:v>Yes</x:v>
      </x:c>
      <x:c r="S1403" s="56" t="n">
        <x:v>31732</x:v>
      </x:c>
      <x:c r="T1403" s="56" t="n">
        <x:v>21151</x:v>
      </x:c>
      <x:c r="U1403" s="40" t="n">
        <x:f>E1403*Assumptions!$B$8</x:f>
        <x:v>2129.25</x:v>
      </x:c>
      <x:c r="V1403" s="40" t="n">
        <x:f>P1403*Assumptions!$B$8</x:f>
        <x:v>1954.5251346201794</x:v>
      </x:c>
      <x:c r="W1403" s="54" t="n">
        <x:f>V1403-U1403</x:f>
        <x:v>-174.72486537982059</x:v>
      </x:c>
      <x:c r="X1403" s="58" t="n">
        <x:f>IF(R1403="No","",W1403*S1403)</x:f>
        <x:v>-5544369.428232467</x:v>
      </x:c>
      <x:c r="Y1403" s="58" t="n">
        <x:f>IF(R1403="No","",W1403*T1403*Assumptions!$B$9)</x:f>
        <x:v>-1108681.6882945755</x:v>
      </x:c>
      <x:c r="Z1403" s="58" t="n">
        <x:f>IF(R1403="No","",X1403-Y1403)</x:f>
        <x:v>-4435687.739937891</x:v>
      </x:c>
      <x:c r="AA1403" s="58" t="n">
        <x:f>IF(R1403="No","",MAX(0,-Z1403))</x:f>
        <x:v>4435687.739937891</x:v>
      </x:c>
      <x:c r="AB1403" s="52" t="n">
        <x:f>IF(OR(R1403="No",U1403*S1403=0),"",AA1403/(U1403*S1403))</x:f>
        <x:v>0.06565032250679297</x:v>
      </x:c>
      <x:c r="AC1403" s="54" t="n">
        <x:f>IF(OR(R1403="No",S1403-T1403*Assumptions!$B$9&lt;=0),"",AA1403/(Assumptions!$B$8*(S1403-T1403*Assumptions!$B$9)))</x:f>
        <x:v>205.5586651527301</x:v>
      </x:c>
      <x:c r="AD1403" s="52" t="n">
        <x:f>IF(OR(R1403="No",U1403*S1403=0),"",AA1403/(U1403*S1403))</x:f>
        <x:v>0.06565032250679297</x:v>
      </x:c>
      <x:c r="AE1403" s="50" t="str">
        <x:f>IF(R1403="No","No finance data",IF(AB1403&gt;=10%,"Severe",IF(AB1403&gt;=5%,"High",IF(AB1403&gt;=2%,"Moderate","Low"))))</x:f>
        <x:v>High</x:v>
      </x:c>
      <x:c r="AF1403" s="60" t="n">
        <x:v>40.69956</x:v>
      </x:c>
      <x:c r="AG1403" s="60" t="n">
        <x:v>-75.209786</x:v>
      </x:c>
      <x:c r="AH1403" s="44" t="str">
        <x:v>Undergraduate tuition-contribution proxy only; not an audited total institutional budget.</x:v>
      </x:c>
    </x:row>
    <x:row r="1404">
      <x:c r="A1404" s="16" t="n">
        <x:v>213400</x:v>
      </x:c>
      <x:c r="B1404" s="16" t="str">
        <x:v>Lancaster Bible College</x:v>
      </x:c>
      <x:c r="C1404" s="16" t="str">
        <x:v>PA</x:v>
      </x:c>
      <x:c r="D1404" s="16" t="str">
        <x:v>Private nonprofit</x:v>
      </x:c>
      <x:c r="E1404" s="34" t="n">
        <x:v>1388</x:v>
      </x:c>
      <x:c r="F1404" s="21" t="n">
        <x:v>0.96</x:v>
      </x:c>
      <x:c r="G1404" s="16" t="str">
        <x:v>Regional</x:v>
      </x:c>
      <x:c r="H1404" s="36" t="n">
        <x:f>IF(G1404="National",Assumptions!$B$11,IF(G1404="Statewide",Assumptions!$B$12,Assumptions!$B$13))</x:f>
        <x:v>0.85</x:v>
      </x:c>
      <x:c r="I1404" s="21" t="n">
        <x:v>-0.07201174532693544</x:v>
      </x:c>
      <x:c r="J1404" s="21" t="n">
        <x:v>-0.08817589343264343</x:v>
      </x:c>
      <x:c r="K1404" s="21" t="n">
        <x:v>-0.16258683663969065</x:v>
      </x:c>
      <x:c r="L1404" s="36" t="n">
        <x:f>IF(Assumptions!$B$4=2030,I1404,IF(Assumptions!$B$4=2035,J1404,K1404))</x:f>
        <x:v>-0.08817589343264343</x:v>
      </x:c>
      <x:c r="M1404" s="36" t="n">
        <x:f>Assumptions!$B$19</x:f>
        <x:v>-0.04739891965741583</x:v>
      </x:c>
      <x:c r="N1404" s="52" t="n">
        <x:f>H1404*L1404+(1-H1404)*M1404+O1404</x:f>
        <x:v>-0.08205934736635928</x:v>
      </x:c>
      <x:c r="O1404" s="36" t="n">
        <x:f>Assumptions!$B$10</x:f>
        <x:v>0</x:v>
      </x:c>
      <x:c r="P1404" s="54" t="n">
        <x:f>E1404*(1+N1404)</x:f>
        <x:v>1274.1016258554932</x:v>
      </x:c>
      <x:c r="Q1404" s="54" t="n">
        <x:f>P1404-E1404</x:f>
        <x:v>-113.89837414450676</x:v>
      </x:c>
      <x:c r="R1404" s="16" t="str">
        <x:v>Yes</x:v>
      </x:c>
      <x:c r="S1404" s="56" t="n">
        <x:v>12816</x:v>
      </x:c>
      <x:c r="T1404" s="56" t="n">
        <x:v>6804</x:v>
      </x:c>
      <x:c r="U1404" s="40" t="n">
        <x:f>E1404*Assumptions!$B$8</x:f>
        <x:v>1179.8</x:v>
      </x:c>
      <x:c r="V1404" s="40" t="n">
        <x:f>P1404*Assumptions!$B$8</x:f>
        <x:v>1082.9863819771692</x:v>
      </x:c>
      <x:c r="W1404" s="54" t="n">
        <x:f>V1404-U1404</x:f>
        <x:v>-96.81361802283072</x:v>
      </x:c>
      <x:c r="X1404" s="58" t="n">
        <x:f>IF(R1404="No","",W1404*S1404)</x:f>
        <x:v>-1240763.3285805986</x:v>
      </x:c>
      <x:c r="Y1404" s="58" t="n">
        <x:f>IF(R1404="No","",W1404*T1404*Assumptions!$B$9)</x:f>
        <x:v>-197615.95710820207</x:v>
      </x:c>
      <x:c r="Z1404" s="58" t="n">
        <x:f>IF(R1404="No","",X1404-Y1404)</x:f>
        <x:v>-1043147.3714723965</x:v>
      </x:c>
      <x:c r="AA1404" s="58" t="n">
        <x:f>IF(R1404="No","",MAX(0,-Z1404))</x:f>
        <x:v>1043147.3714723965</x:v>
      </x:c>
      <x:c r="AB1404" s="52" t="n">
        <x:f>IF(OR(R1404="No",U1404*S1404=0),"",AA1404/(U1404*S1404))</x:f>
        <x:v>0.06898978277177345</x:v>
      </x:c>
      <x:c r="AC1404" s="54" t="n">
        <x:f>IF(OR(R1404="No",S1404-T1404*Assumptions!$B$9&lt;=0),"",AA1404/(Assumptions!$B$8*(S1404-T1404*Assumptions!$B$9)))</x:f>
        <x:v>113.89837414450675</x:v>
      </x:c>
      <x:c r="AD1404" s="52" t="n">
        <x:f>IF(OR(R1404="No",U1404*S1404=0),"",AA1404/(U1404*S1404))</x:f>
        <x:v>0.06898978277177345</x:v>
      </x:c>
      <x:c r="AE1404" s="50" t="str">
        <x:f>IF(R1404="No","No finance data",IF(AB1404&gt;=10%,"Severe",IF(AB1404&gt;=5%,"High",IF(AB1404&gt;=2%,"Moderate","Low"))))</x:f>
        <x:v>High</x:v>
      </x:c>
      <x:c r="AF1404" s="60" t="n">
        <x:v>40.075347</x:v>
      </x:c>
      <x:c r="AG1404" s="60" t="n">
        <x:v>-76.287761</x:v>
      </x:c>
      <x:c r="AH1404" s="44" t="str">
        <x:v>Undergraduate tuition-contribution proxy only; not an audited total institutional budget.</x:v>
      </x:c>
    </x:row>
    <x:row r="1405">
      <x:c r="A1405" s="16" t="n">
        <x:v>213507</x:v>
      </x:c>
      <x:c r="B1405" s="16" t="str">
        <x:v>Lebanon Valley College</x:v>
      </x:c>
      <x:c r="C1405" s="16" t="str">
        <x:v>PA</x:v>
      </x:c>
      <x:c r="D1405" s="16" t="str">
        <x:v>Private nonprofit</x:v>
      </x:c>
      <x:c r="E1405" s="34" t="n">
        <x:v>1651</x:v>
      </x:c>
      <x:c r="F1405" s="21" t="n">
        <x:v>0.7764</x:v>
      </x:c>
      <x:c r="G1405" s="16" t="str">
        <x:v>Regional</x:v>
      </x:c>
      <x:c r="H1405" s="36" t="n">
        <x:f>IF(G1405="National",Assumptions!$B$11,IF(G1405="Statewide",Assumptions!$B$12,Assumptions!$B$13))</x:f>
        <x:v>0.85</x:v>
      </x:c>
      <x:c r="I1405" s="21" t="n">
        <x:v>-0.07201174532693544</x:v>
      </x:c>
      <x:c r="J1405" s="21" t="n">
        <x:v>-0.08817589343264343</x:v>
      </x:c>
      <x:c r="K1405" s="21" t="n">
        <x:v>-0.16258683663969065</x:v>
      </x:c>
      <x:c r="L1405" s="36" t="n">
        <x:f>IF(Assumptions!$B$4=2030,I1405,IF(Assumptions!$B$4=2035,J1405,K1405))</x:f>
        <x:v>-0.08817589343264343</x:v>
      </x:c>
      <x:c r="M1405" s="36" t="n">
        <x:f>Assumptions!$B$19</x:f>
        <x:v>-0.04739891965741583</x:v>
      </x:c>
      <x:c r="N1405" s="52" t="n">
        <x:f>H1405*L1405+(1-H1405)*M1405+O1405</x:f>
        <x:v>-0.08205934736635928</x:v>
      </x:c>
      <x:c r="O1405" s="36" t="n">
        <x:f>Assumptions!$B$10</x:f>
        <x:v>0</x:v>
      </x:c>
      <x:c r="P1405" s="54" t="n">
        <x:f>E1405*(1+N1405)</x:f>
        <x:v>1515.5200174981408</x:v>
      </x:c>
      <x:c r="Q1405" s="54" t="n">
        <x:f>P1405-E1405</x:f>
        <x:v>-135.47998250185924</x:v>
      </x:c>
      <x:c r="R1405" s="16" t="str">
        <x:v>Yes</x:v>
      </x:c>
      <x:c r="S1405" s="56" t="n">
        <x:v>19716</x:v>
      </x:c>
      <x:c r="T1405" s="56" t="n">
        <x:v>12497</x:v>
      </x:c>
      <x:c r="U1405" s="40" t="n">
        <x:f>E1405*Assumptions!$B$8</x:f>
        <x:v>1403.35</x:v>
      </x:c>
      <x:c r="V1405" s="40" t="n">
        <x:f>P1405*Assumptions!$B$8</x:f>
        <x:v>1288.1920148734196</x:v>
      </x:c>
      <x:c r="W1405" s="54" t="n">
        <x:f>V1405-U1405</x:f>
        <x:v>-115.15798512658034</x:v>
      </x:c>
      <x:c r="X1405" s="58" t="n">
        <x:f>IF(R1405="No","",W1405*S1405)</x:f>
        <x:v>-2270454.834755658</x:v>
      </x:c>
      <x:c r="Y1405" s="58" t="n">
        <x:f>IF(R1405="No","",W1405*T1405*Assumptions!$B$9)</x:f>
        <x:v>-431738.80203806236</x:v>
      </x:c>
      <x:c r="Z1405" s="58" t="n">
        <x:f>IF(R1405="No","",X1405-Y1405)</x:f>
        <x:v>-1838716.0327175958</x:v>
      </x:c>
      <x:c r="AA1405" s="58" t="n">
        <x:f>IF(R1405="No","",MAX(0,-Z1405))</x:f>
        <x:v>1838716.0327175958</x:v>
      </x:c>
      <x:c r="AB1405" s="52" t="n">
        <x:f>IF(OR(R1405="No",U1405*S1405=0),"",AA1405/(U1405*S1405))</x:f>
        <x:v>0.06645533543639291</x:v>
      </x:c>
      <x:c r="AC1405" s="54" t="n">
        <x:f>IF(OR(R1405="No",S1405-T1405*Assumptions!$B$9&lt;=0),"",AA1405/(Assumptions!$B$8*(S1405-T1405*Assumptions!$B$9)))</x:f>
        <x:v>135.47998250185924</x:v>
      </x:c>
      <x:c r="AD1405" s="52" t="n">
        <x:f>IF(OR(R1405="No",U1405*S1405=0),"",AA1405/(U1405*S1405))</x:f>
        <x:v>0.06645533543639291</x:v>
      </x:c>
      <x:c r="AE1405" s="50" t="str">
        <x:f>IF(R1405="No","No finance data",IF(AB1405&gt;=10%,"Severe",IF(AB1405&gt;=5%,"High",IF(AB1405&gt;=2%,"Moderate","Low"))))</x:f>
        <x:v>High</x:v>
      </x:c>
      <x:c r="AF1405" s="60" t="n">
        <x:v>40.330604</x:v>
      </x:c>
      <x:c r="AG1405" s="60" t="n">
        <x:v>-76.514431</x:v>
      </x:c>
      <x:c r="AH1405" s="44" t="str">
        <x:v>Undergraduate tuition-contribution proxy only; not an audited total institutional budget.</x:v>
      </x:c>
    </x:row>
    <x:row r="1406">
      <x:c r="A1406" s="16" t="n">
        <x:v>213543</x:v>
      </x:c>
      <x:c r="B1406" s="16" t="str">
        <x:v>Lehigh University</x:v>
      </x:c>
      <x:c r="C1406" s="16" t="str">
        <x:v>PA</x:v>
      </x:c>
      <x:c r="D1406" s="16" t="str">
        <x:v>Private nonprofit</x:v>
      </x:c>
      <x:c r="E1406" s="34" t="n">
        <x:v>5054</x:v>
      </x:c>
      <x:c r="F1406" s="21" t="n">
        <x:v>0.4597</x:v>
      </x:c>
      <x:c r="G1406" s="16" t="str">
        <x:v>Regional</x:v>
      </x:c>
      <x:c r="H1406" s="36" t="n">
        <x:f>IF(G1406="National",Assumptions!$B$11,IF(G1406="Statewide",Assumptions!$B$12,Assumptions!$B$13))</x:f>
        <x:v>0.85</x:v>
      </x:c>
      <x:c r="I1406" s="21" t="n">
        <x:v>-0.07201174532693544</x:v>
      </x:c>
      <x:c r="J1406" s="21" t="n">
        <x:v>-0.08817589343264343</x:v>
      </x:c>
      <x:c r="K1406" s="21" t="n">
        <x:v>-0.16258683663969065</x:v>
      </x:c>
      <x:c r="L1406" s="36" t="n">
        <x:f>IF(Assumptions!$B$4=2030,I1406,IF(Assumptions!$B$4=2035,J1406,K1406))</x:f>
        <x:v>-0.08817589343264343</x:v>
      </x:c>
      <x:c r="M1406" s="36" t="n">
        <x:f>Assumptions!$B$19</x:f>
        <x:v>-0.04739891965741583</x:v>
      </x:c>
      <x:c r="N1406" s="52" t="n">
        <x:f>H1406*L1406+(1-H1406)*M1406+O1406</x:f>
        <x:v>-0.08205934736635928</x:v>
      </x:c>
      <x:c r="O1406" s="36" t="n">
        <x:f>Assumptions!$B$10</x:f>
        <x:v>0</x:v>
      </x:c>
      <x:c r="P1406" s="54" t="n">
        <x:f>E1406*(1+N1406)</x:f>
        <x:v>4639.27205841042</x:v>
      </x:c>
      <x:c r="Q1406" s="54" t="n">
        <x:f>P1406-E1406</x:f>
        <x:v>-414.72794158958004</x:v>
      </x:c>
      <x:c r="R1406" s="16" t="str">
        <x:v>Yes</x:v>
      </x:c>
      <x:c r="S1406" s="56" t="n">
        <x:v>29816</x:v>
      </x:c>
      <x:c r="T1406" s="56" t="n">
        <x:v>22329</x:v>
      </x:c>
      <x:c r="U1406" s="40" t="n">
        <x:f>E1406*Assumptions!$B$8</x:f>
        <x:v>4295.9</x:v>
      </x:c>
      <x:c r="V1406" s="40" t="n">
        <x:f>P1406*Assumptions!$B$8</x:f>
        <x:v>3943.3812496488567</x:v>
      </x:c>
      <x:c r="W1406" s="54" t="n">
        <x:f>V1406-U1406</x:f>
        <x:v>-352.5187503511429</x:v>
      </x:c>
      <x:c r="X1406" s="58" t="n">
        <x:f>IF(R1406="No","",W1406*S1406)</x:f>
        <x:v>-10510699.060469676</x:v>
      </x:c>
      <x:c r="Y1406" s="58" t="n">
        <x:f>IF(R1406="No","",W1406*T1406*Assumptions!$B$9)</x:f>
        <x:v>-2361417.352977201</x:v>
      </x:c>
      <x:c r="Z1406" s="58" t="n">
        <x:f>IF(R1406="No","",X1406-Y1406)</x:f>
        <x:v>-8149281.7074924745</x:v>
      </x:c>
      <x:c r="AA1406" s="58" t="n">
        <x:f>IF(R1406="No","",MAX(0,-Z1406))</x:f>
        <x:v>8149281.7074924745</x:v>
      </x:c>
      <x:c r="AB1406" s="52" t="n">
        <x:f>IF(OR(R1406="No",U1406*S1406=0),"",AA1406/(U1406*S1406))</x:f>
        <x:v>0.06362324090663864</x:v>
      </x:c>
      <x:c r="AC1406" s="54" t="n">
        <x:f>IF(OR(R1406="No",S1406-T1406*Assumptions!$B$9&lt;=0),"",AA1406/(Assumptions!$B$8*(S1406-T1406*Assumptions!$B$9)))</x:f>
        <x:v>414.72794158957987</x:v>
      </x:c>
      <x:c r="AD1406" s="52" t="n">
        <x:f>IF(OR(R1406="No",U1406*S1406=0),"",AA1406/(U1406*S1406))</x:f>
        <x:v>0.06362324090663864</x:v>
      </x:c>
      <x:c r="AE1406" s="50" t="str">
        <x:f>IF(R1406="No","No finance data",IF(AB1406&gt;=10%,"Severe",IF(AB1406&gt;=5%,"High",IF(AB1406&gt;=2%,"Moderate","Low"))))</x:f>
        <x:v>High</x:v>
      </x:c>
      <x:c r="AF1406" s="60" t="n">
        <x:v>40.606822</x:v>
      </x:c>
      <x:c r="AG1406" s="60" t="n">
        <x:v>-75.380236</x:v>
      </x:c>
      <x:c r="AH1406" s="44" t="str">
        <x:v>Undergraduate tuition-contribution proxy only; not an audited total institutional budget.</x:v>
      </x:c>
    </x:row>
    <x:row r="1407">
      <x:c r="A1407" s="16" t="n">
        <x:v>213598</x:v>
      </x:c>
      <x:c r="B1407" s="16" t="str">
        <x:v>Lincoln University</x:v>
      </x:c>
      <x:c r="C1407" s="16" t="str">
        <x:v>PA</x:v>
      </x:c>
      <x:c r="D1407" s="16" t="str">
        <x:v>Public</x:v>
      </x:c>
      <x:c r="E1407" s="34" t="n">
        <x:v>1689</x:v>
      </x:c>
      <x:c r="F1407" s="21" t="n">
        <x:v>0.7975</x:v>
      </x:c>
      <x:c r="G1407" s="16" t="str">
        <x:v>Regional</x:v>
      </x:c>
      <x:c r="H1407" s="36" t="n">
        <x:f>IF(G1407="National",Assumptions!$B$11,IF(G1407="Statewide",Assumptions!$B$12,Assumptions!$B$13))</x:f>
        <x:v>0.85</x:v>
      </x:c>
      <x:c r="I1407" s="21" t="n">
        <x:v>-0.07201174532693544</x:v>
      </x:c>
      <x:c r="J1407" s="21" t="n">
        <x:v>-0.08817589343264343</x:v>
      </x:c>
      <x:c r="K1407" s="21" t="n">
        <x:v>-0.16258683663969065</x:v>
      </x:c>
      <x:c r="L1407" s="36" t="n">
        <x:f>IF(Assumptions!$B$4=2030,I1407,IF(Assumptions!$B$4=2035,J1407,K1407))</x:f>
        <x:v>-0.08817589343264343</x:v>
      </x:c>
      <x:c r="M1407" s="36" t="n">
        <x:f>Assumptions!$B$19</x:f>
        <x:v>-0.04739891965741583</x:v>
      </x:c>
      <x:c r="N1407" s="52" t="n">
        <x:f>H1407*L1407+(1-H1407)*M1407+O1407</x:f>
        <x:v>-0.08205934736635928</x:v>
      </x:c>
      <x:c r="O1407" s="36" t="n">
        <x:f>Assumptions!$B$10</x:f>
        <x:v>0</x:v>
      </x:c>
      <x:c r="P1407" s="54" t="n">
        <x:f>E1407*(1+N1407)</x:f>
        <x:v>1550.4017622982192</x:v>
      </x:c>
      <x:c r="Q1407" s="54" t="n">
        <x:f>P1407-E1407</x:f>
        <x:v>-138.59823770178082</x:v>
      </x:c>
      <x:c r="R1407" s="16" t="str">
        <x:v>Yes</x:v>
      </x:c>
      <x:c r="S1407" s="56" t="n">
        <x:v>6786</x:v>
      </x:c>
      <x:c r="T1407" s="56" t="n">
        <x:v>9257</x:v>
      </x:c>
      <x:c r="U1407" s="40" t="n">
        <x:f>E1407*Assumptions!$B$8</x:f>
        <x:v>1435.6499999999999</x:v>
      </x:c>
      <x:c r="V1407" s="40" t="n">
        <x:f>P1407*Assumptions!$B$8</x:f>
        <x:v>1317.8414979534862</x:v>
      </x:c>
      <x:c r="W1407" s="54" t="n">
        <x:f>V1407-U1407</x:f>
        <x:v>-117.8085020465137</x:v>
      </x:c>
      <x:c r="X1407" s="58" t="n">
        <x:f>IF(R1407="No","",W1407*S1407)</x:f>
        <x:v>-799448.494887642</x:v>
      </x:c>
      <x:c r="Y1407" s="58" t="n">
        <x:f>IF(R1407="No","",W1407*T1407*Assumptions!$B$9)</x:f>
        <x:v>-327165.9910333732</x:v>
      </x:c>
      <x:c r="Z1407" s="58" t="n">
        <x:f>IF(R1407="No","",X1407-Y1407)</x:f>
        <x:v>-472282.50385426875</x:v>
      </x:c>
      <x:c r="AA1407" s="58" t="n">
        <x:f>IF(R1407="No","",MAX(0,-Z1407))</x:f>
        <x:v>472282.50385426875</x:v>
      </x:c>
      <x:c r="AB1407" s="52" t="n">
        <x:f>IF(OR(R1407="No",U1407*S1407=0),"",AA1407/(U1407*S1407))</x:f>
        <x:v>0.04847741197421128</x:v>
      </x:c>
      <x:c r="AC1407" s="54" t="n">
        <x:f>IF(OR(R1407="No",S1407-T1407*Assumptions!$B$9&lt;=0),"",AA1407/(Assumptions!$B$8*(S1407-T1407*Assumptions!$B$9)))</x:f>
        <x:v>138.59823770178082</x:v>
      </x:c>
      <x:c r="AD1407" s="52" t="n">
        <x:f>IF(OR(R1407="No",U1407*S1407=0),"",AA1407/(U1407*S1407))</x:f>
        <x:v>0.04847741197421128</x:v>
      </x:c>
      <x:c r="AE1407" s="50" t="str">
        <x:f>IF(R1407="No","No finance data",IF(AB1407&gt;=10%,"Severe",IF(AB1407&gt;=5%,"High",IF(AB1407&gt;=2%,"Moderate","Low"))))</x:f>
        <x:v>Moderate</x:v>
      </x:c>
      <x:c r="AF1407" s="60" t="n">
        <x:v>39.807723</x:v>
      </x:c>
      <x:c r="AG1407" s="60" t="n">
        <x:v>-75.926458</x:v>
      </x:c>
      <x:c r="AH1407" s="44" t="str">
        <x:v>Undergraduate tuition-contribution proxy only; not an audited total institutional budget.</x:v>
      </x:c>
    </x:row>
    <x:row r="1408">
      <x:c r="A1408" s="16" t="n">
        <x:v>213613</x:v>
      </x:c>
      <x:c r="B1408" s="16" t="str">
        <x:v>Lock Haven University</x:v>
      </x:c>
      <x:c r="C1408" s="16" t="str">
        <x:v>PA</x:v>
      </x:c>
      <x:c r="D1408" s="16" t="str">
        <x:v>Public</x:v>
      </x:c>
      <x:c r="E1408" s="34" t="n">
        <x:v>4158</x:v>
      </x:c>
      <x:c r="F1408" s="21" t="n">
        <x:v>0.9499</x:v>
      </x:c>
      <x:c r="G1408" s="16" t="str">
        <x:v>Regional</x:v>
      </x:c>
      <x:c r="H1408" s="36" t="n">
        <x:f>IF(G1408="National",Assumptions!$B$11,IF(G1408="Statewide",Assumptions!$B$12,Assumptions!$B$13))</x:f>
        <x:v>0.85</x:v>
      </x:c>
      <x:c r="I1408" s="21" t="n">
        <x:v>-0.07201174532693544</x:v>
      </x:c>
      <x:c r="J1408" s="21" t="n">
        <x:v>-0.08817589343264343</x:v>
      </x:c>
      <x:c r="K1408" s="21" t="n">
        <x:v>-0.16258683663969065</x:v>
      </x:c>
      <x:c r="L1408" s="36" t="n">
        <x:f>IF(Assumptions!$B$4=2030,I1408,IF(Assumptions!$B$4=2035,J1408,K1408))</x:f>
        <x:v>-0.08817589343264343</x:v>
      </x:c>
      <x:c r="M1408" s="36" t="n">
        <x:f>Assumptions!$B$19</x:f>
        <x:v>-0.04739891965741583</x:v>
      </x:c>
      <x:c r="N1408" s="52" t="n">
        <x:f>H1408*L1408+(1-H1408)*M1408+O1408</x:f>
        <x:v>-0.08205934736635928</x:v>
      </x:c>
      <x:c r="O1408" s="36" t="n">
        <x:f>Assumptions!$B$10</x:f>
        <x:v>0</x:v>
      </x:c>
      <x:c r="P1408" s="54" t="n">
        <x:f>E1408*(1+N1408)</x:f>
        <x:v>3816.7972336506778</x:v>
      </x:c>
      <x:c r="Q1408" s="54" t="n">
        <x:f>P1408-E1408</x:f>
        <x:v>-341.20276634932225</x:v>
      </x:c>
      <x:c r="R1408" s="16" t="str">
        <x:v>Yes</x:v>
      </x:c>
      <x:c r="S1408" s="56" t="n">
        <x:v>9072</x:v>
      </x:c>
      <x:c r="T1408" s="56" t="n">
        <x:v>11921</x:v>
      </x:c>
      <x:c r="U1408" s="40" t="n">
        <x:f>E1408*Assumptions!$B$8</x:f>
        <x:v>3534.2999999999997</x:v>
      </x:c>
      <x:c r="V1408" s="40" t="n">
        <x:f>P1408*Assumptions!$B$8</x:f>
        <x:v>3244.277648603076</x:v>
      </x:c>
      <x:c r="W1408" s="54" t="n">
        <x:f>V1408-U1408</x:f>
        <x:v>-290.02235139692357</x:v>
      </x:c>
      <x:c r="X1408" s="58" t="n">
        <x:f>IF(R1408="No","",W1408*S1408)</x:f>
        <x:v>-2631082.7718728906</x:v>
      </x:c>
      <x:c r="Y1408" s="58" t="n">
        <x:f>IF(R1408="No","",W1408*T1408*Assumptions!$B$9)</x:f>
        <x:v>-1037206.9353008177</x:v>
      </x:c>
      <x:c r="Z1408" s="58" t="n">
        <x:f>IF(R1408="No","",X1408-Y1408)</x:f>
        <x:v>-1593875.836572073</x:v>
      </x:c>
      <x:c r="AA1408" s="58" t="n">
        <x:f>IF(R1408="No","",MAX(0,-Z1408))</x:f>
        <x:v>1593875.836572073</x:v>
      </x:c>
      <x:c r="AB1408" s="52" t="n">
        <x:f>IF(OR(R1408="No",U1408*S1408=0),"",AA1408/(U1408*S1408))</x:f>
        <x:v>0.04971048890225978</x:v>
      </x:c>
      <x:c r="AC1408" s="54" t="n">
        <x:f>IF(OR(R1408="No",S1408-T1408*Assumptions!$B$9&lt;=0),"",AA1408/(Assumptions!$B$8*(S1408-T1408*Assumptions!$B$9)))</x:f>
        <x:v>341.20276634932185</x:v>
      </x:c>
      <x:c r="AD1408" s="52" t="n">
        <x:f>IF(OR(R1408="No",U1408*S1408=0),"",AA1408/(U1408*S1408))</x:f>
        <x:v>0.04971048890225978</x:v>
      </x:c>
      <x:c r="AE1408" s="50" t="str">
        <x:f>IF(R1408="No","No finance data",IF(AB1408&gt;=10%,"Severe",IF(AB1408&gt;=5%,"High",IF(AB1408&gt;=2%,"Moderate","Low"))))</x:f>
        <x:v>Moderate</x:v>
      </x:c>
      <x:c r="AF1408" s="60" t="n">
        <x:v>41.141517</x:v>
      </x:c>
      <x:c r="AG1408" s="60" t="n">
        <x:v>-77.460108</x:v>
      </x:c>
      <x:c r="AH1408" s="44" t="str">
        <x:v>Undergraduate tuition-contribution proxy only; not an audited total institutional budget.</x:v>
      </x:c>
    </x:row>
    <x:row r="1409">
      <x:c r="A1409" s="16" t="n">
        <x:v>213668</x:v>
      </x:c>
      <x:c r="B1409" s="16" t="str">
        <x:v>Lycoming College</x:v>
      </x:c>
      <x:c r="C1409" s="16" t="str">
        <x:v>PA</x:v>
      </x:c>
      <x:c r="D1409" s="16" t="str">
        <x:v>Private nonprofit</x:v>
      </x:c>
      <x:c r="E1409" s="34" t="n">
        <x:v>1260</x:v>
      </x:c>
      <x:c r="F1409" s="21" t="n">
        <x:v>0.7474</x:v>
      </x:c>
      <x:c r="G1409" s="16" t="str">
        <x:v>Regional</x:v>
      </x:c>
      <x:c r="H1409" s="36" t="n">
        <x:f>IF(G1409="National",Assumptions!$B$11,IF(G1409="Statewide",Assumptions!$B$12,Assumptions!$B$13))</x:f>
        <x:v>0.85</x:v>
      </x:c>
      <x:c r="I1409" s="21" t="n">
        <x:v>-0.07201174532693544</x:v>
      </x:c>
      <x:c r="J1409" s="21" t="n">
        <x:v>-0.08817589343264343</x:v>
      </x:c>
      <x:c r="K1409" s="21" t="n">
        <x:v>-0.16258683663969065</x:v>
      </x:c>
      <x:c r="L1409" s="36" t="n">
        <x:f>IF(Assumptions!$B$4=2030,I1409,IF(Assumptions!$B$4=2035,J1409,K1409))</x:f>
        <x:v>-0.08817589343264343</x:v>
      </x:c>
      <x:c r="M1409" s="36" t="n">
        <x:f>Assumptions!$B$19</x:f>
        <x:v>-0.04739891965741583</x:v>
      </x:c>
      <x:c r="N1409" s="52" t="n">
        <x:f>H1409*L1409+(1-H1409)*M1409+O1409</x:f>
        <x:v>-0.08205934736635928</x:v>
      </x:c>
      <x:c r="O1409" s="36" t="n">
        <x:f>Assumptions!$B$10</x:f>
        <x:v>0</x:v>
      </x:c>
      <x:c r="P1409" s="54" t="n">
        <x:f>E1409*(1+N1409)</x:f>
        <x:v>1156.6052223183872</x:v>
      </x:c>
      <x:c r="Q1409" s="54" t="n">
        <x:f>P1409-E1409</x:f>
        <x:v>-103.39477768161282</x:v>
      </x:c>
      <x:c r="R1409" s="16" t="str">
        <x:v>Yes</x:v>
      </x:c>
      <x:c r="S1409" s="56" t="n">
        <x:v>10078</x:v>
      </x:c>
      <x:c r="T1409" s="56" t="n">
        <x:v>14775</x:v>
      </x:c>
      <x:c r="U1409" s="40" t="n">
        <x:f>E1409*Assumptions!$B$8</x:f>
        <x:v>1071</x:v>
      </x:c>
      <x:c r="V1409" s="40" t="n">
        <x:f>P1409*Assumptions!$B$8</x:f>
        <x:v>983.1144389706291</x:v>
      </x:c>
      <x:c r="W1409" s="54" t="n">
        <x:f>V1409-U1409</x:f>
        <x:v>-87.88556102937093</x:v>
      </x:c>
      <x:c r="X1409" s="58" t="n">
        <x:f>IF(R1409="No","",W1409*S1409)</x:f>
        <x:v>-885710.6840540003</x:v>
      </x:c>
      <x:c r="Y1409" s="58" t="n">
        <x:f>IF(R1409="No","",W1409*T1409*Assumptions!$B$9)</x:f>
        <x:v>-389552.74926268664</x:v>
      </x:c>
      <x:c r="Z1409" s="58" t="n">
        <x:f>IF(R1409="No","",X1409-Y1409)</x:f>
        <x:v>-496157.93479131366</x:v>
      </x:c>
      <x:c r="AA1409" s="58" t="n">
        <x:f>IF(R1409="No","",MAX(0,-Z1409))</x:f>
        <x:v>496157.93479131366</x:v>
      </x:c>
      <x:c r="AB1409" s="52" t="n">
        <x:f>IF(OR(R1409="No",U1409*S1409=0),"",AA1409/(U1409*S1409))</x:f>
        <x:v>0.04596805373653325</x:v>
      </x:c>
      <x:c r="AC1409" s="54" t="n">
        <x:f>IF(OR(R1409="No",S1409-T1409*Assumptions!$B$9&lt;=0),"",AA1409/(Assumptions!$B$8*(S1409-T1409*Assumptions!$B$9)))</x:f>
        <x:v>103.39477768161287</x:v>
      </x:c>
      <x:c r="AD1409" s="52" t="n">
        <x:f>IF(OR(R1409="No",U1409*S1409=0),"",AA1409/(U1409*S1409))</x:f>
        <x:v>0.04596805373653325</x:v>
      </x:c>
      <x:c r="AE1409" s="50" t="str">
        <x:f>IF(R1409="No","No finance data",IF(AB1409&gt;=10%,"Severe",IF(AB1409&gt;=5%,"High",IF(AB1409&gt;=2%,"Moderate","Low"))))</x:f>
        <x:v>Moderate</x:v>
      </x:c>
      <x:c r="AF1409" s="60" t="n">
        <x:v>41.24666</x:v>
      </x:c>
      <x:c r="AG1409" s="60" t="n">
        <x:v>-77</x:v>
      </x:c>
      <x:c r="AH1409" s="44" t="str">
        <x:v>Undergraduate tuition-contribution proxy only; not an audited total institutional budget.</x:v>
      </x:c>
    </x:row>
    <x:row r="1410">
      <x:c r="A1410" s="16" t="n">
        <x:v>213783</x:v>
      </x:c>
      <x:c r="B1410" s="16" t="str">
        <x:v>Mansfield University of Pennsylvania</x:v>
      </x:c>
      <x:c r="C1410" s="16" t="str">
        <x:v>PA</x:v>
      </x:c>
      <x:c r="D1410" s="16" t="str">
        <x:v>Public</x:v>
      </x:c>
      <x:c r="E1410" s="34" t="n">
        <x:v>2194</x:v>
      </x:c>
      <x:c r="F1410" s="21" t="n">
        <x:v>0.944</x:v>
      </x:c>
      <x:c r="G1410" s="16" t="str">
        <x:v>Regional</x:v>
      </x:c>
      <x:c r="H1410" s="36" t="n">
        <x:f>IF(G1410="National",Assumptions!$B$11,IF(G1410="Statewide",Assumptions!$B$12,Assumptions!$B$13))</x:f>
        <x:v>0.85</x:v>
      </x:c>
      <x:c r="I1410" s="21" t="n">
        <x:v>-0.07201174532693544</x:v>
      </x:c>
      <x:c r="J1410" s="21" t="n">
        <x:v>-0.08817589343264343</x:v>
      </x:c>
      <x:c r="K1410" s="21" t="n">
        <x:v>-0.16258683663969065</x:v>
      </x:c>
      <x:c r="L1410" s="36" t="n">
        <x:f>IF(Assumptions!$B$4=2030,I1410,IF(Assumptions!$B$4=2035,J1410,K1410))</x:f>
        <x:v>-0.08817589343264343</x:v>
      </x:c>
      <x:c r="M1410" s="36" t="n">
        <x:f>Assumptions!$B$19</x:f>
        <x:v>-0.04739891965741583</x:v>
      </x:c>
      <x:c r="N1410" s="52" t="n">
        <x:f>H1410*L1410+(1-H1410)*M1410+O1410</x:f>
        <x:v>-0.08205934736635928</x:v>
      </x:c>
      <x:c r="O1410" s="36" t="n">
        <x:f>Assumptions!$B$10</x:f>
        <x:v>0</x:v>
      </x:c>
      <x:c r="P1410" s="54" t="n">
        <x:f>E1410*(1+N1410)</x:f>
        <x:v>2013.9617918782076</x:v>
      </x:c>
      <x:c r="Q1410" s="54" t="n">
        <x:f>P1410-E1410</x:f>
        <x:v>-180.03820812179242</x:v>
      </x:c>
      <x:c r="R1410" s="16" t="str">
        <x:v>Yes</x:v>
      </x:c>
      <x:c r="S1410" s="56" t="n">
        <x:v>4446</x:v>
      </x:c>
      <x:c r="T1410" s="56" t="n">
        <x:v>11721</x:v>
      </x:c>
      <x:c r="U1410" s="40" t="n">
        <x:f>E1410*Assumptions!$B$8</x:f>
        <x:v>1864.8999999999999</x:v>
      </x:c>
      <x:c r="V1410" s="40" t="n">
        <x:f>P1410*Assumptions!$B$8</x:f>
        <x:v>1711.8675230964764</x:v>
      </x:c>
      <x:c r="W1410" s="54" t="n">
        <x:f>V1410-U1410</x:f>
        <x:v>-153.0324769035235</x:v>
      </x:c>
      <x:c r="X1410" s="58" t="n">
        <x:f>IF(R1410="No","",W1410*S1410)</x:f>
        <x:v>-680382.3923130655</x:v>
      </x:c>
      <x:c r="Y1410" s="58" t="n">
        <x:f>IF(R1410="No","",W1410*T1410*Assumptions!$B$9)</x:f>
        <x:v>-538108.0985358597</x:v>
      </x:c>
      <x:c r="Z1410" s="58" t="n">
        <x:f>IF(R1410="No","",X1410-Y1410)</x:f>
        <x:v>-142274.29377720575</x:v>
      </x:c>
      <x:c r="AA1410" s="58" t="n">
        <x:f>IF(R1410="No","",MAX(0,-Z1410))</x:f>
        <x:v>142274.29377720575</x:v>
      </x:c>
      <x:c r="AB1410" s="52" t="n">
        <x:f>IF(OR(R1410="No",U1410*S1410=0),"",AA1410/(U1410*S1410))</x:f>
        <x:v>0.017159373649686064</x:v>
      </x:c>
      <x:c r="AC1410" s="54" t="n">
        <x:f>IF(OR(R1410="No",S1410-T1410*Assumptions!$B$9&lt;=0),"",AA1410/(Assumptions!$B$8*(S1410-T1410*Assumptions!$B$9)))</x:f>
        <x:v>180.03820812179222</x:v>
      </x:c>
      <x:c r="AD1410" s="52" t="n">
        <x:f>IF(OR(R1410="No",U1410*S1410=0),"",AA1410/(U1410*S1410))</x:f>
        <x:v>0.017159373649686064</x:v>
      </x:c>
      <x:c r="AE1410" s="50" t="str">
        <x:f>IF(R1410="No","No finance data",IF(AB1410&gt;=10%,"Severe",IF(AB1410&gt;=5%,"High",IF(AB1410&gt;=2%,"Moderate","Low"))))</x:f>
        <x:v>Low</x:v>
      </x:c>
      <x:c r="AF1410" s="60" t="n">
        <x:v>41.806949</x:v>
      </x:c>
      <x:c r="AG1410" s="60" t="n">
        <x:v>-77.07423</x:v>
      </x:c>
      <x:c r="AH1410" s="44" t="str">
        <x:v>Undergraduate tuition-contribution proxy only; not an audited total institutional budget.</x:v>
      </x:c>
    </x:row>
    <x:row r="1411">
      <x:c r="A1411" s="16" t="n">
        <x:v>213826</x:v>
      </x:c>
      <x:c r="B1411" s="16" t="str">
        <x:v>Marywood University</x:v>
      </x:c>
      <x:c r="C1411" s="16" t="str">
        <x:v>PA</x:v>
      </x:c>
      <x:c r="D1411" s="16" t="str">
        <x:v>Private nonprofit</x:v>
      </x:c>
      <x:c r="E1411" s="34" t="n">
        <x:v>1820</x:v>
      </x:c>
      <x:c r="F1411" s="21" t="n">
        <x:v>0.8186</x:v>
      </x:c>
      <x:c r="G1411" s="16" t="str">
        <x:v>Regional</x:v>
      </x:c>
      <x:c r="H1411" s="36" t="n">
        <x:f>IF(G1411="National",Assumptions!$B$11,IF(G1411="Statewide",Assumptions!$B$12,Assumptions!$B$13))</x:f>
        <x:v>0.85</x:v>
      </x:c>
      <x:c r="I1411" s="21" t="n">
        <x:v>-0.07201174532693544</x:v>
      </x:c>
      <x:c r="J1411" s="21" t="n">
        <x:v>-0.08817589343264343</x:v>
      </x:c>
      <x:c r="K1411" s="21" t="n">
        <x:v>-0.16258683663969065</x:v>
      </x:c>
      <x:c r="L1411" s="36" t="n">
        <x:f>IF(Assumptions!$B$4=2030,I1411,IF(Assumptions!$B$4=2035,J1411,K1411))</x:f>
        <x:v>-0.08817589343264343</x:v>
      </x:c>
      <x:c r="M1411" s="36" t="n">
        <x:f>Assumptions!$B$19</x:f>
        <x:v>-0.04739891965741583</x:v>
      </x:c>
      <x:c r="N1411" s="52" t="n">
        <x:f>H1411*L1411+(1-H1411)*M1411+O1411</x:f>
        <x:v>-0.08205934736635928</x:v>
      </x:c>
      <x:c r="O1411" s="36" t="n">
        <x:f>Assumptions!$B$10</x:f>
        <x:v>0</x:v>
      </x:c>
      <x:c r="P1411" s="54" t="n">
        <x:f>E1411*(1+N1411)</x:f>
        <x:v>1670.651987793226</x:v>
      </x:c>
      <x:c r="Q1411" s="54" t="n">
        <x:f>P1411-E1411</x:f>
        <x:v>-149.348012206774</x:v>
      </x:c>
      <x:c r="R1411" s="16" t="str">
        <x:v>Yes</x:v>
      </x:c>
      <x:c r="S1411" s="56" t="n">
        <x:v>17469</x:v>
      </x:c>
      <x:c r="T1411" s="56" t="n">
        <x:v>9735</x:v>
      </x:c>
      <x:c r="U1411" s="40" t="n">
        <x:f>E1411*Assumptions!$B$8</x:f>
        <x:v>1547</x:v>
      </x:c>
      <x:c r="V1411" s="40" t="n">
        <x:f>P1411*Assumptions!$B$8</x:f>
        <x:v>1420.054189624242</x:v>
      </x:c>
      <x:c r="W1411" s="54" t="n">
        <x:f>V1411-U1411</x:f>
        <x:v>-126.9458103757579</x:v>
      </x:c>
      <x:c r="X1411" s="58" t="n">
        <x:f>IF(R1411="No","",W1411*S1411)</x:f>
        <x:v>-2217616.361454115</x:v>
      </x:c>
      <x:c r="Y1411" s="58" t="n">
        <x:f>IF(R1411="No","",W1411*T1411*Assumptions!$B$9)</x:f>
        <x:v>-370745.23920240096</x:v>
      </x:c>
      <x:c r="Z1411" s="58" t="n">
        <x:f>IF(R1411="No","",X1411-Y1411)</x:f>
        <x:v>-1846871.1222517139</x:v>
      </x:c>
      <x:c r="AA1411" s="58" t="n">
        <x:f>IF(R1411="No","",MAX(0,-Z1411))</x:f>
        <x:v>1846871.1222517139</x:v>
      </x:c>
      <x:c r="AB1411" s="52" t="n">
        <x:f>IF(OR(R1411="No",U1411*S1411=0),"",AA1411/(U1411*S1411))</x:f>
        <x:v>0.06834051263148887</x:v>
      </x:c>
      <x:c r="AC1411" s="54" t="n">
        <x:f>IF(OR(R1411="No",S1411-T1411*Assumptions!$B$9&lt;=0),"",AA1411/(Assumptions!$B$8*(S1411-T1411*Assumptions!$B$9)))</x:f>
        <x:v>149.348012206774</x:v>
      </x:c>
      <x:c r="AD1411" s="52" t="n">
        <x:f>IF(OR(R1411="No",U1411*S1411=0),"",AA1411/(U1411*S1411))</x:f>
        <x:v>0.06834051263148887</x:v>
      </x:c>
      <x:c r="AE1411" s="50" t="str">
        <x:f>IF(R1411="No","No finance data",IF(AB1411&gt;=10%,"Severe",IF(AB1411&gt;=5%,"High",IF(AB1411&gt;=2%,"Moderate","Low"))))</x:f>
        <x:v>High</x:v>
      </x:c>
      <x:c r="AF1411" s="60" t="n">
        <x:v>41.434587</x:v>
      </x:c>
      <x:c r="AG1411" s="60" t="n">
        <x:v>-75.634142</x:v>
      </x:c>
      <x:c r="AH1411" s="44" t="str">
        <x:v>Undergraduate tuition-contribution proxy only; not an audited total institutional budget.</x:v>
      </x:c>
    </x:row>
    <x:row r="1412">
      <x:c r="A1412" s="16" t="n">
        <x:v>213987</x:v>
      </x:c>
      <x:c r="B1412" s="16" t="str">
        <x:v>Mercyhurst University</x:v>
      </x:c>
      <x:c r="C1412" s="16" t="str">
        <x:v>PA</x:v>
      </x:c>
      <x:c r="D1412" s="16" t="str">
        <x:v>Private nonprofit</x:v>
      </x:c>
      <x:c r="E1412" s="34" t="n">
        <x:v>2490</x:v>
      </x:c>
      <x:c r="F1412" s="21" t="n">
        <x:v>0.8238</x:v>
      </x:c>
      <x:c r="G1412" s="16" t="str">
        <x:v>Regional</x:v>
      </x:c>
      <x:c r="H1412" s="36" t="n">
        <x:f>IF(G1412="National",Assumptions!$B$11,IF(G1412="Statewide",Assumptions!$B$12,Assumptions!$B$13))</x:f>
        <x:v>0.85</x:v>
      </x:c>
      <x:c r="I1412" s="21" t="n">
        <x:v>-0.07201174532693544</x:v>
      </x:c>
      <x:c r="J1412" s="21" t="n">
        <x:v>-0.08817589343264343</x:v>
      </x:c>
      <x:c r="K1412" s="21" t="n">
        <x:v>-0.16258683663969065</x:v>
      </x:c>
      <x:c r="L1412" s="36" t="n">
        <x:f>IF(Assumptions!$B$4=2030,I1412,IF(Assumptions!$B$4=2035,J1412,K1412))</x:f>
        <x:v>-0.08817589343264343</x:v>
      </x:c>
      <x:c r="M1412" s="36" t="n">
        <x:f>Assumptions!$B$19</x:f>
        <x:v>-0.04739891965741583</x:v>
      </x:c>
      <x:c r="N1412" s="52" t="n">
        <x:f>H1412*L1412+(1-H1412)*M1412+O1412</x:f>
        <x:v>-0.08205934736635928</x:v>
      </x:c>
      <x:c r="O1412" s="36" t="n">
        <x:f>Assumptions!$B$10</x:f>
        <x:v>0</x:v>
      </x:c>
      <x:c r="P1412" s="54" t="n">
        <x:f>E1412*(1+N1412)</x:f>
        <x:v>2285.6722250577654</x:v>
      </x:c>
      <x:c r="Q1412" s="54" t="n">
        <x:f>P1412-E1412</x:f>
        <x:v>-204.32777494223456</x:v>
      </x:c>
      <x:c r="R1412" s="16" t="str">
        <x:v>Yes</x:v>
      </x:c>
      <x:c r="S1412" s="56" t="n">
        <x:v>16085</x:v>
      </x:c>
      <x:c r="T1412" s="56" t="n">
        <x:v>7709</x:v>
      </x:c>
      <x:c r="U1412" s="40" t="n">
        <x:f>E1412*Assumptions!$B$8</x:f>
        <x:v>2116.5</x:v>
      </x:c>
      <x:c r="V1412" s="40" t="n">
        <x:f>P1412*Assumptions!$B$8</x:f>
        <x:v>1942.8213912991005</x:v>
      </x:c>
      <x:c r="W1412" s="54" t="n">
        <x:f>V1412-U1412</x:f>
        <x:v>-173.67860870089953</x:v>
      </x:c>
      <x:c r="X1412" s="58" t="n">
        <x:f>IF(R1412="No","",W1412*S1412)</x:f>
        <x:v>-2793620.420953969</x:v>
      </x:c>
      <x:c r="Y1412" s="58" t="n">
        <x:f>IF(R1412="No","",W1412*T1412*Assumptions!$B$9)</x:f>
        <x:v>-401666.51834257034</x:v>
      </x:c>
      <x:c r="Z1412" s="58" t="n">
        <x:f>IF(R1412="No","",X1412-Y1412)</x:f>
        <x:v>-2391953.9026113986</x:v>
      </x:c>
      <x:c r="AA1412" s="58" t="n">
        <x:f>IF(R1412="No","",MAX(0,-Z1412))</x:f>
        <x:v>2391953.9026113986</x:v>
      </x:c>
      <x:c r="AB1412" s="52" t="n">
        <x:f>IF(OR(R1412="No",U1412*S1412=0),"",AA1412/(U1412*S1412))</x:f>
        <x:v>0.07026086103411319</x:v>
      </x:c>
      <x:c r="AC1412" s="54" t="n">
        <x:f>IF(OR(R1412="No",S1412-T1412*Assumptions!$B$9&lt;=0),"",AA1412/(Assumptions!$B$8*(S1412-T1412*Assumptions!$B$9)))</x:f>
        <x:v>204.32777494223475</x:v>
      </x:c>
      <x:c r="AD1412" s="52" t="n">
        <x:f>IF(OR(R1412="No",U1412*S1412=0),"",AA1412/(U1412*S1412))</x:f>
        <x:v>0.07026086103411319</x:v>
      </x:c>
      <x:c r="AE1412" s="50" t="str">
        <x:f>IF(R1412="No","No finance data",IF(AB1412&gt;=10%,"Severe",IF(AB1412&gt;=5%,"High",IF(AB1412&gt;=2%,"Moderate","Low"))))</x:f>
        <x:v>High</x:v>
      </x:c>
      <x:c r="AF1412" s="60" t="n">
        <x:v>42.10578</x:v>
      </x:c>
      <x:c r="AG1412" s="60" t="n">
        <x:v>-80.053412</x:v>
      </x:c>
      <x:c r="AH1412" s="44" t="str">
        <x:v>Undergraduate tuition-contribution proxy only; not an audited total institutional budget.</x:v>
      </x:c>
    </x:row>
    <x:row r="1413">
      <x:c r="A1413" s="16" t="n">
        <x:v>213996</x:v>
      </x:c>
      <x:c r="B1413" s="16" t="str">
        <x:v>Messiah College</x:v>
      </x:c>
      <x:c r="C1413" s="16" t="str">
        <x:v>PA</x:v>
      </x:c>
      <x:c r="D1413" s="16" t="str">
        <x:v>Private nonprofit</x:v>
      </x:c>
      <x:c r="E1413" s="34" t="n">
        <x:v>2723</x:v>
      </x:c>
      <x:c r="F1413" s="21" t="n">
        <x:v>0.7738</x:v>
      </x:c>
      <x:c r="G1413" s="16" t="str">
        <x:v>Regional</x:v>
      </x:c>
      <x:c r="H1413" s="36" t="n">
        <x:f>IF(G1413="National",Assumptions!$B$11,IF(G1413="Statewide",Assumptions!$B$12,Assumptions!$B$13))</x:f>
        <x:v>0.85</x:v>
      </x:c>
      <x:c r="I1413" s="21" t="n">
        <x:v>-0.07201174532693544</x:v>
      </x:c>
      <x:c r="J1413" s="21" t="n">
        <x:v>-0.08817589343264343</x:v>
      </x:c>
      <x:c r="K1413" s="21" t="n">
        <x:v>-0.16258683663969065</x:v>
      </x:c>
      <x:c r="L1413" s="36" t="n">
        <x:f>IF(Assumptions!$B$4=2030,I1413,IF(Assumptions!$B$4=2035,J1413,K1413))</x:f>
        <x:v>-0.08817589343264343</x:v>
      </x:c>
      <x:c r="M1413" s="36" t="n">
        <x:f>Assumptions!$B$19</x:f>
        <x:v>-0.04739891965741583</x:v>
      </x:c>
      <x:c r="N1413" s="52" t="n">
        <x:f>H1413*L1413+(1-H1413)*M1413+O1413</x:f>
        <x:v>-0.08205934736635928</x:v>
      </x:c>
      <x:c r="O1413" s="36" t="n">
        <x:f>Assumptions!$B$10</x:f>
        <x:v>0</x:v>
      </x:c>
      <x:c r="P1413" s="54" t="n">
        <x:f>E1413*(1+N1413)</x:f>
        <x:v>2499.5523971214034</x:v>
      </x:c>
      <x:c r="Q1413" s="54" t="n">
        <x:f>P1413-E1413</x:f>
        <x:v>-223.44760287859663</x:v>
      </x:c>
      <x:c r="R1413" s="16" t="str">
        <x:v>Yes</x:v>
      </x:c>
      <x:c r="S1413" s="56" t="n">
        <x:v>17030</x:v>
      </x:c>
      <x:c r="T1413" s="56" t="n">
        <x:v>10052</x:v>
      </x:c>
      <x:c r="U1413" s="40" t="n">
        <x:f>E1413*Assumptions!$B$8</x:f>
        <x:v>2314.5499999999997</x:v>
      </x:c>
      <x:c r="V1413" s="40" t="n">
        <x:f>P1413*Assumptions!$B$8</x:f>
        <x:v>2124.619537553193</x:v>
      </x:c>
      <x:c r="W1413" s="54" t="n">
        <x:f>V1413-U1413</x:f>
        <x:v>-189.9304624468068</x:v>
      </x:c>
      <x:c r="X1413" s="58" t="n">
        <x:f>IF(R1413="No","",W1413*S1413)</x:f>
        <x:v>-3234515.77546912</x:v>
      </x:c>
      <x:c r="Y1413" s="58" t="n">
        <x:f>IF(R1413="No","",W1413*T1413*Assumptions!$B$9)</x:f>
        <x:v>-572754.3025545906</x:v>
      </x:c>
      <x:c r="Z1413" s="58" t="n">
        <x:f>IF(R1413="No","",X1413-Y1413)</x:f>
        <x:v>-2661761.4729145295</x:v>
      </x:c>
      <x:c r="AA1413" s="58" t="n">
        <x:f>IF(R1413="No","",MAX(0,-Z1413))</x:f>
        <x:v>2661761.4729145295</x:v>
      </x:c>
      <x:c r="AB1413" s="52" t="n">
        <x:f>IF(OR(R1413="No",U1413*S1413=0),"",AA1413/(U1413*S1413))</x:f>
        <x:v>0.06752862699536731</x:v>
      </x:c>
      <x:c r="AC1413" s="54" t="n">
        <x:f>IF(OR(R1413="No",S1413-T1413*Assumptions!$B$9&lt;=0),"",AA1413/(Assumptions!$B$8*(S1413-T1413*Assumptions!$B$9)))</x:f>
        <x:v>223.44760287859626</x:v>
      </x:c>
      <x:c r="AD1413" s="52" t="n">
        <x:f>IF(OR(R1413="No",U1413*S1413=0),"",AA1413/(U1413*S1413))</x:f>
        <x:v>0.06752862699536731</x:v>
      </x:c>
      <x:c r="AE1413" s="50" t="str">
        <x:f>IF(R1413="No","No finance data",IF(AB1413&gt;=10%,"Severe",IF(AB1413&gt;=5%,"High",IF(AB1413&gt;=2%,"Moderate","Low"))))</x:f>
        <x:v>High</x:v>
      </x:c>
      <x:c r="AF1413" s="60" t="n">
        <x:v>40.156579</x:v>
      </x:c>
      <x:c r="AG1413" s="60" t="n">
        <x:v>-76.988269</x:v>
      </x:c>
      <x:c r="AH1413" s="44" t="str">
        <x:v>Undergraduate tuition-contribution proxy only; not an audited total institutional budget.</x:v>
      </x:c>
    </x:row>
    <x:row r="1414">
      <x:c r="A1414" s="16" t="n">
        <x:v>214041</x:v>
      </x:c>
      <x:c r="B1414" s="16" t="str">
        <x:v>Millersville University of Pennsylvania</x:v>
      </x:c>
      <x:c r="C1414" s="16" t="str">
        <x:v>PA</x:v>
      </x:c>
      <x:c r="D1414" s="16" t="str">
        <x:v>Public</x:v>
      </x:c>
      <x:c r="E1414" s="34" t="n">
        <x:v>6952</x:v>
      </x:c>
      <x:c r="F1414" s="21" t="n">
        <x:v>0.9637</x:v>
      </x:c>
      <x:c r="G1414" s="16" t="str">
        <x:v>Statewide</x:v>
      </x:c>
      <x:c r="H1414" s="36" t="n">
        <x:f>IF(G1414="National",Assumptions!$B$11,IF(G1414="Statewide",Assumptions!$B$12,Assumptions!$B$13))</x:f>
        <x:v>0.6</x:v>
      </x:c>
      <x:c r="I1414" s="21" t="n">
        <x:v>-0.07201174532693544</x:v>
      </x:c>
      <x:c r="J1414" s="21" t="n">
        <x:v>-0.08817589343264343</x:v>
      </x:c>
      <x:c r="K1414" s="21" t="n">
        <x:v>-0.16258683663969065</x:v>
      </x:c>
      <x:c r="L1414" s="36" t="n">
        <x:f>IF(Assumptions!$B$4=2030,I1414,IF(Assumptions!$B$4=2035,J1414,K1414))</x:f>
        <x:v>-0.08817589343264343</x:v>
      </x:c>
      <x:c r="M1414" s="36" t="n">
        <x:f>Assumptions!$B$19</x:f>
        <x:v>-0.04739891965741583</x:v>
      </x:c>
      <x:c r="N1414" s="52" t="n">
        <x:f>H1414*L1414+(1-H1414)*M1414+O1414</x:f>
        <x:v>-0.07186510392255238</x:v>
      </x:c>
      <x:c r="O1414" s="36" t="n">
        <x:f>Assumptions!$B$10</x:f>
        <x:v>0</x:v>
      </x:c>
      <x:c r="P1414" s="54" t="n">
        <x:f>E1414*(1+N1414)</x:f>
        <x:v>6452.393797530415</x:v>
      </x:c>
      <x:c r="Q1414" s="54" t="n">
        <x:f>P1414-E1414</x:f>
        <x:v>-499.6062024695848</x:v>
      </x:c>
      <x:c r="R1414" s="16" t="str">
        <x:v>Yes</x:v>
      </x:c>
      <x:c r="S1414" s="56" t="n">
        <x:v>10357</x:v>
      </x:c>
      <x:c r="T1414" s="56" t="n">
        <x:v>9074</x:v>
      </x:c>
      <x:c r="U1414" s="40" t="n">
        <x:f>E1414*Assumptions!$B$8</x:f>
        <x:v>5909.2</x:v>
      </x:c>
      <x:c r="V1414" s="40" t="n">
        <x:f>P1414*Assumptions!$B$8</x:f>
        <x:v>5484.534727900853</x:v>
      </x:c>
      <x:c r="W1414" s="54" t="n">
        <x:f>V1414-U1414</x:f>
        <x:v>-424.66527209914693</x:v>
      </x:c>
      <x:c r="X1414" s="58" t="n">
        <x:f>IF(R1414="No","",W1414*S1414)</x:f>
        <x:v>-4398258.223130865</x:v>
      </x:c>
      <x:c r="Y1414" s="58" t="n">
        <x:f>IF(R1414="No","",W1414*T1414*Assumptions!$B$9)</x:f>
        <x:v>-1156023.8037082977</x:v>
      </x:c>
      <x:c r="Z1414" s="58" t="n">
        <x:f>IF(R1414="No","",X1414-Y1414)</x:f>
        <x:v>-3242234.4194225674</x:v>
      </x:c>
      <x:c r="AA1414" s="58" t="n">
        <x:f>IF(R1414="No","",MAX(0,-Z1414))</x:f>
        <x:v>3242234.4194225674</x:v>
      </x:c>
      <x:c r="AB1414" s="52" t="n">
        <x:f>IF(OR(R1414="No",U1414*S1414=0),"",AA1414/(U1414*S1414))</x:f>
        <x:v>0.052976315093936806</x:v>
      </x:c>
      <x:c r="AC1414" s="54" t="n">
        <x:f>IF(OR(R1414="No",S1414-T1414*Assumptions!$B$9&lt;=0),"",AA1414/(Assumptions!$B$8*(S1414-T1414*Assumptions!$B$9)))</x:f>
        <x:v>499.6062024695847</x:v>
      </x:c>
      <x:c r="AD1414" s="52" t="n">
        <x:f>IF(OR(R1414="No",U1414*S1414=0),"",AA1414/(U1414*S1414))</x:f>
        <x:v>0.052976315093936806</x:v>
      </x:c>
      <x:c r="AE1414" s="50" t="str">
        <x:f>IF(R1414="No","No finance data",IF(AB1414&gt;=10%,"Severe",IF(AB1414&gt;=5%,"High",IF(AB1414&gt;=2%,"Moderate","Low"))))</x:f>
        <x:v>High</x:v>
      </x:c>
      <x:c r="AF1414" s="60" t="n">
        <x:v>40.000337</x:v>
      </x:c>
      <x:c r="AG1414" s="60" t="n">
        <x:v>-76.357381</x:v>
      </x:c>
      <x:c r="AH1414" s="44" t="str">
        <x:v>Undergraduate tuition-contribution proxy only; not an audited total institutional budget.</x:v>
      </x:c>
    </x:row>
    <x:row r="1415">
      <x:c r="A1415" s="16" t="n">
        <x:v>214069</x:v>
      </x:c>
      <x:c r="B1415" s="16" t="str">
        <x:v>Misericordia University</x:v>
      </x:c>
      <x:c r="C1415" s="16" t="str">
        <x:v>PA</x:v>
      </x:c>
      <x:c r="D1415" s="16" t="str">
        <x:v>Private nonprofit</x:v>
      </x:c>
      <x:c r="E1415" s="34" t="n">
        <x:v>2342</x:v>
      </x:c>
      <x:c r="F1415" s="21" t="n">
        <x:v>0.891</x:v>
      </x:c>
      <x:c r="G1415" s="16" t="str">
        <x:v>Regional</x:v>
      </x:c>
      <x:c r="H1415" s="36" t="n">
        <x:f>IF(G1415="National",Assumptions!$B$11,IF(G1415="Statewide",Assumptions!$B$12,Assumptions!$B$13))</x:f>
        <x:v>0.85</x:v>
      </x:c>
      <x:c r="I1415" s="21" t="n">
        <x:v>-0.07201174532693544</x:v>
      </x:c>
      <x:c r="J1415" s="21" t="n">
        <x:v>-0.08817589343264343</x:v>
      </x:c>
      <x:c r="K1415" s="21" t="n">
        <x:v>-0.16258683663969065</x:v>
      </x:c>
      <x:c r="L1415" s="36" t="n">
        <x:f>IF(Assumptions!$B$4=2030,I1415,IF(Assumptions!$B$4=2035,J1415,K1415))</x:f>
        <x:v>-0.08817589343264343</x:v>
      </x:c>
      <x:c r="M1415" s="36" t="n">
        <x:f>Assumptions!$B$19</x:f>
        <x:v>-0.04739891965741583</x:v>
      </x:c>
      <x:c r="N1415" s="52" t="n">
        <x:f>H1415*L1415+(1-H1415)*M1415+O1415</x:f>
        <x:v>-0.08205934736635928</x:v>
      </x:c>
      <x:c r="O1415" s="36" t="n">
        <x:f>Assumptions!$B$10</x:f>
        <x:v>0</x:v>
      </x:c>
      <x:c r="P1415" s="54" t="n">
        <x:f>E1415*(1+N1415)</x:f>
        <x:v>2149.8170084679864</x:v>
      </x:c>
      <x:c r="Q1415" s="54" t="n">
        <x:f>P1415-E1415</x:f>
        <x:v>-192.1829915320136</x:v>
      </x:c>
      <x:c r="R1415" s="16" t="str">
        <x:v>Yes</x:v>
      </x:c>
      <x:c r="S1415" s="56" t="n">
        <x:v>19353</x:v>
      </x:c>
      <x:c r="T1415" s="56" t="n">
        <x:v>10973</x:v>
      </x:c>
      <x:c r="U1415" s="40" t="n">
        <x:f>E1415*Assumptions!$B$8</x:f>
        <x:v>1990.7</x:v>
      </x:c>
      <x:c r="V1415" s="40" t="n">
        <x:f>P1415*Assumptions!$B$8</x:f>
        <x:v>1827.3444571977884</x:v>
      </x:c>
      <x:c r="W1415" s="54" t="n">
        <x:f>V1415-U1415</x:f>
        <x:v>-163.35554280221163</x:v>
      </x:c>
      <x:c r="X1415" s="58" t="n">
        <x:f>IF(R1415="No","",W1415*S1415)</x:f>
        <x:v>-3161419.8198512015</x:v>
      </x:c>
      <x:c r="Y1415" s="58" t="n">
        <x:f>IF(R1415="No","",W1415*T1415*Assumptions!$B$9)</x:f>
        <x:v>-537750.1113506004</x:v>
      </x:c>
      <x:c r="Z1415" s="58" t="n">
        <x:f>IF(R1415="No","",X1415-Y1415)</x:f>
        <x:v>-2623669.7085006014</x:v>
      </x:c>
      <x:c r="AA1415" s="58" t="n">
        <x:f>IF(R1415="No","",MAX(0,-Z1415))</x:f>
        <x:v>2623669.7085006014</x:v>
      </x:c>
      <x:c r="AB1415" s="52" t="n">
        <x:f>IF(OR(R1415="No",U1415*S1415=0),"",AA1415/(U1415*S1415))</x:f>
        <x:v>0.06810124445749159</x:v>
      </x:c>
      <x:c r="AC1415" s="54" t="n">
        <x:f>IF(OR(R1415="No",S1415-T1415*Assumptions!$B$9&lt;=0),"",AA1415/(Assumptions!$B$8*(S1415-T1415*Assumptions!$B$9)))</x:f>
        <x:v>192.1829915320137</x:v>
      </x:c>
      <x:c r="AD1415" s="52" t="n">
        <x:f>IF(OR(R1415="No",U1415*S1415=0),"",AA1415/(U1415*S1415))</x:f>
        <x:v>0.06810124445749159</x:v>
      </x:c>
      <x:c r="AE1415" s="50" t="str">
        <x:f>IF(R1415="No","No finance data",IF(AB1415&gt;=10%,"Severe",IF(AB1415&gt;=5%,"High",IF(AB1415&gt;=2%,"Moderate","Low"))))</x:f>
        <x:v>High</x:v>
      </x:c>
      <x:c r="AF1415" s="60" t="n">
        <x:v>41.345277</x:v>
      </x:c>
      <x:c r="AG1415" s="60" t="n">
        <x:v>-75.971541</x:v>
      </x:c>
      <x:c r="AH1415" s="44" t="str">
        <x:v>Undergraduate tuition-contribution proxy only; not an audited total institutional budget.</x:v>
      </x:c>
    </x:row>
    <x:row r="1416">
      <x:c r="A1416" s="16" t="n">
        <x:v>214148</x:v>
      </x:c>
      <x:c r="B1416" s="16" t="str">
        <x:v>Moore College of Art and Design</x:v>
      </x:c>
      <x:c r="C1416" s="16" t="str">
        <x:v>PA</x:v>
      </x:c>
      <x:c r="D1416" s="16" t="str">
        <x:v>Private nonprofit</x:v>
      </x:c>
      <x:c r="E1416" s="34" t="n">
        <x:v>405</x:v>
      </x:c>
      <x:c r="F1416" s="21"/>
      <x:c r="G1416" s="16" t="str">
        <x:v>Regional</x:v>
      </x:c>
      <x:c r="H1416" s="36" t="n">
        <x:f>IF(G1416="National",Assumptions!$B$11,IF(G1416="Statewide",Assumptions!$B$12,Assumptions!$B$13))</x:f>
        <x:v>0.85</x:v>
      </x:c>
      <x:c r="I1416" s="21" t="n">
        <x:v>-0.07201174532693544</x:v>
      </x:c>
      <x:c r="J1416" s="21" t="n">
        <x:v>-0.08817589343264343</x:v>
      </x:c>
      <x:c r="K1416" s="21" t="n">
        <x:v>-0.16258683663969065</x:v>
      </x:c>
      <x:c r="L1416" s="36" t="n">
        <x:f>IF(Assumptions!$B$4=2030,I1416,IF(Assumptions!$B$4=2035,J1416,K1416))</x:f>
        <x:v>-0.08817589343264343</x:v>
      </x:c>
      <x:c r="M1416" s="36" t="n">
        <x:f>Assumptions!$B$19</x:f>
        <x:v>-0.04739891965741583</x:v>
      </x:c>
      <x:c r="N1416" s="52" t="n">
        <x:f>H1416*L1416+(1-H1416)*M1416+O1416</x:f>
        <x:v>-0.08205934736635928</x:v>
      </x:c>
      <x:c r="O1416" s="36" t="n">
        <x:f>Assumptions!$B$10</x:f>
        <x:v>0</x:v>
      </x:c>
      <x:c r="P1416" s="54" t="n">
        <x:f>E1416*(1+N1416)</x:f>
        <x:v>371.7659643166245</x:v>
      </x:c>
      <x:c r="Q1416" s="54" t="n">
        <x:f>P1416-E1416</x:f>
        <x:v>-33.23403568337551</x:v>
      </x:c>
      <x:c r="R1416" s="16" t="str">
        <x:v>No</x:v>
      </x:c>
      <x:c r="S1416" s="56"/>
      <x:c r="T1416" s="56"/>
      <x:c r="U1416" s="40" t="n">
        <x:f>E1416*Assumptions!$B$8</x:f>
        <x:v>344.25</x:v>
      </x:c>
      <x:c r="V1416" s="40" t="n">
        <x:f>P1416*Assumptions!$B$8</x:f>
        <x:v>316.0010696691308</x:v>
      </x:c>
      <x:c r="W1416" s="54" t="n">
        <x:f>V1416-U1416</x:f>
        <x:v>-28.2489303308692</x:v>
      </x:c>
      <x:c r="X1416" s="58" t="str">
        <x:f>IF(R1416="No","",W1416*S1416)</x:f>
      </x:c>
      <x:c r="Y1416" s="58" t="str">
        <x:f>IF(R1416="No","",W1416*T1416*Assumptions!$B$9)</x:f>
      </x:c>
      <x:c r="Z1416" s="58" t="str">
        <x:f>IF(R1416="No","",X1416-Y1416)</x:f>
      </x:c>
      <x:c r="AA1416" s="58" t="str">
        <x:f>IF(R1416="No","",MAX(0,-Z1416))</x:f>
      </x:c>
      <x:c r="AB1416" s="52" t="str">
        <x:f>IF(OR(R1416="No",U1416*S1416=0),"",AA1416/(U1416*S1416))</x:f>
      </x:c>
      <x:c r="AC1416" s="54" t="str">
        <x:f>IF(OR(R1416="No",S1416-T1416*Assumptions!$B$9&lt;=0),"",AA1416/(Assumptions!$B$8*(S1416-T1416*Assumptions!$B$9)))</x:f>
      </x:c>
      <x:c r="AD1416" s="52" t="str">
        <x:f>IF(OR(R1416="No",U1416*S1416=0),"",AA1416/(U1416*S1416))</x:f>
      </x:c>
      <x:c r="AE1416" s="50" t="str">
        <x:f>IF(R1416="No","No finance data",IF(AB1416&gt;=10%,"Severe",IF(AB1416&gt;=5%,"High",IF(AB1416&gt;=2%,"Moderate","Low"))))</x:f>
        <x:v>No finance data</x:v>
      </x:c>
      <x:c r="AF1416" s="60"/>
      <x:c r="AG1416" s="60"/>
      <x:c r="AH1416" s="44" t="str">
        <x:v>Undergraduate tuition-contribution proxy only; not an audited total institutional budget.</x:v>
      </x:c>
    </x:row>
    <x:row r="1417">
      <x:c r="A1417" s="16" t="n">
        <x:v>214157</x:v>
      </x:c>
      <x:c r="B1417" s="16" t="str">
        <x:v>Moravian College</x:v>
      </x:c>
      <x:c r="C1417" s="16" t="str">
        <x:v>PA</x:v>
      </x:c>
      <x:c r="D1417" s="16" t="str">
        <x:v>Private nonprofit</x:v>
      </x:c>
      <x:c r="E1417" s="34" t="n">
        <x:v>1765</x:v>
      </x:c>
      <x:c r="F1417" s="21" t="n">
        <x:v>0.7809</x:v>
      </x:c>
      <x:c r="G1417" s="16" t="str">
        <x:v>Regional</x:v>
      </x:c>
      <x:c r="H1417" s="36" t="n">
        <x:f>IF(G1417="National",Assumptions!$B$11,IF(G1417="Statewide",Assumptions!$B$12,Assumptions!$B$13))</x:f>
        <x:v>0.85</x:v>
      </x:c>
      <x:c r="I1417" s="21" t="n">
        <x:v>-0.07201174532693544</x:v>
      </x:c>
      <x:c r="J1417" s="21" t="n">
        <x:v>-0.08817589343264343</x:v>
      </x:c>
      <x:c r="K1417" s="21" t="n">
        <x:v>-0.16258683663969065</x:v>
      </x:c>
      <x:c r="L1417" s="36" t="n">
        <x:f>IF(Assumptions!$B$4=2030,I1417,IF(Assumptions!$B$4=2035,J1417,K1417))</x:f>
        <x:v>-0.08817589343264343</x:v>
      </x:c>
      <x:c r="M1417" s="36" t="n">
        <x:f>Assumptions!$B$19</x:f>
        <x:v>-0.04739891965741583</x:v>
      </x:c>
      <x:c r="N1417" s="52" t="n">
        <x:f>H1417*L1417+(1-H1417)*M1417+O1417</x:f>
        <x:v>-0.08205934736635928</x:v>
      </x:c>
      <x:c r="O1417" s="36" t="n">
        <x:f>Assumptions!$B$10</x:f>
        <x:v>0</x:v>
      </x:c>
      <x:c r="P1417" s="54" t="n">
        <x:f>E1417*(1+N1417)</x:f>
        <x:v>1620.1652518983758</x:v>
      </x:c>
      <x:c r="Q1417" s="54" t="n">
        <x:f>P1417-E1417</x:f>
        <x:v>-144.8347481016242</x:v>
      </x:c>
      <x:c r="R1417" s="16" t="str">
        <x:v>Yes</x:v>
      </x:c>
      <x:c r="S1417" s="56" t="n">
        <x:v>19370</x:v>
      </x:c>
      <x:c r="T1417" s="56" t="n">
        <x:v>13780</x:v>
      </x:c>
      <x:c r="U1417" s="40" t="n">
        <x:f>E1417*Assumptions!$B$8</x:f>
        <x:v>1500.25</x:v>
      </x:c>
      <x:c r="V1417" s="40" t="n">
        <x:f>P1417*Assumptions!$B$8</x:f>
        <x:v>1377.1404641136194</x:v>
      </x:c>
      <x:c r="W1417" s="54" t="n">
        <x:f>V1417-U1417</x:f>
        <x:v>-123.10953588638063</x:v>
      </x:c>
      <x:c r="X1417" s="58" t="n">
        <x:f>IF(R1417="No","",W1417*S1417)</x:f>
        <x:v>-2384631.710119193</x:v>
      </x:c>
      <x:c r="Y1417" s="58" t="n">
        <x:f>IF(R1417="No","",W1417*T1417*Assumptions!$B$9)</x:f>
        <x:v>-508934.8213542975</x:v>
      </x:c>
      <x:c r="Z1417" s="58" t="n">
        <x:f>IF(R1417="No","",X1417-Y1417)</x:f>
        <x:v>-1875696.8887648955</x:v>
      </x:c>
      <x:c r="AA1417" s="58" t="n">
        <x:f>IF(R1417="No","",MAX(0,-Z1417))</x:f>
        <x:v>1875696.8887648955</x:v>
      </x:c>
      <x:c r="AB1417" s="52" t="n">
        <x:f>IF(OR(R1417="No",U1417*S1417=0),"",AA1417/(U1417*S1417))</x:f>
        <x:v>0.06454601014320348</x:v>
      </x:c>
      <x:c r="AC1417" s="54" t="n">
        <x:f>IF(OR(R1417="No",S1417-T1417*Assumptions!$B$9&lt;=0),"",AA1417/(Assumptions!$B$8*(S1417-T1417*Assumptions!$B$9)))</x:f>
        <x:v>144.83474810162429</x:v>
      </x:c>
      <x:c r="AD1417" s="52" t="n">
        <x:f>IF(OR(R1417="No",U1417*S1417=0),"",AA1417/(U1417*S1417))</x:f>
        <x:v>0.06454601014320348</x:v>
      </x:c>
      <x:c r="AE1417" s="50" t="str">
        <x:f>IF(R1417="No","No finance data",IF(AB1417&gt;=10%,"Severe",IF(AB1417&gt;=5%,"High",IF(AB1417&gt;=2%,"Moderate","Low"))))</x:f>
        <x:v>High</x:v>
      </x:c>
      <x:c r="AF1417" s="60" t="n">
        <x:v>40.630947</x:v>
      </x:c>
      <x:c r="AG1417" s="60" t="n">
        <x:v>-75.383638</x:v>
      </x:c>
      <x:c r="AH1417" s="44" t="str">
        <x:v>Undergraduate tuition-contribution proxy only; not an audited total institutional budget.</x:v>
      </x:c>
    </x:row>
    <x:row r="1418">
      <x:c r="A1418" s="16" t="n">
        <x:v>214175</x:v>
      </x:c>
      <x:c r="B1418" s="16" t="str">
        <x:v>Muhlenberg College</x:v>
      </x:c>
      <x:c r="C1418" s="16" t="str">
        <x:v>PA</x:v>
      </x:c>
      <x:c r="D1418" s="16" t="str">
        <x:v>Private nonprofit</x:v>
      </x:c>
      <x:c r="E1418" s="34" t="n">
        <x:v>2330</x:v>
      </x:c>
      <x:c r="F1418" s="21" t="n">
        <x:v>0.6775</x:v>
      </x:c>
      <x:c r="G1418" s="16" t="str">
        <x:v>Regional</x:v>
      </x:c>
      <x:c r="H1418" s="36" t="n">
        <x:f>IF(G1418="National",Assumptions!$B$11,IF(G1418="Statewide",Assumptions!$B$12,Assumptions!$B$13))</x:f>
        <x:v>0.85</x:v>
      </x:c>
      <x:c r="I1418" s="21" t="n">
        <x:v>-0.07201174532693544</x:v>
      </x:c>
      <x:c r="J1418" s="21" t="n">
        <x:v>-0.08817589343264343</x:v>
      </x:c>
      <x:c r="K1418" s="21" t="n">
        <x:v>-0.16258683663969065</x:v>
      </x:c>
      <x:c r="L1418" s="36" t="n">
        <x:f>IF(Assumptions!$B$4=2030,I1418,IF(Assumptions!$B$4=2035,J1418,K1418))</x:f>
        <x:v>-0.08817589343264343</x:v>
      </x:c>
      <x:c r="M1418" s="36" t="n">
        <x:f>Assumptions!$B$19</x:f>
        <x:v>-0.04739891965741583</x:v>
      </x:c>
      <x:c r="N1418" s="52" t="n">
        <x:f>H1418*L1418+(1-H1418)*M1418+O1418</x:f>
        <x:v>-0.08205934736635928</x:v>
      </x:c>
      <x:c r="O1418" s="36" t="n">
        <x:f>Assumptions!$B$10</x:f>
        <x:v>0</x:v>
      </x:c>
      <x:c r="P1418" s="54" t="n">
        <x:f>E1418*(1+N1418)</x:f>
        <x:v>2138.801720636383</x:v>
      </x:c>
      <x:c r="Q1418" s="54" t="n">
        <x:f>P1418-E1418</x:f>
        <x:v>-191.19827936361708</x:v>
      </x:c>
      <x:c r="R1418" s="16" t="str">
        <x:v>Yes</x:v>
      </x:c>
      <x:c r="S1418" s="56" t="n">
        <x:v>22372</x:v>
      </x:c>
      <x:c r="T1418" s="56" t="n">
        <x:v>17072</x:v>
      </x:c>
      <x:c r="U1418" s="40" t="n">
        <x:f>E1418*Assumptions!$B$8</x:f>
        <x:v>1980.5</x:v>
      </x:c>
      <x:c r="V1418" s="40" t="n">
        <x:f>P1418*Assumptions!$B$8</x:f>
        <x:v>1817.9814625409253</x:v>
      </x:c>
      <x:c r="W1418" s="54" t="n">
        <x:f>V1418-U1418</x:f>
        <x:v>-162.51853745907465</x:v>
      </x:c>
      <x:c r="X1418" s="58" t="n">
        <x:f>IF(R1418="No","",W1418*S1418)</x:f>
        <x:v>-3635864.720034418</x:v>
      </x:c>
      <x:c r="Y1418" s="58" t="n">
        <x:f>IF(R1418="No","",W1418*T1418*Assumptions!$B$9)</x:f>
        <x:v>-832354.9414503967</x:v>
      </x:c>
      <x:c r="Z1418" s="58" t="n">
        <x:f>IF(R1418="No","",X1418-Y1418)</x:f>
        <x:v>-2803509.7785840216</x:v>
      </x:c>
      <x:c r="AA1418" s="58" t="n">
        <x:f>IF(R1418="No","",MAX(0,-Z1418))</x:f>
        <x:v>2803509.7785840216</x:v>
      </x:c>
      <x:c r="AB1418" s="52" t="n">
        <x:f>IF(OR(R1418="No",U1418*S1418=0),"",AA1418/(U1418*S1418))</x:f>
        <x:v>0.06327358152193122</x:v>
      </x:c>
      <x:c r="AC1418" s="54" t="n">
        <x:f>IF(OR(R1418="No",S1418-T1418*Assumptions!$B$9&lt;=0),"",AA1418/(Assumptions!$B$8*(S1418-T1418*Assumptions!$B$9)))</x:f>
        <x:v>191.19827936361725</x:v>
      </x:c>
      <x:c r="AD1418" s="52" t="n">
        <x:f>IF(OR(R1418="No",U1418*S1418=0),"",AA1418/(U1418*S1418))</x:f>
        <x:v>0.06327358152193122</x:v>
      </x:c>
      <x:c r="AE1418" s="50" t="str">
        <x:f>IF(R1418="No","No finance data",IF(AB1418&gt;=10%,"Severe",IF(AB1418&gt;=5%,"High",IF(AB1418&gt;=2%,"Moderate","Low"))))</x:f>
        <x:v>High</x:v>
      </x:c>
      <x:c r="AF1418" s="60" t="n">
        <x:v>40.596416</x:v>
      </x:c>
      <x:c r="AG1418" s="60" t="n">
        <x:v>-75.508502</x:v>
      </x:c>
      <x:c r="AH1418" s="44" t="str">
        <x:v>Undergraduate tuition-contribution proxy only; not an audited total institutional budget.</x:v>
      </x:c>
    </x:row>
    <x:row r="1419">
      <x:c r="A1419" s="16" t="n">
        <x:v>214272</x:v>
      </x:c>
      <x:c r="B1419" s="16" t="str">
        <x:v>Neumann University</x:v>
      </x:c>
      <x:c r="C1419" s="16" t="str">
        <x:v>PA</x:v>
      </x:c>
      <x:c r="D1419" s="16" t="str">
        <x:v>Private nonprofit</x:v>
      </x:c>
      <x:c r="E1419" s="34" t="n">
        <x:v>2358</x:v>
      </x:c>
      <x:c r="F1419" s="21" t="n">
        <x:v>0.842</x:v>
      </x:c>
      <x:c r="G1419" s="16" t="str">
        <x:v>Regional</x:v>
      </x:c>
      <x:c r="H1419" s="36" t="n">
        <x:f>IF(G1419="National",Assumptions!$B$11,IF(G1419="Statewide",Assumptions!$B$12,Assumptions!$B$13))</x:f>
        <x:v>0.85</x:v>
      </x:c>
      <x:c r="I1419" s="21" t="n">
        <x:v>-0.07201174532693544</x:v>
      </x:c>
      <x:c r="J1419" s="21" t="n">
        <x:v>-0.08817589343264343</x:v>
      </x:c>
      <x:c r="K1419" s="21" t="n">
        <x:v>-0.16258683663969065</x:v>
      </x:c>
      <x:c r="L1419" s="36" t="n">
        <x:f>IF(Assumptions!$B$4=2030,I1419,IF(Assumptions!$B$4=2035,J1419,K1419))</x:f>
        <x:v>-0.08817589343264343</x:v>
      </x:c>
      <x:c r="M1419" s="36" t="n">
        <x:f>Assumptions!$B$19</x:f>
        <x:v>-0.04739891965741583</x:v>
      </x:c>
      <x:c r="N1419" s="52" t="n">
        <x:f>H1419*L1419+(1-H1419)*M1419+O1419</x:f>
        <x:v>-0.08205934736635928</x:v>
      </x:c>
      <x:c r="O1419" s="36" t="n">
        <x:f>Assumptions!$B$10</x:f>
        <x:v>0</x:v>
      </x:c>
      <x:c r="P1419" s="54" t="n">
        <x:f>E1419*(1+N1419)</x:f>
        <x:v>2164.5040589101245</x:v>
      </x:c>
      <x:c r="Q1419" s="54" t="n">
        <x:f>P1419-E1419</x:f>
        <x:v>-193.4959410898755</x:v>
      </x:c>
      <x:c r="R1419" s="16" t="str">
        <x:v>Yes</x:v>
      </x:c>
      <x:c r="S1419" s="56" t="n">
        <x:v>17484</x:v>
      </x:c>
      <x:c r="T1419" s="56" t="n">
        <x:v>7711</x:v>
      </x:c>
      <x:c r="U1419" s="40" t="n">
        <x:f>E1419*Assumptions!$B$8</x:f>
        <x:v>2004.3</x:v>
      </x:c>
      <x:c r="V1419" s="40" t="n">
        <x:f>P1419*Assumptions!$B$8</x:f>
        <x:v>1839.8284500736058</x:v>
      </x:c>
      <x:c r="W1419" s="54" t="n">
        <x:f>V1419-U1419</x:f>
        <x:v>-164.47154992639412</x:v>
      </x:c>
      <x:c r="X1419" s="58" t="n">
        <x:f>IF(R1419="No","",W1419*S1419)</x:f>
        <x:v>-2875620.578913075</x:v>
      </x:c>
      <x:c r="Y1419" s="58" t="n">
        <x:f>IF(R1419="No","",W1419*T1419*Assumptions!$B$9)</x:f>
        <x:v>-380472.0364447275</x:v>
      </x:c>
      <x:c r="Z1419" s="58" t="n">
        <x:f>IF(R1419="No","",X1419-Y1419)</x:f>
        <x:v>-2495148.5424683476</x:v>
      </x:c>
      <x:c r="AA1419" s="58" t="n">
        <x:f>IF(R1419="No","",MAX(0,-Z1419))</x:f>
        <x:v>2495148.5424683476</x:v>
      </x:c>
      <x:c r="AB1419" s="52" t="n">
        <x:f>IF(OR(R1419="No",U1419*S1419=0),"",AA1419/(U1419*S1419))</x:f>
        <x:v>0.07120211285122562</x:v>
      </x:c>
      <x:c r="AC1419" s="54" t="n">
        <x:f>IF(OR(R1419="No",S1419-T1419*Assumptions!$B$9&lt;=0),"",AA1419/(Assumptions!$B$8*(S1419-T1419*Assumptions!$B$9)))</x:f>
        <x:v>193.49594108987543</x:v>
      </x:c>
      <x:c r="AD1419" s="52" t="n">
        <x:f>IF(OR(R1419="No",U1419*S1419=0),"",AA1419/(U1419*S1419))</x:f>
        <x:v>0.07120211285122562</x:v>
      </x:c>
      <x:c r="AE1419" s="50" t="str">
        <x:f>IF(R1419="No","No finance data",IF(AB1419&gt;=10%,"Severe",IF(AB1419&gt;=5%,"High",IF(AB1419&gt;=2%,"Moderate","Low"))))</x:f>
        <x:v>High</x:v>
      </x:c>
      <x:c r="AF1419" s="60" t="n">
        <x:v>39.874876</x:v>
      </x:c>
      <x:c r="AG1419" s="60" t="n">
        <x:v>-75.440022</x:v>
      </x:c>
      <x:c r="AH1419" s="44" t="str">
        <x:v>Undergraduate tuition-contribution proxy only; not an audited total institutional budget.</x:v>
      </x:c>
    </x:row>
    <x:row r="1420">
      <x:c r="A1420" s="16" t="n">
        <x:v>214883</x:v>
      </x:c>
      <x:c r="B1420" s="16" t="str">
        <x:v>Peirce College</x:v>
      </x:c>
      <x:c r="C1420" s="16" t="str">
        <x:v>PA</x:v>
      </x:c>
      <x:c r="D1420" s="16" t="str">
        <x:v>Private nonprofit</x:v>
      </x:c>
      <x:c r="E1420" s="34" t="n">
        <x:v>1622</x:v>
      </x:c>
      <x:c r="F1420" s="21"/>
      <x:c r="G1420" s="16" t="str">
        <x:v>Regional</x:v>
      </x:c>
      <x:c r="H1420" s="36" t="n">
        <x:f>IF(G1420="National",Assumptions!$B$11,IF(G1420="Statewide",Assumptions!$B$12,Assumptions!$B$13))</x:f>
        <x:v>0.85</x:v>
      </x:c>
      <x:c r="I1420" s="21" t="n">
        <x:v>-0.07201174532693544</x:v>
      </x:c>
      <x:c r="J1420" s="21" t="n">
        <x:v>-0.08817589343264343</x:v>
      </x:c>
      <x:c r="K1420" s="21" t="n">
        <x:v>-0.16258683663969065</x:v>
      </x:c>
      <x:c r="L1420" s="36" t="n">
        <x:f>IF(Assumptions!$B$4=2030,I1420,IF(Assumptions!$B$4=2035,J1420,K1420))</x:f>
        <x:v>-0.08817589343264343</x:v>
      </x:c>
      <x:c r="M1420" s="36" t="n">
        <x:f>Assumptions!$B$19</x:f>
        <x:v>-0.04739891965741583</x:v>
      </x:c>
      <x:c r="N1420" s="52" t="n">
        <x:f>H1420*L1420+(1-H1420)*M1420+O1420</x:f>
        <x:v>-0.08205934736635928</x:v>
      </x:c>
      <x:c r="O1420" s="36" t="n">
        <x:f>Assumptions!$B$10</x:f>
        <x:v>0</x:v>
      </x:c>
      <x:c r="P1420" s="54" t="n">
        <x:f>E1420*(1+N1420)</x:f>
        <x:v>1488.899738571765</x:v>
      </x:c>
      <x:c r="Q1420" s="54" t="n">
        <x:f>P1420-E1420</x:f>
        <x:v>-133.10026142823494</x:v>
      </x:c>
      <x:c r="R1420" s="16" t="str">
        <x:v>Yes</x:v>
      </x:c>
      <x:c r="S1420" s="56" t="n">
        <x:v>16637</x:v>
      </x:c>
      <x:c r="T1420" s="56" t="n">
        <x:v>7711</x:v>
      </x:c>
      <x:c r="U1420" s="40" t="n">
        <x:f>E1420*Assumptions!$B$8</x:f>
        <x:v>1378.7</x:v>
      </x:c>
      <x:c r="V1420" s="40" t="n">
        <x:f>P1420*Assumptions!$B$8</x:f>
        <x:v>1265.5647777860004</x:v>
      </x:c>
      <x:c r="W1420" s="54" t="n">
        <x:f>V1420-U1420</x:f>
        <x:v>-113.13522221399967</x:v>
      </x:c>
      <x:c r="X1420" s="58" t="n">
        <x:f>IF(R1420="No","",W1420*S1420)</x:f>
        <x:v>-1882230.6919743125</x:v>
      </x:c>
      <x:c r="Y1420" s="58" t="n">
        <x:f>IF(R1420="No","",W1420*T1420*Assumptions!$B$9)</x:f>
        <x:v>-261715.7095476454</x:v>
      </x:c>
      <x:c r="Z1420" s="58" t="n">
        <x:f>IF(R1420="No","",X1420-Y1420)</x:f>
        <x:v>-1620514.9824266671</x:v>
      </x:c>
      <x:c r="AA1420" s="58" t="n">
        <x:f>IF(R1420="No","",MAX(0,-Z1420))</x:f>
        <x:v>1620514.9824266671</x:v>
      </x:c>
      <x:c r="AB1420" s="52" t="n">
        <x:f>IF(OR(R1420="No",U1420*S1420=0),"",AA1420/(U1420*S1420))</x:f>
        <x:v>0.07064936430074663</x:v>
      </x:c>
      <x:c r="AC1420" s="54" t="n">
        <x:f>IF(OR(R1420="No",S1420-T1420*Assumptions!$B$9&lt;=0),"",AA1420/(Assumptions!$B$8*(S1420-T1420*Assumptions!$B$9)))</x:f>
        <x:v>133.10026142823492</x:v>
      </x:c>
      <x:c r="AD1420" s="52" t="n">
        <x:f>IF(OR(R1420="No",U1420*S1420=0),"",AA1420/(U1420*S1420))</x:f>
        <x:v>0.07064936430074663</x:v>
      </x:c>
      <x:c r="AE1420" s="50" t="str">
        <x:f>IF(R1420="No","No finance data",IF(AB1420&gt;=10%,"Severe",IF(AB1420&gt;=5%,"High",IF(AB1420&gt;=2%,"Moderate","Low"))))</x:f>
        <x:v>High</x:v>
      </x:c>
      <x:c r="AF1420" s="60" t="n">
        <x:v>39.945483</x:v>
      </x:c>
      <x:c r="AG1420" s="60" t="n">
        <x:v>-75.166332</x:v>
      </x:c>
      <x:c r="AH1420" s="44" t="str">
        <x:v>Undergraduate tuition-contribution proxy only; not an audited total institutional budget.</x:v>
      </x:c>
    </x:row>
    <x:row r="1421">
      <x:c r="A1421" s="16" t="n">
        <x:v>215053</x:v>
      </x:c>
      <x:c r="B1421" s="16" t="str">
        <x:v>Pennsylvania College of Art and Design</x:v>
      </x:c>
      <x:c r="C1421" s="16" t="str">
        <x:v>PA</x:v>
      </x:c>
      <x:c r="D1421" s="16" t="str">
        <x:v>Private nonprofit</x:v>
      </x:c>
      <x:c r="E1421" s="34" t="n">
        <x:v>222</x:v>
      </x:c>
      <x:c r="F1421" s="21"/>
      <x:c r="G1421" s="16" t="str">
        <x:v>Regional</x:v>
      </x:c>
      <x:c r="H1421" s="36" t="n">
        <x:f>IF(G1421="National",Assumptions!$B$11,IF(G1421="Statewide",Assumptions!$B$12,Assumptions!$B$13))</x:f>
        <x:v>0.85</x:v>
      </x:c>
      <x:c r="I1421" s="21" t="n">
        <x:v>-0.07201174532693544</x:v>
      </x:c>
      <x:c r="J1421" s="21" t="n">
        <x:v>-0.08817589343264343</x:v>
      </x:c>
      <x:c r="K1421" s="21" t="n">
        <x:v>-0.16258683663969065</x:v>
      </x:c>
      <x:c r="L1421" s="36" t="n">
        <x:f>IF(Assumptions!$B$4=2030,I1421,IF(Assumptions!$B$4=2035,J1421,K1421))</x:f>
        <x:v>-0.08817589343264343</x:v>
      </x:c>
      <x:c r="M1421" s="36" t="n">
        <x:f>Assumptions!$B$19</x:f>
        <x:v>-0.04739891965741583</x:v>
      </x:c>
      <x:c r="N1421" s="52" t="n">
        <x:f>H1421*L1421+(1-H1421)*M1421+O1421</x:f>
        <x:v>-0.08205934736635928</x:v>
      </x:c>
      <x:c r="O1421" s="36" t="n">
        <x:f>Assumptions!$B$10</x:f>
        <x:v>0</x:v>
      </x:c>
      <x:c r="P1421" s="54" t="n">
        <x:f>E1421*(1+N1421)</x:f>
        <x:v>203.78282488466823</x:v>
      </x:c>
      <x:c r="Q1421" s="54" t="n">
        <x:f>P1421-E1421</x:f>
        <x:v>-18.21717511533177</x:v>
      </x:c>
      <x:c r="R1421" s="16" t="str">
        <x:v>No</x:v>
      </x:c>
      <x:c r="S1421" s="56"/>
      <x:c r="T1421" s="56"/>
      <x:c r="U1421" s="40" t="n">
        <x:f>E1421*Assumptions!$B$8</x:f>
        <x:v>188.7</x:v>
      </x:c>
      <x:c r="V1421" s="40" t="n">
        <x:f>P1421*Assumptions!$B$8</x:f>
        <x:v>173.215401151968</x:v>
      </x:c>
      <x:c r="W1421" s="54" t="n">
        <x:f>V1421-U1421</x:f>
        <x:v>-15.484598848031993</x:v>
      </x:c>
      <x:c r="X1421" s="58" t="str">
        <x:f>IF(R1421="No","",W1421*S1421)</x:f>
      </x:c>
      <x:c r="Y1421" s="58" t="str">
        <x:f>IF(R1421="No","",W1421*T1421*Assumptions!$B$9)</x:f>
      </x:c>
      <x:c r="Z1421" s="58" t="str">
        <x:f>IF(R1421="No","",X1421-Y1421)</x:f>
      </x:c>
      <x:c r="AA1421" s="58" t="str">
        <x:f>IF(R1421="No","",MAX(0,-Z1421))</x:f>
      </x:c>
      <x:c r="AB1421" s="52" t="str">
        <x:f>IF(OR(R1421="No",U1421*S1421=0),"",AA1421/(U1421*S1421))</x:f>
      </x:c>
      <x:c r="AC1421" s="54" t="str">
        <x:f>IF(OR(R1421="No",S1421-T1421*Assumptions!$B$9&lt;=0),"",AA1421/(Assumptions!$B$8*(S1421-T1421*Assumptions!$B$9)))</x:f>
      </x:c>
      <x:c r="AD1421" s="52" t="str">
        <x:f>IF(OR(R1421="No",U1421*S1421=0),"",AA1421/(U1421*S1421))</x:f>
      </x:c>
      <x:c r="AE1421" s="50" t="str">
        <x:f>IF(R1421="No","No finance data",IF(AB1421&gt;=10%,"Severe",IF(AB1421&gt;=5%,"High",IF(AB1421&gt;=2%,"Moderate","Low"))))</x:f>
        <x:v>No finance data</x:v>
      </x:c>
      <x:c r="AF1421" s="60"/>
      <x:c r="AG1421" s="60"/>
      <x:c r="AH1421" s="44" t="str">
        <x:v>Undergraduate tuition-contribution proxy only; not an audited total institutional budget.</x:v>
      </x:c>
    </x:row>
    <x:row r="1422">
      <x:c r="A1422" s="16" t="n">
        <x:v>214777</x:v>
      </x:c>
      <x:c r="B1422" s="16" t="str">
        <x:v>Pennsylvania State University-Main Campus</x:v>
      </x:c>
      <x:c r="C1422" s="16" t="str">
        <x:v>PA</x:v>
      </x:c>
      <x:c r="D1422" s="16" t="str">
        <x:v>Public</x:v>
      </x:c>
      <x:c r="E1422" s="34" t="n">
        <x:v>40179</x:v>
      </x:c>
      <x:c r="F1422" s="21"/>
      <x:c r="G1422" s="16" t="str">
        <x:v>National</x:v>
      </x:c>
      <x:c r="H1422" s="36" t="n">
        <x:f>IF(G1422="National",Assumptions!$B$11,IF(G1422="Statewide",Assumptions!$B$12,Assumptions!$B$13))</x:f>
        <x:v>0.25</x:v>
      </x:c>
      <x:c r="I1422" s="21" t="n">
        <x:v>-0.07201174532693544</x:v>
      </x:c>
      <x:c r="J1422" s="21" t="n">
        <x:v>-0.08817589343264343</x:v>
      </x:c>
      <x:c r="K1422" s="21" t="n">
        <x:v>-0.16258683663969065</x:v>
      </x:c>
      <x:c r="L1422" s="36" t="n">
        <x:f>IF(Assumptions!$B$4=2030,I1422,IF(Assumptions!$B$4=2035,J1422,K1422))</x:f>
        <x:v>-0.08817589343264343</x:v>
      </x:c>
      <x:c r="M1422" s="36" t="n">
        <x:f>Assumptions!$B$19</x:f>
        <x:v>-0.04739891965741583</x:v>
      </x:c>
      <x:c r="N1422" s="52" t="n">
        <x:f>H1422*L1422+(1-H1422)*M1422+O1422</x:f>
        <x:v>-0.05759316310122273</x:v>
      </x:c>
      <x:c r="O1422" s="36" t="n">
        <x:f>Assumptions!$B$10</x:f>
        <x:v>0</x:v>
      </x:c>
      <x:c r="P1422" s="54" t="n">
        <x:f>E1422*(1+N1422)</x:f>
        <x:v>37864.96429975597</x:v>
      </x:c>
      <x:c r="Q1422" s="54" t="n">
        <x:f>P1422-E1422</x:f>
        <x:v>-2314.0357002440287</x:v>
      </x:c>
      <x:c r="R1422" s="16" t="str">
        <x:v>No</x:v>
      </x:c>
      <x:c r="S1422" s="56"/>
      <x:c r="T1422" s="56"/>
      <x:c r="U1422" s="40" t="n">
        <x:f>E1422*Assumptions!$B$8</x:f>
        <x:v>34152.15</x:v>
      </x:c>
      <x:c r="V1422" s="40" t="n">
        <x:f>P1422*Assumptions!$B$8</x:f>
        <x:v>32185.219654792574</x:v>
      </x:c>
      <x:c r="W1422" s="54" t="n">
        <x:f>V1422-U1422</x:f>
        <x:v>-1966.9303452074273</x:v>
      </x:c>
      <x:c r="X1422" s="58" t="str">
        <x:f>IF(R1422="No","",W1422*S1422)</x:f>
      </x:c>
      <x:c r="Y1422" s="58" t="str">
        <x:f>IF(R1422="No","",W1422*T1422*Assumptions!$B$9)</x:f>
      </x:c>
      <x:c r="Z1422" s="58" t="str">
        <x:f>IF(R1422="No","",X1422-Y1422)</x:f>
      </x:c>
      <x:c r="AA1422" s="58" t="str">
        <x:f>IF(R1422="No","",MAX(0,-Z1422))</x:f>
      </x:c>
      <x:c r="AB1422" s="52" t="str">
        <x:f>IF(OR(R1422="No",U1422*S1422=0),"",AA1422/(U1422*S1422))</x:f>
      </x:c>
      <x:c r="AC1422" s="54" t="str">
        <x:f>IF(OR(R1422="No",S1422-T1422*Assumptions!$B$9&lt;=0),"",AA1422/(Assumptions!$B$8*(S1422-T1422*Assumptions!$B$9)))</x:f>
      </x:c>
      <x:c r="AD1422" s="52" t="str">
        <x:f>IF(OR(R1422="No",U1422*S1422=0),"",AA1422/(U1422*S1422))</x:f>
      </x:c>
      <x:c r="AE1422" s="50" t="str">
        <x:f>IF(R1422="No","No finance data",IF(AB1422&gt;=10%,"Severe",IF(AB1422&gt;=5%,"High",IF(AB1422&gt;=2%,"Moderate","Low"))))</x:f>
        <x:v>No finance data</x:v>
      </x:c>
      <x:c r="AF1422" s="60"/>
      <x:c r="AG1422" s="60"/>
      <x:c r="AH1422" s="44" t="str">
        <x:v>Undergraduate tuition-contribution proxy only; not an audited total institutional budget.</x:v>
      </x:c>
    </x:row>
    <x:row r="1423">
      <x:c r="A1423" s="16" t="n">
        <x:v>214801</x:v>
      </x:c>
      <x:c r="B1423" s="16" t="str">
        <x:v>Pennsylvania State University-Penn State Abington</x:v>
      </x:c>
      <x:c r="C1423" s="16" t="str">
        <x:v>PA</x:v>
      </x:c>
      <x:c r="D1423" s="16" t="str">
        <x:v>Public</x:v>
      </x:c>
      <x:c r="E1423" s="34" t="n">
        <x:v>3490</x:v>
      </x:c>
      <x:c r="F1423" s="21"/>
      <x:c r="G1423" s="16" t="str">
        <x:v>Regional</x:v>
      </x:c>
      <x:c r="H1423" s="36" t="n">
        <x:f>IF(G1423="National",Assumptions!$B$11,IF(G1423="Statewide",Assumptions!$B$12,Assumptions!$B$13))</x:f>
        <x:v>0.85</x:v>
      </x:c>
      <x:c r="I1423" s="21" t="n">
        <x:v>-0.07201174532693544</x:v>
      </x:c>
      <x:c r="J1423" s="21" t="n">
        <x:v>-0.08817589343264343</x:v>
      </x:c>
      <x:c r="K1423" s="21" t="n">
        <x:v>-0.16258683663969065</x:v>
      </x:c>
      <x:c r="L1423" s="36" t="n">
        <x:f>IF(Assumptions!$B$4=2030,I1423,IF(Assumptions!$B$4=2035,J1423,K1423))</x:f>
        <x:v>-0.08817589343264343</x:v>
      </x:c>
      <x:c r="M1423" s="36" t="n">
        <x:f>Assumptions!$B$19</x:f>
        <x:v>-0.04739891965741583</x:v>
      </x:c>
      <x:c r="N1423" s="52" t="n">
        <x:f>H1423*L1423+(1-H1423)*M1423+O1423</x:f>
        <x:v>-0.08205934736635928</x:v>
      </x:c>
      <x:c r="O1423" s="36" t="n">
        <x:f>Assumptions!$B$10</x:f>
        <x:v>0</x:v>
      </x:c>
      <x:c r="P1423" s="54" t="n">
        <x:f>E1423*(1+N1423)</x:f>
        <x:v>3203.612877691406</x:v>
      </x:c>
      <x:c r="Q1423" s="54" t="n">
        <x:f>P1423-E1423</x:f>
        <x:v>-286.3871223085939</x:v>
      </x:c>
      <x:c r="R1423" s="16" t="str">
        <x:v>No</x:v>
      </x:c>
      <x:c r="S1423" s="56"/>
      <x:c r="T1423" s="56"/>
      <x:c r="U1423" s="40" t="n">
        <x:f>E1423*Assumptions!$B$8</x:f>
        <x:v>2966.5</x:v>
      </x:c>
      <x:c r="V1423" s="40" t="n">
        <x:f>P1423*Assumptions!$B$8</x:f>
        <x:v>2723.070946037695</x:v>
      </x:c>
      <x:c r="W1423" s="54" t="n">
        <x:f>V1423-U1423</x:f>
        <x:v>-243.4290539623048</x:v>
      </x:c>
      <x:c r="X1423" s="58" t="str">
        <x:f>IF(R1423="No","",W1423*S1423)</x:f>
      </x:c>
      <x:c r="Y1423" s="58" t="str">
        <x:f>IF(R1423="No","",W1423*T1423*Assumptions!$B$9)</x:f>
      </x:c>
      <x:c r="Z1423" s="58" t="str">
        <x:f>IF(R1423="No","",X1423-Y1423)</x:f>
      </x:c>
      <x:c r="AA1423" s="58" t="str">
        <x:f>IF(R1423="No","",MAX(0,-Z1423))</x:f>
      </x:c>
      <x:c r="AB1423" s="52" t="str">
        <x:f>IF(OR(R1423="No",U1423*S1423=0),"",AA1423/(U1423*S1423))</x:f>
      </x:c>
      <x:c r="AC1423" s="54" t="str">
        <x:f>IF(OR(R1423="No",S1423-T1423*Assumptions!$B$9&lt;=0),"",AA1423/(Assumptions!$B$8*(S1423-T1423*Assumptions!$B$9)))</x:f>
      </x:c>
      <x:c r="AD1423" s="52" t="str">
        <x:f>IF(OR(R1423="No",U1423*S1423=0),"",AA1423/(U1423*S1423))</x:f>
      </x:c>
      <x:c r="AE1423" s="50" t="str">
        <x:f>IF(R1423="No","No finance data",IF(AB1423&gt;=10%,"Severe",IF(AB1423&gt;=5%,"High",IF(AB1423&gt;=2%,"Moderate","Low"))))</x:f>
        <x:v>No finance data</x:v>
      </x:c>
      <x:c r="AF1423" s="60"/>
      <x:c r="AG1423" s="60"/>
      <x:c r="AH1423" s="44" t="str">
        <x:v>Undergraduate tuition-contribution proxy only; not an audited total institutional budget.</x:v>
      </x:c>
    </x:row>
    <x:row r="1424">
      <x:c r="A1424" s="16" t="n">
        <x:v>214689</x:v>
      </x:c>
      <x:c r="B1424" s="16" t="str">
        <x:v>Pennsylvania State University-Penn State Altoona</x:v>
      </x:c>
      <x:c r="C1424" s="16" t="str">
        <x:v>PA</x:v>
      </x:c>
      <x:c r="D1424" s="16" t="str">
        <x:v>Public</x:v>
      </x:c>
      <x:c r="E1424" s="34" t="n">
        <x:v>3772</x:v>
      </x:c>
      <x:c r="F1424" s="21"/>
      <x:c r="G1424" s="16" t="str">
        <x:v>Regional</x:v>
      </x:c>
      <x:c r="H1424" s="36" t="n">
        <x:f>IF(G1424="National",Assumptions!$B$11,IF(G1424="Statewide",Assumptions!$B$12,Assumptions!$B$13))</x:f>
        <x:v>0.85</x:v>
      </x:c>
      <x:c r="I1424" s="21" t="n">
        <x:v>-0.07201174532693544</x:v>
      </x:c>
      <x:c r="J1424" s="21" t="n">
        <x:v>-0.08817589343264343</x:v>
      </x:c>
      <x:c r="K1424" s="21" t="n">
        <x:v>-0.16258683663969065</x:v>
      </x:c>
      <x:c r="L1424" s="36" t="n">
        <x:f>IF(Assumptions!$B$4=2030,I1424,IF(Assumptions!$B$4=2035,J1424,K1424))</x:f>
        <x:v>-0.08817589343264343</x:v>
      </x:c>
      <x:c r="M1424" s="36" t="n">
        <x:f>Assumptions!$B$19</x:f>
        <x:v>-0.04739891965741583</x:v>
      </x:c>
      <x:c r="N1424" s="52" t="n">
        <x:f>H1424*L1424+(1-H1424)*M1424+O1424</x:f>
        <x:v>-0.08205934736635928</x:v>
      </x:c>
      <x:c r="O1424" s="36" t="n">
        <x:f>Assumptions!$B$10</x:f>
        <x:v>0</x:v>
      </x:c>
      <x:c r="P1424" s="54" t="n">
        <x:f>E1424*(1+N1424)</x:f>
        <x:v>3462.4721417340925</x:v>
      </x:c>
      <x:c r="Q1424" s="54" t="n">
        <x:f>P1424-E1424</x:f>
        <x:v>-309.5278582659075</x:v>
      </x:c>
      <x:c r="R1424" s="16" t="str">
        <x:v>No</x:v>
      </x:c>
      <x:c r="S1424" s="56"/>
      <x:c r="T1424" s="56"/>
      <x:c r="U1424" s="40" t="n">
        <x:f>E1424*Assumptions!$B$8</x:f>
        <x:v>3206.2</x:v>
      </x:c>
      <x:c r="V1424" s="40" t="n">
        <x:f>P1424*Assumptions!$B$8</x:f>
        <x:v>2943.1013204739784</x:v>
      </x:c>
      <x:c r="W1424" s="54" t="n">
        <x:f>V1424-U1424</x:f>
        <x:v>-263.09867952602144</x:v>
      </x:c>
      <x:c r="X1424" s="58" t="str">
        <x:f>IF(R1424="No","",W1424*S1424)</x:f>
      </x:c>
      <x:c r="Y1424" s="58" t="str">
        <x:f>IF(R1424="No","",W1424*T1424*Assumptions!$B$9)</x:f>
      </x:c>
      <x:c r="Z1424" s="58" t="str">
        <x:f>IF(R1424="No","",X1424-Y1424)</x:f>
      </x:c>
      <x:c r="AA1424" s="58" t="str">
        <x:f>IF(R1424="No","",MAX(0,-Z1424))</x:f>
      </x:c>
      <x:c r="AB1424" s="52" t="str">
        <x:f>IF(OR(R1424="No",U1424*S1424=0),"",AA1424/(U1424*S1424))</x:f>
      </x:c>
      <x:c r="AC1424" s="54" t="str">
        <x:f>IF(OR(R1424="No",S1424-T1424*Assumptions!$B$9&lt;=0),"",AA1424/(Assumptions!$B$8*(S1424-T1424*Assumptions!$B$9)))</x:f>
      </x:c>
      <x:c r="AD1424" s="52" t="str">
        <x:f>IF(OR(R1424="No",U1424*S1424=0),"",AA1424/(U1424*S1424))</x:f>
      </x:c>
      <x:c r="AE1424" s="50" t="str">
        <x:f>IF(R1424="No","No finance data",IF(AB1424&gt;=10%,"Severe",IF(AB1424&gt;=5%,"High",IF(AB1424&gt;=2%,"Moderate","Low"))))</x:f>
        <x:v>No finance data</x:v>
      </x:c>
      <x:c r="AF1424" s="60"/>
      <x:c r="AG1424" s="60"/>
      <x:c r="AH1424" s="44" t="str">
        <x:v>Undergraduate tuition-contribution proxy only; not an audited total institutional budget.</x:v>
      </x:c>
    </x:row>
    <x:row r="1425">
      <x:c r="A1425" s="16" t="n">
        <x:v>214698</x:v>
      </x:c>
      <x:c r="B1425" s="16" t="str">
        <x:v>Pennsylvania State University-Penn State Beaver</x:v>
      </x:c>
      <x:c r="C1425" s="16" t="str">
        <x:v>PA</x:v>
      </x:c>
      <x:c r="D1425" s="16" t="str">
        <x:v>Public</x:v>
      </x:c>
      <x:c r="E1425" s="34" t="n">
        <x:v>639</x:v>
      </x:c>
      <x:c r="F1425" s="21"/>
      <x:c r="G1425" s="16" t="str">
        <x:v>Regional</x:v>
      </x:c>
      <x:c r="H1425" s="36" t="n">
        <x:f>IF(G1425="National",Assumptions!$B$11,IF(G1425="Statewide",Assumptions!$B$12,Assumptions!$B$13))</x:f>
        <x:v>0.85</x:v>
      </x:c>
      <x:c r="I1425" s="21" t="n">
        <x:v>-0.07201174532693544</x:v>
      </x:c>
      <x:c r="J1425" s="21" t="n">
        <x:v>-0.08817589343264343</x:v>
      </x:c>
      <x:c r="K1425" s="21" t="n">
        <x:v>-0.16258683663969065</x:v>
      </x:c>
      <x:c r="L1425" s="36" t="n">
        <x:f>IF(Assumptions!$B$4=2030,I1425,IF(Assumptions!$B$4=2035,J1425,K1425))</x:f>
        <x:v>-0.08817589343264343</x:v>
      </x:c>
      <x:c r="M1425" s="36" t="n">
        <x:f>Assumptions!$B$19</x:f>
        <x:v>-0.04739891965741583</x:v>
      </x:c>
      <x:c r="N1425" s="52" t="n">
        <x:f>H1425*L1425+(1-H1425)*M1425+O1425</x:f>
        <x:v>-0.08205934736635928</x:v>
      </x:c>
      <x:c r="O1425" s="36" t="n">
        <x:f>Assumptions!$B$10</x:f>
        <x:v>0</x:v>
      </x:c>
      <x:c r="P1425" s="54" t="n">
        <x:f>E1425*(1+N1425)</x:f>
        <x:v>586.5640770328964</x:v>
      </x:c>
      <x:c r="Q1425" s="54" t="n">
        <x:f>P1425-E1425</x:f>
        <x:v>-52.43592296710358</x:v>
      </x:c>
      <x:c r="R1425" s="16" t="str">
        <x:v>No</x:v>
      </x:c>
      <x:c r="S1425" s="56"/>
      <x:c r="T1425" s="56"/>
      <x:c r="U1425" s="40" t="n">
        <x:f>E1425*Assumptions!$B$8</x:f>
        <x:v>543.15</x:v>
      </x:c>
      <x:c r="V1425" s="40" t="n">
        <x:f>P1425*Assumptions!$B$8</x:f>
        <x:v>498.57946547796195</x:v>
      </x:c>
      <x:c r="W1425" s="54" t="n">
        <x:f>V1425-U1425</x:f>
        <x:v>-44.57053452203803</x:v>
      </x:c>
      <x:c r="X1425" s="58" t="str">
        <x:f>IF(R1425="No","",W1425*S1425)</x:f>
      </x:c>
      <x:c r="Y1425" s="58" t="str">
        <x:f>IF(R1425="No","",W1425*T1425*Assumptions!$B$9)</x:f>
      </x:c>
      <x:c r="Z1425" s="58" t="str">
        <x:f>IF(R1425="No","",X1425-Y1425)</x:f>
      </x:c>
      <x:c r="AA1425" s="58" t="str">
        <x:f>IF(R1425="No","",MAX(0,-Z1425))</x:f>
      </x:c>
      <x:c r="AB1425" s="52" t="str">
        <x:f>IF(OR(R1425="No",U1425*S1425=0),"",AA1425/(U1425*S1425))</x:f>
      </x:c>
      <x:c r="AC1425" s="54" t="str">
        <x:f>IF(OR(R1425="No",S1425-T1425*Assumptions!$B$9&lt;=0),"",AA1425/(Assumptions!$B$8*(S1425-T1425*Assumptions!$B$9)))</x:f>
      </x:c>
      <x:c r="AD1425" s="52" t="str">
        <x:f>IF(OR(R1425="No",U1425*S1425=0),"",AA1425/(U1425*S1425))</x:f>
      </x:c>
      <x:c r="AE1425" s="50" t="str">
        <x:f>IF(R1425="No","No finance data",IF(AB1425&gt;=10%,"Severe",IF(AB1425&gt;=5%,"High",IF(AB1425&gt;=2%,"Moderate","Low"))))</x:f>
        <x:v>No finance data</x:v>
      </x:c>
      <x:c r="AF1425" s="60"/>
      <x:c r="AG1425" s="60"/>
      <x:c r="AH1425" s="44" t="str">
        <x:v>Undergraduate tuition-contribution proxy only; not an audited total institutional budget.</x:v>
      </x:c>
    </x:row>
    <x:row r="1426">
      <x:c r="A1426" s="16" t="n">
        <x:v>214704</x:v>
      </x:c>
      <x:c r="B1426" s="16" t="str">
        <x:v>Pennsylvania State University-Penn State Berks</x:v>
      </x:c>
      <x:c r="C1426" s="16" t="str">
        <x:v>PA</x:v>
      </x:c>
      <x:c r="D1426" s="16" t="str">
        <x:v>Public</x:v>
      </x:c>
      <x:c r="E1426" s="34" t="n">
        <x:v>2778</x:v>
      </x:c>
      <x:c r="F1426" s="21"/>
      <x:c r="G1426" s="16" t="str">
        <x:v>Regional</x:v>
      </x:c>
      <x:c r="H1426" s="36" t="n">
        <x:f>IF(G1426="National",Assumptions!$B$11,IF(G1426="Statewide",Assumptions!$B$12,Assumptions!$B$13))</x:f>
        <x:v>0.85</x:v>
      </x:c>
      <x:c r="I1426" s="21" t="n">
        <x:v>-0.07201174532693544</x:v>
      </x:c>
      <x:c r="J1426" s="21" t="n">
        <x:v>-0.08817589343264343</x:v>
      </x:c>
      <x:c r="K1426" s="21" t="n">
        <x:v>-0.16258683663969065</x:v>
      </x:c>
      <x:c r="L1426" s="36" t="n">
        <x:f>IF(Assumptions!$B$4=2030,I1426,IF(Assumptions!$B$4=2035,J1426,K1426))</x:f>
        <x:v>-0.08817589343264343</x:v>
      </x:c>
      <x:c r="M1426" s="36" t="n">
        <x:f>Assumptions!$B$19</x:f>
        <x:v>-0.04739891965741583</x:v>
      </x:c>
      <x:c r="N1426" s="52" t="n">
        <x:f>H1426*L1426+(1-H1426)*M1426+O1426</x:f>
        <x:v>-0.08205934736635928</x:v>
      </x:c>
      <x:c r="O1426" s="36" t="n">
        <x:f>Assumptions!$B$10</x:f>
        <x:v>0</x:v>
      </x:c>
      <x:c r="P1426" s="54" t="n">
        <x:f>E1426*(1+N1426)</x:f>
        <x:v>2550.039133016254</x:v>
      </x:c>
      <x:c r="Q1426" s="54" t="n">
        <x:f>P1426-E1426</x:f>
        <x:v>-227.9608669837462</x:v>
      </x:c>
      <x:c r="R1426" s="16" t="str">
        <x:v>No</x:v>
      </x:c>
      <x:c r="S1426" s="56"/>
      <x:c r="T1426" s="56"/>
      <x:c r="U1426" s="40" t="n">
        <x:f>E1426*Assumptions!$B$8</x:f>
        <x:v>2361.2999999999997</x:v>
      </x:c>
      <x:c r="V1426" s="40" t="n">
        <x:f>P1426*Assumptions!$B$8</x:f>
        <x:v>2167.533263063816</x:v>
      </x:c>
      <x:c r="W1426" s="54" t="n">
        <x:f>V1426-U1426</x:f>
        <x:v>-193.76673693618386</x:v>
      </x:c>
      <x:c r="X1426" s="58" t="str">
        <x:f>IF(R1426="No","",W1426*S1426)</x:f>
      </x:c>
      <x:c r="Y1426" s="58" t="str">
        <x:f>IF(R1426="No","",W1426*T1426*Assumptions!$B$9)</x:f>
      </x:c>
      <x:c r="Z1426" s="58" t="str">
        <x:f>IF(R1426="No","",X1426-Y1426)</x:f>
      </x:c>
      <x:c r="AA1426" s="58" t="str">
        <x:f>IF(R1426="No","",MAX(0,-Z1426))</x:f>
      </x:c>
      <x:c r="AB1426" s="52" t="str">
        <x:f>IF(OR(R1426="No",U1426*S1426=0),"",AA1426/(U1426*S1426))</x:f>
      </x:c>
      <x:c r="AC1426" s="54" t="str">
        <x:f>IF(OR(R1426="No",S1426-T1426*Assumptions!$B$9&lt;=0),"",AA1426/(Assumptions!$B$8*(S1426-T1426*Assumptions!$B$9)))</x:f>
      </x:c>
      <x:c r="AD1426" s="52" t="str">
        <x:f>IF(OR(R1426="No",U1426*S1426=0),"",AA1426/(U1426*S1426))</x:f>
      </x:c>
      <x:c r="AE1426" s="50" t="str">
        <x:f>IF(R1426="No","No finance data",IF(AB1426&gt;=10%,"Severe",IF(AB1426&gt;=5%,"High",IF(AB1426&gt;=2%,"Moderate","Low"))))</x:f>
        <x:v>No finance data</x:v>
      </x:c>
      <x:c r="AF1426" s="60"/>
      <x:c r="AG1426" s="60"/>
      <x:c r="AH1426" s="44" t="str">
        <x:v>Undergraduate tuition-contribution proxy only; not an audited total institutional budget.</x:v>
      </x:c>
    </x:row>
    <x:row r="1427">
      <x:c r="A1427" s="16" t="n">
        <x:v>214731</x:v>
      </x:c>
      <x:c r="B1427" s="16" t="str">
        <x:v>Pennsylvania State University-Penn State Brandywine</x:v>
      </x:c>
      <x:c r="C1427" s="16" t="str">
        <x:v>PA</x:v>
      </x:c>
      <x:c r="D1427" s="16" t="str">
        <x:v>Public</x:v>
      </x:c>
      <x:c r="E1427" s="34" t="n">
        <x:v>1291</x:v>
      </x:c>
      <x:c r="F1427" s="21"/>
      <x:c r="G1427" s="16" t="str">
        <x:v>Regional</x:v>
      </x:c>
      <x:c r="H1427" s="36" t="n">
        <x:f>IF(G1427="National",Assumptions!$B$11,IF(G1427="Statewide",Assumptions!$B$12,Assumptions!$B$13))</x:f>
        <x:v>0.85</x:v>
      </x:c>
      <x:c r="I1427" s="21" t="n">
        <x:v>-0.07201174532693544</x:v>
      </x:c>
      <x:c r="J1427" s="21" t="n">
        <x:v>-0.08817589343264343</x:v>
      </x:c>
      <x:c r="K1427" s="21" t="n">
        <x:v>-0.16258683663969065</x:v>
      </x:c>
      <x:c r="L1427" s="36" t="n">
        <x:f>IF(Assumptions!$B$4=2030,I1427,IF(Assumptions!$B$4=2035,J1427,K1427))</x:f>
        <x:v>-0.08817589343264343</x:v>
      </x:c>
      <x:c r="M1427" s="36" t="n">
        <x:f>Assumptions!$B$19</x:f>
        <x:v>-0.04739891965741583</x:v>
      </x:c>
      <x:c r="N1427" s="52" t="n">
        <x:f>H1427*L1427+(1-H1427)*M1427+O1427</x:f>
        <x:v>-0.08205934736635928</x:v>
      </x:c>
      <x:c r="O1427" s="36" t="n">
        <x:f>Assumptions!$B$10</x:f>
        <x:v>0</x:v>
      </x:c>
      <x:c r="P1427" s="54" t="n">
        <x:f>E1427*(1+N1427)</x:f>
        <x:v>1185.0613825500302</x:v>
      </x:c>
      <x:c r="Q1427" s="54" t="n">
        <x:f>P1427-E1427</x:f>
        <x:v>-105.9386174499698</x:v>
      </x:c>
      <x:c r="R1427" s="16" t="str">
        <x:v>No</x:v>
      </x:c>
      <x:c r="S1427" s="56"/>
      <x:c r="T1427" s="56"/>
      <x:c r="U1427" s="40" t="n">
        <x:f>E1427*Assumptions!$B$8</x:f>
        <x:v>1097.35</x:v>
      </x:c>
      <x:c r="V1427" s="40" t="n">
        <x:f>P1427*Assumptions!$B$8</x:f>
        <x:v>1007.3021751675257</x:v>
      </x:c>
      <x:c r="W1427" s="54" t="n">
        <x:f>V1427-U1427</x:f>
        <x:v>-90.04782483247425</x:v>
      </x:c>
      <x:c r="X1427" s="58" t="str">
        <x:f>IF(R1427="No","",W1427*S1427)</x:f>
      </x:c>
      <x:c r="Y1427" s="58" t="str">
        <x:f>IF(R1427="No","",W1427*T1427*Assumptions!$B$9)</x:f>
      </x:c>
      <x:c r="Z1427" s="58" t="str">
        <x:f>IF(R1427="No","",X1427-Y1427)</x:f>
      </x:c>
      <x:c r="AA1427" s="58" t="str">
        <x:f>IF(R1427="No","",MAX(0,-Z1427))</x:f>
      </x:c>
      <x:c r="AB1427" s="52" t="str">
        <x:f>IF(OR(R1427="No",U1427*S1427=0),"",AA1427/(U1427*S1427))</x:f>
      </x:c>
      <x:c r="AC1427" s="54" t="str">
        <x:f>IF(OR(R1427="No",S1427-T1427*Assumptions!$B$9&lt;=0),"",AA1427/(Assumptions!$B$8*(S1427-T1427*Assumptions!$B$9)))</x:f>
      </x:c>
      <x:c r="AD1427" s="52" t="str">
        <x:f>IF(OR(R1427="No",U1427*S1427=0),"",AA1427/(U1427*S1427))</x:f>
      </x:c>
      <x:c r="AE1427" s="50" t="str">
        <x:f>IF(R1427="No","No finance data",IF(AB1427&gt;=10%,"Severe",IF(AB1427&gt;=5%,"High",IF(AB1427&gt;=2%,"Moderate","Low"))))</x:f>
        <x:v>No finance data</x:v>
      </x:c>
      <x:c r="AF1427" s="60"/>
      <x:c r="AG1427" s="60"/>
      <x:c r="AH1427" s="44" t="str">
        <x:v>Undergraduate tuition-contribution proxy only; not an audited total institutional budget.</x:v>
      </x:c>
    </x:row>
    <x:row r="1428">
      <x:c r="A1428" s="16" t="n">
        <x:v>214591</x:v>
      </x:c>
      <x:c r="B1428" s="16" t="str">
        <x:v>Pennsylvania State University-Penn State Erie-Behrend College</x:v>
      </x:c>
      <x:c r="C1428" s="16" t="str">
        <x:v>PA</x:v>
      </x:c>
      <x:c r="D1428" s="16" t="str">
        <x:v>Public</x:v>
      </x:c>
      <x:c r="E1428" s="34" t="n">
        <x:v>4092</x:v>
      </x:c>
      <x:c r="F1428" s="21"/>
      <x:c r="G1428" s="16" t="str">
        <x:v>Regional</x:v>
      </x:c>
      <x:c r="H1428" s="36" t="n">
        <x:f>IF(G1428="National",Assumptions!$B$11,IF(G1428="Statewide",Assumptions!$B$12,Assumptions!$B$13))</x:f>
        <x:v>0.85</x:v>
      </x:c>
      <x:c r="I1428" s="21" t="n">
        <x:v>-0.07201174532693544</x:v>
      </x:c>
      <x:c r="J1428" s="21" t="n">
        <x:v>-0.08817589343264343</x:v>
      </x:c>
      <x:c r="K1428" s="21" t="n">
        <x:v>-0.16258683663969065</x:v>
      </x:c>
      <x:c r="L1428" s="36" t="n">
        <x:f>IF(Assumptions!$B$4=2030,I1428,IF(Assumptions!$B$4=2035,J1428,K1428))</x:f>
        <x:v>-0.08817589343264343</x:v>
      </x:c>
      <x:c r="M1428" s="36" t="n">
        <x:f>Assumptions!$B$19</x:f>
        <x:v>-0.04739891965741583</x:v>
      </x:c>
      <x:c r="N1428" s="52" t="n">
        <x:f>H1428*L1428+(1-H1428)*M1428+O1428</x:f>
        <x:v>-0.08205934736635928</x:v>
      </x:c>
      <x:c r="O1428" s="36" t="n">
        <x:f>Assumptions!$B$10</x:f>
        <x:v>0</x:v>
      </x:c>
      <x:c r="P1428" s="54" t="n">
        <x:f>E1428*(1+N1428)</x:f>
        <x:v>3756.2131505768575</x:v>
      </x:c>
      <x:c r="Q1428" s="54" t="n">
        <x:f>P1428-E1428</x:f>
        <x:v>-335.7868494231425</x:v>
      </x:c>
      <x:c r="R1428" s="16" t="str">
        <x:v>No</x:v>
      </x:c>
      <x:c r="S1428" s="56"/>
      <x:c r="T1428" s="56"/>
      <x:c r="U1428" s="40" t="n">
        <x:f>E1428*Assumptions!$B$8</x:f>
        <x:v>3478.2</x:v>
      </x:c>
      <x:c r="V1428" s="40" t="n">
        <x:f>P1428*Assumptions!$B$8</x:f>
        <x:v>3192.7811779903286</x:v>
      </x:c>
      <x:c r="W1428" s="54" t="n">
        <x:f>V1428-U1428</x:f>
        <x:v>-285.4188220096712</x:v>
      </x:c>
      <x:c r="X1428" s="58" t="str">
        <x:f>IF(R1428="No","",W1428*S1428)</x:f>
      </x:c>
      <x:c r="Y1428" s="58" t="str">
        <x:f>IF(R1428="No","",W1428*T1428*Assumptions!$B$9)</x:f>
      </x:c>
      <x:c r="Z1428" s="58" t="str">
        <x:f>IF(R1428="No","",X1428-Y1428)</x:f>
      </x:c>
      <x:c r="AA1428" s="58" t="str">
        <x:f>IF(R1428="No","",MAX(0,-Z1428))</x:f>
      </x:c>
      <x:c r="AB1428" s="52" t="str">
        <x:f>IF(OR(R1428="No",U1428*S1428=0),"",AA1428/(U1428*S1428))</x:f>
      </x:c>
      <x:c r="AC1428" s="54" t="str">
        <x:f>IF(OR(R1428="No",S1428-T1428*Assumptions!$B$9&lt;=0),"",AA1428/(Assumptions!$B$8*(S1428-T1428*Assumptions!$B$9)))</x:f>
      </x:c>
      <x:c r="AD1428" s="52" t="str">
        <x:f>IF(OR(R1428="No",U1428*S1428=0),"",AA1428/(U1428*S1428))</x:f>
      </x:c>
      <x:c r="AE1428" s="50" t="str">
        <x:f>IF(R1428="No","No finance data",IF(AB1428&gt;=10%,"Severe",IF(AB1428&gt;=5%,"High",IF(AB1428&gt;=2%,"Moderate","Low"))))</x:f>
        <x:v>No finance data</x:v>
      </x:c>
      <x:c r="AF1428" s="60"/>
      <x:c r="AG1428" s="60"/>
      <x:c r="AH1428" s="44" t="str">
        <x:v>Undergraduate tuition-contribution proxy only; not an audited total institutional budget.</x:v>
      </x:c>
    </x:row>
    <x:row r="1429">
      <x:c r="A1429" s="16" t="n">
        <x:v>214759</x:v>
      </x:c>
      <x:c r="B1429" s="16" t="str">
        <x:v>Pennsylvania State University-Penn State Fayette- Eberly</x:v>
      </x:c>
      <x:c r="C1429" s="16" t="str">
        <x:v>PA</x:v>
      </x:c>
      <x:c r="D1429" s="16" t="str">
        <x:v>Public</x:v>
      </x:c>
      <x:c r="E1429" s="34" t="n">
        <x:v>671</x:v>
      </x:c>
      <x:c r="F1429" s="21"/>
      <x:c r="G1429" s="16" t="str">
        <x:v>Regional</x:v>
      </x:c>
      <x:c r="H1429" s="36" t="n">
        <x:f>IF(G1429="National",Assumptions!$B$11,IF(G1429="Statewide",Assumptions!$B$12,Assumptions!$B$13))</x:f>
        <x:v>0.85</x:v>
      </x:c>
      <x:c r="I1429" s="21" t="n">
        <x:v>-0.07201174532693544</x:v>
      </x:c>
      <x:c r="J1429" s="21" t="n">
        <x:v>-0.08817589343264343</x:v>
      </x:c>
      <x:c r="K1429" s="21" t="n">
        <x:v>-0.16258683663969065</x:v>
      </x:c>
      <x:c r="L1429" s="36" t="n">
        <x:f>IF(Assumptions!$B$4=2030,I1429,IF(Assumptions!$B$4=2035,J1429,K1429))</x:f>
        <x:v>-0.08817589343264343</x:v>
      </x:c>
      <x:c r="M1429" s="36" t="n">
        <x:f>Assumptions!$B$19</x:f>
        <x:v>-0.04739891965741583</x:v>
      </x:c>
      <x:c r="N1429" s="52" t="n">
        <x:f>H1429*L1429+(1-H1429)*M1429+O1429</x:f>
        <x:v>-0.08205934736635928</x:v>
      </x:c>
      <x:c r="O1429" s="36" t="n">
        <x:f>Assumptions!$B$10</x:f>
        <x:v>0</x:v>
      </x:c>
      <x:c r="P1429" s="54" t="n">
        <x:f>E1429*(1+N1429)</x:f>
        <x:v>615.9381779171729</x:v>
      </x:c>
      <x:c r="Q1429" s="54" t="n">
        <x:f>P1429-E1429</x:f>
        <x:v>-55.06182208282712</x:v>
      </x:c>
      <x:c r="R1429" s="16" t="str">
        <x:v>No</x:v>
      </x:c>
      <x:c r="S1429" s="56"/>
      <x:c r="T1429" s="56"/>
      <x:c r="U1429" s="40" t="n">
        <x:f>E1429*Assumptions!$B$8</x:f>
        <x:v>570.35</x:v>
      </x:c>
      <x:c r="V1429" s="40" t="n">
        <x:f>P1429*Assumptions!$B$8</x:f>
        <x:v>523.547451229597</x:v>
      </x:c>
      <x:c r="W1429" s="54" t="n">
        <x:f>V1429-U1429</x:f>
        <x:v>-46.802548770403064</x:v>
      </x:c>
      <x:c r="X1429" s="58" t="str">
        <x:f>IF(R1429="No","",W1429*S1429)</x:f>
      </x:c>
      <x:c r="Y1429" s="58" t="str">
        <x:f>IF(R1429="No","",W1429*T1429*Assumptions!$B$9)</x:f>
      </x:c>
      <x:c r="Z1429" s="58" t="str">
        <x:f>IF(R1429="No","",X1429-Y1429)</x:f>
      </x:c>
      <x:c r="AA1429" s="58" t="str">
        <x:f>IF(R1429="No","",MAX(0,-Z1429))</x:f>
      </x:c>
      <x:c r="AB1429" s="52" t="str">
        <x:f>IF(OR(R1429="No",U1429*S1429=0),"",AA1429/(U1429*S1429))</x:f>
      </x:c>
      <x:c r="AC1429" s="54" t="str">
        <x:f>IF(OR(R1429="No",S1429-T1429*Assumptions!$B$9&lt;=0),"",AA1429/(Assumptions!$B$8*(S1429-T1429*Assumptions!$B$9)))</x:f>
      </x:c>
      <x:c r="AD1429" s="52" t="str">
        <x:f>IF(OR(R1429="No",U1429*S1429=0),"",AA1429/(U1429*S1429))</x:f>
      </x:c>
      <x:c r="AE1429" s="50" t="str">
        <x:f>IF(R1429="No","No finance data",IF(AB1429&gt;=10%,"Severe",IF(AB1429&gt;=5%,"High",IF(AB1429&gt;=2%,"Moderate","Low"))))</x:f>
        <x:v>No finance data</x:v>
      </x:c>
      <x:c r="AF1429" s="60"/>
      <x:c r="AG1429" s="60"/>
      <x:c r="AH1429" s="44" t="str">
        <x:v>Undergraduate tuition-contribution proxy only; not an audited total institutional budget.</x:v>
      </x:c>
    </x:row>
    <x:row r="1430">
      <x:c r="A1430" s="16" t="n">
        <x:v>214786</x:v>
      </x:c>
      <x:c r="B1430" s="16" t="str">
        <x:v>Pennsylvania State University-Penn State Greater Allegheny</x:v>
      </x:c>
      <x:c r="C1430" s="16" t="str">
        <x:v>PA</x:v>
      </x:c>
      <x:c r="D1430" s="16" t="str">
        <x:v>Public</x:v>
      </x:c>
      <x:c r="E1430" s="34" t="n">
        <x:v>532</x:v>
      </x:c>
      <x:c r="F1430" s="21"/>
      <x:c r="G1430" s="16" t="str">
        <x:v>Regional</x:v>
      </x:c>
      <x:c r="H1430" s="36" t="n">
        <x:f>IF(G1430="National",Assumptions!$B$11,IF(G1430="Statewide",Assumptions!$B$12,Assumptions!$B$13))</x:f>
        <x:v>0.85</x:v>
      </x:c>
      <x:c r="I1430" s="21" t="n">
        <x:v>-0.07201174532693544</x:v>
      </x:c>
      <x:c r="J1430" s="21" t="n">
        <x:v>-0.08817589343264343</x:v>
      </x:c>
      <x:c r="K1430" s="21" t="n">
        <x:v>-0.16258683663969065</x:v>
      </x:c>
      <x:c r="L1430" s="36" t="n">
        <x:f>IF(Assumptions!$B$4=2030,I1430,IF(Assumptions!$B$4=2035,J1430,K1430))</x:f>
        <x:v>-0.08817589343264343</x:v>
      </x:c>
      <x:c r="M1430" s="36" t="n">
        <x:f>Assumptions!$B$19</x:f>
        <x:v>-0.04739891965741583</x:v>
      </x:c>
      <x:c r="N1430" s="52" t="n">
        <x:f>H1430*L1430+(1-H1430)*M1430+O1430</x:f>
        <x:v>-0.08205934736635928</x:v>
      </x:c>
      <x:c r="O1430" s="36" t="n">
        <x:f>Assumptions!$B$10</x:f>
        <x:v>0</x:v>
      </x:c>
      <x:c r="P1430" s="54" t="n">
        <x:f>E1430*(1+N1430)</x:f>
        <x:v>488.34442720109683</x:v>
      </x:c>
      <x:c r="Q1430" s="54" t="n">
        <x:f>P1430-E1430</x:f>
        <x:v>-43.655572798903165</x:v>
      </x:c>
      <x:c r="R1430" s="16" t="str">
        <x:v>No</x:v>
      </x:c>
      <x:c r="S1430" s="56"/>
      <x:c r="T1430" s="56"/>
      <x:c r="U1430" s="40" t="n">
        <x:f>E1430*Assumptions!$B$8</x:f>
        <x:v>452.2</x:v>
      </x:c>
      <x:c r="V1430" s="40" t="n">
        <x:f>P1430*Assumptions!$B$8</x:f>
        <x:v>415.0927631209323</x:v>
      </x:c>
      <x:c r="W1430" s="54" t="n">
        <x:f>V1430-U1430</x:f>
        <x:v>-37.10723687906767</x:v>
      </x:c>
      <x:c r="X1430" s="58" t="str">
        <x:f>IF(R1430="No","",W1430*S1430)</x:f>
      </x:c>
      <x:c r="Y1430" s="58" t="str">
        <x:f>IF(R1430="No","",W1430*T1430*Assumptions!$B$9)</x:f>
      </x:c>
      <x:c r="Z1430" s="58" t="str">
        <x:f>IF(R1430="No","",X1430-Y1430)</x:f>
      </x:c>
      <x:c r="AA1430" s="58" t="str">
        <x:f>IF(R1430="No","",MAX(0,-Z1430))</x:f>
      </x:c>
      <x:c r="AB1430" s="52" t="str">
        <x:f>IF(OR(R1430="No",U1430*S1430=0),"",AA1430/(U1430*S1430))</x:f>
      </x:c>
      <x:c r="AC1430" s="54" t="str">
        <x:f>IF(OR(R1430="No",S1430-T1430*Assumptions!$B$9&lt;=0),"",AA1430/(Assumptions!$B$8*(S1430-T1430*Assumptions!$B$9)))</x:f>
      </x:c>
      <x:c r="AD1430" s="52" t="str">
        <x:f>IF(OR(R1430="No",U1430*S1430=0),"",AA1430/(U1430*S1430))</x:f>
      </x:c>
      <x:c r="AE1430" s="50" t="str">
        <x:f>IF(R1430="No","No finance data",IF(AB1430&gt;=10%,"Severe",IF(AB1430&gt;=5%,"High",IF(AB1430&gt;=2%,"Moderate","Low"))))</x:f>
        <x:v>No finance data</x:v>
      </x:c>
      <x:c r="AF1430" s="60"/>
      <x:c r="AG1430" s="60"/>
      <x:c r="AH1430" s="44" t="str">
        <x:v>Undergraduate tuition-contribution proxy only; not an audited total institutional budget.</x:v>
      </x:c>
    </x:row>
    <x:row r="1431">
      <x:c r="A1431" s="16" t="n">
        <x:v>214713</x:v>
      </x:c>
      <x:c r="B1431" s="16" t="str">
        <x:v>Pennsylvania State University-Penn State Harrisburg</x:v>
      </x:c>
      <x:c r="C1431" s="16" t="str">
        <x:v>PA</x:v>
      </x:c>
      <x:c r="D1431" s="16" t="str">
        <x:v>Public</x:v>
      </x:c>
      <x:c r="E1431" s="34" t="n">
        <x:v>3740</x:v>
      </x:c>
      <x:c r="F1431" s="21"/>
      <x:c r="G1431" s="16" t="str">
        <x:v>Regional</x:v>
      </x:c>
      <x:c r="H1431" s="36" t="n">
        <x:f>IF(G1431="National",Assumptions!$B$11,IF(G1431="Statewide",Assumptions!$B$12,Assumptions!$B$13))</x:f>
        <x:v>0.85</x:v>
      </x:c>
      <x:c r="I1431" s="21" t="n">
        <x:v>-0.07201174532693544</x:v>
      </x:c>
      <x:c r="J1431" s="21" t="n">
        <x:v>-0.08817589343264343</x:v>
      </x:c>
      <x:c r="K1431" s="21" t="n">
        <x:v>-0.16258683663969065</x:v>
      </x:c>
      <x:c r="L1431" s="36" t="n">
        <x:f>IF(Assumptions!$B$4=2030,I1431,IF(Assumptions!$B$4=2035,J1431,K1431))</x:f>
        <x:v>-0.08817589343264343</x:v>
      </x:c>
      <x:c r="M1431" s="36" t="n">
        <x:f>Assumptions!$B$19</x:f>
        <x:v>-0.04739891965741583</x:v>
      </x:c>
      <x:c r="N1431" s="52" t="n">
        <x:f>H1431*L1431+(1-H1431)*M1431+O1431</x:f>
        <x:v>-0.08205934736635928</x:v>
      </x:c>
      <x:c r="O1431" s="36" t="n">
        <x:f>Assumptions!$B$10</x:f>
        <x:v>0</x:v>
      </x:c>
      <x:c r="P1431" s="54" t="n">
        <x:f>E1431*(1+N1431)</x:f>
        <x:v>3433.0980408498162</x:v>
      </x:c>
      <x:c r="Q1431" s="54" t="n">
        <x:f>P1431-E1431</x:f>
        <x:v>-306.90195915018376</x:v>
      </x:c>
      <x:c r="R1431" s="16" t="str">
        <x:v>No</x:v>
      </x:c>
      <x:c r="S1431" s="56"/>
      <x:c r="T1431" s="56"/>
      <x:c r="U1431" s="40" t="n">
        <x:f>E1431*Assumptions!$B$8</x:f>
        <x:v>3179</x:v>
      </x:c>
      <x:c r="V1431" s="40" t="n">
        <x:f>P1431*Assumptions!$B$8</x:f>
        <x:v>2918.1333347223435</x:v>
      </x:c>
      <x:c r="W1431" s="54" t="n">
        <x:f>V1431-U1431</x:f>
        <x:v>-260.86666527765647</x:v>
      </x:c>
      <x:c r="X1431" s="58" t="str">
        <x:f>IF(R1431="No","",W1431*S1431)</x:f>
      </x:c>
      <x:c r="Y1431" s="58" t="str">
        <x:f>IF(R1431="No","",W1431*T1431*Assumptions!$B$9)</x:f>
      </x:c>
      <x:c r="Z1431" s="58" t="str">
        <x:f>IF(R1431="No","",X1431-Y1431)</x:f>
      </x:c>
      <x:c r="AA1431" s="58" t="str">
        <x:f>IF(R1431="No","",MAX(0,-Z1431))</x:f>
      </x:c>
      <x:c r="AB1431" s="52" t="str">
        <x:f>IF(OR(R1431="No",U1431*S1431=0),"",AA1431/(U1431*S1431))</x:f>
      </x:c>
      <x:c r="AC1431" s="54" t="str">
        <x:f>IF(OR(R1431="No",S1431-T1431*Assumptions!$B$9&lt;=0),"",AA1431/(Assumptions!$B$8*(S1431-T1431*Assumptions!$B$9)))</x:f>
      </x:c>
      <x:c r="AD1431" s="52" t="str">
        <x:f>IF(OR(R1431="No",U1431*S1431=0),"",AA1431/(U1431*S1431))</x:f>
      </x:c>
      <x:c r="AE1431" s="50" t="str">
        <x:f>IF(R1431="No","No finance data",IF(AB1431&gt;=10%,"Severe",IF(AB1431&gt;=5%,"High",IF(AB1431&gt;=2%,"Moderate","Low"))))</x:f>
        <x:v>No finance data</x:v>
      </x:c>
      <x:c r="AF1431" s="60"/>
      <x:c r="AG1431" s="60"/>
      <x:c r="AH1431" s="44" t="str">
        <x:v>Undergraduate tuition-contribution proxy only; not an audited total institutional budget.</x:v>
      </x:c>
    </x:row>
    <x:row r="1432">
      <x:c r="A1432" s="16" t="n">
        <x:v>214670</x:v>
      </x:c>
      <x:c r="B1432" s="16" t="str">
        <x:v>Pennsylvania State University-Penn State Lehigh Valley</x:v>
      </x:c>
      <x:c r="C1432" s="16" t="str">
        <x:v>PA</x:v>
      </x:c>
      <x:c r="D1432" s="16" t="str">
        <x:v>Public</x:v>
      </x:c>
      <x:c r="E1432" s="34" t="n">
        <x:v>773</x:v>
      </x:c>
      <x:c r="F1432" s="21"/>
      <x:c r="G1432" s="16" t="str">
        <x:v>Regional</x:v>
      </x:c>
      <x:c r="H1432" s="36" t="n">
        <x:f>IF(G1432="National",Assumptions!$B$11,IF(G1432="Statewide",Assumptions!$B$12,Assumptions!$B$13))</x:f>
        <x:v>0.85</x:v>
      </x:c>
      <x:c r="I1432" s="21" t="n">
        <x:v>-0.07201174532693544</x:v>
      </x:c>
      <x:c r="J1432" s="21" t="n">
        <x:v>-0.08817589343264343</x:v>
      </x:c>
      <x:c r="K1432" s="21" t="n">
        <x:v>-0.16258683663969065</x:v>
      </x:c>
      <x:c r="L1432" s="36" t="n">
        <x:f>IF(Assumptions!$B$4=2030,I1432,IF(Assumptions!$B$4=2035,J1432,K1432))</x:f>
        <x:v>-0.08817589343264343</x:v>
      </x:c>
      <x:c r="M1432" s="36" t="n">
        <x:f>Assumptions!$B$19</x:f>
        <x:v>-0.04739891965741583</x:v>
      </x:c>
      <x:c r="N1432" s="52" t="n">
        <x:f>H1432*L1432+(1-H1432)*M1432+O1432</x:f>
        <x:v>-0.08205934736635928</x:v>
      </x:c>
      <x:c r="O1432" s="36" t="n">
        <x:f>Assumptions!$B$10</x:f>
        <x:v>0</x:v>
      </x:c>
      <x:c r="P1432" s="54" t="n">
        <x:f>E1432*(1+N1432)</x:f>
        <x:v>709.5681244858042</x:v>
      </x:c>
      <x:c r="Q1432" s="54" t="n">
        <x:f>P1432-E1432</x:f>
        <x:v>-63.43187551419578</x:v>
      </x:c>
      <x:c r="R1432" s="16" t="str">
        <x:v>No</x:v>
      </x:c>
      <x:c r="S1432" s="56"/>
      <x:c r="T1432" s="56"/>
      <x:c r="U1432" s="40" t="n">
        <x:f>E1432*Assumptions!$B$8</x:f>
        <x:v>657.05</x:v>
      </x:c>
      <x:c r="V1432" s="40" t="n">
        <x:f>P1432*Assumptions!$B$8</x:f>
        <x:v>603.1329058129336</x:v>
      </x:c>
      <x:c r="W1432" s="54" t="n">
        <x:f>V1432-U1432</x:f>
        <x:v>-53.91709418706637</x:v>
      </x:c>
      <x:c r="X1432" s="58" t="str">
        <x:f>IF(R1432="No","",W1432*S1432)</x:f>
      </x:c>
      <x:c r="Y1432" s="58" t="str">
        <x:f>IF(R1432="No","",W1432*T1432*Assumptions!$B$9)</x:f>
      </x:c>
      <x:c r="Z1432" s="58" t="str">
        <x:f>IF(R1432="No","",X1432-Y1432)</x:f>
      </x:c>
      <x:c r="AA1432" s="58" t="str">
        <x:f>IF(R1432="No","",MAX(0,-Z1432))</x:f>
      </x:c>
      <x:c r="AB1432" s="52" t="str">
        <x:f>IF(OR(R1432="No",U1432*S1432=0),"",AA1432/(U1432*S1432))</x:f>
      </x:c>
      <x:c r="AC1432" s="54" t="str">
        <x:f>IF(OR(R1432="No",S1432-T1432*Assumptions!$B$9&lt;=0),"",AA1432/(Assumptions!$B$8*(S1432-T1432*Assumptions!$B$9)))</x:f>
      </x:c>
      <x:c r="AD1432" s="52" t="str">
        <x:f>IF(OR(R1432="No",U1432*S1432=0),"",AA1432/(U1432*S1432))</x:f>
      </x:c>
      <x:c r="AE1432" s="50" t="str">
        <x:f>IF(R1432="No","No finance data",IF(AB1432&gt;=10%,"Severe",IF(AB1432&gt;=5%,"High",IF(AB1432&gt;=2%,"Moderate","Low"))))</x:f>
        <x:v>No finance data</x:v>
      </x:c>
      <x:c r="AF1432" s="60"/>
      <x:c r="AG1432" s="60"/>
      <x:c r="AH1432" s="44" t="str">
        <x:v>Undergraduate tuition-contribution proxy only; not an audited total institutional budget.</x:v>
      </x:c>
    </x:row>
    <x:row r="1433">
      <x:c r="A1433" s="16" t="n">
        <x:v>214625</x:v>
      </x:c>
      <x:c r="B1433" s="16" t="str">
        <x:v>Pennsylvania State University-Penn State New Kensington</x:v>
      </x:c>
      <x:c r="C1433" s="16" t="str">
        <x:v>PA</x:v>
      </x:c>
      <x:c r="D1433" s="16" t="str">
        <x:v>Public</x:v>
      </x:c>
      <x:c r="E1433" s="34" t="n">
        <x:v>598</x:v>
      </x:c>
      <x:c r="F1433" s="21"/>
      <x:c r="G1433" s="16" t="str">
        <x:v>Regional</x:v>
      </x:c>
      <x:c r="H1433" s="36" t="n">
        <x:f>IF(G1433="National",Assumptions!$B$11,IF(G1433="Statewide",Assumptions!$B$12,Assumptions!$B$13))</x:f>
        <x:v>0.85</x:v>
      </x:c>
      <x:c r="I1433" s="21" t="n">
        <x:v>-0.07201174532693544</x:v>
      </x:c>
      <x:c r="J1433" s="21" t="n">
        <x:v>-0.08817589343264343</x:v>
      </x:c>
      <x:c r="K1433" s="21" t="n">
        <x:v>-0.16258683663969065</x:v>
      </x:c>
      <x:c r="L1433" s="36" t="n">
        <x:f>IF(Assumptions!$B$4=2030,I1433,IF(Assumptions!$B$4=2035,J1433,K1433))</x:f>
        <x:v>-0.08817589343264343</x:v>
      </x:c>
      <x:c r="M1433" s="36" t="n">
        <x:f>Assumptions!$B$19</x:f>
        <x:v>-0.04739891965741583</x:v>
      </x:c>
      <x:c r="N1433" s="52" t="n">
        <x:f>H1433*L1433+(1-H1433)*M1433+O1433</x:f>
        <x:v>-0.08205934736635928</x:v>
      </x:c>
      <x:c r="O1433" s="36" t="n">
        <x:f>Assumptions!$B$10</x:f>
        <x:v>0</x:v>
      </x:c>
      <x:c r="P1433" s="54" t="n">
        <x:f>E1433*(1+N1433)</x:f>
        <x:v>548.9285102749171</x:v>
      </x:c>
      <x:c r="Q1433" s="54" t="n">
        <x:f>P1433-E1433</x:f>
        <x:v>-49.07148972508287</x:v>
      </x:c>
      <x:c r="R1433" s="16" t="str">
        <x:v>No</x:v>
      </x:c>
      <x:c r="S1433" s="56"/>
      <x:c r="T1433" s="56"/>
      <x:c r="U1433" s="40" t="n">
        <x:f>E1433*Assumptions!$B$8</x:f>
        <x:v>508.3</x:v>
      </x:c>
      <x:c r="V1433" s="40" t="n">
        <x:f>P1433*Assumptions!$B$8</x:f>
        <x:v>466.5892337336795</x:v>
      </x:c>
      <x:c r="W1433" s="54" t="n">
        <x:f>V1433-U1433</x:f>
        <x:v>-41.71076626632049</x:v>
      </x:c>
      <x:c r="X1433" s="58" t="str">
        <x:f>IF(R1433="No","",W1433*S1433)</x:f>
      </x:c>
      <x:c r="Y1433" s="58" t="str">
        <x:f>IF(R1433="No","",W1433*T1433*Assumptions!$B$9)</x:f>
      </x:c>
      <x:c r="Z1433" s="58" t="str">
        <x:f>IF(R1433="No","",X1433-Y1433)</x:f>
      </x:c>
      <x:c r="AA1433" s="58" t="str">
        <x:f>IF(R1433="No","",MAX(0,-Z1433))</x:f>
      </x:c>
      <x:c r="AB1433" s="52" t="str">
        <x:f>IF(OR(R1433="No",U1433*S1433=0),"",AA1433/(U1433*S1433))</x:f>
      </x:c>
      <x:c r="AC1433" s="54" t="str">
        <x:f>IF(OR(R1433="No",S1433-T1433*Assumptions!$B$9&lt;=0),"",AA1433/(Assumptions!$B$8*(S1433-T1433*Assumptions!$B$9)))</x:f>
      </x:c>
      <x:c r="AD1433" s="52" t="str">
        <x:f>IF(OR(R1433="No",U1433*S1433=0),"",AA1433/(U1433*S1433))</x:f>
      </x:c>
      <x:c r="AE1433" s="50" t="str">
        <x:f>IF(R1433="No","No finance data",IF(AB1433&gt;=10%,"Severe",IF(AB1433&gt;=5%,"High",IF(AB1433&gt;=2%,"Moderate","Low"))))</x:f>
        <x:v>No finance data</x:v>
      </x:c>
      <x:c r="AF1433" s="60"/>
      <x:c r="AG1433" s="60"/>
      <x:c r="AH1433" s="44" t="str">
        <x:v>Undergraduate tuition-contribution proxy only; not an audited total institutional budget.</x:v>
      </x:c>
    </x:row>
    <x:row r="1434">
      <x:c r="A1434" s="16" t="n">
        <x:v>214810</x:v>
      </x:c>
      <x:c r="B1434" s="16" t="str">
        <x:v>Pennsylvania State University-Penn State Schuylkill</x:v>
      </x:c>
      <x:c r="C1434" s="16" t="str">
        <x:v>PA</x:v>
      </x:c>
      <x:c r="D1434" s="16" t="str">
        <x:v>Public</x:v>
      </x:c>
      <x:c r="E1434" s="34" t="n">
        <x:v>720</x:v>
      </x:c>
      <x:c r="F1434" s="21"/>
      <x:c r="G1434" s="16" t="str">
        <x:v>Regional</x:v>
      </x:c>
      <x:c r="H1434" s="36" t="n">
        <x:f>IF(G1434="National",Assumptions!$B$11,IF(G1434="Statewide",Assumptions!$B$12,Assumptions!$B$13))</x:f>
        <x:v>0.85</x:v>
      </x:c>
      <x:c r="I1434" s="21" t="n">
        <x:v>-0.07201174532693544</x:v>
      </x:c>
      <x:c r="J1434" s="21" t="n">
        <x:v>-0.08817589343264343</x:v>
      </x:c>
      <x:c r="K1434" s="21" t="n">
        <x:v>-0.16258683663969065</x:v>
      </x:c>
      <x:c r="L1434" s="36" t="n">
        <x:f>IF(Assumptions!$B$4=2030,I1434,IF(Assumptions!$B$4=2035,J1434,K1434))</x:f>
        <x:v>-0.08817589343264343</x:v>
      </x:c>
      <x:c r="M1434" s="36" t="n">
        <x:f>Assumptions!$B$19</x:f>
        <x:v>-0.04739891965741583</x:v>
      </x:c>
      <x:c r="N1434" s="52" t="n">
        <x:f>H1434*L1434+(1-H1434)*M1434+O1434</x:f>
        <x:v>-0.08205934736635928</x:v>
      </x:c>
      <x:c r="O1434" s="36" t="n">
        <x:f>Assumptions!$B$10</x:f>
        <x:v>0</x:v>
      </x:c>
      <x:c r="P1434" s="54" t="n">
        <x:f>E1434*(1+N1434)</x:f>
        <x:v>660.9172698962212</x:v>
      </x:c>
      <x:c r="Q1434" s="54" t="n">
        <x:f>P1434-E1434</x:f>
        <x:v>-59.08273010377877</x:v>
      </x:c>
      <x:c r="R1434" s="16" t="str">
        <x:v>No</x:v>
      </x:c>
      <x:c r="S1434" s="56"/>
      <x:c r="T1434" s="56"/>
      <x:c r="U1434" s="40" t="n">
        <x:f>E1434*Assumptions!$B$8</x:f>
        <x:v>612</x:v>
      </x:c>
      <x:c r="V1434" s="40" t="n">
        <x:f>P1434*Assumptions!$B$8</x:f>
        <x:v>561.779679411788</x:v>
      </x:c>
      <x:c r="W1434" s="54" t="n">
        <x:f>V1434-U1434</x:f>
        <x:v>-50.22032058821196</x:v>
      </x:c>
      <x:c r="X1434" s="58" t="str">
        <x:f>IF(R1434="No","",W1434*S1434)</x:f>
      </x:c>
      <x:c r="Y1434" s="58" t="str">
        <x:f>IF(R1434="No","",W1434*T1434*Assumptions!$B$9)</x:f>
      </x:c>
      <x:c r="Z1434" s="58" t="str">
        <x:f>IF(R1434="No","",X1434-Y1434)</x:f>
      </x:c>
      <x:c r="AA1434" s="58" t="str">
        <x:f>IF(R1434="No","",MAX(0,-Z1434))</x:f>
      </x:c>
      <x:c r="AB1434" s="52" t="str">
        <x:f>IF(OR(R1434="No",U1434*S1434=0),"",AA1434/(U1434*S1434))</x:f>
      </x:c>
      <x:c r="AC1434" s="54" t="str">
        <x:f>IF(OR(R1434="No",S1434-T1434*Assumptions!$B$9&lt;=0),"",AA1434/(Assumptions!$B$8*(S1434-T1434*Assumptions!$B$9)))</x:f>
      </x:c>
      <x:c r="AD1434" s="52" t="str">
        <x:f>IF(OR(R1434="No",U1434*S1434=0),"",AA1434/(U1434*S1434))</x:f>
      </x:c>
      <x:c r="AE1434" s="50" t="str">
        <x:f>IF(R1434="No","No finance data",IF(AB1434&gt;=10%,"Severe",IF(AB1434&gt;=5%,"High",IF(AB1434&gt;=2%,"Moderate","Low"))))</x:f>
        <x:v>No finance data</x:v>
      </x:c>
      <x:c r="AF1434" s="60"/>
      <x:c r="AG1434" s="60"/>
      <x:c r="AH1434" s="44" t="str">
        <x:v>Undergraduate tuition-contribution proxy only; not an audited total institutional budget.</x:v>
      </x:c>
    </x:row>
    <x:row r="1435">
      <x:c r="A1435" s="16" t="n">
        <x:v>214643</x:v>
      </x:c>
      <x:c r="B1435" s="16" t="str">
        <x:v>Pennsylvania State University-Penn State Wilkes-Barre</x:v>
      </x:c>
      <x:c r="C1435" s="16" t="str">
        <x:v>PA</x:v>
      </x:c>
      <x:c r="D1435" s="16" t="str">
        <x:v>Public</x:v>
      </x:c>
      <x:c r="E1435" s="34" t="n">
        <x:v>460</x:v>
      </x:c>
      <x:c r="F1435" s="21"/>
      <x:c r="G1435" s="16" t="str">
        <x:v>Regional</x:v>
      </x:c>
      <x:c r="H1435" s="36" t="n">
        <x:f>IF(G1435="National",Assumptions!$B$11,IF(G1435="Statewide",Assumptions!$B$12,Assumptions!$B$13))</x:f>
        <x:v>0.85</x:v>
      </x:c>
      <x:c r="I1435" s="21" t="n">
        <x:v>-0.07201174532693544</x:v>
      </x:c>
      <x:c r="J1435" s="21" t="n">
        <x:v>-0.08817589343264343</x:v>
      </x:c>
      <x:c r="K1435" s="21" t="n">
        <x:v>-0.16258683663969065</x:v>
      </x:c>
      <x:c r="L1435" s="36" t="n">
        <x:f>IF(Assumptions!$B$4=2030,I1435,IF(Assumptions!$B$4=2035,J1435,K1435))</x:f>
        <x:v>-0.08817589343264343</x:v>
      </x:c>
      <x:c r="M1435" s="36" t="n">
        <x:f>Assumptions!$B$19</x:f>
        <x:v>-0.04739891965741583</x:v>
      </x:c>
      <x:c r="N1435" s="52" t="n">
        <x:f>H1435*L1435+(1-H1435)*M1435+O1435</x:f>
        <x:v>-0.08205934736635928</x:v>
      </x:c>
      <x:c r="O1435" s="36" t="n">
        <x:f>Assumptions!$B$10</x:f>
        <x:v>0</x:v>
      </x:c>
      <x:c r="P1435" s="54" t="n">
        <x:f>E1435*(1+N1435)</x:f>
        <x:v>422.2527002114747</x:v>
      </x:c>
      <x:c r="Q1435" s="54" t="n">
        <x:f>P1435-E1435</x:f>
        <x:v>-37.74729978852531</x:v>
      </x:c>
      <x:c r="R1435" s="16" t="str">
        <x:v>No</x:v>
      </x:c>
      <x:c r="S1435" s="56"/>
      <x:c r="T1435" s="56"/>
      <x:c r="U1435" s="40" t="n">
        <x:f>E1435*Assumptions!$B$8</x:f>
        <x:v>391</x:v>
      </x:c>
      <x:c r="V1435" s="40" t="n">
        <x:f>P1435*Assumptions!$B$8</x:f>
        <x:v>358.91479517975347</x:v>
      </x:c>
      <x:c r="W1435" s="54" t="n">
        <x:f>V1435-U1435</x:f>
        <x:v>-32.08520482024653</x:v>
      </x:c>
      <x:c r="X1435" s="58" t="str">
        <x:f>IF(R1435="No","",W1435*S1435)</x:f>
      </x:c>
      <x:c r="Y1435" s="58" t="str">
        <x:f>IF(R1435="No","",W1435*T1435*Assumptions!$B$9)</x:f>
      </x:c>
      <x:c r="Z1435" s="58" t="str">
        <x:f>IF(R1435="No","",X1435-Y1435)</x:f>
      </x:c>
      <x:c r="AA1435" s="58" t="str">
        <x:f>IF(R1435="No","",MAX(0,-Z1435))</x:f>
      </x:c>
      <x:c r="AB1435" s="52" t="str">
        <x:f>IF(OR(R1435="No",U1435*S1435=0),"",AA1435/(U1435*S1435))</x:f>
      </x:c>
      <x:c r="AC1435" s="54" t="str">
        <x:f>IF(OR(R1435="No",S1435-T1435*Assumptions!$B$9&lt;=0),"",AA1435/(Assumptions!$B$8*(S1435-T1435*Assumptions!$B$9)))</x:f>
      </x:c>
      <x:c r="AD1435" s="52" t="str">
        <x:f>IF(OR(R1435="No",U1435*S1435=0),"",AA1435/(U1435*S1435))</x:f>
      </x:c>
      <x:c r="AE1435" s="50" t="str">
        <x:f>IF(R1435="No","No finance data",IF(AB1435&gt;=10%,"Severe",IF(AB1435&gt;=5%,"High",IF(AB1435&gt;=2%,"Moderate","Low"))))</x:f>
        <x:v>No finance data</x:v>
      </x:c>
      <x:c r="AF1435" s="60"/>
      <x:c r="AG1435" s="60"/>
      <x:c r="AH1435" s="44" t="str">
        <x:v>Undergraduate tuition-contribution proxy only; not an audited total institutional budget.</x:v>
      </x:c>
    </x:row>
    <x:row r="1436">
      <x:c r="A1436" s="16" t="n">
        <x:v>214652</x:v>
      </x:c>
      <x:c r="B1436" s="16" t="str">
        <x:v>Pennsylvania State University-Penn State Worthington Scranton</x:v>
      </x:c>
      <x:c r="C1436" s="16" t="str">
        <x:v>PA</x:v>
      </x:c>
      <x:c r="D1436" s="16" t="str">
        <x:v>Public</x:v>
      </x:c>
      <x:c r="E1436" s="34" t="n">
        <x:v>967</x:v>
      </x:c>
      <x:c r="F1436" s="21"/>
      <x:c r="G1436" s="16" t="str">
        <x:v>Regional</x:v>
      </x:c>
      <x:c r="H1436" s="36" t="n">
        <x:f>IF(G1436="National",Assumptions!$B$11,IF(G1436="Statewide",Assumptions!$B$12,Assumptions!$B$13))</x:f>
        <x:v>0.85</x:v>
      </x:c>
      <x:c r="I1436" s="21" t="n">
        <x:v>-0.07201174532693544</x:v>
      </x:c>
      <x:c r="J1436" s="21" t="n">
        <x:v>-0.08817589343264343</x:v>
      </x:c>
      <x:c r="K1436" s="21" t="n">
        <x:v>-0.16258683663969065</x:v>
      </x:c>
      <x:c r="L1436" s="36" t="n">
        <x:f>IF(Assumptions!$B$4=2030,I1436,IF(Assumptions!$B$4=2035,J1436,K1436))</x:f>
        <x:v>-0.08817589343264343</x:v>
      </x:c>
      <x:c r="M1436" s="36" t="n">
        <x:f>Assumptions!$B$19</x:f>
        <x:v>-0.04739891965741583</x:v>
      </x:c>
      <x:c r="N1436" s="52" t="n">
        <x:f>H1436*L1436+(1-H1436)*M1436+O1436</x:f>
        <x:v>-0.08205934736635928</x:v>
      </x:c>
      <x:c r="O1436" s="36" t="n">
        <x:f>Assumptions!$B$10</x:f>
        <x:v>0</x:v>
      </x:c>
      <x:c r="P1436" s="54" t="n">
        <x:f>E1436*(1+N1436)</x:f>
        <x:v>887.6486110967305</x:v>
      </x:c>
      <x:c r="Q1436" s="54" t="n">
        <x:f>P1436-E1436</x:f>
        <x:v>-79.35138890326948</x:v>
      </x:c>
      <x:c r="R1436" s="16" t="str">
        <x:v>No</x:v>
      </x:c>
      <x:c r="S1436" s="56"/>
      <x:c r="T1436" s="56"/>
      <x:c r="U1436" s="40" t="n">
        <x:f>E1436*Assumptions!$B$8</x:f>
        <x:v>821.9499999999999</x:v>
      </x:c>
      <x:c r="V1436" s="40" t="n">
        <x:f>P1436*Assumptions!$B$8</x:f>
        <x:v>754.501319432221</x:v>
      </x:c>
      <x:c r="W1436" s="54" t="n">
        <x:f>V1436-U1436</x:f>
        <x:v>-67.44868056777898</x:v>
      </x:c>
      <x:c r="X1436" s="58" t="str">
        <x:f>IF(R1436="No","",W1436*S1436)</x:f>
      </x:c>
      <x:c r="Y1436" s="58" t="str">
        <x:f>IF(R1436="No","",W1436*T1436*Assumptions!$B$9)</x:f>
      </x:c>
      <x:c r="Z1436" s="58" t="str">
        <x:f>IF(R1436="No","",X1436-Y1436)</x:f>
      </x:c>
      <x:c r="AA1436" s="58" t="str">
        <x:f>IF(R1436="No","",MAX(0,-Z1436))</x:f>
      </x:c>
      <x:c r="AB1436" s="52" t="str">
        <x:f>IF(OR(R1436="No",U1436*S1436=0),"",AA1436/(U1436*S1436))</x:f>
      </x:c>
      <x:c r="AC1436" s="54" t="str">
        <x:f>IF(OR(R1436="No",S1436-T1436*Assumptions!$B$9&lt;=0),"",AA1436/(Assumptions!$B$8*(S1436-T1436*Assumptions!$B$9)))</x:f>
      </x:c>
      <x:c r="AD1436" s="52" t="str">
        <x:f>IF(OR(R1436="No",U1436*S1436=0),"",AA1436/(U1436*S1436))</x:f>
      </x:c>
      <x:c r="AE1436" s="50" t="str">
        <x:f>IF(R1436="No","No finance data",IF(AB1436&gt;=10%,"Severe",IF(AB1436&gt;=5%,"High",IF(AB1436&gt;=2%,"Moderate","Low"))))</x:f>
        <x:v>No finance data</x:v>
      </x:c>
      <x:c r="AF1436" s="60"/>
      <x:c r="AG1436" s="60"/>
      <x:c r="AH1436" s="44" t="str">
        <x:v>Undergraduate tuition-contribution proxy only; not an audited total institutional budget.</x:v>
      </x:c>
    </x:row>
    <x:row r="1437">
      <x:c r="A1437" s="16" t="n">
        <x:v>214829</x:v>
      </x:c>
      <x:c r="B1437" s="16" t="str">
        <x:v>Pennsylvania State University-Penn State York</x:v>
      </x:c>
      <x:c r="C1437" s="16" t="str">
        <x:v>PA</x:v>
      </x:c>
      <x:c r="D1437" s="16" t="str">
        <x:v>Public</x:v>
      </x:c>
      <x:c r="E1437" s="34" t="n">
        <x:v>935</x:v>
      </x:c>
      <x:c r="F1437" s="21"/>
      <x:c r="G1437" s="16" t="str">
        <x:v>Regional</x:v>
      </x:c>
      <x:c r="H1437" s="36" t="n">
        <x:f>IF(G1437="National",Assumptions!$B$11,IF(G1437="Statewide",Assumptions!$B$12,Assumptions!$B$13))</x:f>
        <x:v>0.85</x:v>
      </x:c>
      <x:c r="I1437" s="21" t="n">
        <x:v>-0.07201174532693544</x:v>
      </x:c>
      <x:c r="J1437" s="21" t="n">
        <x:v>-0.08817589343264343</x:v>
      </x:c>
      <x:c r="K1437" s="21" t="n">
        <x:v>-0.16258683663969065</x:v>
      </x:c>
      <x:c r="L1437" s="36" t="n">
        <x:f>IF(Assumptions!$B$4=2030,I1437,IF(Assumptions!$B$4=2035,J1437,K1437))</x:f>
        <x:v>-0.08817589343264343</x:v>
      </x:c>
      <x:c r="M1437" s="36" t="n">
        <x:f>Assumptions!$B$19</x:f>
        <x:v>-0.04739891965741583</x:v>
      </x:c>
      <x:c r="N1437" s="52" t="n">
        <x:f>H1437*L1437+(1-H1437)*M1437+O1437</x:f>
        <x:v>-0.08205934736635928</x:v>
      </x:c>
      <x:c r="O1437" s="36" t="n">
        <x:f>Assumptions!$B$10</x:f>
        <x:v>0</x:v>
      </x:c>
      <x:c r="P1437" s="54" t="n">
        <x:f>E1437*(1+N1437)</x:f>
        <x:v>858.2745102124541</x:v>
      </x:c>
      <x:c r="Q1437" s="54" t="n">
        <x:f>P1437-E1437</x:f>
        <x:v>-76.72548978754594</x:v>
      </x:c>
      <x:c r="R1437" s="16" t="str">
        <x:v>No</x:v>
      </x:c>
      <x:c r="S1437" s="56"/>
      <x:c r="T1437" s="56"/>
      <x:c r="U1437" s="40" t="n">
        <x:f>E1437*Assumptions!$B$8</x:f>
        <x:v>794.75</x:v>
      </x:c>
      <x:c r="V1437" s="40" t="n">
        <x:f>P1437*Assumptions!$B$8</x:f>
        <x:v>729.5333336805859</x:v>
      </x:c>
      <x:c r="W1437" s="54" t="n">
        <x:f>V1437-U1437</x:f>
        <x:v>-65.21666631941412</x:v>
      </x:c>
      <x:c r="X1437" s="58" t="str">
        <x:f>IF(R1437="No","",W1437*S1437)</x:f>
      </x:c>
      <x:c r="Y1437" s="58" t="str">
        <x:f>IF(R1437="No","",W1437*T1437*Assumptions!$B$9)</x:f>
      </x:c>
      <x:c r="Z1437" s="58" t="str">
        <x:f>IF(R1437="No","",X1437-Y1437)</x:f>
      </x:c>
      <x:c r="AA1437" s="58" t="str">
        <x:f>IF(R1437="No","",MAX(0,-Z1437))</x:f>
      </x:c>
      <x:c r="AB1437" s="52" t="str">
        <x:f>IF(OR(R1437="No",U1437*S1437=0),"",AA1437/(U1437*S1437))</x:f>
      </x:c>
      <x:c r="AC1437" s="54" t="str">
        <x:f>IF(OR(R1437="No",S1437-T1437*Assumptions!$B$9&lt;=0),"",AA1437/(Assumptions!$B$8*(S1437-T1437*Assumptions!$B$9)))</x:f>
      </x:c>
      <x:c r="AD1437" s="52" t="str">
        <x:f>IF(OR(R1437="No",U1437*S1437=0),"",AA1437/(U1437*S1437))</x:f>
      </x:c>
      <x:c r="AE1437" s="50" t="str">
        <x:f>IF(R1437="No","No finance data",IF(AB1437&gt;=10%,"Severe",IF(AB1437&gt;=5%,"High",IF(AB1437&gt;=2%,"Moderate","Low"))))</x:f>
        <x:v>No finance data</x:v>
      </x:c>
      <x:c r="AF1437" s="60"/>
      <x:c r="AG1437" s="60"/>
      <x:c r="AH1437" s="44" t="str">
        <x:v>Undergraduate tuition-contribution proxy only; not an audited total institutional budget.</x:v>
      </x:c>
    </x:row>
    <x:row r="1438">
      <x:c r="A1438" s="16" t="n">
        <x:v>479956</x:v>
      </x:c>
      <x:c r="B1438" s="16" t="str">
        <x:v>Pennsylvania State University-World Campus</x:v>
      </x:c>
      <x:c r="C1438" s="16" t="str">
        <x:v>PA</x:v>
      </x:c>
      <x:c r="D1438" s="16" t="str">
        <x:v>Public</x:v>
      </x:c>
      <x:c r="E1438" s="34" t="n">
        <x:v>6714</x:v>
      </x:c>
      <x:c r="F1438" s="21"/>
      <x:c r="G1438" s="16" t="str">
        <x:v>Statewide</x:v>
      </x:c>
      <x:c r="H1438" s="36" t="n">
        <x:f>IF(G1438="National",Assumptions!$B$11,IF(G1438="Statewide",Assumptions!$B$12,Assumptions!$B$13))</x:f>
        <x:v>0.6</x:v>
      </x:c>
      <x:c r="I1438" s="21" t="n">
        <x:v>-0.07201174532693544</x:v>
      </x:c>
      <x:c r="J1438" s="21" t="n">
        <x:v>-0.08817589343264343</x:v>
      </x:c>
      <x:c r="K1438" s="21" t="n">
        <x:v>-0.16258683663969065</x:v>
      </x:c>
      <x:c r="L1438" s="36" t="n">
        <x:f>IF(Assumptions!$B$4=2030,I1438,IF(Assumptions!$B$4=2035,J1438,K1438))</x:f>
        <x:v>-0.08817589343264343</x:v>
      </x:c>
      <x:c r="M1438" s="36" t="n">
        <x:f>Assumptions!$B$19</x:f>
        <x:v>-0.04739891965741583</x:v>
      </x:c>
      <x:c r="N1438" s="52" t="n">
        <x:f>H1438*L1438+(1-H1438)*M1438+O1438</x:f>
        <x:v>-0.07186510392255238</x:v>
      </x:c>
      <x:c r="O1438" s="36" t="n">
        <x:f>Assumptions!$B$10</x:f>
        <x:v>0</x:v>
      </x:c>
      <x:c r="P1438" s="54" t="n">
        <x:f>E1438*(1+N1438)</x:f>
        <x:v>6231.4976922639835</x:v>
      </x:c>
      <x:c r="Q1438" s="54" t="n">
        <x:f>P1438-E1438</x:f>
        <x:v>-482.5023077360165</x:v>
      </x:c>
      <x:c r="R1438" s="16" t="str">
        <x:v>No</x:v>
      </x:c>
      <x:c r="S1438" s="56"/>
      <x:c r="T1438" s="56"/>
      <x:c r="U1438" s="40" t="n">
        <x:f>E1438*Assumptions!$B$8</x:f>
        <x:v>5706.9</x:v>
      </x:c>
      <x:c r="V1438" s="40" t="n">
        <x:f>P1438*Assumptions!$B$8</x:f>
        <x:v>5296.773038424386</x:v>
      </x:c>
      <x:c r="W1438" s="54" t="n">
        <x:f>V1438-U1438</x:f>
        <x:v>-410.1269615756137</x:v>
      </x:c>
      <x:c r="X1438" s="58" t="str">
        <x:f>IF(R1438="No","",W1438*S1438)</x:f>
      </x:c>
      <x:c r="Y1438" s="58" t="str">
        <x:f>IF(R1438="No","",W1438*T1438*Assumptions!$B$9)</x:f>
      </x:c>
      <x:c r="Z1438" s="58" t="str">
        <x:f>IF(R1438="No","",X1438-Y1438)</x:f>
      </x:c>
      <x:c r="AA1438" s="58" t="str">
        <x:f>IF(R1438="No","",MAX(0,-Z1438))</x:f>
      </x:c>
      <x:c r="AB1438" s="52" t="str">
        <x:f>IF(OR(R1438="No",U1438*S1438=0),"",AA1438/(U1438*S1438))</x:f>
      </x:c>
      <x:c r="AC1438" s="54" t="str">
        <x:f>IF(OR(R1438="No",S1438-T1438*Assumptions!$B$9&lt;=0),"",AA1438/(Assumptions!$B$8*(S1438-T1438*Assumptions!$B$9)))</x:f>
      </x:c>
      <x:c r="AD1438" s="52" t="str">
        <x:f>IF(OR(R1438="No",U1438*S1438=0),"",AA1438/(U1438*S1438))</x:f>
      </x:c>
      <x:c r="AE1438" s="50" t="str">
        <x:f>IF(R1438="No","No finance data",IF(AB1438&gt;=10%,"Severe",IF(AB1438&gt;=5%,"High",IF(AB1438&gt;=2%,"Moderate","Low"))))</x:f>
        <x:v>No finance data</x:v>
      </x:c>
      <x:c r="AF1438" s="60"/>
      <x:c r="AG1438" s="60"/>
      <x:c r="AH1438" s="44" t="str">
        <x:v>Undergraduate tuition-contribution proxy only; not an audited total institutional budget.</x:v>
      </x:c>
    </x:row>
    <x:row r="1439">
      <x:c r="A1439" s="16" t="n">
        <x:v>215099</x:v>
      </x:c>
      <x:c r="B1439" s="16" t="str">
        <x:v>Philadelphia University</x:v>
      </x:c>
      <x:c r="C1439" s="16" t="str">
        <x:v>PA</x:v>
      </x:c>
      <x:c r="D1439" s="16" t="str">
        <x:v>Private nonprofit</x:v>
      </x:c>
      <x:c r="E1439" s="34" t="n">
        <x:v>2726</x:v>
      </x:c>
      <x:c r="F1439" s="21"/>
      <x:c r="G1439" s="16" t="str">
        <x:v>Regional</x:v>
      </x:c>
      <x:c r="H1439" s="36" t="n">
        <x:f>IF(G1439="National",Assumptions!$B$11,IF(G1439="Statewide",Assumptions!$B$12,Assumptions!$B$13))</x:f>
        <x:v>0.85</x:v>
      </x:c>
      <x:c r="I1439" s="21" t="n">
        <x:v>-0.07201174532693544</x:v>
      </x:c>
      <x:c r="J1439" s="21" t="n">
        <x:v>-0.08817589343264343</x:v>
      </x:c>
      <x:c r="K1439" s="21" t="n">
        <x:v>-0.16258683663969065</x:v>
      </x:c>
      <x:c r="L1439" s="36" t="n">
        <x:f>IF(Assumptions!$B$4=2030,I1439,IF(Assumptions!$B$4=2035,J1439,K1439))</x:f>
        <x:v>-0.08817589343264343</x:v>
      </x:c>
      <x:c r="M1439" s="36" t="n">
        <x:f>Assumptions!$B$19</x:f>
        <x:v>-0.04739891965741583</x:v>
      </x:c>
      <x:c r="N1439" s="52" t="n">
        <x:f>H1439*L1439+(1-H1439)*M1439+O1439</x:f>
        <x:v>-0.08205934736635928</x:v>
      </x:c>
      <x:c r="O1439" s="36" t="n">
        <x:f>Assumptions!$B$10</x:f>
        <x:v>0</x:v>
      </x:c>
      <x:c r="P1439" s="54" t="n">
        <x:f>E1439*(1+N1439)</x:f>
        <x:v>2502.3062190793044</x:v>
      </x:c>
      <x:c r="Q1439" s="54" t="n">
        <x:f>P1439-E1439</x:f>
        <x:v>-223.69378092069564</x:v>
      </x:c>
      <x:c r="R1439" s="16" t="str">
        <x:v>No</x:v>
      </x:c>
      <x:c r="S1439" s="56"/>
      <x:c r="T1439" s="56"/>
      <x:c r="U1439" s="40" t="n">
        <x:f>E1439*Assumptions!$B$8</x:f>
        <x:v>2317.1</x:v>
      </x:c>
      <x:c r="V1439" s="40" t="n">
        <x:f>P1439*Assumptions!$B$8</x:f>
        <x:v>2126.960286217409</x:v>
      </x:c>
      <x:c r="W1439" s="54" t="n">
        <x:f>V1439-U1439</x:f>
        <x:v>-190.13971378259112</x:v>
      </x:c>
      <x:c r="X1439" s="58" t="str">
        <x:f>IF(R1439="No","",W1439*S1439)</x:f>
      </x:c>
      <x:c r="Y1439" s="58" t="str">
        <x:f>IF(R1439="No","",W1439*T1439*Assumptions!$B$9)</x:f>
      </x:c>
      <x:c r="Z1439" s="58" t="str">
        <x:f>IF(R1439="No","",X1439-Y1439)</x:f>
      </x:c>
      <x:c r="AA1439" s="58" t="str">
        <x:f>IF(R1439="No","",MAX(0,-Z1439))</x:f>
      </x:c>
      <x:c r="AB1439" s="52" t="str">
        <x:f>IF(OR(R1439="No",U1439*S1439=0),"",AA1439/(U1439*S1439))</x:f>
      </x:c>
      <x:c r="AC1439" s="54" t="str">
        <x:f>IF(OR(R1439="No",S1439-T1439*Assumptions!$B$9&lt;=0),"",AA1439/(Assumptions!$B$8*(S1439-T1439*Assumptions!$B$9)))</x:f>
      </x:c>
      <x:c r="AD1439" s="52" t="str">
        <x:f>IF(OR(R1439="No",U1439*S1439=0),"",AA1439/(U1439*S1439))</x:f>
      </x:c>
      <x:c r="AE1439" s="50" t="str">
        <x:f>IF(R1439="No","No finance data",IF(AB1439&gt;=10%,"Severe",IF(AB1439&gt;=5%,"High",IF(AB1439&gt;=2%,"Moderate","Low"))))</x:f>
        <x:v>No finance data</x:v>
      </x:c>
      <x:c r="AF1439" s="60"/>
      <x:c r="AG1439" s="60"/>
      <x:c r="AH1439" s="44" t="str">
        <x:v>Undergraduate tuition-contribution proxy only; not an audited total institutional budget.</x:v>
      </x:c>
    </x:row>
    <x:row r="1440">
      <x:c r="A1440" s="16" t="n">
        <x:v>215442</x:v>
      </x:c>
      <x:c r="B1440" s="16" t="str">
        <x:v>Point Park University</x:v>
      </x:c>
      <x:c r="C1440" s="16" t="str">
        <x:v>PA</x:v>
      </x:c>
      <x:c r="D1440" s="16" t="str">
        <x:v>Private nonprofit</x:v>
      </x:c>
      <x:c r="E1440" s="34" t="n">
        <x:v>3140</x:v>
      </x:c>
      <x:c r="F1440" s="21" t="n">
        <x:v>0.8232</x:v>
      </x:c>
      <x:c r="G1440" s="16" t="str">
        <x:v>Regional</x:v>
      </x:c>
      <x:c r="H1440" s="36" t="n">
        <x:f>IF(G1440="National",Assumptions!$B$11,IF(G1440="Statewide",Assumptions!$B$12,Assumptions!$B$13))</x:f>
        <x:v>0.85</x:v>
      </x:c>
      <x:c r="I1440" s="21" t="n">
        <x:v>-0.07201174532693544</x:v>
      </x:c>
      <x:c r="J1440" s="21" t="n">
        <x:v>-0.08817589343264343</x:v>
      </x:c>
      <x:c r="K1440" s="21" t="n">
        <x:v>-0.16258683663969065</x:v>
      </x:c>
      <x:c r="L1440" s="36" t="n">
        <x:f>IF(Assumptions!$B$4=2030,I1440,IF(Assumptions!$B$4=2035,J1440,K1440))</x:f>
        <x:v>-0.08817589343264343</x:v>
      </x:c>
      <x:c r="M1440" s="36" t="n">
        <x:f>Assumptions!$B$19</x:f>
        <x:v>-0.04739891965741583</x:v>
      </x:c>
      <x:c r="N1440" s="52" t="n">
        <x:f>H1440*L1440+(1-H1440)*M1440+O1440</x:f>
        <x:v>-0.08205934736635928</x:v>
      </x:c>
      <x:c r="O1440" s="36" t="n">
        <x:f>Assumptions!$B$10</x:f>
        <x:v>0</x:v>
      </x:c>
      <x:c r="P1440" s="54" t="n">
        <x:f>E1440*(1+N1440)</x:f>
        <x:v>2882.3336492696317</x:v>
      </x:c>
      <x:c r="Q1440" s="54" t="n">
        <x:f>P1440-E1440</x:f>
        <x:v>-257.6663507303683</x:v>
      </x:c>
      <x:c r="R1440" s="16" t="str">
        <x:v>Yes</x:v>
      </x:c>
      <x:c r="S1440" s="56" t="n">
        <x:v>18166</x:v>
      </x:c>
      <x:c r="T1440" s="56" t="n">
        <x:v>10394</x:v>
      </x:c>
      <x:c r="U1440" s="40" t="n">
        <x:f>E1440*Assumptions!$B$8</x:f>
        <x:v>2669</x:v>
      </x:c>
      <x:c r="V1440" s="40" t="n">
        <x:f>P1440*Assumptions!$B$8</x:f>
        <x:v>2449.983601879187</x:v>
      </x:c>
      <x:c r="W1440" s="54" t="n">
        <x:f>V1440-U1440</x:f>
        <x:v>-219.01639812081294</x:v>
      </x:c>
      <x:c r="X1440" s="58" t="n">
        <x:f>IF(R1440="No","",W1440*S1440)</x:f>
        <x:v>-3978651.8882626877</x:v>
      </x:c>
      <x:c r="Y1440" s="58" t="n">
        <x:f>IF(R1440="No","",W1440*T1440*Assumptions!$B$9)</x:f>
        <x:v>-682936.932620319</x:v>
      </x:c>
      <x:c r="Z1440" s="58" t="n">
        <x:f>IF(R1440="No","",X1440-Y1440)</x:f>
        <x:v>-3295714.9556423686</x:v>
      </x:c>
      <x:c r="AA1440" s="58" t="n">
        <x:f>IF(R1440="No","",MAX(0,-Z1440))</x:f>
        <x:v>3295714.9556423686</x:v>
      </x:c>
      <x:c r="AB1440" s="52" t="n">
        <x:f>IF(OR(R1440="No",U1440*S1440=0),"",AA1440/(U1440*S1440))</x:f>
        <x:v>0.06797383283603992</x:v>
      </x:c>
      <x:c r="AC1440" s="54" t="n">
        <x:f>IF(OR(R1440="No",S1440-T1440*Assumptions!$B$9&lt;=0),"",AA1440/(Assumptions!$B$8*(S1440-T1440*Assumptions!$B$9)))</x:f>
        <x:v>257.66635073036815</x:v>
      </x:c>
      <x:c r="AD1440" s="52" t="n">
        <x:f>IF(OR(R1440="No",U1440*S1440=0),"",AA1440/(U1440*S1440))</x:f>
        <x:v>0.06797383283603992</x:v>
      </x:c>
      <x:c r="AE1440" s="50" t="str">
        <x:f>IF(R1440="No","No finance data",IF(AB1440&gt;=10%,"Severe",IF(AB1440&gt;=5%,"High",IF(AB1440&gt;=2%,"Moderate","Low"))))</x:f>
        <x:v>High</x:v>
      </x:c>
      <x:c r="AF1440" s="60" t="n">
        <x:v>40.438768</x:v>
      </x:c>
      <x:c r="AG1440" s="60" t="n">
        <x:v>-80.002061</x:v>
      </x:c>
      <x:c r="AH1440" s="44" t="str">
        <x:v>Undergraduate tuition-contribution proxy only; not an audited total institutional budget.</x:v>
      </x:c>
    </x:row>
    <x:row r="1441">
      <x:c r="A1441" s="16" t="n">
        <x:v>215655</x:v>
      </x:c>
      <x:c r="B1441" s="16" t="str">
        <x:v>Robert Morris University</x:v>
      </x:c>
      <x:c r="C1441" s="16" t="str">
        <x:v>PA</x:v>
      </x:c>
      <x:c r="D1441" s="16" t="str">
        <x:v>Private nonprofit</x:v>
      </x:c>
      <x:c r="E1441" s="34" t="n">
        <x:v>4485</x:v>
      </x:c>
      <x:c r="F1441" s="21" t="n">
        <x:v>0.9395</x:v>
      </x:c>
      <x:c r="G1441" s="16" t="str">
        <x:v>Regional</x:v>
      </x:c>
      <x:c r="H1441" s="36" t="n">
        <x:f>IF(G1441="National",Assumptions!$B$11,IF(G1441="Statewide",Assumptions!$B$12,Assumptions!$B$13))</x:f>
        <x:v>0.85</x:v>
      </x:c>
      <x:c r="I1441" s="21" t="n">
        <x:v>-0.07201174532693544</x:v>
      </x:c>
      <x:c r="J1441" s="21" t="n">
        <x:v>-0.08817589343264343</x:v>
      </x:c>
      <x:c r="K1441" s="21" t="n">
        <x:v>-0.16258683663969065</x:v>
      </x:c>
      <x:c r="L1441" s="36" t="n">
        <x:f>IF(Assumptions!$B$4=2030,I1441,IF(Assumptions!$B$4=2035,J1441,K1441))</x:f>
        <x:v>-0.08817589343264343</x:v>
      </x:c>
      <x:c r="M1441" s="36" t="n">
        <x:f>Assumptions!$B$19</x:f>
        <x:v>-0.04739891965741583</x:v>
      </x:c>
      <x:c r="N1441" s="52" t="n">
        <x:f>H1441*L1441+(1-H1441)*M1441+O1441</x:f>
        <x:v>-0.08205934736635928</x:v>
      </x:c>
      <x:c r="O1441" s="36" t="n">
        <x:f>Assumptions!$B$10</x:f>
        <x:v>0</x:v>
      </x:c>
      <x:c r="P1441" s="54" t="n">
        <x:f>E1441*(1+N1441)</x:f>
        <x:v>4116.963827061878</x:v>
      </x:c>
      <x:c r="Q1441" s="54" t="n">
        <x:f>P1441-E1441</x:f>
        <x:v>-368.03617293812204</x:v>
      </x:c>
      <x:c r="R1441" s="16" t="str">
        <x:v>Yes</x:v>
      </x:c>
      <x:c r="S1441" s="56" t="n">
        <x:v>18887</x:v>
      </x:c>
      <x:c r="T1441" s="56" t="n">
        <x:v>10322</x:v>
      </x:c>
      <x:c r="U1441" s="40" t="n">
        <x:f>E1441*Assumptions!$B$8</x:f>
        <x:v>3812.25</x:v>
      </x:c>
      <x:c r="V1441" s="40" t="n">
        <x:f>P1441*Assumptions!$B$8</x:f>
        <x:v>3499.419253002596</x:v>
      </x:c>
      <x:c r="W1441" s="54" t="n">
        <x:f>V1441-U1441</x:f>
        <x:v>-312.8307469974038</x:v>
      </x:c>
      <x:c r="X1441" s="58" t="n">
        <x:f>IF(R1441="No","",W1441*S1441)</x:f>
        <x:v>-5908434.318539966</x:v>
      </x:c>
      <x:c r="Y1441" s="58" t="n">
        <x:f>IF(R1441="No","",W1441*T1441*Assumptions!$B$9)</x:f>
        <x:v>-968711.6911521606</x:v>
      </x:c>
      <x:c r="Z1441" s="58" t="n">
        <x:f>IF(R1441="No","",X1441-Y1441)</x:f>
        <x:v>-4939722.627387805</x:v>
      </x:c>
      <x:c r="AA1441" s="58" t="n">
        <x:f>IF(R1441="No","",MAX(0,-Z1441))</x:f>
        <x:v>4939722.627387805</x:v>
      </x:c>
      <x:c r="AB1441" s="52" t="n">
        <x:f>IF(OR(R1441="No",U1441*S1441=0),"",AA1441/(U1441*S1441))</x:f>
        <x:v>0.06860538564376355</x:v>
      </x:c>
      <x:c r="AC1441" s="54" t="n">
        <x:f>IF(OR(R1441="No",S1441-T1441*Assumptions!$B$9&lt;=0),"",AA1441/(Assumptions!$B$8*(S1441-T1441*Assumptions!$B$9)))</x:f>
        <x:v>368.0361729381221</x:v>
      </x:c>
      <x:c r="AD1441" s="52" t="n">
        <x:f>IF(OR(R1441="No",U1441*S1441=0),"",AA1441/(U1441*S1441))</x:f>
        <x:v>0.06860538564376355</x:v>
      </x:c>
      <x:c r="AE1441" s="50" t="str">
        <x:f>IF(R1441="No","No finance data",IF(AB1441&gt;=10%,"Severe",IF(AB1441&gt;=5%,"High",IF(AB1441&gt;=2%,"Moderate","Low"))))</x:f>
        <x:v>High</x:v>
      </x:c>
      <x:c r="AF1441" s="60" t="n">
        <x:v>40.520415</x:v>
      </x:c>
      <x:c r="AG1441" s="60" t="n">
        <x:v>-80.210468</x:v>
      </x:c>
      <x:c r="AH1441" s="44" t="str">
        <x:v>Undergraduate tuition-contribution proxy only; not an audited total institutional budget.</x:v>
      </x:c>
    </x:row>
    <x:row r="1442">
      <x:c r="A1442" s="16" t="n">
        <x:v>215691</x:v>
      </x:c>
      <x:c r="B1442" s="16" t="str">
        <x:v>Rosemont College</x:v>
      </x:c>
      <x:c r="C1442" s="16" t="str">
        <x:v>PA</x:v>
      </x:c>
      <x:c r="D1442" s="16" t="str">
        <x:v>Private nonprofit</x:v>
      </x:c>
      <x:c r="E1442" s="34" t="n">
        <x:v>516</x:v>
      </x:c>
      <x:c r="F1442" s="21"/>
      <x:c r="G1442" s="16" t="str">
        <x:v>Regional</x:v>
      </x:c>
      <x:c r="H1442" s="36" t="n">
        <x:f>IF(G1442="National",Assumptions!$B$11,IF(G1442="Statewide",Assumptions!$B$12,Assumptions!$B$13))</x:f>
        <x:v>0.85</x:v>
      </x:c>
      <x:c r="I1442" s="21" t="n">
        <x:v>-0.07201174532693544</x:v>
      </x:c>
      <x:c r="J1442" s="21" t="n">
        <x:v>-0.08817589343264343</x:v>
      </x:c>
      <x:c r="K1442" s="21" t="n">
        <x:v>-0.16258683663969065</x:v>
      </x:c>
      <x:c r="L1442" s="36" t="n">
        <x:f>IF(Assumptions!$B$4=2030,I1442,IF(Assumptions!$B$4=2035,J1442,K1442))</x:f>
        <x:v>-0.08817589343264343</x:v>
      </x:c>
      <x:c r="M1442" s="36" t="n">
        <x:f>Assumptions!$B$19</x:f>
        <x:v>-0.04739891965741583</x:v>
      </x:c>
      <x:c r="N1442" s="52" t="n">
        <x:f>H1442*L1442+(1-H1442)*M1442+O1442</x:f>
        <x:v>-0.08205934736635928</x:v>
      </x:c>
      <x:c r="O1442" s="36" t="n">
        <x:f>Assumptions!$B$10</x:f>
        <x:v>0</x:v>
      </x:c>
      <x:c r="P1442" s="54" t="n">
        <x:f>E1442*(1+N1442)</x:f>
        <x:v>473.6573767589586</x:v>
      </x:c>
      <x:c r="Q1442" s="54" t="n">
        <x:f>P1442-E1442</x:f>
        <x:v>-42.342623241041395</x:v>
      </x:c>
      <x:c r="R1442" s="16" t="str">
        <x:v>No</x:v>
      </x:c>
      <x:c r="S1442" s="56"/>
      <x:c r="T1442" s="56"/>
      <x:c r="U1442" s="40" t="n">
        <x:f>E1442*Assumptions!$B$8</x:f>
        <x:v>438.59999999999997</x:v>
      </x:c>
      <x:c r="V1442" s="40" t="n">
        <x:f>P1442*Assumptions!$B$8</x:f>
        <x:v>402.6087702451148</x:v>
      </x:c>
      <x:c r="W1442" s="54" t="n">
        <x:f>V1442-U1442</x:f>
        <x:v>-35.99122975488518</x:v>
      </x:c>
      <x:c r="X1442" s="58" t="str">
        <x:f>IF(R1442="No","",W1442*S1442)</x:f>
      </x:c>
      <x:c r="Y1442" s="58" t="str">
        <x:f>IF(R1442="No","",W1442*T1442*Assumptions!$B$9)</x:f>
      </x:c>
      <x:c r="Z1442" s="58" t="str">
        <x:f>IF(R1442="No","",X1442-Y1442)</x:f>
      </x:c>
      <x:c r="AA1442" s="58" t="str">
        <x:f>IF(R1442="No","",MAX(0,-Z1442))</x:f>
      </x:c>
      <x:c r="AB1442" s="52" t="str">
        <x:f>IF(OR(R1442="No",U1442*S1442=0),"",AA1442/(U1442*S1442))</x:f>
      </x:c>
      <x:c r="AC1442" s="54" t="str">
        <x:f>IF(OR(R1442="No",S1442-T1442*Assumptions!$B$9&lt;=0),"",AA1442/(Assumptions!$B$8*(S1442-T1442*Assumptions!$B$9)))</x:f>
      </x:c>
      <x:c r="AD1442" s="52" t="str">
        <x:f>IF(OR(R1442="No",U1442*S1442=0),"",AA1442/(U1442*S1442))</x:f>
      </x:c>
      <x:c r="AE1442" s="50" t="str">
        <x:f>IF(R1442="No","No finance data",IF(AB1442&gt;=10%,"Severe",IF(AB1442&gt;=5%,"High",IF(AB1442&gt;=2%,"Moderate","Low"))))</x:f>
        <x:v>No finance data</x:v>
      </x:c>
      <x:c r="AF1442" s="60"/>
      <x:c r="AG1442" s="60"/>
      <x:c r="AH1442" s="44" t="str">
        <x:v>Undergraduate tuition-contribution proxy only; not an audited total institutional budget.</x:v>
      </x:c>
    </x:row>
    <x:row r="1443">
      <x:c r="A1443" s="16" t="n">
        <x:v>216047</x:v>
      </x:c>
      <x:c r="B1443" s="16" t="str">
        <x:v>Saint Charles Borromeo Seminary-Overbrook</x:v>
      </x:c>
      <x:c r="C1443" s="16" t="str">
        <x:v>PA</x:v>
      </x:c>
      <x:c r="D1443" s="16" t="str">
        <x:v>Private nonprofit</x:v>
      </x:c>
      <x:c r="E1443" s="34" t="n">
        <x:v>64</x:v>
      </x:c>
      <x:c r="F1443" s="21"/>
      <x:c r="G1443" s="16" t="str">
        <x:v>Regional</x:v>
      </x:c>
      <x:c r="H1443" s="36" t="n">
        <x:f>IF(G1443="National",Assumptions!$B$11,IF(G1443="Statewide",Assumptions!$B$12,Assumptions!$B$13))</x:f>
        <x:v>0.85</x:v>
      </x:c>
      <x:c r="I1443" s="21" t="n">
        <x:v>-0.07201174532693544</x:v>
      </x:c>
      <x:c r="J1443" s="21" t="n">
        <x:v>-0.08817589343264343</x:v>
      </x:c>
      <x:c r="K1443" s="21" t="n">
        <x:v>-0.16258683663969065</x:v>
      </x:c>
      <x:c r="L1443" s="36" t="n">
        <x:f>IF(Assumptions!$B$4=2030,I1443,IF(Assumptions!$B$4=2035,J1443,K1443))</x:f>
        <x:v>-0.08817589343264343</x:v>
      </x:c>
      <x:c r="M1443" s="36" t="n">
        <x:f>Assumptions!$B$19</x:f>
        <x:v>-0.04739891965741583</x:v>
      </x:c>
      <x:c r="N1443" s="52" t="n">
        <x:f>H1443*L1443+(1-H1443)*M1443+O1443</x:f>
        <x:v>-0.08205934736635928</x:v>
      </x:c>
      <x:c r="O1443" s="36" t="n">
        <x:f>Assumptions!$B$10</x:f>
        <x:v>0</x:v>
      </x:c>
      <x:c r="P1443" s="54" t="n">
        <x:f>E1443*(1+N1443)</x:f>
        <x:v>58.748201768553</x:v>
      </x:c>
      <x:c r="Q1443" s="54" t="n">
        <x:f>P1443-E1443</x:f>
        <x:v>-5.2517982314469975</x:v>
      </x:c>
      <x:c r="R1443" s="16" t="str">
        <x:v>No</x:v>
      </x:c>
      <x:c r="S1443" s="56"/>
      <x:c r="T1443" s="56"/>
      <x:c r="U1443" s="40" t="n">
        <x:f>E1443*Assumptions!$B$8</x:f>
        <x:v>54.4</x:v>
      </x:c>
      <x:c r="V1443" s="40" t="n">
        <x:f>P1443*Assumptions!$B$8</x:f>
        <x:v>49.93597150327005</x:v>
      </x:c>
      <x:c r="W1443" s="54" t="n">
        <x:f>V1443-U1443</x:f>
        <x:v>-4.464028496729945</x:v>
      </x:c>
      <x:c r="X1443" s="58" t="str">
        <x:f>IF(R1443="No","",W1443*S1443)</x:f>
      </x:c>
      <x:c r="Y1443" s="58" t="str">
        <x:f>IF(R1443="No","",W1443*T1443*Assumptions!$B$9)</x:f>
      </x:c>
      <x:c r="Z1443" s="58" t="str">
        <x:f>IF(R1443="No","",X1443-Y1443)</x:f>
      </x:c>
      <x:c r="AA1443" s="58" t="str">
        <x:f>IF(R1443="No","",MAX(0,-Z1443))</x:f>
      </x:c>
      <x:c r="AB1443" s="52" t="str">
        <x:f>IF(OR(R1443="No",U1443*S1443=0),"",AA1443/(U1443*S1443))</x:f>
      </x:c>
      <x:c r="AC1443" s="54" t="str">
        <x:f>IF(OR(R1443="No",S1443-T1443*Assumptions!$B$9&lt;=0),"",AA1443/(Assumptions!$B$8*(S1443-T1443*Assumptions!$B$9)))</x:f>
      </x:c>
      <x:c r="AD1443" s="52" t="str">
        <x:f>IF(OR(R1443="No",U1443*S1443=0),"",AA1443/(U1443*S1443))</x:f>
      </x:c>
      <x:c r="AE1443" s="50" t="str">
        <x:f>IF(R1443="No","No finance data",IF(AB1443&gt;=10%,"Severe",IF(AB1443&gt;=5%,"High",IF(AB1443&gt;=2%,"Moderate","Low"))))</x:f>
        <x:v>No finance data</x:v>
      </x:c>
      <x:c r="AF1443" s="60"/>
      <x:c r="AG1443" s="60"/>
      <x:c r="AH1443" s="44" t="str">
        <x:v>Undergraduate tuition-contribution proxy only; not an audited total institutional budget.</x:v>
      </x:c>
    </x:row>
    <x:row r="1444">
      <x:c r="A1444" s="16" t="n">
        <x:v>215743</x:v>
      </x:c>
      <x:c r="B1444" s="16" t="str">
        <x:v>Saint Francis University</x:v>
      </x:c>
      <x:c r="C1444" s="16" t="str">
        <x:v>PA</x:v>
      </x:c>
      <x:c r="D1444" s="16" t="str">
        <x:v>Private nonprofit</x:v>
      </x:c>
      <x:c r="E1444" s="34" t="n">
        <x:v>1714</x:v>
      </x:c>
      <x:c r="F1444" s="21" t="n">
        <x:v>0.7334</x:v>
      </x:c>
      <x:c r="G1444" s="16" t="str">
        <x:v>Regional</x:v>
      </x:c>
      <x:c r="H1444" s="36" t="n">
        <x:f>IF(G1444="National",Assumptions!$B$11,IF(G1444="Statewide",Assumptions!$B$12,Assumptions!$B$13))</x:f>
        <x:v>0.85</x:v>
      </x:c>
      <x:c r="I1444" s="21" t="n">
        <x:v>-0.07201174532693544</x:v>
      </x:c>
      <x:c r="J1444" s="21" t="n">
        <x:v>-0.08817589343264343</x:v>
      </x:c>
      <x:c r="K1444" s="21" t="n">
        <x:v>-0.16258683663969065</x:v>
      </x:c>
      <x:c r="L1444" s="36" t="n">
        <x:f>IF(Assumptions!$B$4=2030,I1444,IF(Assumptions!$B$4=2035,J1444,K1444))</x:f>
        <x:v>-0.08817589343264343</x:v>
      </x:c>
      <x:c r="M1444" s="36" t="n">
        <x:f>Assumptions!$B$19</x:f>
        <x:v>-0.04739891965741583</x:v>
      </x:c>
      <x:c r="N1444" s="52" t="n">
        <x:f>H1444*L1444+(1-H1444)*M1444+O1444</x:f>
        <x:v>-0.08205934736635928</x:v>
      </x:c>
      <x:c r="O1444" s="36" t="n">
        <x:f>Assumptions!$B$10</x:f>
        <x:v>0</x:v>
      </x:c>
      <x:c r="P1444" s="54" t="n">
        <x:f>E1444*(1+N1444)</x:f>
        <x:v>1573.35027861406</x:v>
      </x:c>
      <x:c r="Q1444" s="54" t="n">
        <x:f>P1444-E1444</x:f>
        <x:v>-140.64972138593998</x:v>
      </x:c>
      <x:c r="R1444" s="16" t="str">
        <x:v>Yes</x:v>
      </x:c>
      <x:c r="S1444" s="56" t="n">
        <x:v>15202</x:v>
      </x:c>
      <x:c r="T1444" s="56" t="n">
        <x:v>8470</x:v>
      </x:c>
      <x:c r="U1444" s="40" t="n">
        <x:f>E1444*Assumptions!$B$8</x:f>
        <x:v>1456.8999999999999</x:v>
      </x:c>
      <x:c r="V1444" s="40" t="n">
        <x:f>P1444*Assumptions!$B$8</x:f>
        <x:v>1337.347736821951</x:v>
      </x:c>
      <x:c r="W1444" s="54" t="n">
        <x:f>V1444-U1444</x:f>
        <x:v>-119.55226317804886</x:v>
      </x:c>
      <x:c r="X1444" s="58" t="n">
        <x:f>IF(R1444="No","",W1444*S1444)</x:f>
        <x:v>-1817433.5048326987</x:v>
      </x:c>
      <x:c r="Y1444" s="58" t="n">
        <x:f>IF(R1444="No","",W1444*T1444*Assumptions!$B$9)</x:f>
        <x:v>-303782.3007354222</x:v>
      </x:c>
      <x:c r="Z1444" s="58" t="n">
        <x:f>IF(R1444="No","",X1444-Y1444)</x:f>
        <x:v>-1513651.2040972766</x:v>
      </x:c>
      <x:c r="AA1444" s="58" t="n">
        <x:f>IF(R1444="No","",MAX(0,-Z1444))</x:f>
        <x:v>1513651.2040972766</x:v>
      </x:c>
      <x:c r="AB1444" s="52" t="n">
        <x:f>IF(OR(R1444="No",U1444*S1444=0),"",AA1444/(U1444*S1444))</x:f>
        <x:v>0.06834320464448593</x:v>
      </x:c>
      <x:c r="AC1444" s="54" t="n">
        <x:f>IF(OR(R1444="No",S1444-T1444*Assumptions!$B$9&lt;=0),"",AA1444/(Assumptions!$B$8*(S1444-T1444*Assumptions!$B$9)))</x:f>
        <x:v>140.6497213859398</x:v>
      </x:c>
      <x:c r="AD1444" s="52" t="n">
        <x:f>IF(OR(R1444="No",U1444*S1444=0),"",AA1444/(U1444*S1444))</x:f>
        <x:v>0.06834320464448593</x:v>
      </x:c>
      <x:c r="AE1444" s="50" t="str">
        <x:f>IF(R1444="No","No finance data",IF(AB1444&gt;=10%,"Severe",IF(AB1444&gt;=5%,"High",IF(AB1444&gt;=2%,"Moderate","Low"))))</x:f>
        <x:v>High</x:v>
      </x:c>
      <x:c r="AF1444" s="60" t="n">
        <x:v>40.506734</x:v>
      </x:c>
      <x:c r="AG1444" s="60" t="n">
        <x:v>-78.63904</x:v>
      </x:c>
      <x:c r="AH1444" s="44" t="str">
        <x:v>Undergraduate tuition-contribution proxy only; not an audited total institutional budget.</x:v>
      </x:c>
    </x:row>
    <x:row r="1445">
      <x:c r="A1445" s="16" t="n">
        <x:v>215770</x:v>
      </x:c>
      <x:c r="B1445" s="16" t="str">
        <x:v>Saint Joseph's University</x:v>
      </x:c>
      <x:c r="C1445" s="16" t="str">
        <x:v>PA</x:v>
      </x:c>
      <x:c r="D1445" s="16" t="str">
        <x:v>Private nonprofit</x:v>
      </x:c>
      <x:c r="E1445" s="34" t="n">
        <x:v>5248</x:v>
      </x:c>
      <x:c r="F1445" s="21" t="n">
        <x:v>0.8309</x:v>
      </x:c>
      <x:c r="G1445" s="16" t="str">
        <x:v>Regional</x:v>
      </x:c>
      <x:c r="H1445" s="36" t="n">
        <x:f>IF(G1445="National",Assumptions!$B$11,IF(G1445="Statewide",Assumptions!$B$12,Assumptions!$B$13))</x:f>
        <x:v>0.85</x:v>
      </x:c>
      <x:c r="I1445" s="21" t="n">
        <x:v>-0.07201174532693544</x:v>
      </x:c>
      <x:c r="J1445" s="21" t="n">
        <x:v>-0.08817589343264343</x:v>
      </x:c>
      <x:c r="K1445" s="21" t="n">
        <x:v>-0.16258683663969065</x:v>
      </x:c>
      <x:c r="L1445" s="36" t="n">
        <x:f>IF(Assumptions!$B$4=2030,I1445,IF(Assumptions!$B$4=2035,J1445,K1445))</x:f>
        <x:v>-0.08817589343264343</x:v>
      </x:c>
      <x:c r="M1445" s="36" t="n">
        <x:f>Assumptions!$B$19</x:f>
        <x:v>-0.04739891965741583</x:v>
      </x:c>
      <x:c r="N1445" s="52" t="n">
        <x:f>H1445*L1445+(1-H1445)*M1445+O1445</x:f>
        <x:v>-0.08205934736635928</x:v>
      </x:c>
      <x:c r="O1445" s="36" t="n">
        <x:f>Assumptions!$B$10</x:f>
        <x:v>0</x:v>
      </x:c>
      <x:c r="P1445" s="54" t="n">
        <x:f>E1445*(1+N1445)</x:f>
        <x:v>4817.3525450213465</x:v>
      </x:c>
      <x:c r="Q1445" s="54" t="n">
        <x:f>P1445-E1445</x:f>
        <x:v>-430.6474549786535</x:v>
      </x:c>
      <x:c r="R1445" s="16" t="str">
        <x:v>Yes</x:v>
      </x:c>
      <x:c r="S1445" s="56" t="n">
        <x:v>23089</x:v>
      </x:c>
      <x:c r="T1445" s="56" t="n">
        <x:v>9972</x:v>
      </x:c>
      <x:c r="U1445" s="40" t="n">
        <x:f>E1445*Assumptions!$B$8</x:f>
        <x:v>4460.8</x:v>
      </x:c>
      <x:c r="V1445" s="40" t="n">
        <x:f>P1445*Assumptions!$B$8</x:f>
        <x:v>4094.7496632681446</x:v>
      </x:c>
      <x:c r="W1445" s="54" t="n">
        <x:f>V1445-U1445</x:f>
        <x:v>-366.0503367318556</x:v>
      </x:c>
      <x:c r="X1445" s="58" t="n">
        <x:f>IF(R1445="No","",W1445*S1445)</x:f>
        <x:v>-8451736.224801814</x:v>
      </x:c>
      <x:c r="Y1445" s="58" t="n">
        <x:f>IF(R1445="No","",W1445*T1445*Assumptions!$B$9)</x:f>
        <x:v>-1095076.1873670192</x:v>
      </x:c>
      <x:c r="Z1445" s="58" t="n">
        <x:f>IF(R1445="No","",X1445-Y1445)</x:f>
        <x:v>-7356660.037434795</x:v>
      </x:c>
      <x:c r="AA1445" s="58" t="n">
        <x:f>IF(R1445="No","",MAX(0,-Z1445))</x:f>
        <x:v>7356660.037434795</x:v>
      </x:c>
      <x:c r="AB1445" s="52" t="n">
        <x:f>IF(OR(R1445="No",U1445*S1445=0),"",AA1445/(U1445*S1445))</x:f>
        <x:v>0.07142706603840225</x:v>
      </x:c>
      <x:c r="AC1445" s="54" t="n">
        <x:f>IF(OR(R1445="No",S1445-T1445*Assumptions!$B$9&lt;=0),"",AA1445/(Assumptions!$B$8*(S1445-T1445*Assumptions!$B$9)))</x:f>
        <x:v>430.6474549786536</x:v>
      </x:c>
      <x:c r="AD1445" s="52" t="n">
        <x:f>IF(OR(R1445="No",U1445*S1445=0),"",AA1445/(U1445*S1445))</x:f>
        <x:v>0.07142706603840225</x:v>
      </x:c>
      <x:c r="AE1445" s="50" t="str">
        <x:f>IF(R1445="No","No finance data",IF(AB1445&gt;=10%,"Severe",IF(AB1445&gt;=5%,"High",IF(AB1445&gt;=2%,"Moderate","Low"))))</x:f>
        <x:v>High</x:v>
      </x:c>
      <x:c r="AF1445" s="60" t="n">
        <x:v>39.994442</x:v>
      </x:c>
      <x:c r="AG1445" s="60" t="n">
        <x:v>-75.238343</x:v>
      </x:c>
      <x:c r="AH1445" s="44" t="str">
        <x:v>Undergraduate tuition-contribution proxy only; not an audited total institutional budget.</x:v>
      </x:c>
    </x:row>
    <x:row r="1446">
      <x:c r="A1446" s="16" t="n">
        <x:v>215798</x:v>
      </x:c>
      <x:c r="B1446" s="16" t="str">
        <x:v>Saint Vincent College</x:v>
      </x:c>
      <x:c r="C1446" s="16" t="str">
        <x:v>PA</x:v>
      </x:c>
      <x:c r="D1446" s="16" t="str">
        <x:v>Private nonprofit</x:v>
      </x:c>
      <x:c r="E1446" s="34" t="n">
        <x:v>1596</x:v>
      </x:c>
      <x:c r="F1446" s="21" t="n">
        <x:v>0.7303</x:v>
      </x:c>
      <x:c r="G1446" s="16" t="str">
        <x:v>Regional</x:v>
      </x:c>
      <x:c r="H1446" s="36" t="n">
        <x:f>IF(G1446="National",Assumptions!$B$11,IF(G1446="Statewide",Assumptions!$B$12,Assumptions!$B$13))</x:f>
        <x:v>0.85</x:v>
      </x:c>
      <x:c r="I1446" s="21" t="n">
        <x:v>-0.07201174532693544</x:v>
      </x:c>
      <x:c r="J1446" s="21" t="n">
        <x:v>-0.08817589343264343</x:v>
      </x:c>
      <x:c r="K1446" s="21" t="n">
        <x:v>-0.16258683663969065</x:v>
      </x:c>
      <x:c r="L1446" s="36" t="n">
        <x:f>IF(Assumptions!$B$4=2030,I1446,IF(Assumptions!$B$4=2035,J1446,K1446))</x:f>
        <x:v>-0.08817589343264343</x:v>
      </x:c>
      <x:c r="M1446" s="36" t="n">
        <x:f>Assumptions!$B$19</x:f>
        <x:v>-0.04739891965741583</x:v>
      </x:c>
      <x:c r="N1446" s="52" t="n">
        <x:f>H1446*L1446+(1-H1446)*M1446+O1446</x:f>
        <x:v>-0.08205934736635928</x:v>
      </x:c>
      <x:c r="O1446" s="36" t="n">
        <x:f>Assumptions!$B$10</x:f>
        <x:v>0</x:v>
      </x:c>
      <x:c r="P1446" s="54" t="n">
        <x:f>E1446*(1+N1446)</x:f>
        <x:v>1465.0332816032906</x:v>
      </x:c>
      <x:c r="Q1446" s="54" t="n">
        <x:f>P1446-E1446</x:f>
        <x:v>-130.96671839670944</x:v>
      </x:c>
      <x:c r="R1446" s="16" t="str">
        <x:v>Yes</x:v>
      </x:c>
      <x:c r="S1446" s="56" t="n">
        <x:v>14294</x:v>
      </x:c>
      <x:c r="T1446" s="56" t="n">
        <x:v>10468</x:v>
      </x:c>
      <x:c r="U1446" s="40" t="n">
        <x:f>E1446*Assumptions!$B$8</x:f>
        <x:v>1356.6</x:v>
      </x:c>
      <x:c r="V1446" s="40" t="n">
        <x:f>P1446*Assumptions!$B$8</x:f>
        <x:v>1245.2782893627968</x:v>
      </x:c>
      <x:c r="W1446" s="54" t="n">
        <x:f>V1446-U1446</x:f>
        <x:v>-111.32171063720307</x:v>
      </x:c>
      <x:c r="X1446" s="58" t="n">
        <x:f>IF(R1446="No","",W1446*S1446)</x:f>
        <x:v>-1591232.5318481806</x:v>
      </x:c>
      <x:c r="Y1446" s="58" t="n">
        <x:f>IF(R1446="No","",W1446*T1446*Assumptions!$B$9)</x:f>
        <x:v>-349594.7000850725</x:v>
      </x:c>
      <x:c r="Z1446" s="58" t="n">
        <x:f>IF(R1446="No","",X1446-Y1446)</x:f>
        <x:v>-1241637.831763108</x:v>
      </x:c>
      <x:c r="AA1446" s="58" t="n">
        <x:f>IF(R1446="No","",MAX(0,-Z1446))</x:f>
        <x:v>1241637.831763108</x:v>
      </x:c>
      <x:c r="AB1446" s="52" t="n">
        <x:f>IF(OR(R1446="No",U1446*S1446=0),"",AA1446/(U1446*S1446))</x:f>
        <x:v>0.06403086167520816</x:v>
      </x:c>
      <x:c r="AC1446" s="54" t="n">
        <x:f>IF(OR(R1446="No",S1446-T1446*Assumptions!$B$9&lt;=0),"",AA1446/(Assumptions!$B$8*(S1446-T1446*Assumptions!$B$9)))</x:f>
        <x:v>130.9667183967095</x:v>
      </x:c>
      <x:c r="AD1446" s="52" t="n">
        <x:f>IF(OR(R1446="No",U1446*S1446=0),"",AA1446/(U1446*S1446))</x:f>
        <x:v>0.06403086167520816</x:v>
      </x:c>
      <x:c r="AE1446" s="50" t="str">
        <x:f>IF(R1446="No","No finance data",IF(AB1446&gt;=10%,"Severe",IF(AB1446&gt;=5%,"High",IF(AB1446&gt;=2%,"Moderate","Low"))))</x:f>
        <x:v>High</x:v>
      </x:c>
      <x:c r="AF1446" s="60" t="n">
        <x:v>40.29265</x:v>
      </x:c>
      <x:c r="AG1446" s="60" t="n">
        <x:v>-79.403762</x:v>
      </x:c>
      <x:c r="AH1446" s="44" t="str">
        <x:v>Undergraduate tuition-contribution proxy only; not an audited total institutional budget.</x:v>
      </x:c>
    </x:row>
    <x:row r="1447">
      <x:c r="A1447" s="16" t="n">
        <x:v>215947</x:v>
      </x:c>
      <x:c r="B1447" s="16" t="str">
        <x:v>Seton Hill University</x:v>
      </x:c>
      <x:c r="C1447" s="16" t="str">
        <x:v>PA</x:v>
      </x:c>
      <x:c r="D1447" s="16" t="str">
        <x:v>Private nonprofit</x:v>
      </x:c>
      <x:c r="E1447" s="34" t="n">
        <x:v>1581</x:v>
      </x:c>
      <x:c r="F1447" s="21" t="n">
        <x:v>0.7381</x:v>
      </x:c>
      <x:c r="G1447" s="16" t="str">
        <x:v>Regional</x:v>
      </x:c>
      <x:c r="H1447" s="36" t="n">
        <x:f>IF(G1447="National",Assumptions!$B$11,IF(G1447="Statewide",Assumptions!$B$12,Assumptions!$B$13))</x:f>
        <x:v>0.85</x:v>
      </x:c>
      <x:c r="I1447" s="21" t="n">
        <x:v>-0.07201174532693544</x:v>
      </x:c>
      <x:c r="J1447" s="21" t="n">
        <x:v>-0.08817589343264343</x:v>
      </x:c>
      <x:c r="K1447" s="21" t="n">
        <x:v>-0.16258683663969065</x:v>
      </x:c>
      <x:c r="L1447" s="36" t="n">
        <x:f>IF(Assumptions!$B$4=2030,I1447,IF(Assumptions!$B$4=2035,J1447,K1447))</x:f>
        <x:v>-0.08817589343264343</x:v>
      </x:c>
      <x:c r="M1447" s="36" t="n">
        <x:f>Assumptions!$B$19</x:f>
        <x:v>-0.04739891965741583</x:v>
      </x:c>
      <x:c r="N1447" s="52" t="n">
        <x:f>H1447*L1447+(1-H1447)*M1447+O1447</x:f>
        <x:v>-0.08205934736635928</x:v>
      </x:c>
      <x:c r="O1447" s="36" t="n">
        <x:f>Assumptions!$B$10</x:f>
        <x:v>0</x:v>
      </x:c>
      <x:c r="P1447" s="54" t="n">
        <x:f>E1447*(1+N1447)</x:f>
        <x:v>1451.2641718137859</x:v>
      </x:c>
      <x:c r="Q1447" s="54" t="n">
        <x:f>P1447-E1447</x:f>
        <x:v>-129.73582818621412</x:v>
      </x:c>
      <x:c r="R1447" s="16" t="str">
        <x:v>Yes</x:v>
      </x:c>
      <x:c r="S1447" s="56" t="n">
        <x:v>14475</x:v>
      </x:c>
      <x:c r="T1447" s="56" t="n">
        <x:v>9614</x:v>
      </x:c>
      <x:c r="U1447" s="40" t="n">
        <x:f>E1447*Assumptions!$B$8</x:f>
        <x:v>1343.85</x:v>
      </x:c>
      <x:c r="V1447" s="40" t="n">
        <x:f>P1447*Assumptions!$B$8</x:f>
        <x:v>1233.574546041718</x:v>
      </x:c>
      <x:c r="W1447" s="54" t="n">
        <x:f>V1447-U1447</x:f>
        <x:v>-110.27545395828201</x:v>
      </x:c>
      <x:c r="X1447" s="58" t="n">
        <x:f>IF(R1447="No","",W1447*S1447)</x:f>
        <x:v>-1596237.1960461321</x:v>
      </x:c>
      <x:c r="Y1447" s="58" t="n">
        <x:f>IF(R1447="No","",W1447*T1447*Assumptions!$B$9)</x:f>
        <x:v>-318056.46430647693</x:v>
      </x:c>
      <x:c r="Z1447" s="58" t="n">
        <x:f>IF(R1447="No","",X1447-Y1447)</x:f>
        <x:v>-1278180.7317396551</x:v>
      </x:c>
      <x:c r="AA1447" s="58" t="n">
        <x:f>IF(R1447="No","",MAX(0,-Z1447))</x:f>
        <x:v>1278180.7317396551</x:v>
      </x:c>
      <x:c r="AB1447" s="52" t="n">
        <x:f>IF(OR(R1447="No",U1447*S1447=0),"",AA1447/(U1447*S1447))</x:f>
        <x:v>0.06570870352013802</x:v>
      </x:c>
      <x:c r="AC1447" s="54" t="n">
        <x:f>IF(OR(R1447="No",S1447-T1447*Assumptions!$B$9&lt;=0),"",AA1447/(Assumptions!$B$8*(S1447-T1447*Assumptions!$B$9)))</x:f>
        <x:v>129.73582818621415</x:v>
      </x:c>
      <x:c r="AD1447" s="52" t="n">
        <x:f>IF(OR(R1447="No",U1447*S1447=0),"",AA1447/(U1447*S1447))</x:f>
        <x:v>0.06570870352013802</x:v>
      </x:c>
      <x:c r="AE1447" s="50" t="str">
        <x:f>IF(R1447="No","No finance data",IF(AB1447&gt;=10%,"Severe",IF(AB1447&gt;=5%,"High",IF(AB1447&gt;=2%,"Moderate","Low"))))</x:f>
        <x:v>High</x:v>
      </x:c>
      <x:c r="AF1447" s="60" t="n">
        <x:v>40.309407</x:v>
      </x:c>
      <x:c r="AG1447" s="60" t="n">
        <x:v>-79.557433</x:v>
      </x:c>
      <x:c r="AH1447" s="44" t="str">
        <x:v>Undergraduate tuition-contribution proxy only; not an audited total institutional budget.</x:v>
      </x:c>
    </x:row>
    <x:row r="1448">
      <x:c r="A1448" s="16" t="n">
        <x:v>216010</x:v>
      </x:c>
      <x:c r="B1448" s="16" t="str">
        <x:v>Shippensburg University of Pennsylvania</x:v>
      </x:c>
      <x:c r="C1448" s="16" t="str">
        <x:v>PA</x:v>
      </x:c>
      <x:c r="D1448" s="16" t="str">
        <x:v>Public</x:v>
      </x:c>
      <x:c r="E1448" s="34" t="n">
        <x:v>5953</x:v>
      </x:c>
      <x:c r="F1448" s="21" t="n">
        <x:v>0.9312</x:v>
      </x:c>
      <x:c r="G1448" s="16" t="str">
        <x:v>Statewide</x:v>
      </x:c>
      <x:c r="H1448" s="36" t="n">
        <x:f>IF(G1448="National",Assumptions!$B$11,IF(G1448="Statewide",Assumptions!$B$12,Assumptions!$B$13))</x:f>
        <x:v>0.6</x:v>
      </x:c>
      <x:c r="I1448" s="21" t="n">
        <x:v>-0.07201174532693544</x:v>
      </x:c>
      <x:c r="J1448" s="21" t="n">
        <x:v>-0.08817589343264343</x:v>
      </x:c>
      <x:c r="K1448" s="21" t="n">
        <x:v>-0.16258683663969065</x:v>
      </x:c>
      <x:c r="L1448" s="36" t="n">
        <x:f>IF(Assumptions!$B$4=2030,I1448,IF(Assumptions!$B$4=2035,J1448,K1448))</x:f>
        <x:v>-0.08817589343264343</x:v>
      </x:c>
      <x:c r="M1448" s="36" t="n">
        <x:f>Assumptions!$B$19</x:f>
        <x:v>-0.04739891965741583</x:v>
      </x:c>
      <x:c r="N1448" s="52" t="n">
        <x:f>H1448*L1448+(1-H1448)*M1448+O1448</x:f>
        <x:v>-0.07186510392255238</x:v>
      </x:c>
      <x:c r="O1448" s="36" t="n">
        <x:f>Assumptions!$B$10</x:f>
        <x:v>0</x:v>
      </x:c>
      <x:c r="P1448" s="54" t="n">
        <x:f>E1448*(1+N1448)</x:f>
        <x:v>5525.187036349045</x:v>
      </x:c>
      <x:c r="Q1448" s="54" t="n">
        <x:f>P1448-E1448</x:f>
        <x:v>-427.81296365095477</x:v>
      </x:c>
      <x:c r="R1448" s="16" t="str">
        <x:v>Yes</x:v>
      </x:c>
      <x:c r="S1448" s="56" t="n">
        <x:v>8580</x:v>
      </x:c>
      <x:c r="T1448" s="56" t="n">
        <x:v>10041</x:v>
      </x:c>
      <x:c r="U1448" s="40" t="n">
        <x:f>E1448*Assumptions!$B$8</x:f>
        <x:v>5060.05</x:v>
      </x:c>
      <x:c r="V1448" s="40" t="n">
        <x:f>P1448*Assumptions!$B$8</x:f>
        <x:v>4696.408980896688</x:v>
      </x:c>
      <x:c r="W1448" s="54" t="n">
        <x:f>V1448-U1448</x:f>
        <x:v>-363.6410191033119</x:v>
      </x:c>
      <x:c r="X1448" s="58" t="n">
        <x:f>IF(R1448="No","",W1448*S1448)</x:f>
        <x:v>-3120039.943906416</x:v>
      </x:c>
      <x:c r="Y1448" s="58" t="n">
        <x:f>IF(R1448="No","",W1448*T1448*Assumptions!$B$9)</x:f>
        <x:v>-1095395.8418449066</x:v>
      </x:c>
      <x:c r="Z1448" s="58" t="n">
        <x:f>IF(R1448="No","",X1448-Y1448)</x:f>
        <x:v>-2024644.1020615096</x:v>
      </x:c>
      <x:c r="AA1448" s="58" t="n">
        <x:f>IF(R1448="No","",MAX(0,-Z1448))</x:f>
        <x:v>2024644.1020615096</x:v>
      </x:c>
      <x:c r="AB1448" s="52" t="n">
        <x:f>IF(OR(R1448="No",U1448*S1448=0),"",AA1448/(U1448*S1448))</x:f>
        <x:v>0.04663442180764518</x:v>
      </x:c>
      <x:c r="AC1448" s="54" t="n">
        <x:f>IF(OR(R1448="No",S1448-T1448*Assumptions!$B$9&lt;=0),"",AA1448/(Assumptions!$B$8*(S1448-T1448*Assumptions!$B$9)))</x:f>
        <x:v>427.81296365095517</x:v>
      </x:c>
      <x:c r="AD1448" s="52" t="n">
        <x:f>IF(OR(R1448="No",U1448*S1448=0),"",AA1448/(U1448*S1448))</x:f>
        <x:v>0.04663442180764518</x:v>
      </x:c>
      <x:c r="AE1448" s="50" t="str">
        <x:f>IF(R1448="No","No finance data",IF(AB1448&gt;=10%,"Severe",IF(AB1448&gt;=5%,"High",IF(AB1448&gt;=2%,"Moderate","Low"))))</x:f>
        <x:v>Moderate</x:v>
      </x:c>
      <x:c r="AF1448" s="60" t="n">
        <x:v>40.057933</x:v>
      </x:c>
      <x:c r="AG1448" s="60" t="n">
        <x:v>-77.522335</x:v>
      </x:c>
      <x:c r="AH1448" s="44" t="str">
        <x:v>Undergraduate tuition-contribution proxy only; not an audited total institutional budget.</x:v>
      </x:c>
    </x:row>
    <x:row r="1449">
      <x:c r="A1449" s="16" t="n">
        <x:v>216038</x:v>
      </x:c>
      <x:c r="B1449" s="16" t="str">
        <x:v>Slippery Rock University of Pennsylvania</x:v>
      </x:c>
      <x:c r="C1449" s="16" t="str">
        <x:v>PA</x:v>
      </x:c>
      <x:c r="D1449" s="16" t="str">
        <x:v>Public</x:v>
      </x:c>
      <x:c r="E1449" s="34" t="n">
        <x:v>7461</x:v>
      </x:c>
      <x:c r="F1449" s="21" t="n">
        <x:v>0.795</x:v>
      </x:c>
      <x:c r="G1449" s="16" t="str">
        <x:v>Statewide</x:v>
      </x:c>
      <x:c r="H1449" s="36" t="n">
        <x:f>IF(G1449="National",Assumptions!$B$11,IF(G1449="Statewide",Assumptions!$B$12,Assumptions!$B$13))</x:f>
        <x:v>0.6</x:v>
      </x:c>
      <x:c r="I1449" s="21" t="n">
        <x:v>-0.07201174532693544</x:v>
      </x:c>
      <x:c r="J1449" s="21" t="n">
        <x:v>-0.08817589343264343</x:v>
      </x:c>
      <x:c r="K1449" s="21" t="n">
        <x:v>-0.16258683663969065</x:v>
      </x:c>
      <x:c r="L1449" s="36" t="n">
        <x:f>IF(Assumptions!$B$4=2030,I1449,IF(Assumptions!$B$4=2035,J1449,K1449))</x:f>
        <x:v>-0.08817589343264343</x:v>
      </x:c>
      <x:c r="M1449" s="36" t="n">
        <x:f>Assumptions!$B$19</x:f>
        <x:v>-0.04739891965741583</x:v>
      </x:c>
      <x:c r="N1449" s="52" t="n">
        <x:f>H1449*L1449+(1-H1449)*M1449+O1449</x:f>
        <x:v>-0.07186510392255238</x:v>
      </x:c>
      <x:c r="O1449" s="36" t="n">
        <x:f>Assumptions!$B$10</x:f>
        <x:v>0</x:v>
      </x:c>
      <x:c r="P1449" s="54" t="n">
        <x:f>E1449*(1+N1449)</x:f>
        <x:v>6924.814459633836</x:v>
      </x:c>
      <x:c r="Q1449" s="54" t="n">
        <x:f>P1449-E1449</x:f>
        <x:v>-536.1855403661639</x:v>
      </x:c>
      <x:c r="R1449" s="16" t="str">
        <x:v>Yes</x:v>
      </x:c>
      <x:c r="S1449" s="56" t="n">
        <x:v>8763</x:v>
      </x:c>
      <x:c r="T1449" s="56" t="n">
        <x:v>8088</x:v>
      </x:c>
      <x:c r="U1449" s="40" t="n">
        <x:f>E1449*Assumptions!$B$8</x:f>
        <x:v>6341.849999999999</x:v>
      </x:c>
      <x:c r="V1449" s="40" t="n">
        <x:f>P1449*Assumptions!$B$8</x:f>
        <x:v>5886.092290688761</x:v>
      </x:c>
      <x:c r="W1449" s="54" t="n">
        <x:f>V1449-U1449</x:f>
        <x:v>-455.7577093112386</x:v>
      </x:c>
      <x:c r="X1449" s="58" t="n">
        <x:f>IF(R1449="No","",W1449*S1449)</x:f>
        <x:v>-3993804.806694384</x:v>
      </x:c>
      <x:c r="Y1449" s="58" t="n">
        <x:f>IF(R1449="No","",W1449*T1449*Assumptions!$B$9)</x:f>
        <x:v>-1105850.5058727893</x:v>
      </x:c>
      <x:c r="Z1449" s="58" t="n">
        <x:f>IF(R1449="No","",X1449-Y1449)</x:f>
        <x:v>-2887954.300821595</x:v>
      </x:c>
      <x:c r="AA1449" s="58" t="n">
        <x:f>IF(R1449="No","",MAX(0,-Z1449))</x:f>
        <x:v>2887954.300821595</x:v>
      </x:c>
      <x:c r="AB1449" s="52" t="n">
        <x:f>IF(OR(R1449="No",U1449*S1449=0),"",AA1449/(U1449*S1449))</x:f>
        <x:v>0.051966269258889114</x:v>
      </x:c>
      <x:c r="AC1449" s="54" t="n">
        <x:f>IF(OR(R1449="No",S1449-T1449*Assumptions!$B$9&lt;=0),"",AA1449/(Assumptions!$B$8*(S1449-T1449*Assumptions!$B$9)))</x:f>
        <x:v>536.1855403661631</x:v>
      </x:c>
      <x:c r="AD1449" s="52" t="n">
        <x:f>IF(OR(R1449="No",U1449*S1449=0),"",AA1449/(U1449*S1449))</x:f>
        <x:v>0.051966269258889114</x:v>
      </x:c>
      <x:c r="AE1449" s="50" t="str">
        <x:f>IF(R1449="No","No finance data",IF(AB1449&gt;=10%,"Severe",IF(AB1449&gt;=5%,"High",IF(AB1449&gt;=2%,"Moderate","Low"))))</x:f>
        <x:v>High</x:v>
      </x:c>
      <x:c r="AF1449" s="60" t="n">
        <x:v>41.062719</x:v>
      </x:c>
      <x:c r="AG1449" s="60" t="n">
        <x:v>-80.045965</x:v>
      </x:c>
      <x:c r="AH1449" s="44" t="str">
        <x:v>Undergraduate tuition-contribution proxy only; not an audited total institutional budget.</x:v>
      </x:c>
    </x:row>
    <x:row r="1450">
      <x:c r="A1450" s="16" t="n">
        <x:v>216278</x:v>
      </x:c>
      <x:c r="B1450" s="16" t="str">
        <x:v>Susquehanna University</x:v>
      </x:c>
      <x:c r="C1450" s="16" t="str">
        <x:v>PA</x:v>
      </x:c>
      <x:c r="D1450" s="16" t="str">
        <x:v>Private nonprofit</x:v>
      </x:c>
      <x:c r="E1450" s="34" t="n">
        <x:v>2122</x:v>
      </x:c>
      <x:c r="F1450" s="21" t="n">
        <x:v>0.7663</x:v>
      </x:c>
      <x:c r="G1450" s="16" t="str">
        <x:v>Regional</x:v>
      </x:c>
      <x:c r="H1450" s="36" t="n">
        <x:f>IF(G1450="National",Assumptions!$B$11,IF(G1450="Statewide",Assumptions!$B$12,Assumptions!$B$13))</x:f>
        <x:v>0.85</x:v>
      </x:c>
      <x:c r="I1450" s="21" t="n">
        <x:v>-0.07201174532693544</x:v>
      </x:c>
      <x:c r="J1450" s="21" t="n">
        <x:v>-0.08817589343264343</x:v>
      </x:c>
      <x:c r="K1450" s="21" t="n">
        <x:v>-0.16258683663969065</x:v>
      </x:c>
      <x:c r="L1450" s="36" t="n">
        <x:f>IF(Assumptions!$B$4=2030,I1450,IF(Assumptions!$B$4=2035,J1450,K1450))</x:f>
        <x:v>-0.08817589343264343</x:v>
      </x:c>
      <x:c r="M1450" s="36" t="n">
        <x:f>Assumptions!$B$19</x:f>
        <x:v>-0.04739891965741583</x:v>
      </x:c>
      <x:c r="N1450" s="52" t="n">
        <x:f>H1450*L1450+(1-H1450)*M1450+O1450</x:f>
        <x:v>-0.08205934736635928</x:v>
      </x:c>
      <x:c r="O1450" s="36" t="n">
        <x:f>Assumptions!$B$10</x:f>
        <x:v>0</x:v>
      </x:c>
      <x:c r="P1450" s="54" t="n">
        <x:f>E1450*(1+N1450)</x:f>
        <x:v>1947.8700648885854</x:v>
      </x:c>
      <x:c r="Q1450" s="54" t="n">
        <x:f>P1450-E1450</x:f>
        <x:v>-174.12993511141462</x:v>
      </x:c>
      <x:c r="R1450" s="16" t="str">
        <x:v>Yes</x:v>
      </x:c>
      <x:c r="S1450" s="56" t="n">
        <x:v>16062</x:v>
      </x:c>
      <x:c r="T1450" s="56" t="n">
        <x:v>10481</x:v>
      </x:c>
      <x:c r="U1450" s="40" t="n">
        <x:f>E1450*Assumptions!$B$8</x:f>
        <x:v>1803.7</x:v>
      </x:c>
      <x:c r="V1450" s="40" t="n">
        <x:f>P1450*Assumptions!$B$8</x:f>
        <x:v>1655.6895551552975</x:v>
      </x:c>
      <x:c r="W1450" s="54" t="n">
        <x:f>V1450-U1450</x:f>
        <x:v>-148.01044484470253</x:v>
      </x:c>
      <x:c r="X1450" s="58" t="n">
        <x:f>IF(R1450="No","",W1450*S1450)</x:f>
        <x:v>-2377343.765095612</x:v>
      </x:c>
      <x:c r="Y1450" s="58" t="n">
        <x:f>IF(R1450="No","",W1450*T1450*Assumptions!$B$9)</x:f>
        <x:v>-465389.24172519817</x:v>
      </x:c>
      <x:c r="Z1450" s="58" t="n">
        <x:f>IF(R1450="No","",X1450-Y1450)</x:f>
        <x:v>-1911954.5233704138</x:v>
      </x:c>
      <x:c r="AA1450" s="58" t="n">
        <x:f>IF(R1450="No","",MAX(0,-Z1450))</x:f>
        <x:v>1911954.5233704138</x:v>
      </x:c>
      <x:c r="AB1450" s="52" t="n">
        <x:f>IF(OR(R1450="No",U1450*S1450=0),"",AA1450/(U1450*S1450))</x:f>
        <x:v>0.06599539481225385</x:v>
      </x:c>
      <x:c r="AC1450" s="54" t="n">
        <x:f>IF(OR(R1450="No",S1450-T1450*Assumptions!$B$9&lt;=0),"",AA1450/(Assumptions!$B$8*(S1450-T1450*Assumptions!$B$9)))</x:f>
        <x:v>174.12993511141474</x:v>
      </x:c>
      <x:c r="AD1450" s="52" t="n">
        <x:f>IF(OR(R1450="No",U1450*S1450=0),"",AA1450/(U1450*S1450))</x:f>
        <x:v>0.06599539481225385</x:v>
      </x:c>
      <x:c r="AE1450" s="50" t="str">
        <x:f>IF(R1450="No","No finance data",IF(AB1450&gt;=10%,"Severe",IF(AB1450&gt;=5%,"High",IF(AB1450&gt;=2%,"Moderate","Low"))))</x:f>
        <x:v>High</x:v>
      </x:c>
      <x:c r="AF1450" s="60" t="n">
        <x:v>40.797502</x:v>
      </x:c>
      <x:c r="AG1450" s="60" t="n">
        <x:v>-76.875329</x:v>
      </x:c>
      <x:c r="AH1450" s="44" t="str">
        <x:v>Undergraduate tuition-contribution proxy only; not an audited total institutional budget.</x:v>
      </x:c>
    </x:row>
    <x:row r="1451">
      <x:c r="A1451" s="16" t="n">
        <x:v>216287</x:v>
      </x:c>
      <x:c r="B1451" s="16" t="str">
        <x:v>Swarthmore College</x:v>
      </x:c>
      <x:c r="C1451" s="16" t="str">
        <x:v>PA</x:v>
      </x:c>
      <x:c r="D1451" s="16" t="str">
        <x:v>Private nonprofit</x:v>
      </x:c>
      <x:c r="E1451" s="34" t="n">
        <x:v>1566</x:v>
      </x:c>
      <x:c r="F1451" s="21" t="n">
        <x:v>0.0779</x:v>
      </x:c>
      <x:c r="G1451" s="16" t="str">
        <x:v>National</x:v>
      </x:c>
      <x:c r="H1451" s="36" t="n">
        <x:f>IF(G1451="National",Assumptions!$B$11,IF(G1451="Statewide",Assumptions!$B$12,Assumptions!$B$13))</x:f>
        <x:v>0.25</x:v>
      </x:c>
      <x:c r="I1451" s="21" t="n">
        <x:v>-0.07201174532693544</x:v>
      </x:c>
      <x:c r="J1451" s="21" t="n">
        <x:v>-0.08817589343264343</x:v>
      </x:c>
      <x:c r="K1451" s="21" t="n">
        <x:v>-0.16258683663969065</x:v>
      </x:c>
      <x:c r="L1451" s="36" t="n">
        <x:f>IF(Assumptions!$B$4=2030,I1451,IF(Assumptions!$B$4=2035,J1451,K1451))</x:f>
        <x:v>-0.08817589343264343</x:v>
      </x:c>
      <x:c r="M1451" s="36" t="n">
        <x:f>Assumptions!$B$19</x:f>
        <x:v>-0.04739891965741583</x:v>
      </x:c>
      <x:c r="N1451" s="52" t="n">
        <x:f>H1451*L1451+(1-H1451)*M1451+O1451</x:f>
        <x:v>-0.05759316310122273</x:v>
      </x:c>
      <x:c r="O1451" s="36" t="n">
        <x:f>Assumptions!$B$10</x:f>
        <x:v>0</x:v>
      </x:c>
      <x:c r="P1451" s="54" t="n">
        <x:f>E1451*(1+N1451)</x:f>
        <x:v>1475.8091065834851</x:v>
      </x:c>
      <x:c r="Q1451" s="54" t="n">
        <x:f>P1451-E1451</x:f>
        <x:v>-90.19089341651488</x:v>
      </x:c>
      <x:c r="R1451" s="16" t="str">
        <x:v>Yes</x:v>
      </x:c>
      <x:c r="S1451" s="56" t="n">
        <x:v>27705</x:v>
      </x:c>
      <x:c r="T1451" s="56" t="n">
        <x:v>38762</x:v>
      </x:c>
      <x:c r="U1451" s="40" t="n">
        <x:f>E1451*Assumptions!$B$8</x:f>
        <x:v>1331.1</x:v>
      </x:c>
      <x:c r="V1451" s="40" t="n">
        <x:f>P1451*Assumptions!$B$8</x:f>
        <x:v>1254.4377405959624</x:v>
      </x:c>
      <x:c r="W1451" s="54" t="n">
        <x:f>V1451-U1451</x:f>
        <x:v>-76.66225940403751</x:v>
      </x:c>
      <x:c r="X1451" s="58" t="n">
        <x:f>IF(R1451="No","",W1451*S1451)</x:f>
        <x:v>-2123927.8967888593</x:v>
      </x:c>
      <x:c r="Y1451" s="58" t="n">
        <x:f>IF(R1451="No","",W1451*T1451*Assumptions!$B$9)</x:f>
        <x:v>-891474.7497057905</x:v>
      </x:c>
      <x:c r="Z1451" s="58" t="n">
        <x:f>IF(R1451="No","",X1451-Y1451)</x:f>
        <x:v>-1232453.1470830687</x:v>
      </x:c>
      <x:c r="AA1451" s="58" t="n">
        <x:f>IF(R1451="No","",MAX(0,-Z1451))</x:f>
        <x:v>1232453.1470830687</x:v>
      </x:c>
      <x:c r="AB1451" s="52" t="n">
        <x:f>IF(OR(R1451="No",U1451*S1451=0),"",AA1451/(U1451*S1451))</x:f>
        <x:v>0.033419625601172946</x:v>
      </x:c>
      <x:c r="AC1451" s="54" t="n">
        <x:f>IF(OR(R1451="No",S1451-T1451*Assumptions!$B$9&lt;=0),"",AA1451/(Assumptions!$B$8*(S1451-T1451*Assumptions!$B$9)))</x:f>
        <x:v>90.19089341651474</x:v>
      </x:c>
      <x:c r="AD1451" s="52" t="n">
        <x:f>IF(OR(R1451="No",U1451*S1451=0),"",AA1451/(U1451*S1451))</x:f>
        <x:v>0.033419625601172946</x:v>
      </x:c>
      <x:c r="AE1451" s="50" t="str">
        <x:f>IF(R1451="No","No finance data",IF(AB1451&gt;=10%,"Severe",IF(AB1451&gt;=5%,"High",IF(AB1451&gt;=2%,"Moderate","Low"))))</x:f>
        <x:v>Moderate</x:v>
      </x:c>
      <x:c r="AF1451" s="60" t="n">
        <x:v>39.905159</x:v>
      </x:c>
      <x:c r="AG1451" s="60" t="n">
        <x:v>-75.354278</x:v>
      </x:c>
      <x:c r="AH1451" s="44" t="str">
        <x:v>Undergraduate tuition-contribution proxy only; not an audited total institutional budget.</x:v>
      </x:c>
    </x:row>
    <x:row r="1452">
      <x:c r="A1452" s="16" t="n">
        <x:v>216311</x:v>
      </x:c>
      <x:c r="B1452" s="16" t="str">
        <x:v>Talmudical Yeshiva of Philadelphia</x:v>
      </x:c>
      <x:c r="C1452" s="16" t="str">
        <x:v>PA</x:v>
      </x:c>
      <x:c r="D1452" s="16" t="str">
        <x:v>Private nonprofit</x:v>
      </x:c>
      <x:c r="E1452" s="34" t="n">
        <x:v>115</x:v>
      </x:c>
      <x:c r="F1452" s="21"/>
      <x:c r="G1452" s="16" t="str">
        <x:v>Regional</x:v>
      </x:c>
      <x:c r="H1452" s="36" t="n">
        <x:f>IF(G1452="National",Assumptions!$B$11,IF(G1452="Statewide",Assumptions!$B$12,Assumptions!$B$13))</x:f>
        <x:v>0.85</x:v>
      </x:c>
      <x:c r="I1452" s="21" t="n">
        <x:v>-0.07201174532693544</x:v>
      </x:c>
      <x:c r="J1452" s="21" t="n">
        <x:v>-0.08817589343264343</x:v>
      </x:c>
      <x:c r="K1452" s="21" t="n">
        <x:v>-0.16258683663969065</x:v>
      </x:c>
      <x:c r="L1452" s="36" t="n">
        <x:f>IF(Assumptions!$B$4=2030,I1452,IF(Assumptions!$B$4=2035,J1452,K1452))</x:f>
        <x:v>-0.08817589343264343</x:v>
      </x:c>
      <x:c r="M1452" s="36" t="n">
        <x:f>Assumptions!$B$19</x:f>
        <x:v>-0.04739891965741583</x:v>
      </x:c>
      <x:c r="N1452" s="52" t="n">
        <x:f>H1452*L1452+(1-H1452)*M1452+O1452</x:f>
        <x:v>-0.08205934736635928</x:v>
      </x:c>
      <x:c r="O1452" s="36" t="n">
        <x:f>Assumptions!$B$10</x:f>
        <x:v>0</x:v>
      </x:c>
      <x:c r="P1452" s="54" t="n">
        <x:f>E1452*(1+N1452)</x:f>
        <x:v>105.56317505286867</x:v>
      </x:c>
      <x:c r="Q1452" s="54" t="n">
        <x:f>P1452-E1452</x:f>
        <x:v>-9.436824947131328</x:v>
      </x:c>
      <x:c r="R1452" s="16" t="str">
        <x:v>No</x:v>
      </x:c>
      <x:c r="S1452" s="56"/>
      <x:c r="T1452" s="56"/>
      <x:c r="U1452" s="40" t="n">
        <x:f>E1452*Assumptions!$B$8</x:f>
        <x:v>97.75</x:v>
      </x:c>
      <x:c r="V1452" s="40" t="n">
        <x:f>P1452*Assumptions!$B$8</x:f>
        <x:v>89.72869879493837</x:v>
      </x:c>
      <x:c r="W1452" s="54" t="n">
        <x:f>V1452-U1452</x:f>
        <x:v>-8.021301205061633</x:v>
      </x:c>
      <x:c r="X1452" s="58" t="str">
        <x:f>IF(R1452="No","",W1452*S1452)</x:f>
      </x:c>
      <x:c r="Y1452" s="58" t="str">
        <x:f>IF(R1452="No","",W1452*T1452*Assumptions!$B$9)</x:f>
      </x:c>
      <x:c r="Z1452" s="58" t="str">
        <x:f>IF(R1452="No","",X1452-Y1452)</x:f>
      </x:c>
      <x:c r="AA1452" s="58" t="str">
        <x:f>IF(R1452="No","",MAX(0,-Z1452))</x:f>
      </x:c>
      <x:c r="AB1452" s="52" t="str">
        <x:f>IF(OR(R1452="No",U1452*S1452=0),"",AA1452/(U1452*S1452))</x:f>
      </x:c>
      <x:c r="AC1452" s="54" t="str">
        <x:f>IF(OR(R1452="No",S1452-T1452*Assumptions!$B$9&lt;=0),"",AA1452/(Assumptions!$B$8*(S1452-T1452*Assumptions!$B$9)))</x:f>
      </x:c>
      <x:c r="AD1452" s="52" t="str">
        <x:f>IF(OR(R1452="No",U1452*S1452=0),"",AA1452/(U1452*S1452))</x:f>
      </x:c>
      <x:c r="AE1452" s="50" t="str">
        <x:f>IF(R1452="No","No finance data",IF(AB1452&gt;=10%,"Severe",IF(AB1452&gt;=5%,"High",IF(AB1452&gt;=2%,"Moderate","Low"))))</x:f>
        <x:v>No finance data</x:v>
      </x:c>
      <x:c r="AF1452" s="60"/>
      <x:c r="AG1452" s="60"/>
      <x:c r="AH1452" s="44" t="str">
        <x:v>Undergraduate tuition-contribution proxy only; not an audited total institutional budget.</x:v>
      </x:c>
    </x:row>
    <x:row r="1453">
      <x:c r="A1453" s="16" t="n">
        <x:v>216339</x:v>
      </x:c>
      <x:c r="B1453" s="16" t="str">
        <x:v>Temple University</x:v>
      </x:c>
      <x:c r="C1453" s="16" t="str">
        <x:v>PA</x:v>
      </x:c>
      <x:c r="D1453" s="16" t="str">
        <x:v>Public</x:v>
      </x:c>
      <x:c r="E1453" s="34" t="n">
        <x:v>27983</x:v>
      </x:c>
      <x:c r="F1453" s="21" t="n">
        <x:v>0.7233</x:v>
      </x:c>
      <x:c r="G1453" s="16" t="str">
        <x:v>National</x:v>
      </x:c>
      <x:c r="H1453" s="36" t="n">
        <x:f>IF(G1453="National",Assumptions!$B$11,IF(G1453="Statewide",Assumptions!$B$12,Assumptions!$B$13))</x:f>
        <x:v>0.25</x:v>
      </x:c>
      <x:c r="I1453" s="21" t="n">
        <x:v>-0.07201174532693544</x:v>
      </x:c>
      <x:c r="J1453" s="21" t="n">
        <x:v>-0.08817589343264343</x:v>
      </x:c>
      <x:c r="K1453" s="21" t="n">
        <x:v>-0.16258683663969065</x:v>
      </x:c>
      <x:c r="L1453" s="36" t="n">
        <x:f>IF(Assumptions!$B$4=2030,I1453,IF(Assumptions!$B$4=2035,J1453,K1453))</x:f>
        <x:v>-0.08817589343264343</x:v>
      </x:c>
      <x:c r="M1453" s="36" t="n">
        <x:f>Assumptions!$B$19</x:f>
        <x:v>-0.04739891965741583</x:v>
      </x:c>
      <x:c r="N1453" s="52" t="n">
        <x:f>H1453*L1453+(1-H1453)*M1453+O1453</x:f>
        <x:v>-0.05759316310122273</x:v>
      </x:c>
      <x:c r="O1453" s="36" t="n">
        <x:f>Assumptions!$B$10</x:f>
        <x:v>0</x:v>
      </x:c>
      <x:c r="P1453" s="54" t="n">
        <x:f>E1453*(1+N1453)</x:f>
        <x:v>26371.370516938485</x:v>
      </x:c>
      <x:c r="Q1453" s="54" t="n">
        <x:f>P1453-E1453</x:f>
        <x:v>-1611.6294830615152</x:v>
      </x:c>
      <x:c r="R1453" s="16" t="str">
        <x:v>Yes</x:v>
      </x:c>
      <x:c r="S1453" s="56" t="n">
        <x:v>23340</x:v>
      </x:c>
      <x:c r="T1453" s="56" t="n">
        <x:v>15661</x:v>
      </x:c>
      <x:c r="U1453" s="40" t="n">
        <x:f>E1453*Assumptions!$B$8</x:f>
        <x:v>23785.55</x:v>
      </x:c>
      <x:c r="V1453" s="40" t="n">
        <x:f>P1453*Assumptions!$B$8</x:f>
        <x:v>22415.664939397713</x:v>
      </x:c>
      <x:c r="W1453" s="54" t="n">
        <x:f>V1453-U1453</x:f>
        <x:v>-1369.885060602286</x:v>
      </x:c>
      <x:c r="X1453" s="58" t="n">
        <x:f>IF(R1453="No","",W1453*S1453)</x:f>
        <x:v>-31973117.314457357</x:v>
      </x:c>
      <x:c r="Y1453" s="58" t="n">
        <x:f>IF(R1453="No","",W1453*T1453*Assumptions!$B$9)</x:f>
        <x:v>-6436130.980227721</x:v>
      </x:c>
      <x:c r="Z1453" s="58" t="n">
        <x:f>IF(R1453="No","",X1453-Y1453)</x:f>
        <x:v>-25536986.334229637</x:v>
      </x:c>
      <x:c r="AA1453" s="58" t="n">
        <x:f>IF(R1453="No","",MAX(0,-Z1453))</x:f>
        <x:v>25536986.334229637</x:v>
      </x:c>
      <x:c r="AB1453" s="52" t="n">
        <x:f>IF(OR(R1453="No",U1453*S1453=0),"",AA1453/(U1453*S1453))</x:f>
        <x:v>0.045999763007029223</x:v>
      </x:c>
      <x:c r="AC1453" s="54" t="n">
        <x:f>IF(OR(R1453="No",S1453-T1453*Assumptions!$B$9&lt;=0),"",AA1453/(Assumptions!$B$8*(S1453-T1453*Assumptions!$B$9)))</x:f>
        <x:v>1611.6294830615132</x:v>
      </x:c>
      <x:c r="AD1453" s="52" t="n">
        <x:f>IF(OR(R1453="No",U1453*S1453=0),"",AA1453/(U1453*S1453))</x:f>
        <x:v>0.045999763007029223</x:v>
      </x:c>
      <x:c r="AE1453" s="50" t="str">
        <x:f>IF(R1453="No","No finance data",IF(AB1453&gt;=10%,"Severe",IF(AB1453&gt;=5%,"High",IF(AB1453&gt;=2%,"Moderate","Low"))))</x:f>
        <x:v>Moderate</x:v>
      </x:c>
      <x:c r="AF1453" s="60" t="n">
        <x:v>39.980546</x:v>
      </x:c>
      <x:c r="AG1453" s="60" t="n">
        <x:v>-75.156859</x:v>
      </x:c>
      <x:c r="AH1453" s="44" t="str">
        <x:v>Undergraduate tuition-contribution proxy only; not an audited total institutional budget.</x:v>
      </x:c>
    </x:row>
    <x:row r="1454">
      <x:c r="A1454" s="16" t="n">
        <x:v>215105</x:v>
      </x:c>
      <x:c r="B1454" s="16" t="str">
        <x:v>The University of the Arts</x:v>
      </x:c>
      <x:c r="C1454" s="16" t="str">
        <x:v>PA</x:v>
      </x:c>
      <x:c r="D1454" s="16" t="str">
        <x:v>Private nonprofit</x:v>
      </x:c>
      <x:c r="E1454" s="34" t="n">
        <x:v>1675</x:v>
      </x:c>
      <x:c r="F1454" s="21" t="n">
        <x:v>0.8515</x:v>
      </x:c>
      <x:c r="G1454" s="16" t="str">
        <x:v>Regional</x:v>
      </x:c>
      <x:c r="H1454" s="36" t="n">
        <x:f>IF(G1454="National",Assumptions!$B$11,IF(G1454="Statewide",Assumptions!$B$12,Assumptions!$B$13))</x:f>
        <x:v>0.85</x:v>
      </x:c>
      <x:c r="I1454" s="21" t="n">
        <x:v>-0.07201174532693544</x:v>
      </x:c>
      <x:c r="J1454" s="21" t="n">
        <x:v>-0.08817589343264343</x:v>
      </x:c>
      <x:c r="K1454" s="21" t="n">
        <x:v>-0.16258683663969065</x:v>
      </x:c>
      <x:c r="L1454" s="36" t="n">
        <x:f>IF(Assumptions!$B$4=2030,I1454,IF(Assumptions!$B$4=2035,J1454,K1454))</x:f>
        <x:v>-0.08817589343264343</x:v>
      </x:c>
      <x:c r="M1454" s="36" t="n">
        <x:f>Assumptions!$B$19</x:f>
        <x:v>-0.04739891965741583</x:v>
      </x:c>
      <x:c r="N1454" s="52" t="n">
        <x:f>H1454*L1454+(1-H1454)*M1454+O1454</x:f>
        <x:v>-0.08205934736635928</x:v>
      </x:c>
      <x:c r="O1454" s="36" t="n">
        <x:f>Assumptions!$B$10</x:f>
        <x:v>0</x:v>
      </x:c>
      <x:c r="P1454" s="54" t="n">
        <x:f>E1454*(1+N1454)</x:f>
        <x:v>1537.5505931613482</x:v>
      </x:c>
      <x:c r="Q1454" s="54" t="n">
        <x:f>P1454-E1454</x:f>
        <x:v>-137.44940683865184</x:v>
      </x:c>
      <x:c r="R1454" s="16" t="str">
        <x:v>Yes</x:v>
      </x:c>
      <x:c r="S1454" s="56" t="n">
        <x:v>21425</x:v>
      </x:c>
      <x:c r="T1454" s="56" t="n">
        <x:v>13464</x:v>
      </x:c>
      <x:c r="U1454" s="40" t="n">
        <x:f>E1454*Assumptions!$B$8</x:f>
        <x:v>1423.75</x:v>
      </x:c>
      <x:c r="V1454" s="40" t="n">
        <x:f>P1454*Assumptions!$B$8</x:f>
        <x:v>1306.918004187146</x:v>
      </x:c>
      <x:c r="W1454" s="54" t="n">
        <x:f>V1454-U1454</x:f>
        <x:v>-116.83199581285407</x:v>
      </x:c>
      <x:c r="X1454" s="58" t="n">
        <x:f>IF(R1454="No","",W1454*S1454)</x:f>
        <x:v>-2503125.5102903987</x:v>
      </x:c>
      <x:c r="Y1454" s="58" t="n">
        <x:f>IF(R1454="No","",W1454*T1454*Assumptions!$B$9)</x:f>
        <x:v>-471907.79748728016</x:v>
      </x:c>
      <x:c r="Z1454" s="58" t="n">
        <x:f>IF(R1454="No","",X1454-Y1454)</x:f>
        <x:v>-2031217.7128031186</x:v>
      </x:c>
      <x:c r="AA1454" s="58" t="n">
        <x:f>IF(R1454="No","",MAX(0,-Z1454))</x:f>
        <x:v>2031217.7128031186</x:v>
      </x:c>
      <x:c r="AB1454" s="52" t="n">
        <x:f>IF(OR(R1454="No",U1454*S1454=0),"",AA1454/(U1454*S1454))</x:f>
        <x:v>0.06658891021899883</x:v>
      </x:c>
      <x:c r="AC1454" s="54" t="n">
        <x:f>IF(OR(R1454="No",S1454-T1454*Assumptions!$B$9&lt;=0),"",AA1454/(Assumptions!$B$8*(S1454-T1454*Assumptions!$B$9)))</x:f>
        <x:v>137.4494068386519</x:v>
      </x:c>
      <x:c r="AD1454" s="52" t="n">
        <x:f>IF(OR(R1454="No",U1454*S1454=0),"",AA1454/(U1454*S1454))</x:f>
        <x:v>0.06658891021899883</x:v>
      </x:c>
      <x:c r="AE1454" s="50" t="str">
        <x:f>IF(R1454="No","No finance data",IF(AB1454&gt;=10%,"Severe",IF(AB1454&gt;=5%,"High",IF(AB1454&gt;=2%,"Moderate","Low"))))</x:f>
        <x:v>High</x:v>
      </x:c>
      <x:c r="AF1454" s="60" t="n">
        <x:v>39.946017</x:v>
      </x:c>
      <x:c r="AG1454" s="60" t="n">
        <x:v>-75.165888</x:v>
      </x:c>
      <x:c r="AH1454" s="44" t="str">
        <x:v>Undergraduate tuition-contribution proxy only; not an audited total institutional budget.</x:v>
      </x:c>
    </x:row>
    <x:row r="1455">
      <x:c r="A1455" s="16" t="n">
        <x:v>216357</x:v>
      </x:c>
      <x:c r="B1455" s="16" t="str">
        <x:v>Thiel College</x:v>
      </x:c>
      <x:c r="C1455" s="16" t="str">
        <x:v>PA</x:v>
      </x:c>
      <x:c r="D1455" s="16" t="str">
        <x:v>Private nonprofit</x:v>
      </x:c>
      <x:c r="E1455" s="34" t="n">
        <x:v>883</x:v>
      </x:c>
      <x:c r="F1455" s="21" t="n">
        <x:v>0.8804</x:v>
      </x:c>
      <x:c r="G1455" s="16" t="str">
        <x:v>Regional</x:v>
      </x:c>
      <x:c r="H1455" s="36" t="n">
        <x:f>IF(G1455="National",Assumptions!$B$11,IF(G1455="Statewide",Assumptions!$B$12,Assumptions!$B$13))</x:f>
        <x:v>0.85</x:v>
      </x:c>
      <x:c r="I1455" s="21" t="n">
        <x:v>-0.07201174532693544</x:v>
      </x:c>
      <x:c r="J1455" s="21" t="n">
        <x:v>-0.08817589343264343</x:v>
      </x:c>
      <x:c r="K1455" s="21" t="n">
        <x:v>-0.16258683663969065</x:v>
      </x:c>
      <x:c r="L1455" s="36" t="n">
        <x:f>IF(Assumptions!$B$4=2030,I1455,IF(Assumptions!$B$4=2035,J1455,K1455))</x:f>
        <x:v>-0.08817589343264343</x:v>
      </x:c>
      <x:c r="M1455" s="36" t="n">
        <x:f>Assumptions!$B$19</x:f>
        <x:v>-0.04739891965741583</x:v>
      </x:c>
      <x:c r="N1455" s="52" t="n">
        <x:f>H1455*L1455+(1-H1455)*M1455+O1455</x:f>
        <x:v>-0.08205934736635928</x:v>
      </x:c>
      <x:c r="O1455" s="36" t="n">
        <x:f>Assumptions!$B$10</x:f>
        <x:v>0</x:v>
      </x:c>
      <x:c r="P1455" s="54" t="n">
        <x:f>E1455*(1+N1455)</x:f>
        <x:v>810.5415962755047</x:v>
      </x:c>
      <x:c r="Q1455" s="54" t="n">
        <x:f>P1455-E1455</x:f>
        <x:v>-72.45840372449527</x:v>
      </x:c>
      <x:c r="R1455" s="16" t="str">
        <x:v>Yes</x:v>
      </x:c>
      <x:c r="S1455" s="56" t="n">
        <x:v>11303</x:v>
      </x:c>
      <x:c r="T1455" s="56" t="n">
        <x:v>11411</x:v>
      </x:c>
      <x:c r="U1455" s="40" t="n">
        <x:f>E1455*Assumptions!$B$8</x:f>
        <x:v>750.55</x:v>
      </x:c>
      <x:c r="V1455" s="40" t="n">
        <x:f>P1455*Assumptions!$B$8</x:f>
        <x:v>688.960356834179</x:v>
      </x:c>
      <x:c r="W1455" s="54" t="n">
        <x:f>V1455-U1455</x:f>
        <x:v>-61.58964316582092</x:v>
      </x:c>
      <x:c r="X1455" s="58" t="n">
        <x:f>IF(R1455="No","",W1455*S1455)</x:f>
        <x:v>-696147.7367032738</x:v>
      </x:c>
      <x:c r="Y1455" s="58" t="n">
        <x:f>IF(R1455="No","",W1455*T1455*Assumptions!$B$9)</x:f>
        <x:v>-210839.82544955474</x:v>
      </x:c>
      <x:c r="Z1455" s="58" t="n">
        <x:f>IF(R1455="No","",X1455-Y1455)</x:f>
        <x:v>-485307.9112537191</x:v>
      </x:c>
      <x:c r="AA1455" s="58" t="n">
        <x:f>IF(R1455="No","",MAX(0,-Z1455))</x:f>
        <x:v>485307.9112537191</x:v>
      </x:c>
      <x:c r="AB1455" s="52" t="n">
        <x:f>IF(OR(R1455="No",U1455*S1455=0),"",AA1455/(U1455*S1455))</x:f>
        <x:v>0.057206320396593895</x:v>
      </x:c>
      <x:c r="AC1455" s="54" t="n">
        <x:f>IF(OR(R1455="No",S1455-T1455*Assumptions!$B$9&lt;=0),"",AA1455/(Assumptions!$B$8*(S1455-T1455*Assumptions!$B$9)))</x:f>
        <x:v>72.4584037244952</x:v>
      </x:c>
      <x:c r="AD1455" s="52" t="n">
        <x:f>IF(OR(R1455="No",U1455*S1455=0),"",AA1455/(U1455*S1455))</x:f>
        <x:v>0.057206320396593895</x:v>
      </x:c>
      <x:c r="AE1455" s="50" t="str">
        <x:f>IF(R1455="No","No finance data",IF(AB1455&gt;=10%,"Severe",IF(AB1455&gt;=5%,"High",IF(AB1455&gt;=2%,"Moderate","Low"))))</x:f>
        <x:v>High</x:v>
      </x:c>
      <x:c r="AF1455" s="60" t="n">
        <x:v>41.41354</x:v>
      </x:c>
      <x:c r="AG1455" s="60" t="n">
        <x:v>-80.384383</x:v>
      </x:c>
      <x:c r="AH1455" s="44" t="str">
        <x:v>Undergraduate tuition-contribution proxy only; not an audited total institutional budget.</x:v>
      </x:c>
    </x:row>
    <x:row r="1456">
      <x:c r="A1456" s="16" t="n">
        <x:v>216366</x:v>
      </x:c>
      <x:c r="B1456" s="16" t="str">
        <x:v>Thomas Jefferson University</x:v>
      </x:c>
      <x:c r="C1456" s="16" t="str">
        <x:v>PA</x:v>
      </x:c>
      <x:c r="D1456" s="16" t="str">
        <x:v>Private nonprofit</x:v>
      </x:c>
      <x:c r="E1456" s="34" t="n">
        <x:v>738</x:v>
      </x:c>
      <x:c r="F1456" s="21" t="n">
        <x:v>0.7809</x:v>
      </x:c>
      <x:c r="G1456" s="16" t="str">
        <x:v>Regional</x:v>
      </x:c>
      <x:c r="H1456" s="36" t="n">
        <x:f>IF(G1456="National",Assumptions!$B$11,IF(G1456="Statewide",Assumptions!$B$12,Assumptions!$B$13))</x:f>
        <x:v>0.85</x:v>
      </x:c>
      <x:c r="I1456" s="21" t="n">
        <x:v>-0.07201174532693544</x:v>
      </x:c>
      <x:c r="J1456" s="21" t="n">
        <x:v>-0.08817589343264343</x:v>
      </x:c>
      <x:c r="K1456" s="21" t="n">
        <x:v>-0.16258683663969065</x:v>
      </x:c>
      <x:c r="L1456" s="36" t="n">
        <x:f>IF(Assumptions!$B$4=2030,I1456,IF(Assumptions!$B$4=2035,J1456,K1456))</x:f>
        <x:v>-0.08817589343264343</x:v>
      </x:c>
      <x:c r="M1456" s="36" t="n">
        <x:f>Assumptions!$B$19</x:f>
        <x:v>-0.04739891965741583</x:v>
      </x:c>
      <x:c r="N1456" s="52" t="n">
        <x:f>H1456*L1456+(1-H1456)*M1456+O1456</x:f>
        <x:v>-0.08205934736635928</x:v>
      </x:c>
      <x:c r="O1456" s="36" t="n">
        <x:f>Assumptions!$B$10</x:f>
        <x:v>0</x:v>
      </x:c>
      <x:c r="P1456" s="54" t="n">
        <x:f>E1456*(1+N1456)</x:f>
        <x:v>677.4402016436268</x:v>
      </x:c>
      <x:c r="Q1456" s="54" t="n">
        <x:f>P1456-E1456</x:f>
        <x:v>-60.55979835637322</x:v>
      </x:c>
      <x:c r="R1456" s="16" t="str">
        <x:v>Yes</x:v>
      </x:c>
      <x:c r="S1456" s="56" t="n">
        <x:v>24010</x:v>
      </x:c>
      <x:c r="T1456" s="56" t="n">
        <x:v>28280</x:v>
      </x:c>
      <x:c r="U1456" s="40" t="n">
        <x:f>E1456*Assumptions!$B$8</x:f>
        <x:v>627.3</x:v>
      </x:c>
      <x:c r="V1456" s="40" t="n">
        <x:f>P1456*Assumptions!$B$8</x:f>
        <x:v>575.8241713970828</x:v>
      </x:c>
      <x:c r="W1456" s="54" t="n">
        <x:f>V1456-U1456</x:f>
        <x:v>-51.475828602917204</x:v>
      </x:c>
      <x:c r="X1456" s="58" t="n">
        <x:f>IF(R1456="No","",W1456*S1456)</x:f>
        <x:v>-1235934.6447560422</x:v>
      </x:c>
      <x:c r="Y1456" s="58" t="n">
        <x:f>IF(R1456="No","",W1456*T1456*Assumptions!$B$9)</x:f>
        <x:v>-436720.92986714956</x:v>
      </x:c>
      <x:c r="Z1456" s="58" t="n">
        <x:f>IF(R1456="No","",X1456-Y1456)</x:f>
        <x:v>-799213.7148888926</x:v>
      </x:c>
      <x:c r="AA1456" s="58" t="n">
        <x:f>IF(R1456="No","",MAX(0,-Z1456))</x:f>
        <x:v>799213.7148888926</x:v>
      </x:c>
      <x:c r="AB1456" s="52" t="n">
        <x:f>IF(OR(R1456="No",U1456*S1456=0),"",AA1456/(U1456*S1456))</x:f>
        <x:v>0.05306344969638047</x:v>
      </x:c>
      <x:c r="AC1456" s="54" t="n">
        <x:f>IF(OR(R1456="No",S1456-T1456*Assumptions!$B$9&lt;=0),"",AA1456/(Assumptions!$B$8*(S1456-T1456*Assumptions!$B$9)))</x:f>
        <x:v>60.559798356373186</x:v>
      </x:c>
      <x:c r="AD1456" s="52" t="n">
        <x:f>IF(OR(R1456="No",U1456*S1456=0),"",AA1456/(U1456*S1456))</x:f>
        <x:v>0.05306344969638047</x:v>
      </x:c>
      <x:c r="AE1456" s="50" t="str">
        <x:f>IF(R1456="No","No finance data",IF(AB1456&gt;=10%,"Severe",IF(AB1456&gt;=5%,"High",IF(AB1456&gt;=2%,"Moderate","Low"))))</x:f>
        <x:v>High</x:v>
      </x:c>
      <x:c r="AF1456" s="60" t="n">
        <x:v>39.948274</x:v>
      </x:c>
      <x:c r="AG1456" s="60" t="n">
        <x:v>-75.158266</x:v>
      </x:c>
      <x:c r="AH1456" s="44" t="str">
        <x:v>Undergraduate tuition-contribution proxy only; not an audited total institutional budget.</x:v>
      </x:c>
    </x:row>
    <x:row r="1457">
      <x:c r="A1457" s="16" t="n">
        <x:v>215062</x:v>
      </x:c>
      <x:c r="B1457" s="16" t="str">
        <x:v>University of Pennsylvania</x:v>
      </x:c>
      <x:c r="C1457" s="16" t="str">
        <x:v>PA</x:v>
      </x:c>
      <x:c r="D1457" s="16" t="str">
        <x:v>Private nonprofit</x:v>
      </x:c>
      <x:c r="E1457" s="34" t="n">
        <x:v>10666</x:v>
      </x:c>
      <x:c r="F1457" s="21" t="n">
        <x:v>0.0587</x:v>
      </x:c>
      <x:c r="G1457" s="16" t="str">
        <x:v>National</x:v>
      </x:c>
      <x:c r="H1457" s="36" t="n">
        <x:f>IF(G1457="National",Assumptions!$B$11,IF(G1457="Statewide",Assumptions!$B$12,Assumptions!$B$13))</x:f>
        <x:v>0.25</x:v>
      </x:c>
      <x:c r="I1457" s="21" t="n">
        <x:v>-0.07201174532693544</x:v>
      </x:c>
      <x:c r="J1457" s="21" t="n">
        <x:v>-0.08817589343264343</x:v>
      </x:c>
      <x:c r="K1457" s="21" t="n">
        <x:v>-0.16258683663969065</x:v>
      </x:c>
      <x:c r="L1457" s="36" t="n">
        <x:f>IF(Assumptions!$B$4=2030,I1457,IF(Assumptions!$B$4=2035,J1457,K1457))</x:f>
        <x:v>-0.08817589343264343</x:v>
      </x:c>
      <x:c r="M1457" s="36" t="n">
        <x:f>Assumptions!$B$19</x:f>
        <x:v>-0.04739891965741583</x:v>
      </x:c>
      <x:c r="N1457" s="52" t="n">
        <x:f>H1457*L1457+(1-H1457)*M1457+O1457</x:f>
        <x:v>-0.05759316310122273</x:v>
      </x:c>
      <x:c r="O1457" s="36" t="n">
        <x:f>Assumptions!$B$10</x:f>
        <x:v>0</x:v>
      </x:c>
      <x:c r="P1457" s="54" t="n">
        <x:f>E1457*(1+N1457)</x:f>
        <x:v>10051.711322362358</x:v>
      </x:c>
      <x:c r="Q1457" s="54" t="n">
        <x:f>P1457-E1457</x:f>
        <x:v>-614.2886776376417</x:v>
      </x:c>
      <x:c r="R1457" s="16" t="str">
        <x:v>Yes</x:v>
      </x:c>
      <x:c r="S1457" s="56" t="n">
        <x:v>43025</x:v>
      </x:c>
      <x:c r="T1457" s="56" t="n">
        <x:v>61594</x:v>
      </x:c>
      <x:c r="U1457" s="40" t="n">
        <x:f>E1457*Assumptions!$B$8</x:f>
        <x:v>9066.1</x:v>
      </x:c>
      <x:c r="V1457" s="40" t="n">
        <x:f>P1457*Assumptions!$B$8</x:f>
        <x:v>8543.954624008004</x:v>
      </x:c>
      <x:c r="W1457" s="54" t="n">
        <x:f>V1457-U1457</x:f>
        <x:v>-522.1453759919968</x:v>
      </x:c>
      <x:c r="X1457" s="58" t="n">
        <x:f>IF(R1457="No","",W1457*S1457)</x:f>
        <x:v>-22465304.802055664</x:v>
      </x:c>
      <x:c r="Y1457" s="58" t="n">
        <x:f>IF(R1457="No","",W1457*T1457*Assumptions!$B$9)</x:f>
        <x:v>-9648306.686655315</x:v>
      </x:c>
      <x:c r="Z1457" s="58" t="n">
        <x:f>IF(R1457="No","",X1457-Y1457)</x:f>
        <x:v>-12816998.11540035</x:v>
      </x:c>
      <x:c r="AA1457" s="58" t="n">
        <x:f>IF(R1457="No","",MAX(0,-Z1457))</x:f>
        <x:v>12816998.11540035</x:v>
      </x:c>
      <x:c r="AB1457" s="52" t="n">
        <x:f>IF(OR(R1457="No",U1457*S1457=0),"",AA1457/(U1457*S1457))</x:f>
        <x:v>0.032858288344290484</x:v>
      </x:c>
      <x:c r="AC1457" s="54" t="n">
        <x:f>IF(OR(R1457="No",S1457-T1457*Assumptions!$B$9&lt;=0),"",AA1457/(Assumptions!$B$8*(S1457-T1457*Assumptions!$B$9)))</x:f>
        <x:v>614.2886776376434</x:v>
      </x:c>
      <x:c r="AD1457" s="52" t="n">
        <x:f>IF(OR(R1457="No",U1457*S1457=0),"",AA1457/(U1457*S1457))</x:f>
        <x:v>0.032858288344290484</x:v>
      </x:c>
      <x:c r="AE1457" s="50" t="str">
        <x:f>IF(R1457="No","No finance data",IF(AB1457&gt;=10%,"Severe",IF(AB1457&gt;=5%,"High",IF(AB1457&gt;=2%,"Moderate","Low"))))</x:f>
        <x:v>Moderate</x:v>
      </x:c>
      <x:c r="AF1457" s="60" t="n">
        <x:v>39.950929</x:v>
      </x:c>
      <x:c r="AG1457" s="60" t="n">
        <x:v>-75.19391</x:v>
      </x:c>
      <x:c r="AH1457" s="44" t="str">
        <x:v>Undergraduate tuition-contribution proxy only; not an audited total institutional budget.</x:v>
      </x:c>
    </x:row>
    <x:row r="1458">
      <x:c r="A1458" s="16" t="n">
        <x:v>215266</x:v>
      </x:c>
      <x:c r="B1458" s="16" t="str">
        <x:v>University of Pittsburgh-Bradford</x:v>
      </x:c>
      <x:c r="C1458" s="16" t="str">
        <x:v>PA</x:v>
      </x:c>
      <x:c r="D1458" s="16" t="str">
        <x:v>Public</x:v>
      </x:c>
      <x:c r="E1458" s="34" t="n">
        <x:v>1421</x:v>
      </x:c>
      <x:c r="F1458" s="21" t="n">
        <x:v>0.7329</x:v>
      </x:c>
      <x:c r="G1458" s="16" t="str">
        <x:v>Regional</x:v>
      </x:c>
      <x:c r="H1458" s="36" t="n">
        <x:f>IF(G1458="National",Assumptions!$B$11,IF(G1458="Statewide",Assumptions!$B$12,Assumptions!$B$13))</x:f>
        <x:v>0.85</x:v>
      </x:c>
      <x:c r="I1458" s="21" t="n">
        <x:v>-0.07201174532693544</x:v>
      </x:c>
      <x:c r="J1458" s="21" t="n">
        <x:v>-0.08817589343264343</x:v>
      </x:c>
      <x:c r="K1458" s="21" t="n">
        <x:v>-0.16258683663969065</x:v>
      </x:c>
      <x:c r="L1458" s="36" t="n">
        <x:f>IF(Assumptions!$B$4=2030,I1458,IF(Assumptions!$B$4=2035,J1458,K1458))</x:f>
        <x:v>-0.08817589343264343</x:v>
      </x:c>
      <x:c r="M1458" s="36" t="n">
        <x:f>Assumptions!$B$19</x:f>
        <x:v>-0.04739891965741583</x:v>
      </x:c>
      <x:c r="N1458" s="52" t="n">
        <x:f>H1458*L1458+(1-H1458)*M1458+O1458</x:f>
        <x:v>-0.08205934736635928</x:v>
      </x:c>
      <x:c r="O1458" s="36" t="n">
        <x:f>Assumptions!$B$10</x:f>
        <x:v>0</x:v>
      </x:c>
      <x:c r="P1458" s="54" t="n">
        <x:f>E1458*(1+N1458)</x:f>
        <x:v>1304.3936673924034</x:v>
      </x:c>
      <x:c r="Q1458" s="54" t="n">
        <x:f>P1458-E1458</x:f>
        <x:v>-116.60633260759664</x:v>
      </x:c>
      <x:c r="R1458" s="16" t="str">
        <x:v>Yes</x:v>
      </x:c>
      <x:c r="S1458" s="56" t="n">
        <x:v>10793</x:v>
      </x:c>
      <x:c r="T1458" s="56" t="n">
        <x:v>8187</x:v>
      </x:c>
      <x:c r="U1458" s="40" t="n">
        <x:f>E1458*Assumptions!$B$8</x:f>
        <x:v>1207.85</x:v>
      </x:c>
      <x:c r="V1458" s="40" t="n">
        <x:f>P1458*Assumptions!$B$8</x:f>
        <x:v>1108.7346172835428</x:v>
      </x:c>
      <x:c r="W1458" s="54" t="n">
        <x:f>V1458-U1458</x:f>
        <x:v>-99.11538271645713</x:v>
      </x:c>
      <x:c r="X1458" s="58" t="n">
        <x:f>IF(R1458="No","",W1458*S1458)</x:f>
        <x:v>-1069752.3256587218</x:v>
      </x:c>
      <x:c r="Y1458" s="58" t="n">
        <x:f>IF(R1458="No","",W1458*T1458*Assumptions!$B$9)</x:f>
        <x:v>-243437.29148989037</x:v>
      </x:c>
      <x:c r="Z1458" s="58" t="n">
        <x:f>IF(R1458="No","",X1458-Y1458)</x:f>
        <x:v>-826315.0341688315</x:v>
      </x:c>
      <x:c r="AA1458" s="58" t="n">
        <x:f>IF(R1458="No","",MAX(0,-Z1458))</x:f>
        <x:v>826315.0341688315</x:v>
      </x:c>
      <x:c r="AB1458" s="52" t="n">
        <x:f>IF(OR(R1458="No",U1458*S1458=0),"",AA1458/(U1458*S1458))</x:f>
        <x:v>0.06338558075220989</x:v>
      </x:c>
      <x:c r="AC1458" s="54" t="n">
        <x:f>IF(OR(R1458="No",S1458-T1458*Assumptions!$B$9&lt;=0),"",AA1458/(Assumptions!$B$8*(S1458-T1458*Assumptions!$B$9)))</x:f>
        <x:v>116.60633260759664</x:v>
      </x:c>
      <x:c r="AD1458" s="52" t="n">
        <x:f>IF(OR(R1458="No",U1458*S1458=0),"",AA1458/(U1458*S1458))</x:f>
        <x:v>0.06338558075220989</x:v>
      </x:c>
      <x:c r="AE1458" s="50" t="str">
        <x:f>IF(R1458="No","No finance data",IF(AB1458&gt;=10%,"Severe",IF(AB1458&gt;=5%,"High",IF(AB1458&gt;=2%,"Moderate","Low"))))</x:f>
        <x:v>High</x:v>
      </x:c>
      <x:c r="AF1458" s="60" t="n">
        <x:v>41.943415</x:v>
      </x:c>
      <x:c r="AG1458" s="60" t="n">
        <x:v>-78.673701</x:v>
      </x:c>
      <x:c r="AH1458" s="44" t="str">
        <x:v>Undergraduate tuition-contribution proxy only; not an audited total institutional budget.</x:v>
      </x:c>
    </x:row>
    <x:row r="1459">
      <x:c r="A1459" s="16" t="n">
        <x:v>215275</x:v>
      </x:c>
      <x:c r="B1459" s="16" t="str">
        <x:v>University of Pittsburgh-Greensburg</x:v>
      </x:c>
      <x:c r="C1459" s="16" t="str">
        <x:v>PA</x:v>
      </x:c>
      <x:c r="D1459" s="16" t="str">
        <x:v>Public</x:v>
      </x:c>
      <x:c r="E1459" s="34" t="n">
        <x:v>1559</x:v>
      </x:c>
      <x:c r="F1459" s="21" t="n">
        <x:v>0.9086</x:v>
      </x:c>
      <x:c r="G1459" s="16" t="str">
        <x:v>Regional</x:v>
      </x:c>
      <x:c r="H1459" s="36" t="n">
        <x:f>IF(G1459="National",Assumptions!$B$11,IF(G1459="Statewide",Assumptions!$B$12,Assumptions!$B$13))</x:f>
        <x:v>0.85</x:v>
      </x:c>
      <x:c r="I1459" s="21" t="n">
        <x:v>-0.07201174532693544</x:v>
      </x:c>
      <x:c r="J1459" s="21" t="n">
        <x:v>-0.08817589343264343</x:v>
      </x:c>
      <x:c r="K1459" s="21" t="n">
        <x:v>-0.16258683663969065</x:v>
      </x:c>
      <x:c r="L1459" s="36" t="n">
        <x:f>IF(Assumptions!$B$4=2030,I1459,IF(Assumptions!$B$4=2035,J1459,K1459))</x:f>
        <x:v>-0.08817589343264343</x:v>
      </x:c>
      <x:c r="M1459" s="36" t="n">
        <x:f>Assumptions!$B$19</x:f>
        <x:v>-0.04739891965741583</x:v>
      </x:c>
      <x:c r="N1459" s="52" t="n">
        <x:f>H1459*L1459+(1-H1459)*M1459+O1459</x:f>
        <x:v>-0.08205934736635928</x:v>
      </x:c>
      <x:c r="O1459" s="36" t="n">
        <x:f>Assumptions!$B$10</x:f>
        <x:v>0</x:v>
      </x:c>
      <x:c r="P1459" s="54" t="n">
        <x:f>E1459*(1+N1459)</x:f>
        <x:v>1431.0694774558458</x:v>
      </x:c>
      <x:c r="Q1459" s="54" t="n">
        <x:f>P1459-E1459</x:f>
        <x:v>-127.9305225441542</x:v>
      </x:c>
      <x:c r="R1459" s="16" t="str">
        <x:v>Yes</x:v>
      </x:c>
      <x:c r="S1459" s="56" t="n">
        <x:v>12227</x:v>
      </x:c>
      <x:c r="T1459" s="56" t="n">
        <x:v>7407</x:v>
      </x:c>
      <x:c r="U1459" s="40" t="n">
        <x:f>E1459*Assumptions!$B$8</x:f>
        <x:v>1325.1499999999999</x:v>
      </x:c>
      <x:c r="V1459" s="40" t="n">
        <x:f>P1459*Assumptions!$B$8</x:f>
        <x:v>1216.409055837469</x:v>
      </x:c>
      <x:c r="W1459" s="54" t="n">
        <x:f>V1459-U1459</x:f>
        <x:v>-108.74094416253092</x:v>
      </x:c>
      <x:c r="X1459" s="58" t="n">
        <x:f>IF(R1459="No","",W1459*S1459)</x:f>
        <x:v>-1329575.5242752656</x:v>
      </x:c>
      <x:c r="Y1459" s="58" t="n">
        <x:f>IF(R1459="No","",W1459*T1459*Assumptions!$B$9)</x:f>
        <x:v>-241633.25202355994</x:v>
      </x:c>
      <x:c r="Z1459" s="58" t="n">
        <x:f>IF(R1459="No","",X1459-Y1459)</x:f>
        <x:v>-1087942.2722517056</x:v>
      </x:c>
      <x:c r="AA1459" s="58" t="n">
        <x:f>IF(R1459="No","",MAX(0,-Z1459))</x:f>
        <x:v>1087942.2722517056</x:v>
      </x:c>
      <x:c r="AB1459" s="52" t="n">
        <x:f>IF(OR(R1459="No",U1459*S1459=0),"",AA1459/(U1459*S1459))</x:f>
        <x:v>0.06714611633807863</x:v>
      </x:c>
      <x:c r="AC1459" s="54" t="n">
        <x:f>IF(OR(R1459="No",S1459-T1459*Assumptions!$B$9&lt;=0),"",AA1459/(Assumptions!$B$8*(S1459-T1459*Assumptions!$B$9)))</x:f>
        <x:v>127.93052254415404</x:v>
      </x:c>
      <x:c r="AD1459" s="52" t="n">
        <x:f>IF(OR(R1459="No",U1459*S1459=0),"",AA1459/(U1459*S1459))</x:f>
        <x:v>0.06714611633807863</x:v>
      </x:c>
      <x:c r="AE1459" s="50" t="str">
        <x:f>IF(R1459="No","No finance data",IF(AB1459&gt;=10%,"Severe",IF(AB1459&gt;=5%,"High",IF(AB1459&gt;=2%,"Moderate","Low"))))</x:f>
        <x:v>High</x:v>
      </x:c>
      <x:c r="AF1459" s="60" t="n">
        <x:v>40.276447</x:v>
      </x:c>
      <x:c r="AG1459" s="60" t="n">
        <x:v>-79.532676</x:v>
      </x:c>
      <x:c r="AH1459" s="44" t="str">
        <x:v>Undergraduate tuition-contribution proxy only; not an audited total institutional budget.</x:v>
      </x:c>
    </x:row>
    <x:row r="1460">
      <x:c r="A1460" s="16" t="n">
        <x:v>215284</x:v>
      </x:c>
      <x:c r="B1460" s="16" t="str">
        <x:v>University of Pittsburgh-Johnstown</x:v>
      </x:c>
      <x:c r="C1460" s="16" t="str">
        <x:v>PA</x:v>
      </x:c>
      <x:c r="D1460" s="16" t="str">
        <x:v>Public</x:v>
      </x:c>
      <x:c r="E1460" s="34" t="n">
        <x:v>2814</x:v>
      </x:c>
      <x:c r="F1460" s="21" t="n">
        <x:v>0.9194</x:v>
      </x:c>
      <x:c r="G1460" s="16" t="str">
        <x:v>Regional</x:v>
      </x:c>
      <x:c r="H1460" s="36" t="n">
        <x:f>IF(G1460="National",Assumptions!$B$11,IF(G1460="Statewide",Assumptions!$B$12,Assumptions!$B$13))</x:f>
        <x:v>0.85</x:v>
      </x:c>
      <x:c r="I1460" s="21" t="n">
        <x:v>-0.07201174532693544</x:v>
      </x:c>
      <x:c r="J1460" s="21" t="n">
        <x:v>-0.08817589343264343</x:v>
      </x:c>
      <x:c r="K1460" s="21" t="n">
        <x:v>-0.16258683663969065</x:v>
      </x:c>
      <x:c r="L1460" s="36" t="n">
        <x:f>IF(Assumptions!$B$4=2030,I1460,IF(Assumptions!$B$4=2035,J1460,K1460))</x:f>
        <x:v>-0.08817589343264343</x:v>
      </x:c>
      <x:c r="M1460" s="36" t="n">
        <x:f>Assumptions!$B$19</x:f>
        <x:v>-0.04739891965741583</x:v>
      </x:c>
      <x:c r="N1460" s="52" t="n">
        <x:f>H1460*L1460+(1-H1460)*M1460+O1460</x:f>
        <x:v>-0.08205934736635928</x:v>
      </x:c>
      <x:c r="O1460" s="36" t="n">
        <x:f>Assumptions!$B$10</x:f>
        <x:v>0</x:v>
      </x:c>
      <x:c r="P1460" s="54" t="n">
        <x:f>E1460*(1+N1460)</x:f>
        <x:v>2583.0849965110647</x:v>
      </x:c>
      <x:c r="Q1460" s="54" t="n">
        <x:f>P1460-E1460</x:f>
        <x:v>-230.91500348893533</x:v>
      </x:c>
      <x:c r="R1460" s="16" t="str">
        <x:v>Yes</x:v>
      </x:c>
      <x:c r="S1460" s="56" t="n">
        <x:v>12431</x:v>
      </x:c>
      <x:c r="T1460" s="56" t="n">
        <x:v>8276</x:v>
      </x:c>
      <x:c r="U1460" s="40" t="n">
        <x:f>E1460*Assumptions!$B$8</x:f>
        <x:v>2391.9</x:v>
      </x:c>
      <x:c r="V1460" s="40" t="n">
        <x:f>P1460*Assumptions!$B$8</x:f>
        <x:v>2195.622247034405</x:v>
      </x:c>
      <x:c r="W1460" s="54" t="n">
        <x:f>V1460-U1460</x:f>
        <x:v>-196.27775296559503</x:v>
      </x:c>
      <x:c r="X1460" s="58" t="n">
        <x:f>IF(R1460="No","",W1460*S1460)</x:f>
        <x:v>-2439928.7471153117</x:v>
      </x:c>
      <x:c r="Y1460" s="58" t="n">
        <x:f>IF(R1460="No","",W1460*T1460*Assumptions!$B$9)</x:f>
        <x:v>-487318.4050629793</x:v>
      </x:c>
      <x:c r="Z1460" s="58" t="n">
        <x:f>IF(R1460="No","",X1460-Y1460)</x:f>
        <x:v>-1952610.3420523324</x:v>
      </x:c>
      <x:c r="AA1460" s="58" t="n">
        <x:f>IF(R1460="No","",MAX(0,-Z1460))</x:f>
        <x:v>1952610.3420523324</x:v>
      </x:c>
      <x:c r="AB1460" s="52" t="n">
        <x:f>IF(OR(R1460="No",U1460*S1460=0),"",AA1460/(U1460*S1460))</x:f>
        <x:v>0.06566992192663634</x:v>
      </x:c>
      <x:c r="AC1460" s="54" t="n">
        <x:f>IF(OR(R1460="No",S1460-T1460*Assumptions!$B$9&lt;=0),"",AA1460/(Assumptions!$B$8*(S1460-T1460*Assumptions!$B$9)))</x:f>
        <x:v>230.91500348893527</x:v>
      </x:c>
      <x:c r="AD1460" s="52" t="n">
        <x:f>IF(OR(R1460="No",U1460*S1460=0),"",AA1460/(U1460*S1460))</x:f>
        <x:v>0.06566992192663634</x:v>
      </x:c>
      <x:c r="AE1460" s="50" t="str">
        <x:f>IF(R1460="No","No finance data",IF(AB1460&gt;=10%,"Severe",IF(AB1460&gt;=5%,"High",IF(AB1460&gt;=2%,"Moderate","Low"))))</x:f>
        <x:v>High</x:v>
      </x:c>
      <x:c r="AF1460" s="60" t="n">
        <x:v>40.265957</x:v>
      </x:c>
      <x:c r="AG1460" s="60" t="n">
        <x:v>-78.834163</x:v>
      </x:c>
      <x:c r="AH1460" s="44" t="str">
        <x:v>Undergraduate tuition-contribution proxy only; not an audited total institutional budget.</x:v>
      </x:c>
    </x:row>
    <x:row r="1461">
      <x:c r="A1461" s="16" t="n">
        <x:v>215293</x:v>
      </x:c>
      <x:c r="B1461" s="16" t="str">
        <x:v>University of Pittsburgh-Pittsburgh Campus</x:v>
      </x:c>
      <x:c r="C1461" s="16" t="str">
        <x:v>PA</x:v>
      </x:c>
      <x:c r="D1461" s="16" t="str">
        <x:v>Public</x:v>
      </x:c>
      <x:c r="E1461" s="34" t="n">
        <x:v>18655</x:v>
      </x:c>
      <x:c r="F1461" s="21" t="n">
        <x:v>0.6668</x:v>
      </x:c>
      <x:c r="G1461" s="16" t="str">
        <x:v>Statewide</x:v>
      </x:c>
      <x:c r="H1461" s="36" t="n">
        <x:f>IF(G1461="National",Assumptions!$B$11,IF(G1461="Statewide",Assumptions!$B$12,Assumptions!$B$13))</x:f>
        <x:v>0.6</x:v>
      </x:c>
      <x:c r="I1461" s="21" t="n">
        <x:v>-0.07201174532693544</x:v>
      </x:c>
      <x:c r="J1461" s="21" t="n">
        <x:v>-0.08817589343264343</x:v>
      </x:c>
      <x:c r="K1461" s="21" t="n">
        <x:v>-0.16258683663969065</x:v>
      </x:c>
      <x:c r="L1461" s="36" t="n">
        <x:f>IF(Assumptions!$B$4=2030,I1461,IF(Assumptions!$B$4=2035,J1461,K1461))</x:f>
        <x:v>-0.08817589343264343</x:v>
      </x:c>
      <x:c r="M1461" s="36" t="n">
        <x:f>Assumptions!$B$19</x:f>
        <x:v>-0.04739891965741583</x:v>
      </x:c>
      <x:c r="N1461" s="52" t="n">
        <x:f>H1461*L1461+(1-H1461)*M1461+O1461</x:f>
        <x:v>-0.07186510392255238</x:v>
      </x:c>
      <x:c r="O1461" s="36" t="n">
        <x:f>Assumptions!$B$10</x:f>
        <x:v>0</x:v>
      </x:c>
      <x:c r="P1461" s="54" t="n">
        <x:f>E1461*(1+N1461)</x:f>
        <x:v>17314.356486324785</x:v>
      </x:c>
      <x:c r="Q1461" s="54" t="n">
        <x:f>P1461-E1461</x:f>
        <x:v>-1340.6435136752152</x:v>
      </x:c>
      <x:c r="R1461" s="16" t="str">
        <x:v>Yes</x:v>
      </x:c>
      <x:c r="S1461" s="56" t="n">
        <x:v>18681</x:v>
      </x:c>
      <x:c r="T1461" s="56" t="n">
        <x:v>19663</x:v>
      </x:c>
      <x:c r="U1461" s="40" t="n">
        <x:f>E1461*Assumptions!$B$8</x:f>
        <x:v>15856.75</x:v>
      </x:c>
      <x:c r="V1461" s="40" t="n">
        <x:f>P1461*Assumptions!$B$8</x:f>
        <x:v>14717.203013376067</x:v>
      </x:c>
      <x:c r="W1461" s="54" t="n">
        <x:f>V1461-U1461</x:f>
        <x:v>-1139.5469866239328</x:v>
      </x:c>
      <x:c r="X1461" s="58" t="n">
        <x:f>IF(R1461="No","",W1461*S1461)</x:f>
        <x:v>-21287877.25712169</x:v>
      </x:c>
      <x:c r="Y1461" s="58" t="n">
        <x:f>IF(R1461="No","",W1461*T1461*Assumptions!$B$9)</x:f>
        <x:v>-6722073.719395917</x:v>
      </x:c>
      <x:c r="Z1461" s="58" t="n">
        <x:f>IF(R1461="No","",X1461-Y1461)</x:f>
        <x:v>-14565803.537725773</x:v>
      </x:c>
      <x:c r="AA1461" s="58" t="n">
        <x:f>IF(R1461="No","",MAX(0,-Z1461))</x:f>
        <x:v>14565803.537725773</x:v>
      </x:c>
      <x:c r="AB1461" s="52" t="n">
        <x:f>IF(OR(R1461="No",U1461*S1461=0),"",AA1461/(U1461*S1461))</x:f>
        <x:v>0.049172257633341744</x:v>
      </x:c>
      <x:c r="AC1461" s="54" t="n">
        <x:f>IF(OR(R1461="No",S1461-T1461*Assumptions!$B$9&lt;=0),"",AA1461/(Assumptions!$B$8*(S1461-T1461*Assumptions!$B$9)))</x:f>
        <x:v>1340.6435136752152</x:v>
      </x:c>
      <x:c r="AD1461" s="52" t="n">
        <x:f>IF(OR(R1461="No",U1461*S1461=0),"",AA1461/(U1461*S1461))</x:f>
        <x:v>0.049172257633341744</x:v>
      </x:c>
      <x:c r="AE1461" s="50" t="str">
        <x:f>IF(R1461="No","No finance data",IF(AB1461&gt;=10%,"Severe",IF(AB1461&gt;=5%,"High",IF(AB1461&gt;=2%,"Moderate","Low"))))</x:f>
        <x:v>Moderate</x:v>
      </x:c>
      <x:c r="AF1461" s="60" t="n">
        <x:v>40.444388</x:v>
      </x:c>
      <x:c r="AG1461" s="60" t="n">
        <x:v>-79.953254</x:v>
      </x:c>
      <x:c r="AH1461" s="44" t="str">
        <x:v>Undergraduate tuition-contribution proxy only; not an audited total institutional budget.</x:v>
      </x:c>
    </x:row>
    <x:row r="1462">
      <x:c r="A1462" s="16" t="n">
        <x:v>215929</x:v>
      </x:c>
      <x:c r="B1462" s="16" t="str">
        <x:v>University of Scranton</x:v>
      </x:c>
      <x:c r="C1462" s="16" t="str">
        <x:v>PA</x:v>
      </x:c>
      <x:c r="D1462" s="16" t="str">
        <x:v>Private nonprofit</x:v>
      </x:c>
      <x:c r="E1462" s="34" t="n">
        <x:v>3793</x:v>
      </x:c>
      <x:c r="F1462" s="21" t="n">
        <x:v>0.8029</x:v>
      </x:c>
      <x:c r="G1462" s="16" t="str">
        <x:v>Regional</x:v>
      </x:c>
      <x:c r="H1462" s="36" t="n">
        <x:f>IF(G1462="National",Assumptions!$B$11,IF(G1462="Statewide",Assumptions!$B$12,Assumptions!$B$13))</x:f>
        <x:v>0.85</x:v>
      </x:c>
      <x:c r="I1462" s="21" t="n">
        <x:v>-0.07201174532693544</x:v>
      </x:c>
      <x:c r="J1462" s="21" t="n">
        <x:v>-0.08817589343264343</x:v>
      </x:c>
      <x:c r="K1462" s="21" t="n">
        <x:v>-0.16258683663969065</x:v>
      </x:c>
      <x:c r="L1462" s="36" t="n">
        <x:f>IF(Assumptions!$B$4=2030,I1462,IF(Assumptions!$B$4=2035,J1462,K1462))</x:f>
        <x:v>-0.08817589343264343</x:v>
      </x:c>
      <x:c r="M1462" s="36" t="n">
        <x:f>Assumptions!$B$19</x:f>
        <x:v>-0.04739891965741583</x:v>
      </x:c>
      <x:c r="N1462" s="52" t="n">
        <x:f>H1462*L1462+(1-H1462)*M1462+O1462</x:f>
        <x:v>-0.08205934736635928</x:v>
      </x:c>
      <x:c r="O1462" s="36" t="n">
        <x:f>Assumptions!$B$10</x:f>
        <x:v>0</x:v>
      </x:c>
      <x:c r="P1462" s="54" t="n">
        <x:f>E1462*(1+N1462)</x:f>
        <x:v>3481.748895439399</x:v>
      </x:c>
      <x:c r="Q1462" s="54" t="n">
        <x:f>P1462-E1462</x:f>
        <x:v>-311.2511045606011</x:v>
      </x:c>
      <x:c r="R1462" s="16" t="str">
        <x:v>Yes</x:v>
      </x:c>
      <x:c r="S1462" s="56" t="n">
        <x:v>21897</x:v>
      </x:c>
      <x:c r="T1462" s="56" t="n">
        <x:v>13447</x:v>
      </x:c>
      <x:c r="U1462" s="40" t="n">
        <x:f>E1462*Assumptions!$B$8</x:f>
        <x:v>3224.0499999999997</x:v>
      </x:c>
      <x:c r="V1462" s="40" t="n">
        <x:f>P1462*Assumptions!$B$8</x:f>
        <x:v>2959.486561123489</x:v>
      </x:c>
      <x:c r="W1462" s="54" t="n">
        <x:f>V1462-U1462</x:f>
        <x:v>-264.56343887651065</x:v>
      </x:c>
      <x:c r="X1462" s="58" t="n">
        <x:f>IF(R1462="No","",W1462*S1462)</x:f>
        <x:v>-5793145.621078953</x:v>
      </x:c>
      <x:c r="Y1462" s="58" t="n">
        <x:f>IF(R1462="No","",W1462*T1462*Assumptions!$B$9)</x:f>
        <x:v>-1067275.3687717316</x:v>
      </x:c>
      <x:c r="Z1462" s="58" t="n">
        <x:f>IF(R1462="No","",X1462-Y1462)</x:f>
        <x:v>-4725870.252307221</x:v>
      </x:c>
      <x:c r="AA1462" s="58" t="n">
        <x:f>IF(R1462="No","",MAX(0,-Z1462))</x:f>
        <x:v>4725870.252307221</x:v>
      </x:c>
      <x:c r="AB1462" s="52" t="n">
        <x:f>IF(OR(R1462="No",U1462*S1462=0),"",AA1462/(U1462*S1462))</x:f>
        <x:v>0.06694149500253638</x:v>
      </x:c>
      <x:c r="AC1462" s="54" t="n">
        <x:f>IF(OR(R1462="No",S1462-T1462*Assumptions!$B$9&lt;=0),"",AA1462/(Assumptions!$B$8*(S1462-T1462*Assumptions!$B$9)))</x:f>
        <x:v>311.2511045606007</x:v>
      </x:c>
      <x:c r="AD1462" s="52" t="n">
        <x:f>IF(OR(R1462="No",U1462*S1462=0),"",AA1462/(U1462*S1462))</x:f>
        <x:v>0.06694149500253638</x:v>
      </x:c>
      <x:c r="AE1462" s="50" t="str">
        <x:f>IF(R1462="No","No finance data",IF(AB1462&gt;=10%,"Severe",IF(AB1462&gt;=5%,"High",IF(AB1462&gt;=2%,"Moderate","Low"))))</x:f>
        <x:v>High</x:v>
      </x:c>
      <x:c r="AF1462" s="60" t="n">
        <x:v>41.406556</x:v>
      </x:c>
      <x:c r="AG1462" s="60" t="n">
        <x:v>-75.656915</x:v>
      </x:c>
      <x:c r="AH1462" s="44" t="str">
        <x:v>Undergraduate tuition-contribution proxy only; not an audited total institutional budget.</x:v>
      </x:c>
    </x:row>
    <x:row r="1463">
      <x:c r="A1463" s="16" t="n">
        <x:v>216542</x:v>
      </x:c>
      <x:c r="B1463" s="16" t="str">
        <x:v>University of Valley Forge</x:v>
      </x:c>
      <x:c r="C1463" s="16" t="str">
        <x:v>PA</x:v>
      </x:c>
      <x:c r="D1463" s="16" t="str">
        <x:v>Private nonprofit</x:v>
      </x:c>
      <x:c r="E1463" s="34" t="n">
        <x:v>731</x:v>
      </x:c>
      <x:c r="F1463" s="21"/>
      <x:c r="G1463" s="16" t="str">
        <x:v>Regional</x:v>
      </x:c>
      <x:c r="H1463" s="36" t="n">
        <x:f>IF(G1463="National",Assumptions!$B$11,IF(G1463="Statewide",Assumptions!$B$12,Assumptions!$B$13))</x:f>
        <x:v>0.85</x:v>
      </x:c>
      <x:c r="I1463" s="21" t="n">
        <x:v>-0.07201174532693544</x:v>
      </x:c>
      <x:c r="J1463" s="21" t="n">
        <x:v>-0.08817589343264343</x:v>
      </x:c>
      <x:c r="K1463" s="21" t="n">
        <x:v>-0.16258683663969065</x:v>
      </x:c>
      <x:c r="L1463" s="36" t="n">
        <x:f>IF(Assumptions!$B$4=2030,I1463,IF(Assumptions!$B$4=2035,J1463,K1463))</x:f>
        <x:v>-0.08817589343264343</x:v>
      </x:c>
      <x:c r="M1463" s="36" t="n">
        <x:f>Assumptions!$B$19</x:f>
        <x:v>-0.04739891965741583</x:v>
      </x:c>
      <x:c r="N1463" s="52" t="n">
        <x:f>H1463*L1463+(1-H1463)*M1463+O1463</x:f>
        <x:v>-0.08205934736635928</x:v>
      </x:c>
      <x:c r="O1463" s="36" t="n">
        <x:f>Assumptions!$B$10</x:f>
        <x:v>0</x:v>
      </x:c>
      <x:c r="P1463" s="54" t="n">
        <x:f>E1463*(1+N1463)</x:f>
        <x:v>671.0146170751914</x:v>
      </x:c>
      <x:c r="Q1463" s="54" t="n">
        <x:f>P1463-E1463</x:f>
        <x:v>-59.98538292480862</x:v>
      </x:c>
      <x:c r="R1463" s="16" t="str">
        <x:v>No</x:v>
      </x:c>
      <x:c r="S1463" s="56"/>
      <x:c r="T1463" s="56"/>
      <x:c r="U1463" s="40" t="n">
        <x:f>E1463*Assumptions!$B$8</x:f>
        <x:v>621.35</x:v>
      </x:c>
      <x:c r="V1463" s="40" t="n">
        <x:f>P1463*Assumptions!$B$8</x:f>
        <x:v>570.3624245139126</x:v>
      </x:c>
      <x:c r="W1463" s="54" t="n">
        <x:f>V1463-U1463</x:f>
        <x:v>-50.987575486087394</x:v>
      </x:c>
      <x:c r="X1463" s="58" t="str">
        <x:f>IF(R1463="No","",W1463*S1463)</x:f>
      </x:c>
      <x:c r="Y1463" s="58" t="str">
        <x:f>IF(R1463="No","",W1463*T1463*Assumptions!$B$9)</x:f>
      </x:c>
      <x:c r="Z1463" s="58" t="str">
        <x:f>IF(R1463="No","",X1463-Y1463)</x:f>
      </x:c>
      <x:c r="AA1463" s="58" t="str">
        <x:f>IF(R1463="No","",MAX(0,-Z1463))</x:f>
      </x:c>
      <x:c r="AB1463" s="52" t="str">
        <x:f>IF(OR(R1463="No",U1463*S1463=0),"",AA1463/(U1463*S1463))</x:f>
      </x:c>
      <x:c r="AC1463" s="54" t="str">
        <x:f>IF(OR(R1463="No",S1463-T1463*Assumptions!$B$9&lt;=0),"",AA1463/(Assumptions!$B$8*(S1463-T1463*Assumptions!$B$9)))</x:f>
      </x:c>
      <x:c r="AD1463" s="52" t="str">
        <x:f>IF(OR(R1463="No",U1463*S1463=0),"",AA1463/(U1463*S1463))</x:f>
      </x:c>
      <x:c r="AE1463" s="50" t="str">
        <x:f>IF(R1463="No","No finance data",IF(AB1463&gt;=10%,"Severe",IF(AB1463&gt;=5%,"High",IF(AB1463&gt;=2%,"Moderate","Low"))))</x:f>
        <x:v>No finance data</x:v>
      </x:c>
      <x:c r="AF1463" s="60"/>
      <x:c r="AG1463" s="60"/>
      <x:c r="AH1463" s="44" t="str">
        <x:v>Undergraduate tuition-contribution proxy only; not an audited total institutional budget.</x:v>
      </x:c>
    </x:row>
    <x:row r="1464">
      <x:c r="A1464" s="16" t="n">
        <x:v>215132</x:v>
      </x:c>
      <x:c r="B1464" s="16" t="str">
        <x:v>University of the Sciences</x:v>
      </x:c>
      <x:c r="C1464" s="16" t="str">
        <x:v>PA</x:v>
      </x:c>
      <x:c r="D1464" s="16" t="str">
        <x:v>Private nonprofit</x:v>
      </x:c>
      <x:c r="E1464" s="34" t="n">
        <x:v>1535</x:v>
      </x:c>
      <x:c r="F1464" s="21" t="n">
        <x:v>0.6132</x:v>
      </x:c>
      <x:c r="G1464" s="16" t="str">
        <x:v>Regional</x:v>
      </x:c>
      <x:c r="H1464" s="36" t="n">
        <x:f>IF(G1464="National",Assumptions!$B$11,IF(G1464="Statewide",Assumptions!$B$12,Assumptions!$B$13))</x:f>
        <x:v>0.85</x:v>
      </x:c>
      <x:c r="I1464" s="21" t="n">
        <x:v>-0.07201174532693544</x:v>
      </x:c>
      <x:c r="J1464" s="21" t="n">
        <x:v>-0.08817589343264343</x:v>
      </x:c>
      <x:c r="K1464" s="21" t="n">
        <x:v>-0.16258683663969065</x:v>
      </x:c>
      <x:c r="L1464" s="36" t="n">
        <x:f>IF(Assumptions!$B$4=2030,I1464,IF(Assumptions!$B$4=2035,J1464,K1464))</x:f>
        <x:v>-0.08817589343264343</x:v>
      </x:c>
      <x:c r="M1464" s="36" t="n">
        <x:f>Assumptions!$B$19</x:f>
        <x:v>-0.04739891965741583</x:v>
      </x:c>
      <x:c r="N1464" s="52" t="n">
        <x:f>H1464*L1464+(1-H1464)*M1464+O1464</x:f>
        <x:v>-0.08205934736635928</x:v>
      </x:c>
      <x:c r="O1464" s="36" t="n">
        <x:f>Assumptions!$B$10</x:f>
        <x:v>0</x:v>
      </x:c>
      <x:c r="P1464" s="54" t="n">
        <x:f>E1464*(1+N1464)</x:f>
        <x:v>1409.0389017926384</x:v>
      </x:c>
      <x:c r="Q1464" s="54" t="n">
        <x:f>P1464-E1464</x:f>
        <x:v>-125.9610982073616</x:v>
      </x:c>
      <x:c r="R1464" s="16" t="str">
        <x:v>Yes</x:v>
      </x:c>
      <x:c r="S1464" s="56" t="n">
        <x:v>24265</x:v>
      </x:c>
      <x:c r="T1464" s="56" t="n">
        <x:v>16839</x:v>
      </x:c>
      <x:c r="U1464" s="40" t="n">
        <x:f>E1464*Assumptions!$B$8</x:f>
        <x:v>1304.75</x:v>
      </x:c>
      <x:c r="V1464" s="40" t="n">
        <x:f>P1464*Assumptions!$B$8</x:f>
        <x:v>1197.6830665237426</x:v>
      </x:c>
      <x:c r="W1464" s="54" t="n">
        <x:f>V1464-U1464</x:f>
        <x:v>-107.06693347625742</x:v>
      </x:c>
      <x:c r="X1464" s="58" t="n">
        <x:f>IF(R1464="No","",W1464*S1464)</x:f>
        <x:v>-2597979.1408013864</x:v>
      </x:c>
      <x:c r="Y1464" s="58" t="n">
        <x:f>IF(R1464="No","",W1464*T1464*Assumptions!$B$9)</x:f>
        <x:v>-540870.0278420096</x:v>
      </x:c>
      <x:c r="Z1464" s="58" t="n">
        <x:f>IF(R1464="No","",X1464-Y1464)</x:f>
        <x:v>-2057109.112959377</x:v>
      </x:c>
      <x:c r="AA1464" s="58" t="n">
        <x:f>IF(R1464="No","",MAX(0,-Z1464))</x:f>
        <x:v>2057109.112959377</x:v>
      </x:c>
      <x:c r="AB1464" s="52" t="n">
        <x:f>IF(OR(R1464="No",U1464*S1464=0),"",AA1464/(U1464*S1464))</x:f>
        <x:v>0.06497551447574998</x:v>
      </x:c>
      <x:c r="AC1464" s="54" t="n">
        <x:f>IF(OR(R1464="No",S1464-T1464*Assumptions!$B$9&lt;=0),"",AA1464/(Assumptions!$B$8*(S1464-T1464*Assumptions!$B$9)))</x:f>
        <x:v>125.9610982073617</x:v>
      </x:c>
      <x:c r="AD1464" s="52" t="n">
        <x:f>IF(OR(R1464="No",U1464*S1464=0),"",AA1464/(U1464*S1464))</x:f>
        <x:v>0.06497551447574998</x:v>
      </x:c>
      <x:c r="AE1464" s="50" t="str">
        <x:f>IF(R1464="No","No finance data",IF(AB1464&gt;=10%,"Severe",IF(AB1464&gt;=5%,"High",IF(AB1464&gt;=2%,"Moderate","Low"))))</x:f>
        <x:v>High</x:v>
      </x:c>
      <x:c r="AF1464" s="60" t="n">
        <x:v>39.946412</x:v>
      </x:c>
      <x:c r="AG1464" s="60" t="n">
        <x:v>-75.207001</x:v>
      </x:c>
      <x:c r="AH1464" s="44" t="str">
        <x:v>Undergraduate tuition-contribution proxy only; not an audited total institutional budget.</x:v>
      </x:c>
    </x:row>
    <x:row r="1465">
      <x:c r="A1465" s="16" t="n">
        <x:v>216524</x:v>
      </x:c>
      <x:c r="B1465" s="16" t="str">
        <x:v>Ursinus College</x:v>
      </x:c>
      <x:c r="C1465" s="16" t="str">
        <x:v>PA</x:v>
      </x:c>
      <x:c r="D1465" s="16" t="str">
        <x:v>Private nonprofit</x:v>
      </x:c>
      <x:c r="E1465" s="34" t="n">
        <x:v>1629</x:v>
      </x:c>
      <x:c r="F1465" s="21" t="n">
        <x:v>0.8271</x:v>
      </x:c>
      <x:c r="G1465" s="16" t="str">
        <x:v>Regional</x:v>
      </x:c>
      <x:c r="H1465" s="36" t="n">
        <x:f>IF(G1465="National",Assumptions!$B$11,IF(G1465="Statewide",Assumptions!$B$12,Assumptions!$B$13))</x:f>
        <x:v>0.85</x:v>
      </x:c>
      <x:c r="I1465" s="21" t="n">
        <x:v>-0.07201174532693544</x:v>
      </x:c>
      <x:c r="J1465" s="21" t="n">
        <x:v>-0.08817589343264343</x:v>
      </x:c>
      <x:c r="K1465" s="21" t="n">
        <x:v>-0.16258683663969065</x:v>
      </x:c>
      <x:c r="L1465" s="36" t="n">
        <x:f>IF(Assumptions!$B$4=2030,I1465,IF(Assumptions!$B$4=2035,J1465,K1465))</x:f>
        <x:v>-0.08817589343264343</x:v>
      </x:c>
      <x:c r="M1465" s="36" t="n">
        <x:f>Assumptions!$B$19</x:f>
        <x:v>-0.04739891965741583</x:v>
      </x:c>
      <x:c r="N1465" s="52" t="n">
        <x:f>H1465*L1465+(1-H1465)*M1465+O1465</x:f>
        <x:v>-0.08205934736635928</x:v>
      </x:c>
      <x:c r="O1465" s="36" t="n">
        <x:f>Assumptions!$B$10</x:f>
        <x:v>0</x:v>
      </x:c>
      <x:c r="P1465" s="54" t="n">
        <x:f>E1465*(1+N1465)</x:f>
        <x:v>1495.3253231402007</x:v>
      </x:c>
      <x:c r="Q1465" s="54" t="n">
        <x:f>P1465-E1465</x:f>
        <x:v>-133.67467685979932</x:v>
      </x:c>
      <x:c r="R1465" s="16" t="str">
        <x:v>Yes</x:v>
      </x:c>
      <x:c r="S1465" s="56" t="n">
        <x:v>20275</x:v>
      </x:c>
      <x:c r="T1465" s="56" t="n">
        <x:v>13970</x:v>
      </x:c>
      <x:c r="U1465" s="40" t="n">
        <x:f>E1465*Assumptions!$B$8</x:f>
        <x:v>1384.6499999999999</x:v>
      </x:c>
      <x:c r="V1465" s="40" t="n">
        <x:f>P1465*Assumptions!$B$8</x:f>
        <x:v>1271.0265246691706</x:v>
      </x:c>
      <x:c r="W1465" s="54" t="n">
        <x:f>V1465-U1465</x:f>
        <x:v>-113.62347533082925</x:v>
      </x:c>
      <x:c r="X1465" s="58" t="n">
        <x:f>IF(R1465="No","",W1465*S1465)</x:f>
        <x:v>-2303715.962332563</x:v>
      </x:c>
      <x:c r="Y1465" s="58" t="n">
        <x:f>IF(R1465="No","",W1465*T1465*Assumptions!$B$9)</x:f>
        <x:v>-476195.9851115054</x:v>
      </x:c>
      <x:c r="Z1465" s="58" t="n">
        <x:f>IF(R1465="No","",X1465-Y1465)</x:f>
        <x:v>-1827519.9772210578</x:v>
      </x:c>
      <x:c r="AA1465" s="58" t="n">
        <x:f>IF(R1465="No","",MAX(0,-Z1465))</x:f>
        <x:v>1827519.9772210578</x:v>
      </x:c>
      <x:c r="AB1465" s="52" t="n">
        <x:f>IF(OR(R1465="No",U1465*S1465=0),"",AA1465/(U1465*S1465))</x:f>
        <x:v>0.06509704281334261</x:v>
      </x:c>
      <x:c r="AC1465" s="54" t="n">
        <x:f>IF(OR(R1465="No",S1465-T1465*Assumptions!$B$9&lt;=0),"",AA1465/(Assumptions!$B$8*(S1465-T1465*Assumptions!$B$9)))</x:f>
        <x:v>133.67467685979912</x:v>
      </x:c>
      <x:c r="AD1465" s="52" t="n">
        <x:f>IF(OR(R1465="No",U1465*S1465=0),"",AA1465/(U1465*S1465))</x:f>
        <x:v>0.06509704281334261</x:v>
      </x:c>
      <x:c r="AE1465" s="50" t="str">
        <x:f>IF(R1465="No","No finance data",IF(AB1465&gt;=10%,"Severe",IF(AB1465&gt;=5%,"High",IF(AB1465&gt;=2%,"Moderate","Low"))))</x:f>
        <x:v>High</x:v>
      </x:c>
      <x:c r="AF1465" s="60" t="n">
        <x:v>40.193023</x:v>
      </x:c>
      <x:c r="AG1465" s="60" t="n">
        <x:v>-75.456505</x:v>
      </x:c>
      <x:c r="AH1465" s="44" t="str">
        <x:v>Undergraduate tuition-contribution proxy only; not an audited total institutional budget.</x:v>
      </x:c>
    </x:row>
    <x:row r="1466">
      <x:c r="A1466" s="16" t="n">
        <x:v>216597</x:v>
      </x:c>
      <x:c r="B1466" s="16" t="str">
        <x:v>Villanova University</x:v>
      </x:c>
      <x:c r="C1466" s="16" t="str">
        <x:v>PA</x:v>
      </x:c>
      <x:c r="D1466" s="16" t="str">
        <x:v>Private nonprofit</x:v>
      </x:c>
      <x:c r="E1466" s="34" t="n">
        <x:v>6835</x:v>
      </x:c>
      <x:c r="F1466" s="21" t="n">
        <x:v>0.2524</x:v>
      </x:c>
      <x:c r="G1466" s="16" t="str">
        <x:v>National</x:v>
      </x:c>
      <x:c r="H1466" s="36" t="n">
        <x:f>IF(G1466="National",Assumptions!$B$11,IF(G1466="Statewide",Assumptions!$B$12,Assumptions!$B$13))</x:f>
        <x:v>0.25</x:v>
      </x:c>
      <x:c r="I1466" s="21" t="n">
        <x:v>-0.07201174532693544</x:v>
      </x:c>
      <x:c r="J1466" s="21" t="n">
        <x:v>-0.08817589343264343</x:v>
      </x:c>
      <x:c r="K1466" s="21" t="n">
        <x:v>-0.16258683663969065</x:v>
      </x:c>
      <x:c r="L1466" s="36" t="n">
        <x:f>IF(Assumptions!$B$4=2030,I1466,IF(Assumptions!$B$4=2035,J1466,K1466))</x:f>
        <x:v>-0.08817589343264343</x:v>
      </x:c>
      <x:c r="M1466" s="36" t="n">
        <x:f>Assumptions!$B$19</x:f>
        <x:v>-0.04739891965741583</x:v>
      </x:c>
      <x:c r="N1466" s="52" t="n">
        <x:f>H1466*L1466+(1-H1466)*M1466+O1466</x:f>
        <x:v>-0.05759316310122273</x:v>
      </x:c>
      <x:c r="O1466" s="36" t="n">
        <x:f>Assumptions!$B$10</x:f>
        <x:v>0</x:v>
      </x:c>
      <x:c r="P1466" s="54" t="n">
        <x:f>E1466*(1+N1466)</x:f>
        <x:v>6441.350730203142</x:v>
      </x:c>
      <x:c r="Q1466" s="54" t="n">
        <x:f>P1466-E1466</x:f>
        <x:v>-393.6492697968579</x:v>
      </x:c>
      <x:c r="R1466" s="16" t="str">
        <x:v>Yes</x:v>
      </x:c>
      <x:c r="S1466" s="56" t="n">
        <x:v>30893</x:v>
      </x:c>
      <x:c r="T1466" s="56" t="n">
        <x:v>15191</x:v>
      </x:c>
      <x:c r="U1466" s="40" t="n">
        <x:f>E1466*Assumptions!$B$8</x:f>
        <x:v>5809.75</x:v>
      </x:c>
      <x:c r="V1466" s="40" t="n">
        <x:f>P1466*Assumptions!$B$8</x:f>
        <x:v>5475.14812067267</x:v>
      </x:c>
      <x:c r="W1466" s="54" t="n">
        <x:f>V1466-U1466</x:f>
        <x:v>-334.6018793273297</x:v>
      </x:c>
      <x:c r="X1466" s="58" t="n">
        <x:f>IF(R1466="No","",W1466*S1466)</x:f>
        <x:v>-10336855.858059196</x:v>
      </x:c>
      <x:c r="Y1466" s="58" t="n">
        <x:f>IF(R1466="No","",W1466*T1466*Assumptions!$B$9)</x:f>
        <x:v>-1524881.1446584396</x:v>
      </x:c>
      <x:c r="Z1466" s="58" t="n">
        <x:f>IF(R1466="No","",X1466-Y1466)</x:f>
        <x:v>-8811974.713400757</x:v>
      </x:c>
      <x:c r="AA1466" s="58" t="n">
        <x:f>IF(R1466="No","",MAX(0,-Z1466))</x:f>
        <x:v>8811974.713400757</x:v>
      </x:c>
      <x:c r="AB1466" s="52" t="n">
        <x:f>IF(OR(R1466="No",U1466*S1466=0),"",AA1466/(U1466*S1466))</x:f>
        <x:v>0.049097085601426727</x:v>
      </x:c>
      <x:c r="AC1466" s="54" t="n">
        <x:f>IF(OR(R1466="No",S1466-T1466*Assumptions!$B$9&lt;=0),"",AA1466/(Assumptions!$B$8*(S1466-T1466*Assumptions!$B$9)))</x:f>
        <x:v>393.64926979685845</x:v>
      </x:c>
      <x:c r="AD1466" s="52" t="n">
        <x:f>IF(OR(R1466="No",U1466*S1466=0),"",AA1466/(U1466*S1466))</x:f>
        <x:v>0.049097085601426727</x:v>
      </x:c>
      <x:c r="AE1466" s="50" t="str">
        <x:f>IF(R1466="No","No finance data",IF(AB1466&gt;=10%,"Severe",IF(AB1466&gt;=5%,"High",IF(AB1466&gt;=2%,"Moderate","Low"))))</x:f>
        <x:v>Moderate</x:v>
      </x:c>
      <x:c r="AF1466" s="60" t="n">
        <x:v>40.036463</x:v>
      </x:c>
      <x:c r="AG1466" s="60" t="n">
        <x:v>-75.340502</x:v>
      </x:c>
      <x:c r="AH1466" s="44" t="str">
        <x:v>Undergraduate tuition-contribution proxy only; not an audited total institutional budget.</x:v>
      </x:c>
    </x:row>
    <x:row r="1467">
      <x:c r="A1467" s="16" t="n">
        <x:v>216667</x:v>
      </x:c>
      <x:c r="B1467" s="16" t="str">
        <x:v>Washington &amp; Jefferson College</x:v>
      </x:c>
      <x:c r="C1467" s="16" t="str">
        <x:v>PA</x:v>
      </x:c>
      <x:c r="D1467" s="16" t="str">
        <x:v>Private nonprofit</x:v>
      </x:c>
      <x:c r="E1467" s="34" t="n">
        <x:v>1307</x:v>
      </x:c>
      <x:c r="F1467" s="21" t="n">
        <x:v>0.8368</x:v>
      </x:c>
      <x:c r="G1467" s="16" t="str">
        <x:v>Regional</x:v>
      </x:c>
      <x:c r="H1467" s="36" t="n">
        <x:f>IF(G1467="National",Assumptions!$B$11,IF(G1467="Statewide",Assumptions!$B$12,Assumptions!$B$13))</x:f>
        <x:v>0.85</x:v>
      </x:c>
      <x:c r="I1467" s="21" t="n">
        <x:v>-0.07201174532693544</x:v>
      </x:c>
      <x:c r="J1467" s="21" t="n">
        <x:v>-0.08817589343264343</x:v>
      </x:c>
      <x:c r="K1467" s="21" t="n">
        <x:v>-0.16258683663969065</x:v>
      </x:c>
      <x:c r="L1467" s="36" t="n">
        <x:f>IF(Assumptions!$B$4=2030,I1467,IF(Assumptions!$B$4=2035,J1467,K1467))</x:f>
        <x:v>-0.08817589343264343</x:v>
      </x:c>
      <x:c r="M1467" s="36" t="n">
        <x:f>Assumptions!$B$19</x:f>
        <x:v>-0.04739891965741583</x:v>
      </x:c>
      <x:c r="N1467" s="52" t="n">
        <x:f>H1467*L1467+(1-H1467)*M1467+O1467</x:f>
        <x:v>-0.08205934736635928</x:v>
      </x:c>
      <x:c r="O1467" s="36" t="n">
        <x:f>Assumptions!$B$10</x:f>
        <x:v>0</x:v>
      </x:c>
      <x:c r="P1467" s="54" t="n">
        <x:f>E1467*(1+N1467)</x:f>
        <x:v>1199.7484329921683</x:v>
      </x:c>
      <x:c r="Q1467" s="54" t="n">
        <x:f>P1467-E1467</x:f>
        <x:v>-107.25156700783168</x:v>
      </x:c>
      <x:c r="R1467" s="16" t="str">
        <x:v>Yes</x:v>
      </x:c>
      <x:c r="S1467" s="56" t="n">
        <x:v>17139</x:v>
      </x:c>
      <x:c r="T1467" s="56" t="n">
        <x:v>17704</x:v>
      </x:c>
      <x:c r="U1467" s="40" t="n">
        <x:f>E1467*Assumptions!$B$8</x:f>
        <x:v>1110.95</x:v>
      </x:c>
      <x:c r="V1467" s="40" t="n">
        <x:f>P1467*Assumptions!$B$8</x:f>
        <x:v>1019.7861680433431</x:v>
      </x:c>
      <x:c r="W1467" s="54" t="n">
        <x:f>V1467-U1467</x:f>
        <x:v>-91.16383195665696</x:v>
      </x:c>
      <x:c r="X1467" s="58" t="n">
        <x:f>IF(R1467="No","",W1467*S1467)</x:f>
        <x:v>-1562456.9159051436</x:v>
      </x:c>
      <x:c r="Y1467" s="58" t="n">
        <x:f>IF(R1467="No","",W1467*T1467*Assumptions!$B$9)</x:f>
        <x:v>-484189.3442881964</x:v>
      </x:c>
      <x:c r="Z1467" s="58" t="n">
        <x:f>IF(R1467="No","",X1467-Y1467)</x:f>
        <x:v>-1078267.5716169472</x:v>
      </x:c>
      <x:c r="AA1467" s="58" t="n">
        <x:f>IF(R1467="No","",MAX(0,-Z1467))</x:f>
        <x:v>1078267.5716169472</x:v>
      </x:c>
      <x:c r="AB1467" s="52" t="n">
        <x:f>IF(OR(R1467="No",U1467*S1467=0),"",AA1467/(U1467*S1467))</x:f>
        <x:v>0.05662999876187791</x:v>
      </x:c>
      <x:c r="AC1467" s="54" t="n">
        <x:f>IF(OR(R1467="No",S1467-T1467*Assumptions!$B$9&lt;=0),"",AA1467/(Assumptions!$B$8*(S1467-T1467*Assumptions!$B$9)))</x:f>
        <x:v>107.25156700783172</x:v>
      </x:c>
      <x:c r="AD1467" s="52" t="n">
        <x:f>IF(OR(R1467="No",U1467*S1467=0),"",AA1467/(U1467*S1467))</x:f>
        <x:v>0.05662999876187791</x:v>
      </x:c>
      <x:c r="AE1467" s="50" t="str">
        <x:f>IF(R1467="No","No finance data",IF(AB1467&gt;=10%,"Severe",IF(AB1467&gt;=5%,"High",IF(AB1467&gt;=2%,"Moderate","Low"))))</x:f>
        <x:v>High</x:v>
      </x:c>
      <x:c r="AF1467" s="60" t="n">
        <x:v>40.170622</x:v>
      </x:c>
      <x:c r="AG1467" s="60" t="n">
        <x:v>-80.24049</x:v>
      </x:c>
      <x:c r="AH1467" s="44" t="str">
        <x:v>Undergraduate tuition-contribution proxy only; not an audited total institutional budget.</x:v>
      </x:c>
    </x:row>
    <x:row r="1468">
      <x:c r="A1468" s="16" t="n">
        <x:v>216694</x:v>
      </x:c>
      <x:c r="B1468" s="16" t="str">
        <x:v>Waynesburg University</x:v>
      </x:c>
      <x:c r="C1468" s="16" t="str">
        <x:v>PA</x:v>
      </x:c>
      <x:c r="D1468" s="16" t="str">
        <x:v>Private nonprofit</x:v>
      </x:c>
      <x:c r="E1468" s="34" t="n">
        <x:v>1422</x:v>
      </x:c>
      <x:c r="F1468" s="21" t="n">
        <x:v>0.7496</x:v>
      </x:c>
      <x:c r="G1468" s="16" t="str">
        <x:v>Regional</x:v>
      </x:c>
      <x:c r="H1468" s="36" t="n">
        <x:f>IF(G1468="National",Assumptions!$B$11,IF(G1468="Statewide",Assumptions!$B$12,Assumptions!$B$13))</x:f>
        <x:v>0.85</x:v>
      </x:c>
      <x:c r="I1468" s="21" t="n">
        <x:v>-0.07201174532693544</x:v>
      </x:c>
      <x:c r="J1468" s="21" t="n">
        <x:v>-0.08817589343264343</x:v>
      </x:c>
      <x:c r="K1468" s="21" t="n">
        <x:v>-0.16258683663969065</x:v>
      </x:c>
      <x:c r="L1468" s="36" t="n">
        <x:f>IF(Assumptions!$B$4=2030,I1468,IF(Assumptions!$B$4=2035,J1468,K1468))</x:f>
        <x:v>-0.08817589343264343</x:v>
      </x:c>
      <x:c r="M1468" s="36" t="n">
        <x:f>Assumptions!$B$19</x:f>
        <x:v>-0.04739891965741583</x:v>
      </x:c>
      <x:c r="N1468" s="52" t="n">
        <x:f>H1468*L1468+(1-H1468)*M1468+O1468</x:f>
        <x:v>-0.08205934736635928</x:v>
      </x:c>
      <x:c r="O1468" s="36" t="n">
        <x:f>Assumptions!$B$10</x:f>
        <x:v>0</x:v>
      </x:c>
      <x:c r="P1468" s="54" t="n">
        <x:f>E1468*(1+N1468)</x:f>
        <x:v>1305.311608045037</x:v>
      </x:c>
      <x:c r="Q1468" s="54" t="n">
        <x:f>P1468-E1468</x:f>
        <x:v>-116.68839195496298</x:v>
      </x:c>
      <x:c r="R1468" s="16" t="str">
        <x:v>Yes</x:v>
      </x:c>
      <x:c r="S1468" s="56" t="n">
        <x:v>12170</x:v>
      </x:c>
      <x:c r="T1468" s="56" t="n">
        <x:v>10006</x:v>
      </x:c>
      <x:c r="U1468" s="40" t="n">
        <x:f>E1468*Assumptions!$B$8</x:f>
        <x:v>1208.7</x:v>
      </x:c>
      <x:c r="V1468" s="40" t="n">
        <x:f>P1468*Assumptions!$B$8</x:f>
        <x:v>1109.5148668382815</x:v>
      </x:c>
      <x:c r="W1468" s="54" t="n">
        <x:f>V1468-U1468</x:f>
        <x:v>-99.18513316171857</x:v>
      </x:c>
      <x:c r="X1468" s="58" t="n">
        <x:f>IF(R1468="No","",W1468*S1468)</x:f>
        <x:v>-1207083.070578115</x:v>
      </x:c>
      <x:c r="Y1468" s="58" t="n">
        <x:f>IF(R1468="No","",W1468*T1468*Assumptions!$B$9)</x:f>
        <x:v>-297733.93272484676</x:v>
      </x:c>
      <x:c r="Z1468" s="58" t="n">
        <x:f>IF(R1468="No","",X1468-Y1468)</x:f>
        <x:v>-909349.1378532683</x:v>
      </x:c>
      <x:c r="AA1468" s="58" t="n">
        <x:f>IF(R1468="No","",MAX(0,-Z1468))</x:f>
        <x:v>909349.1378532683</x:v>
      </x:c>
      <x:c r="AB1468" s="52" t="n">
        <x:f>IF(OR(R1468="No",U1468*S1468=0),"",AA1468/(U1468*S1468))</x:f>
        <x:v>0.06181894071686574</x:v>
      </x:c>
      <x:c r="AC1468" s="54" t="n">
        <x:f>IF(OR(R1468="No",S1468-T1468*Assumptions!$B$9&lt;=0),"",AA1468/(Assumptions!$B$8*(S1468-T1468*Assumptions!$B$9)))</x:f>
        <x:v>116.68839195496304</x:v>
      </x:c>
      <x:c r="AD1468" s="52" t="n">
        <x:f>IF(OR(R1468="No",U1468*S1468=0),"",AA1468/(U1468*S1468))</x:f>
        <x:v>0.06181894071686574</x:v>
      </x:c>
      <x:c r="AE1468" s="50" t="str">
        <x:f>IF(R1468="No","No finance data",IF(AB1468&gt;=10%,"Severe",IF(AB1468&gt;=5%,"High",IF(AB1468&gt;=2%,"Moderate","Low"))))</x:f>
        <x:v>High</x:v>
      </x:c>
      <x:c r="AF1468" s="60" t="n">
        <x:v>39.899871</x:v>
      </x:c>
      <x:c r="AG1468" s="60" t="n">
        <x:v>-80.186205</x:v>
      </x:c>
      <x:c r="AH1468" s="44" t="str">
        <x:v>Undergraduate tuition-contribution proxy only; not an audited total institutional budget.</x:v>
      </x:c>
    </x:row>
    <x:row r="1469">
      <x:c r="A1469" s="16" t="n">
        <x:v>216764</x:v>
      </x:c>
      <x:c r="B1469" s="16" t="str">
        <x:v>West Chester University of Pennsylvania</x:v>
      </x:c>
      <x:c r="C1469" s="16" t="str">
        <x:v>PA</x:v>
      </x:c>
      <x:c r="D1469" s="16" t="str">
        <x:v>Public</x:v>
      </x:c>
      <x:c r="E1469" s="34" t="n">
        <x:v>13966</x:v>
      </x:c>
      <x:c r="F1469" s="21" t="n">
        <x:v>0.8936</x:v>
      </x:c>
      <x:c r="G1469" s="16" t="str">
        <x:v>Statewide</x:v>
      </x:c>
      <x:c r="H1469" s="36" t="n">
        <x:f>IF(G1469="National",Assumptions!$B$11,IF(G1469="Statewide",Assumptions!$B$12,Assumptions!$B$13))</x:f>
        <x:v>0.6</x:v>
      </x:c>
      <x:c r="I1469" s="21" t="n">
        <x:v>-0.07201174532693544</x:v>
      </x:c>
      <x:c r="J1469" s="21" t="n">
        <x:v>-0.08817589343264343</x:v>
      </x:c>
      <x:c r="K1469" s="21" t="n">
        <x:v>-0.16258683663969065</x:v>
      </x:c>
      <x:c r="L1469" s="36" t="n">
        <x:f>IF(Assumptions!$B$4=2030,I1469,IF(Assumptions!$B$4=2035,J1469,K1469))</x:f>
        <x:v>-0.08817589343264343</x:v>
      </x:c>
      <x:c r="M1469" s="36" t="n">
        <x:f>Assumptions!$B$19</x:f>
        <x:v>-0.04739891965741583</x:v>
      </x:c>
      <x:c r="N1469" s="52" t="n">
        <x:f>H1469*L1469+(1-H1469)*M1469+O1469</x:f>
        <x:v>-0.07186510392255238</x:v>
      </x:c>
      <x:c r="O1469" s="36" t="n">
        <x:f>Assumptions!$B$10</x:f>
        <x:v>0</x:v>
      </x:c>
      <x:c r="P1469" s="54" t="n">
        <x:f>E1469*(1+N1469)</x:f>
        <x:v>12962.331958617633</x:v>
      </x:c>
      <x:c r="Q1469" s="54" t="n">
        <x:f>P1469-E1469</x:f>
        <x:v>-1003.6680413823669</x:v>
      </x:c>
      <x:c r="R1469" s="16" t="str">
        <x:v>Yes</x:v>
      </x:c>
      <x:c r="S1469" s="56" t="n">
        <x:v>8996</x:v>
      </x:c>
      <x:c r="T1469" s="56" t="n">
        <x:v>7830</x:v>
      </x:c>
      <x:c r="U1469" s="40" t="n">
        <x:f>E1469*Assumptions!$B$8</x:f>
        <x:v>11871.1</x:v>
      </x:c>
      <x:c r="V1469" s="40" t="n">
        <x:f>P1469*Assumptions!$B$8</x:f>
        <x:v>11017.982164824987</x:v>
      </x:c>
      <x:c r="W1469" s="54" t="n">
        <x:f>V1469-U1469</x:f>
        <x:v>-853.1178351750132</x:v>
      </x:c>
      <x:c r="X1469" s="58" t="n">
        <x:f>IF(R1469="No","",W1469*S1469)</x:f>
        <x:v>-7674648.0452344185</x:v>
      </x:c>
      <x:c r="Y1469" s="58" t="n">
        <x:f>IF(R1469="No","",W1469*T1469*Assumptions!$B$9)</x:f>
        <x:v>-2003973.7948261057</x:v>
      </x:c>
      <x:c r="Z1469" s="58" t="n">
        <x:f>IF(R1469="No","",X1469-Y1469)</x:f>
        <x:v>-5670674.250408312</x:v>
      </x:c>
      <x:c r="AA1469" s="58" t="n">
        <x:f>IF(R1469="No","",MAX(0,-Z1469))</x:f>
        <x:v>5670674.250408312</x:v>
      </x:c>
      <x:c r="AB1469" s="52" t="n">
        <x:f>IF(OR(R1469="No",U1469*S1469=0),"",AA1469/(U1469*S1469))</x:f>
        <x:v>0.05309997174001851</x:v>
      </x:c>
      <x:c r="AC1469" s="54" t="n">
        <x:f>IF(OR(R1469="No",S1469-T1469*Assumptions!$B$9&lt;=0),"",AA1469/(Assumptions!$B$8*(S1469-T1469*Assumptions!$B$9)))</x:f>
        <x:v>1003.6680413823684</x:v>
      </x:c>
      <x:c r="AD1469" s="52" t="n">
        <x:f>IF(OR(R1469="No",U1469*S1469=0),"",AA1469/(U1469*S1469))</x:f>
        <x:v>0.05309997174001851</x:v>
      </x:c>
      <x:c r="AE1469" s="50" t="str">
        <x:f>IF(R1469="No","No finance data",IF(AB1469&gt;=10%,"Severe",IF(AB1469&gt;=5%,"High",IF(AB1469&gt;=2%,"Moderate","Low"))))</x:f>
        <x:v>High</x:v>
      </x:c>
      <x:c r="AF1469" s="60" t="n">
        <x:v>39.953398</x:v>
      </x:c>
      <x:c r="AG1469" s="60" t="n">
        <x:v>-75.59812</x:v>
      </x:c>
      <x:c r="AH1469" s="44" t="str">
        <x:v>Undergraduate tuition-contribution proxy only; not an audited total institutional budget.</x:v>
      </x:c>
    </x:row>
    <x:row r="1470">
      <x:c r="A1470" s="16" t="n">
        <x:v>216807</x:v>
      </x:c>
      <x:c r="B1470" s="16" t="str">
        <x:v>Westminster College</x:v>
      </x:c>
      <x:c r="C1470" s="16" t="str">
        <x:v>PA</x:v>
      </x:c>
      <x:c r="D1470" s="16" t="str">
        <x:v>Private nonprofit</x:v>
      </x:c>
      <x:c r="E1470" s="34" t="n">
        <x:v>1103</x:v>
      </x:c>
      <x:c r="F1470" s="21" t="n">
        <x:v>0.8214</x:v>
      </x:c>
      <x:c r="G1470" s="16" t="str">
        <x:v>Regional</x:v>
      </x:c>
      <x:c r="H1470" s="36" t="n">
        <x:f>IF(G1470="National",Assumptions!$B$11,IF(G1470="Statewide",Assumptions!$B$12,Assumptions!$B$13))</x:f>
        <x:v>0.85</x:v>
      </x:c>
      <x:c r="I1470" s="21" t="n">
        <x:v>-0.07201174532693544</x:v>
      </x:c>
      <x:c r="J1470" s="21" t="n">
        <x:v>-0.08817589343264343</x:v>
      </x:c>
      <x:c r="K1470" s="21" t="n">
        <x:v>-0.16258683663969065</x:v>
      </x:c>
      <x:c r="L1470" s="36" t="n">
        <x:f>IF(Assumptions!$B$4=2030,I1470,IF(Assumptions!$B$4=2035,J1470,K1470))</x:f>
        <x:v>-0.08817589343264343</x:v>
      </x:c>
      <x:c r="M1470" s="36" t="n">
        <x:f>Assumptions!$B$19</x:f>
        <x:v>-0.04739891965741583</x:v>
      </x:c>
      <x:c r="N1470" s="52" t="n">
        <x:f>H1470*L1470+(1-H1470)*M1470+O1470</x:f>
        <x:v>-0.08205934736635928</x:v>
      </x:c>
      <x:c r="O1470" s="36" t="n">
        <x:f>Assumptions!$B$10</x:f>
        <x:v>0</x:v>
      </x:c>
      <x:c r="P1470" s="54" t="n">
        <x:f>E1470*(1+N1470)</x:f>
        <x:v>1012.4885398549056</x:v>
      </x:c>
      <x:c r="Q1470" s="54" t="n">
        <x:f>P1470-E1470</x:f>
        <x:v>-90.51146014509436</x:v>
      </x:c>
      <x:c r="R1470" s="16" t="str">
        <x:v>Yes</x:v>
      </x:c>
      <x:c r="S1470" s="56" t="n">
        <x:v>10709</x:v>
      </x:c>
      <x:c r="T1470" s="56" t="n">
        <x:v>9442</x:v>
      </x:c>
      <x:c r="U1470" s="40" t="n">
        <x:f>E1470*Assumptions!$B$8</x:f>
        <x:v>937.55</x:v>
      </x:c>
      <x:c r="V1470" s="40" t="n">
        <x:f>P1470*Assumptions!$B$8</x:f>
        <x:v>860.6152588766698</x:v>
      </x:c>
      <x:c r="W1470" s="54" t="n">
        <x:f>V1470-U1470</x:f>
        <x:v>-76.93474112333013</x:v>
      </x:c>
      <x:c r="X1470" s="58" t="n">
        <x:f>IF(R1470="No","",W1470*S1470)</x:f>
        <x:v>-823894.1426897424</x:v>
      </x:c>
      <x:c r="Y1470" s="58" t="n">
        <x:f>IF(R1470="No","",W1470*T1470*Assumptions!$B$9)</x:f>
        <x:v>-217925.3477059449</x:v>
      </x:c>
      <x:c r="Z1470" s="58" t="n">
        <x:f>IF(R1470="No","",X1470-Y1470)</x:f>
        <x:v>-605968.7949837975</x:v>
      </x:c>
      <x:c r="AA1470" s="58" t="n">
        <x:f>IF(R1470="No","",MAX(0,-Z1470))</x:f>
        <x:v>605968.7949837975</x:v>
      </x:c>
      <x:c r="AB1470" s="52" t="n">
        <x:f>IF(OR(R1470="No",U1470*S1470=0),"",AA1470/(U1470*S1470))</x:f>
        <x:v>0.06035411743359718</x:v>
      </x:c>
      <x:c r="AC1470" s="54" t="n">
        <x:f>IF(OR(R1470="No",S1470-T1470*Assumptions!$B$9&lt;=0),"",AA1470/(Assumptions!$B$8*(S1470-T1470*Assumptions!$B$9)))</x:f>
        <x:v>90.51146014509428</x:v>
      </x:c>
      <x:c r="AD1470" s="52" t="n">
        <x:f>IF(OR(R1470="No",U1470*S1470=0),"",AA1470/(U1470*S1470))</x:f>
        <x:v>0.06035411743359718</x:v>
      </x:c>
      <x:c r="AE1470" s="50" t="str">
        <x:f>IF(R1470="No","No finance data",IF(AB1470&gt;=10%,"Severe",IF(AB1470&gt;=5%,"High",IF(AB1470&gt;=2%,"Moderate","Low"))))</x:f>
        <x:v>High</x:v>
      </x:c>
      <x:c r="AF1470" s="60" t="n">
        <x:v>41.119272</x:v>
      </x:c>
      <x:c r="AG1470" s="60" t="n">
        <x:v>-80.331017</x:v>
      </x:c>
      <x:c r="AH1470" s="44" t="str">
        <x:v>Undergraduate tuition-contribution proxy only; not an audited total institutional budget.</x:v>
      </x:c>
    </x:row>
    <x:row r="1471">
      <x:c r="A1471" s="16" t="n">
        <x:v>216852</x:v>
      </x:c>
      <x:c r="B1471" s="16" t="str">
        <x:v>Widener University</x:v>
      </x:c>
      <x:c r="C1471" s="16" t="str">
        <x:v>PA</x:v>
      </x:c>
      <x:c r="D1471" s="16" t="str">
        <x:v>Private nonprofit</x:v>
      </x:c>
      <x:c r="E1471" s="34" t="n">
        <x:v>3244</x:v>
      </x:c>
      <x:c r="F1471" s="21" t="n">
        <x:v>0.8453</x:v>
      </x:c>
      <x:c r="G1471" s="16" t="str">
        <x:v>Regional</x:v>
      </x:c>
      <x:c r="H1471" s="36" t="n">
        <x:f>IF(G1471="National",Assumptions!$B$11,IF(G1471="Statewide",Assumptions!$B$12,Assumptions!$B$13))</x:f>
        <x:v>0.85</x:v>
      </x:c>
      <x:c r="I1471" s="21" t="n">
        <x:v>-0.07201174532693544</x:v>
      </x:c>
      <x:c r="J1471" s="21" t="n">
        <x:v>-0.08817589343264343</x:v>
      </x:c>
      <x:c r="K1471" s="21" t="n">
        <x:v>-0.16258683663969065</x:v>
      </x:c>
      <x:c r="L1471" s="36" t="n">
        <x:f>IF(Assumptions!$B$4=2030,I1471,IF(Assumptions!$B$4=2035,J1471,K1471))</x:f>
        <x:v>-0.08817589343264343</x:v>
      </x:c>
      <x:c r="M1471" s="36" t="n">
        <x:f>Assumptions!$B$19</x:f>
        <x:v>-0.04739891965741583</x:v>
      </x:c>
      <x:c r="N1471" s="52" t="n">
        <x:f>H1471*L1471+(1-H1471)*M1471+O1471</x:f>
        <x:v>-0.08205934736635928</x:v>
      </x:c>
      <x:c r="O1471" s="36" t="n">
        <x:f>Assumptions!$B$10</x:f>
        <x:v>0</x:v>
      </x:c>
      <x:c r="P1471" s="54" t="n">
        <x:f>E1471*(1+N1471)</x:f>
        <x:v>2977.79947714353</x:v>
      </x:c>
      <x:c r="Q1471" s="54" t="n">
        <x:f>P1471-E1471</x:f>
        <x:v>-266.2005228564699</x:v>
      </x:c>
      <x:c r="R1471" s="16" t="str">
        <x:v>Yes</x:v>
      </x:c>
      <x:c r="S1471" s="56" t="n">
        <x:v>21729</x:v>
      </x:c>
      <x:c r="T1471" s="56" t="n">
        <x:v>12738</x:v>
      </x:c>
      <x:c r="U1471" s="40" t="n">
        <x:f>E1471*Assumptions!$B$8</x:f>
        <x:v>2757.4</x:v>
      </x:c>
      <x:c r="V1471" s="40" t="n">
        <x:f>P1471*Assumptions!$B$8</x:f>
        <x:v>2531.1295555720008</x:v>
      </x:c>
      <x:c r="W1471" s="54" t="n">
        <x:f>V1471-U1471</x:f>
        <x:v>-226.27044442799934</x:v>
      </x:c>
      <x:c r="X1471" s="58" t="n">
        <x:f>IF(R1471="No","",W1471*S1471)</x:f>
        <x:v>-4916630.486975998</x:v>
      </x:c>
      <x:c r="Y1471" s="58" t="n">
        <x:f>IF(R1471="No","",W1471*T1471*Assumptions!$B$9)</x:f>
        <x:v>-864669.8763371567</x:v>
      </x:c>
      <x:c r="Z1471" s="58" t="n">
        <x:f>IF(R1471="No","",X1471-Y1471)</x:f>
        <x:v>-4051960.610638841</x:v>
      </x:c>
      <x:c r="AA1471" s="58" t="n">
        <x:f>IF(R1471="No","",MAX(0,-Z1471))</x:f>
        <x:v>4051960.610638841</x:v>
      </x:c>
      <x:c r="AB1471" s="52" t="n">
        <x:f>IF(OR(R1471="No",U1471*S1471=0),"",AA1471/(U1471*S1471))</x:f>
        <x:v>0.06762786915632643</x:v>
      </x:c>
      <x:c r="AC1471" s="54" t="n">
        <x:f>IF(OR(R1471="No",S1471-T1471*Assumptions!$B$9&lt;=0),"",AA1471/(Assumptions!$B$8*(S1471-T1471*Assumptions!$B$9)))</x:f>
        <x:v>266.20052285646983</x:v>
      </x:c>
      <x:c r="AD1471" s="52" t="n">
        <x:f>IF(OR(R1471="No",U1471*S1471=0),"",AA1471/(U1471*S1471))</x:f>
        <x:v>0.06762786915632643</x:v>
      </x:c>
      <x:c r="AE1471" s="50" t="str">
        <x:f>IF(R1471="No","No finance data",IF(AB1471&gt;=10%,"Severe",IF(AB1471&gt;=5%,"High",IF(AB1471&gt;=2%,"Moderate","Low"))))</x:f>
        <x:v>High</x:v>
      </x:c>
      <x:c r="AF1471" s="60" t="n">
        <x:v>39.861689</x:v>
      </x:c>
      <x:c r="AG1471" s="60" t="n">
        <x:v>-75.355363</x:v>
      </x:c>
      <x:c r="AH1471" s="44" t="str">
        <x:v>Undergraduate tuition-contribution proxy only; not an audited total institutional budget.</x:v>
      </x:c>
    </x:row>
    <x:row r="1472">
      <x:c r="A1472" s="16" t="n">
        <x:v>216931</x:v>
      </x:c>
      <x:c r="B1472" s="16" t="str">
        <x:v>Wilkes University</x:v>
      </x:c>
      <x:c r="C1472" s="16" t="str">
        <x:v>PA</x:v>
      </x:c>
      <x:c r="D1472" s="16" t="str">
        <x:v>Private nonprofit</x:v>
      </x:c>
      <x:c r="E1472" s="34" t="n">
        <x:v>2358</x:v>
      </x:c>
      <x:c r="F1472" s="21" t="n">
        <x:v>0.9477</x:v>
      </x:c>
      <x:c r="G1472" s="16" t="str">
        <x:v>Regional</x:v>
      </x:c>
      <x:c r="H1472" s="36" t="n">
        <x:f>IF(G1472="National",Assumptions!$B$11,IF(G1472="Statewide",Assumptions!$B$12,Assumptions!$B$13))</x:f>
        <x:v>0.85</x:v>
      </x:c>
      <x:c r="I1472" s="21" t="n">
        <x:v>-0.07201174532693544</x:v>
      </x:c>
      <x:c r="J1472" s="21" t="n">
        <x:v>-0.08817589343264343</x:v>
      </x:c>
      <x:c r="K1472" s="21" t="n">
        <x:v>-0.16258683663969065</x:v>
      </x:c>
      <x:c r="L1472" s="36" t="n">
        <x:f>IF(Assumptions!$B$4=2030,I1472,IF(Assumptions!$B$4=2035,J1472,K1472))</x:f>
        <x:v>-0.08817589343264343</x:v>
      </x:c>
      <x:c r="M1472" s="36" t="n">
        <x:f>Assumptions!$B$19</x:f>
        <x:v>-0.04739891965741583</x:v>
      </x:c>
      <x:c r="N1472" s="52" t="n">
        <x:f>H1472*L1472+(1-H1472)*M1472+O1472</x:f>
        <x:v>-0.08205934736635928</x:v>
      </x:c>
      <x:c r="O1472" s="36" t="n">
        <x:f>Assumptions!$B$10</x:f>
        <x:v>0</x:v>
      </x:c>
      <x:c r="P1472" s="54" t="n">
        <x:f>E1472*(1+N1472)</x:f>
        <x:v>2164.5040589101245</x:v>
      </x:c>
      <x:c r="Q1472" s="54" t="n">
        <x:f>P1472-E1472</x:f>
        <x:v>-193.4959410898755</x:v>
      </x:c>
      <x:c r="R1472" s="16" t="str">
        <x:v>Yes</x:v>
      </x:c>
      <x:c r="S1472" s="56" t="n">
        <x:v>18852</x:v>
      </x:c>
      <x:c r="T1472" s="56" t="n">
        <x:v>10090</x:v>
      </x:c>
      <x:c r="U1472" s="40" t="n">
        <x:f>E1472*Assumptions!$B$8</x:f>
        <x:v>2004.3</x:v>
      </x:c>
      <x:c r="V1472" s="40" t="n">
        <x:f>P1472*Assumptions!$B$8</x:f>
        <x:v>1839.8284500736058</x:v>
      </x:c>
      <x:c r="W1472" s="54" t="n">
        <x:f>V1472-U1472</x:f>
        <x:v>-164.47154992639412</x:v>
      </x:c>
      <x:c r="X1472" s="58" t="n">
        <x:f>IF(R1472="No","",W1472*S1472)</x:f>
        <x:v>-3100617.659212382</x:v>
      </x:c>
      <x:c r="Y1472" s="58" t="n">
        <x:f>IF(R1472="No","",W1472*T1472*Assumptions!$B$9)</x:f>
        <x:v>-497855.381627195</x:v>
      </x:c>
      <x:c r="Z1472" s="58" t="n">
        <x:f>IF(R1472="No","",X1472-Y1472)</x:f>
        <x:v>-2602762.277585187</x:v>
      </x:c>
      <x:c r="AA1472" s="58" t="n">
        <x:f>IF(R1472="No","",MAX(0,-Z1472))</x:f>
        <x:v>2602762.277585187</x:v>
      </x:c>
      <x:c r="AB1472" s="52" t="n">
        <x:f>IF(OR(R1472="No",U1472*S1472=0),"",AA1472/(U1472*S1472))</x:f>
        <x:v>0.06888336367879468</x:v>
      </x:c>
      <x:c r="AC1472" s="54" t="n">
        <x:f>IF(OR(R1472="No",S1472-T1472*Assumptions!$B$9&lt;=0),"",AA1472/(Assumptions!$B$8*(S1472-T1472*Assumptions!$B$9)))</x:f>
        <x:v>193.49594108987543</x:v>
      </x:c>
      <x:c r="AD1472" s="52" t="n">
        <x:f>IF(OR(R1472="No",U1472*S1472=0),"",AA1472/(U1472*S1472))</x:f>
        <x:v>0.06888336367879468</x:v>
      </x:c>
      <x:c r="AE1472" s="50" t="str">
        <x:f>IF(R1472="No","No finance data",IF(AB1472&gt;=10%,"Severe",IF(AB1472&gt;=5%,"High",IF(AB1472&gt;=2%,"Moderate","Low"))))</x:f>
        <x:v>High</x:v>
      </x:c>
      <x:c r="AF1472" s="60" t="n">
        <x:v>41.244199</x:v>
      </x:c>
      <x:c r="AG1472" s="60" t="n">
        <x:v>-75.890262</x:v>
      </x:c>
      <x:c r="AH1472" s="44" t="str">
        <x:v>Undergraduate tuition-contribution proxy only; not an audited total institutional budget.</x:v>
      </x:c>
    </x:row>
    <x:row r="1473">
      <x:c r="A1473" s="16" t="n">
        <x:v>217013</x:v>
      </x:c>
      <x:c r="B1473" s="16" t="str">
        <x:v>Wilson College</x:v>
      </x:c>
      <x:c r="C1473" s="16" t="str">
        <x:v>PA</x:v>
      </x:c>
      <x:c r="D1473" s="16" t="str">
        <x:v>Private nonprofit</x:v>
      </x:c>
      <x:c r="E1473" s="34" t="n">
        <x:v>563</x:v>
      </x:c>
      <x:c r="F1473" s="21" t="n">
        <x:v>0.9287</x:v>
      </x:c>
      <x:c r="G1473" s="16" t="str">
        <x:v>Regional</x:v>
      </x:c>
      <x:c r="H1473" s="36" t="n">
        <x:f>IF(G1473="National",Assumptions!$B$11,IF(G1473="Statewide",Assumptions!$B$12,Assumptions!$B$13))</x:f>
        <x:v>0.85</x:v>
      </x:c>
      <x:c r="I1473" s="21" t="n">
        <x:v>-0.07201174532693544</x:v>
      </x:c>
      <x:c r="J1473" s="21" t="n">
        <x:v>-0.08817589343264343</x:v>
      </x:c>
      <x:c r="K1473" s="21" t="n">
        <x:v>-0.16258683663969065</x:v>
      </x:c>
      <x:c r="L1473" s="36" t="n">
        <x:f>IF(Assumptions!$B$4=2030,I1473,IF(Assumptions!$B$4=2035,J1473,K1473))</x:f>
        <x:v>-0.08817589343264343</x:v>
      </x:c>
      <x:c r="M1473" s="36" t="n">
        <x:f>Assumptions!$B$19</x:f>
        <x:v>-0.04739891965741583</x:v>
      </x:c>
      <x:c r="N1473" s="52" t="n">
        <x:f>H1473*L1473+(1-H1473)*M1473+O1473</x:f>
        <x:v>-0.08205934736635928</x:v>
      </x:c>
      <x:c r="O1473" s="36" t="n">
        <x:f>Assumptions!$B$10</x:f>
        <x:v>0</x:v>
      </x:c>
      <x:c r="P1473" s="54" t="n">
        <x:f>E1473*(1+N1473)</x:f>
        <x:v>516.8005874327397</x:v>
      </x:c>
      <x:c r="Q1473" s="54" t="n">
        <x:f>P1473-E1473</x:f>
        <x:v>-46.19941256726031</x:v>
      </x:c>
      <x:c r="R1473" s="16" t="str">
        <x:v>Yes</x:v>
      </x:c>
      <x:c r="S1473" s="56" t="n">
        <x:v>12040</x:v>
      </x:c>
      <x:c r="T1473" s="56" t="n">
        <x:v>5504</x:v>
      </x:c>
      <x:c r="U1473" s="40" t="n">
        <x:f>E1473*Assumptions!$B$8</x:f>
        <x:v>478.55</x:v>
      </x:c>
      <x:c r="V1473" s="40" t="n">
        <x:f>P1473*Assumptions!$B$8</x:f>
        <x:v>439.28049931782874</x:v>
      </x:c>
      <x:c r="W1473" s="54" t="n">
        <x:f>V1473-U1473</x:f>
        <x:v>-39.26950068217127</x:v>
      </x:c>
      <x:c r="X1473" s="58" t="n">
        <x:f>IF(R1473="No","",W1473*S1473)</x:f>
        <x:v>-472804.7882133421</x:v>
      </x:c>
      <x:c r="Y1473" s="58" t="n">
        <x:f>IF(R1473="No","",W1473*T1473*Assumptions!$B$9)</x:f>
        <x:v>-64841.79952640119</x:v>
      </x:c>
      <x:c r="Z1473" s="58" t="n">
        <x:f>IF(R1473="No","",X1473-Y1473)</x:f>
        <x:v>-407962.98868694087</x:v>
      </x:c>
      <x:c r="AA1473" s="58" t="n">
        <x:f>IF(R1473="No","",MAX(0,-Z1473))</x:f>
        <x:v>407962.98868694087</x:v>
      </x:c>
      <x:c r="AB1473" s="52" t="n">
        <x:f>IF(OR(R1473="No",U1473*S1473=0),"",AA1473/(U1473*S1473))</x:f>
        <x:v>0.07080549401325864</x:v>
      </x:c>
      <x:c r="AC1473" s="54" t="n">
        <x:f>IF(OR(R1473="No",S1473-T1473*Assumptions!$B$9&lt;=0),"",AA1473/(Assumptions!$B$8*(S1473-T1473*Assumptions!$B$9)))</x:f>
        <x:v>46.19941256726032</x:v>
      </x:c>
      <x:c r="AD1473" s="52" t="n">
        <x:f>IF(OR(R1473="No",U1473*S1473=0),"",AA1473/(U1473*S1473))</x:f>
        <x:v>0.07080549401325864</x:v>
      </x:c>
      <x:c r="AE1473" s="50" t="str">
        <x:f>IF(R1473="No","No finance data",IF(AB1473&gt;=10%,"Severe",IF(AB1473&gt;=5%,"High",IF(AB1473&gt;=2%,"Moderate","Low"))))</x:f>
        <x:v>High</x:v>
      </x:c>
      <x:c r="AF1473" s="60" t="n">
        <x:v>39.949659</x:v>
      </x:c>
      <x:c r="AG1473" s="60" t="n">
        <x:v>-77.650712</x:v>
      </x:c>
      <x:c r="AH1473" s="44" t="str">
        <x:v>Undergraduate tuition-contribution proxy only; not an audited total institutional budget.</x:v>
      </x:c>
    </x:row>
    <x:row r="1474">
      <x:c r="A1474" s="16" t="n">
        <x:v>217040</x:v>
      </x:c>
      <x:c r="B1474" s="16" t="str">
        <x:v>Yeshivath Beth Moshe</x:v>
      </x:c>
      <x:c r="C1474" s="16" t="str">
        <x:v>PA</x:v>
      </x:c>
      <x:c r="D1474" s="16" t="str">
        <x:v>Private nonprofit</x:v>
      </x:c>
      <x:c r="E1474" s="34" t="n">
        <x:v>56</x:v>
      </x:c>
      <x:c r="F1474" s="21"/>
      <x:c r="G1474" s="16" t="str">
        <x:v>Regional</x:v>
      </x:c>
      <x:c r="H1474" s="36" t="n">
        <x:f>IF(G1474="National",Assumptions!$B$11,IF(G1474="Statewide",Assumptions!$B$12,Assumptions!$B$13))</x:f>
        <x:v>0.85</x:v>
      </x:c>
      <x:c r="I1474" s="21" t="n">
        <x:v>-0.07201174532693544</x:v>
      </x:c>
      <x:c r="J1474" s="21" t="n">
        <x:v>-0.08817589343264343</x:v>
      </x:c>
      <x:c r="K1474" s="21" t="n">
        <x:v>-0.16258683663969065</x:v>
      </x:c>
      <x:c r="L1474" s="36" t="n">
        <x:f>IF(Assumptions!$B$4=2030,I1474,IF(Assumptions!$B$4=2035,J1474,K1474))</x:f>
        <x:v>-0.08817589343264343</x:v>
      </x:c>
      <x:c r="M1474" s="36" t="n">
        <x:f>Assumptions!$B$19</x:f>
        <x:v>-0.04739891965741583</x:v>
      </x:c>
      <x:c r="N1474" s="52" t="n">
        <x:f>H1474*L1474+(1-H1474)*M1474+O1474</x:f>
        <x:v>-0.08205934736635928</x:v>
      </x:c>
      <x:c r="O1474" s="36" t="n">
        <x:f>Assumptions!$B$10</x:f>
        <x:v>0</x:v>
      </x:c>
      <x:c r="P1474" s="54" t="n">
        <x:f>E1474*(1+N1474)</x:f>
        <x:v>51.404676547483874</x:v>
      </x:c>
      <x:c r="Q1474" s="54" t="n">
        <x:f>P1474-E1474</x:f>
        <x:v>-4.595323452516126</x:v>
      </x:c>
      <x:c r="R1474" s="16" t="str">
        <x:v>No</x:v>
      </x:c>
      <x:c r="S1474" s="56"/>
      <x:c r="T1474" s="56"/>
      <x:c r="U1474" s="40" t="n">
        <x:f>E1474*Assumptions!$B$8</x:f>
        <x:v>47.6</x:v>
      </x:c>
      <x:c r="V1474" s="40" t="n">
        <x:f>P1474*Assumptions!$B$8</x:f>
        <x:v>43.69397506536129</x:v>
      </x:c>
      <x:c r="W1474" s="54" t="n">
        <x:f>V1474-U1474</x:f>
        <x:v>-3.906024934638708</x:v>
      </x:c>
      <x:c r="X1474" s="58" t="str">
        <x:f>IF(R1474="No","",W1474*S1474)</x:f>
      </x:c>
      <x:c r="Y1474" s="58" t="str">
        <x:f>IF(R1474="No","",W1474*T1474*Assumptions!$B$9)</x:f>
      </x:c>
      <x:c r="Z1474" s="58" t="str">
        <x:f>IF(R1474="No","",X1474-Y1474)</x:f>
      </x:c>
      <x:c r="AA1474" s="58" t="str">
        <x:f>IF(R1474="No","",MAX(0,-Z1474))</x:f>
      </x:c>
      <x:c r="AB1474" s="52" t="str">
        <x:f>IF(OR(R1474="No",U1474*S1474=0),"",AA1474/(U1474*S1474))</x:f>
      </x:c>
      <x:c r="AC1474" s="54" t="str">
        <x:f>IF(OR(R1474="No",S1474-T1474*Assumptions!$B$9&lt;=0),"",AA1474/(Assumptions!$B$8*(S1474-T1474*Assumptions!$B$9)))</x:f>
      </x:c>
      <x:c r="AD1474" s="52" t="str">
        <x:f>IF(OR(R1474="No",U1474*S1474=0),"",AA1474/(U1474*S1474))</x:f>
      </x:c>
      <x:c r="AE1474" s="50" t="str">
        <x:f>IF(R1474="No","No finance data",IF(AB1474&gt;=10%,"Severe",IF(AB1474&gt;=5%,"High",IF(AB1474&gt;=2%,"Moderate","Low"))))</x:f>
        <x:v>No finance data</x:v>
      </x:c>
      <x:c r="AF1474" s="60"/>
      <x:c r="AG1474" s="60"/>
      <x:c r="AH1474" s="44" t="str">
        <x:v>Undergraduate tuition-contribution proxy only; not an audited total institutional budget.</x:v>
      </x:c>
    </x:row>
    <x:row r="1475">
      <x:c r="A1475" s="16" t="n">
        <x:v>217059</x:v>
      </x:c>
      <x:c r="B1475" s="16" t="str">
        <x:v>York College Pennsylvania</x:v>
      </x:c>
      <x:c r="C1475" s="16" t="str">
        <x:v>PA</x:v>
      </x:c>
      <x:c r="D1475" s="16" t="str">
        <x:v>Private nonprofit</x:v>
      </x:c>
      <x:c r="E1475" s="34" t="n">
        <x:v>4421</x:v>
      </x:c>
      <x:c r="F1475" s="21" t="n">
        <x:v>0.7769</x:v>
      </x:c>
      <x:c r="G1475" s="16" t="str">
        <x:v>Regional</x:v>
      </x:c>
      <x:c r="H1475" s="36" t="n">
        <x:f>IF(G1475="National",Assumptions!$B$11,IF(G1475="Statewide",Assumptions!$B$12,Assumptions!$B$13))</x:f>
        <x:v>0.85</x:v>
      </x:c>
      <x:c r="I1475" s="21" t="n">
        <x:v>-0.07201174532693544</x:v>
      </x:c>
      <x:c r="J1475" s="21" t="n">
        <x:v>-0.08817589343264343</x:v>
      </x:c>
      <x:c r="K1475" s="21" t="n">
        <x:v>-0.16258683663969065</x:v>
      </x:c>
      <x:c r="L1475" s="36" t="n">
        <x:f>IF(Assumptions!$B$4=2030,I1475,IF(Assumptions!$B$4=2035,J1475,K1475))</x:f>
        <x:v>-0.08817589343264343</x:v>
      </x:c>
      <x:c r="M1475" s="36" t="n">
        <x:f>Assumptions!$B$19</x:f>
        <x:v>-0.04739891965741583</x:v>
      </x:c>
      <x:c r="N1475" s="52" t="n">
        <x:f>H1475*L1475+(1-H1475)*M1475+O1475</x:f>
        <x:v>-0.08205934736635928</x:v>
      </x:c>
      <x:c r="O1475" s="36" t="n">
        <x:f>Assumptions!$B$10</x:f>
        <x:v>0</x:v>
      </x:c>
      <x:c r="P1475" s="54" t="n">
        <x:f>E1475*(1+N1475)</x:f>
        <x:v>4058.2156252933255</x:v>
      </x:c>
      <x:c r="Q1475" s="54" t="n">
        <x:f>P1475-E1475</x:f>
        <x:v>-362.7843747066745</x:v>
      </x:c>
      <x:c r="R1475" s="16" t="str">
        <x:v>Yes</x:v>
      </x:c>
      <x:c r="S1475" s="56" t="n">
        <x:v>15682</x:v>
      </x:c>
      <x:c r="T1475" s="56" t="n">
        <x:v>10078</x:v>
      </x:c>
      <x:c r="U1475" s="40" t="n">
        <x:f>E1475*Assumptions!$B$8</x:f>
        <x:v>3757.85</x:v>
      </x:c>
      <x:c r="V1475" s="40" t="n">
        <x:f>P1475*Assumptions!$B$8</x:f>
        <x:v>3449.4832814993265</x:v>
      </x:c>
      <x:c r="W1475" s="54" t="n">
        <x:f>V1475-U1475</x:f>
        <x:v>-308.3667185006734</x:v>
      </x:c>
      <x:c r="X1475" s="58" t="n">
        <x:f>IF(R1475="No","",W1475*S1475)</x:f>
        <x:v>-4835806.87952756</x:v>
      </x:c>
      <x:c r="Y1475" s="58" t="n">
        <x:f>IF(R1475="No","",W1475*T1475*Assumptions!$B$9)</x:f>
        <x:v>-932315.9367149359</x:v>
      </x:c>
      <x:c r="Z1475" s="58" t="n">
        <x:f>IF(R1475="No","",X1475-Y1475)</x:f>
        <x:v>-3903490.9428126244</x:v>
      </x:c>
      <x:c r="AA1475" s="58" t="n">
        <x:f>IF(R1475="No","",MAX(0,-Z1475))</x:f>
        <x:v>3903490.9428126244</x:v>
      </x:c>
      <x:c r="AB1475" s="52" t="n">
        <x:f>IF(OR(R1475="No",U1475*S1475=0),"",AA1475/(U1475*S1475))</x:f>
        <x:v>0.06623877404487924</x:v>
      </x:c>
      <x:c r="AC1475" s="54" t="n">
        <x:f>IF(OR(R1475="No",S1475-T1475*Assumptions!$B$9&lt;=0),"",AA1475/(Assumptions!$B$8*(S1475-T1475*Assumptions!$B$9)))</x:f>
        <x:v>362.7843747066746</x:v>
      </x:c>
      <x:c r="AD1475" s="52" t="n">
        <x:f>IF(OR(R1475="No",U1475*S1475=0),"",AA1475/(U1475*S1475))</x:f>
        <x:v>0.06623877404487924</x:v>
      </x:c>
      <x:c r="AE1475" s="50" t="str">
        <x:f>IF(R1475="No","No finance data",IF(AB1475&gt;=10%,"Severe",IF(AB1475&gt;=5%,"High",IF(AB1475&gt;=2%,"Moderate","Low"))))</x:f>
        <x:v>High</x:v>
      </x:c>
      <x:c r="AF1475" s="60" t="n">
        <x:v>39.94614</x:v>
      </x:c>
      <x:c r="AG1475" s="60" t="n">
        <x:v>-76.727984</x:v>
      </x:c>
      <x:c r="AH1475" s="44" t="str">
        <x:v>Undergraduate tuition-contribution proxy only; not an audited total institutional budget.</x:v>
      </x:c>
    </x:row>
    <x:row r="1476">
      <x:c r="A1476" s="16" t="n">
        <x:v>241100</x:v>
      </x:c>
      <x:c r="B1476" s="16" t="str">
        <x:v>American University of Puerto Rico</x:v>
      </x:c>
      <x:c r="C1476" s="16" t="str">
        <x:v>PR</x:v>
      </x:c>
      <x:c r="D1476" s="16" t="str">
        <x:v>Private nonprofit</x:v>
      </x:c>
      <x:c r="E1476" s="34" t="n">
        <x:v>651</x:v>
      </x:c>
      <x:c r="F1476" s="21"/>
      <x:c r="G1476" s="16" t="str">
        <x:v>Regional</x:v>
      </x:c>
      <x:c r="H1476" s="36" t="n">
        <x:f>IF(G1476="National",Assumptions!$B$11,IF(G1476="Statewide",Assumptions!$B$12,Assumptions!$B$13))</x:f>
        <x:v>0.85</x:v>
      </x:c>
      <x:c r="I1476" s="21" t="n">
        <x:v>-0.048361979489554896</x:v>
      </x:c>
      <x:c r="J1476" s="21" t="n">
        <x:v>-0.04739891965741583</x:v>
      </x:c>
      <x:c r="K1476" s="21" t="n">
        <x:v>-0.11013505452010375</x:v>
      </x:c>
      <x:c r="L1476" s="36" t="n">
        <x:f>IF(Assumptions!$B$4=2030,I1476,IF(Assumptions!$B$4=2035,J1476,K1476))</x:f>
        <x:v>-0.04739891965741583</x:v>
      </x:c>
      <x:c r="M1476" s="36" t="n">
        <x:f>Assumptions!$B$19</x:f>
        <x:v>-0.04739891965741583</x:v>
      </x:c>
      <x:c r="N1476" s="52" t="n">
        <x:f>H1476*L1476+(1-H1476)*M1476+O1476</x:f>
        <x:v>-0.04739891965741583</x:v>
      </x:c>
      <x:c r="O1476" s="36" t="n">
        <x:f>Assumptions!$B$10</x:f>
        <x:v>0</x:v>
      </x:c>
      <x:c r="P1476" s="54" t="n">
        <x:f>E1476*(1+N1476)</x:f>
        <x:v>620.1433033030223</x:v>
      </x:c>
      <x:c r="Q1476" s="54" t="n">
        <x:f>P1476-E1476</x:f>
        <x:v>-30.85669669697768</x:v>
      </x:c>
      <x:c r="R1476" s="16" t="str">
        <x:v>No</x:v>
      </x:c>
      <x:c r="S1476" s="56"/>
      <x:c r="T1476" s="56"/>
      <x:c r="U1476" s="40" t="n">
        <x:f>E1476*Assumptions!$B$8</x:f>
        <x:v>553.35</x:v>
      </x:c>
      <x:c r="V1476" s="40" t="n">
        <x:f>P1476*Assumptions!$B$8</x:f>
        <x:v>527.121807807569</x:v>
      </x:c>
      <x:c r="W1476" s="54" t="n">
        <x:f>V1476-U1476</x:f>
        <x:v>-26.228192192431038</x:v>
      </x:c>
      <x:c r="X1476" s="58" t="str">
        <x:f>IF(R1476="No","",W1476*S1476)</x:f>
      </x:c>
      <x:c r="Y1476" s="58" t="str">
        <x:f>IF(R1476="No","",W1476*T1476*Assumptions!$B$9)</x:f>
      </x:c>
      <x:c r="Z1476" s="58" t="str">
        <x:f>IF(R1476="No","",X1476-Y1476)</x:f>
      </x:c>
      <x:c r="AA1476" s="58" t="str">
        <x:f>IF(R1476="No","",MAX(0,-Z1476))</x:f>
      </x:c>
      <x:c r="AB1476" s="52" t="str">
        <x:f>IF(OR(R1476="No",U1476*S1476=0),"",AA1476/(U1476*S1476))</x:f>
      </x:c>
      <x:c r="AC1476" s="54" t="str">
        <x:f>IF(OR(R1476="No",S1476-T1476*Assumptions!$B$9&lt;=0),"",AA1476/(Assumptions!$B$8*(S1476-T1476*Assumptions!$B$9)))</x:f>
      </x:c>
      <x:c r="AD1476" s="52" t="str">
        <x:f>IF(OR(R1476="No",U1476*S1476=0),"",AA1476/(U1476*S1476))</x:f>
      </x:c>
      <x:c r="AE1476" s="50" t="str">
        <x:f>IF(R1476="No","No finance data",IF(AB1476&gt;=10%,"Severe",IF(AB1476&gt;=5%,"High",IF(AB1476&gt;=2%,"Moderate","Low"))))</x:f>
        <x:v>No finance data</x:v>
      </x:c>
      <x:c r="AF1476" s="60"/>
      <x:c r="AG1476" s="60"/>
      <x:c r="AH1476" s="44" t="str">
        <x:v>Undergraduate tuition-contribution proxy only; not an audited total institutional budget.</x:v>
      </x:c>
    </x:row>
    <x:row r="1477">
      <x:c r="A1477" s="16" t="n">
        <x:v>241128</x:v>
      </x:c>
      <x:c r="B1477" s="16" t="str">
        <x:v>American University of Puerto Rico</x:v>
      </x:c>
      <x:c r="C1477" s="16" t="str">
        <x:v>PR</x:v>
      </x:c>
      <x:c r="D1477" s="16" t="str">
        <x:v>Private nonprofit</x:v>
      </x:c>
      <x:c r="E1477" s="34" t="n">
        <x:v>861</x:v>
      </x:c>
      <x:c r="F1477" s="21"/>
      <x:c r="G1477" s="16" t="str">
        <x:v>Regional</x:v>
      </x:c>
      <x:c r="H1477" s="36" t="n">
        <x:f>IF(G1477="National",Assumptions!$B$11,IF(G1477="Statewide",Assumptions!$B$12,Assumptions!$B$13))</x:f>
        <x:v>0.85</x:v>
      </x:c>
      <x:c r="I1477" s="21" t="n">
        <x:v>-0.048361979489554896</x:v>
      </x:c>
      <x:c r="J1477" s="21" t="n">
        <x:v>-0.04739891965741583</x:v>
      </x:c>
      <x:c r="K1477" s="21" t="n">
        <x:v>-0.11013505452010375</x:v>
      </x:c>
      <x:c r="L1477" s="36" t="n">
        <x:f>IF(Assumptions!$B$4=2030,I1477,IF(Assumptions!$B$4=2035,J1477,K1477))</x:f>
        <x:v>-0.04739891965741583</x:v>
      </x:c>
      <x:c r="M1477" s="36" t="n">
        <x:f>Assumptions!$B$19</x:f>
        <x:v>-0.04739891965741583</x:v>
      </x:c>
      <x:c r="N1477" s="52" t="n">
        <x:f>H1477*L1477+(1-H1477)*M1477+O1477</x:f>
        <x:v>-0.04739891965741583</x:v>
      </x:c>
      <x:c r="O1477" s="36" t="n">
        <x:f>Assumptions!$B$10</x:f>
        <x:v>0</x:v>
      </x:c>
      <x:c r="P1477" s="54" t="n">
        <x:f>E1477*(1+N1477)</x:f>
        <x:v>820.189530174965</x:v>
      </x:c>
      <x:c r="Q1477" s="54" t="n">
        <x:f>P1477-E1477</x:f>
        <x:v>-40.81046982503506</x:v>
      </x:c>
      <x:c r="R1477" s="16" t="str">
        <x:v>No</x:v>
      </x:c>
      <x:c r="S1477" s="56"/>
      <x:c r="T1477" s="56"/>
      <x:c r="U1477" s="40" t="n">
        <x:f>E1477*Assumptions!$B$8</x:f>
        <x:v>731.85</x:v>
      </x:c>
      <x:c r="V1477" s="40" t="n">
        <x:f>P1477*Assumptions!$B$8</x:f>
        <x:v>697.1611006487202</x:v>
      </x:c>
      <x:c r="W1477" s="54" t="n">
        <x:f>V1477-U1477</x:f>
        <x:v>-34.688899351279815</x:v>
      </x:c>
      <x:c r="X1477" s="58" t="str">
        <x:f>IF(R1477="No","",W1477*S1477)</x:f>
      </x:c>
      <x:c r="Y1477" s="58" t="str">
        <x:f>IF(R1477="No","",W1477*T1477*Assumptions!$B$9)</x:f>
      </x:c>
      <x:c r="Z1477" s="58" t="str">
        <x:f>IF(R1477="No","",X1477-Y1477)</x:f>
      </x:c>
      <x:c r="AA1477" s="58" t="str">
        <x:f>IF(R1477="No","",MAX(0,-Z1477))</x:f>
      </x:c>
      <x:c r="AB1477" s="52" t="str">
        <x:f>IF(OR(R1477="No",U1477*S1477=0),"",AA1477/(U1477*S1477))</x:f>
      </x:c>
      <x:c r="AC1477" s="54" t="str">
        <x:f>IF(OR(R1477="No",S1477-T1477*Assumptions!$B$9&lt;=0),"",AA1477/(Assumptions!$B$8*(S1477-T1477*Assumptions!$B$9)))</x:f>
      </x:c>
      <x:c r="AD1477" s="52" t="str">
        <x:f>IF(OR(R1477="No",U1477*S1477=0),"",AA1477/(U1477*S1477))</x:f>
      </x:c>
      <x:c r="AE1477" s="50" t="str">
        <x:f>IF(R1477="No","No finance data",IF(AB1477&gt;=10%,"Severe",IF(AB1477&gt;=5%,"High",IF(AB1477&gt;=2%,"Moderate","Low"))))</x:f>
        <x:v>No finance data</x:v>
      </x:c>
      <x:c r="AF1477" s="60"/>
      <x:c r="AG1477" s="60"/>
      <x:c r="AH1477" s="44" t="str">
        <x:v>Undergraduate tuition-contribution proxy only; not an audited total institutional budget.</x:v>
      </x:c>
    </x:row>
    <x:row r="1478">
      <x:c r="A1478" s="16" t="n">
        <x:v>241216</x:v>
      </x:c>
      <x:c r="B1478" s="16" t="str">
        <x:v>Atlantic University College</x:v>
      </x:c>
      <x:c r="C1478" s="16" t="str">
        <x:v>PR</x:v>
      </x:c>
      <x:c r="D1478" s="16" t="str">
        <x:v>Private nonprofit</x:v>
      </x:c>
      <x:c r="E1478" s="34" t="n">
        <x:v>1459</x:v>
      </x:c>
      <x:c r="F1478" s="21"/>
      <x:c r="G1478" s="16" t="str">
        <x:v>Regional</x:v>
      </x:c>
      <x:c r="H1478" s="36" t="n">
        <x:f>IF(G1478="National",Assumptions!$B$11,IF(G1478="Statewide",Assumptions!$B$12,Assumptions!$B$13))</x:f>
        <x:v>0.85</x:v>
      </x:c>
      <x:c r="I1478" s="21" t="n">
        <x:v>-0.048361979489554896</x:v>
      </x:c>
      <x:c r="J1478" s="21" t="n">
        <x:v>-0.04739891965741583</x:v>
      </x:c>
      <x:c r="K1478" s="21" t="n">
        <x:v>-0.11013505452010375</x:v>
      </x:c>
      <x:c r="L1478" s="36" t="n">
        <x:f>IF(Assumptions!$B$4=2030,I1478,IF(Assumptions!$B$4=2035,J1478,K1478))</x:f>
        <x:v>-0.04739891965741583</x:v>
      </x:c>
      <x:c r="M1478" s="36" t="n">
        <x:f>Assumptions!$B$19</x:f>
        <x:v>-0.04739891965741583</x:v>
      </x:c>
      <x:c r="N1478" s="52" t="n">
        <x:f>H1478*L1478+(1-H1478)*M1478+O1478</x:f>
        <x:v>-0.04739891965741583</x:v>
      </x:c>
      <x:c r="O1478" s="36" t="n">
        <x:f>Assumptions!$B$10</x:f>
        <x:v>0</x:v>
      </x:c>
      <x:c r="P1478" s="54" t="n">
        <x:f>E1478*(1+N1478)</x:f>
        <x:v>1389.8449762198304</x:v>
      </x:c>
      <x:c r="Q1478" s="54" t="n">
        <x:f>P1478-E1478</x:f>
        <x:v>-69.15502378016959</x:v>
      </x:c>
      <x:c r="R1478" s="16" t="str">
        <x:v>Yes</x:v>
      </x:c>
      <x:c r="S1478" s="56" t="n">
        <x:v>5820</x:v>
      </x:c>
      <x:c r="T1478" s="56" t="n">
        <x:v>1544</x:v>
      </x:c>
      <x:c r="U1478" s="40" t="n">
        <x:f>E1478*Assumptions!$B$8</x:f>
        <x:v>1240.1499999999999</x:v>
      </x:c>
      <x:c r="V1478" s="40" t="n">
        <x:f>P1478*Assumptions!$B$8</x:f>
        <x:v>1181.3682297868559</x:v>
      </x:c>
      <x:c r="W1478" s="54" t="n">
        <x:f>V1478-U1478</x:f>
        <x:v>-58.781770213144</x:v>
      </x:c>
      <x:c r="X1478" s="58" t="n">
        <x:f>IF(R1478="No","",W1478*S1478)</x:f>
        <x:v>-342109.90264049807</x:v>
      </x:c>
      <x:c r="Y1478" s="58" t="n">
        <x:f>IF(R1478="No","",W1478*T1478*Assumptions!$B$9)</x:f>
        <x:v>-27227.7159627283</x:v>
      </x:c>
      <x:c r="Z1478" s="58" t="n">
        <x:f>IF(R1478="No","",X1478-Y1478)</x:f>
        <x:v>-314882.18667776976</x:v>
      </x:c>
      <x:c r="AA1478" s="58" t="n">
        <x:f>IF(R1478="No","",MAX(0,-Z1478))</x:f>
        <x:v>314882.18667776976</x:v>
      </x:c>
      <x:c r="AB1478" s="52" t="n">
        <x:f>IF(OR(R1478="No",U1478*S1478=0),"",AA1478/(U1478*S1478))</x:f>
        <x:v>0.043626552031072866</x:v>
      </x:c>
      <x:c r="AC1478" s="54" t="n">
        <x:f>IF(OR(R1478="No",S1478-T1478*Assumptions!$B$9&lt;=0),"",AA1478/(Assumptions!$B$8*(S1478-T1478*Assumptions!$B$9)))</x:f>
        <x:v>69.15502378016942</x:v>
      </x:c>
      <x:c r="AD1478" s="52" t="n">
        <x:f>IF(OR(R1478="No",U1478*S1478=0),"",AA1478/(U1478*S1478))</x:f>
        <x:v>0.043626552031072866</x:v>
      </x:c>
      <x:c r="AE1478" s="50" t="str">
        <x:f>IF(R1478="No","No finance data",IF(AB1478&gt;=10%,"Severe",IF(AB1478&gt;=5%,"High",IF(AB1478&gt;=2%,"Moderate","Low"))))</x:f>
        <x:v>Moderate</x:v>
      </x:c>
      <x:c r="AF1478" s="60" t="n">
        <x:v>18.357395</x:v>
      </x:c>
      <x:c r="AG1478" s="60" t="n">
        <x:v>-66.111714</x:v>
      </x:c>
      <x:c r="AH1478" s="44" t="str">
        <x:v>Undergraduate tuition-contribution proxy only; not an audited total institutional budget.</x:v>
      </x:c>
    </x:row>
    <x:row r="1479">
      <x:c r="A1479" s="16" t="n">
        <x:v>241377</x:v>
      </x:c>
      <x:c r="B1479" s="16" t="str">
        <x:v>Caribbean University-Bayamon</x:v>
      </x:c>
      <x:c r="C1479" s="16" t="str">
        <x:v>PR</x:v>
      </x:c>
      <x:c r="D1479" s="16" t="str">
        <x:v>Private nonprofit</x:v>
      </x:c>
      <x:c r="E1479" s="34" t="n">
        <x:v>1589</x:v>
      </x:c>
      <x:c r="F1479" s="21"/>
      <x:c r="G1479" s="16" t="str">
        <x:v>Regional</x:v>
      </x:c>
      <x:c r="H1479" s="36" t="n">
        <x:f>IF(G1479="National",Assumptions!$B$11,IF(G1479="Statewide",Assumptions!$B$12,Assumptions!$B$13))</x:f>
        <x:v>0.85</x:v>
      </x:c>
      <x:c r="I1479" s="21" t="n">
        <x:v>-0.048361979489554896</x:v>
      </x:c>
      <x:c r="J1479" s="21" t="n">
        <x:v>-0.04739891965741583</x:v>
      </x:c>
      <x:c r="K1479" s="21" t="n">
        <x:v>-0.11013505452010375</x:v>
      </x:c>
      <x:c r="L1479" s="36" t="n">
        <x:f>IF(Assumptions!$B$4=2030,I1479,IF(Assumptions!$B$4=2035,J1479,K1479))</x:f>
        <x:v>-0.04739891965741583</x:v>
      </x:c>
      <x:c r="M1479" s="36" t="n">
        <x:f>Assumptions!$B$19</x:f>
        <x:v>-0.04739891965741583</x:v>
      </x:c>
      <x:c r="N1479" s="52" t="n">
        <x:f>H1479*L1479+(1-H1479)*M1479+O1479</x:f>
        <x:v>-0.04739891965741583</x:v>
      </x:c>
      <x:c r="O1479" s="36" t="n">
        <x:f>Assumptions!$B$10</x:f>
        <x:v>0</x:v>
      </x:c>
      <x:c r="P1479" s="54" t="n">
        <x:f>E1479*(1+N1479)</x:f>
        <x:v>1513.6831166643663</x:v>
      </x:c>
      <x:c r="Q1479" s="54" t="n">
        <x:f>P1479-E1479</x:f>
        <x:v>-75.31688333563375</x:v>
      </x:c>
      <x:c r="R1479" s="16" t="str">
        <x:v>Yes</x:v>
      </x:c>
      <x:c r="S1479" s="56" t="n">
        <x:v>11834</x:v>
      </x:c>
      <x:c r="T1479" s="56" t="n">
        <x:v>6120</x:v>
      </x:c>
      <x:c r="U1479" s="40" t="n">
        <x:f>E1479*Assumptions!$B$8</x:f>
        <x:v>1350.6499999999999</x:v>
      </x:c>
      <x:c r="V1479" s="40" t="n">
        <x:f>P1479*Assumptions!$B$8</x:f>
        <x:v>1286.6306491647113</x:v>
      </x:c>
      <x:c r="W1479" s="54" t="n">
        <x:f>V1479-U1479</x:f>
        <x:v>-64.0193508352886</x:v>
      </x:c>
      <x:c r="X1479" s="58" t="n">
        <x:f>IF(R1479="No","",W1479*S1479)</x:f>
        <x:v>-757604.9977848054</x:v>
      </x:c>
      <x:c r="Y1479" s="58" t="n">
        <x:f>IF(R1479="No","",W1479*T1479*Assumptions!$B$9)</x:f>
        <x:v>-117539.52813358988</x:v>
      </x:c>
      <x:c r="Z1479" s="58" t="n">
        <x:f>IF(R1479="No","",X1479-Y1479)</x:f>
        <x:v>-640065.4696512155</x:v>
      </x:c>
      <x:c r="AA1479" s="58" t="n">
        <x:f>IF(R1479="No","",MAX(0,-Z1479))</x:f>
        <x:v>640065.4696512155</x:v>
      </x:c>
      <x:c r="AB1479" s="52" t="n">
        <x:f>IF(OR(R1479="No",U1479*S1479=0),"",AA1479/(U1479*S1479))</x:f>
        <x:v>0.04004515791235786</x:v>
      </x:c>
      <x:c r="AC1479" s="54" t="n">
        <x:f>IF(OR(R1479="No",S1479-T1479*Assumptions!$B$9&lt;=0),"",AA1479/(Assumptions!$B$8*(S1479-T1479*Assumptions!$B$9)))</x:f>
        <x:v>75.31688333563366</x:v>
      </x:c>
      <x:c r="AD1479" s="52" t="n">
        <x:f>IF(OR(R1479="No",U1479*S1479=0),"",AA1479/(U1479*S1479))</x:f>
        <x:v>0.04004515791235786</x:v>
      </x:c>
      <x:c r="AE1479" s="50" t="str">
        <x:f>IF(R1479="No","No finance data",IF(AB1479&gt;=10%,"Severe",IF(AB1479&gt;=5%,"High",IF(AB1479&gt;=2%,"Moderate","Low"))))</x:f>
        <x:v>Moderate</x:v>
      </x:c>
      <x:c r="AF1479" s="60" t="n">
        <x:v>18.383136</x:v>
      </x:c>
      <x:c r="AG1479" s="60" t="n">
        <x:v>-66.168315</x:v>
      </x:c>
      <x:c r="AH1479" s="44" t="str">
        <x:v>Undergraduate tuition-contribution proxy only; not an audited total institutional budget.</x:v>
      </x:c>
    </x:row>
    <x:row r="1480">
      <x:c r="A1480" s="16" t="n">
        <x:v>363907</x:v>
      </x:c>
      <x:c r="B1480" s="16" t="str">
        <x:v>Caribbean University-Ponce</x:v>
      </x:c>
      <x:c r="C1480" s="16" t="str">
        <x:v>PR</x:v>
      </x:c>
      <x:c r="D1480" s="16" t="str">
        <x:v>Private nonprofit</x:v>
      </x:c>
      <x:c r="E1480" s="34" t="n">
        <x:v>911</x:v>
      </x:c>
      <x:c r="F1480" s="21"/>
      <x:c r="G1480" s="16" t="str">
        <x:v>Regional</x:v>
      </x:c>
      <x:c r="H1480" s="36" t="n">
        <x:f>IF(G1480="National",Assumptions!$B$11,IF(G1480="Statewide",Assumptions!$B$12,Assumptions!$B$13))</x:f>
        <x:v>0.85</x:v>
      </x:c>
      <x:c r="I1480" s="21" t="n">
        <x:v>-0.048361979489554896</x:v>
      </x:c>
      <x:c r="J1480" s="21" t="n">
        <x:v>-0.04739891965741583</x:v>
      </x:c>
      <x:c r="K1480" s="21" t="n">
        <x:v>-0.11013505452010375</x:v>
      </x:c>
      <x:c r="L1480" s="36" t="n">
        <x:f>IF(Assumptions!$B$4=2030,I1480,IF(Assumptions!$B$4=2035,J1480,K1480))</x:f>
        <x:v>-0.04739891965741583</x:v>
      </x:c>
      <x:c r="M1480" s="36" t="n">
        <x:f>Assumptions!$B$19</x:f>
        <x:v>-0.04739891965741583</x:v>
      </x:c>
      <x:c r="N1480" s="52" t="n">
        <x:f>H1480*L1480+(1-H1480)*M1480+O1480</x:f>
        <x:v>-0.04739891965741583</x:v>
      </x:c>
      <x:c r="O1480" s="36" t="n">
        <x:f>Assumptions!$B$10</x:f>
        <x:v>0</x:v>
      </x:c>
      <x:c r="P1480" s="54" t="n">
        <x:f>E1480*(1+N1480)</x:f>
        <x:v>867.8195841920942</x:v>
      </x:c>
      <x:c r="Q1480" s="54" t="n">
        <x:f>P1480-E1480</x:f>
        <x:v>-43.180415807905774</x:v>
      </x:c>
      <x:c r="R1480" s="16" t="str">
        <x:v>No</x:v>
      </x:c>
      <x:c r="S1480" s="56"/>
      <x:c r="T1480" s="56"/>
      <x:c r="U1480" s="40" t="n">
        <x:f>E1480*Assumptions!$B$8</x:f>
        <x:v>774.35</x:v>
      </x:c>
      <x:c r="V1480" s="40" t="n">
        <x:f>P1480*Assumptions!$B$8</x:f>
        <x:v>737.6466465632801</x:v>
      </x:c>
      <x:c r="W1480" s="54" t="n">
        <x:f>V1480-U1480</x:f>
        <x:v>-36.70335343671991</x:v>
      </x:c>
      <x:c r="X1480" s="58" t="str">
        <x:f>IF(R1480="No","",W1480*S1480)</x:f>
      </x:c>
      <x:c r="Y1480" s="58" t="str">
        <x:f>IF(R1480="No","",W1480*T1480*Assumptions!$B$9)</x:f>
      </x:c>
      <x:c r="Z1480" s="58" t="str">
        <x:f>IF(R1480="No","",X1480-Y1480)</x:f>
      </x:c>
      <x:c r="AA1480" s="58" t="str">
        <x:f>IF(R1480="No","",MAX(0,-Z1480))</x:f>
      </x:c>
      <x:c r="AB1480" s="52" t="str">
        <x:f>IF(OR(R1480="No",U1480*S1480=0),"",AA1480/(U1480*S1480))</x:f>
      </x:c>
      <x:c r="AC1480" s="54" t="str">
        <x:f>IF(OR(R1480="No",S1480-T1480*Assumptions!$B$9&lt;=0),"",AA1480/(Assumptions!$B$8*(S1480-T1480*Assumptions!$B$9)))</x:f>
      </x:c>
      <x:c r="AD1480" s="52" t="str">
        <x:f>IF(OR(R1480="No",U1480*S1480=0),"",AA1480/(U1480*S1480))</x:f>
      </x:c>
      <x:c r="AE1480" s="50" t="str">
        <x:f>IF(R1480="No","No finance data",IF(AB1480&gt;=10%,"Severe",IF(AB1480&gt;=5%,"High",IF(AB1480&gt;=2%,"Moderate","Low"))))</x:f>
        <x:v>No finance data</x:v>
      </x:c>
      <x:c r="AF1480" s="60"/>
      <x:c r="AG1480" s="60"/>
      <x:c r="AH1480" s="44" t="str">
        <x:v>Undergraduate tuition-contribution proxy only; not an audited total institutional budget.</x:v>
      </x:c>
    </x:row>
    <x:row r="1481">
      <x:c r="A1481" s="16" t="n">
        <x:v>241331</x:v>
      </x:c>
      <x:c r="B1481" s="16" t="str">
        <x:v>Carlos Albizu University-San Juan</x:v>
      </x:c>
      <x:c r="C1481" s="16" t="str">
        <x:v>PR</x:v>
      </x:c>
      <x:c r="D1481" s="16" t="str">
        <x:v>Private nonprofit</x:v>
      </x:c>
      <x:c r="E1481" s="34" t="n">
        <x:v>265</x:v>
      </x:c>
      <x:c r="F1481" s="21" t="n">
        <x:v>0.9341</x:v>
      </x:c>
      <x:c r="G1481" s="16" t="str">
        <x:v>Regional</x:v>
      </x:c>
      <x:c r="H1481" s="36" t="n">
        <x:f>IF(G1481="National",Assumptions!$B$11,IF(G1481="Statewide",Assumptions!$B$12,Assumptions!$B$13))</x:f>
        <x:v>0.85</x:v>
      </x:c>
      <x:c r="I1481" s="21" t="n">
        <x:v>-0.048361979489554896</x:v>
      </x:c>
      <x:c r="J1481" s="21" t="n">
        <x:v>-0.04739891965741583</x:v>
      </x:c>
      <x:c r="K1481" s="21" t="n">
        <x:v>-0.11013505452010375</x:v>
      </x:c>
      <x:c r="L1481" s="36" t="n">
        <x:f>IF(Assumptions!$B$4=2030,I1481,IF(Assumptions!$B$4=2035,J1481,K1481))</x:f>
        <x:v>-0.04739891965741583</x:v>
      </x:c>
      <x:c r="M1481" s="36" t="n">
        <x:f>Assumptions!$B$19</x:f>
        <x:v>-0.04739891965741583</x:v>
      </x:c>
      <x:c r="N1481" s="52" t="n">
        <x:f>H1481*L1481+(1-H1481)*M1481+O1481</x:f>
        <x:v>-0.04739891965741583</x:v>
      </x:c>
      <x:c r="O1481" s="36" t="n">
        <x:f>Assumptions!$B$10</x:f>
        <x:v>0</x:v>
      </x:c>
      <x:c r="P1481" s="54" t="n">
        <x:f>E1481*(1+N1481)</x:f>
        <x:v>252.4392862907848</x:v>
      </x:c>
      <x:c r="Q1481" s="54" t="n">
        <x:f>P1481-E1481</x:f>
        <x:v>-12.560713709215207</x:v>
      </x:c>
      <x:c r="R1481" s="16" t="str">
        <x:v>Yes</x:v>
      </x:c>
      <x:c r="S1481" s="56" t="n">
        <x:v>6680</x:v>
      </x:c>
      <x:c r="T1481" s="56" t="n">
        <x:v>2372</x:v>
      </x:c>
      <x:c r="U1481" s="40" t="n">
        <x:f>E1481*Assumptions!$B$8</x:f>
        <x:v>225.25</x:v>
      </x:c>
      <x:c r="V1481" s="40" t="n">
        <x:f>P1481*Assumptions!$B$8</x:f>
        <x:v>214.57339334716707</x:v>
      </x:c>
      <x:c r="W1481" s="54" t="n">
        <x:f>V1481-U1481</x:f>
        <x:v>-10.67660665283293</x:v>
      </x:c>
      <x:c r="X1481" s="58" t="n">
        <x:f>IF(R1481="No","",W1481*S1481)</x:f>
        <x:v>-71319.73244092398</x:v>
      </x:c>
      <x:c r="Y1481" s="58" t="n">
        <x:f>IF(R1481="No","",W1481*T1481*Assumptions!$B$9)</x:f>
        <x:v>-7597.473294155913</x:v>
      </x:c>
      <x:c r="Z1481" s="58" t="n">
        <x:f>IF(R1481="No","",X1481-Y1481)</x:f>
        <x:v>-63722.25914676807</x:v>
      </x:c>
      <x:c r="AA1481" s="58" t="n">
        <x:f>IF(R1481="No","",MAX(0,-Z1481))</x:f>
        <x:v>63722.25914676807</x:v>
      </x:c>
      <x:c r="AB1481" s="52" t="n">
        <x:f>IF(OR(R1481="No",U1481*S1481=0),"",AA1481/(U1481*S1481))</x:f>
        <x:v>0.042349657497503156</x:v>
      </x:c>
      <x:c r="AC1481" s="54" t="n">
        <x:f>IF(OR(R1481="No",S1481-T1481*Assumptions!$B$9&lt;=0),"",AA1481/(Assumptions!$B$8*(S1481-T1481*Assumptions!$B$9)))</x:f>
        <x:v>12.560713709215214</x:v>
      </x:c>
      <x:c r="AD1481" s="52" t="n">
        <x:f>IF(OR(R1481="No",U1481*S1481=0),"",AA1481/(U1481*S1481))</x:f>
        <x:v>0.042349657497503156</x:v>
      </x:c>
      <x:c r="AE1481" s="50" t="str">
        <x:f>IF(R1481="No","No finance data",IF(AB1481&gt;=10%,"Severe",IF(AB1481&gt;=5%,"High",IF(AB1481&gt;=2%,"Moderate","Low"))))</x:f>
        <x:v>Moderate</x:v>
      </x:c>
      <x:c r="AF1481" s="60" t="n">
        <x:v>18.466573</x:v>
      </x:c>
      <x:c r="AG1481" s="60" t="n">
        <x:v>-66.113908</x:v>
      </x:c>
      <x:c r="AH1481" s="44" t="str">
        <x:v>Undergraduate tuition-contribution proxy only; not an audited total institutional budget.</x:v>
      </x:c>
    </x:row>
    <x:row r="1482">
      <x:c r="A1482" s="16" t="n">
        <x:v>241951</x:v>
      </x:c>
      <x:c r="B1482" s="16" t="str">
        <x:v>Escuela de Artes Plasticas y Diseno de Puerto Rico</x:v>
      </x:c>
      <x:c r="C1482" s="16" t="str">
        <x:v>PR</x:v>
      </x:c>
      <x:c r="D1482" s="16" t="str">
        <x:v>Public</x:v>
      </x:c>
      <x:c r="E1482" s="34" t="n">
        <x:v>573</x:v>
      </x:c>
      <x:c r="F1482" s="21"/>
      <x:c r="G1482" s="16" t="str">
        <x:v>Regional</x:v>
      </x:c>
      <x:c r="H1482" s="36" t="n">
        <x:f>IF(G1482="National",Assumptions!$B$11,IF(G1482="Statewide",Assumptions!$B$12,Assumptions!$B$13))</x:f>
        <x:v>0.85</x:v>
      </x:c>
      <x:c r="I1482" s="21" t="n">
        <x:v>-0.048361979489554896</x:v>
      </x:c>
      <x:c r="J1482" s="21" t="n">
        <x:v>-0.04739891965741583</x:v>
      </x:c>
      <x:c r="K1482" s="21" t="n">
        <x:v>-0.11013505452010375</x:v>
      </x:c>
      <x:c r="L1482" s="36" t="n">
        <x:f>IF(Assumptions!$B$4=2030,I1482,IF(Assumptions!$B$4=2035,J1482,K1482))</x:f>
        <x:v>-0.04739891965741583</x:v>
      </x:c>
      <x:c r="M1482" s="36" t="n">
        <x:f>Assumptions!$B$19</x:f>
        <x:v>-0.04739891965741583</x:v>
      </x:c>
      <x:c r="N1482" s="52" t="n">
        <x:f>H1482*L1482+(1-H1482)*M1482+O1482</x:f>
        <x:v>-0.04739891965741583</x:v>
      </x:c>
      <x:c r="O1482" s="36" t="n">
        <x:f>Assumptions!$B$10</x:f>
        <x:v>0</x:v>
      </x:c>
      <x:c r="P1482" s="54" t="n">
        <x:f>E1482*(1+N1482)</x:f>
        <x:v>545.8404190363008</x:v>
      </x:c>
      <x:c r="Q1482" s="54" t="n">
        <x:f>P1482-E1482</x:f>
        <x:v>-27.159580963699227</x:v>
      </x:c>
      <x:c r="R1482" s="16" t="str">
        <x:v>No</x:v>
      </x:c>
      <x:c r="S1482" s="56"/>
      <x:c r="T1482" s="56"/>
      <x:c r="U1482" s="40" t="n">
        <x:f>E1482*Assumptions!$B$8</x:f>
        <x:v>487.05</x:v>
      </x:c>
      <x:c r="V1482" s="40" t="n">
        <x:f>P1482*Assumptions!$B$8</x:f>
        <x:v>463.96435618085565</x:v>
      </x:c>
      <x:c r="W1482" s="54" t="n">
        <x:f>V1482-U1482</x:f>
        <x:v>-23.085643819144366</x:v>
      </x:c>
      <x:c r="X1482" s="58" t="str">
        <x:f>IF(R1482="No","",W1482*S1482)</x:f>
      </x:c>
      <x:c r="Y1482" s="58" t="str">
        <x:f>IF(R1482="No","",W1482*T1482*Assumptions!$B$9)</x:f>
      </x:c>
      <x:c r="Z1482" s="58" t="str">
        <x:f>IF(R1482="No","",X1482-Y1482)</x:f>
      </x:c>
      <x:c r="AA1482" s="58" t="str">
        <x:f>IF(R1482="No","",MAX(0,-Z1482))</x:f>
      </x:c>
      <x:c r="AB1482" s="52" t="str">
        <x:f>IF(OR(R1482="No",U1482*S1482=0),"",AA1482/(U1482*S1482))</x:f>
      </x:c>
      <x:c r="AC1482" s="54" t="str">
        <x:f>IF(OR(R1482="No",S1482-T1482*Assumptions!$B$9&lt;=0),"",AA1482/(Assumptions!$B$8*(S1482-T1482*Assumptions!$B$9)))</x:f>
      </x:c>
      <x:c r="AD1482" s="52" t="str">
        <x:f>IF(OR(R1482="No",U1482*S1482=0),"",AA1482/(U1482*S1482))</x:f>
      </x:c>
      <x:c r="AE1482" s="50" t="str">
        <x:f>IF(R1482="No","No finance data",IF(AB1482&gt;=10%,"Severe",IF(AB1482&gt;=5%,"High",IF(AB1482&gt;=2%,"Moderate","Low"))))</x:f>
        <x:v>No finance data</x:v>
      </x:c>
      <x:c r="AF1482" s="60"/>
      <x:c r="AG1482" s="60"/>
      <x:c r="AH1482" s="44" t="str">
        <x:v>Undergraduate tuition-contribution proxy only; not an audited total institutional budget.</x:v>
      </x:c>
    </x:row>
    <x:row r="1483">
      <x:c r="A1483" s="16" t="n">
        <x:v>242626</x:v>
      </x:c>
      <x:c r="B1483" s="16" t="str">
        <x:v>Inter American University of Puerto Rico-Aguadilla</x:v>
      </x:c>
      <x:c r="C1483" s="16" t="str">
        <x:v>PR</x:v>
      </x:c>
      <x:c r="D1483" s="16" t="str">
        <x:v>Private nonprofit</x:v>
      </x:c>
      <x:c r="E1483" s="34" t="n">
        <x:v>4198</x:v>
      </x:c>
      <x:c r="F1483" s="21" t="n">
        <x:v>0.5688</x:v>
      </x:c>
      <x:c r="G1483" s="16" t="str">
        <x:v>Regional</x:v>
      </x:c>
      <x:c r="H1483" s="36" t="n">
        <x:f>IF(G1483="National",Assumptions!$B$11,IF(G1483="Statewide",Assumptions!$B$12,Assumptions!$B$13))</x:f>
        <x:v>0.85</x:v>
      </x:c>
      <x:c r="I1483" s="21" t="n">
        <x:v>-0.048361979489554896</x:v>
      </x:c>
      <x:c r="J1483" s="21" t="n">
        <x:v>-0.04739891965741583</x:v>
      </x:c>
      <x:c r="K1483" s="21" t="n">
        <x:v>-0.11013505452010375</x:v>
      </x:c>
      <x:c r="L1483" s="36" t="n">
        <x:f>IF(Assumptions!$B$4=2030,I1483,IF(Assumptions!$B$4=2035,J1483,K1483))</x:f>
        <x:v>-0.04739891965741583</x:v>
      </x:c>
      <x:c r="M1483" s="36" t="n">
        <x:f>Assumptions!$B$19</x:f>
        <x:v>-0.04739891965741583</x:v>
      </x:c>
      <x:c r="N1483" s="52" t="n">
        <x:f>H1483*L1483+(1-H1483)*M1483+O1483</x:f>
        <x:v>-0.04739891965741583</x:v>
      </x:c>
      <x:c r="O1483" s="36" t="n">
        <x:f>Assumptions!$B$10</x:f>
        <x:v>0</x:v>
      </x:c>
      <x:c r="P1483" s="54" t="n">
        <x:f>E1483*(1+N1483)</x:f>
        <x:v>3999.0193352781685</x:v>
      </x:c>
      <x:c r="Q1483" s="54" t="n">
        <x:f>P1483-E1483</x:f>
        <x:v>-198.98066472183154</x:v>
      </x:c>
      <x:c r="R1483" s="16" t="str">
        <x:v>Yes</x:v>
      </x:c>
      <x:c r="S1483" s="56" t="n">
        <x:v>4751</x:v>
      </x:c>
      <x:c r="T1483" s="56" t="n">
        <x:v>2941</x:v>
      </x:c>
      <x:c r="U1483" s="40" t="n">
        <x:f>E1483*Assumptions!$B$8</x:f>
        <x:v>3568.2999999999997</x:v>
      </x:c>
      <x:c r="V1483" s="40" t="n">
        <x:f>P1483*Assumptions!$B$8</x:f>
        <x:v>3399.166434986443</x:v>
      </x:c>
      <x:c r="W1483" s="54" t="n">
        <x:f>V1483-U1483</x:f>
        <x:v>-169.13356501355656</x:v>
      </x:c>
      <x:c r="X1483" s="58" t="n">
        <x:f>IF(R1483="No","",W1483*S1483)</x:f>
        <x:v>-803553.5673794072</x:v>
      </x:c>
      <x:c r="Y1483" s="58" t="n">
        <x:f>IF(R1483="No","",W1483*T1483*Assumptions!$B$9)</x:f>
        <x:v>-149226.54441146096</x:v>
      </x:c>
      <x:c r="Z1483" s="58" t="n">
        <x:f>IF(R1483="No","",X1483-Y1483)</x:f>
        <x:v>-654327.0229679462</x:v>
      </x:c>
      <x:c r="AA1483" s="58" t="n">
        <x:f>IF(R1483="No","",MAX(0,-Z1483))</x:f>
        <x:v>654327.0229679462</x:v>
      </x:c>
      <x:c r="AB1483" s="52" t="n">
        <x:f>IF(OR(R1483="No",U1483*S1483=0),"",AA1483/(U1483*S1483))</x:f>
        <x:v>0.03859654819588387</x:v>
      </x:c>
      <x:c r="AC1483" s="54" t="n">
        <x:f>IF(OR(R1483="No",S1483-T1483*Assumptions!$B$9&lt;=0),"",AA1483/(Assumptions!$B$8*(S1483-T1483*Assumptions!$B$9)))</x:f>
        <x:v>198.98066472183123</x:v>
      </x:c>
      <x:c r="AD1483" s="52" t="n">
        <x:f>IF(OR(R1483="No",U1483*S1483=0),"",AA1483/(U1483*S1483))</x:f>
        <x:v>0.03859654819588387</x:v>
      </x:c>
      <x:c r="AE1483" s="50" t="str">
        <x:f>IF(R1483="No","No finance data",IF(AB1483&gt;=10%,"Severe",IF(AB1483&gt;=5%,"High",IF(AB1483&gt;=2%,"Moderate","Low"))))</x:f>
        <x:v>Moderate</x:v>
      </x:c>
      <x:c r="AF1483" s="60" t="n">
        <x:v>18.467886</x:v>
      </x:c>
      <x:c r="AG1483" s="60" t="n">
        <x:v>-67.121671</x:v>
      </x:c>
      <x:c r="AH1483" s="44" t="str">
        <x:v>Undergraduate tuition-contribution proxy only; not an audited total institutional budget.</x:v>
      </x:c>
    </x:row>
    <x:row r="1484">
      <x:c r="A1484" s="16" t="n">
        <x:v>242635</x:v>
      </x:c>
      <x:c r="B1484" s="16" t="str">
        <x:v>Inter American University of Puerto Rico-Arecibo</x:v>
      </x:c>
      <x:c r="C1484" s="16" t="str">
        <x:v>PR</x:v>
      </x:c>
      <x:c r="D1484" s="16" t="str">
        <x:v>Private nonprofit</x:v>
      </x:c>
      <x:c r="E1484" s="34" t="n">
        <x:v>4025</x:v>
      </x:c>
      <x:c r="F1484" s="21" t="n">
        <x:v>0.5287</x:v>
      </x:c>
      <x:c r="G1484" s="16" t="str">
        <x:v>Regional</x:v>
      </x:c>
      <x:c r="H1484" s="36" t="n">
        <x:f>IF(G1484="National",Assumptions!$B$11,IF(G1484="Statewide",Assumptions!$B$12,Assumptions!$B$13))</x:f>
        <x:v>0.85</x:v>
      </x:c>
      <x:c r="I1484" s="21" t="n">
        <x:v>-0.048361979489554896</x:v>
      </x:c>
      <x:c r="J1484" s="21" t="n">
        <x:v>-0.04739891965741583</x:v>
      </x:c>
      <x:c r="K1484" s="21" t="n">
        <x:v>-0.11013505452010375</x:v>
      </x:c>
      <x:c r="L1484" s="36" t="n">
        <x:f>IF(Assumptions!$B$4=2030,I1484,IF(Assumptions!$B$4=2035,J1484,K1484))</x:f>
        <x:v>-0.04739891965741583</x:v>
      </x:c>
      <x:c r="M1484" s="36" t="n">
        <x:f>Assumptions!$B$19</x:f>
        <x:v>-0.04739891965741583</x:v>
      </x:c>
      <x:c r="N1484" s="52" t="n">
        <x:f>H1484*L1484+(1-H1484)*M1484+O1484</x:f>
        <x:v>-0.04739891965741583</x:v>
      </x:c>
      <x:c r="O1484" s="36" t="n">
        <x:f>Assumptions!$B$10</x:f>
        <x:v>0</x:v>
      </x:c>
      <x:c r="P1484" s="54" t="n">
        <x:f>E1484*(1+N1484)</x:f>
        <x:v>3834.2193483789015</x:v>
      </x:c>
      <x:c r="Q1484" s="54" t="n">
        <x:f>P1484-E1484</x:f>
        <x:v>-190.7806516210985</x:v>
      </x:c>
      <x:c r="R1484" s="16" t="str">
        <x:v>Yes</x:v>
      </x:c>
      <x:c r="S1484" s="56" t="n">
        <x:v>4877</x:v>
      </x:c>
      <x:c r="T1484" s="56" t="n">
        <x:v>2910</x:v>
      </x:c>
      <x:c r="U1484" s="40" t="n">
        <x:f>E1484*Assumptions!$B$8</x:f>
        <x:v>3421.25</x:v>
      </x:c>
      <x:c r="V1484" s="40" t="n">
        <x:f>P1484*Assumptions!$B$8</x:f>
        <x:v>3259.0864461220663</x:v>
      </x:c>
      <x:c r="W1484" s="54" t="n">
        <x:f>V1484-U1484</x:f>
        <x:v>-162.16355387793374</x:v>
      </x:c>
      <x:c r="X1484" s="58" t="n">
        <x:f>IF(R1484="No","",W1484*S1484)</x:f>
        <x:v>-790871.6522626828</x:v>
      </x:c>
      <x:c r="Y1484" s="58" t="n">
        <x:f>IF(R1484="No","",W1484*T1484*Assumptions!$B$9)</x:f>
        <x:v>-141568.78253543616</x:v>
      </x:c>
      <x:c r="Z1484" s="58" t="n">
        <x:f>IF(R1484="No","",X1484-Y1484)</x:f>
        <x:v>-649302.8697272467</x:v>
      </x:c>
      <x:c r="AA1484" s="58" t="n">
        <x:f>IF(R1484="No","",MAX(0,-Z1484))</x:f>
        <x:v>649302.8697272467</x:v>
      </x:c>
      <x:c r="AB1484" s="52" t="n">
        <x:f>IF(OR(R1484="No",U1484*S1484=0),"",AA1484/(U1484*S1484))</x:f>
        <x:v>0.038914347817980886</x:v>
      </x:c>
      <x:c r="AC1484" s="54" t="n">
        <x:f>IF(OR(R1484="No",S1484-T1484*Assumptions!$B$9&lt;=0),"",AA1484/(Assumptions!$B$8*(S1484-T1484*Assumptions!$B$9)))</x:f>
        <x:v>190.7806516210985</x:v>
      </x:c>
      <x:c r="AD1484" s="52" t="n">
        <x:f>IF(OR(R1484="No",U1484*S1484=0),"",AA1484/(U1484*S1484))</x:f>
        <x:v>0.038914347817980886</x:v>
      </x:c>
      <x:c r="AE1484" s="50" t="str">
        <x:f>IF(R1484="No","No finance data",IF(AB1484&gt;=10%,"Severe",IF(AB1484&gt;=5%,"High",IF(AB1484&gt;=2%,"Moderate","Low"))))</x:f>
        <x:v>Moderate</x:v>
      </x:c>
      <x:c r="AF1484" s="60" t="n">
        <x:v>18.47509</x:v>
      </x:c>
      <x:c r="AG1484" s="60" t="n">
        <x:v>-66.75901</x:v>
      </x:c>
      <x:c r="AH1484" s="44" t="str">
        <x:v>Undergraduate tuition-contribution proxy only; not an audited total institutional budget.</x:v>
      </x:c>
    </x:row>
    <x:row r="1485">
      <x:c r="A1485" s="16" t="n">
        <x:v>242644</x:v>
      </x:c>
      <x:c r="B1485" s="16" t="str">
        <x:v>Inter American University of Puerto Rico-Barranquitas</x:v>
      </x:c>
      <x:c r="C1485" s="16" t="str">
        <x:v>PR</x:v>
      </x:c>
      <x:c r="D1485" s="16" t="str">
        <x:v>Private nonprofit</x:v>
      </x:c>
      <x:c r="E1485" s="34" t="n">
        <x:v>2009</x:v>
      </x:c>
      <x:c r="F1485" s="21" t="n">
        <x:v>0.7948</x:v>
      </x:c>
      <x:c r="G1485" s="16" t="str">
        <x:v>Regional</x:v>
      </x:c>
      <x:c r="H1485" s="36" t="n">
        <x:f>IF(G1485="National",Assumptions!$B$11,IF(G1485="Statewide",Assumptions!$B$12,Assumptions!$B$13))</x:f>
        <x:v>0.85</x:v>
      </x:c>
      <x:c r="I1485" s="21" t="n">
        <x:v>-0.048361979489554896</x:v>
      </x:c>
      <x:c r="J1485" s="21" t="n">
        <x:v>-0.04739891965741583</x:v>
      </x:c>
      <x:c r="K1485" s="21" t="n">
        <x:v>-0.11013505452010375</x:v>
      </x:c>
      <x:c r="L1485" s="36" t="n">
        <x:f>IF(Assumptions!$B$4=2030,I1485,IF(Assumptions!$B$4=2035,J1485,K1485))</x:f>
        <x:v>-0.04739891965741583</x:v>
      </x:c>
      <x:c r="M1485" s="36" t="n">
        <x:f>Assumptions!$B$19</x:f>
        <x:v>-0.04739891965741583</x:v>
      </x:c>
      <x:c r="N1485" s="52" t="n">
        <x:f>H1485*L1485+(1-H1485)*M1485+O1485</x:f>
        <x:v>-0.04739891965741583</x:v>
      </x:c>
      <x:c r="O1485" s="36" t="n">
        <x:f>Assumptions!$B$10</x:f>
        <x:v>0</x:v>
      </x:c>
      <x:c r="P1485" s="54" t="n">
        <x:f>E1485*(1+N1485)</x:f>
        <x:v>1913.7755704082515</x:v>
      </x:c>
      <x:c r="Q1485" s="54" t="n">
        <x:f>P1485-E1485</x:f>
        <x:v>-95.2244295917485</x:v>
      </x:c>
      <x:c r="R1485" s="16" t="str">
        <x:v>Yes</x:v>
      </x:c>
      <x:c r="S1485" s="56" t="n">
        <x:v>4676</x:v>
      </x:c>
      <x:c r="T1485" s="56" t="n">
        <x:v>3685</x:v>
      </x:c>
      <x:c r="U1485" s="40" t="n">
        <x:f>E1485*Assumptions!$B$8</x:f>
        <x:v>1707.6499999999999</x:v>
      </x:c>
      <x:c r="V1485" s="40" t="n">
        <x:f>P1485*Assumptions!$B$8</x:f>
        <x:v>1626.7092348470137</x:v>
      </x:c>
      <x:c r="W1485" s="54" t="n">
        <x:f>V1485-U1485</x:f>
        <x:v>-80.94076515298616</x:v>
      </x:c>
      <x:c r="X1485" s="58" t="n">
        <x:f>IF(R1485="No","",W1485*S1485)</x:f>
        <x:v>-378479.01785536326</x:v>
      </x:c>
      <x:c r="Y1485" s="58" t="n">
        <x:f>IF(R1485="No","",W1485*T1485*Assumptions!$B$9)</x:f>
        <x:v>-89480.0158766262</x:v>
      </x:c>
      <x:c r="Z1485" s="58" t="n">
        <x:f>IF(R1485="No","",X1485-Y1485)</x:f>
        <x:v>-288999.00197873707</x:v>
      </x:c>
      <x:c r="AA1485" s="58" t="n">
        <x:f>IF(R1485="No","",MAX(0,-Z1485))</x:f>
        <x:v>288999.00197873707</x:v>
      </x:c>
      <x:c r="AB1485" s="52" t="n">
        <x:f>IF(OR(R1485="No",U1485*S1485=0),"",AA1485/(U1485*S1485))</x:f>
        <x:v>0.036192866261078545</x:v>
      </x:c>
      <x:c r="AC1485" s="54" t="n">
        <x:f>IF(OR(R1485="No",S1485-T1485*Assumptions!$B$9&lt;=0),"",AA1485/(Assumptions!$B$8*(S1485-T1485*Assumptions!$B$9)))</x:f>
        <x:v>95.22442959174843</x:v>
      </x:c>
      <x:c r="AD1485" s="52" t="n">
        <x:f>IF(OR(R1485="No",U1485*S1485=0),"",AA1485/(U1485*S1485))</x:f>
        <x:v>0.036192866261078545</x:v>
      </x:c>
      <x:c r="AE1485" s="50" t="str">
        <x:f>IF(R1485="No","No finance data",IF(AB1485&gt;=10%,"Severe",IF(AB1485&gt;=5%,"High",IF(AB1485&gt;=2%,"Moderate","Low"))))</x:f>
        <x:v>Moderate</x:v>
      </x:c>
      <x:c r="AF1485" s="60" t="n">
        <x:v>18.182777</x:v>
      </x:c>
      <x:c r="AG1485" s="60" t="n">
        <x:v>-66.303153</x:v>
      </x:c>
      <x:c r="AH1485" s="44" t="str">
        <x:v>Undergraduate tuition-contribution proxy only; not an audited total institutional budget.</x:v>
      </x:c>
    </x:row>
    <x:row r="1486">
      <x:c r="A1486" s="16" t="n">
        <x:v>242705</x:v>
      </x:c>
      <x:c r="B1486" s="16" t="str">
        <x:v>Inter American University of Puerto Rico-Bayamon</x:v>
      </x:c>
      <x:c r="C1486" s="16" t="str">
        <x:v>PR</x:v>
      </x:c>
      <x:c r="D1486" s="16" t="str">
        <x:v>Private nonprofit</x:v>
      </x:c>
      <x:c r="E1486" s="34" t="n">
        <x:v>4481</x:v>
      </x:c>
      <x:c r="F1486" s="21" t="n">
        <x:v>0.6754</x:v>
      </x:c>
      <x:c r="G1486" s="16" t="str">
        <x:v>Regional</x:v>
      </x:c>
      <x:c r="H1486" s="36" t="n">
        <x:f>IF(G1486="National",Assumptions!$B$11,IF(G1486="Statewide",Assumptions!$B$12,Assumptions!$B$13))</x:f>
        <x:v>0.85</x:v>
      </x:c>
      <x:c r="I1486" s="21" t="n">
        <x:v>-0.048361979489554896</x:v>
      </x:c>
      <x:c r="J1486" s="21" t="n">
        <x:v>-0.04739891965741583</x:v>
      </x:c>
      <x:c r="K1486" s="21" t="n">
        <x:v>-0.11013505452010375</x:v>
      </x:c>
      <x:c r="L1486" s="36" t="n">
        <x:f>IF(Assumptions!$B$4=2030,I1486,IF(Assumptions!$B$4=2035,J1486,K1486))</x:f>
        <x:v>-0.04739891965741583</x:v>
      </x:c>
      <x:c r="M1486" s="36" t="n">
        <x:f>Assumptions!$B$19</x:f>
        <x:v>-0.04739891965741583</x:v>
      </x:c>
      <x:c r="N1486" s="52" t="n">
        <x:f>H1486*L1486+(1-H1486)*M1486+O1486</x:f>
        <x:v>-0.04739891965741583</x:v>
      </x:c>
      <x:c r="O1486" s="36" t="n">
        <x:f>Assumptions!$B$10</x:f>
        <x:v>0</x:v>
      </x:c>
      <x:c r="P1486" s="54" t="n">
        <x:f>E1486*(1+N1486)</x:f>
        <x:v>4268.60544101512</x:v>
      </x:c>
      <x:c r="Q1486" s="54" t="n">
        <x:f>P1486-E1486</x:f>
        <x:v>-212.39455898487995</x:v>
      </x:c>
      <x:c r="R1486" s="16" t="str">
        <x:v>Yes</x:v>
      </x:c>
      <x:c r="S1486" s="56" t="n">
        <x:v>5006</x:v>
      </x:c>
      <x:c r="T1486" s="56" t="n">
        <x:v>2680</x:v>
      </x:c>
      <x:c r="U1486" s="40" t="n">
        <x:f>E1486*Assumptions!$B$8</x:f>
        <x:v>3808.85</x:v>
      </x:c>
      <x:c r="V1486" s="40" t="n">
        <x:f>P1486*Assumptions!$B$8</x:f>
        <x:v>3628.314624862852</x:v>
      </x:c>
      <x:c r="W1486" s="54" t="n">
        <x:f>V1486-U1486</x:f>
        <x:v>-180.5353751371481</x:v>
      </x:c>
      <x:c r="X1486" s="58" t="n">
        <x:f>IF(R1486="No","",W1486*S1486)</x:f>
        <x:v>-903760.0879365633</x:v>
      </x:c>
      <x:c r="Y1486" s="58" t="n">
        <x:f>IF(R1486="No","",W1486*T1486*Assumptions!$B$9)</x:f>
        <x:v>-145150.44161026707</x:v>
      </x:c>
      <x:c r="Z1486" s="58" t="n">
        <x:f>IF(R1486="No","",X1486-Y1486)</x:f>
        <x:v>-758609.6463262963</x:v>
      </x:c>
      <x:c r="AA1486" s="58" t="n">
        <x:f>IF(R1486="No","",MAX(0,-Z1486))</x:f>
        <x:v>758609.6463262963</x:v>
      </x:c>
      <x:c r="AB1486" s="52" t="n">
        <x:f>IF(OR(R1486="No",U1486*S1486=0),"",AA1486/(U1486*S1486))</x:f>
        <x:v>0.039786308509880366</x:v>
      </x:c>
      <x:c r="AC1486" s="54" t="n">
        <x:f>IF(OR(R1486="No",S1486-T1486*Assumptions!$B$9&lt;=0),"",AA1486/(Assumptions!$B$8*(S1486-T1486*Assumptions!$B$9)))</x:f>
        <x:v>212.39455898488012</x:v>
      </x:c>
      <x:c r="AD1486" s="52" t="n">
        <x:f>IF(OR(R1486="No",U1486*S1486=0),"",AA1486/(U1486*S1486))</x:f>
        <x:v>0.039786308509880366</x:v>
      </x:c>
      <x:c r="AE1486" s="50" t="str">
        <x:f>IF(R1486="No","No finance data",IF(AB1486&gt;=10%,"Severe",IF(AB1486&gt;=5%,"High",IF(AB1486&gt;=2%,"Moderate","Low"))))</x:f>
        <x:v>Moderate</x:v>
      </x:c>
      <x:c r="AF1486" s="60" t="n">
        <x:v>18.351631</x:v>
      </x:c>
      <x:c r="AG1486" s="60" t="n">
        <x:v>-66.182473</x:v>
      </x:c>
      <x:c r="AH1486" s="44" t="str">
        <x:v>Undergraduate tuition-contribution proxy only; not an audited total institutional budget.</x:v>
      </x:c>
    </x:row>
    <x:row r="1487">
      <x:c r="A1487" s="16" t="n">
        <x:v>242680</x:v>
      </x:c>
      <x:c r="B1487" s="16" t="str">
        <x:v>Inter American University of Puerto Rico-Fajardo</x:v>
      </x:c>
      <x:c r="C1487" s="16" t="str">
        <x:v>PR</x:v>
      </x:c>
      <x:c r="D1487" s="16" t="str">
        <x:v>Private nonprofit</x:v>
      </x:c>
      <x:c r="E1487" s="34" t="n">
        <x:v>2050</x:v>
      </x:c>
      <x:c r="F1487" s="21" t="n">
        <x:v>0.5312</x:v>
      </x:c>
      <x:c r="G1487" s="16" t="str">
        <x:v>Regional</x:v>
      </x:c>
      <x:c r="H1487" s="36" t="n">
        <x:f>IF(G1487="National",Assumptions!$B$11,IF(G1487="Statewide",Assumptions!$B$12,Assumptions!$B$13))</x:f>
        <x:v>0.85</x:v>
      </x:c>
      <x:c r="I1487" s="21" t="n">
        <x:v>-0.048361979489554896</x:v>
      </x:c>
      <x:c r="J1487" s="21" t="n">
        <x:v>-0.04739891965741583</x:v>
      </x:c>
      <x:c r="K1487" s="21" t="n">
        <x:v>-0.11013505452010375</x:v>
      </x:c>
      <x:c r="L1487" s="36" t="n">
        <x:f>IF(Assumptions!$B$4=2030,I1487,IF(Assumptions!$B$4=2035,J1487,K1487))</x:f>
        <x:v>-0.04739891965741583</x:v>
      </x:c>
      <x:c r="M1487" s="36" t="n">
        <x:f>Assumptions!$B$19</x:f>
        <x:v>-0.04739891965741583</x:v>
      </x:c>
      <x:c r="N1487" s="52" t="n">
        <x:f>H1487*L1487+(1-H1487)*M1487+O1487</x:f>
        <x:v>-0.04739891965741583</x:v>
      </x:c>
      <x:c r="O1487" s="36" t="n">
        <x:f>Assumptions!$B$10</x:f>
        <x:v>0</x:v>
      </x:c>
      <x:c r="P1487" s="54" t="n">
        <x:f>E1487*(1+N1487)</x:f>
        <x:v>1952.8322147022975</x:v>
      </x:c>
      <x:c r="Q1487" s="54" t="n">
        <x:f>P1487-E1487</x:f>
        <x:v>-97.1677852977025</x:v>
      </x:c>
      <x:c r="R1487" s="16" t="str">
        <x:v>Yes</x:v>
      </x:c>
      <x:c r="S1487" s="56" t="n">
        <x:v>5291</x:v>
      </x:c>
      <x:c r="T1487" s="56" t="n">
        <x:v>3570</x:v>
      </x:c>
      <x:c r="U1487" s="40" t="n">
        <x:f>E1487*Assumptions!$B$8</x:f>
        <x:v>1742.5</x:v>
      </x:c>
      <x:c r="V1487" s="40" t="n">
        <x:f>P1487*Assumptions!$B$8</x:f>
        <x:v>1659.9073824969528</x:v>
      </x:c>
      <x:c r="W1487" s="54" t="n">
        <x:f>V1487-U1487</x:f>
        <x:v>-82.59261750304722</x:v>
      </x:c>
      <x:c r="X1487" s="58" t="n">
        <x:f>IF(R1487="No","",W1487*S1487)</x:f>
        <x:v>-436997.5392086229</x:v>
      </x:c>
      <x:c r="Y1487" s="58" t="n">
        <x:f>IF(R1487="No","",W1487*T1487*Assumptions!$B$9)</x:f>
        <x:v>-88456.69334576358</x:v>
      </x:c>
      <x:c r="Z1487" s="58" t="n">
        <x:f>IF(R1487="No","",X1487-Y1487)</x:f>
        <x:v>-348540.8458628593</x:v>
      </x:c>
      <x:c r="AA1487" s="58" t="n">
        <x:f>IF(R1487="No","",MAX(0,-Z1487))</x:f>
        <x:v>348540.8458628593</x:v>
      </x:c>
      <x:c r="AB1487" s="52" t="n">
        <x:f>IF(OR(R1487="No",U1487*S1487=0),"",AA1487/(U1487*S1487))</x:f>
        <x:v>0.03780446814482993</x:v>
      </x:c>
      <x:c r="AC1487" s="54" t="n">
        <x:f>IF(OR(R1487="No",S1487-T1487*Assumptions!$B$9&lt;=0),"",AA1487/(Assumptions!$B$8*(S1487-T1487*Assumptions!$B$9)))</x:f>
        <x:v>97.16778529770261</x:v>
      </x:c>
      <x:c r="AD1487" s="52" t="n">
        <x:f>IF(OR(R1487="No",U1487*S1487=0),"",AA1487/(U1487*S1487))</x:f>
        <x:v>0.03780446814482993</x:v>
      </x:c>
      <x:c r="AE1487" s="50" t="str">
        <x:f>IF(R1487="No","No finance data",IF(AB1487&gt;=10%,"Severe",IF(AB1487&gt;=5%,"High",IF(AB1487&gt;=2%,"Moderate","Low"))))</x:f>
        <x:v>Moderate</x:v>
      </x:c>
      <x:c r="AF1487" s="60" t="n">
        <x:v>18.329222</x:v>
      </x:c>
      <x:c r="AG1487" s="60" t="n">
        <x:v>-65.648052</x:v>
      </x:c>
      <x:c r="AH1487" s="44" t="str">
        <x:v>Undergraduate tuition-contribution proxy only; not an audited total institutional budget.</x:v>
      </x:c>
    </x:row>
    <x:row r="1488">
      <x:c r="A1488" s="16" t="n">
        <x:v>242699</x:v>
      </x:c>
      <x:c r="B1488" s="16" t="str">
        <x:v>Inter American University of Puerto Rico-Guayama</x:v>
      </x:c>
      <x:c r="C1488" s="16" t="str">
        <x:v>PR</x:v>
      </x:c>
      <x:c r="D1488" s="16" t="str">
        <x:v>Private nonprofit</x:v>
      </x:c>
      <x:c r="E1488" s="34" t="n">
        <x:v>1898</x:v>
      </x:c>
      <x:c r="F1488" s="21" t="n">
        <x:v>0.9186</x:v>
      </x:c>
      <x:c r="G1488" s="16" t="str">
        <x:v>Regional</x:v>
      </x:c>
      <x:c r="H1488" s="36" t="n">
        <x:f>IF(G1488="National",Assumptions!$B$11,IF(G1488="Statewide",Assumptions!$B$12,Assumptions!$B$13))</x:f>
        <x:v>0.85</x:v>
      </x:c>
      <x:c r="I1488" s="21" t="n">
        <x:v>-0.048361979489554896</x:v>
      </x:c>
      <x:c r="J1488" s="21" t="n">
        <x:v>-0.04739891965741583</x:v>
      </x:c>
      <x:c r="K1488" s="21" t="n">
        <x:v>-0.11013505452010375</x:v>
      </x:c>
      <x:c r="L1488" s="36" t="n">
        <x:f>IF(Assumptions!$B$4=2030,I1488,IF(Assumptions!$B$4=2035,J1488,K1488))</x:f>
        <x:v>-0.04739891965741583</x:v>
      </x:c>
      <x:c r="M1488" s="36" t="n">
        <x:f>Assumptions!$B$19</x:f>
        <x:v>-0.04739891965741583</x:v>
      </x:c>
      <x:c r="N1488" s="52" t="n">
        <x:f>H1488*L1488+(1-H1488)*M1488+O1488</x:f>
        <x:v>-0.04739891965741583</x:v>
      </x:c>
      <x:c r="O1488" s="36" t="n">
        <x:f>Assumptions!$B$10</x:f>
        <x:v>0</x:v>
      </x:c>
      <x:c r="P1488" s="54" t="n">
        <x:f>E1488*(1+N1488)</x:f>
        <x:v>1808.0368504902247</x:v>
      </x:c>
      <x:c r="Q1488" s="54" t="n">
        <x:f>P1488-E1488</x:f>
        <x:v>-89.96314950977535</x:v>
      </x:c>
      <x:c r="R1488" s="16" t="str">
        <x:v>Yes</x:v>
      </x:c>
      <x:c r="S1488" s="56" t="n">
        <x:v>5103</x:v>
      </x:c>
      <x:c r="T1488" s="56" t="n">
        <x:v>3038</x:v>
      </x:c>
      <x:c r="U1488" s="40" t="n">
        <x:f>E1488*Assumptions!$B$8</x:f>
        <x:v>1613.3</x:v>
      </x:c>
      <x:c r="V1488" s="40" t="n">
        <x:f>P1488*Assumptions!$B$8</x:f>
        <x:v>1536.8313229166909</x:v>
      </x:c>
      <x:c r="W1488" s="54" t="n">
        <x:f>V1488-U1488</x:f>
        <x:v>-76.4686770833091</x:v>
      </x:c>
      <x:c r="X1488" s="58" t="n">
        <x:f>IF(R1488="No","",W1488*S1488)</x:f>
        <x:v>-390219.6591561264</x:v>
      </x:c>
      <x:c r="Y1488" s="58" t="n">
        <x:f>IF(R1488="No","",W1488*T1488*Assumptions!$B$9)</x:f>
        <x:v>-69693.55229372792</x:v>
      </x:c>
      <x:c r="Z1488" s="58" t="n">
        <x:f>IF(R1488="No","",X1488-Y1488)</x:f>
        <x:v>-320526.10686239845</x:v>
      </x:c>
      <x:c r="AA1488" s="58" t="n">
        <x:f>IF(R1488="No","",MAX(0,-Z1488))</x:f>
        <x:v>320526.10686239845</x:v>
      </x:c>
      <x:c r="AB1488" s="52" t="n">
        <x:f>IF(OR(R1488="No",U1488*S1488=0),"",AA1488/(U1488*S1488))</x:f>
        <x:v>0.03893343359514493</x:v>
      </x:c>
      <x:c r="AC1488" s="54" t="n">
        <x:f>IF(OR(R1488="No",S1488-T1488*Assumptions!$B$9&lt;=0),"",AA1488/(Assumptions!$B$8*(S1488-T1488*Assumptions!$B$9)))</x:f>
        <x:v>89.96314950977542</x:v>
      </x:c>
      <x:c r="AD1488" s="52" t="n">
        <x:f>IF(OR(R1488="No",U1488*S1488=0),"",AA1488/(U1488*S1488))</x:f>
        <x:v>0.03893343359514493</x:v>
      </x:c>
      <x:c r="AE1488" s="50" t="str">
        <x:f>IF(R1488="No","No finance data",IF(AB1488&gt;=10%,"Severe",IF(AB1488&gt;=5%,"High",IF(AB1488&gt;=2%,"Moderate","Low"))))</x:f>
        <x:v>Moderate</x:v>
      </x:c>
      <x:c r="AF1488" s="60" t="n">
        <x:v>17.96635</x:v>
      </x:c>
      <x:c r="AG1488" s="60" t="n">
        <x:v>-66.108164</x:v>
      </x:c>
      <x:c r="AH1488" s="44" t="str">
        <x:v>Undergraduate tuition-contribution proxy only; not an audited total institutional budget.</x:v>
      </x:c>
    </x:row>
    <x:row r="1489">
      <x:c r="A1489" s="16" t="n">
        <x:v>242653</x:v>
      </x:c>
      <x:c r="B1489" s="16" t="str">
        <x:v>Inter American University of Puerto Rico-Metro</x:v>
      </x:c>
      <x:c r="C1489" s="16" t="str">
        <x:v>PR</x:v>
      </x:c>
      <x:c r="D1489" s="16" t="str">
        <x:v>Private nonprofit</x:v>
      </x:c>
      <x:c r="E1489" s="34" t="n">
        <x:v>6350</x:v>
      </x:c>
      <x:c r="F1489" s="21" t="n">
        <x:v>0.6536</x:v>
      </x:c>
      <x:c r="G1489" s="16" t="str">
        <x:v>Regional</x:v>
      </x:c>
      <x:c r="H1489" s="36" t="n">
        <x:f>IF(G1489="National",Assumptions!$B$11,IF(G1489="Statewide",Assumptions!$B$12,Assumptions!$B$13))</x:f>
        <x:v>0.85</x:v>
      </x:c>
      <x:c r="I1489" s="21" t="n">
        <x:v>-0.048361979489554896</x:v>
      </x:c>
      <x:c r="J1489" s="21" t="n">
        <x:v>-0.04739891965741583</x:v>
      </x:c>
      <x:c r="K1489" s="21" t="n">
        <x:v>-0.11013505452010375</x:v>
      </x:c>
      <x:c r="L1489" s="36" t="n">
        <x:f>IF(Assumptions!$B$4=2030,I1489,IF(Assumptions!$B$4=2035,J1489,K1489))</x:f>
        <x:v>-0.04739891965741583</x:v>
      </x:c>
      <x:c r="M1489" s="36" t="n">
        <x:f>Assumptions!$B$19</x:f>
        <x:v>-0.04739891965741583</x:v>
      </x:c>
      <x:c r="N1489" s="52" t="n">
        <x:f>H1489*L1489+(1-H1489)*M1489+O1489</x:f>
        <x:v>-0.04739891965741583</x:v>
      </x:c>
      <x:c r="O1489" s="36" t="n">
        <x:f>Assumptions!$B$10</x:f>
        <x:v>0</x:v>
      </x:c>
      <x:c r="P1489" s="54" t="n">
        <x:f>E1489*(1+N1489)</x:f>
        <x:v>6049.016860175409</x:v>
      </x:c>
      <x:c r="Q1489" s="54" t="n">
        <x:f>P1489-E1489</x:f>
        <x:v>-300.9831398245906</x:v>
      </x:c>
      <x:c r="R1489" s="16" t="str">
        <x:v>Yes</x:v>
      </x:c>
      <x:c r="S1489" s="56" t="n">
        <x:v>6249</x:v>
      </x:c>
      <x:c r="T1489" s="56" t="n">
        <x:v>4044</x:v>
      </x:c>
      <x:c r="U1489" s="40" t="n">
        <x:f>E1489*Assumptions!$B$8</x:f>
        <x:v>5397.5</x:v>
      </x:c>
      <x:c r="V1489" s="40" t="n">
        <x:f>P1489*Assumptions!$B$8</x:f>
        <x:v>5141.664331149098</x:v>
      </x:c>
      <x:c r="W1489" s="54" t="n">
        <x:f>V1489-U1489</x:f>
        <x:v>-255.83566885090204</x:v>
      </x:c>
      <x:c r="X1489" s="58" t="n">
        <x:f>IF(R1489="No","",W1489*S1489)</x:f>
        <x:v>-1598717.094649287</x:v>
      </x:c>
      <x:c r="Y1489" s="58" t="n">
        <x:f>IF(R1489="No","",W1489*T1489*Assumptions!$B$9)</x:f>
        <x:v>-310379.83344991435</x:v>
      </x:c>
      <x:c r="Z1489" s="58" t="n">
        <x:f>IF(R1489="No","",X1489-Y1489)</x:f>
        <x:v>-1288337.2611993726</x:v>
      </x:c>
      <x:c r="AA1489" s="58" t="n">
        <x:f>IF(R1489="No","",MAX(0,-Z1489))</x:f>
        <x:v>1288337.2611993726</x:v>
      </x:c>
      <x:c r="AB1489" s="52" t="n">
        <x:f>IF(OR(R1489="No",U1489*S1489=0),"",AA1489/(U1489*S1489))</x:f>
        <x:v>0.03819674821744515</x:v>
      </x:c>
      <x:c r="AC1489" s="54" t="n">
        <x:f>IF(OR(R1489="No",S1489-T1489*Assumptions!$B$9&lt;=0),"",AA1489/(Assumptions!$B$8*(S1489-T1489*Assumptions!$B$9)))</x:f>
        <x:v>300.98313982459064</x:v>
      </x:c>
      <x:c r="AD1489" s="52" t="n">
        <x:f>IF(OR(R1489="No",U1489*S1489=0),"",AA1489/(U1489*S1489))</x:f>
        <x:v>0.03819674821744515</x:v>
      </x:c>
      <x:c r="AE1489" s="50" t="str">
        <x:f>IF(R1489="No","No finance data",IF(AB1489&gt;=10%,"Severe",IF(AB1489&gt;=5%,"High",IF(AB1489&gt;=2%,"Moderate","Low"))))</x:f>
        <x:v>Moderate</x:v>
      </x:c>
      <x:c r="AF1489" s="60" t="n">
        <x:v>18.368988</x:v>
      </x:c>
      <x:c r="AG1489" s="60" t="n">
        <x:v>-66.077711</x:v>
      </x:c>
      <x:c r="AH1489" s="44" t="str">
        <x:v>Undergraduate tuition-contribution proxy only; not an audited total institutional budget.</x:v>
      </x:c>
    </x:row>
    <x:row r="1490">
      <x:c r="A1490" s="16" t="n">
        <x:v>242662</x:v>
      </x:c>
      <x:c r="B1490" s="16" t="str">
        <x:v>Inter American University of Puerto Rico-Ponce</x:v>
      </x:c>
      <x:c r="C1490" s="16" t="str">
        <x:v>PR</x:v>
      </x:c>
      <x:c r="D1490" s="16" t="str">
        <x:v>Private nonprofit</x:v>
      </x:c>
      <x:c r="E1490" s="34" t="n">
        <x:v>5011</x:v>
      </x:c>
      <x:c r="F1490" s="21" t="n">
        <x:v>0.6163</x:v>
      </x:c>
      <x:c r="G1490" s="16" t="str">
        <x:v>Regional</x:v>
      </x:c>
      <x:c r="H1490" s="36" t="n">
        <x:f>IF(G1490="National",Assumptions!$B$11,IF(G1490="Statewide",Assumptions!$B$12,Assumptions!$B$13))</x:f>
        <x:v>0.85</x:v>
      </x:c>
      <x:c r="I1490" s="21" t="n">
        <x:v>-0.048361979489554896</x:v>
      </x:c>
      <x:c r="J1490" s="21" t="n">
        <x:v>-0.04739891965741583</x:v>
      </x:c>
      <x:c r="K1490" s="21" t="n">
        <x:v>-0.11013505452010375</x:v>
      </x:c>
      <x:c r="L1490" s="36" t="n">
        <x:f>IF(Assumptions!$B$4=2030,I1490,IF(Assumptions!$B$4=2035,J1490,K1490))</x:f>
        <x:v>-0.04739891965741583</x:v>
      </x:c>
      <x:c r="M1490" s="36" t="n">
        <x:f>Assumptions!$B$19</x:f>
        <x:v>-0.04739891965741583</x:v>
      </x:c>
      <x:c r="N1490" s="52" t="n">
        <x:f>H1490*L1490+(1-H1490)*M1490+O1490</x:f>
        <x:v>-0.04739891965741583</x:v>
      </x:c>
      <x:c r="O1490" s="36" t="n">
        <x:f>Assumptions!$B$10</x:f>
        <x:v>0</x:v>
      </x:c>
      <x:c r="P1490" s="54" t="n">
        <x:f>E1490*(1+N1490)</x:f>
        <x:v>4773.48401359669</x:v>
      </x:c>
      <x:c r="Q1490" s="54" t="n">
        <x:f>P1490-E1490</x:f>
        <x:v>-237.5159864033103</x:v>
      </x:c>
      <x:c r="R1490" s="16" t="str">
        <x:v>Yes</x:v>
      </x:c>
      <x:c r="S1490" s="56" t="n">
        <x:v>4953</x:v>
      </x:c>
      <x:c r="T1490" s="56" t="n">
        <x:v>3191</x:v>
      </x:c>
      <x:c r="U1490" s="40" t="n">
        <x:f>E1490*Assumptions!$B$8</x:f>
        <x:v>4259.349999999999</x:v>
      </x:c>
      <x:c r="V1490" s="40" t="n">
        <x:f>P1490*Assumptions!$B$8</x:f>
        <x:v>4057.4614115571862</x:v>
      </x:c>
      <x:c r="W1490" s="54" t="n">
        <x:f>V1490-U1490</x:f>
        <x:v>-201.88858844281322</x:v>
      </x:c>
      <x:c r="X1490" s="58" t="n">
        <x:f>IF(R1490="No","",W1490*S1490)</x:f>
        <x:v>-999954.1785572539</x:v>
      </x:c>
      <x:c r="Y1490" s="58" t="n">
        <x:f>IF(R1490="No","",W1490*T1490*Assumptions!$B$9)</x:f>
        <x:v>-193267.94571630508</x:v>
      </x:c>
      <x:c r="Z1490" s="58" t="n">
        <x:f>IF(R1490="No","",X1490-Y1490)</x:f>
        <x:v>-806686.2328409489</x:v>
      </x:c>
      <x:c r="AA1490" s="58" t="n">
        <x:f>IF(R1490="No","",MAX(0,-Z1490))</x:f>
        <x:v>806686.2328409489</x:v>
      </x:c>
      <x:c r="AB1490" s="52" t="n">
        <x:f>IF(OR(R1490="No",U1490*S1490=0),"",AA1490/(U1490*S1490))</x:f>
        <x:v>0.038237808050703745</x:v>
      </x:c>
      <x:c r="AC1490" s="54" t="n">
        <x:f>IF(OR(R1490="No",S1490-T1490*Assumptions!$B$9&lt;=0),"",AA1490/(Assumptions!$B$8*(S1490-T1490*Assumptions!$B$9)))</x:f>
        <x:v>237.5159864033097</x:v>
      </x:c>
      <x:c r="AD1490" s="52" t="n">
        <x:f>IF(OR(R1490="No",U1490*S1490=0),"",AA1490/(U1490*S1490))</x:f>
        <x:v>0.038237808050703745</x:v>
      </x:c>
      <x:c r="AE1490" s="50" t="str">
        <x:f>IF(R1490="No","No finance data",IF(AB1490&gt;=10%,"Severe",IF(AB1490&gt;=5%,"High",IF(AB1490&gt;=2%,"Moderate","Low"))))</x:f>
        <x:v>Moderate</x:v>
      </x:c>
      <x:c r="AF1490" s="60" t="n">
        <x:v>18.007388</x:v>
      </x:c>
      <x:c r="AG1490" s="60" t="n">
        <x:v>-66.578498</x:v>
      </x:c>
      <x:c r="AH1490" s="44" t="str">
        <x:v>Undergraduate tuition-contribution proxy only; not an audited total institutional budget.</x:v>
      </x:c>
    </x:row>
    <x:row r="1491">
      <x:c r="A1491" s="16" t="n">
        <x:v>242617</x:v>
      </x:c>
      <x:c r="B1491" s="16" t="str">
        <x:v>Inter American University of Puerto Rico-San German</x:v>
      </x:c>
      <x:c r="C1491" s="16" t="str">
        <x:v>PR</x:v>
      </x:c>
      <x:c r="D1491" s="16" t="str">
        <x:v>Private nonprofit</x:v>
      </x:c>
      <x:c r="E1491" s="34" t="n">
        <x:v>4246</x:v>
      </x:c>
      <x:c r="F1491" s="21" t="n">
        <x:v>0.5476</x:v>
      </x:c>
      <x:c r="G1491" s="16" t="str">
        <x:v>Regional</x:v>
      </x:c>
      <x:c r="H1491" s="36" t="n">
        <x:f>IF(G1491="National",Assumptions!$B$11,IF(G1491="Statewide",Assumptions!$B$12,Assumptions!$B$13))</x:f>
        <x:v>0.85</x:v>
      </x:c>
      <x:c r="I1491" s="21" t="n">
        <x:v>-0.048361979489554896</x:v>
      </x:c>
      <x:c r="J1491" s="21" t="n">
        <x:v>-0.04739891965741583</x:v>
      </x:c>
      <x:c r="K1491" s="21" t="n">
        <x:v>-0.11013505452010375</x:v>
      </x:c>
      <x:c r="L1491" s="36" t="n">
        <x:f>IF(Assumptions!$B$4=2030,I1491,IF(Assumptions!$B$4=2035,J1491,K1491))</x:f>
        <x:v>-0.04739891965741583</x:v>
      </x:c>
      <x:c r="M1491" s="36" t="n">
        <x:f>Assumptions!$B$19</x:f>
        <x:v>-0.04739891965741583</x:v>
      </x:c>
      <x:c r="N1491" s="52" t="n">
        <x:f>H1491*L1491+(1-H1491)*M1491+O1491</x:f>
        <x:v>-0.04739891965741583</x:v>
      </x:c>
      <x:c r="O1491" s="36" t="n">
        <x:f>Assumptions!$B$10</x:f>
        <x:v>0</x:v>
      </x:c>
      <x:c r="P1491" s="54" t="n">
        <x:f>E1491*(1+N1491)</x:f>
        <x:v>4044.7441871346123</x:v>
      </x:c>
      <x:c r="Q1491" s="54" t="n">
        <x:f>P1491-E1491</x:f>
        <x:v>-201.25581286538772</x:v>
      </x:c>
      <x:c r="R1491" s="16" t="str">
        <x:v>Yes</x:v>
      </x:c>
      <x:c r="S1491" s="56" t="n">
        <x:v>4704</x:v>
      </x:c>
      <x:c r="T1491" s="56" t="n">
        <x:v>3718</x:v>
      </x:c>
      <x:c r="U1491" s="40" t="n">
        <x:f>E1491*Assumptions!$B$8</x:f>
        <x:v>3609.1</x:v>
      </x:c>
      <x:c r="V1491" s="40" t="n">
        <x:f>P1491*Assumptions!$B$8</x:f>
        <x:v>3438.03255906442</x:v>
      </x:c>
      <x:c r="W1491" s="54" t="n">
        <x:f>V1491-U1491</x:f>
        <x:v>-171.06744093557973</x:v>
      </x:c>
      <x:c r="X1491" s="58" t="n">
        <x:f>IF(R1491="No","",W1491*S1491)</x:f>
        <x:v>-804701.2421609671</x:v>
      </x:c>
      <x:c r="Y1491" s="58" t="n">
        <x:f>IF(R1491="No","",W1491*T1491*Assumptions!$B$9)</x:f>
        <x:v>-190808.62361954563</x:v>
      </x:c>
      <x:c r="Z1491" s="58" t="n">
        <x:f>IF(R1491="No","",X1491-Y1491)</x:f>
        <x:v>-613892.6185414215</x:v>
      </x:c>
      <x:c r="AA1491" s="58" t="n">
        <x:f>IF(R1491="No","",MAX(0,-Z1491))</x:f>
        <x:v>613892.6185414215</x:v>
      </x:c>
      <x:c r="AB1491" s="52" t="n">
        <x:f>IF(OR(R1491="No",U1491*S1491=0),"",AA1491/(U1491*S1491))</x:f>
        <x:v>0.03615981358048528</x:v>
      </x:c>
      <x:c r="AC1491" s="54" t="n">
        <x:f>IF(OR(R1491="No",S1491-T1491*Assumptions!$B$9&lt;=0),"",AA1491/(Assumptions!$B$8*(S1491-T1491*Assumptions!$B$9)))</x:f>
        <x:v>201.25581286538792</x:v>
      </x:c>
      <x:c r="AD1491" s="52" t="n">
        <x:f>IF(OR(R1491="No",U1491*S1491=0),"",AA1491/(U1491*S1491))</x:f>
        <x:v>0.03615981358048528</x:v>
      </x:c>
      <x:c r="AE1491" s="50" t="str">
        <x:f>IF(R1491="No","No finance data",IF(AB1491&gt;=10%,"Severe",IF(AB1491&gt;=5%,"High",IF(AB1491&gt;=2%,"Moderate","Low"))))</x:f>
        <x:v>Moderate</x:v>
      </x:c>
      <x:c r="AF1491" s="60" t="n">
        <x:v>18.08353</x:v>
      </x:c>
      <x:c r="AG1491" s="60" t="n">
        <x:v>-67.05082</x:v>
      </x:c>
      <x:c r="AH1491" s="44" t="str">
        <x:v>Undergraduate tuition-contribution proxy only; not an audited total institutional budget.</x:v>
      </x:c>
    </x:row>
    <x:row r="1492">
      <x:c r="A1492" s="16" t="n">
        <x:v>241395</x:v>
      </x:c>
      <x:c r="B1492" s="16" t="str">
        <x:v>Pontifical Catholic University of Puerto Rico-Arecibo</x:v>
      </x:c>
      <x:c r="C1492" s="16" t="str">
        <x:v>PR</x:v>
      </x:c>
      <x:c r="D1492" s="16" t="str">
        <x:v>Private nonprofit</x:v>
      </x:c>
      <x:c r="E1492" s="34" t="n">
        <x:v>629</x:v>
      </x:c>
      <x:c r="F1492" s="21"/>
      <x:c r="G1492" s="16" t="str">
        <x:v>Regional</x:v>
      </x:c>
      <x:c r="H1492" s="36" t="n">
        <x:f>IF(G1492="National",Assumptions!$B$11,IF(G1492="Statewide",Assumptions!$B$12,Assumptions!$B$13))</x:f>
        <x:v>0.85</x:v>
      </x:c>
      <x:c r="I1492" s="21" t="n">
        <x:v>-0.048361979489554896</x:v>
      </x:c>
      <x:c r="J1492" s="21" t="n">
        <x:v>-0.04739891965741583</x:v>
      </x:c>
      <x:c r="K1492" s="21" t="n">
        <x:v>-0.11013505452010375</x:v>
      </x:c>
      <x:c r="L1492" s="36" t="n">
        <x:f>IF(Assumptions!$B$4=2030,I1492,IF(Assumptions!$B$4=2035,J1492,K1492))</x:f>
        <x:v>-0.04739891965741583</x:v>
      </x:c>
      <x:c r="M1492" s="36" t="n">
        <x:f>Assumptions!$B$19</x:f>
        <x:v>-0.04739891965741583</x:v>
      </x:c>
      <x:c r="N1492" s="52" t="n">
        <x:f>H1492*L1492+(1-H1492)*M1492+O1492</x:f>
        <x:v>-0.04739891965741583</x:v>
      </x:c>
      <x:c r="O1492" s="36" t="n">
        <x:f>Assumptions!$B$10</x:f>
        <x:v>0</x:v>
      </x:c>
      <x:c r="P1492" s="54" t="n">
        <x:f>E1492*(1+N1492)</x:f>
        <x:v>599.1860795354854</x:v>
      </x:c>
      <x:c r="Q1492" s="54" t="n">
        <x:f>P1492-E1492</x:f>
        <x:v>-29.81392046451458</x:v>
      </x:c>
      <x:c r="R1492" s="16" t="str">
        <x:v>No</x:v>
      </x:c>
      <x:c r="S1492" s="56"/>
      <x:c r="T1492" s="56"/>
      <x:c r="U1492" s="40" t="n">
        <x:f>E1492*Assumptions!$B$8</x:f>
        <x:v>534.65</x:v>
      </x:c>
      <x:c r="V1492" s="40" t="n">
        <x:f>P1492*Assumptions!$B$8</x:f>
        <x:v>509.30816760516257</x:v>
      </x:c>
      <x:c r="W1492" s="54" t="n">
        <x:f>V1492-U1492</x:f>
        <x:v>-25.34183239483741</x:v>
      </x:c>
      <x:c r="X1492" s="58" t="str">
        <x:f>IF(R1492="No","",W1492*S1492)</x:f>
      </x:c>
      <x:c r="Y1492" s="58" t="str">
        <x:f>IF(R1492="No","",W1492*T1492*Assumptions!$B$9)</x:f>
      </x:c>
      <x:c r="Z1492" s="58" t="str">
        <x:f>IF(R1492="No","",X1492-Y1492)</x:f>
      </x:c>
      <x:c r="AA1492" s="58" t="str">
        <x:f>IF(R1492="No","",MAX(0,-Z1492))</x:f>
      </x:c>
      <x:c r="AB1492" s="52" t="str">
        <x:f>IF(OR(R1492="No",U1492*S1492=0),"",AA1492/(U1492*S1492))</x:f>
      </x:c>
      <x:c r="AC1492" s="54" t="str">
        <x:f>IF(OR(R1492="No",S1492-T1492*Assumptions!$B$9&lt;=0),"",AA1492/(Assumptions!$B$8*(S1492-T1492*Assumptions!$B$9)))</x:f>
      </x:c>
      <x:c r="AD1492" s="52" t="str">
        <x:f>IF(OR(R1492="No",U1492*S1492=0),"",AA1492/(U1492*S1492))</x:f>
      </x:c>
      <x:c r="AE1492" s="50" t="str">
        <x:f>IF(R1492="No","No finance data",IF(AB1492&gt;=10%,"Severe",IF(AB1492&gt;=5%,"High",IF(AB1492&gt;=2%,"Moderate","Low"))))</x:f>
        <x:v>No finance data</x:v>
      </x:c>
      <x:c r="AF1492" s="60"/>
      <x:c r="AG1492" s="60"/>
      <x:c r="AH1492" s="44" t="str">
        <x:v>Undergraduate tuition-contribution proxy only; not an audited total institutional budget.</x:v>
      </x:c>
    </x:row>
    <x:row r="1493">
      <x:c r="A1493" s="16" t="n">
        <x:v>243586</x:v>
      </x:c>
      <x:c r="B1493" s="16" t="str">
        <x:v>Pontifical Catholic University of Puerto Rico-Mayaguez</x:v>
      </x:c>
      <x:c r="C1493" s="16" t="str">
        <x:v>PR</x:v>
      </x:c>
      <x:c r="D1493" s="16" t="str">
        <x:v>Private nonprofit</x:v>
      </x:c>
      <x:c r="E1493" s="34" t="n">
        <x:v>1375</x:v>
      </x:c>
      <x:c r="F1493" s="21" t="n">
        <x:v>0.9544</x:v>
      </x:c>
      <x:c r="G1493" s="16" t="str">
        <x:v>Regional</x:v>
      </x:c>
      <x:c r="H1493" s="36" t="n">
        <x:f>IF(G1493="National",Assumptions!$B$11,IF(G1493="Statewide",Assumptions!$B$12,Assumptions!$B$13))</x:f>
        <x:v>0.85</x:v>
      </x:c>
      <x:c r="I1493" s="21" t="n">
        <x:v>-0.048361979489554896</x:v>
      </x:c>
      <x:c r="J1493" s="21" t="n">
        <x:v>-0.04739891965741583</x:v>
      </x:c>
      <x:c r="K1493" s="21" t="n">
        <x:v>-0.11013505452010375</x:v>
      </x:c>
      <x:c r="L1493" s="36" t="n">
        <x:f>IF(Assumptions!$B$4=2030,I1493,IF(Assumptions!$B$4=2035,J1493,K1493))</x:f>
        <x:v>-0.04739891965741583</x:v>
      </x:c>
      <x:c r="M1493" s="36" t="n">
        <x:f>Assumptions!$B$19</x:f>
        <x:v>-0.04739891965741583</x:v>
      </x:c>
      <x:c r="N1493" s="52" t="n">
        <x:f>H1493*L1493+(1-H1493)*M1493+O1493</x:f>
        <x:v>-0.04739891965741583</x:v>
      </x:c>
      <x:c r="O1493" s="36" t="n">
        <x:f>Assumptions!$B$10</x:f>
        <x:v>0</x:v>
      </x:c>
      <x:c r="P1493" s="54" t="n">
        <x:f>E1493*(1+N1493)</x:f>
        <x:v>1309.8264854710533</x:v>
      </x:c>
      <x:c r="Q1493" s="54" t="n">
        <x:f>P1493-E1493</x:f>
        <x:v>-65.17351452894673</x:v>
      </x:c>
      <x:c r="R1493" s="16" t="str">
        <x:v>Yes</x:v>
      </x:c>
      <x:c r="S1493" s="56" t="n">
        <x:v>14663</x:v>
      </x:c>
      <x:c r="T1493" s="56" t="n">
        <x:v>9872</x:v>
      </x:c>
      <x:c r="U1493" s="40" t="n">
        <x:f>E1493*Assumptions!$B$8</x:f>
        <x:v>1168.75</x:v>
      </x:c>
      <x:c r="V1493" s="40" t="n">
        <x:f>P1493*Assumptions!$B$8</x:f>
        <x:v>1113.3525126503953</x:v>
      </x:c>
      <x:c r="W1493" s="54" t="n">
        <x:f>V1493-U1493</x:f>
        <x:v>-55.39748734960472</x:v>
      </x:c>
      <x:c r="X1493" s="58" t="n">
        <x:f>IF(R1493="No","",W1493*S1493)</x:f>
        <x:v>-812293.3570072539</x:v>
      </x:c>
      <x:c r="Y1493" s="58" t="n">
        <x:f>IF(R1493="No","",W1493*T1493*Assumptions!$B$9)</x:f>
        <x:v>-164065.19853458932</x:v>
      </x:c>
      <x:c r="Z1493" s="58" t="n">
        <x:f>IF(R1493="No","",X1493-Y1493)</x:f>
        <x:v>-648228.1584726647</x:v>
      </x:c>
      <x:c r="AA1493" s="58" t="n">
        <x:f>IF(R1493="No","",MAX(0,-Z1493))</x:f>
        <x:v>648228.1584726647</x:v>
      </x:c>
      <x:c r="AB1493" s="52" t="n">
        <x:f>IF(OR(R1493="No",U1493*S1493=0),"",AA1493/(U1493*S1493))</x:f>
        <x:v>0.03782539169878506</x:v>
      </x:c>
      <x:c r="AC1493" s="54" t="n">
        <x:f>IF(OR(R1493="No",S1493-T1493*Assumptions!$B$9&lt;=0),"",AA1493/(Assumptions!$B$8*(S1493-T1493*Assumptions!$B$9)))</x:f>
        <x:v>65.17351452894674</x:v>
      </x:c>
      <x:c r="AD1493" s="52" t="n">
        <x:f>IF(OR(R1493="No",U1493*S1493=0),"",AA1493/(U1493*S1493))</x:f>
        <x:v>0.03782539169878506</x:v>
      </x:c>
      <x:c r="AE1493" s="50" t="str">
        <x:f>IF(R1493="No","No finance data",IF(AB1493&gt;=10%,"Severe",IF(AB1493&gt;=5%,"High",IF(AB1493&gt;=2%,"Moderate","Low"))))</x:f>
        <x:v>Moderate</x:v>
      </x:c>
      <x:c r="AF1493" s="60" t="n">
        <x:v>18.182375</x:v>
      </x:c>
      <x:c r="AG1493" s="60" t="n">
        <x:v>-67.145695</x:v>
      </x:c>
      <x:c r="AH1493" s="44" t="str">
        <x:v>Undergraduate tuition-contribution proxy only; not an audited total institutional budget.</x:v>
      </x:c>
    </x:row>
    <x:row r="1494">
      <x:c r="A1494" s="16" t="n">
        <x:v>241410</x:v>
      </x:c>
      <x:c r="B1494" s="16" t="str">
        <x:v>Pontifical Catholic University of Puerto Rico-Ponce</x:v>
      </x:c>
      <x:c r="C1494" s="16" t="str">
        <x:v>PR</x:v>
      </x:c>
      <x:c r="D1494" s="16" t="str">
        <x:v>Private nonprofit</x:v>
      </x:c>
      <x:c r="E1494" s="34" t="n">
        <x:v>5427</x:v>
      </x:c>
      <x:c r="F1494" s="21" t="n">
        <x:v>0.8528</x:v>
      </x:c>
      <x:c r="G1494" s="16" t="str">
        <x:v>Regional</x:v>
      </x:c>
      <x:c r="H1494" s="36" t="n">
        <x:f>IF(G1494="National",Assumptions!$B$11,IF(G1494="Statewide",Assumptions!$B$12,Assumptions!$B$13))</x:f>
        <x:v>0.85</x:v>
      </x:c>
      <x:c r="I1494" s="21" t="n">
        <x:v>-0.048361979489554896</x:v>
      </x:c>
      <x:c r="J1494" s="21" t="n">
        <x:v>-0.04739891965741583</x:v>
      </x:c>
      <x:c r="K1494" s="21" t="n">
        <x:v>-0.11013505452010375</x:v>
      </x:c>
      <x:c r="L1494" s="36" t="n">
        <x:f>IF(Assumptions!$B$4=2030,I1494,IF(Assumptions!$B$4=2035,J1494,K1494))</x:f>
        <x:v>-0.04739891965741583</x:v>
      </x:c>
      <x:c r="M1494" s="36" t="n">
        <x:f>Assumptions!$B$19</x:f>
        <x:v>-0.04739891965741583</x:v>
      </x:c>
      <x:c r="N1494" s="52" t="n">
        <x:f>H1494*L1494+(1-H1494)*M1494+O1494</x:f>
        <x:v>-0.04739891965741583</x:v>
      </x:c>
      <x:c r="O1494" s="36" t="n">
        <x:f>Assumptions!$B$10</x:f>
        <x:v>0</x:v>
      </x:c>
      <x:c r="P1494" s="54" t="n">
        <x:f>E1494*(1+N1494)</x:f>
        <x:v>5169.766063019204</x:v>
      </x:c>
      <x:c r="Q1494" s="54" t="n">
        <x:f>P1494-E1494</x:f>
        <x:v>-257.233936980796</x:v>
      </x:c>
      <x:c r="R1494" s="16" t="str">
        <x:v>Yes</x:v>
      </x:c>
      <x:c r="S1494" s="56" t="n">
        <x:v>5429</x:v>
      </x:c>
      <x:c r="T1494" s="56" t="n">
        <x:v>3655</x:v>
      </x:c>
      <x:c r="U1494" s="40" t="n">
        <x:f>E1494*Assumptions!$B$8</x:f>
        <x:v>4612.95</x:v>
      </x:c>
      <x:c r="V1494" s="40" t="n">
        <x:f>P1494*Assumptions!$B$8</x:f>
        <x:v>4394.301153566324</x:v>
      </x:c>
      <x:c r="W1494" s="54" t="n">
        <x:f>V1494-U1494</x:f>
        <x:v>-218.64884643367623</x:v>
      </x:c>
      <x:c r="X1494" s="58" t="n">
        <x:f>IF(R1494="No","",W1494*S1494)</x:f>
        <x:v>-1187044.5872884283</x:v>
      </x:c>
      <x:c r="Y1494" s="58" t="n">
        <x:f>IF(R1494="No","",W1494*T1494*Assumptions!$B$9)</x:f>
        <x:v>-239748.46011452598</x:v>
      </x:c>
      <x:c r="Z1494" s="58" t="n">
        <x:f>IF(R1494="No","",X1494-Y1494)</x:f>
        <x:v>-947296.1271739024</x:v>
      </x:c>
      <x:c r="AA1494" s="58" t="n">
        <x:f>IF(R1494="No","",MAX(0,-Z1494))</x:f>
        <x:v>947296.1271739024</x:v>
      </x:c>
      <x:c r="AB1494" s="52" t="n">
        <x:f>IF(OR(R1494="No",U1494*S1494=0),"",AA1494/(U1494*S1494))</x:f>
        <x:v>0.03782571733574396</x:v>
      </x:c>
      <x:c r="AC1494" s="54" t="n">
        <x:f>IF(OR(R1494="No",S1494-T1494*Assumptions!$B$9&lt;=0),"",AA1494/(Assumptions!$B$8*(S1494-T1494*Assumptions!$B$9)))</x:f>
        <x:v>257.2339369807956</x:v>
      </x:c>
      <x:c r="AD1494" s="52" t="n">
        <x:f>IF(OR(R1494="No",U1494*S1494=0),"",AA1494/(U1494*S1494))</x:f>
        <x:v>0.03782571733574396</x:v>
      </x:c>
      <x:c r="AE1494" s="50" t="str">
        <x:f>IF(R1494="No","No finance data",IF(AB1494&gt;=10%,"Severe",IF(AB1494&gt;=5%,"High",IF(AB1494&gt;=2%,"Moderate","Low"))))</x:f>
        <x:v>Moderate</x:v>
      </x:c>
      <x:c r="AF1494" s="60" t="n">
        <x:v>18.00165</x:v>
      </x:c>
      <x:c r="AG1494" s="60" t="n">
        <x:v>-66.617138</x:v>
      </x:c>
      <x:c r="AH1494" s="44" t="str">
        <x:v>Undergraduate tuition-contribution proxy only; not an audited total institutional budget.</x:v>
      </x:c>
    </x:row>
    <x:row r="1495">
      <x:c r="A1495" s="16" t="n">
        <x:v>241766</x:v>
      </x:c>
      <x:c r="B1495" s="16" t="str">
        <x:v>Puerto Rico Conservatory of Music</x:v>
      </x:c>
      <x:c r="C1495" s="16" t="str">
        <x:v>PR</x:v>
      </x:c>
      <x:c r="D1495" s="16" t="str">
        <x:v>Public</x:v>
      </x:c>
      <x:c r="E1495" s="34" t="n">
        <x:v>411</x:v>
      </x:c>
      <x:c r="F1495" s="21"/>
      <x:c r="G1495" s="16" t="str">
        <x:v>Regional</x:v>
      </x:c>
      <x:c r="H1495" s="36" t="n">
        <x:f>IF(G1495="National",Assumptions!$B$11,IF(G1495="Statewide",Assumptions!$B$12,Assumptions!$B$13))</x:f>
        <x:v>0.85</x:v>
      </x:c>
      <x:c r="I1495" s="21" t="n">
        <x:v>-0.048361979489554896</x:v>
      </x:c>
      <x:c r="J1495" s="21" t="n">
        <x:v>-0.04739891965741583</x:v>
      </x:c>
      <x:c r="K1495" s="21" t="n">
        <x:v>-0.11013505452010375</x:v>
      </x:c>
      <x:c r="L1495" s="36" t="n">
        <x:f>IF(Assumptions!$B$4=2030,I1495,IF(Assumptions!$B$4=2035,J1495,K1495))</x:f>
        <x:v>-0.04739891965741583</x:v>
      </x:c>
      <x:c r="M1495" s="36" t="n">
        <x:f>Assumptions!$B$19</x:f>
        <x:v>-0.04739891965741583</x:v>
      </x:c>
      <x:c r="N1495" s="52" t="n">
        <x:f>H1495*L1495+(1-H1495)*M1495+O1495</x:f>
        <x:v>-0.04739891965741583</x:v>
      </x:c>
      <x:c r="O1495" s="36" t="n">
        <x:f>Assumptions!$B$10</x:f>
        <x:v>0</x:v>
      </x:c>
      <x:c r="P1495" s="54" t="n">
        <x:f>E1495*(1+N1495)</x:f>
        <x:v>391.5190440208021</x:v>
      </x:c>
      <x:c r="Q1495" s="54" t="n">
        <x:f>P1495-E1495</x:f>
        <x:v>-19.480955979197915</x:v>
      </x:c>
      <x:c r="R1495" s="16" t="str">
        <x:v>No</x:v>
      </x:c>
      <x:c r="S1495" s="56"/>
      <x:c r="T1495" s="56"/>
      <x:c r="U1495" s="40" t="n">
        <x:f>E1495*Assumptions!$B$8</x:f>
        <x:v>349.34999999999997</x:v>
      </x:c>
      <x:c r="V1495" s="40" t="n">
        <x:f>P1495*Assumptions!$B$8</x:f>
        <x:v>332.7911874176818</x:v>
      </x:c>
      <x:c r="W1495" s="54" t="n">
        <x:f>V1495-U1495</x:f>
        <x:v>-16.558812582318183</x:v>
      </x:c>
      <x:c r="X1495" s="58" t="str">
        <x:f>IF(R1495="No","",W1495*S1495)</x:f>
      </x:c>
      <x:c r="Y1495" s="58" t="str">
        <x:f>IF(R1495="No","",W1495*T1495*Assumptions!$B$9)</x:f>
      </x:c>
      <x:c r="Z1495" s="58" t="str">
        <x:f>IF(R1495="No","",X1495-Y1495)</x:f>
      </x:c>
      <x:c r="AA1495" s="58" t="str">
        <x:f>IF(R1495="No","",MAX(0,-Z1495))</x:f>
      </x:c>
      <x:c r="AB1495" s="52" t="str">
        <x:f>IF(OR(R1495="No",U1495*S1495=0),"",AA1495/(U1495*S1495))</x:f>
      </x:c>
      <x:c r="AC1495" s="54" t="str">
        <x:f>IF(OR(R1495="No",S1495-T1495*Assumptions!$B$9&lt;=0),"",AA1495/(Assumptions!$B$8*(S1495-T1495*Assumptions!$B$9)))</x:f>
      </x:c>
      <x:c r="AD1495" s="52" t="str">
        <x:f>IF(OR(R1495="No",U1495*S1495=0),"",AA1495/(U1495*S1495))</x:f>
      </x:c>
      <x:c r="AE1495" s="50" t="str">
        <x:f>IF(R1495="No","No finance data",IF(AB1495&gt;=10%,"Severe",IF(AB1495&gt;=5%,"High",IF(AB1495&gt;=2%,"Moderate","Low"))))</x:f>
        <x:v>No finance data</x:v>
      </x:c>
      <x:c r="AF1495" s="60"/>
      <x:c r="AG1495" s="60"/>
      <x:c r="AH1495" s="44" t="str">
        <x:v>Undergraduate tuition-contribution proxy only; not an audited total institutional budget.</x:v>
      </x:c>
    </x:row>
    <x:row r="1496">
      <x:c r="A1496" s="16" t="n">
        <x:v>430670</x:v>
      </x:c>
      <x:c r="B1496" s="16" t="str">
        <x:v>San Juan Bautista School of Medicine</x:v>
      </x:c>
      <x:c r="C1496" s="16" t="str">
        <x:v>PR</x:v>
      </x:c>
      <x:c r="D1496" s="16" t="str">
        <x:v>Private nonprofit</x:v>
      </x:c>
      <x:c r="E1496" s="34" t="n">
        <x:v>36</x:v>
      </x:c>
      <x:c r="F1496" s="21"/>
      <x:c r="G1496" s="16" t="str">
        <x:v>Regional</x:v>
      </x:c>
      <x:c r="H1496" s="36" t="n">
        <x:f>IF(G1496="National",Assumptions!$B$11,IF(G1496="Statewide",Assumptions!$B$12,Assumptions!$B$13))</x:f>
        <x:v>0.85</x:v>
      </x:c>
      <x:c r="I1496" s="21" t="n">
        <x:v>-0.048361979489554896</x:v>
      </x:c>
      <x:c r="J1496" s="21" t="n">
        <x:v>-0.04739891965741583</x:v>
      </x:c>
      <x:c r="K1496" s="21" t="n">
        <x:v>-0.11013505452010375</x:v>
      </x:c>
      <x:c r="L1496" s="36" t="n">
        <x:f>IF(Assumptions!$B$4=2030,I1496,IF(Assumptions!$B$4=2035,J1496,K1496))</x:f>
        <x:v>-0.04739891965741583</x:v>
      </x:c>
      <x:c r="M1496" s="36" t="n">
        <x:f>Assumptions!$B$19</x:f>
        <x:v>-0.04739891965741583</x:v>
      </x:c>
      <x:c r="N1496" s="52" t="n">
        <x:f>H1496*L1496+(1-H1496)*M1496+O1496</x:f>
        <x:v>-0.04739891965741583</x:v>
      </x:c>
      <x:c r="O1496" s="36" t="n">
        <x:f>Assumptions!$B$10</x:f>
        <x:v>0</x:v>
      </x:c>
      <x:c r="P1496" s="54" t="n">
        <x:f>E1496*(1+N1496)</x:f>
        <x:v>34.29363889233303</x:v>
      </x:c>
      <x:c r="Q1496" s="54" t="n">
        <x:f>P1496-E1496</x:f>
        <x:v>-1.7063611076669716</x:v>
      </x:c>
      <x:c r="R1496" s="16" t="str">
        <x:v>No</x:v>
      </x:c>
      <x:c r="S1496" s="56"/>
      <x:c r="T1496" s="56"/>
      <x:c r="U1496" s="40" t="n">
        <x:f>E1496*Assumptions!$B$8</x:f>
        <x:v>30.599999999999998</x:v>
      </x:c>
      <x:c r="V1496" s="40" t="n">
        <x:f>P1496*Assumptions!$B$8</x:f>
        <x:v>29.149593058483074</x:v>
      </x:c>
      <x:c r="W1496" s="54" t="n">
        <x:f>V1496-U1496</x:f>
        <x:v>-1.450406941516924</x:v>
      </x:c>
      <x:c r="X1496" s="58" t="str">
        <x:f>IF(R1496="No","",W1496*S1496)</x:f>
      </x:c>
      <x:c r="Y1496" s="58" t="str">
        <x:f>IF(R1496="No","",W1496*T1496*Assumptions!$B$9)</x:f>
      </x:c>
      <x:c r="Z1496" s="58" t="str">
        <x:f>IF(R1496="No","",X1496-Y1496)</x:f>
      </x:c>
      <x:c r="AA1496" s="58" t="str">
        <x:f>IF(R1496="No","",MAX(0,-Z1496))</x:f>
      </x:c>
      <x:c r="AB1496" s="52" t="str">
        <x:f>IF(OR(R1496="No",U1496*S1496=0),"",AA1496/(U1496*S1496))</x:f>
      </x:c>
      <x:c r="AC1496" s="54" t="str">
        <x:f>IF(OR(R1496="No",S1496-T1496*Assumptions!$B$9&lt;=0),"",AA1496/(Assumptions!$B$8*(S1496-T1496*Assumptions!$B$9)))</x:f>
      </x:c>
      <x:c r="AD1496" s="52" t="str">
        <x:f>IF(OR(R1496="No",U1496*S1496=0),"",AA1496/(U1496*S1496))</x:f>
      </x:c>
      <x:c r="AE1496" s="50" t="str">
        <x:f>IF(R1496="No","No finance data",IF(AB1496&gt;=10%,"Severe",IF(AB1496&gt;=5%,"High",IF(AB1496&gt;=2%,"Moderate","Low"))))</x:f>
        <x:v>No finance data</x:v>
      </x:c>
      <x:c r="AF1496" s="60"/>
      <x:c r="AG1496" s="60"/>
      <x:c r="AH1496" s="44" t="str">
        <x:v>Undergraduate tuition-contribution proxy only; not an audited total institutional budget.</x:v>
      </x:c>
    </x:row>
    <x:row r="1497">
      <x:c r="A1497" s="16" t="n">
        <x:v>241191</x:v>
      </x:c>
      <x:c r="B1497" s="16" t="str">
        <x:v>Universidad Adventista de las Antillas</x:v>
      </x:c>
      <x:c r="C1497" s="16" t="str">
        <x:v>PR</x:v>
      </x:c>
      <x:c r="D1497" s="16" t="str">
        <x:v>Private nonprofit</x:v>
      </x:c>
      <x:c r="E1497" s="34" t="n">
        <x:v>1304</x:v>
      </x:c>
      <x:c r="F1497" s="21" t="n">
        <x:v>1</x:v>
      </x:c>
      <x:c r="G1497" s="16" t="str">
        <x:v>Regional</x:v>
      </x:c>
      <x:c r="H1497" s="36" t="n">
        <x:f>IF(G1497="National",Assumptions!$B$11,IF(G1497="Statewide",Assumptions!$B$12,Assumptions!$B$13))</x:f>
        <x:v>0.85</x:v>
      </x:c>
      <x:c r="I1497" s="21" t="n">
        <x:v>-0.048361979489554896</x:v>
      </x:c>
      <x:c r="J1497" s="21" t="n">
        <x:v>-0.04739891965741583</x:v>
      </x:c>
      <x:c r="K1497" s="21" t="n">
        <x:v>-0.11013505452010375</x:v>
      </x:c>
      <x:c r="L1497" s="36" t="n">
        <x:f>IF(Assumptions!$B$4=2030,I1497,IF(Assumptions!$B$4=2035,J1497,K1497))</x:f>
        <x:v>-0.04739891965741583</x:v>
      </x:c>
      <x:c r="M1497" s="36" t="n">
        <x:f>Assumptions!$B$19</x:f>
        <x:v>-0.04739891965741583</x:v>
      </x:c>
      <x:c r="N1497" s="52" t="n">
        <x:f>H1497*L1497+(1-H1497)*M1497+O1497</x:f>
        <x:v>-0.04739891965741583</x:v>
      </x:c>
      <x:c r="O1497" s="36" t="n">
        <x:f>Assumptions!$B$10</x:f>
        <x:v>0</x:v>
      </x:c>
      <x:c r="P1497" s="54" t="n">
        <x:f>E1497*(1+N1497)</x:f>
        <x:v>1242.1918087667298</x:v>
      </x:c>
      <x:c r="Q1497" s="54" t="n">
        <x:f>P1497-E1497</x:f>
        <x:v>-61.808191233270236</x:v>
      </x:c>
      <x:c r="R1497" s="16" t="str">
        <x:v>Yes</x:v>
      </x:c>
      <x:c r="S1497" s="56" t="n">
        <x:v>6781</x:v>
      </x:c>
      <x:c r="T1497" s="56" t="n">
        <x:v>3858</x:v>
      </x:c>
      <x:c r="U1497" s="40" t="n">
        <x:f>E1497*Assumptions!$B$8</x:f>
        <x:v>1108.3999999999999</x:v>
      </x:c>
      <x:c r="V1497" s="40" t="n">
        <x:f>P1497*Assumptions!$B$8</x:f>
        <x:v>1055.8630374517202</x:v>
      </x:c>
      <x:c r="W1497" s="54" t="n">
        <x:f>V1497-U1497</x:f>
        <x:v>-52.53696254827969</x:v>
      </x:c>
      <x:c r="X1497" s="58" t="n">
        <x:f>IF(R1497="No","",W1497*S1497)</x:f>
        <x:v>-356253.14303988457</x:v>
      </x:c>
      <x:c r="Y1497" s="58" t="n">
        <x:f>IF(R1497="No","",W1497*T1497*Assumptions!$B$9)</x:f>
        <x:v>-60806.2804533789</x:v>
      </x:c>
      <x:c r="Z1497" s="58" t="n">
        <x:f>IF(R1497="No","",X1497-Y1497)</x:f>
        <x:v>-295446.86258650565</x:v>
      </x:c>
      <x:c r="AA1497" s="58" t="n">
        <x:f>IF(R1497="No","",MAX(0,-Z1497))</x:f>
        <x:v>295446.86258650565</x:v>
      </x:c>
      <x:c r="AB1497" s="52" t="n">
        <x:f>IF(OR(R1497="No",U1497*S1497=0),"",AA1497/(U1497*S1497))</x:f>
        <x:v>0.03930873980024238</x:v>
      </x:c>
      <x:c r="AC1497" s="54" t="n">
        <x:f>IF(OR(R1497="No",S1497-T1497*Assumptions!$B$9&lt;=0),"",AA1497/(Assumptions!$B$8*(S1497-T1497*Assumptions!$B$9)))</x:f>
        <x:v>61.808191233270215</x:v>
      </x:c>
      <x:c r="AD1497" s="52" t="n">
        <x:f>IF(OR(R1497="No",U1497*S1497=0),"",AA1497/(U1497*S1497))</x:f>
        <x:v>0.03930873980024238</x:v>
      </x:c>
      <x:c r="AE1497" s="50" t="str">
        <x:f>IF(R1497="No","No finance data",IF(AB1497&gt;=10%,"Severe",IF(AB1497&gt;=5%,"High",IF(AB1497&gt;=2%,"Moderate","Low"))))</x:f>
        <x:v>Moderate</x:v>
      </x:c>
      <x:c r="AF1497" s="60" t="n">
        <x:v>18.205685</x:v>
      </x:c>
      <x:c r="AG1497" s="60" t="n">
        <x:v>-67.111207</x:v>
      </x:c>
      <x:c r="AH1497" s="44" t="str">
        <x:v>Undergraduate tuition-contribution proxy only; not an audited total institutional budget.</x:v>
      </x:c>
    </x:row>
    <x:row r="1498">
      <x:c r="A1498" s="16" t="n">
        <x:v>241225</x:v>
      </x:c>
      <x:c r="B1498" s="16" t="str">
        <x:v>Universidad Central de Bayamon</x:v>
      </x:c>
      <x:c r="C1498" s="16" t="str">
        <x:v>PR</x:v>
      </x:c>
      <x:c r="D1498" s="16" t="str">
        <x:v>Private nonprofit</x:v>
      </x:c>
      <x:c r="E1498" s="34" t="n">
        <x:v>1354</x:v>
      </x:c>
      <x:c r="F1498" s="21" t="n">
        <x:v>0.9829</x:v>
      </x:c>
      <x:c r="G1498" s="16" t="str">
        <x:v>Regional</x:v>
      </x:c>
      <x:c r="H1498" s="36" t="n">
        <x:f>IF(G1498="National",Assumptions!$B$11,IF(G1498="Statewide",Assumptions!$B$12,Assumptions!$B$13))</x:f>
        <x:v>0.85</x:v>
      </x:c>
      <x:c r="I1498" s="21" t="n">
        <x:v>-0.048361979489554896</x:v>
      </x:c>
      <x:c r="J1498" s="21" t="n">
        <x:v>-0.04739891965741583</x:v>
      </x:c>
      <x:c r="K1498" s="21" t="n">
        <x:v>-0.11013505452010375</x:v>
      </x:c>
      <x:c r="L1498" s="36" t="n">
        <x:f>IF(Assumptions!$B$4=2030,I1498,IF(Assumptions!$B$4=2035,J1498,K1498))</x:f>
        <x:v>-0.04739891965741583</x:v>
      </x:c>
      <x:c r="M1498" s="36" t="n">
        <x:f>Assumptions!$B$19</x:f>
        <x:v>-0.04739891965741583</x:v>
      </x:c>
      <x:c r="N1498" s="52" t="n">
        <x:f>H1498*L1498+(1-H1498)*M1498+O1498</x:f>
        <x:v>-0.04739891965741583</x:v>
      </x:c>
      <x:c r="O1498" s="36" t="n">
        <x:f>Assumptions!$B$10</x:f>
        <x:v>0</x:v>
      </x:c>
      <x:c r="P1498" s="54" t="n">
        <x:f>E1498*(1+N1498)</x:f>
        <x:v>1289.821862783859</x:v>
      </x:c>
      <x:c r="Q1498" s="54" t="n">
        <x:f>P1498-E1498</x:f>
        <x:v>-64.17813721614107</x:v>
      </x:c>
      <x:c r="R1498" s="16" t="str">
        <x:v>Yes</x:v>
      </x:c>
      <x:c r="S1498" s="56" t="n">
        <x:v>8639</x:v>
      </x:c>
      <x:c r="T1498" s="56" t="n">
        <x:v>3238</x:v>
      </x:c>
      <x:c r="U1498" s="40" t="n">
        <x:f>E1498*Assumptions!$B$8</x:f>
        <x:v>1150.8999999999999</x:v>
      </x:c>
      <x:c r="V1498" s="40" t="n">
        <x:f>P1498*Assumptions!$B$8</x:f>
        <x:v>1096.34858336628</x:v>
      </x:c>
      <x:c r="W1498" s="54" t="n">
        <x:f>V1498-U1498</x:f>
        <x:v>-54.55141663371978</x:v>
      </x:c>
      <x:c r="X1498" s="58" t="n">
        <x:f>IF(R1498="No","",W1498*S1498)</x:f>
        <x:v>-471269.6882987052</x:v>
      </x:c>
      <x:c r="Y1498" s="58" t="n">
        <x:f>IF(R1498="No","",W1498*T1498*Assumptions!$B$9)</x:f>
        <x:v>-52991.24611799539</x:v>
      </x:c>
      <x:c r="Z1498" s="58" t="n">
        <x:f>IF(R1498="No","",X1498-Y1498)</x:f>
        <x:v>-418278.4421807098</x:v>
      </x:c>
      <x:c r="AA1498" s="58" t="n">
        <x:f>IF(R1498="No","",MAX(0,-Z1498))</x:f>
        <x:v>418278.4421807098</x:v>
      </x:c>
      <x:c r="AB1498" s="52" t="n">
        <x:f>IF(OR(R1498="No",U1498*S1498=0),"",AA1498/(U1498*S1498))</x:f>
        <x:v>0.042069215923741285</x:v>
      </x:c>
      <x:c r="AC1498" s="54" t="n">
        <x:f>IF(OR(R1498="No",S1498-T1498*Assumptions!$B$9&lt;=0),"",AA1498/(Assumptions!$B$8*(S1498-T1498*Assumptions!$B$9)))</x:f>
        <x:v>64.17813721614093</x:v>
      </x:c>
      <x:c r="AD1498" s="52" t="n">
        <x:f>IF(OR(R1498="No",U1498*S1498=0),"",AA1498/(U1498*S1498))</x:f>
        <x:v>0.042069215923741285</x:v>
      </x:c>
      <x:c r="AE1498" s="50" t="str">
        <x:f>IF(R1498="No","No finance data",IF(AB1498&gt;=10%,"Severe",IF(AB1498&gt;=5%,"High",IF(AB1498&gt;=2%,"Moderate","Low"))))</x:f>
        <x:v>Moderate</x:v>
      </x:c>
      <x:c r="AF1498" s="60" t="n">
        <x:v>18.398864</x:v>
      </x:c>
      <x:c r="AG1498" s="60" t="n">
        <x:v>-66.180773</x:v>
      </x:c>
      <x:c r="AH1498" s="44" t="str">
        <x:v>Undergraduate tuition-contribution proxy only; not an audited total institutional budget.</x:v>
      </x:c>
    </x:row>
    <x:row r="1499">
      <x:c r="A1499" s="16" t="n">
        <x:v>241739</x:v>
      </x:c>
      <x:c r="B1499" s="16" t="str">
        <x:v>Universidad Metropolitana</x:v>
      </x:c>
      <x:c r="C1499" s="16" t="str">
        <x:v>PR</x:v>
      </x:c>
      <x:c r="D1499" s="16" t="str">
        <x:v>Private nonprofit</x:v>
      </x:c>
      <x:c r="E1499" s="34" t="n">
        <x:v>11589</x:v>
      </x:c>
      <x:c r="F1499" s="21"/>
      <x:c r="G1499" s="16" t="str">
        <x:v>Statewide</x:v>
      </x:c>
      <x:c r="H1499" s="36" t="n">
        <x:f>IF(G1499="National",Assumptions!$B$11,IF(G1499="Statewide",Assumptions!$B$12,Assumptions!$B$13))</x:f>
        <x:v>0.6</x:v>
      </x:c>
      <x:c r="I1499" s="21" t="n">
        <x:v>-0.048361979489554896</x:v>
      </x:c>
      <x:c r="J1499" s="21" t="n">
        <x:v>-0.04739891965741583</x:v>
      </x:c>
      <x:c r="K1499" s="21" t="n">
        <x:v>-0.11013505452010375</x:v>
      </x:c>
      <x:c r="L1499" s="36" t="n">
        <x:f>IF(Assumptions!$B$4=2030,I1499,IF(Assumptions!$B$4=2035,J1499,K1499))</x:f>
        <x:v>-0.04739891965741583</x:v>
      </x:c>
      <x:c r="M1499" s="36" t="n">
        <x:f>Assumptions!$B$19</x:f>
        <x:v>-0.04739891965741583</x:v>
      </x:c>
      <x:c r="N1499" s="52" t="n">
        <x:f>H1499*L1499+(1-H1499)*M1499+O1499</x:f>
        <x:v>-0.04739891965741583</x:v>
      </x:c>
      <x:c r="O1499" s="36" t="n">
        <x:f>Assumptions!$B$10</x:f>
        <x:v>0</x:v>
      </x:c>
      <x:c r="P1499" s="54" t="n">
        <x:f>E1499*(1+N1499)</x:f>
        <x:v>11039.693920090209</x:v>
      </x:c>
      <x:c r="Q1499" s="54" t="n">
        <x:f>P1499-E1499</x:f>
        <x:v>-549.3060799097912</x:v>
      </x:c>
      <x:c r="R1499" s="16" t="str">
        <x:v>Yes</x:v>
      </x:c>
      <x:c r="S1499" s="56" t="n">
        <x:v>7135</x:v>
      </x:c>
      <x:c r="T1499" s="56" t="n">
        <x:v>3736</x:v>
      </x:c>
      <x:c r="U1499" s="40" t="n">
        <x:f>E1499*Assumptions!$B$8</x:f>
        <x:v>9850.65</x:v>
      </x:c>
      <x:c r="V1499" s="40" t="n">
        <x:f>P1499*Assumptions!$B$8</x:f>
        <x:v>9383.739832076677</x:v>
      </x:c>
      <x:c r="W1499" s="54" t="n">
        <x:f>V1499-U1499</x:f>
        <x:v>-466.91016792332266</x:v>
      </x:c>
      <x:c r="X1499" s="58" t="n">
        <x:f>IF(R1499="No","",W1499*S1499)</x:f>
        <x:v>-3331404.048132907</x:v>
      </x:c>
      <x:c r="Y1499" s="58" t="n">
        <x:f>IF(R1499="No","",W1499*T1499*Assumptions!$B$9)</x:f>
        <x:v>-523312.91620846</x:v>
      </x:c>
      <x:c r="Z1499" s="58" t="n">
        <x:f>IF(R1499="No","",X1499-Y1499)</x:f>
        <x:v>-2808091.131924447</x:v>
      </x:c>
      <x:c r="AA1499" s="58" t="n">
        <x:f>IF(R1499="No","",MAX(0,-Z1499))</x:f>
        <x:v>2808091.131924447</x:v>
      </x:c>
      <x:c r="AB1499" s="52" t="n">
        <x:f>IF(OR(R1499="No",U1499*S1499=0),"",AA1499/(U1499*S1499))</x:f>
        <x:v>0.039953270161686046</x:v>
      </x:c>
      <x:c r="AC1499" s="54" t="n">
        <x:f>IF(OR(R1499="No",S1499-T1499*Assumptions!$B$9&lt;=0),"",AA1499/(Assumptions!$B$8*(S1499-T1499*Assumptions!$B$9)))</x:f>
        <x:v>549.3060799097914</x:v>
      </x:c>
      <x:c r="AD1499" s="52" t="n">
        <x:f>IF(OR(R1499="No",U1499*S1499=0),"",AA1499/(U1499*S1499))</x:f>
        <x:v>0.039953270161686046</x:v>
      </x:c>
      <x:c r="AE1499" s="50" t="str">
        <x:f>IF(R1499="No","No finance data",IF(AB1499&gt;=10%,"Severe",IF(AB1499&gt;=5%,"High",IF(AB1499&gt;=2%,"Moderate","Low"))))</x:f>
        <x:v>Moderate</x:v>
      </x:c>
      <x:c r="AF1499" s="60" t="n">
        <x:v>18.387183</x:v>
      </x:c>
      <x:c r="AG1499" s="60" t="n">
        <x:v>-66.061647</x:v>
      </x:c>
      <x:c r="AH1499" s="44" t="str">
        <x:v>Undergraduate tuition-contribution proxy only; not an audited total institutional budget.</x:v>
      </x:c>
    </x:row>
    <x:row r="1500">
      <x:c r="A1500" s="16" t="n">
        <x:v>243577</x:v>
      </x:c>
      <x:c r="B1500" s="16" t="str">
        <x:v>Universidad Politecnica de Puerto Rico</x:v>
      </x:c>
      <x:c r="C1500" s="16" t="str">
        <x:v>PR</x:v>
      </x:c>
      <x:c r="D1500" s="16" t="str">
        <x:v>Private nonprofit</x:v>
      </x:c>
      <x:c r="E1500" s="34" t="n">
        <x:v>3475</x:v>
      </x:c>
      <x:c r="F1500" s="21"/>
      <x:c r="G1500" s="16" t="str">
        <x:v>Regional</x:v>
      </x:c>
      <x:c r="H1500" s="36" t="n">
        <x:f>IF(G1500="National",Assumptions!$B$11,IF(G1500="Statewide",Assumptions!$B$12,Assumptions!$B$13))</x:f>
        <x:v>0.85</x:v>
      </x:c>
      <x:c r="I1500" s="21" t="n">
        <x:v>-0.048361979489554896</x:v>
      </x:c>
      <x:c r="J1500" s="21" t="n">
        <x:v>-0.04739891965741583</x:v>
      </x:c>
      <x:c r="K1500" s="21" t="n">
        <x:v>-0.11013505452010375</x:v>
      </x:c>
      <x:c r="L1500" s="36" t="n">
        <x:f>IF(Assumptions!$B$4=2030,I1500,IF(Assumptions!$B$4=2035,J1500,K1500))</x:f>
        <x:v>-0.04739891965741583</x:v>
      </x:c>
      <x:c r="M1500" s="36" t="n">
        <x:f>Assumptions!$B$19</x:f>
        <x:v>-0.04739891965741583</x:v>
      </x:c>
      <x:c r="N1500" s="52" t="n">
        <x:f>H1500*L1500+(1-H1500)*M1500+O1500</x:f>
        <x:v>-0.04739891965741583</x:v>
      </x:c>
      <x:c r="O1500" s="36" t="n">
        <x:f>Assumptions!$B$10</x:f>
        <x:v>0</x:v>
      </x:c>
      <x:c r="P1500" s="54" t="n">
        <x:f>E1500*(1+N1500)</x:f>
        <x:v>3310.28875419048</x:v>
      </x:c>
      <x:c r="Q1500" s="54" t="n">
        <x:f>P1500-E1500</x:f>
        <x:v>-164.71124580951982</x:v>
      </x:c>
      <x:c r="R1500" s="16" t="str">
        <x:v>Yes</x:v>
      </x:c>
      <x:c r="S1500" s="56" t="n">
        <x:v>8181</x:v>
      </x:c>
      <x:c r="T1500" s="56" t="n">
        <x:v>2515</x:v>
      </x:c>
      <x:c r="U1500" s="40" t="n">
        <x:f>E1500*Assumptions!$B$8</x:f>
        <x:v>2953.75</x:v>
      </x:c>
      <x:c r="V1500" s="40" t="n">
        <x:f>P1500*Assumptions!$B$8</x:f>
        <x:v>2813.745441061908</x:v>
      </x:c>
      <x:c r="W1500" s="54" t="n">
        <x:f>V1500-U1500</x:f>
        <x:v>-140.00455893809203</x:v>
      </x:c>
      <x:c r="X1500" s="58" t="n">
        <x:f>IF(R1500="No","",W1500*S1500)</x:f>
        <x:v>-1145377.296672531</x:v>
      </x:c>
      <x:c r="Y1500" s="58" t="n">
        <x:f>IF(R1500="No","",W1500*T1500*Assumptions!$B$9)</x:f>
        <x:v>-105633.43971879043</x:v>
      </x:c>
      <x:c r="Z1500" s="58" t="n">
        <x:f>IF(R1500="No","",X1500-Y1500)</x:f>
        <x:v>-1039743.8569537405</x:v>
      </x:c>
      <x:c r="AA1500" s="58" t="n">
        <x:f>IF(R1500="No","",MAX(0,-Z1500))</x:f>
        <x:v>1039743.8569537405</x:v>
      </x:c>
      <x:c r="AB1500" s="52" t="n">
        <x:f>IF(OR(R1500="No",U1500*S1500=0),"",AA1500/(U1500*S1500))</x:f>
        <x:v>0.043027512142256294</x:v>
      </x:c>
      <x:c r="AC1500" s="54" t="n">
        <x:f>IF(OR(R1500="No",S1500-T1500*Assumptions!$B$9&lt;=0),"",AA1500/(Assumptions!$B$8*(S1500-T1500*Assumptions!$B$9)))</x:f>
        <x:v>164.71124580952005</x:v>
      </x:c>
      <x:c r="AD1500" s="52" t="n">
        <x:f>IF(OR(R1500="No",U1500*S1500=0),"",AA1500/(U1500*S1500))</x:f>
        <x:v>0.043027512142256294</x:v>
      </x:c>
      <x:c r="AE1500" s="50" t="str">
        <x:f>IF(R1500="No","No finance data",IF(AB1500&gt;=10%,"Severe",IF(AB1500&gt;=5%,"High",IF(AB1500&gt;=2%,"Moderate","Low"))))</x:f>
        <x:v>Moderate</x:v>
      </x:c>
      <x:c r="AF1500" s="60" t="n">
        <x:v>18.422195</x:v>
      </x:c>
      <x:c r="AG1500" s="60" t="n">
        <x:v>-66.056084</x:v>
      </x:c>
      <x:c r="AH1500" s="44" t="str">
        <x:v>Undergraduate tuition-contribution proxy only; not an audited total institutional budget.</x:v>
      </x:c>
    </x:row>
    <x:row r="1501">
      <x:c r="A1501" s="16" t="n">
        <x:v>241614</x:v>
      </x:c>
      <x:c r="B1501" s="16" t="str">
        <x:v>Universidad Teologica del Caribe</x:v>
      </x:c>
      <x:c r="C1501" s="16" t="str">
        <x:v>PR</x:v>
      </x:c>
      <x:c r="D1501" s="16" t="str">
        <x:v>Private nonprofit</x:v>
      </x:c>
      <x:c r="E1501" s="34" t="n">
        <x:v>240</x:v>
      </x:c>
      <x:c r="F1501" s="21"/>
      <x:c r="G1501" s="16" t="str">
        <x:v>Regional</x:v>
      </x:c>
      <x:c r="H1501" s="36" t="n">
        <x:f>IF(G1501="National",Assumptions!$B$11,IF(G1501="Statewide",Assumptions!$B$12,Assumptions!$B$13))</x:f>
        <x:v>0.85</x:v>
      </x:c>
      <x:c r="I1501" s="21" t="n">
        <x:v>-0.048361979489554896</x:v>
      </x:c>
      <x:c r="J1501" s="21" t="n">
        <x:v>-0.04739891965741583</x:v>
      </x:c>
      <x:c r="K1501" s="21" t="n">
        <x:v>-0.11013505452010375</x:v>
      </x:c>
      <x:c r="L1501" s="36" t="n">
        <x:f>IF(Assumptions!$B$4=2030,I1501,IF(Assumptions!$B$4=2035,J1501,K1501))</x:f>
        <x:v>-0.04739891965741583</x:v>
      </x:c>
      <x:c r="M1501" s="36" t="n">
        <x:f>Assumptions!$B$19</x:f>
        <x:v>-0.04739891965741583</x:v>
      </x:c>
      <x:c r="N1501" s="52" t="n">
        <x:f>H1501*L1501+(1-H1501)*M1501+O1501</x:f>
        <x:v>-0.04739891965741583</x:v>
      </x:c>
      <x:c r="O1501" s="36" t="n">
        <x:f>Assumptions!$B$10</x:f>
        <x:v>0</x:v>
      </x:c>
      <x:c r="P1501" s="54" t="n">
        <x:f>E1501*(1+N1501)</x:f>
        <x:v>228.6242592822202</x:v>
      </x:c>
      <x:c r="Q1501" s="54" t="n">
        <x:f>P1501-E1501</x:f>
        <x:v>-11.375740717779792</x:v>
      </x:c>
      <x:c r="R1501" s="16" t="str">
        <x:v>No</x:v>
      </x:c>
      <x:c r="S1501" s="56"/>
      <x:c r="T1501" s="56"/>
      <x:c r="U1501" s="40" t="n">
        <x:f>E1501*Assumptions!$B$8</x:f>
        <x:v>204</x:v>
      </x:c>
      <x:c r="V1501" s="40" t="n">
        <x:f>P1501*Assumptions!$B$8</x:f>
        <x:v>194.33062038988717</x:v>
      </x:c>
      <x:c r="W1501" s="54" t="n">
        <x:f>V1501-U1501</x:f>
        <x:v>-9.669379610112827</x:v>
      </x:c>
      <x:c r="X1501" s="58" t="str">
        <x:f>IF(R1501="No","",W1501*S1501)</x:f>
      </x:c>
      <x:c r="Y1501" s="58" t="str">
        <x:f>IF(R1501="No","",W1501*T1501*Assumptions!$B$9)</x:f>
      </x:c>
      <x:c r="Z1501" s="58" t="str">
        <x:f>IF(R1501="No","",X1501-Y1501)</x:f>
      </x:c>
      <x:c r="AA1501" s="58" t="str">
        <x:f>IF(R1501="No","",MAX(0,-Z1501))</x:f>
      </x:c>
      <x:c r="AB1501" s="52" t="str">
        <x:f>IF(OR(R1501="No",U1501*S1501=0),"",AA1501/(U1501*S1501))</x:f>
      </x:c>
      <x:c r="AC1501" s="54" t="str">
        <x:f>IF(OR(R1501="No",S1501-T1501*Assumptions!$B$9&lt;=0),"",AA1501/(Assumptions!$B$8*(S1501-T1501*Assumptions!$B$9)))</x:f>
      </x:c>
      <x:c r="AD1501" s="52" t="str">
        <x:f>IF(OR(R1501="No",U1501*S1501=0),"",AA1501/(U1501*S1501))</x:f>
      </x:c>
      <x:c r="AE1501" s="50" t="str">
        <x:f>IF(R1501="No","No finance data",IF(AB1501&gt;=10%,"Severe",IF(AB1501&gt;=5%,"High",IF(AB1501&gt;=2%,"Moderate","Low"))))</x:f>
        <x:v>No finance data</x:v>
      </x:c>
      <x:c r="AF1501" s="60"/>
      <x:c r="AG1501" s="60"/>
      <x:c r="AH1501" s="44" t="str">
        <x:v>Undergraduate tuition-contribution proxy only; not an audited total institutional budget.</x:v>
      </x:c>
    </x:row>
    <x:row r="1502">
      <x:c r="A1502" s="16" t="n">
        <x:v>243346</x:v>
      </x:c>
      <x:c r="B1502" s="16" t="str">
        <x:v>Universidad del Este</x:v>
      </x:c>
      <x:c r="C1502" s="16" t="str">
        <x:v>PR</x:v>
      </x:c>
      <x:c r="D1502" s="16" t="str">
        <x:v>Private nonprofit</x:v>
      </x:c>
      <x:c r="E1502" s="34" t="n">
        <x:v>11825</x:v>
      </x:c>
      <x:c r="F1502" s="21"/>
      <x:c r="G1502" s="16" t="str">
        <x:v>Statewide</x:v>
      </x:c>
      <x:c r="H1502" s="36" t="n">
        <x:f>IF(G1502="National",Assumptions!$B$11,IF(G1502="Statewide",Assumptions!$B$12,Assumptions!$B$13))</x:f>
        <x:v>0.6</x:v>
      </x:c>
      <x:c r="I1502" s="21" t="n">
        <x:v>-0.048361979489554896</x:v>
      </x:c>
      <x:c r="J1502" s="21" t="n">
        <x:v>-0.04739891965741583</x:v>
      </x:c>
      <x:c r="K1502" s="21" t="n">
        <x:v>-0.11013505452010375</x:v>
      </x:c>
      <x:c r="L1502" s="36" t="n">
        <x:f>IF(Assumptions!$B$4=2030,I1502,IF(Assumptions!$B$4=2035,J1502,K1502))</x:f>
        <x:v>-0.04739891965741583</x:v>
      </x:c>
      <x:c r="M1502" s="36" t="n">
        <x:f>Assumptions!$B$19</x:f>
        <x:v>-0.04739891965741583</x:v>
      </x:c>
      <x:c r="N1502" s="52" t="n">
        <x:f>H1502*L1502+(1-H1502)*M1502+O1502</x:f>
        <x:v>-0.04739891965741583</x:v>
      </x:c>
      <x:c r="O1502" s="36" t="n">
        <x:f>Assumptions!$B$10</x:f>
        <x:v>0</x:v>
      </x:c>
      <x:c r="P1502" s="54" t="n">
        <x:f>E1502*(1+N1502)</x:f>
        <x:v>11264.507775051057</x:v>
      </x:c>
      <x:c r="Q1502" s="54" t="n">
        <x:f>P1502-E1502</x:f>
        <x:v>-560.4922249489427</x:v>
      </x:c>
      <x:c r="R1502" s="16" t="str">
        <x:v>Yes</x:v>
      </x:c>
      <x:c r="S1502" s="56" t="n">
        <x:v>7576</x:v>
      </x:c>
      <x:c r="T1502" s="56" t="n">
        <x:v>3554</x:v>
      </x:c>
      <x:c r="U1502" s="40" t="n">
        <x:f>E1502*Assumptions!$B$8</x:f>
        <x:v>10051.25</x:v>
      </x:c>
      <x:c r="V1502" s="40" t="n">
        <x:f>P1502*Assumptions!$B$8</x:f>
        <x:v>9574.831608793398</x:v>
      </x:c>
      <x:c r="W1502" s="54" t="n">
        <x:f>V1502-U1502</x:f>
        <x:v>-476.4183912066019</x:v>
      </x:c>
      <x:c r="X1502" s="58" t="n">
        <x:f>IF(R1502="No","",W1502*S1502)</x:f>
        <x:v>-3609345.731781216</x:v>
      </x:c>
      <x:c r="Y1502" s="58" t="n">
        <x:f>IF(R1502="No","",W1502*T1502*Assumptions!$B$9)</x:f>
        <x:v>-507957.2887044789</x:v>
      </x:c>
      <x:c r="Z1502" s="58" t="n">
        <x:f>IF(R1502="No","",X1502-Y1502)</x:f>
        <x:v>-3101388.443076737</x:v>
      </x:c>
      <x:c r="AA1502" s="58" t="n">
        <x:f>IF(R1502="No","",MAX(0,-Z1502))</x:f>
        <x:v>3101388.443076737</x:v>
      </x:c>
      <x:c r="AB1502" s="52" t="n">
        <x:f>IF(OR(R1502="No",U1502*S1502=0),"",AA1502/(U1502*S1502))</x:f>
        <x:v>0.0407282850034116</x:v>
      </x:c>
      <x:c r="AC1502" s="54" t="n">
        <x:f>IF(OR(R1502="No",S1502-T1502*Assumptions!$B$9&lt;=0),"",AA1502/(Assumptions!$B$8*(S1502-T1502*Assumptions!$B$9)))</x:f>
        <x:v>560.4922249489434</x:v>
      </x:c>
      <x:c r="AD1502" s="52" t="n">
        <x:f>IF(OR(R1502="No",U1502*S1502=0),"",AA1502/(U1502*S1502))</x:f>
        <x:v>0.0407282850034116</x:v>
      </x:c>
      <x:c r="AE1502" s="50" t="str">
        <x:f>IF(R1502="No","No finance data",IF(AB1502&gt;=10%,"Severe",IF(AB1502&gt;=5%,"High",IF(AB1502&gt;=2%,"Moderate","Low"))))</x:f>
        <x:v>Moderate</x:v>
      </x:c>
      <x:c r="AF1502" s="60" t="n">
        <x:v>18.414805</x:v>
      </x:c>
      <x:c r="AG1502" s="60" t="n">
        <x:v>-65.983869</x:v>
      </x:c>
      <x:c r="AH1502" s="44" t="str">
        <x:v>Undergraduate tuition-contribution proxy only; not an audited total institutional budget.</x:v>
      </x:c>
    </x:row>
    <x:row r="1503">
      <x:c r="A1503" s="16" t="n">
        <x:v>243443</x:v>
      </x:c>
      <x:c r="B1503" s="16" t="str">
        <x:v>Universidad del Sagrado Corazon</x:v>
      </x:c>
      <x:c r="C1503" s="16" t="str">
        <x:v>PR</x:v>
      </x:c>
      <x:c r="D1503" s="16" t="str">
        <x:v>Private nonprofit</x:v>
      </x:c>
      <x:c r="E1503" s="34" t="n">
        <x:v>4415</x:v>
      </x:c>
      <x:c r="F1503" s="21" t="n">
        <x:v>0.6156</x:v>
      </x:c>
      <x:c r="G1503" s="16" t="str">
        <x:v>Regional</x:v>
      </x:c>
      <x:c r="H1503" s="36" t="n">
        <x:f>IF(G1503="National",Assumptions!$B$11,IF(G1503="Statewide",Assumptions!$B$12,Assumptions!$B$13))</x:f>
        <x:v>0.85</x:v>
      </x:c>
      <x:c r="I1503" s="21" t="n">
        <x:v>-0.048361979489554896</x:v>
      </x:c>
      <x:c r="J1503" s="21" t="n">
        <x:v>-0.04739891965741583</x:v>
      </x:c>
      <x:c r="K1503" s="21" t="n">
        <x:v>-0.11013505452010375</x:v>
      </x:c>
      <x:c r="L1503" s="36" t="n">
        <x:f>IF(Assumptions!$B$4=2030,I1503,IF(Assumptions!$B$4=2035,J1503,K1503))</x:f>
        <x:v>-0.04739891965741583</x:v>
      </x:c>
      <x:c r="M1503" s="36" t="n">
        <x:f>Assumptions!$B$19</x:f>
        <x:v>-0.04739891965741583</x:v>
      </x:c>
      <x:c r="N1503" s="52" t="n">
        <x:f>H1503*L1503+(1-H1503)*M1503+O1503</x:f>
        <x:v>-0.04739891965741583</x:v>
      </x:c>
      <x:c r="O1503" s="36" t="n">
        <x:f>Assumptions!$B$10</x:f>
        <x:v>0</x:v>
      </x:c>
      <x:c r="P1503" s="54" t="n">
        <x:f>E1503*(1+N1503)</x:f>
        <x:v>4205.7337697125095</x:v>
      </x:c>
      <x:c r="Q1503" s="54" t="n">
        <x:f>P1503-E1503</x:f>
        <x:v>-209.26623028749054</x:v>
      </x:c>
      <x:c r="R1503" s="16" t="str">
        <x:v>Yes</x:v>
      </x:c>
      <x:c r="S1503" s="56" t="n">
        <x:v>7257</x:v>
      </x:c>
      <x:c r="T1503" s="56" t="n">
        <x:v>3205</x:v>
      </x:c>
      <x:c r="U1503" s="40" t="n">
        <x:f>E1503*Assumptions!$B$8</x:f>
        <x:v>3752.75</x:v>
      </x:c>
      <x:c r="V1503" s="40" t="n">
        <x:f>P1503*Assumptions!$B$8</x:f>
        <x:v>3574.873704255633</x:v>
      </x:c>
      <x:c r="W1503" s="54" t="n">
        <x:f>V1503-U1503</x:f>
        <x:v>-177.87629574436687</x:v>
      </x:c>
      <x:c r="X1503" s="58" t="n">
        <x:f>IF(R1503="No","",W1503*S1503)</x:f>
        <x:v>-1290848.2782168703</x:v>
      </x:c>
      <x:c r="Y1503" s="58" t="n">
        <x:f>IF(R1503="No","",W1503*T1503*Assumptions!$B$9)</x:f>
        <x:v>-171028.05835820874</x:v>
      </x:c>
      <x:c r="Z1503" s="58" t="n">
        <x:f>IF(R1503="No","",X1503-Y1503)</x:f>
        <x:v>-1119820.2198586615</x:v>
      </x:c>
      <x:c r="AA1503" s="58" t="n">
        <x:f>IF(R1503="No","",MAX(0,-Z1503))</x:f>
        <x:v>1119820.2198586615</x:v>
      </x:c>
      <x:c r="AB1503" s="52" t="n">
        <x:f>IF(OR(R1503="No",U1503*S1503=0),"",AA1503/(U1503*S1503))</x:f>
        <x:v>0.04111890570528603</x:v>
      </x:c>
      <x:c r="AC1503" s="54" t="n">
        <x:f>IF(OR(R1503="No",S1503-T1503*Assumptions!$B$9&lt;=0),"",AA1503/(Assumptions!$B$8*(S1503-T1503*Assumptions!$B$9)))</x:f>
        <x:v>209.2662302874904</x:v>
      </x:c>
      <x:c r="AD1503" s="52" t="n">
        <x:f>IF(OR(R1503="No",U1503*S1503=0),"",AA1503/(U1503*S1503))</x:f>
        <x:v>0.04111890570528603</x:v>
      </x:c>
      <x:c r="AE1503" s="50" t="str">
        <x:f>IF(R1503="No","No finance data",IF(AB1503&gt;=10%,"Severe",IF(AB1503&gt;=5%,"High",IF(AB1503&gt;=2%,"Moderate","Low"))))</x:f>
        <x:v>Moderate</x:v>
      </x:c>
      <x:c r="AF1503" s="60" t="n">
        <x:v>18.441166</x:v>
      </x:c>
      <x:c r="AG1503" s="60" t="n">
        <x:v>-66.059617</x:v>
      </x:c>
      <x:c r="AH1503" s="44" t="str">
        <x:v>Undergraduate tuition-contribution proxy only; not an audited total institutional budget.</x:v>
      </x:c>
    </x:row>
    <x:row r="1504">
      <x:c r="A1504" s="16" t="n">
        <x:v>243601</x:v>
      </x:c>
      <x:c r="B1504" s="16" t="str">
        <x:v>Universidad del Turabo</x:v>
      </x:c>
      <x:c r="C1504" s="16" t="str">
        <x:v>PR</x:v>
      </x:c>
      <x:c r="D1504" s="16" t="str">
        <x:v>Private nonprofit</x:v>
      </x:c>
      <x:c r="E1504" s="34" t="n">
        <x:v>14696</x:v>
      </x:c>
      <x:c r="F1504" s="21"/>
      <x:c r="G1504" s="16" t="str">
        <x:v>Statewide</x:v>
      </x:c>
      <x:c r="H1504" s="36" t="n">
        <x:f>IF(G1504="National",Assumptions!$B$11,IF(G1504="Statewide",Assumptions!$B$12,Assumptions!$B$13))</x:f>
        <x:v>0.6</x:v>
      </x:c>
      <x:c r="I1504" s="21" t="n">
        <x:v>-0.048361979489554896</x:v>
      </x:c>
      <x:c r="J1504" s="21" t="n">
        <x:v>-0.04739891965741583</x:v>
      </x:c>
      <x:c r="K1504" s="21" t="n">
        <x:v>-0.11013505452010375</x:v>
      </x:c>
      <x:c r="L1504" s="36" t="n">
        <x:f>IF(Assumptions!$B$4=2030,I1504,IF(Assumptions!$B$4=2035,J1504,K1504))</x:f>
        <x:v>-0.04739891965741583</x:v>
      </x:c>
      <x:c r="M1504" s="36" t="n">
        <x:f>Assumptions!$B$19</x:f>
        <x:v>-0.04739891965741583</x:v>
      </x:c>
      <x:c r="N1504" s="52" t="n">
        <x:f>H1504*L1504+(1-H1504)*M1504+O1504</x:f>
        <x:v>-0.04739891965741583</x:v>
      </x:c>
      <x:c r="O1504" s="36" t="n">
        <x:f>Assumptions!$B$10</x:f>
        <x:v>0</x:v>
      </x:c>
      <x:c r="P1504" s="54" t="n">
        <x:f>E1504*(1+N1504)</x:f>
        <x:v>13999.425476714618</x:v>
      </x:c>
      <x:c r="Q1504" s="54" t="n">
        <x:f>P1504-E1504</x:f>
        <x:v>-696.5745232853824</x:v>
      </x:c>
      <x:c r="R1504" s="16" t="str">
        <x:v>Yes</x:v>
      </x:c>
      <x:c r="S1504" s="56" t="n">
        <x:v>7638</x:v>
      </x:c>
      <x:c r="T1504" s="56" t="n">
        <x:v>3527</x:v>
      </x:c>
      <x:c r="U1504" s="40" t="n">
        <x:f>E1504*Assumptions!$B$8</x:f>
        <x:v>12491.6</x:v>
      </x:c>
      <x:c r="V1504" s="40" t="n">
        <x:f>P1504*Assumptions!$B$8</x:f>
        <x:v>11899.511655207425</x:v>
      </x:c>
      <x:c r="W1504" s="54" t="n">
        <x:f>V1504-U1504</x:f>
        <x:v>-592.0883447925753</x:v>
      </x:c>
      <x:c r="X1504" s="58" t="n">
        <x:f>IF(R1504="No","",W1504*S1504)</x:f>
        <x:v>-4522370.77752569</x:v>
      </x:c>
      <x:c r="Y1504" s="58" t="n">
        <x:f>IF(R1504="No","",W1504*T1504*Assumptions!$B$9)</x:f>
        <x:v>-626488.6776250239</x:v>
      </x:c>
      <x:c r="Z1504" s="58" t="n">
        <x:f>IF(R1504="No","",X1504-Y1504)</x:f>
        <x:v>-3895882.0999006666</x:v>
      </x:c>
      <x:c r="AA1504" s="58" t="n">
        <x:f>IF(R1504="No","",MAX(0,-Z1504))</x:f>
        <x:v>3895882.0999006666</x:v>
      </x:c>
      <x:c r="AB1504" s="52" t="n">
        <x:f>IF(OR(R1504="No",U1504*S1504=0),"",AA1504/(U1504*S1504))</x:f>
        <x:v>0.040832698540695246</x:v>
      </x:c>
      <x:c r="AC1504" s="54" t="n">
        <x:f>IF(OR(R1504="No",S1504-T1504*Assumptions!$B$9&lt;=0),"",AA1504/(Assumptions!$B$8*(S1504-T1504*Assumptions!$B$9)))</x:f>
        <x:v>696.5745232853828</x:v>
      </x:c>
      <x:c r="AD1504" s="52" t="n">
        <x:f>IF(OR(R1504="No",U1504*S1504=0),"",AA1504/(U1504*S1504))</x:f>
        <x:v>0.040832698540695246</x:v>
      </x:c>
      <x:c r="AE1504" s="50" t="str">
        <x:f>IF(R1504="No","No finance data",IF(AB1504&gt;=10%,"Severe",IF(AB1504&gt;=5%,"High",IF(AB1504&gt;=2%,"Moderate","Low"))))</x:f>
        <x:v>Moderate</x:v>
      </x:c>
      <x:c r="AF1504" s="60" t="n">
        <x:v>18.239647</x:v>
      </x:c>
      <x:c r="AG1504" s="60" t="n">
        <x:v>-66.006259</x:v>
      </x:c>
      <x:c r="AH1504" s="44" t="str">
        <x:v>Undergraduate tuition-contribution proxy only; not an audited total institutional budget.</x:v>
      </x:c>
    </x:row>
    <x:row r="1505">
      <x:c r="A1505" s="16" t="n">
        <x:v>243106</x:v>
      </x:c>
      <x:c r="B1505" s="16" t="str">
        <x:v>University of Puerto Rico-Aguadilla</x:v>
      </x:c>
      <x:c r="C1505" s="16" t="str">
        <x:v>PR</x:v>
      </x:c>
      <x:c r="D1505" s="16" t="str">
        <x:v>Public</x:v>
      </x:c>
      <x:c r="E1505" s="34" t="n">
        <x:v>3086</x:v>
      </x:c>
      <x:c r="F1505" s="21" t="n">
        <x:v>0.8971</x:v>
      </x:c>
      <x:c r="G1505" s="16" t="str">
        <x:v>Regional</x:v>
      </x:c>
      <x:c r="H1505" s="36" t="n">
        <x:f>IF(G1505="National",Assumptions!$B$11,IF(G1505="Statewide",Assumptions!$B$12,Assumptions!$B$13))</x:f>
        <x:v>0.85</x:v>
      </x:c>
      <x:c r="I1505" s="21" t="n">
        <x:v>-0.048361979489554896</x:v>
      </x:c>
      <x:c r="J1505" s="21" t="n">
        <x:v>-0.04739891965741583</x:v>
      </x:c>
      <x:c r="K1505" s="21" t="n">
        <x:v>-0.11013505452010375</x:v>
      </x:c>
      <x:c r="L1505" s="36" t="n">
        <x:f>IF(Assumptions!$B$4=2030,I1505,IF(Assumptions!$B$4=2035,J1505,K1505))</x:f>
        <x:v>-0.04739891965741583</x:v>
      </x:c>
      <x:c r="M1505" s="36" t="n">
        <x:f>Assumptions!$B$19</x:f>
        <x:v>-0.04739891965741583</x:v>
      </x:c>
      <x:c r="N1505" s="52" t="n">
        <x:f>H1505*L1505+(1-H1505)*M1505+O1505</x:f>
        <x:v>-0.04739891965741583</x:v>
      </x:c>
      <x:c r="O1505" s="36" t="n">
        <x:f>Assumptions!$B$10</x:f>
        <x:v>0</x:v>
      </x:c>
      <x:c r="P1505" s="54" t="n">
        <x:f>E1505*(1+N1505)</x:f>
        <x:v>2939.7269339372147</x:v>
      </x:c>
      <x:c r="Q1505" s="54" t="n">
        <x:f>P1505-E1505</x:f>
        <x:v>-146.27306606278535</x:v>
      </x:c>
      <x:c r="R1505" s="16" t="str">
        <x:v>Yes</x:v>
      </x:c>
      <x:c r="S1505" s="56" t="n">
        <x:v>426</x:v>
      </x:c>
      <x:c r="T1505" s="56" t="n">
        <x:v>5206</x:v>
      </x:c>
      <x:c r="U1505" s="40" t="n">
        <x:f>E1505*Assumptions!$B$8</x:f>
        <x:v>2623.1</x:v>
      </x:c>
      <x:c r="V1505" s="40" t="n">
        <x:f>P1505*Assumptions!$B$8</x:f>
        <x:v>2498.7678938466324</x:v>
      </x:c>
      <x:c r="W1505" s="54" t="n">
        <x:f>V1505-U1505</x:f>
        <x:v>-124.33210615336748</x:v>
      </x:c>
      <x:c r="X1505" s="58" t="n">
        <x:f>IF(R1505="No","",W1505*S1505)</x:f>
        <x:v>-52965.47722133454</x:v>
      </x:c>
      <x:c r="Y1505" s="58" t="n">
        <x:f>IF(R1505="No","",W1505*T1505*Assumptions!$B$9)</x:f>
        <x:v>-194181.8833903293</x:v>
      </x:c>
      <x:c r="Z1505" s="58" t="n">
        <x:f>IF(R1505="No","",X1505-Y1505)</x:f>
        <x:v>141216.40616899478</x:v>
      </x:c>
      <x:c r="AA1505" s="58" t="n">
        <x:f>IF(R1505="No","",MAX(0,-Z1505))</x:f>
        <x:v>0</x:v>
      </x:c>
      <x:c r="AB1505" s="52" t="n">
        <x:f>IF(OR(R1505="No",U1505*S1505=0),"",AA1505/(U1505*S1505))</x:f>
        <x:v>0</x:v>
      </x:c>
      <x:c r="AC1505" s="54" t="str">
        <x:f>IF(OR(R1505="No",S1505-T1505*Assumptions!$B$9&lt;=0),"",AA1505/(Assumptions!$B$8*(S1505-T1505*Assumptions!$B$9)))</x:f>
      </x:c>
      <x:c r="AD1505" s="52" t="n">
        <x:f>IF(OR(R1505="No",U1505*S1505=0),"",AA1505/(U1505*S1505))</x:f>
        <x:v>0</x:v>
      </x:c>
      <x:c r="AE1505" s="50" t="str">
        <x:f>IF(R1505="No","No finance data",IF(AB1505&gt;=10%,"Severe",IF(AB1505&gt;=5%,"High",IF(AB1505&gt;=2%,"Moderate","Low"))))</x:f>
        <x:v>Low</x:v>
      </x:c>
      <x:c r="AF1505" s="60" t="n">
        <x:v>18.498652</x:v>
      </x:c>
      <x:c r="AG1505" s="60" t="n">
        <x:v>-67.13793</x:v>
      </x:c>
      <x:c r="AH1505" s="44" t="str">
        <x:v>Undergraduate tuition-contribution proxy only; not an audited total institutional budget.</x:v>
      </x:c>
    </x:row>
    <x:row r="1506">
      <x:c r="A1506" s="16" t="n">
        <x:v>243115</x:v>
      </x:c>
      <x:c r="B1506" s="16" t="str">
        <x:v>University of Puerto Rico-Arecibo</x:v>
      </x:c>
      <x:c r="C1506" s="16" t="str">
        <x:v>PR</x:v>
      </x:c>
      <x:c r="D1506" s="16" t="str">
        <x:v>Public</x:v>
      </x:c>
      <x:c r="E1506" s="34" t="n">
        <x:v>3846</x:v>
      </x:c>
      <x:c r="F1506" s="21" t="n">
        <x:v>0.5582</x:v>
      </x:c>
      <x:c r="G1506" s="16" t="str">
        <x:v>Regional</x:v>
      </x:c>
      <x:c r="H1506" s="36" t="n">
        <x:f>IF(G1506="National",Assumptions!$B$11,IF(G1506="Statewide",Assumptions!$B$12,Assumptions!$B$13))</x:f>
        <x:v>0.85</x:v>
      </x:c>
      <x:c r="I1506" s="21" t="n">
        <x:v>-0.048361979489554896</x:v>
      </x:c>
      <x:c r="J1506" s="21" t="n">
        <x:v>-0.04739891965741583</x:v>
      </x:c>
      <x:c r="K1506" s="21" t="n">
        <x:v>-0.11013505452010375</x:v>
      </x:c>
      <x:c r="L1506" s="36" t="n">
        <x:f>IF(Assumptions!$B$4=2030,I1506,IF(Assumptions!$B$4=2035,J1506,K1506))</x:f>
        <x:v>-0.04739891965741583</x:v>
      </x:c>
      <x:c r="M1506" s="36" t="n">
        <x:f>Assumptions!$B$19</x:f>
        <x:v>-0.04739891965741583</x:v>
      </x:c>
      <x:c r="N1506" s="52" t="n">
        <x:f>H1506*L1506+(1-H1506)*M1506+O1506</x:f>
        <x:v>-0.04739891965741583</x:v>
      </x:c>
      <x:c r="O1506" s="36" t="n">
        <x:f>Assumptions!$B$10</x:f>
        <x:v>0</x:v>
      </x:c>
      <x:c r="P1506" s="54" t="n">
        <x:f>E1506*(1+N1506)</x:f>
        <x:v>3663.703754997579</x:v>
      </x:c>
      <x:c r="Q1506" s="54" t="n">
        <x:f>P1506-E1506</x:f>
        <x:v>-182.29624500242107</x:v>
      </x:c>
      <x:c r="R1506" s="16" t="str">
        <x:v>Yes</x:v>
      </x:c>
      <x:c r="S1506" s="56" t="n">
        <x:v>1019</x:v>
      </x:c>
      <x:c r="T1506" s="56" t="n">
        <x:v>5444</x:v>
      </x:c>
      <x:c r="U1506" s="40" t="n">
        <x:f>E1506*Assumptions!$B$8</x:f>
        <x:v>3269.1</x:v>
      </x:c>
      <x:c r="V1506" s="40" t="n">
        <x:f>P1506*Assumptions!$B$8</x:f>
        <x:v>3114.148191747942</x:v>
      </x:c>
      <x:c r="W1506" s="54" t="n">
        <x:f>V1506-U1506</x:f>
        <x:v>-154.95180825205807</x:v>
      </x:c>
      <x:c r="X1506" s="58" t="n">
        <x:f>IF(R1506="No","",W1506*S1506)</x:f>
        <x:v>-157895.89260884718</x:v>
      </x:c>
      <x:c r="Y1506" s="58" t="n">
        <x:f>IF(R1506="No","",W1506*T1506*Assumptions!$B$9)</x:f>
        <x:v>-253067.29323726124</x:v>
      </x:c>
      <x:c r="Z1506" s="58" t="n">
        <x:f>IF(R1506="No","",X1506-Y1506)</x:f>
        <x:v>95171.40062841406</x:v>
      </x:c>
      <x:c r="AA1506" s="58" t="n">
        <x:f>IF(R1506="No","",MAX(0,-Z1506))</x:f>
        <x:v>0</x:v>
      </x:c>
      <x:c r="AB1506" s="52" t="n">
        <x:f>IF(OR(R1506="No",U1506*S1506=0),"",AA1506/(U1506*S1506))</x:f>
        <x:v>0</x:v>
      </x:c>
      <x:c r="AC1506" s="54" t="str">
        <x:f>IF(OR(R1506="No",S1506-T1506*Assumptions!$B$9&lt;=0),"",AA1506/(Assumptions!$B$8*(S1506-T1506*Assumptions!$B$9)))</x:f>
      </x:c>
      <x:c r="AD1506" s="52" t="n">
        <x:f>IF(OR(R1506="No",U1506*S1506=0),"",AA1506/(U1506*S1506))</x:f>
        <x:v>0</x:v>
      </x:c>
      <x:c r="AE1506" s="50" t="str">
        <x:f>IF(R1506="No","No finance data",IF(AB1506&gt;=10%,"Severe",IF(AB1506&gt;=5%,"High",IF(AB1506&gt;=2%,"Moderate","Low"))))</x:f>
        <x:v>Low</x:v>
      </x:c>
      <x:c r="AF1506" s="60" t="n">
        <x:v>18.469199</x:v>
      </x:c>
      <x:c r="AG1506" s="60" t="n">
        <x:v>-66.74114</x:v>
      </x:c>
      <x:c r="AH1506" s="44" t="str">
        <x:v>Undergraduate tuition-contribution proxy only; not an audited total institutional budget.</x:v>
      </x:c>
    </x:row>
    <x:row r="1507">
      <x:c r="A1507" s="16" t="n">
        <x:v>243133</x:v>
      </x:c>
      <x:c r="B1507" s="16" t="str">
        <x:v>University of Puerto Rico-Bayamon</x:v>
      </x:c>
      <x:c r="C1507" s="16" t="str">
        <x:v>PR</x:v>
      </x:c>
      <x:c r="D1507" s="16" t="str">
        <x:v>Public</x:v>
      </x:c>
      <x:c r="E1507" s="34" t="n">
        <x:v>4876</x:v>
      </x:c>
      <x:c r="F1507" s="21" t="n">
        <x:v>0.7886</x:v>
      </x:c>
      <x:c r="G1507" s="16" t="str">
        <x:v>Regional</x:v>
      </x:c>
      <x:c r="H1507" s="36" t="n">
        <x:f>IF(G1507="National",Assumptions!$B$11,IF(G1507="Statewide",Assumptions!$B$12,Assumptions!$B$13))</x:f>
        <x:v>0.85</x:v>
      </x:c>
      <x:c r="I1507" s="21" t="n">
        <x:v>-0.048361979489554896</x:v>
      </x:c>
      <x:c r="J1507" s="21" t="n">
        <x:v>-0.04739891965741583</x:v>
      </x:c>
      <x:c r="K1507" s="21" t="n">
        <x:v>-0.11013505452010375</x:v>
      </x:c>
      <x:c r="L1507" s="36" t="n">
        <x:f>IF(Assumptions!$B$4=2030,I1507,IF(Assumptions!$B$4=2035,J1507,K1507))</x:f>
        <x:v>-0.04739891965741583</x:v>
      </x:c>
      <x:c r="M1507" s="36" t="n">
        <x:f>Assumptions!$B$19</x:f>
        <x:v>-0.04739891965741583</x:v>
      </x:c>
      <x:c r="N1507" s="52" t="n">
        <x:f>H1507*L1507+(1-H1507)*M1507+O1507</x:f>
        <x:v>-0.04739891965741583</x:v>
      </x:c>
      <x:c r="O1507" s="36" t="n">
        <x:f>Assumptions!$B$10</x:f>
        <x:v>0</x:v>
      </x:c>
      <x:c r="P1507" s="54" t="n">
        <x:f>E1507*(1+N1507)</x:f>
        <x:v>4644.882867750441</x:v>
      </x:c>
      <x:c r="Q1507" s="54" t="n">
        <x:f>P1507-E1507</x:f>
        <x:v>-231.1171322495593</x:v>
      </x:c>
      <x:c r="R1507" s="16" t="str">
        <x:v>Yes</x:v>
      </x:c>
      <x:c r="S1507" s="56" t="n">
        <x:v>812</x:v>
      </x:c>
      <x:c r="T1507" s="56" t="n">
        <x:v>5784</x:v>
      </x:c>
      <x:c r="U1507" s="40" t="n">
        <x:f>E1507*Assumptions!$B$8</x:f>
        <x:v>4144.599999999999</x:v>
      </x:c>
      <x:c r="V1507" s="40" t="n">
        <x:f>P1507*Assumptions!$B$8</x:f>
        <x:v>3948.1504375878744</x:v>
      </x:c>
      <x:c r="W1507" s="54" t="n">
        <x:f>V1507-U1507</x:f>
        <x:v>-196.44956241212503</x:v>
      </x:c>
      <x:c r="X1507" s="58" t="n">
        <x:f>IF(R1507="No","",W1507*S1507)</x:f>
        <x:v>-159517.04467864553</x:v>
      </x:c>
      <x:c r="Y1507" s="58" t="n">
        <x:f>IF(R1507="No","",W1507*T1507*Assumptions!$B$9)</x:f>
        <x:v>-340879.2806975193</x:v>
      </x:c>
      <x:c r="Z1507" s="58" t="n">
        <x:f>IF(R1507="No","",X1507-Y1507)</x:f>
        <x:v>181362.23601887378</x:v>
      </x:c>
      <x:c r="AA1507" s="58" t="n">
        <x:f>IF(R1507="No","",MAX(0,-Z1507))</x:f>
        <x:v>0</x:v>
      </x:c>
      <x:c r="AB1507" s="52" t="n">
        <x:f>IF(OR(R1507="No",U1507*S1507=0),"",AA1507/(U1507*S1507))</x:f>
        <x:v>0</x:v>
      </x:c>
      <x:c r="AC1507" s="54" t="str">
        <x:f>IF(OR(R1507="No",S1507-T1507*Assumptions!$B$9&lt;=0),"",AA1507/(Assumptions!$B$8*(S1507-T1507*Assumptions!$B$9)))</x:f>
      </x:c>
      <x:c r="AD1507" s="52" t="n">
        <x:f>IF(OR(R1507="No",U1507*S1507=0),"",AA1507/(U1507*S1507))</x:f>
        <x:v>0</x:v>
      </x:c>
      <x:c r="AE1507" s="50" t="str">
        <x:f>IF(R1507="No","No finance data",IF(AB1507&gt;=10%,"Severe",IF(AB1507&gt;=5%,"High",IF(AB1507&gt;=2%,"Moderate","Low"))))</x:f>
        <x:v>Low</x:v>
      </x:c>
      <x:c r="AF1507" s="60" t="n">
        <x:v>18.371398</x:v>
      </x:c>
      <x:c r="AG1507" s="60" t="n">
        <x:v>-66.143541</x:v>
      </x:c>
      <x:c r="AH1507" s="44" t="str">
        <x:v>Undergraduate tuition-contribution proxy only; not an audited total institutional budget.</x:v>
      </x:c>
    </x:row>
    <x:row r="1508">
      <x:c r="A1508" s="16" t="n">
        <x:v>243142</x:v>
      </x:c>
      <x:c r="B1508" s="16" t="str">
        <x:v>University of Puerto Rico-Carolina</x:v>
      </x:c>
      <x:c r="C1508" s="16" t="str">
        <x:v>PR</x:v>
      </x:c>
      <x:c r="D1508" s="16" t="str">
        <x:v>Public</x:v>
      </x:c>
      <x:c r="E1508" s="34" t="n">
        <x:v>3669</x:v>
      </x:c>
      <x:c r="F1508" s="21" t="n">
        <x:v>0.4471</x:v>
      </x:c>
      <x:c r="G1508" s="16" t="str">
        <x:v>Regional</x:v>
      </x:c>
      <x:c r="H1508" s="36" t="n">
        <x:f>IF(G1508="National",Assumptions!$B$11,IF(G1508="Statewide",Assumptions!$B$12,Assumptions!$B$13))</x:f>
        <x:v>0.85</x:v>
      </x:c>
      <x:c r="I1508" s="21" t="n">
        <x:v>-0.048361979489554896</x:v>
      </x:c>
      <x:c r="J1508" s="21" t="n">
        <x:v>-0.04739891965741583</x:v>
      </x:c>
      <x:c r="K1508" s="21" t="n">
        <x:v>-0.11013505452010375</x:v>
      </x:c>
      <x:c r="L1508" s="36" t="n">
        <x:f>IF(Assumptions!$B$4=2030,I1508,IF(Assumptions!$B$4=2035,J1508,K1508))</x:f>
        <x:v>-0.04739891965741583</x:v>
      </x:c>
      <x:c r="M1508" s="36" t="n">
        <x:f>Assumptions!$B$19</x:f>
        <x:v>-0.04739891965741583</x:v>
      </x:c>
      <x:c r="N1508" s="52" t="n">
        <x:f>H1508*L1508+(1-H1508)*M1508+O1508</x:f>
        <x:v>-0.04739891965741583</x:v>
      </x:c>
      <x:c r="O1508" s="36" t="n">
        <x:f>Assumptions!$B$10</x:f>
        <x:v>0</x:v>
      </x:c>
      <x:c r="P1508" s="54" t="n">
        <x:f>E1508*(1+N1508)</x:f>
        <x:v>3495.0933637769413</x:v>
      </x:c>
      <x:c r="Q1508" s="54" t="n">
        <x:f>P1508-E1508</x:f>
        <x:v>-173.90663622305874</x:v>
      </x:c>
      <x:c r="R1508" s="16" t="str">
        <x:v>Yes</x:v>
      </x:c>
      <x:c r="S1508" s="56" t="n">
        <x:v>1515</x:v>
      </x:c>
      <x:c r="T1508" s="56" t="n">
        <x:v>5030</x:v>
      </x:c>
      <x:c r="U1508" s="40" t="n">
        <x:f>E1508*Assumptions!$B$8</x:f>
        <x:v>3118.65</x:v>
      </x:c>
      <x:c r="V1508" s="40" t="n">
        <x:f>P1508*Assumptions!$B$8</x:f>
        <x:v>2970.8293592104</x:v>
      </x:c>
      <x:c r="W1508" s="54" t="n">
        <x:f>V1508-U1508</x:f>
        <x:v>-147.82064078960002</x:v>
      </x:c>
      <x:c r="X1508" s="58" t="n">
        <x:f>IF(R1508="No","",W1508*S1508)</x:f>
        <x:v>-223948.27079624403</x:v>
      </x:c>
      <x:c r="Y1508" s="58" t="n">
        <x:f>IF(R1508="No","",W1508*T1508*Assumptions!$B$9)</x:f>
        <x:v>-223061.34695150642</x:v>
      </x:c>
      <x:c r="Z1508" s="58" t="n">
        <x:f>IF(R1508="No","",X1508-Y1508)</x:f>
        <x:v>-886.923844737612</x:v>
      </x:c>
      <x:c r="AA1508" s="58" t="n">
        <x:f>IF(R1508="No","",MAX(0,-Z1508))</x:f>
        <x:v>886.923844737612</x:v>
      </x:c>
      <x:c r="AB1508" s="52" t="n">
        <x:f>IF(OR(R1508="No",U1508*S1508=0),"",AA1508/(U1508*S1508))</x:f>
        <x:v>0.00018771849369273865</x:v>
      </x:c>
      <x:c r="AC1508" s="54" t="n">
        <x:f>IF(OR(R1508="No",S1508-T1508*Assumptions!$B$9&lt;=0),"",AA1508/(Assumptions!$B$8*(S1508-T1508*Assumptions!$B$9)))</x:f>
        <x:v>173.90663622306118</x:v>
      </x:c>
      <x:c r="AD1508" s="52" t="n">
        <x:f>IF(OR(R1508="No",U1508*S1508=0),"",AA1508/(U1508*S1508))</x:f>
        <x:v>0.00018771849369273865</x:v>
      </x:c>
      <x:c r="AE1508" s="50" t="str">
        <x:f>IF(R1508="No","No finance data",IF(AB1508&gt;=10%,"Severe",IF(AB1508&gt;=5%,"High",IF(AB1508&gt;=2%,"Moderate","Low"))))</x:f>
        <x:v>Low</x:v>
      </x:c>
      <x:c r="AF1508" s="60" t="n">
        <x:v>18.392069</x:v>
      </x:c>
      <x:c r="AG1508" s="60" t="n">
        <x:v>-65.990165</x:v>
      </x:c>
      <x:c r="AH1508" s="44" t="str">
        <x:v>Undergraduate tuition-contribution proxy only; not an audited total institutional budget.</x:v>
      </x:c>
    </x:row>
    <x:row r="1509">
      <x:c r="A1509" s="16" t="n">
        <x:v>243151</x:v>
      </x:c>
      <x:c r="B1509" s="16" t="str">
        <x:v>University of Puerto Rico-Cayey</x:v>
      </x:c>
      <x:c r="C1509" s="16" t="str">
        <x:v>PR</x:v>
      </x:c>
      <x:c r="D1509" s="16" t="str">
        <x:v>Public</x:v>
      </x:c>
      <x:c r="E1509" s="34" t="n">
        <x:v>3681</x:v>
      </x:c>
      <x:c r="F1509" s="21" t="n">
        <x:v>0.4804</x:v>
      </x:c>
      <x:c r="G1509" s="16" t="str">
        <x:v>Regional</x:v>
      </x:c>
      <x:c r="H1509" s="36" t="n">
        <x:f>IF(G1509="National",Assumptions!$B$11,IF(G1509="Statewide",Assumptions!$B$12,Assumptions!$B$13))</x:f>
        <x:v>0.85</x:v>
      </x:c>
      <x:c r="I1509" s="21" t="n">
        <x:v>-0.048361979489554896</x:v>
      </x:c>
      <x:c r="J1509" s="21" t="n">
        <x:v>-0.04739891965741583</x:v>
      </x:c>
      <x:c r="K1509" s="21" t="n">
        <x:v>-0.11013505452010375</x:v>
      </x:c>
      <x:c r="L1509" s="36" t="n">
        <x:f>IF(Assumptions!$B$4=2030,I1509,IF(Assumptions!$B$4=2035,J1509,K1509))</x:f>
        <x:v>-0.04739891965741583</x:v>
      </x:c>
      <x:c r="M1509" s="36" t="n">
        <x:f>Assumptions!$B$19</x:f>
        <x:v>-0.04739891965741583</x:v>
      </x:c>
      <x:c r="N1509" s="52" t="n">
        <x:f>H1509*L1509+(1-H1509)*M1509+O1509</x:f>
        <x:v>-0.04739891965741583</x:v>
      </x:c>
      <x:c r="O1509" s="36" t="n">
        <x:f>Assumptions!$B$10</x:f>
        <x:v>0</x:v>
      </x:c>
      <x:c r="P1509" s="54" t="n">
        <x:f>E1509*(1+N1509)</x:f>
        <x:v>3506.5245767410524</x:v>
      </x:c>
      <x:c r="Q1509" s="54" t="n">
        <x:f>P1509-E1509</x:f>
        <x:v>-174.47542325894756</x:v>
      </x:c>
      <x:c r="R1509" s="16" t="str">
        <x:v>Yes</x:v>
      </x:c>
      <x:c r="S1509" s="56" t="n">
        <x:v>293</x:v>
      </x:c>
      <x:c r="T1509" s="56" t="n">
        <x:v>4380</x:v>
      </x:c>
      <x:c r="U1509" s="40" t="n">
        <x:f>E1509*Assumptions!$B$8</x:f>
        <x:v>3128.85</x:v>
      </x:c>
      <x:c r="V1509" s="40" t="n">
        <x:f>P1509*Assumptions!$B$8</x:f>
        <x:v>2980.5458902298947</x:v>
      </x:c>
      <x:c r="W1509" s="54" t="n">
        <x:f>V1509-U1509</x:f>
        <x:v>-148.30410977010524</x:v>
      </x:c>
      <x:c r="X1509" s="58" t="n">
        <x:f>IF(R1509="No","",W1509*S1509)</x:f>
        <x:v>-43453.10416264083</x:v>
      </x:c>
      <x:c r="Y1509" s="58" t="n">
        <x:f>IF(R1509="No","",W1509*T1509*Assumptions!$B$9)</x:f>
        <x:v>-194871.6002379183</x:v>
      </x:c>
      <x:c r="Z1509" s="58" t="n">
        <x:f>IF(R1509="No","",X1509-Y1509)</x:f>
        <x:v>151418.49607527745</x:v>
      </x:c>
      <x:c r="AA1509" s="58" t="n">
        <x:f>IF(R1509="No","",MAX(0,-Z1509))</x:f>
        <x:v>0</x:v>
      </x:c>
      <x:c r="AB1509" s="52" t="n">
        <x:f>IF(OR(R1509="No",U1509*S1509=0),"",AA1509/(U1509*S1509))</x:f>
        <x:v>0</x:v>
      </x:c>
      <x:c r="AC1509" s="54" t="str">
        <x:f>IF(OR(R1509="No",S1509-T1509*Assumptions!$B$9&lt;=0),"",AA1509/(Assumptions!$B$8*(S1509-T1509*Assumptions!$B$9)))</x:f>
      </x:c>
      <x:c r="AD1509" s="52" t="n">
        <x:f>IF(OR(R1509="No",U1509*S1509=0),"",AA1509/(U1509*S1509))</x:f>
        <x:v>0</x:v>
      </x:c>
      <x:c r="AE1509" s="50" t="str">
        <x:f>IF(R1509="No","No finance data",IF(AB1509&gt;=10%,"Severe",IF(AB1509&gt;=5%,"High",IF(AB1509&gt;=2%,"Moderate","Low"))))</x:f>
        <x:v>Low</x:v>
      </x:c>
      <x:c r="AF1509" s="60" t="n">
        <x:v>18.11882</x:v>
      </x:c>
      <x:c r="AG1509" s="60" t="n">
        <x:v>-66.162066</x:v>
      </x:c>
      <x:c r="AH1509" s="44" t="str">
        <x:v>Undergraduate tuition-contribution proxy only; not an audited total institutional budget.</x:v>
      </x:c>
    </x:row>
    <x:row r="1510">
      <x:c r="A1510" s="16" t="n">
        <x:v>243179</x:v>
      </x:c>
      <x:c r="B1510" s="16" t="str">
        <x:v>University of Puerto Rico-Humacao</x:v>
      </x:c>
      <x:c r="C1510" s="16" t="str">
        <x:v>PR</x:v>
      </x:c>
      <x:c r="D1510" s="16" t="str">
        <x:v>Public</x:v>
      </x:c>
      <x:c r="E1510" s="34" t="n">
        <x:v>3732</x:v>
      </x:c>
      <x:c r="F1510" s="21" t="n">
        <x:v>0.4959</x:v>
      </x:c>
      <x:c r="G1510" s="16" t="str">
        <x:v>Regional</x:v>
      </x:c>
      <x:c r="H1510" s="36" t="n">
        <x:f>IF(G1510="National",Assumptions!$B$11,IF(G1510="Statewide",Assumptions!$B$12,Assumptions!$B$13))</x:f>
        <x:v>0.85</x:v>
      </x:c>
      <x:c r="I1510" s="21" t="n">
        <x:v>-0.048361979489554896</x:v>
      </x:c>
      <x:c r="J1510" s="21" t="n">
        <x:v>-0.04739891965741583</x:v>
      </x:c>
      <x:c r="K1510" s="21" t="n">
        <x:v>-0.11013505452010375</x:v>
      </x:c>
      <x:c r="L1510" s="36" t="n">
        <x:f>IF(Assumptions!$B$4=2030,I1510,IF(Assumptions!$B$4=2035,J1510,K1510))</x:f>
        <x:v>-0.04739891965741583</x:v>
      </x:c>
      <x:c r="M1510" s="36" t="n">
        <x:f>Assumptions!$B$19</x:f>
        <x:v>-0.04739891965741583</x:v>
      </x:c>
      <x:c r="N1510" s="52" t="n">
        <x:f>H1510*L1510+(1-H1510)*M1510+O1510</x:f>
        <x:v>-0.04739891965741583</x:v>
      </x:c>
      <x:c r="O1510" s="36" t="n">
        <x:f>Assumptions!$B$10</x:f>
        <x:v>0</x:v>
      </x:c>
      <x:c r="P1510" s="54" t="n">
        <x:f>E1510*(1+N1510)</x:f>
        <x:v>3555.107231838524</x:v>
      </x:c>
      <x:c r="Q1510" s="54" t="n">
        <x:f>P1510-E1510</x:f>
        <x:v>-176.89276816147594</x:v>
      </x:c>
      <x:c r="R1510" s="16" t="str">
        <x:v>Yes</x:v>
      </x:c>
      <x:c r="S1510" s="56" t="n">
        <x:v>896</x:v>
      </x:c>
      <x:c r="T1510" s="56" t="n">
        <x:v>7540</x:v>
      </x:c>
      <x:c r="U1510" s="40" t="n">
        <x:f>E1510*Assumptions!$B$8</x:f>
        <x:v>3172.2</x:v>
      </x:c>
      <x:c r="V1510" s="40" t="n">
        <x:f>P1510*Assumptions!$B$8</x:f>
        <x:v>3021.841147062745</x:v>
      </x:c>
      <x:c r="W1510" s="54" t="n">
        <x:f>V1510-U1510</x:f>
        <x:v>-150.3588529372546</x:v>
      </x:c>
      <x:c r="X1510" s="58" t="n">
        <x:f>IF(R1510="No","",W1510*S1510)</x:f>
        <x:v>-134721.53223178012</x:v>
      </x:c>
      <x:c r="Y1510" s="58" t="n">
        <x:f>IF(R1510="No","",W1510*T1510*Assumptions!$B$9)</x:f>
        <x:v>-340111.72534406994</x:v>
      </x:c>
      <x:c r="Z1510" s="58" t="n">
        <x:f>IF(R1510="No","",X1510-Y1510)</x:f>
        <x:v>205390.19311228982</x:v>
      </x:c>
      <x:c r="AA1510" s="58" t="n">
        <x:f>IF(R1510="No","",MAX(0,-Z1510))</x:f>
        <x:v>0</x:v>
      </x:c>
      <x:c r="AB1510" s="52" t="n">
        <x:f>IF(OR(R1510="No",U1510*S1510=0),"",AA1510/(U1510*S1510))</x:f>
        <x:v>0</x:v>
      </x:c>
      <x:c r="AC1510" s="54" t="str">
        <x:f>IF(OR(R1510="No",S1510-T1510*Assumptions!$B$9&lt;=0),"",AA1510/(Assumptions!$B$8*(S1510-T1510*Assumptions!$B$9)))</x:f>
      </x:c>
      <x:c r="AD1510" s="52" t="n">
        <x:f>IF(OR(R1510="No",U1510*S1510=0),"",AA1510/(U1510*S1510))</x:f>
        <x:v>0</x:v>
      </x:c>
      <x:c r="AE1510" s="50" t="str">
        <x:f>IF(R1510="No","No finance data",IF(AB1510&gt;=10%,"Severe",IF(AB1510&gt;=5%,"High",IF(AB1510&gt;=2%,"Moderate","Low"))))</x:f>
        <x:v>Low</x:v>
      </x:c>
      <x:c r="AF1510" s="60" t="n">
        <x:v>18.146589</x:v>
      </x:c>
      <x:c r="AG1510" s="60" t="n">
        <x:v>-65.838602</x:v>
      </x:c>
      <x:c r="AH1510" s="44" t="str">
        <x:v>Undergraduate tuition-contribution proxy only; not an audited total institutional budget.</x:v>
      </x:c>
    </x:row>
    <x:row r="1511">
      <x:c r="A1511" s="16" t="n">
        <x:v>243197</x:v>
      </x:c>
      <x:c r="B1511" s="16" t="str">
        <x:v>University of Puerto Rico-Mayaguez</x:v>
      </x:c>
      <x:c r="C1511" s="16" t="str">
        <x:v>PR</x:v>
      </x:c>
      <x:c r="D1511" s="16" t="str">
        <x:v>Public</x:v>
      </x:c>
      <x:c r="E1511" s="34" t="n">
        <x:v>11518</x:v>
      </x:c>
      <x:c r="F1511" s="21" t="n">
        <x:v>0.4938</x:v>
      </x:c>
      <x:c r="G1511" s="16" t="str">
        <x:v>Statewide</x:v>
      </x:c>
      <x:c r="H1511" s="36" t="n">
        <x:f>IF(G1511="National",Assumptions!$B$11,IF(G1511="Statewide",Assumptions!$B$12,Assumptions!$B$13))</x:f>
        <x:v>0.6</x:v>
      </x:c>
      <x:c r="I1511" s="21" t="n">
        <x:v>-0.048361979489554896</x:v>
      </x:c>
      <x:c r="J1511" s="21" t="n">
        <x:v>-0.04739891965741583</x:v>
      </x:c>
      <x:c r="K1511" s="21" t="n">
        <x:v>-0.11013505452010375</x:v>
      </x:c>
      <x:c r="L1511" s="36" t="n">
        <x:f>IF(Assumptions!$B$4=2030,I1511,IF(Assumptions!$B$4=2035,J1511,K1511))</x:f>
        <x:v>-0.04739891965741583</x:v>
      </x:c>
      <x:c r="M1511" s="36" t="n">
        <x:f>Assumptions!$B$19</x:f>
        <x:v>-0.04739891965741583</x:v>
      </x:c>
      <x:c r="N1511" s="52" t="n">
        <x:f>H1511*L1511+(1-H1511)*M1511+O1511</x:f>
        <x:v>-0.04739891965741583</x:v>
      </x:c>
      <x:c r="O1511" s="36" t="n">
        <x:f>Assumptions!$B$10</x:f>
        <x:v>0</x:v>
      </x:c>
      <x:c r="P1511" s="54" t="n">
        <x:f>E1511*(1+N1511)</x:f>
        <x:v>10972.059243385884</x:v>
      </x:c>
      <x:c r="Q1511" s="54" t="n">
        <x:f>P1511-E1511</x:f>
        <x:v>-545.9407566141163</x:v>
      </x:c>
      <x:c r="R1511" s="16" t="str">
        <x:v>Yes</x:v>
      </x:c>
      <x:c r="S1511" s="56" t="n">
        <x:v>1360</x:v>
      </x:c>
      <x:c r="T1511" s="56" t="n">
        <x:v>5312</x:v>
      </x:c>
      <x:c r="U1511" s="40" t="n">
        <x:f>E1511*Assumptions!$B$8</x:f>
        <x:v>9790.3</x:v>
      </x:c>
      <x:c r="V1511" s="40" t="n">
        <x:f>P1511*Assumptions!$B$8</x:f>
        <x:v>9326.250356878001</x:v>
      </x:c>
      <x:c r="W1511" s="54" t="n">
        <x:f>V1511-U1511</x:f>
        <x:v>-464.0496431219981</x:v>
      </x:c>
      <x:c r="X1511" s="58" t="n">
        <x:f>IF(R1511="No","",W1511*S1511)</x:f>
        <x:v>-631107.5146459173</x:v>
      </x:c>
      <x:c r="Y1511" s="58" t="n">
        <x:f>IF(R1511="No","",W1511*T1511*Assumptions!$B$9)</x:f>
        <x:v>-739509.5112792162</x:v>
      </x:c>
      <x:c r="Z1511" s="58" t="n">
        <x:f>IF(R1511="No","",X1511-Y1511)</x:f>
        <x:v>108401.99663329881</x:v>
      </x:c>
      <x:c r="AA1511" s="58" t="n">
        <x:f>IF(R1511="No","",MAX(0,-Z1511))</x:f>
        <x:v>0</x:v>
      </x:c>
      <x:c r="AB1511" s="52" t="n">
        <x:f>IF(OR(R1511="No",U1511*S1511=0),"",AA1511/(U1511*S1511))</x:f>
        <x:v>0</x:v>
      </x:c>
      <x:c r="AC1511" s="54" t="str">
        <x:f>IF(OR(R1511="No",S1511-T1511*Assumptions!$B$9&lt;=0),"",AA1511/(Assumptions!$B$8*(S1511-T1511*Assumptions!$B$9)))</x:f>
      </x:c>
      <x:c r="AD1511" s="52" t="n">
        <x:f>IF(OR(R1511="No",U1511*S1511=0),"",AA1511/(U1511*S1511))</x:f>
        <x:v>0</x:v>
      </x:c>
      <x:c r="AE1511" s="50" t="str">
        <x:f>IF(R1511="No","No finance data",IF(AB1511&gt;=10%,"Severe",IF(AB1511&gt;=5%,"High",IF(AB1511&gt;=2%,"Moderate","Low"))))</x:f>
        <x:v>Low</x:v>
      </x:c>
      <x:c r="AF1511" s="60" t="n">
        <x:v>18.211142</x:v>
      </x:c>
      <x:c r="AG1511" s="60" t="n">
        <x:v>-67.139172</x:v>
      </x:c>
      <x:c r="AH1511" s="44" t="str">
        <x:v>Undergraduate tuition-contribution proxy only; not an audited total institutional budget.</x:v>
      </x:c>
    </x:row>
    <x:row r="1512">
      <x:c r="A1512" s="16" t="n">
        <x:v>243203</x:v>
      </x:c>
      <x:c r="B1512" s="16" t="str">
        <x:v>University of Puerto Rico-Medical Sciences</x:v>
      </x:c>
      <x:c r="C1512" s="16" t="str">
        <x:v>PR</x:v>
      </x:c>
      <x:c r="D1512" s="16" t="str">
        <x:v>Public</x:v>
      </x:c>
      <x:c r="E1512" s="34" t="n">
        <x:v>444</x:v>
      </x:c>
      <x:c r="F1512" s="21"/>
      <x:c r="G1512" s="16" t="str">
        <x:v>Regional</x:v>
      </x:c>
      <x:c r="H1512" s="36" t="n">
        <x:f>IF(G1512="National",Assumptions!$B$11,IF(G1512="Statewide",Assumptions!$B$12,Assumptions!$B$13))</x:f>
        <x:v>0.85</x:v>
      </x:c>
      <x:c r="I1512" s="21" t="n">
        <x:v>-0.048361979489554896</x:v>
      </x:c>
      <x:c r="J1512" s="21" t="n">
        <x:v>-0.04739891965741583</x:v>
      </x:c>
      <x:c r="K1512" s="21" t="n">
        <x:v>-0.11013505452010375</x:v>
      </x:c>
      <x:c r="L1512" s="36" t="n">
        <x:f>IF(Assumptions!$B$4=2030,I1512,IF(Assumptions!$B$4=2035,J1512,K1512))</x:f>
        <x:v>-0.04739891965741583</x:v>
      </x:c>
      <x:c r="M1512" s="36" t="n">
        <x:f>Assumptions!$B$19</x:f>
        <x:v>-0.04739891965741583</x:v>
      </x:c>
      <x:c r="N1512" s="52" t="n">
        <x:f>H1512*L1512+(1-H1512)*M1512+O1512</x:f>
        <x:v>-0.04739891965741583</x:v>
      </x:c>
      <x:c r="O1512" s="36" t="n">
        <x:f>Assumptions!$B$10</x:f>
        <x:v>0</x:v>
      </x:c>
      <x:c r="P1512" s="54" t="n">
        <x:f>E1512*(1+N1512)</x:f>
        <x:v>422.9548796721074</x:v>
      </x:c>
      <x:c r="Q1512" s="54" t="n">
        <x:f>P1512-E1512</x:f>
        <x:v>-21.04512032789262</x:v>
      </x:c>
      <x:c r="R1512" s="16" t="str">
        <x:v>No</x:v>
      </x:c>
      <x:c r="S1512" s="56"/>
      <x:c r="T1512" s="56"/>
      <x:c r="U1512" s="40" t="n">
        <x:f>E1512*Assumptions!$B$8</x:f>
        <x:v>377.4</x:v>
      </x:c>
      <x:c r="V1512" s="40" t="n">
        <x:f>P1512*Assumptions!$B$8</x:f>
        <x:v>359.51164772129124</x:v>
      </x:c>
      <x:c r="W1512" s="54" t="n">
        <x:f>V1512-U1512</x:f>
        <x:v>-17.888352278708737</x:v>
      </x:c>
      <x:c r="X1512" s="58" t="str">
        <x:f>IF(R1512="No","",W1512*S1512)</x:f>
      </x:c>
      <x:c r="Y1512" s="58" t="str">
        <x:f>IF(R1512="No","",W1512*T1512*Assumptions!$B$9)</x:f>
      </x:c>
      <x:c r="Z1512" s="58" t="str">
        <x:f>IF(R1512="No","",X1512-Y1512)</x:f>
      </x:c>
      <x:c r="AA1512" s="58" t="str">
        <x:f>IF(R1512="No","",MAX(0,-Z1512))</x:f>
      </x:c>
      <x:c r="AB1512" s="52" t="str">
        <x:f>IF(OR(R1512="No",U1512*S1512=0),"",AA1512/(U1512*S1512))</x:f>
      </x:c>
      <x:c r="AC1512" s="54" t="str">
        <x:f>IF(OR(R1512="No",S1512-T1512*Assumptions!$B$9&lt;=0),"",AA1512/(Assumptions!$B$8*(S1512-T1512*Assumptions!$B$9)))</x:f>
      </x:c>
      <x:c r="AD1512" s="52" t="str">
        <x:f>IF(OR(R1512="No",U1512*S1512=0),"",AA1512/(U1512*S1512))</x:f>
      </x:c>
      <x:c r="AE1512" s="50" t="str">
        <x:f>IF(R1512="No","No finance data",IF(AB1512&gt;=10%,"Severe",IF(AB1512&gt;=5%,"High",IF(AB1512&gt;=2%,"Moderate","Low"))))</x:f>
        <x:v>No finance data</x:v>
      </x:c>
      <x:c r="AF1512" s="60"/>
      <x:c r="AG1512" s="60"/>
      <x:c r="AH1512" s="44" t="str">
        <x:v>Undergraduate tuition-contribution proxy only; not an audited total institutional budget.</x:v>
      </x:c>
    </x:row>
    <x:row r="1513">
      <x:c r="A1513" s="16" t="n">
        <x:v>243212</x:v>
      </x:c>
      <x:c r="B1513" s="16" t="str">
        <x:v>University of Puerto Rico-Ponce</x:v>
      </x:c>
      <x:c r="C1513" s="16" t="str">
        <x:v>PR</x:v>
      </x:c>
      <x:c r="D1513" s="16" t="str">
        <x:v>Public</x:v>
      </x:c>
      <x:c r="E1513" s="34" t="n">
        <x:v>3543</x:v>
      </x:c>
      <x:c r="F1513" s="21" t="n">
        <x:v>0.4857</x:v>
      </x:c>
      <x:c r="G1513" s="16" t="str">
        <x:v>Regional</x:v>
      </x:c>
      <x:c r="H1513" s="36" t="n">
        <x:f>IF(G1513="National",Assumptions!$B$11,IF(G1513="Statewide",Assumptions!$B$12,Assumptions!$B$13))</x:f>
        <x:v>0.85</x:v>
      </x:c>
      <x:c r="I1513" s="21" t="n">
        <x:v>-0.048361979489554896</x:v>
      </x:c>
      <x:c r="J1513" s="21" t="n">
        <x:v>-0.04739891965741583</x:v>
      </x:c>
      <x:c r="K1513" s="21" t="n">
        <x:v>-0.11013505452010375</x:v>
      </x:c>
      <x:c r="L1513" s="36" t="n">
        <x:f>IF(Assumptions!$B$4=2030,I1513,IF(Assumptions!$B$4=2035,J1513,K1513))</x:f>
        <x:v>-0.04739891965741583</x:v>
      </x:c>
      <x:c r="M1513" s="36" t="n">
        <x:f>Assumptions!$B$19</x:f>
        <x:v>-0.04739891965741583</x:v>
      </x:c>
      <x:c r="N1513" s="52" t="n">
        <x:f>H1513*L1513+(1-H1513)*M1513+O1513</x:f>
        <x:v>-0.04739891965741583</x:v>
      </x:c>
      <x:c r="O1513" s="36" t="n">
        <x:f>Assumptions!$B$10</x:f>
        <x:v>0</x:v>
      </x:c>
      <x:c r="P1513" s="54" t="n">
        <x:f>E1513*(1+N1513)</x:f>
        <x:v>3375.0656276537757</x:v>
      </x:c>
      <x:c r="Q1513" s="54" t="n">
        <x:f>P1513-E1513</x:f>
        <x:v>-167.93437234622434</x:v>
      </x:c>
      <x:c r="R1513" s="16" t="str">
        <x:v>Yes</x:v>
      </x:c>
      <x:c r="S1513" s="56" t="n">
        <x:v>931</x:v>
      </x:c>
      <x:c r="T1513" s="56" t="n">
        <x:v>5244</x:v>
      </x:c>
      <x:c r="U1513" s="40" t="n">
        <x:f>E1513*Assumptions!$B$8</x:f>
        <x:v>3011.5499999999997</x:v>
      </x:c>
      <x:c r="V1513" s="40" t="n">
        <x:f>P1513*Assumptions!$B$8</x:f>
        <x:v>2868.8057835057093</x:v>
      </x:c>
      <x:c r="W1513" s="54" t="n">
        <x:f>V1513-U1513</x:f>
        <x:v>-142.7442164942904</x:v>
      </x:c>
      <x:c r="X1513" s="58" t="n">
        <x:f>IF(R1513="No","",W1513*S1513)</x:f>
        <x:v>-132894.86555618438</x:v>
      </x:c>
      <x:c r="Y1513" s="58" t="n">
        <x:f>IF(R1513="No","",W1513*T1513*Assumptions!$B$9)</x:f>
        <x:v>-224565.20138881766</x:v>
      </x:c>
      <x:c r="Z1513" s="58" t="n">
        <x:f>IF(R1513="No","",X1513-Y1513)</x:f>
        <x:v>91670.33583263328</x:v>
      </x:c>
      <x:c r="AA1513" s="58" t="n">
        <x:f>IF(R1513="No","",MAX(0,-Z1513))</x:f>
        <x:v>0</x:v>
      </x:c>
      <x:c r="AB1513" s="52" t="n">
        <x:f>IF(OR(R1513="No",U1513*S1513=0),"",AA1513/(U1513*S1513))</x:f>
        <x:v>0</x:v>
      </x:c>
      <x:c r="AC1513" s="54" t="str">
        <x:f>IF(OR(R1513="No",S1513-T1513*Assumptions!$B$9&lt;=0),"",AA1513/(Assumptions!$B$8*(S1513-T1513*Assumptions!$B$9)))</x:f>
      </x:c>
      <x:c r="AD1513" s="52" t="n">
        <x:f>IF(OR(R1513="No",U1513*S1513=0),"",AA1513/(U1513*S1513))</x:f>
        <x:v>0</x:v>
      </x:c>
      <x:c r="AE1513" s="50" t="str">
        <x:f>IF(R1513="No","No finance data",IF(AB1513&gt;=10%,"Severe",IF(AB1513&gt;=5%,"High",IF(AB1513&gt;=2%,"Moderate","Low"))))</x:f>
        <x:v>Low</x:v>
      </x:c>
      <x:c r="AF1513" s="60" t="n">
        <x:v>17.993314</x:v>
      </x:c>
      <x:c r="AG1513" s="60" t="n">
        <x:v>-66.606215</x:v>
      </x:c>
      <x:c r="AH1513" s="44" t="str">
        <x:v>Undergraduate tuition-contribution proxy only; not an audited total institutional budget.</x:v>
      </x:c>
    </x:row>
    <x:row r="1514">
      <x:c r="A1514" s="16" t="n">
        <x:v>243221</x:v>
      </x:c>
      <x:c r="B1514" s="16" t="str">
        <x:v>University of Puerto Rico-Rio Piedras</x:v>
      </x:c>
      <x:c r="C1514" s="16" t="str">
        <x:v>PR</x:v>
      </x:c>
      <x:c r="D1514" s="16" t="str">
        <x:v>Public</x:v>
      </x:c>
      <x:c r="E1514" s="34" t="n">
        <x:v>12653</x:v>
      </x:c>
      <x:c r="F1514" s="21" t="n">
        <x:v>0.5026</x:v>
      </x:c>
      <x:c r="G1514" s="16" t="str">
        <x:v>Statewide</x:v>
      </x:c>
      <x:c r="H1514" s="36" t="n">
        <x:f>IF(G1514="National",Assumptions!$B$11,IF(G1514="Statewide",Assumptions!$B$12,Assumptions!$B$13))</x:f>
        <x:v>0.6</x:v>
      </x:c>
      <x:c r="I1514" s="21" t="n">
        <x:v>-0.048361979489554896</x:v>
      </x:c>
      <x:c r="J1514" s="21" t="n">
        <x:v>-0.04739891965741583</x:v>
      </x:c>
      <x:c r="K1514" s="21" t="n">
        <x:v>-0.11013505452010375</x:v>
      </x:c>
      <x:c r="L1514" s="36" t="n">
        <x:f>IF(Assumptions!$B$4=2030,I1514,IF(Assumptions!$B$4=2035,J1514,K1514))</x:f>
        <x:v>-0.04739891965741583</x:v>
      </x:c>
      <x:c r="M1514" s="36" t="n">
        <x:f>Assumptions!$B$19</x:f>
        <x:v>-0.04739891965741583</x:v>
      </x:c>
      <x:c r="N1514" s="52" t="n">
        <x:f>H1514*L1514+(1-H1514)*M1514+O1514</x:f>
        <x:v>-0.04739891965741583</x:v>
      </x:c>
      <x:c r="O1514" s="36" t="n">
        <x:f>Assumptions!$B$10</x:f>
        <x:v>0</x:v>
      </x:c>
      <x:c r="P1514" s="54" t="n">
        <x:f>E1514*(1+N1514)</x:f>
        <x:v>12053.261469574718</x:v>
      </x:c>
      <x:c r="Q1514" s="54" t="n">
        <x:f>P1514-E1514</x:f>
        <x:v>-599.7385304252821</x:v>
      </x:c>
      <x:c r="R1514" s="16" t="str">
        <x:v>Yes</x:v>
      </x:c>
      <x:c r="S1514" s="56" t="n">
        <x:v>1837</x:v>
      </x:c>
      <x:c r="T1514" s="56" t="n">
        <x:v>10263</x:v>
      </x:c>
      <x:c r="U1514" s="40" t="n">
        <x:f>E1514*Assumptions!$B$8</x:f>
        <x:v>10755.05</x:v>
      </x:c>
      <x:c r="V1514" s="40" t="n">
        <x:f>P1514*Assumptions!$B$8</x:f>
        <x:v>10245.27224913851</x:v>
      </x:c>
      <x:c r="W1514" s="54" t="n">
        <x:f>V1514-U1514</x:f>
        <x:v>-509.77775086148904</x:v>
      </x:c>
      <x:c r="X1514" s="58" t="n">
        <x:f>IF(R1514="No","",W1514*S1514)</x:f>
        <x:v>-936461.7283325554</x:v>
      </x:c>
      <x:c r="Y1514" s="58" t="n">
        <x:f>IF(R1514="No","",W1514*T1514*Assumptions!$B$9)</x:f>
        <x:v>-1569554.7171274386</x:v>
      </x:c>
      <x:c r="Z1514" s="58" t="n">
        <x:f>IF(R1514="No","",X1514-Y1514)</x:f>
        <x:v>633092.9887948832</x:v>
      </x:c>
      <x:c r="AA1514" s="58" t="n">
        <x:f>IF(R1514="No","",MAX(0,-Z1514))</x:f>
        <x:v>0</x:v>
      </x:c>
      <x:c r="AB1514" s="52" t="n">
        <x:f>IF(OR(R1514="No",U1514*S1514=0),"",AA1514/(U1514*S1514))</x:f>
        <x:v>0</x:v>
      </x:c>
      <x:c r="AC1514" s="54" t="str">
        <x:f>IF(OR(R1514="No",S1514-T1514*Assumptions!$B$9&lt;=0),"",AA1514/(Assumptions!$B$8*(S1514-T1514*Assumptions!$B$9)))</x:f>
      </x:c>
      <x:c r="AD1514" s="52" t="n">
        <x:f>IF(OR(R1514="No",U1514*S1514=0),"",AA1514/(U1514*S1514))</x:f>
        <x:v>0</x:v>
      </x:c>
      <x:c r="AE1514" s="50" t="str">
        <x:f>IF(R1514="No","No finance data",IF(AB1514&gt;=10%,"Severe",IF(AB1514&gt;=5%,"High",IF(AB1514&gt;=2%,"Moderate","Low"))))</x:f>
        <x:v>Low</x:v>
      </x:c>
      <x:c r="AF1514" s="60" t="n">
        <x:v>18.402826</x:v>
      </x:c>
      <x:c r="AG1514" s="60" t="n">
        <x:v>-66.050009</x:v>
      </x:c>
      <x:c r="AH1514" s="44" t="str">
        <x:v>Undergraduate tuition-contribution proxy only; not an audited total institutional budget.</x:v>
      </x:c>
    </x:row>
    <x:row r="1515">
      <x:c r="A1515" s="16" t="n">
        <x:v>217156</x:v>
      </x:c>
      <x:c r="B1515" s="16" t="str">
        <x:v>Brown University</x:v>
      </x:c>
      <x:c r="C1515" s="16" t="str">
        <x:v>RI</x:v>
      </x:c>
      <x:c r="D1515" s="16" t="str">
        <x:v>Private nonprofit</x:v>
      </x:c>
      <x:c r="E1515" s="34" t="n">
        <x:v>6320</x:v>
      </x:c>
      <x:c r="F1515" s="21" t="n">
        <x:v>0.0551</x:v>
      </x:c>
      <x:c r="G1515" s="16" t="str">
        <x:v>National</x:v>
      </x:c>
      <x:c r="H1515" s="36" t="n">
        <x:f>IF(G1515="National",Assumptions!$B$11,IF(G1515="Statewide",Assumptions!$B$12,Assumptions!$B$13))</x:f>
        <x:v>0.25</x:v>
      </x:c>
      <x:c r="I1515" s="21" t="n">
        <x:v>-0.07438164121796587</x:v>
      </x:c>
      <x:c r="J1515" s="21" t="n">
        <x:v>-0.07661398339137426</x:v>
      </x:c>
      <x:c r="K1515" s="21" t="n">
        <x:v>-0.15242432360032143</x:v>
      </x:c>
      <x:c r="L1515" s="36" t="n">
        <x:f>IF(Assumptions!$B$4=2030,I1515,IF(Assumptions!$B$4=2035,J1515,K1515))</x:f>
        <x:v>-0.07661398339137426</x:v>
      </x:c>
      <x:c r="M1515" s="36" t="n">
        <x:f>Assumptions!$B$19</x:f>
        <x:v>-0.04739891965741583</x:v>
      </x:c>
      <x:c r="N1515" s="52" t="n">
        <x:f>H1515*L1515+(1-H1515)*M1515+O1515</x:f>
        <x:v>-0.05470268559090544</x:v>
      </x:c>
      <x:c r="O1515" s="36" t="n">
        <x:f>Assumptions!$B$10</x:f>
        <x:v>0</x:v>
      </x:c>
      <x:c r="P1515" s="54" t="n">
        <x:f>E1515*(1+N1515)</x:f>
        <x:v>5974.279027065478</x:v>
      </x:c>
      <x:c r="Q1515" s="54" t="n">
        <x:f>P1515-E1515</x:f>
        <x:v>-345.72097293452225</x:v>
      </x:c>
      <x:c r="R1515" s="16" t="str">
        <x:v>Yes</x:v>
      </x:c>
      <x:c r="S1515" s="56" t="n">
        <x:v>37869</x:v>
      </x:c>
      <x:c r="T1515" s="56" t="n">
        <x:v>35485</x:v>
      </x:c>
      <x:c r="U1515" s="40" t="n">
        <x:f>E1515*Assumptions!$B$8</x:f>
        <x:v>5372</x:v>
      </x:c>
      <x:c r="V1515" s="40" t="n">
        <x:f>P1515*Assumptions!$B$8</x:f>
        <x:v>5078.137173005656</x:v>
      </x:c>
      <x:c r="W1515" s="54" t="n">
        <x:f>V1515-U1515</x:f>
        <x:v>-293.8628269943438</x:v>
      </x:c>
      <x:c r="X1515" s="58" t="n">
        <x:f>IF(R1515="No","",W1515*S1515)</x:f>
        <x:v>-11128291.395448804</x:v>
      </x:c>
      <x:c r="Y1515" s="58" t="n">
        <x:f>IF(R1515="No","",W1515*T1515*Assumptions!$B$9)</x:f>
        <x:v>-3128316.7247682866</x:v>
      </x:c>
      <x:c r="Z1515" s="58" t="n">
        <x:f>IF(R1515="No","",X1515-Y1515)</x:f>
        <x:v>-7999974.670680517</x:v>
      </x:c>
      <x:c r="AA1515" s="58" t="n">
        <x:f>IF(R1515="No","",MAX(0,-Z1515))</x:f>
        <x:v>7999974.670680517</x:v>
      </x:c>
      <x:c r="AB1515" s="52" t="n">
        <x:f>IF(OR(R1515="No",U1515*S1515=0),"",AA1515/(U1515*S1515))</x:f>
        <x:v>0.039325003596187194</x:v>
      </x:c>
      <x:c r="AC1515" s="54" t="n">
        <x:f>IF(OR(R1515="No",S1515-T1515*Assumptions!$B$9&lt;=0),"",AA1515/(Assumptions!$B$8*(S1515-T1515*Assumptions!$B$9)))</x:f>
        <x:v>345.7209729345221</x:v>
      </x:c>
      <x:c r="AD1515" s="52" t="n">
        <x:f>IF(OR(R1515="No",U1515*S1515=0),"",AA1515/(U1515*S1515))</x:f>
        <x:v>0.039325003596187194</x:v>
      </x:c>
      <x:c r="AE1515" s="50" t="str">
        <x:f>IF(R1515="No","No finance data",IF(AB1515&gt;=10%,"Severe",IF(AB1515&gt;=5%,"High",IF(AB1515&gt;=2%,"Moderate","Low"))))</x:f>
        <x:v>Moderate</x:v>
      </x:c>
      <x:c r="AF1515" s="60" t="n">
        <x:v>41.82617</x:v>
      </x:c>
      <x:c r="AG1515" s="60" t="n">
        <x:v>-71.40385</x:v>
      </x:c>
      <x:c r="AH1515" s="44" t="str">
        <x:v>Undergraduate tuition-contribution proxy only; not an audited total institutional budget.</x:v>
      </x:c>
    </x:row>
    <x:row r="1516">
      <x:c r="A1516" s="16" t="n">
        <x:v>217165</x:v>
      </x:c>
      <x:c r="B1516" s="16" t="str">
        <x:v>Bryant University</x:v>
      </x:c>
      <x:c r="C1516" s="16" t="str">
        <x:v>RI</x:v>
      </x:c>
      <x:c r="D1516" s="16" t="str">
        <x:v>Private nonprofit</x:v>
      </x:c>
      <x:c r="E1516" s="34" t="n">
        <x:v>3430</x:v>
      </x:c>
      <x:c r="F1516" s="21" t="n">
        <x:v>0.7361</x:v>
      </x:c>
      <x:c r="G1516" s="16" t="str">
        <x:v>Regional</x:v>
      </x:c>
      <x:c r="H1516" s="36" t="n">
        <x:f>IF(G1516="National",Assumptions!$B$11,IF(G1516="Statewide",Assumptions!$B$12,Assumptions!$B$13))</x:f>
        <x:v>0.85</x:v>
      </x:c>
      <x:c r="I1516" s="21" t="n">
        <x:v>-0.07438164121796587</x:v>
      </x:c>
      <x:c r="J1516" s="21" t="n">
        <x:v>-0.07661398339137426</x:v>
      </x:c>
      <x:c r="K1516" s="21" t="n">
        <x:v>-0.15242432360032143</x:v>
      </x:c>
      <x:c r="L1516" s="36" t="n">
        <x:f>IF(Assumptions!$B$4=2030,I1516,IF(Assumptions!$B$4=2035,J1516,K1516))</x:f>
        <x:v>-0.07661398339137426</x:v>
      </x:c>
      <x:c r="M1516" s="36" t="n">
        <x:f>Assumptions!$B$19</x:f>
        <x:v>-0.04739891965741583</x:v>
      </x:c>
      <x:c r="N1516" s="52" t="n">
        <x:f>H1516*L1516+(1-H1516)*M1516+O1516</x:f>
        <x:v>-0.0722317238312805</x:v>
      </x:c>
      <x:c r="O1516" s="36" t="n">
        <x:f>Assumptions!$B$10</x:f>
        <x:v>0</x:v>
      </x:c>
      <x:c r="P1516" s="54" t="n">
        <x:f>E1516*(1+N1516)</x:f>
        <x:v>3182.245187258708</x:v>
      </x:c>
      <x:c r="Q1516" s="54" t="n">
        <x:f>P1516-E1516</x:f>
        <x:v>-247.75481274129197</x:v>
      </x:c>
      <x:c r="R1516" s="16" t="str">
        <x:v>Yes</x:v>
      </x:c>
      <x:c r="S1516" s="56" t="n">
        <x:v>27448</x:v>
      </x:c>
      <x:c r="T1516" s="56" t="n">
        <x:v>11485</x:v>
      </x:c>
      <x:c r="U1516" s="40" t="n">
        <x:f>E1516*Assumptions!$B$8</x:f>
        <x:v>2915.5</x:v>
      </x:c>
      <x:c r="V1516" s="40" t="n">
        <x:f>P1516*Assumptions!$B$8</x:f>
        <x:v>2704.908409169902</x:v>
      </x:c>
      <x:c r="W1516" s="54" t="n">
        <x:f>V1516-U1516</x:f>
        <x:v>-210.59159083009808</x:v>
      </x:c>
      <x:c r="X1516" s="58" t="n">
        <x:f>IF(R1516="No","",W1516*S1516)</x:f>
        <x:v>-5780317.985104532</x:v>
      </x:c>
      <x:c r="Y1516" s="58" t="n">
        <x:f>IF(R1516="No","",W1516*T1516*Assumptions!$B$9)</x:f>
        <x:v>-725593.3262051028</x:v>
      </x:c>
      <x:c r="Z1516" s="58" t="n">
        <x:f>IF(R1516="No","",X1516-Y1516)</x:f>
        <x:v>-5054724.658899429</x:v>
      </x:c>
      <x:c r="AA1516" s="58" t="n">
        <x:f>IF(R1516="No","",MAX(0,-Z1516))</x:f>
        <x:v>5054724.658899429</x:v>
      </x:c>
      <x:c r="AB1516" s="52" t="n">
        <x:f>IF(OR(R1516="No",U1516*S1516=0),"",AA1516/(U1516*S1516))</x:f>
        <x:v>0.06316460038109548</x:v>
      </x:c>
      <x:c r="AC1516" s="54" t="n">
        <x:f>IF(OR(R1516="No",S1516-T1516*Assumptions!$B$9&lt;=0),"",AA1516/(Assumptions!$B$8*(S1516-T1516*Assumptions!$B$9)))</x:f>
        <x:v>247.75481274129186</x:v>
      </x:c>
      <x:c r="AD1516" s="52" t="n">
        <x:f>IF(OR(R1516="No",U1516*S1516=0),"",AA1516/(U1516*S1516))</x:f>
        <x:v>0.06316460038109548</x:v>
      </x:c>
      <x:c r="AE1516" s="50" t="str">
        <x:f>IF(R1516="No","No finance data",IF(AB1516&gt;=10%,"Severe",IF(AB1516&gt;=5%,"High",IF(AB1516&gt;=2%,"Moderate","Low"))))</x:f>
        <x:v>High</x:v>
      </x:c>
      <x:c r="AF1516" s="60" t="n">
        <x:v>41.920092</x:v>
      </x:c>
      <x:c r="AG1516" s="60" t="n">
        <x:v>-71.539547</x:v>
      </x:c>
      <x:c r="AH1516" s="44" t="str">
        <x:v>Undergraduate tuition-contribution proxy only; not an audited total institutional budget.</x:v>
      </x:c>
    </x:row>
    <x:row r="1517">
      <x:c r="A1517" s="16" t="n">
        <x:v>460349</x:v>
      </x:c>
      <x:c r="B1517" s="16" t="str">
        <x:v>Johnson &amp; Wales University-Online</x:v>
      </x:c>
      <x:c r="C1517" s="16" t="str">
        <x:v>RI</x:v>
      </x:c>
      <x:c r="D1517" s="16" t="str">
        <x:v>Private nonprofit</x:v>
      </x:c>
      <x:c r="E1517" s="34" t="n">
        <x:v>244</x:v>
      </x:c>
      <x:c r="F1517" s="21" t="n">
        <x:v>0.4545</x:v>
      </x:c>
      <x:c r="G1517" s="16" t="str">
        <x:v>Regional</x:v>
      </x:c>
      <x:c r="H1517" s="36" t="n">
        <x:f>IF(G1517="National",Assumptions!$B$11,IF(G1517="Statewide",Assumptions!$B$12,Assumptions!$B$13))</x:f>
        <x:v>0.85</x:v>
      </x:c>
      <x:c r="I1517" s="21" t="n">
        <x:v>-0.07438164121796587</x:v>
      </x:c>
      <x:c r="J1517" s="21" t="n">
        <x:v>-0.07661398339137426</x:v>
      </x:c>
      <x:c r="K1517" s="21" t="n">
        <x:v>-0.15242432360032143</x:v>
      </x:c>
      <x:c r="L1517" s="36" t="n">
        <x:f>IF(Assumptions!$B$4=2030,I1517,IF(Assumptions!$B$4=2035,J1517,K1517))</x:f>
        <x:v>-0.07661398339137426</x:v>
      </x:c>
      <x:c r="M1517" s="36" t="n">
        <x:f>Assumptions!$B$19</x:f>
        <x:v>-0.04739891965741583</x:v>
      </x:c>
      <x:c r="N1517" s="52" t="n">
        <x:f>H1517*L1517+(1-H1517)*M1517+O1517</x:f>
        <x:v>-0.0722317238312805</x:v>
      </x:c>
      <x:c r="O1517" s="36" t="n">
        <x:f>Assumptions!$B$10</x:f>
        <x:v>0</x:v>
      </x:c>
      <x:c r="P1517" s="54" t="n">
        <x:f>E1517*(1+N1517)</x:f>
        <x:v>226.37545938516755</x:v>
      </x:c>
      <x:c r="Q1517" s="54" t="n">
        <x:f>P1517-E1517</x:f>
        <x:v>-17.624540614832455</x:v>
      </x:c>
      <x:c r="R1517" s="16" t="str">
        <x:v>Yes</x:v>
      </x:c>
      <x:c r="S1517" s="56" t="n">
        <x:v>7556</x:v>
      </x:c>
      <x:c r="T1517" s="56" t="n">
        <x:v>4507</x:v>
      </x:c>
      <x:c r="U1517" s="40" t="n">
        <x:f>E1517*Assumptions!$B$8</x:f>
        <x:v>207.4</x:v>
      </x:c>
      <x:c r="V1517" s="40" t="n">
        <x:f>P1517*Assumptions!$B$8</x:f>
        <x:v>192.4191404773924</x:v>
      </x:c>
      <x:c r="W1517" s="54" t="n">
        <x:f>V1517-U1517</x:f>
        <x:v>-14.980859522607602</x:v>
      </x:c>
      <x:c r="X1517" s="58" t="n">
        <x:f>IF(R1517="No","",W1517*S1517)</x:f>
        <x:v>-113195.37455282304</x:v>
      </x:c>
      <x:c r="Y1517" s="58" t="n">
        <x:f>IF(R1517="No","",W1517*T1517*Assumptions!$B$9)</x:f>
        <x:v>-20255.620160517738</x:v>
      </x:c>
      <x:c r="Z1517" s="58" t="n">
        <x:f>IF(R1517="No","",X1517-Y1517)</x:f>
        <x:v>-92939.7543923053</x:v>
      </x:c>
      <x:c r="AA1517" s="58" t="n">
        <x:f>IF(R1517="No","",MAX(0,-Z1517))</x:f>
        <x:v>92939.7543923053</x:v>
      </x:c>
      <x:c r="AB1517" s="52" t="n">
        <x:f>IF(OR(R1517="No",U1517*S1517=0),"",AA1517/(U1517*S1517))</x:f>
        <x:v>0.05930629850144016</x:v>
      </x:c>
      <x:c r="AC1517" s="54" t="n">
        <x:f>IF(OR(R1517="No",S1517-T1517*Assumptions!$B$9&lt;=0),"",AA1517/(Assumptions!$B$8*(S1517-T1517*Assumptions!$B$9)))</x:f>
        <x:v>17.624540614832473</x:v>
      </x:c>
      <x:c r="AD1517" s="52" t="n">
        <x:f>IF(OR(R1517="No",U1517*S1517=0),"",AA1517/(U1517*S1517))</x:f>
        <x:v>0.05930629850144016</x:v>
      </x:c>
      <x:c r="AE1517" s="50" t="str">
        <x:f>IF(R1517="No","No finance data",IF(AB1517&gt;=10%,"Severe",IF(AB1517&gt;=5%,"High",IF(AB1517&gt;=2%,"Moderate","Low"))))</x:f>
        <x:v>High</x:v>
      </x:c>
      <x:c r="AF1517" s="60" t="n">
        <x:v>41.819956</x:v>
      </x:c>
      <x:c r="AG1517" s="60" t="n">
        <x:v>-71.41277</x:v>
      </x:c>
      <x:c r="AH1517" s="44" t="str">
        <x:v>Undergraduate tuition-contribution proxy only; not an audited total institutional budget.</x:v>
      </x:c>
    </x:row>
    <x:row r="1518">
      <x:c r="A1518" s="16" t="n">
        <x:v>217235</x:v>
      </x:c>
      <x:c r="B1518" s="16" t="str">
        <x:v>Johnson &amp; Wales University-Providence</x:v>
      </x:c>
      <x:c r="C1518" s="16" t="str">
        <x:v>RI</x:v>
      </x:c>
      <x:c r="D1518" s="16" t="str">
        <x:v>Private nonprofit</x:v>
      </x:c>
      <x:c r="E1518" s="34" t="n">
        <x:v>8467</x:v>
      </x:c>
      <x:c r="F1518" s="21" t="n">
        <x:v>0.8842</x:v>
      </x:c>
      <x:c r="G1518" s="16" t="str">
        <x:v>Statewide</x:v>
      </x:c>
      <x:c r="H1518" s="36" t="n">
        <x:f>IF(G1518="National",Assumptions!$B$11,IF(G1518="Statewide",Assumptions!$B$12,Assumptions!$B$13))</x:f>
        <x:v>0.6</x:v>
      </x:c>
      <x:c r="I1518" s="21" t="n">
        <x:v>-0.07438164121796587</x:v>
      </x:c>
      <x:c r="J1518" s="21" t="n">
        <x:v>-0.07661398339137426</x:v>
      </x:c>
      <x:c r="K1518" s="21" t="n">
        <x:v>-0.15242432360032143</x:v>
      </x:c>
      <x:c r="L1518" s="36" t="n">
        <x:f>IF(Assumptions!$B$4=2030,I1518,IF(Assumptions!$B$4=2035,J1518,K1518))</x:f>
        <x:v>-0.07661398339137426</x:v>
      </x:c>
      <x:c r="M1518" s="36" t="n">
        <x:f>Assumptions!$B$19</x:f>
        <x:v>-0.04739891965741583</x:v>
      </x:c>
      <x:c r="N1518" s="52" t="n">
        <x:f>H1518*L1518+(1-H1518)*M1518+O1518</x:f>
        <x:v>-0.06492795789779089</x:v>
      </x:c>
      <x:c r="O1518" s="36" t="n">
        <x:f>Assumptions!$B$10</x:f>
        <x:v>0</x:v>
      </x:c>
      <x:c r="P1518" s="54" t="n">
        <x:f>E1518*(1+N1518)</x:f>
        <x:v>7917.254980479404</x:v>
      </x:c>
      <x:c r="Q1518" s="54" t="n">
        <x:f>P1518-E1518</x:f>
        <x:v>-549.7450195205956</x:v>
      </x:c>
      <x:c r="R1518" s="16" t="str">
        <x:v>Yes</x:v>
      </x:c>
      <x:c r="S1518" s="56" t="n">
        <x:v>19882</x:v>
      </x:c>
      <x:c r="T1518" s="56" t="n">
        <x:v>11859</x:v>
      </x:c>
      <x:c r="U1518" s="40" t="n">
        <x:f>E1518*Assumptions!$B$8</x:f>
        <x:v>7196.95</x:v>
      </x:c>
      <x:c r="V1518" s="40" t="n">
        <x:f>P1518*Assumptions!$B$8</x:f>
        <x:v>6729.666733407494</x:v>
      </x:c>
      <x:c r="W1518" s="54" t="n">
        <x:f>V1518-U1518</x:f>
        <x:v>-467.28326659250615</x:v>
      </x:c>
      <x:c r="X1518" s="58" t="n">
        <x:f>IF(R1518="No","",W1518*S1518)</x:f>
        <x:v>-9290525.906392207</x:v>
      </x:c>
      <x:c r="Y1518" s="58" t="n">
        <x:f>IF(R1518="No","",W1518*T1518*Assumptions!$B$9)</x:f>
        <x:v>-1662453.6775561592</x:v>
      </x:c>
      <x:c r="Z1518" s="58" t="n">
        <x:f>IF(R1518="No","",X1518-Y1518)</x:f>
        <x:v>-7628072.228836048</x:v>
      </x:c>
      <x:c r="AA1518" s="58" t="n">
        <x:f>IF(R1518="No","",MAX(0,-Z1518))</x:f>
        <x:v>7628072.228836048</x:v>
      </x:c>
      <x:c r="AB1518" s="52" t="n">
        <x:f>IF(OR(R1518="No",U1518*S1518=0),"",AA1518/(U1518*S1518))</x:f>
        <x:v>0.05330970038783361</x:v>
      </x:c>
      <x:c r="AC1518" s="54" t="n">
        <x:f>IF(OR(R1518="No",S1518-T1518*Assumptions!$B$9&lt;=0),"",AA1518/(Assumptions!$B$8*(S1518-T1518*Assumptions!$B$9)))</x:f>
        <x:v>549.7450195205955</x:v>
      </x:c>
      <x:c r="AD1518" s="52" t="n">
        <x:f>IF(OR(R1518="No",U1518*S1518=0),"",AA1518/(U1518*S1518))</x:f>
        <x:v>0.05330970038783361</x:v>
      </x:c>
      <x:c r="AE1518" s="50" t="str">
        <x:f>IF(R1518="No","No finance data",IF(AB1518&gt;=10%,"Severe",IF(AB1518&gt;=5%,"High",IF(AB1518&gt;=2%,"Moderate","Low"))))</x:f>
        <x:v>High</x:v>
      </x:c>
      <x:c r="AF1518" s="60" t="n">
        <x:v>41.819956</x:v>
      </x:c>
      <x:c r="AG1518" s="60" t="n">
        <x:v>-71.41277</x:v>
      </x:c>
      <x:c r="AH1518" s="44" t="str">
        <x:v>Undergraduate tuition-contribution proxy only; not an audited total institutional budget.</x:v>
      </x:c>
    </x:row>
    <x:row r="1519">
      <x:c r="A1519" s="16" t="n">
        <x:v>217402</x:v>
      </x:c>
      <x:c r="B1519" s="16" t="str">
        <x:v>Providence College</x:v>
      </x:c>
      <x:c r="C1519" s="16" t="str">
        <x:v>RI</x:v>
      </x:c>
      <x:c r="D1519" s="16" t="str">
        <x:v>Private nonprofit</x:v>
      </x:c>
      <x:c r="E1519" s="34" t="n">
        <x:v>3948</x:v>
      </x:c>
      <x:c r="F1519" s="21" t="n">
        <x:v>0.5798</x:v>
      </x:c>
      <x:c r="G1519" s="16" t="str">
        <x:v>Regional</x:v>
      </x:c>
      <x:c r="H1519" s="36" t="n">
        <x:f>IF(G1519="National",Assumptions!$B$11,IF(G1519="Statewide",Assumptions!$B$12,Assumptions!$B$13))</x:f>
        <x:v>0.85</x:v>
      </x:c>
      <x:c r="I1519" s="21" t="n">
        <x:v>-0.07438164121796587</x:v>
      </x:c>
      <x:c r="J1519" s="21" t="n">
        <x:v>-0.07661398339137426</x:v>
      </x:c>
      <x:c r="K1519" s="21" t="n">
        <x:v>-0.15242432360032143</x:v>
      </x:c>
      <x:c r="L1519" s="36" t="n">
        <x:f>IF(Assumptions!$B$4=2030,I1519,IF(Assumptions!$B$4=2035,J1519,K1519))</x:f>
        <x:v>-0.07661398339137426</x:v>
      </x:c>
      <x:c r="M1519" s="36" t="n">
        <x:f>Assumptions!$B$19</x:f>
        <x:v>-0.04739891965741583</x:v>
      </x:c>
      <x:c r="N1519" s="52" t="n">
        <x:f>H1519*L1519+(1-H1519)*M1519+O1519</x:f>
        <x:v>-0.0722317238312805</x:v>
      </x:c>
      <x:c r="O1519" s="36" t="n">
        <x:f>Assumptions!$B$10</x:f>
        <x:v>0</x:v>
      </x:c>
      <x:c r="P1519" s="54" t="n">
        <x:f>E1519*(1+N1519)</x:f>
        <x:v>3662.8291543141045</x:v>
      </x:c>
      <x:c r="Q1519" s="54" t="n">
        <x:f>P1519-E1519</x:f>
        <x:v>-285.17084568589553</x:v>
      </x:c>
      <x:c r="R1519" s="16" t="str">
        <x:v>Yes</x:v>
      </x:c>
      <x:c r="S1519" s="56" t="n">
        <x:v>30400</x:v>
      </x:c>
      <x:c r="T1519" s="56" t="n">
        <x:v>13015</x:v>
      </x:c>
      <x:c r="U1519" s="40" t="n">
        <x:f>E1519*Assumptions!$B$8</x:f>
        <x:v>3355.7999999999997</x:v>
      </x:c>
      <x:c r="V1519" s="40" t="n">
        <x:f>P1519*Assumptions!$B$8</x:f>
        <x:v>3113.404781166989</x:v>
      </x:c>
      <x:c r="W1519" s="54" t="n">
        <x:f>V1519-U1519</x:f>
        <x:v>-242.39521883301086</x:v>
      </x:c>
      <x:c r="X1519" s="58" t="n">
        <x:f>IF(R1519="No","",W1519*S1519)</x:f>
        <x:v>-7368814.65252353</x:v>
      </x:c>
      <x:c r="Y1519" s="58" t="n">
        <x:f>IF(R1519="No","",W1519*T1519*Assumptions!$B$9)</x:f>
        <x:v>-946432.1319334909</x:v>
      </x:c>
      <x:c r="Z1519" s="58" t="n">
        <x:f>IF(R1519="No","",X1519-Y1519)</x:f>
        <x:v>-6422382.520590039</x:v>
      </x:c>
      <x:c r="AA1519" s="58" t="n">
        <x:f>IF(R1519="No","",MAX(0,-Z1519))</x:f>
        <x:v>6422382.520590039</x:v>
      </x:c>
      <x:c r="AB1519" s="52" t="n">
        <x:f>IF(OR(R1519="No",U1519*S1519=0),"",AA1519/(U1519*S1519))</x:f>
        <x:v>0.06295446180170035</x:v>
      </x:c>
      <x:c r="AC1519" s="54" t="n">
        <x:f>IF(OR(R1519="No",S1519-T1519*Assumptions!$B$9&lt;=0),"",AA1519/(Assumptions!$B$8*(S1519-T1519*Assumptions!$B$9)))</x:f>
        <x:v>285.17084568589513</x:v>
      </x:c>
      <x:c r="AD1519" s="52" t="n">
        <x:f>IF(OR(R1519="No",U1519*S1519=0),"",AA1519/(U1519*S1519))</x:f>
        <x:v>0.06295446180170035</x:v>
      </x:c>
      <x:c r="AE1519" s="50" t="str">
        <x:f>IF(R1519="No","No finance data",IF(AB1519&gt;=10%,"Severe",IF(AB1519&gt;=5%,"High",IF(AB1519&gt;=2%,"Moderate","Low"))))</x:f>
        <x:v>High</x:v>
      </x:c>
      <x:c r="AF1519" s="60" t="n">
        <x:v>41.842742</x:v>
      </x:c>
      <x:c r="AG1519" s="60" t="n">
        <x:v>-71.437446</x:v>
      </x:c>
      <x:c r="AH1519" s="44" t="str">
        <x:v>Undergraduate tuition-contribution proxy only; not an audited total institutional budget.</x:v>
      </x:c>
    </x:row>
    <x:row r="1520">
      <x:c r="A1520" s="16" t="n">
        <x:v>217420</x:v>
      </x:c>
      <x:c r="B1520" s="16" t="str">
        <x:v>Rhode Island College</x:v>
      </x:c>
      <x:c r="C1520" s="16" t="str">
        <x:v>RI</x:v>
      </x:c>
      <x:c r="D1520" s="16" t="str">
        <x:v>Public</x:v>
      </x:c>
      <x:c r="E1520" s="34" t="n">
        <x:v>7216</x:v>
      </x:c>
      <x:c r="F1520" s="21" t="n">
        <x:v>0.8483</x:v>
      </x:c>
      <x:c r="G1520" s="16" t="str">
        <x:v>Statewide</x:v>
      </x:c>
      <x:c r="H1520" s="36" t="n">
        <x:f>IF(G1520="National",Assumptions!$B$11,IF(G1520="Statewide",Assumptions!$B$12,Assumptions!$B$13))</x:f>
        <x:v>0.6</x:v>
      </x:c>
      <x:c r="I1520" s="21" t="n">
        <x:v>-0.07438164121796587</x:v>
      </x:c>
      <x:c r="J1520" s="21" t="n">
        <x:v>-0.07661398339137426</x:v>
      </x:c>
      <x:c r="K1520" s="21" t="n">
        <x:v>-0.15242432360032143</x:v>
      </x:c>
      <x:c r="L1520" s="36" t="n">
        <x:f>IF(Assumptions!$B$4=2030,I1520,IF(Assumptions!$B$4=2035,J1520,K1520))</x:f>
        <x:v>-0.07661398339137426</x:v>
      </x:c>
      <x:c r="M1520" s="36" t="n">
        <x:f>Assumptions!$B$19</x:f>
        <x:v>-0.04739891965741583</x:v>
      </x:c>
      <x:c r="N1520" s="52" t="n">
        <x:f>H1520*L1520+(1-H1520)*M1520+O1520</x:f>
        <x:v>-0.06492795789779089</x:v>
      </x:c>
      <x:c r="O1520" s="36" t="n">
        <x:f>Assumptions!$B$10</x:f>
        <x:v>0</x:v>
      </x:c>
      <x:c r="P1520" s="54" t="n">
        <x:f>E1520*(1+N1520)</x:f>
        <x:v>6747.479855809541</x:v>
      </x:c>
      <x:c r="Q1520" s="54" t="n">
        <x:f>P1520-E1520</x:f>
        <x:v>-468.5201441904592</x:v>
      </x:c>
      <x:c r="R1520" s="16" t="str">
        <x:v>Yes</x:v>
      </x:c>
      <x:c r="S1520" s="56" t="n">
        <x:v>8476</x:v>
      </x:c>
      <x:c r="T1520" s="56" t="n">
        <x:v>10706</x:v>
      </x:c>
      <x:c r="U1520" s="40" t="n">
        <x:f>E1520*Assumptions!$B$8</x:f>
        <x:v>6133.599999999999</x:v>
      </x:c>
      <x:c r="V1520" s="40" t="n">
        <x:f>P1520*Assumptions!$B$8</x:f>
        <x:v>5735.357877438109</x:v>
      </x:c>
      <x:c r="W1520" s="54" t="n">
        <x:f>V1520-U1520</x:f>
        <x:v>-398.24212256189</x:v>
      </x:c>
      <x:c r="X1520" s="58" t="n">
        <x:f>IF(R1520="No","",W1520*S1520)</x:f>
        <x:v>-3375500.23083458</x:v>
      </x:c>
      <x:c r="Y1520" s="58" t="n">
        <x:f>IF(R1520="No","",W1520*T1520*Assumptions!$B$9)</x:f>
        <x:v>-1279074.0492442783</x:v>
      </x:c>
      <x:c r="Z1520" s="58" t="n">
        <x:f>IF(R1520="No","",X1520-Y1520)</x:f>
        <x:v>-2096426.1815903017</x:v>
      </x:c>
      <x:c r="AA1520" s="58" t="n">
        <x:f>IF(R1520="No","",MAX(0,-Z1520))</x:f>
        <x:v>2096426.1815903017</x:v>
      </x:c>
      <x:c r="AB1520" s="52" t="n">
        <x:f>IF(OR(R1520="No",U1520*S1520=0),"",AA1520/(U1520*S1520))</x:f>
        <x:v>0.04032488862264638</x:v>
      </x:c>
      <x:c r="AC1520" s="54" t="n">
        <x:f>IF(OR(R1520="No",S1520-T1520*Assumptions!$B$9&lt;=0),"",AA1520/(Assumptions!$B$8*(S1520-T1520*Assumptions!$B$9)))</x:f>
        <x:v>468.52014419045884</x:v>
      </x:c>
      <x:c r="AD1520" s="52" t="n">
        <x:f>IF(OR(R1520="No",U1520*S1520=0),"",AA1520/(U1520*S1520))</x:f>
        <x:v>0.04032488862264638</x:v>
      </x:c>
      <x:c r="AE1520" s="50" t="str">
        <x:f>IF(R1520="No","No finance data",IF(AB1520&gt;=10%,"Severe",IF(AB1520&gt;=5%,"High",IF(AB1520&gt;=2%,"Moderate","Low"))))</x:f>
        <x:v>Moderate</x:v>
      </x:c>
      <x:c r="AF1520" s="60" t="n">
        <x:v>41.842415</x:v>
      </x:c>
      <x:c r="AG1520" s="60" t="n">
        <x:v>-71.46556</x:v>
      </x:c>
      <x:c r="AH1520" s="44" t="str">
        <x:v>Undergraduate tuition-contribution proxy only; not an audited total institutional budget.</x:v>
      </x:c>
    </x:row>
    <x:row r="1521">
      <x:c r="A1521" s="16" t="n">
        <x:v>217493</x:v>
      </x:c>
      <x:c r="B1521" s="16" t="str">
        <x:v>Rhode Island School of Design</x:v>
      </x:c>
      <x:c r="C1521" s="16" t="str">
        <x:v>RI</x:v>
      </x:c>
      <x:c r="D1521" s="16" t="str">
        <x:v>Private nonprofit</x:v>
      </x:c>
      <x:c r="E1521" s="34" t="n">
        <x:v>2014</x:v>
      </x:c>
      <x:c r="F1521" s="21" t="n">
        <x:v>0.1868</x:v>
      </x:c>
      <x:c r="G1521" s="16" t="str">
        <x:v>National</x:v>
      </x:c>
      <x:c r="H1521" s="36" t="n">
        <x:f>IF(G1521="National",Assumptions!$B$11,IF(G1521="Statewide",Assumptions!$B$12,Assumptions!$B$13))</x:f>
        <x:v>0.25</x:v>
      </x:c>
      <x:c r="I1521" s="21" t="n">
        <x:v>-0.07438164121796587</x:v>
      </x:c>
      <x:c r="J1521" s="21" t="n">
        <x:v>-0.07661398339137426</x:v>
      </x:c>
      <x:c r="K1521" s="21" t="n">
        <x:v>-0.15242432360032143</x:v>
      </x:c>
      <x:c r="L1521" s="36" t="n">
        <x:f>IF(Assumptions!$B$4=2030,I1521,IF(Assumptions!$B$4=2035,J1521,K1521))</x:f>
        <x:v>-0.07661398339137426</x:v>
      </x:c>
      <x:c r="M1521" s="36" t="n">
        <x:f>Assumptions!$B$19</x:f>
        <x:v>-0.04739891965741583</x:v>
      </x:c>
      <x:c r="N1521" s="52" t="n">
        <x:f>H1521*L1521+(1-H1521)*M1521+O1521</x:f>
        <x:v>-0.05470268559090544</x:v>
      </x:c>
      <x:c r="O1521" s="36" t="n">
        <x:f>Assumptions!$B$10</x:f>
        <x:v>0</x:v>
      </x:c>
      <x:c r="P1521" s="54" t="n">
        <x:f>E1521*(1+N1521)</x:f>
        <x:v>1903.8287912199164</x:v>
      </x:c>
      <x:c r="Q1521" s="54" t="n">
        <x:f>P1521-E1521</x:f>
        <x:v>-110.17120878008359</x:v>
      </x:c>
      <x:c r="R1521" s="16" t="str">
        <x:v>Yes</x:v>
      </x:c>
      <x:c r="S1521" s="56" t="n">
        <x:v>43760</x:v>
      </x:c>
      <x:c r="T1521" s="56" t="n">
        <x:v>20946</x:v>
      </x:c>
      <x:c r="U1521" s="40" t="n">
        <x:f>E1521*Assumptions!$B$8</x:f>
        <x:v>1711.8999999999999</x:v>
      </x:c>
      <x:c r="V1521" s="40" t="n">
        <x:f>P1521*Assumptions!$B$8</x:f>
        <x:v>1618.254472536929</x:v>
      </x:c>
      <x:c r="W1521" s="54" t="n">
        <x:f>V1521-U1521</x:f>
        <x:v>-93.64552746307095</x:v>
      </x:c>
      <x:c r="X1521" s="58" t="n">
        <x:f>IF(R1521="No","",W1521*S1521)</x:f>
        <x:v>-4097928.2817839845</x:v>
      </x:c>
      <x:c r="Y1521" s="58" t="n">
        <x:f>IF(R1521="No","",W1521*T1521*Assumptions!$B$9)</x:f>
        <x:v>-588449.7654724452</x:v>
      </x:c>
      <x:c r="Z1521" s="58" t="n">
        <x:f>IF(R1521="No","",X1521-Y1521)</x:f>
        <x:v>-3509478.5163115393</x:v>
      </x:c>
      <x:c r="AA1521" s="58" t="n">
        <x:f>IF(R1521="No","",MAX(0,-Z1521))</x:f>
        <x:v>3509478.5163115393</x:v>
      </x:c>
      <x:c r="AB1521" s="52" t="n">
        <x:f>IF(OR(R1521="No",U1521*S1521=0),"",AA1521/(U1521*S1521))</x:f>
        <x:v>0.04684754994839782</x:v>
      </x:c>
      <x:c r="AC1521" s="54" t="n">
        <x:f>IF(OR(R1521="No",S1521-T1521*Assumptions!$B$9&lt;=0),"",AA1521/(Assumptions!$B$8*(S1521-T1521*Assumptions!$B$9)))</x:f>
        <x:v>110.17120878008348</x:v>
      </x:c>
      <x:c r="AD1521" s="52" t="n">
        <x:f>IF(OR(R1521="No",U1521*S1521=0),"",AA1521/(U1521*S1521))</x:f>
        <x:v>0.04684754994839782</x:v>
      </x:c>
      <x:c r="AE1521" s="50" t="str">
        <x:f>IF(R1521="No","No finance data",IF(AB1521&gt;=10%,"Severe",IF(AB1521&gt;=5%,"High",IF(AB1521&gt;=2%,"Moderate","Low"))))</x:f>
        <x:v>Moderate</x:v>
      </x:c>
      <x:c r="AF1521" s="60" t="n">
        <x:v>41.825935</x:v>
      </x:c>
      <x:c r="AG1521" s="60" t="n">
        <x:v>-71.407692</x:v>
      </x:c>
      <x:c r="AH1521" s="44" t="str">
        <x:v>Undergraduate tuition-contribution proxy only; not an audited total institutional budget.</x:v>
      </x:c>
    </x:row>
    <x:row r="1522">
      <x:c r="A1522" s="16" t="n">
        <x:v>217518</x:v>
      </x:c>
      <x:c r="B1522" s="16" t="str">
        <x:v>Roger Williams University</x:v>
      </x:c>
      <x:c r="C1522" s="16" t="str">
        <x:v>RI</x:v>
      </x:c>
      <x:c r="D1522" s="16" t="str">
        <x:v>Private nonprofit</x:v>
      </x:c>
      <x:c r="E1522" s="34" t="n">
        <x:v>4536</x:v>
      </x:c>
      <x:c r="F1522" s="21" t="n">
        <x:v>0.9098</x:v>
      </x:c>
      <x:c r="G1522" s="16" t="str">
        <x:v>Regional</x:v>
      </x:c>
      <x:c r="H1522" s="36" t="n">
        <x:f>IF(G1522="National",Assumptions!$B$11,IF(G1522="Statewide",Assumptions!$B$12,Assumptions!$B$13))</x:f>
        <x:v>0.85</x:v>
      </x:c>
      <x:c r="I1522" s="21" t="n">
        <x:v>-0.07438164121796587</x:v>
      </x:c>
      <x:c r="J1522" s="21" t="n">
        <x:v>-0.07661398339137426</x:v>
      </x:c>
      <x:c r="K1522" s="21" t="n">
        <x:v>-0.15242432360032143</x:v>
      </x:c>
      <x:c r="L1522" s="36" t="n">
        <x:f>IF(Assumptions!$B$4=2030,I1522,IF(Assumptions!$B$4=2035,J1522,K1522))</x:f>
        <x:v>-0.07661398339137426</x:v>
      </x:c>
      <x:c r="M1522" s="36" t="n">
        <x:f>Assumptions!$B$19</x:f>
        <x:v>-0.04739891965741583</x:v>
      </x:c>
      <x:c r="N1522" s="52" t="n">
        <x:f>H1522*L1522+(1-H1522)*M1522+O1522</x:f>
        <x:v>-0.0722317238312805</x:v>
      </x:c>
      <x:c r="O1522" s="36" t="n">
        <x:f>Assumptions!$B$10</x:f>
        <x:v>0</x:v>
      </x:c>
      <x:c r="P1522" s="54" t="n">
        <x:f>E1522*(1+N1522)</x:f>
        <x:v>4208.356900701311</x:v>
      </x:c>
      <x:c r="Q1522" s="54" t="n">
        <x:f>P1522-E1522</x:f>
        <x:v>-327.64309929868887</x:v>
      </x:c>
      <x:c r="R1522" s="16" t="str">
        <x:v>Yes</x:v>
      </x:c>
      <x:c r="S1522" s="56" t="n">
        <x:v>20654</x:v>
      </x:c>
      <x:c r="T1522" s="56" t="n">
        <x:v>15533</x:v>
      </x:c>
      <x:c r="U1522" s="40" t="n">
        <x:f>E1522*Assumptions!$B$8</x:f>
        <x:v>3855.6</x:v>
      </x:c>
      <x:c r="V1522" s="40" t="n">
        <x:f>P1522*Assumptions!$B$8</x:f>
        <x:v>3577.103365596114</x:v>
      </x:c>
      <x:c r="W1522" s="54" t="n">
        <x:f>V1522-U1522</x:f>
        <x:v>-278.49663440388576</x:v>
      </x:c>
      <x:c r="X1522" s="58" t="n">
        <x:f>IF(R1522="No","",W1522*S1522)</x:f>
        <x:v>-5752069.486977857</x:v>
      </x:c>
      <x:c r="Y1522" s="58" t="n">
        <x:f>IF(R1522="No","",W1522*T1522*Assumptions!$B$9)</x:f>
        <x:v>-1297766.4666586672</x:v>
      </x:c>
      <x:c r="Z1522" s="58" t="n">
        <x:f>IF(R1522="No","",X1522-Y1522)</x:f>
        <x:v>-4454303.02031919</x:v>
      </x:c>
      <x:c r="AA1522" s="58" t="n">
        <x:f>IF(R1522="No","",MAX(0,-Z1522))</x:f>
        <x:v>4454303.02031919</x:v>
      </x:c>
      <x:c r="AB1522" s="52" t="n">
        <x:f>IF(OR(R1522="No",U1522*S1522=0),"",AA1522/(U1522*S1522))</x:f>
        <x:v>0.05593499632661404</x:v>
      </x:c>
      <x:c r="AC1522" s="54" t="n">
        <x:f>IF(OR(R1522="No",S1522-T1522*Assumptions!$B$9&lt;=0),"",AA1522/(Assumptions!$B$8*(S1522-T1522*Assumptions!$B$9)))</x:f>
        <x:v>327.64309929868915</x:v>
      </x:c>
      <x:c r="AD1522" s="52" t="n">
        <x:f>IF(OR(R1522="No",U1522*S1522=0),"",AA1522/(U1522*S1522))</x:f>
        <x:v>0.05593499632661404</x:v>
      </x:c>
      <x:c r="AE1522" s="50" t="str">
        <x:f>IF(R1522="No","No finance data",IF(AB1522&gt;=10%,"Severe",IF(AB1522&gt;=5%,"High",IF(AB1522&gt;=2%,"Moderate","Low"))))</x:f>
        <x:v>High</x:v>
      </x:c>
      <x:c r="AF1522" s="60" t="n">
        <x:v>41.650214</x:v>
      </x:c>
      <x:c r="AG1522" s="60" t="n">
        <x:v>-71.260374</x:v>
      </x:c>
      <x:c r="AH1522" s="44" t="str">
        <x:v>Undergraduate tuition-contribution proxy only; not an audited total institutional budget.</x:v>
      </x:c>
    </x:row>
    <x:row r="1523">
      <x:c r="A1523" s="16" t="n">
        <x:v>217536</x:v>
      </x:c>
      <x:c r="B1523" s="16" t="str">
        <x:v>Salve Regina University</x:v>
      </x:c>
      <x:c r="C1523" s="16" t="str">
        <x:v>RI</x:v>
      </x:c>
      <x:c r="D1523" s="16" t="str">
        <x:v>Private nonprofit</x:v>
      </x:c>
      <x:c r="E1523" s="34" t="n">
        <x:v>2122</x:v>
      </x:c>
      <x:c r="F1523" s="21" t="n">
        <x:v>0.7343</x:v>
      </x:c>
      <x:c r="G1523" s="16" t="str">
        <x:v>Regional</x:v>
      </x:c>
      <x:c r="H1523" s="36" t="n">
        <x:f>IF(G1523="National",Assumptions!$B$11,IF(G1523="Statewide",Assumptions!$B$12,Assumptions!$B$13))</x:f>
        <x:v>0.85</x:v>
      </x:c>
      <x:c r="I1523" s="21" t="n">
        <x:v>-0.07438164121796587</x:v>
      </x:c>
      <x:c r="J1523" s="21" t="n">
        <x:v>-0.07661398339137426</x:v>
      </x:c>
      <x:c r="K1523" s="21" t="n">
        <x:v>-0.15242432360032143</x:v>
      </x:c>
      <x:c r="L1523" s="36" t="n">
        <x:f>IF(Assumptions!$B$4=2030,I1523,IF(Assumptions!$B$4=2035,J1523,K1523))</x:f>
        <x:v>-0.07661398339137426</x:v>
      </x:c>
      <x:c r="M1523" s="36" t="n">
        <x:f>Assumptions!$B$19</x:f>
        <x:v>-0.04739891965741583</x:v>
      </x:c>
      <x:c r="N1523" s="52" t="n">
        <x:f>H1523*L1523+(1-H1523)*M1523+O1523</x:f>
        <x:v>-0.0722317238312805</x:v>
      </x:c>
      <x:c r="O1523" s="36" t="n">
        <x:f>Assumptions!$B$10</x:f>
        <x:v>0</x:v>
      </x:c>
      <x:c r="P1523" s="54" t="n">
        <x:f>E1523*(1+N1523)</x:f>
        <x:v>1968.7242820300228</x:v>
      </x:c>
      <x:c r="Q1523" s="54" t="n">
        <x:f>P1523-E1523</x:f>
        <x:v>-153.27571796997722</x:v>
      </x:c>
      <x:c r="R1523" s="16" t="str">
        <x:v>Yes</x:v>
      </x:c>
      <x:c r="S1523" s="56" t="n">
        <x:v>19363</x:v>
      </x:c>
      <x:c r="T1523" s="56" t="n">
        <x:v>8855</x:v>
      </x:c>
      <x:c r="U1523" s="40" t="n">
        <x:f>E1523*Assumptions!$B$8</x:f>
        <x:v>1803.7</x:v>
      </x:c>
      <x:c r="V1523" s="40" t="n">
        <x:f>P1523*Assumptions!$B$8</x:f>
        <x:v>1673.4156397255192</x:v>
      </x:c>
      <x:c r="W1523" s="54" t="n">
        <x:f>V1523-U1523</x:f>
        <x:v>-130.28436027448083</x:v>
      </x:c>
      <x:c r="X1523" s="58" t="n">
        <x:f>IF(R1523="No","",W1523*S1523)</x:f>
        <x:v>-2522696.0679947725</x:v>
      </x:c>
      <x:c r="Y1523" s="58" t="n">
        <x:f>IF(R1523="No","",W1523*T1523*Assumptions!$B$9)</x:f>
        <x:v>-346100.4030691583</x:v>
      </x:c>
      <x:c r="Z1523" s="58" t="n">
        <x:f>IF(R1523="No","",X1523-Y1523)</x:f>
        <x:v>-2176595.6649256144</x:v>
      </x:c>
      <x:c r="AA1523" s="58" t="n">
        <x:f>IF(R1523="No","",MAX(0,-Z1523))</x:f>
        <x:v>2176595.6649256144</x:v>
      </x:c>
      <x:c r="AB1523" s="52" t="n">
        <x:f>IF(OR(R1523="No",U1523*S1523=0),"",AA1523/(U1523*S1523))</x:f>
        <x:v>0.06232191779100809</x:v>
      </x:c>
      <x:c r="AC1523" s="54" t="n">
        <x:f>IF(OR(R1523="No",S1523-T1523*Assumptions!$B$9&lt;=0),"",AA1523/(Assumptions!$B$8*(S1523-T1523*Assumptions!$B$9)))</x:f>
        <x:v>153.27571796997748</x:v>
      </x:c>
      <x:c r="AD1523" s="52" t="n">
        <x:f>IF(OR(R1523="No",U1523*S1523=0),"",AA1523/(U1523*S1523))</x:f>
        <x:v>0.06232191779100809</x:v>
      </x:c>
      <x:c r="AE1523" s="50" t="str">
        <x:f>IF(R1523="No","No finance data",IF(AB1523&gt;=10%,"Severe",IF(AB1523&gt;=5%,"High",IF(AB1523&gt;=2%,"Moderate","Low"))))</x:f>
        <x:v>High</x:v>
      </x:c>
      <x:c r="AF1523" s="60" t="n">
        <x:v>41.471545</x:v>
      </x:c>
      <x:c r="AG1523" s="60" t="n">
        <x:v>-71.30124</x:v>
      </x:c>
      <x:c r="AH1523" s="44" t="str">
        <x:v>Undergraduate tuition-contribution proxy only; not an audited total institutional budget.</x:v>
      </x:c>
    </x:row>
    <x:row r="1524">
      <x:c r="A1524" s="16" t="n">
        <x:v>217484</x:v>
      </x:c>
      <x:c r="B1524" s="16" t="str">
        <x:v>University of Rhode Island</x:v>
      </x:c>
      <x:c r="C1524" s="16" t="str">
        <x:v>RI</x:v>
      </x:c>
      <x:c r="D1524" s="16" t="str">
        <x:v>Public</x:v>
      </x:c>
      <x:c r="E1524" s="34" t="n">
        <x:v>13342</x:v>
      </x:c>
      <x:c r="F1524" s="21" t="n">
        <x:v>0.7646</x:v>
      </x:c>
      <x:c r="G1524" s="16" t="str">
        <x:v>Statewide</x:v>
      </x:c>
      <x:c r="H1524" s="36" t="n">
        <x:f>IF(G1524="National",Assumptions!$B$11,IF(G1524="Statewide",Assumptions!$B$12,Assumptions!$B$13))</x:f>
        <x:v>0.6</x:v>
      </x:c>
      <x:c r="I1524" s="21" t="n">
        <x:v>-0.07438164121796587</x:v>
      </x:c>
      <x:c r="J1524" s="21" t="n">
        <x:v>-0.07661398339137426</x:v>
      </x:c>
      <x:c r="K1524" s="21" t="n">
        <x:v>-0.15242432360032143</x:v>
      </x:c>
      <x:c r="L1524" s="36" t="n">
        <x:f>IF(Assumptions!$B$4=2030,I1524,IF(Assumptions!$B$4=2035,J1524,K1524))</x:f>
        <x:v>-0.07661398339137426</x:v>
      </x:c>
      <x:c r="M1524" s="36" t="n">
        <x:f>Assumptions!$B$19</x:f>
        <x:v>-0.04739891965741583</x:v>
      </x:c>
      <x:c r="N1524" s="52" t="n">
        <x:f>H1524*L1524+(1-H1524)*M1524+O1524</x:f>
        <x:v>-0.06492795789779089</x:v>
      </x:c>
      <x:c r="O1524" s="36" t="n">
        <x:f>Assumptions!$B$10</x:f>
        <x:v>0</x:v>
      </x:c>
      <x:c r="P1524" s="54" t="n">
        <x:f>E1524*(1+N1524)</x:f>
        <x:v>12475.731185727673</x:v>
      </x:c>
      <x:c r="Q1524" s="54" t="n">
        <x:f>P1524-E1524</x:f>
        <x:v>-866.2688142723273</x:v>
      </x:c>
      <x:c r="R1524" s="16" t="str">
        <x:v>Yes</x:v>
      </x:c>
      <x:c r="S1524" s="56" t="n">
        <x:v>15433</x:v>
      </x:c>
      <x:c r="T1524" s="56" t="n">
        <x:v>9319</x:v>
      </x:c>
      <x:c r="U1524" s="40" t="n">
        <x:f>E1524*Assumptions!$B$8</x:f>
        <x:v>11340.699999999999</x:v>
      </x:c>
      <x:c r="V1524" s="40" t="n">
        <x:f>P1524*Assumptions!$B$8</x:f>
        <x:v>10604.371507868522</x:v>
      </x:c>
      <x:c r="W1524" s="54" t="n">
        <x:f>V1524-U1524</x:f>
        <x:v>-736.3284921314771</x:v>
      </x:c>
      <x:c r="X1524" s="58" t="n">
        <x:f>IF(R1524="No","",W1524*S1524)</x:f>
        <x:v>-11363757.619065085</x:v>
      </x:c>
      <x:c r="Y1524" s="58" t="n">
        <x:f>IF(R1524="No","",W1524*T1524*Assumptions!$B$9)</x:f>
        <x:v>-2058553.5654519703</x:v>
      </x:c>
      <x:c r="Z1524" s="58" t="n">
        <x:f>IF(R1524="No","",X1524-Y1524)</x:f>
        <x:v>-9305204.053613115</x:v>
      </x:c>
      <x:c r="AA1524" s="58" t="n">
        <x:f>IF(R1524="No","",MAX(0,-Z1524))</x:f>
        <x:v>9305204.053613115</x:v>
      </x:c>
      <x:c r="AB1524" s="52" t="n">
        <x:f>IF(OR(R1524="No",U1524*S1524=0),"",AA1524/(U1524*S1524))</x:f>
        <x:v>0.05316620762922003</x:v>
      </x:c>
      <x:c r="AC1524" s="54" t="n">
        <x:f>IF(OR(R1524="No",S1524-T1524*Assumptions!$B$9&lt;=0),"",AA1524/(Assumptions!$B$8*(S1524-T1524*Assumptions!$B$9)))</x:f>
        <x:v>866.2688142723259</x:v>
      </x:c>
      <x:c r="AD1524" s="52" t="n">
        <x:f>IF(OR(R1524="No",U1524*S1524=0),"",AA1524/(U1524*S1524))</x:f>
        <x:v>0.05316620762922003</x:v>
      </x:c>
      <x:c r="AE1524" s="50" t="str">
        <x:f>IF(R1524="No","No finance data",IF(AB1524&gt;=10%,"Severe",IF(AB1524&gt;=5%,"High",IF(AB1524&gt;=2%,"Moderate","Low"))))</x:f>
        <x:v>High</x:v>
      </x:c>
      <x:c r="AF1524" s="60" t="n">
        <x:v>41.484691</x:v>
      </x:c>
      <x:c r="AG1524" s="60" t="n">
        <x:v>-71.527356</x:v>
      </x:c>
      <x:c r="AH1524" s="44" t="str">
        <x:v>Undergraduate tuition-contribution proxy only; not an audited total institutional budget.</x:v>
      </x:c>
    </x:row>
    <x:row r="1525">
      <x:c r="A1525" s="16" t="n">
        <x:v>217624</x:v>
      </x:c>
      <x:c r="B1525" s="16" t="str">
        <x:v>Allen University</x:v>
      </x:c>
      <x:c r="C1525" s="16" t="str">
        <x:v>SC</x:v>
      </x:c>
      <x:c r="D1525" s="16" t="str">
        <x:v>Private nonprofit</x:v>
      </x:c>
      <x:c r="E1525" s="34" t="n">
        <x:v>625</x:v>
      </x:c>
      <x:c r="F1525" s="21" t="n">
        <x:v>0.5663</x:v>
      </x:c>
      <x:c r="G1525" s="16" t="str">
        <x:v>Regional</x:v>
      </x:c>
      <x:c r="H1525" s="36" t="n">
        <x:f>IF(G1525="National",Assumptions!$B$11,IF(G1525="Statewide",Assumptions!$B$12,Assumptions!$B$13))</x:f>
        <x:v>0.85</x:v>
      </x:c>
      <x:c r="I1525" s="21" t="n">
        <x:v>-0.015648919884334034</x:v>
      </x:c>
      <x:c r="J1525" s="21" t="n">
        <x:v>0.03745534954924312</x:v>
      </x:c>
      <x:c r="K1525" s="21" t="n">
        <x:v>0.050093553325395446</x:v>
      </x:c>
      <x:c r="L1525" s="36" t="n">
        <x:f>IF(Assumptions!$B$4=2030,I1525,IF(Assumptions!$B$4=2035,J1525,K1525))</x:f>
        <x:v>0.03745534954924312</x:v>
      </x:c>
      <x:c r="M1525" s="36" t="n">
        <x:f>Assumptions!$B$19</x:f>
        <x:v>-0.04739891965741583</x:v>
      </x:c>
      <x:c r="N1525" s="52" t="n">
        <x:f>H1525*L1525+(1-H1525)*M1525+O1525</x:f>
        <x:v>0.024727209168244273</x:v>
      </x:c>
      <x:c r="O1525" s="36" t="n">
        <x:f>Assumptions!$B$10</x:f>
        <x:v>0</x:v>
      </x:c>
      <x:c r="P1525" s="54" t="n">
        <x:f>E1525*(1+N1525)</x:f>
        <x:v>640.4545057301526</x:v>
      </x:c>
      <x:c r="Q1525" s="54" t="n">
        <x:f>P1525-E1525</x:f>
        <x:v>15.454505730152619</x:v>
      </x:c>
      <x:c r="R1525" s="16" t="str">
        <x:v>Yes</x:v>
      </x:c>
      <x:c r="S1525" s="56" t="n">
        <x:v>9819</x:v>
      </x:c>
      <x:c r="T1525" s="56" t="n">
        <x:v>4558</x:v>
      </x:c>
      <x:c r="U1525" s="40" t="n">
        <x:f>E1525*Assumptions!$B$8</x:f>
        <x:v>531.25</x:v>
      </x:c>
      <x:c r="V1525" s="40" t="n">
        <x:f>P1525*Assumptions!$B$8</x:f>
        <x:v>544.3863298706298</x:v>
      </x:c>
      <x:c r="W1525" s="54" t="n">
        <x:f>V1525-U1525</x:f>
        <x:v>13.136329870629766</x:v>
      </x:c>
      <x:c r="X1525" s="58" t="n">
        <x:f>IF(R1525="No","",W1525*S1525)</x:f>
        <x:v>128985.62299971367</x:v>
      </x:c>
      <x:c r="Y1525" s="58" t="n">
        <x:f>IF(R1525="No","",W1525*T1525*Assumptions!$B$9)</x:f>
        <x:v>17962.61746509914</x:v>
      </x:c>
      <x:c r="Z1525" s="58" t="n">
        <x:f>IF(R1525="No","",X1525-Y1525)</x:f>
        <x:v>111023.00553461452</x:v>
      </x:c>
      <x:c r="AA1525" s="58" t="n">
        <x:f>IF(R1525="No","",MAX(0,-Z1525))</x:f>
        <x:v>0</x:v>
      </x:c>
      <x:c r="AB1525" s="52" t="n">
        <x:f>IF(OR(R1525="No",U1525*S1525=0),"",AA1525/(U1525*S1525))</x:f>
        <x:v>0</x:v>
      </x:c>
      <x:c r="AC1525" s="54" t="n">
        <x:f>IF(OR(R1525="No",S1525-T1525*Assumptions!$B$9&lt;=0),"",AA1525/(Assumptions!$B$8*(S1525-T1525*Assumptions!$B$9)))</x:f>
        <x:v>0</x:v>
      </x:c>
      <x:c r="AD1525" s="52" t="n">
        <x:f>IF(OR(R1525="No",U1525*S1525=0),"",AA1525/(U1525*S1525))</x:f>
        <x:v>0</x:v>
      </x:c>
      <x:c r="AE1525" s="50" t="str">
        <x:f>IF(R1525="No","No finance data",IF(AB1525&gt;=10%,"Severe",IF(AB1525&gt;=5%,"High",IF(AB1525&gt;=2%,"Moderate","Low"))))</x:f>
        <x:v>Low</x:v>
      </x:c>
      <x:c r="AF1525" s="60" t="n">
        <x:v>34.010348</x:v>
      </x:c>
      <x:c r="AG1525" s="60" t="n">
        <x:v>-81.020045</x:v>
      </x:c>
      <x:c r="AH1525" s="44" t="str">
        <x:v>Undergraduate tuition-contribution proxy only; not an audited total institutional budget.</x:v>
      </x:c>
    </x:row>
    <x:row r="1526">
      <x:c r="A1526" s="16" t="n">
        <x:v>217633</x:v>
      </x:c>
      <x:c r="B1526" s="16" t="str">
        <x:v>Anderson University</x:v>
      </x:c>
      <x:c r="C1526" s="16" t="str">
        <x:v>SC</x:v>
      </x:c>
      <x:c r="D1526" s="16" t="str">
        <x:v>Private nonprofit</x:v>
      </x:c>
      <x:c r="E1526" s="34" t="n">
        <x:v>2632</x:v>
      </x:c>
      <x:c r="F1526" s="21" t="n">
        <x:v>0.5029</x:v>
      </x:c>
      <x:c r="G1526" s="16" t="str">
        <x:v>Regional</x:v>
      </x:c>
      <x:c r="H1526" s="36" t="n">
        <x:f>IF(G1526="National",Assumptions!$B$11,IF(G1526="Statewide",Assumptions!$B$12,Assumptions!$B$13))</x:f>
        <x:v>0.85</x:v>
      </x:c>
      <x:c r="I1526" s="21" t="n">
        <x:v>-0.015648919884334034</x:v>
      </x:c>
      <x:c r="J1526" s="21" t="n">
        <x:v>0.03745534954924312</x:v>
      </x:c>
      <x:c r="K1526" s="21" t="n">
        <x:v>0.050093553325395446</x:v>
      </x:c>
      <x:c r="L1526" s="36" t="n">
        <x:f>IF(Assumptions!$B$4=2030,I1526,IF(Assumptions!$B$4=2035,J1526,K1526))</x:f>
        <x:v>0.03745534954924312</x:v>
      </x:c>
      <x:c r="M1526" s="36" t="n">
        <x:f>Assumptions!$B$19</x:f>
        <x:v>-0.04739891965741583</x:v>
      </x:c>
      <x:c r="N1526" s="52" t="n">
        <x:f>H1526*L1526+(1-H1526)*M1526+O1526</x:f>
        <x:v>0.024727209168244273</x:v>
      </x:c>
      <x:c r="O1526" s="36" t="n">
        <x:f>Assumptions!$B$10</x:f>
        <x:v>0</x:v>
      </x:c>
      <x:c r="P1526" s="54" t="n">
        <x:f>E1526*(1+N1526)</x:f>
        <x:v>2697.082014530819</x:v>
      </x:c>
      <x:c r="Q1526" s="54" t="n">
        <x:f>P1526-E1526</x:f>
        <x:v>65.08201453081892</x:v>
      </x:c>
      <x:c r="R1526" s="16" t="str">
        <x:v>Yes</x:v>
      </x:c>
      <x:c r="S1526" s="56" t="n">
        <x:v>14232</x:v>
      </x:c>
      <x:c r="T1526" s="56" t="n">
        <x:v>6600</x:v>
      </x:c>
      <x:c r="U1526" s="40" t="n">
        <x:f>E1526*Assumptions!$B$8</x:f>
        <x:v>2237.2</x:v>
      </x:c>
      <x:c r="V1526" s="40" t="n">
        <x:f>P1526*Assumptions!$B$8</x:f>
        <x:v>2292.519712351196</x:v>
      </x:c>
      <x:c r="W1526" s="54" t="n">
        <x:f>V1526-U1526</x:f>
        <x:v>55.31971235119636</x:v>
      </x:c>
      <x:c r="X1526" s="58" t="n">
        <x:f>IF(R1526="No","",W1526*S1526)</x:f>
        <x:v>787310.1461822266</x:v>
      </x:c>
      <x:c r="Y1526" s="58" t="n">
        <x:f>IF(R1526="No","",W1526*T1526*Assumptions!$B$9)</x:f>
        <x:v>109533.03045536877</x:v>
      </x:c>
      <x:c r="Z1526" s="58" t="n">
        <x:f>IF(R1526="No","",X1526-Y1526)</x:f>
        <x:v>677777.1157268578</x:v>
      </x:c>
      <x:c r="AA1526" s="58" t="n">
        <x:f>IF(R1526="No","",MAX(0,-Z1526))</x:f>
        <x:v>0</x:v>
      </x:c>
      <x:c r="AB1526" s="52" t="n">
        <x:f>IF(OR(R1526="No",U1526*S1526=0),"",AA1526/(U1526*S1526))</x:f>
        <x:v>0</x:v>
      </x:c>
      <x:c r="AC1526" s="54" t="n">
        <x:f>IF(OR(R1526="No",S1526-T1526*Assumptions!$B$9&lt;=0),"",AA1526/(Assumptions!$B$8*(S1526-T1526*Assumptions!$B$9)))</x:f>
        <x:v>0</x:v>
      </x:c>
      <x:c r="AD1526" s="52" t="n">
        <x:f>IF(OR(R1526="No",U1526*S1526=0),"",AA1526/(U1526*S1526))</x:f>
        <x:v>0</x:v>
      </x:c>
      <x:c r="AE1526" s="50" t="str">
        <x:f>IF(R1526="No","No finance data",IF(AB1526&gt;=10%,"Severe",IF(AB1526&gt;=5%,"High",IF(AB1526&gt;=2%,"Moderate","Low"))))</x:f>
        <x:v>Low</x:v>
      </x:c>
      <x:c r="AF1526" s="60" t="n">
        <x:v>34.5152</x:v>
      </x:c>
      <x:c r="AG1526" s="60" t="n">
        <x:v>-82.640358</x:v>
      </x:c>
      <x:c r="AH1526" s="44" t="str">
        <x:v>Undergraduate tuition-contribution proxy only; not an audited total institutional budget.</x:v>
      </x:c>
    </x:row>
    <x:row r="1527">
      <x:c r="A1527" s="16" t="n">
        <x:v>217721</x:v>
      </x:c>
      <x:c r="B1527" s="16" t="str">
        <x:v>Benedict College</x:v>
      </x:c>
      <x:c r="C1527" s="16" t="str">
        <x:v>SC</x:v>
      </x:c>
      <x:c r="D1527" s="16" t="str">
        <x:v>Private nonprofit</x:v>
      </x:c>
      <x:c r="E1527" s="34" t="n">
        <x:v>2465</x:v>
      </x:c>
      <x:c r="F1527" s="21" t="n">
        <x:v>0.8551</x:v>
      </x:c>
      <x:c r="G1527" s="16" t="str">
        <x:v>Regional</x:v>
      </x:c>
      <x:c r="H1527" s="36" t="n">
        <x:f>IF(G1527="National",Assumptions!$B$11,IF(G1527="Statewide",Assumptions!$B$12,Assumptions!$B$13))</x:f>
        <x:v>0.85</x:v>
      </x:c>
      <x:c r="I1527" s="21" t="n">
        <x:v>-0.015648919884334034</x:v>
      </x:c>
      <x:c r="J1527" s="21" t="n">
        <x:v>0.03745534954924312</x:v>
      </x:c>
      <x:c r="K1527" s="21" t="n">
        <x:v>0.050093553325395446</x:v>
      </x:c>
      <x:c r="L1527" s="36" t="n">
        <x:f>IF(Assumptions!$B$4=2030,I1527,IF(Assumptions!$B$4=2035,J1527,K1527))</x:f>
        <x:v>0.03745534954924312</x:v>
      </x:c>
      <x:c r="M1527" s="36" t="n">
        <x:f>Assumptions!$B$19</x:f>
        <x:v>-0.04739891965741583</x:v>
      </x:c>
      <x:c r="N1527" s="52" t="n">
        <x:f>H1527*L1527+(1-H1527)*M1527+O1527</x:f>
        <x:v>0.024727209168244273</x:v>
      </x:c>
      <x:c r="O1527" s="36" t="n">
        <x:f>Assumptions!$B$10</x:f>
        <x:v>0</x:v>
      </x:c>
      <x:c r="P1527" s="54" t="n">
        <x:f>E1527*(1+N1527)</x:f>
        <x:v>2525.952570599722</x:v>
      </x:c>
      <x:c r="Q1527" s="54" t="n">
        <x:f>P1527-E1527</x:f>
        <x:v>60.952570599722094</x:v>
      </x:c>
      <x:c r="R1527" s="16" t="str">
        <x:v>Yes</x:v>
      </x:c>
      <x:c r="S1527" s="56" t="n">
        <x:v>10110</x:v>
      </x:c>
      <x:c r="T1527" s="56" t="n">
        <x:v>4307</x:v>
      </x:c>
      <x:c r="U1527" s="40" t="n">
        <x:f>E1527*Assumptions!$B$8</x:f>
        <x:v>2095.25</x:v>
      </x:c>
      <x:c r="V1527" s="40" t="n">
        <x:f>P1527*Assumptions!$B$8</x:f>
        <x:v>2147.0596850097636</x:v>
      </x:c>
      <x:c r="W1527" s="54" t="n">
        <x:f>V1527-U1527</x:f>
        <x:v>51.8096850097636</x:v>
      </x:c>
      <x:c r="X1527" s="58" t="n">
        <x:f>IF(R1527="No","",W1527*S1527)</x:f>
        <x:v>523795.91544871</x:v>
      </x:c>
      <x:c r="Y1527" s="58" t="n">
        <x:f>IF(R1527="No","",W1527*T1527*Assumptions!$B$9)</x:f>
        <x:v>66943.29400111554</x:v>
      </x:c>
      <x:c r="Z1527" s="58" t="n">
        <x:f>IF(R1527="No","",X1527-Y1527)</x:f>
        <x:v>456852.6214475944</x:v>
      </x:c>
      <x:c r="AA1527" s="58" t="n">
        <x:f>IF(R1527="No","",MAX(0,-Z1527))</x:f>
        <x:v>0</x:v>
      </x:c>
      <x:c r="AB1527" s="52" t="n">
        <x:f>IF(OR(R1527="No",U1527*S1527=0),"",AA1527/(U1527*S1527))</x:f>
        <x:v>0</x:v>
      </x:c>
      <x:c r="AC1527" s="54" t="n">
        <x:f>IF(OR(R1527="No",S1527-T1527*Assumptions!$B$9&lt;=0),"",AA1527/(Assumptions!$B$8*(S1527-T1527*Assumptions!$B$9)))</x:f>
        <x:v>0</x:v>
      </x:c>
      <x:c r="AD1527" s="52" t="n">
        <x:f>IF(OR(R1527="No",U1527*S1527=0),"",AA1527/(U1527*S1527))</x:f>
        <x:v>0</x:v>
      </x:c>
      <x:c r="AE1527" s="50" t="str">
        <x:f>IF(R1527="No","No finance data",IF(AB1527&gt;=10%,"Severe",IF(AB1527&gt;=5%,"High",IF(AB1527&gt;=2%,"Moderate","Low"))))</x:f>
        <x:v>Low</x:v>
      </x:c>
      <x:c r="AF1527" s="60" t="n">
        <x:v>34.012941</x:v>
      </x:c>
      <x:c r="AG1527" s="60" t="n">
        <x:v>-81.020403</x:v>
      </x:c>
      <x:c r="AH1527" s="44" t="str">
        <x:v>Undergraduate tuition-contribution proxy only; not an audited total institutional budget.</x:v>
      </x:c>
    </x:row>
    <x:row r="1528">
      <x:c r="A1528" s="16" t="n">
        <x:v>217688</x:v>
      </x:c>
      <x:c r="B1528" s="16" t="str">
        <x:v>Charleston Southern University</x:v>
      </x:c>
      <x:c r="C1528" s="16" t="str">
        <x:v>SC</x:v>
      </x:c>
      <x:c r="D1528" s="16" t="str">
        <x:v>Private nonprofit</x:v>
      </x:c>
      <x:c r="E1528" s="34" t="n">
        <x:v>3112</x:v>
      </x:c>
      <x:c r="F1528" s="21" t="n">
        <x:v>0.5721</x:v>
      </x:c>
      <x:c r="G1528" s="16" t="str">
        <x:v>Regional</x:v>
      </x:c>
      <x:c r="H1528" s="36" t="n">
        <x:f>IF(G1528="National",Assumptions!$B$11,IF(G1528="Statewide",Assumptions!$B$12,Assumptions!$B$13))</x:f>
        <x:v>0.85</x:v>
      </x:c>
      <x:c r="I1528" s="21" t="n">
        <x:v>-0.015648919884334034</x:v>
      </x:c>
      <x:c r="J1528" s="21" t="n">
        <x:v>0.03745534954924312</x:v>
      </x:c>
      <x:c r="K1528" s="21" t="n">
        <x:v>0.050093553325395446</x:v>
      </x:c>
      <x:c r="L1528" s="36" t="n">
        <x:f>IF(Assumptions!$B$4=2030,I1528,IF(Assumptions!$B$4=2035,J1528,K1528))</x:f>
        <x:v>0.03745534954924312</x:v>
      </x:c>
      <x:c r="M1528" s="36" t="n">
        <x:f>Assumptions!$B$19</x:f>
        <x:v>-0.04739891965741583</x:v>
      </x:c>
      <x:c r="N1528" s="52" t="n">
        <x:f>H1528*L1528+(1-H1528)*M1528+O1528</x:f>
        <x:v>0.024727209168244273</x:v>
      </x:c>
      <x:c r="O1528" s="36" t="n">
        <x:f>Assumptions!$B$10</x:f>
        <x:v>0</x:v>
      </x:c>
      <x:c r="P1528" s="54" t="n">
        <x:f>E1528*(1+N1528)</x:f>
        <x:v>3188.951074931576</x:v>
      </x:c>
      <x:c r="Q1528" s="54" t="n">
        <x:f>P1528-E1528</x:f>
        <x:v>76.95107493157593</x:v>
      </x:c>
      <x:c r="R1528" s="16" t="str">
        <x:v>Yes</x:v>
      </x:c>
      <x:c r="S1528" s="56" t="n">
        <x:v>12839</x:v>
      </x:c>
      <x:c r="T1528" s="56" t="n">
        <x:v>8420</x:v>
      </x:c>
      <x:c r="U1528" s="40" t="n">
        <x:f>E1528*Assumptions!$B$8</x:f>
        <x:v>2645.2</x:v>
      </x:c>
      <x:c r="V1528" s="40" t="n">
        <x:f>P1528*Assumptions!$B$8</x:f>
        <x:v>2710.6084136918394</x:v>
      </x:c>
      <x:c r="W1528" s="54" t="n">
        <x:f>V1528-U1528</x:f>
        <x:v>65.40841369183954</x:v>
      </x:c>
      <x:c r="X1528" s="58" t="n">
        <x:f>IF(R1528="No","",W1528*S1528)</x:f>
        <x:v>839778.6233895279</x:v>
      </x:c>
      <x:c r="Y1528" s="58" t="n">
        <x:f>IF(R1528="No","",W1528*T1528*Assumptions!$B$9)</x:f>
        <x:v>165221.65298558667</x:v>
      </x:c>
      <x:c r="Z1528" s="58" t="n">
        <x:f>IF(R1528="No","",X1528-Y1528)</x:f>
        <x:v>674556.9704039412</x:v>
      </x:c>
      <x:c r="AA1528" s="58" t="n">
        <x:f>IF(R1528="No","",MAX(0,-Z1528))</x:f>
        <x:v>0</x:v>
      </x:c>
      <x:c r="AB1528" s="52" t="n">
        <x:f>IF(OR(R1528="No",U1528*S1528=0),"",AA1528/(U1528*S1528))</x:f>
        <x:v>0</x:v>
      </x:c>
      <x:c r="AC1528" s="54" t="n">
        <x:f>IF(OR(R1528="No",S1528-T1528*Assumptions!$B$9&lt;=0),"",AA1528/(Assumptions!$B$8*(S1528-T1528*Assumptions!$B$9)))</x:f>
        <x:v>0</x:v>
      </x:c>
      <x:c r="AD1528" s="52" t="n">
        <x:f>IF(OR(R1528="No",U1528*S1528=0),"",AA1528/(U1528*S1528))</x:f>
        <x:v>0</x:v>
      </x:c>
      <x:c r="AE1528" s="50" t="str">
        <x:f>IF(R1528="No","No finance data",IF(AB1528&gt;=10%,"Severe",IF(AB1528&gt;=5%,"High",IF(AB1528&gt;=2%,"Moderate","Low"))))</x:f>
        <x:v>Low</x:v>
      </x:c>
      <x:c r="AF1528" s="60" t="n">
        <x:v>32.983047</x:v>
      </x:c>
      <x:c r="AG1528" s="60" t="n">
        <x:v>-80.072587</x:v>
      </x:c>
      <x:c r="AH1528" s="44" t="str">
        <x:v>Undergraduate tuition-contribution proxy only; not an audited total institutional budget.</x:v>
      </x:c>
    </x:row>
    <x:row r="1529">
      <x:c r="A1529" s="16" t="n">
        <x:v>217864</x:v>
      </x:c>
      <x:c r="B1529" s="16" t="str">
        <x:v>Citadel Military College of South Carolina</x:v>
      </x:c>
      <x:c r="C1529" s="16" t="str">
        <x:v>SC</x:v>
      </x:c>
      <x:c r="D1529" s="16" t="str">
        <x:v>Public</x:v>
      </x:c>
      <x:c r="E1529" s="34" t="n">
        <x:v>2616</x:v>
      </x:c>
      <x:c r="F1529" s="21" t="n">
        <x:v>0.864</x:v>
      </x:c>
      <x:c r="G1529" s="16" t="str">
        <x:v>Regional</x:v>
      </x:c>
      <x:c r="H1529" s="36" t="n">
        <x:f>IF(G1529="National",Assumptions!$B$11,IF(G1529="Statewide",Assumptions!$B$12,Assumptions!$B$13))</x:f>
        <x:v>0.85</x:v>
      </x:c>
      <x:c r="I1529" s="21" t="n">
        <x:v>-0.015648919884334034</x:v>
      </x:c>
      <x:c r="J1529" s="21" t="n">
        <x:v>0.03745534954924312</x:v>
      </x:c>
      <x:c r="K1529" s="21" t="n">
        <x:v>0.050093553325395446</x:v>
      </x:c>
      <x:c r="L1529" s="36" t="n">
        <x:f>IF(Assumptions!$B$4=2030,I1529,IF(Assumptions!$B$4=2035,J1529,K1529))</x:f>
        <x:v>0.03745534954924312</x:v>
      </x:c>
      <x:c r="M1529" s="36" t="n">
        <x:f>Assumptions!$B$19</x:f>
        <x:v>-0.04739891965741583</x:v>
      </x:c>
      <x:c r="N1529" s="52" t="n">
        <x:f>H1529*L1529+(1-H1529)*M1529+O1529</x:f>
        <x:v>0.024727209168244273</x:v>
      </x:c>
      <x:c r="O1529" s="36" t="n">
        <x:f>Assumptions!$B$10</x:f>
        <x:v>0</x:v>
      </x:c>
      <x:c r="P1529" s="54" t="n">
        <x:f>E1529*(1+N1529)</x:f>
        <x:v>2680.686379184127</x:v>
      </x:c>
      <x:c r="Q1529" s="54" t="n">
        <x:f>P1529-E1529</x:f>
        <x:v>64.68637918412696</x:v>
      </x:c>
      <x:c r="R1529" s="16" t="str">
        <x:v>Yes</x:v>
      </x:c>
      <x:c r="S1529" s="56" t="n">
        <x:v>12390</x:v>
      </x:c>
      <x:c r="T1529" s="56" t="n">
        <x:v>10866</x:v>
      </x:c>
      <x:c r="U1529" s="40" t="n">
        <x:f>E1529*Assumptions!$B$8</x:f>
        <x:v>2223.6</x:v>
      </x:c>
      <x:c r="V1529" s="40" t="n">
        <x:f>P1529*Assumptions!$B$8</x:f>
        <x:v>2278.583422306508</x:v>
      </x:c>
      <x:c r="W1529" s="54" t="n">
        <x:f>V1529-U1529</x:f>
        <x:v>54.983422306508146</x:v>
      </x:c>
      <x:c r="X1529" s="58" t="n">
        <x:f>IF(R1529="No","",W1529*S1529)</x:f>
        <x:v>681244.6023776359</x:v>
      </x:c>
      <x:c r="Y1529" s="58" t="n">
        <x:f>IF(R1529="No","",W1529*T1529*Assumptions!$B$9)</x:f>
        <x:v>179234.96003475526</x:v>
      </x:c>
      <x:c r="Z1529" s="58" t="n">
        <x:f>IF(R1529="No","",X1529-Y1529)</x:f>
        <x:v>502009.6423428806</x:v>
      </x:c>
      <x:c r="AA1529" s="58" t="n">
        <x:f>IF(R1529="No","",MAX(0,-Z1529))</x:f>
        <x:v>0</x:v>
      </x:c>
      <x:c r="AB1529" s="52" t="n">
        <x:f>IF(OR(R1529="No",U1529*S1529=0),"",AA1529/(U1529*S1529))</x:f>
        <x:v>0</x:v>
      </x:c>
      <x:c r="AC1529" s="54" t="n">
        <x:f>IF(OR(R1529="No",S1529-T1529*Assumptions!$B$9&lt;=0),"",AA1529/(Assumptions!$B$8*(S1529-T1529*Assumptions!$B$9)))</x:f>
        <x:v>0</x:v>
      </x:c>
      <x:c r="AD1529" s="52" t="n">
        <x:f>IF(OR(R1529="No",U1529*S1529=0),"",AA1529/(U1529*S1529))</x:f>
        <x:v>0</x:v>
      </x:c>
      <x:c r="AE1529" s="50" t="str">
        <x:f>IF(R1529="No","No finance data",IF(AB1529&gt;=10%,"Severe",IF(AB1529&gt;=5%,"High",IF(AB1529&gt;=2%,"Moderate","Low"))))</x:f>
        <x:v>Low</x:v>
      </x:c>
      <x:c r="AF1529" s="60" t="n">
        <x:v>32.797183</x:v>
      </x:c>
      <x:c r="AG1529" s="60" t="n">
        <x:v>-79.958775</x:v>
      </x:c>
      <x:c r="AH1529" s="44" t="str">
        <x:v>Undergraduate tuition-contribution proxy only; not an audited total institutional budget.</x:v>
      </x:c>
    </x:row>
    <x:row r="1530">
      <x:c r="A1530" s="16" t="n">
        <x:v>217873</x:v>
      </x:c>
      <x:c r="B1530" s="16" t="str">
        <x:v>Claflin University</x:v>
      </x:c>
      <x:c r="C1530" s="16" t="str">
        <x:v>SC</x:v>
      </x:c>
      <x:c r="D1530" s="16" t="str">
        <x:v>Private nonprofit</x:v>
      </x:c>
      <x:c r="E1530" s="34" t="n">
        <x:v>1844</x:v>
      </x:c>
      <x:c r="F1530" s="21" t="n">
        <x:v>0.6247</x:v>
      </x:c>
      <x:c r="G1530" s="16" t="str">
        <x:v>Regional</x:v>
      </x:c>
      <x:c r="H1530" s="36" t="n">
        <x:f>IF(G1530="National",Assumptions!$B$11,IF(G1530="Statewide",Assumptions!$B$12,Assumptions!$B$13))</x:f>
        <x:v>0.85</x:v>
      </x:c>
      <x:c r="I1530" s="21" t="n">
        <x:v>-0.015648919884334034</x:v>
      </x:c>
      <x:c r="J1530" s="21" t="n">
        <x:v>0.03745534954924312</x:v>
      </x:c>
      <x:c r="K1530" s="21" t="n">
        <x:v>0.050093553325395446</x:v>
      </x:c>
      <x:c r="L1530" s="36" t="n">
        <x:f>IF(Assumptions!$B$4=2030,I1530,IF(Assumptions!$B$4=2035,J1530,K1530))</x:f>
        <x:v>0.03745534954924312</x:v>
      </x:c>
      <x:c r="M1530" s="36" t="n">
        <x:f>Assumptions!$B$19</x:f>
        <x:v>-0.04739891965741583</x:v>
      </x:c>
      <x:c r="N1530" s="52" t="n">
        <x:f>H1530*L1530+(1-H1530)*M1530+O1530</x:f>
        <x:v>0.024727209168244273</x:v>
      </x:c>
      <x:c r="O1530" s="36" t="n">
        <x:f>Assumptions!$B$10</x:f>
        <x:v>0</x:v>
      </x:c>
      <x:c r="P1530" s="54" t="n">
        <x:f>E1530*(1+N1530)</x:f>
        <x:v>1889.5969737062424</x:v>
      </x:c>
      <x:c r="Q1530" s="54" t="n">
        <x:f>P1530-E1530</x:f>
        <x:v>45.59697370624235</x:v>
      </x:c>
      <x:c r="R1530" s="16" t="str">
        <x:v>Yes</x:v>
      </x:c>
      <x:c r="S1530" s="56" t="n">
        <x:v>14574</x:v>
      </x:c>
      <x:c r="T1530" s="56" t="n">
        <x:v>7717</x:v>
      </x:c>
      <x:c r="U1530" s="40" t="n">
        <x:f>E1530*Assumptions!$B$8</x:f>
        <x:v>1567.3999999999999</x:v>
      </x:c>
      <x:c r="V1530" s="40" t="n">
        <x:f>P1530*Assumptions!$B$8</x:f>
        <x:v>1606.1574276503059</x:v>
      </x:c>
      <x:c r="W1530" s="54" t="n">
        <x:f>V1530-U1530</x:f>
        <x:v>38.757427650306</x:v>
      </x:c>
      <x:c r="X1530" s="58" t="n">
        <x:f>IF(R1530="No","",W1530*S1530)</x:f>
        <x:v>564850.7505755597</x:v>
      </x:c>
      <x:c r="Y1530" s="58" t="n">
        <x:f>IF(R1530="No","",W1530*T1530*Assumptions!$B$9)</x:f>
        <x:v>89727.32075322341</x:v>
      </x:c>
      <x:c r="Z1530" s="58" t="n">
        <x:f>IF(R1530="No","",X1530-Y1530)</x:f>
        <x:v>475123.4298223363</x:v>
      </x:c>
      <x:c r="AA1530" s="58" t="n">
        <x:f>IF(R1530="No","",MAX(0,-Z1530))</x:f>
        <x:v>0</x:v>
      </x:c>
      <x:c r="AB1530" s="52" t="n">
        <x:f>IF(OR(R1530="No",U1530*S1530=0),"",AA1530/(U1530*S1530))</x:f>
        <x:v>0</x:v>
      </x:c>
      <x:c r="AC1530" s="54" t="n">
        <x:f>IF(OR(R1530="No",S1530-T1530*Assumptions!$B$9&lt;=0),"",AA1530/(Assumptions!$B$8*(S1530-T1530*Assumptions!$B$9)))</x:f>
        <x:v>0</x:v>
      </x:c>
      <x:c r="AD1530" s="52" t="n">
        <x:f>IF(OR(R1530="No",U1530*S1530=0),"",AA1530/(U1530*S1530))</x:f>
        <x:v>0</x:v>
      </x:c>
      <x:c r="AE1530" s="50" t="str">
        <x:f>IF(R1530="No","No finance data",IF(AB1530&gt;=10%,"Severe",IF(AB1530&gt;=5%,"High",IF(AB1530&gt;=2%,"Moderate","Low"))))</x:f>
        <x:v>Low</x:v>
      </x:c>
      <x:c r="AF1530" s="60" t="n">
        <x:v>33.498444</x:v>
      </x:c>
      <x:c r="AG1530" s="60" t="n">
        <x:v>-80.854319</x:v>
      </x:c>
      <x:c r="AH1530" s="44" t="str">
        <x:v>Undergraduate tuition-contribution proxy only; not an audited total institutional budget.</x:v>
      </x:c>
    </x:row>
    <x:row r="1531">
      <x:c r="A1531" s="16" t="n">
        <x:v>217882</x:v>
      </x:c>
      <x:c r="B1531" s="16" t="str">
        <x:v>Clemson University</x:v>
      </x:c>
      <x:c r="C1531" s="16" t="str">
        <x:v>SC</x:v>
      </x:c>
      <x:c r="D1531" s="16" t="str">
        <x:v>Public</x:v>
      </x:c>
      <x:c r="E1531" s="34" t="n">
        <x:v>17740</x:v>
      </x:c>
      <x:c r="F1531" s="21" t="n">
        <x:v>0.4922</x:v>
      </x:c>
      <x:c r="G1531" s="16" t="str">
        <x:v>Statewide</x:v>
      </x:c>
      <x:c r="H1531" s="36" t="n">
        <x:f>IF(G1531="National",Assumptions!$B$11,IF(G1531="Statewide",Assumptions!$B$12,Assumptions!$B$13))</x:f>
        <x:v>0.6</x:v>
      </x:c>
      <x:c r="I1531" s="21" t="n">
        <x:v>-0.015648919884334034</x:v>
      </x:c>
      <x:c r="J1531" s="21" t="n">
        <x:v>0.03745534954924312</x:v>
      </x:c>
      <x:c r="K1531" s="21" t="n">
        <x:v>0.050093553325395446</x:v>
      </x:c>
      <x:c r="L1531" s="36" t="n">
        <x:f>IF(Assumptions!$B$4=2030,I1531,IF(Assumptions!$B$4=2035,J1531,K1531))</x:f>
        <x:v>0.03745534954924312</x:v>
      </x:c>
      <x:c r="M1531" s="36" t="n">
        <x:f>Assumptions!$B$19</x:f>
        <x:v>-0.04739891965741583</x:v>
      </x:c>
      <x:c r="N1531" s="52" t="n">
        <x:f>H1531*L1531+(1-H1531)*M1531+O1531</x:f>
        <x:v>0.0035136418665795387</x:v>
      </x:c>
      <x:c r="O1531" s="36" t="n">
        <x:f>Assumptions!$B$10</x:f>
        <x:v>0</x:v>
      </x:c>
      <x:c r="P1531" s="54" t="n">
        <x:f>E1531*(1+N1531)</x:f>
        <x:v>17802.33200671312</x:v>
      </x:c>
      <x:c r="Q1531" s="54" t="n">
        <x:f>P1531-E1531</x:f>
        <x:v>62.33200671312079</x:v>
      </x:c>
      <x:c r="R1531" s="16" t="str">
        <x:v>Yes</x:v>
      </x:c>
      <x:c r="S1531" s="56" t="n">
        <x:v>18658</x:v>
      </x:c>
      <x:c r="T1531" s="56" t="n">
        <x:v>12346</x:v>
      </x:c>
      <x:c r="U1531" s="40" t="n">
        <x:f>E1531*Assumptions!$B$8</x:f>
        <x:v>15079</x:v>
      </x:c>
      <x:c r="V1531" s="40" t="n">
        <x:f>P1531*Assumptions!$B$8</x:f>
        <x:v>15131.982205706152</x:v>
      </x:c>
      <x:c r="W1531" s="54" t="n">
        <x:f>V1531-U1531</x:f>
        <x:v>52.982205706151944</x:v>
      </x:c>
      <x:c r="X1531" s="58" t="n">
        <x:f>IF(R1531="No","",W1531*S1531)</x:f>
        <x:v>988541.994065383</x:v>
      </x:c>
      <x:c r="Y1531" s="58" t="n">
        <x:f>IF(R1531="No","",W1531*T1531*Assumptions!$B$9)</x:f>
        <x:v>196235.49349444557</x:v>
      </x:c>
      <x:c r="Z1531" s="58" t="n">
        <x:f>IF(R1531="No","",X1531-Y1531)</x:f>
        <x:v>792306.5005709374</x:v>
      </x:c>
      <x:c r="AA1531" s="58" t="n">
        <x:f>IF(R1531="No","",MAX(0,-Z1531))</x:f>
        <x:v>0</x:v>
      </x:c>
      <x:c r="AB1531" s="52" t="n">
        <x:f>IF(OR(R1531="No",U1531*S1531=0),"",AA1531/(U1531*S1531))</x:f>
        <x:v>0</x:v>
      </x:c>
      <x:c r="AC1531" s="54" t="n">
        <x:f>IF(OR(R1531="No",S1531-T1531*Assumptions!$B$9&lt;=0),"",AA1531/(Assumptions!$B$8*(S1531-T1531*Assumptions!$B$9)))</x:f>
        <x:v>0</x:v>
      </x:c>
      <x:c r="AD1531" s="52" t="n">
        <x:f>IF(OR(R1531="No",U1531*S1531=0),"",AA1531/(U1531*S1531))</x:f>
        <x:v>0</x:v>
      </x:c>
      <x:c r="AE1531" s="50" t="str">
        <x:f>IF(R1531="No","No finance data",IF(AB1531&gt;=10%,"Severe",IF(AB1531&gt;=5%,"High",IF(AB1531&gt;=2%,"Moderate","Low"))))</x:f>
        <x:v>Low</x:v>
      </x:c>
      <x:c r="AF1531" s="60" t="n">
        <x:v>34.679381</x:v>
      </x:c>
      <x:c r="AG1531" s="60" t="n">
        <x:v>-82.835114</x:v>
      </x:c>
      <x:c r="AH1531" s="44" t="str">
        <x:v>Undergraduate tuition-contribution proxy only; not an audited total institutional budget.</x:v>
      </x:c>
    </x:row>
    <x:row r="1532">
      <x:c r="A1532" s="16" t="n">
        <x:v>218724</x:v>
      </x:c>
      <x:c r="B1532" s="16" t="str">
        <x:v>Coastal Carolina University</x:v>
      </x:c>
      <x:c r="C1532" s="16" t="str">
        <x:v>SC</x:v>
      </x:c>
      <x:c r="D1532" s="16" t="str">
        <x:v>Public</x:v>
      </x:c>
      <x:c r="E1532" s="34" t="n">
        <x:v>9289</x:v>
      </x:c>
      <x:c r="F1532" s="21" t="n">
        <x:v>0.7914</x:v>
      </x:c>
      <x:c r="G1532" s="16" t="str">
        <x:v>Statewide</x:v>
      </x:c>
      <x:c r="H1532" s="36" t="n">
        <x:f>IF(G1532="National",Assumptions!$B$11,IF(G1532="Statewide",Assumptions!$B$12,Assumptions!$B$13))</x:f>
        <x:v>0.6</x:v>
      </x:c>
      <x:c r="I1532" s="21" t="n">
        <x:v>-0.015648919884334034</x:v>
      </x:c>
      <x:c r="J1532" s="21" t="n">
        <x:v>0.03745534954924312</x:v>
      </x:c>
      <x:c r="K1532" s="21" t="n">
        <x:v>0.050093553325395446</x:v>
      </x:c>
      <x:c r="L1532" s="36" t="n">
        <x:f>IF(Assumptions!$B$4=2030,I1532,IF(Assumptions!$B$4=2035,J1532,K1532))</x:f>
        <x:v>0.03745534954924312</x:v>
      </x:c>
      <x:c r="M1532" s="36" t="n">
        <x:f>Assumptions!$B$19</x:f>
        <x:v>-0.04739891965741583</x:v>
      </x:c>
      <x:c r="N1532" s="52" t="n">
        <x:f>H1532*L1532+(1-H1532)*M1532+O1532</x:f>
        <x:v>0.0035136418665795387</x:v>
      </x:c>
      <x:c r="O1532" s="36" t="n">
        <x:f>Assumptions!$B$10</x:f>
        <x:v>0</x:v>
      </x:c>
      <x:c r="P1532" s="54" t="n">
        <x:f>E1532*(1+N1532)</x:f>
        <x:v>9321.638219298657</x:v>
      </x:c>
      <x:c r="Q1532" s="54" t="n">
        <x:f>P1532-E1532</x:f>
        <x:v>32.63821929865662</x:v>
      </x:c>
      <x:c r="R1532" s="16" t="str">
        <x:v>Yes</x:v>
      </x:c>
      <x:c r="S1532" s="56" t="n">
        <x:v>13482</x:v>
      </x:c>
      <x:c r="T1532" s="56" t="n">
        <x:v>8596</x:v>
      </x:c>
      <x:c r="U1532" s="40" t="n">
        <x:f>E1532*Assumptions!$B$8</x:f>
        <x:v>7895.65</x:v>
      </x:c>
      <x:c r="V1532" s="40" t="n">
        <x:f>P1532*Assumptions!$B$8</x:f>
        <x:v>7923.392486403858</x:v>
      </x:c>
      <x:c r="W1532" s="54" t="n">
        <x:f>V1532-U1532</x:f>
        <x:v>27.742486403858493</x:v>
      </x:c>
      <x:c r="X1532" s="58" t="n">
        <x:f>IF(R1532="No","",W1532*S1532)</x:f>
        <x:v>374024.2016968202</x:v>
      </x:c>
      <x:c r="Y1532" s="58" t="n">
        <x:f>IF(R1532="No","",W1532*T1532*Assumptions!$B$9)</x:f>
        <x:v>71542.32393827029</x:v>
      </x:c>
      <x:c r="Z1532" s="58" t="n">
        <x:f>IF(R1532="No","",X1532-Y1532)</x:f>
        <x:v>302481.87775854993</x:v>
      </x:c>
      <x:c r="AA1532" s="58" t="n">
        <x:f>IF(R1532="No","",MAX(0,-Z1532))</x:f>
        <x:v>0</x:v>
      </x:c>
      <x:c r="AB1532" s="52" t="n">
        <x:f>IF(OR(R1532="No",U1532*S1532=0),"",AA1532/(U1532*S1532))</x:f>
        <x:v>0</x:v>
      </x:c>
      <x:c r="AC1532" s="54" t="n">
        <x:f>IF(OR(R1532="No",S1532-T1532*Assumptions!$B$9&lt;=0),"",AA1532/(Assumptions!$B$8*(S1532-T1532*Assumptions!$B$9)))</x:f>
        <x:v>0</x:v>
      </x:c>
      <x:c r="AD1532" s="52" t="n">
        <x:f>IF(OR(R1532="No",U1532*S1532=0),"",AA1532/(U1532*S1532))</x:f>
        <x:v>0</x:v>
      </x:c>
      <x:c r="AE1532" s="50" t="str">
        <x:f>IF(R1532="No","No finance data",IF(AB1532&gt;=10%,"Severe",IF(AB1532&gt;=5%,"High",IF(AB1532&gt;=2%,"Moderate","Low"))))</x:f>
        <x:v>Low</x:v>
      </x:c>
      <x:c r="AF1532" s="60" t="n">
        <x:v>33.794995</x:v>
      </x:c>
      <x:c r="AG1532" s="60" t="n">
        <x:v>-79.011767</x:v>
      </x:c>
      <x:c r="AH1532" s="44" t="str">
        <x:v>Undergraduate tuition-contribution proxy only; not an audited total institutional budget.</x:v>
      </x:c>
    </x:row>
    <x:row r="1533">
      <x:c r="A1533" s="16" t="n">
        <x:v>217907</x:v>
      </x:c>
      <x:c r="B1533" s="16" t="str">
        <x:v>Coker College</x:v>
      </x:c>
      <x:c r="C1533" s="16" t="str">
        <x:v>SC</x:v>
      </x:c>
      <x:c r="D1533" s="16" t="str">
        <x:v>Private nonprofit</x:v>
      </x:c>
      <x:c r="E1533" s="34" t="n">
        <x:v>1091</x:v>
      </x:c>
      <x:c r="F1533" s="21" t="n">
        <x:v>0.9763</x:v>
      </x:c>
      <x:c r="G1533" s="16" t="str">
        <x:v>Regional</x:v>
      </x:c>
      <x:c r="H1533" s="36" t="n">
        <x:f>IF(G1533="National",Assumptions!$B$11,IF(G1533="Statewide",Assumptions!$B$12,Assumptions!$B$13))</x:f>
        <x:v>0.85</x:v>
      </x:c>
      <x:c r="I1533" s="21" t="n">
        <x:v>-0.015648919884334034</x:v>
      </x:c>
      <x:c r="J1533" s="21" t="n">
        <x:v>0.03745534954924312</x:v>
      </x:c>
      <x:c r="K1533" s="21" t="n">
        <x:v>0.050093553325395446</x:v>
      </x:c>
      <x:c r="L1533" s="36" t="n">
        <x:f>IF(Assumptions!$B$4=2030,I1533,IF(Assumptions!$B$4=2035,J1533,K1533))</x:f>
        <x:v>0.03745534954924312</x:v>
      </x:c>
      <x:c r="M1533" s="36" t="n">
        <x:f>Assumptions!$B$19</x:f>
        <x:v>-0.04739891965741583</x:v>
      </x:c>
      <x:c r="N1533" s="52" t="n">
        <x:f>H1533*L1533+(1-H1533)*M1533+O1533</x:f>
        <x:v>0.024727209168244273</x:v>
      </x:c>
      <x:c r="O1533" s="36" t="n">
        <x:f>Assumptions!$B$10</x:f>
        <x:v>0</x:v>
      </x:c>
      <x:c r="P1533" s="54" t="n">
        <x:f>E1533*(1+N1533)</x:f>
        <x:v>1117.9773852025544</x:v>
      </x:c>
      <x:c r="Q1533" s="54" t="n">
        <x:f>P1533-E1533</x:f>
        <x:v>26.977385202554387</x:v>
      </x:c>
      <x:c r="R1533" s="16" t="str">
        <x:v>Yes</x:v>
      </x:c>
      <x:c r="S1533" s="56" t="n">
        <x:v>9756</x:v>
      </x:c>
      <x:c r="T1533" s="56" t="n">
        <x:v>6130</x:v>
      </x:c>
      <x:c r="U1533" s="40" t="n">
        <x:f>E1533*Assumptions!$B$8</x:f>
        <x:v>927.35</x:v>
      </x:c>
      <x:c r="V1533" s="40" t="n">
        <x:f>P1533*Assumptions!$B$8</x:f>
        <x:v>950.2807774221712</x:v>
      </x:c>
      <x:c r="W1533" s="54" t="n">
        <x:f>V1533-U1533</x:f>
        <x:v>22.930777422171218</x:v>
      </x:c>
      <x:c r="X1533" s="58" t="n">
        <x:f>IF(R1533="No","",W1533*S1533)</x:f>
        <x:v>223712.6645307024</x:v>
      </x:c>
      <x:c r="Y1533" s="58" t="n">
        <x:f>IF(R1533="No","",W1533*T1533*Assumptions!$B$9)</x:f>
        <x:v>42169.69967937287</x:v>
      </x:c>
      <x:c r="Z1533" s="58" t="n">
        <x:f>IF(R1533="No","",X1533-Y1533)</x:f>
        <x:v>181542.96485132954</x:v>
      </x:c>
      <x:c r="AA1533" s="58" t="n">
        <x:f>IF(R1533="No","",MAX(0,-Z1533))</x:f>
        <x:v>0</x:v>
      </x:c>
      <x:c r="AB1533" s="52" t="n">
        <x:f>IF(OR(R1533="No",U1533*S1533=0),"",AA1533/(U1533*S1533))</x:f>
        <x:v>0</x:v>
      </x:c>
      <x:c r="AC1533" s="54" t="n">
        <x:f>IF(OR(R1533="No",S1533-T1533*Assumptions!$B$9&lt;=0),"",AA1533/(Assumptions!$B$8*(S1533-T1533*Assumptions!$B$9)))</x:f>
        <x:v>0</x:v>
      </x:c>
      <x:c r="AD1533" s="52" t="n">
        <x:f>IF(OR(R1533="No",U1533*S1533=0),"",AA1533/(U1533*S1533))</x:f>
        <x:v>0</x:v>
      </x:c>
      <x:c r="AE1533" s="50" t="str">
        <x:f>IF(R1533="No","No finance data",IF(AB1533&gt;=10%,"Severe",IF(AB1533&gt;=5%,"High",IF(AB1533&gt;=2%,"Moderate","Low"))))</x:f>
        <x:v>Low</x:v>
      </x:c>
      <x:c r="AF1533" s="60" t="n">
        <x:v>34.37696</x:v>
      </x:c>
      <x:c r="AG1533" s="60" t="n">
        <x:v>-80.070416</x:v>
      </x:c>
      <x:c r="AH1533" s="44" t="str">
        <x:v>Undergraduate tuition-contribution proxy only; not an audited total institutional budget.</x:v>
      </x:c>
    </x:row>
    <x:row r="1534">
      <x:c r="A1534" s="16" t="n">
        <x:v>217819</x:v>
      </x:c>
      <x:c r="B1534" s="16" t="str">
        <x:v>College of Charleston</x:v>
      </x:c>
      <x:c r="C1534" s="16" t="str">
        <x:v>SC</x:v>
      </x:c>
      <x:c r="D1534" s="16" t="str">
        <x:v>Public</x:v>
      </x:c>
      <x:c r="E1534" s="34" t="n">
        <x:v>10033</x:v>
      </x:c>
      <x:c r="F1534" s="21" t="n">
        <x:v>0.7611</x:v>
      </x:c>
      <x:c r="G1534" s="16" t="str">
        <x:v>Statewide</x:v>
      </x:c>
      <x:c r="H1534" s="36" t="n">
        <x:f>IF(G1534="National",Assumptions!$B$11,IF(G1534="Statewide",Assumptions!$B$12,Assumptions!$B$13))</x:f>
        <x:v>0.6</x:v>
      </x:c>
      <x:c r="I1534" s="21" t="n">
        <x:v>-0.015648919884334034</x:v>
      </x:c>
      <x:c r="J1534" s="21" t="n">
        <x:v>0.03745534954924312</x:v>
      </x:c>
      <x:c r="K1534" s="21" t="n">
        <x:v>0.050093553325395446</x:v>
      </x:c>
      <x:c r="L1534" s="36" t="n">
        <x:f>IF(Assumptions!$B$4=2030,I1534,IF(Assumptions!$B$4=2035,J1534,K1534))</x:f>
        <x:v>0.03745534954924312</x:v>
      </x:c>
      <x:c r="M1534" s="36" t="n">
        <x:f>Assumptions!$B$19</x:f>
        <x:v>-0.04739891965741583</x:v>
      </x:c>
      <x:c r="N1534" s="52" t="n">
        <x:f>H1534*L1534+(1-H1534)*M1534+O1534</x:f>
        <x:v>0.0035136418665795387</x:v>
      </x:c>
      <x:c r="O1534" s="36" t="n">
        <x:f>Assumptions!$B$10</x:f>
        <x:v>0</x:v>
      </x:c>
      <x:c r="P1534" s="54" t="n">
        <x:f>E1534*(1+N1534)</x:f>
        <x:v>10068.252368847392</x:v>
      </x:c>
      <x:c r="Q1534" s="54" t="n">
        <x:f>P1534-E1534</x:f>
        <x:v>35.25236884739206</x:v>
      </x:c>
      <x:c r="R1534" s="16" t="str">
        <x:v>Yes</x:v>
      </x:c>
      <x:c r="S1534" s="56" t="n">
        <x:v>15225</x:v>
      </x:c>
      <x:c r="T1534" s="56" t="n">
        <x:v>9160</x:v>
      </x:c>
      <x:c r="U1534" s="40" t="n">
        <x:f>E1534*Assumptions!$B$8</x:f>
        <x:v>8528.05</x:v>
      </x:c>
      <x:c r="V1534" s="40" t="n">
        <x:f>P1534*Assumptions!$B$8</x:f>
        <x:v>8558.014513520284</x:v>
      </x:c>
      <x:c r="W1534" s="54" t="n">
        <x:f>V1534-U1534</x:f>
        <x:v>29.964513520284527</x:v>
      </x:c>
      <x:c r="X1534" s="58" t="n">
        <x:f>IF(R1534="No","",W1534*S1534)</x:f>
        <x:v>456209.7183463319</x:v>
      </x:c>
      <x:c r="Y1534" s="58" t="n">
        <x:f>IF(R1534="No","",W1534*T1534*Assumptions!$B$9)</x:f>
        <x:v>82342.48315374188</x:v>
      </x:c>
      <x:c r="Z1534" s="58" t="n">
        <x:f>IF(R1534="No","",X1534-Y1534)</x:f>
        <x:v>373867.23519259004</x:v>
      </x:c>
      <x:c r="AA1534" s="58" t="n">
        <x:f>IF(R1534="No","",MAX(0,-Z1534))</x:f>
        <x:v>0</x:v>
      </x:c>
      <x:c r="AB1534" s="52" t="n">
        <x:f>IF(OR(R1534="No",U1534*S1534=0),"",AA1534/(U1534*S1534))</x:f>
        <x:v>0</x:v>
      </x:c>
      <x:c r="AC1534" s="54" t="n">
        <x:f>IF(OR(R1534="No",S1534-T1534*Assumptions!$B$9&lt;=0),"",AA1534/(Assumptions!$B$8*(S1534-T1534*Assumptions!$B$9)))</x:f>
        <x:v>0</x:v>
      </x:c>
      <x:c r="AD1534" s="52" t="n">
        <x:f>IF(OR(R1534="No",U1534*S1534=0),"",AA1534/(U1534*S1534))</x:f>
        <x:v>0</x:v>
      </x:c>
      <x:c r="AE1534" s="50" t="str">
        <x:f>IF(R1534="No","No finance data",IF(AB1534&gt;=10%,"Severe",IF(AB1534&gt;=5%,"High",IF(AB1534&gt;=2%,"Moderate","Low"))))</x:f>
        <x:v>Low</x:v>
      </x:c>
      <x:c r="AF1534" s="60" t="n">
        <x:v>32.784225</x:v>
      </x:c>
      <x:c r="AG1534" s="60" t="n">
        <x:v>-79.939794</x:v>
      </x:c>
      <x:c r="AH1534" s="44" t="str">
        <x:v>Undergraduate tuition-contribution proxy only; not an audited total institutional budget.</x:v>
      </x:c>
    </x:row>
    <x:row r="1535">
      <x:c r="A1535" s="16" t="n">
        <x:v>217934</x:v>
      </x:c>
      <x:c r="B1535" s="16" t="str">
        <x:v>Columbia College</x:v>
      </x:c>
      <x:c r="C1535" s="16" t="str">
        <x:v>SC</x:v>
      </x:c>
      <x:c r="D1535" s="16" t="str">
        <x:v>Private nonprofit</x:v>
      </x:c>
      <x:c r="E1535" s="34" t="n">
        <x:v>1385</x:v>
      </x:c>
      <x:c r="F1535" s="21" t="n">
        <x:v>0.9859</x:v>
      </x:c>
      <x:c r="G1535" s="16" t="str">
        <x:v>Regional</x:v>
      </x:c>
      <x:c r="H1535" s="36" t="n">
        <x:f>IF(G1535="National",Assumptions!$B$11,IF(G1535="Statewide",Assumptions!$B$12,Assumptions!$B$13))</x:f>
        <x:v>0.85</x:v>
      </x:c>
      <x:c r="I1535" s="21" t="n">
        <x:v>-0.015648919884334034</x:v>
      </x:c>
      <x:c r="J1535" s="21" t="n">
        <x:v>0.03745534954924312</x:v>
      </x:c>
      <x:c r="K1535" s="21" t="n">
        <x:v>0.050093553325395446</x:v>
      </x:c>
      <x:c r="L1535" s="36" t="n">
        <x:f>IF(Assumptions!$B$4=2030,I1535,IF(Assumptions!$B$4=2035,J1535,K1535))</x:f>
        <x:v>0.03745534954924312</x:v>
      </x:c>
      <x:c r="M1535" s="36" t="n">
        <x:f>Assumptions!$B$19</x:f>
        <x:v>-0.04739891965741583</x:v>
      </x:c>
      <x:c r="N1535" s="52" t="n">
        <x:f>H1535*L1535+(1-H1535)*M1535+O1535</x:f>
        <x:v>0.024727209168244273</x:v>
      </x:c>
      <x:c r="O1535" s="36" t="n">
        <x:f>Assumptions!$B$10</x:f>
        <x:v>0</x:v>
      </x:c>
      <x:c r="P1535" s="54" t="n">
        <x:f>E1535*(1+N1535)</x:f>
        <x:v>1419.2471846980181</x:v>
      </x:c>
      <x:c r="Q1535" s="54" t="n">
        <x:f>P1535-E1535</x:f>
        <x:v>34.247184698018145</x:v>
      </x:c>
      <x:c r="R1535" s="16" t="str">
        <x:v>Yes</x:v>
      </x:c>
      <x:c r="S1535" s="56" t="n">
        <x:v>12008</x:v>
      </x:c>
      <x:c r="T1535" s="56" t="n">
        <x:v>7070</x:v>
      </x:c>
      <x:c r="U1535" s="40" t="n">
        <x:f>E1535*Assumptions!$B$8</x:f>
        <x:v>1177.25</x:v>
      </x:c>
      <x:c r="V1535" s="40" t="n">
        <x:f>P1535*Assumptions!$B$8</x:f>
        <x:v>1206.3601069933154</x:v>
      </x:c>
      <x:c r="W1535" s="54" t="n">
        <x:f>V1535-U1535</x:f>
        <x:v>29.110106993315412</x:v>
      </x:c>
      <x:c r="X1535" s="58" t="n">
        <x:f>IF(R1535="No","",W1535*S1535)</x:f>
        <x:v>349554.16477573145</x:v>
      </x:c>
      <x:c r="Y1535" s="58" t="n">
        <x:f>IF(R1535="No","",W1535*T1535*Assumptions!$B$9)</x:f>
        <x:v>61742.53693282198</x:v>
      </x:c>
      <x:c r="Z1535" s="58" t="n">
        <x:f>IF(R1535="No","",X1535-Y1535)</x:f>
        <x:v>287811.6278429095</x:v>
      </x:c>
      <x:c r="AA1535" s="58" t="n">
        <x:f>IF(R1535="No","",MAX(0,-Z1535))</x:f>
        <x:v>0</x:v>
      </x:c>
      <x:c r="AB1535" s="52" t="n">
        <x:f>IF(OR(R1535="No",U1535*S1535=0),"",AA1535/(U1535*S1535))</x:f>
        <x:v>0</x:v>
      </x:c>
      <x:c r="AC1535" s="54" t="n">
        <x:f>IF(OR(R1535="No",S1535-T1535*Assumptions!$B$9&lt;=0),"",AA1535/(Assumptions!$B$8*(S1535-T1535*Assumptions!$B$9)))</x:f>
        <x:v>0</x:v>
      </x:c>
      <x:c r="AD1535" s="52" t="n">
        <x:f>IF(OR(R1535="No",U1535*S1535=0),"",AA1535/(U1535*S1535))</x:f>
        <x:v>0</x:v>
      </x:c>
      <x:c r="AE1535" s="50" t="str">
        <x:f>IF(R1535="No","No finance data",IF(AB1535&gt;=10%,"Severe",IF(AB1535&gt;=5%,"High",IF(AB1535&gt;=2%,"Moderate","Low"))))</x:f>
        <x:v>Low</x:v>
      </x:c>
      <x:c r="AF1535" s="60" t="n">
        <x:v>34.045581</x:v>
      </x:c>
      <x:c r="AG1535" s="60" t="n">
        <x:v>-81.029967</x:v>
      </x:c>
      <x:c r="AH1535" s="44" t="str">
        <x:v>Undergraduate tuition-contribution proxy only; not an audited total institutional budget.</x:v>
      </x:c>
    </x:row>
    <x:row r="1536">
      <x:c r="A1536" s="16" t="n">
        <x:v>217925</x:v>
      </x:c>
      <x:c r="B1536" s="16" t="str">
        <x:v>Columbia International University</x:v>
      </x:c>
      <x:c r="C1536" s="16" t="str">
        <x:v>SC</x:v>
      </x:c>
      <x:c r="D1536" s="16" t="str">
        <x:v>Private nonprofit</x:v>
      </x:c>
      <x:c r="E1536" s="34" t="n">
        <x:v>541</x:v>
      </x:c>
      <x:c r="F1536" s="21" t="n">
        <x:v>0.4563</x:v>
      </x:c>
      <x:c r="G1536" s="16" t="str">
        <x:v>Regional</x:v>
      </x:c>
      <x:c r="H1536" s="36" t="n">
        <x:f>IF(G1536="National",Assumptions!$B$11,IF(G1536="Statewide",Assumptions!$B$12,Assumptions!$B$13))</x:f>
        <x:v>0.85</x:v>
      </x:c>
      <x:c r="I1536" s="21" t="n">
        <x:v>-0.015648919884334034</x:v>
      </x:c>
      <x:c r="J1536" s="21" t="n">
        <x:v>0.03745534954924312</x:v>
      </x:c>
      <x:c r="K1536" s="21" t="n">
        <x:v>0.050093553325395446</x:v>
      </x:c>
      <x:c r="L1536" s="36" t="n">
        <x:f>IF(Assumptions!$B$4=2030,I1536,IF(Assumptions!$B$4=2035,J1536,K1536))</x:f>
        <x:v>0.03745534954924312</x:v>
      </x:c>
      <x:c r="M1536" s="36" t="n">
        <x:f>Assumptions!$B$19</x:f>
        <x:v>-0.04739891965741583</x:v>
      </x:c>
      <x:c r="N1536" s="52" t="n">
        <x:f>H1536*L1536+(1-H1536)*M1536+O1536</x:f>
        <x:v>0.024727209168244273</x:v>
      </x:c>
      <x:c r="O1536" s="36" t="n">
        <x:f>Assumptions!$B$10</x:f>
        <x:v>0</x:v>
      </x:c>
      <x:c r="P1536" s="54" t="n">
        <x:f>E1536*(1+N1536)</x:f>
        <x:v>554.3774201600202</x:v>
      </x:c>
      <x:c r="Q1536" s="54" t="n">
        <x:f>P1536-E1536</x:f>
        <x:v>13.377420160020165</x:v>
      </x:c>
      <x:c r="R1536" s="16" t="str">
        <x:v>Yes</x:v>
      </x:c>
      <x:c r="S1536" s="56" t="n">
        <x:v>10003</x:v>
      </x:c>
      <x:c r="T1536" s="56" t="n">
        <x:v>6485</x:v>
      </x:c>
      <x:c r="U1536" s="40" t="n">
        <x:f>E1536*Assumptions!$B$8</x:f>
        <x:v>459.84999999999997</x:v>
      </x:c>
      <x:c r="V1536" s="40" t="n">
        <x:f>P1536*Assumptions!$B$8</x:f>
        <x:v>471.22080713601713</x:v>
      </x:c>
      <x:c r="W1536" s="54" t="n">
        <x:f>V1536-U1536</x:f>
        <x:v>11.370807136017163</x:v>
      </x:c>
      <x:c r="X1536" s="58" t="n">
        <x:f>IF(R1536="No","",W1536*S1536)</x:f>
        <x:v>113742.18378157968</x:v>
      </x:c>
      <x:c r="Y1536" s="58" t="n">
        <x:f>IF(R1536="No","",W1536*T1536*Assumptions!$B$9)</x:f>
        <x:v>22121.90528312139</x:v>
      </x:c>
      <x:c r="Z1536" s="58" t="n">
        <x:f>IF(R1536="No","",X1536-Y1536)</x:f>
        <x:v>91620.27849845828</x:v>
      </x:c>
      <x:c r="AA1536" s="58" t="n">
        <x:f>IF(R1536="No","",MAX(0,-Z1536))</x:f>
        <x:v>0</x:v>
      </x:c>
      <x:c r="AB1536" s="52" t="n">
        <x:f>IF(OR(R1536="No",U1536*S1536=0),"",AA1536/(U1536*S1536))</x:f>
        <x:v>0</x:v>
      </x:c>
      <x:c r="AC1536" s="54" t="n">
        <x:f>IF(OR(R1536="No",S1536-T1536*Assumptions!$B$9&lt;=0),"",AA1536/(Assumptions!$B$8*(S1536-T1536*Assumptions!$B$9)))</x:f>
        <x:v>0</x:v>
      </x:c>
      <x:c r="AD1536" s="52" t="n">
        <x:f>IF(OR(R1536="No",U1536*S1536=0),"",AA1536/(U1536*S1536))</x:f>
        <x:v>0</x:v>
      </x:c>
      <x:c r="AE1536" s="50" t="str">
        <x:f>IF(R1536="No","No finance data",IF(AB1536&gt;=10%,"Severe",IF(AB1536&gt;=5%,"High",IF(AB1536&gt;=2%,"Moderate","Low"))))</x:f>
        <x:v>Low</x:v>
      </x:c>
      <x:c r="AF1536" s="60" t="n">
        <x:v>34.07551</x:v>
      </x:c>
      <x:c r="AG1536" s="60" t="n">
        <x:v>-81.07443</x:v>
      </x:c>
      <x:c r="AH1536" s="44" t="str">
        <x:v>Undergraduate tuition-contribution proxy only; not an audited total institutional budget.</x:v>
      </x:c>
    </x:row>
    <x:row r="1537">
      <x:c r="A1537" s="16" t="n">
        <x:v>217961</x:v>
      </x:c>
      <x:c r="B1537" s="16" t="str">
        <x:v>Converse College</x:v>
      </x:c>
      <x:c r="C1537" s="16" t="str">
        <x:v>SC</x:v>
      </x:c>
      <x:c r="D1537" s="16" t="str">
        <x:v>Private nonprofit</x:v>
      </x:c>
      <x:c r="E1537" s="34" t="n">
        <x:v>794</x:v>
      </x:c>
      <x:c r="F1537" s="21" t="n">
        <x:v>0.8198</x:v>
      </x:c>
      <x:c r="G1537" s="16" t="str">
        <x:v>Regional</x:v>
      </x:c>
      <x:c r="H1537" s="36" t="n">
        <x:f>IF(G1537="National",Assumptions!$B$11,IF(G1537="Statewide",Assumptions!$B$12,Assumptions!$B$13))</x:f>
        <x:v>0.85</x:v>
      </x:c>
      <x:c r="I1537" s="21" t="n">
        <x:v>-0.015648919884334034</x:v>
      </x:c>
      <x:c r="J1537" s="21" t="n">
        <x:v>0.03745534954924312</x:v>
      </x:c>
      <x:c r="K1537" s="21" t="n">
        <x:v>0.050093553325395446</x:v>
      </x:c>
      <x:c r="L1537" s="36" t="n">
        <x:f>IF(Assumptions!$B$4=2030,I1537,IF(Assumptions!$B$4=2035,J1537,K1537))</x:f>
        <x:v>0.03745534954924312</x:v>
      </x:c>
      <x:c r="M1537" s="36" t="n">
        <x:f>Assumptions!$B$19</x:f>
        <x:v>-0.04739891965741583</x:v>
      </x:c>
      <x:c r="N1537" s="52" t="n">
        <x:f>H1537*L1537+(1-H1537)*M1537+O1537</x:f>
        <x:v>0.024727209168244273</x:v>
      </x:c>
      <x:c r="O1537" s="36" t="n">
        <x:f>Assumptions!$B$10</x:f>
        <x:v>0</x:v>
      </x:c>
      <x:c r="P1537" s="54" t="n">
        <x:f>E1537*(1+N1537)</x:f>
        <x:v>813.633404079586</x:v>
      </x:c>
      <x:c r="Q1537" s="54" t="n">
        <x:f>P1537-E1537</x:f>
        <x:v>19.633404079585944</x:v>
      </x:c>
      <x:c r="R1537" s="16" t="str">
        <x:v>Yes</x:v>
      </x:c>
      <x:c r="S1537" s="56" t="n">
        <x:v>10562</x:v>
      </x:c>
      <x:c r="T1537" s="56" t="n">
        <x:v>8803</x:v>
      </x:c>
      <x:c r="U1537" s="40" t="n">
        <x:f>E1537*Assumptions!$B$8</x:f>
        <x:v>674.9</x:v>
      </x:c>
      <x:c r="V1537" s="40" t="n">
        <x:f>P1537*Assumptions!$B$8</x:f>
        <x:v>691.5883934676481</x:v>
      </x:c>
      <x:c r="W1537" s="54" t="n">
        <x:f>V1537-U1537</x:f>
        <x:v>16.688393467648098</x:v>
      </x:c>
      <x:c r="X1537" s="58" t="n">
        <x:f>IF(R1537="No","",W1537*S1537)</x:f>
        <x:v>176262.81180529922</x:v>
      </x:c>
      <x:c r="Y1537" s="58" t="n">
        <x:f>IF(R1537="No","",W1537*T1537*Assumptions!$B$9)</x:f>
        <x:v>44072.37830871186</x:v>
      </x:c>
      <x:c r="Z1537" s="58" t="n">
        <x:f>IF(R1537="No","",X1537-Y1537)</x:f>
        <x:v>132190.43349658736</x:v>
      </x:c>
      <x:c r="AA1537" s="58" t="n">
        <x:f>IF(R1537="No","",MAX(0,-Z1537))</x:f>
        <x:v>0</x:v>
      </x:c>
      <x:c r="AB1537" s="52" t="n">
        <x:f>IF(OR(R1537="No",U1537*S1537=0),"",AA1537/(U1537*S1537))</x:f>
        <x:v>0</x:v>
      </x:c>
      <x:c r="AC1537" s="54" t="n">
        <x:f>IF(OR(R1537="No",S1537-T1537*Assumptions!$B$9&lt;=0),"",AA1537/(Assumptions!$B$8*(S1537-T1537*Assumptions!$B$9)))</x:f>
        <x:v>0</x:v>
      </x:c>
      <x:c r="AD1537" s="52" t="n">
        <x:f>IF(OR(R1537="No",U1537*S1537=0),"",AA1537/(U1537*S1537))</x:f>
        <x:v>0</x:v>
      </x:c>
      <x:c r="AE1537" s="50" t="str">
        <x:f>IF(R1537="No","No finance data",IF(AB1537&gt;=10%,"Severe",IF(AB1537&gt;=5%,"High",IF(AB1537&gt;=2%,"Moderate","Low"))))</x:f>
        <x:v>Low</x:v>
      </x:c>
      <x:c r="AF1537" s="60" t="n">
        <x:v>34.955534</x:v>
      </x:c>
      <x:c r="AG1537" s="60" t="n">
        <x:v>-81.917881</x:v>
      </x:c>
      <x:c r="AH1537" s="44" t="str">
        <x:v>Undergraduate tuition-contribution proxy only; not an audited total institutional budget.</x:v>
      </x:c>
    </x:row>
    <x:row r="1538">
      <x:c r="A1538" s="16" t="n">
        <x:v>217998</x:v>
      </x:c>
      <x:c r="B1538" s="16" t="str">
        <x:v>Erskine College</x:v>
      </x:c>
      <x:c r="C1538" s="16" t="str">
        <x:v>SC</x:v>
      </x:c>
      <x:c r="D1538" s="16" t="str">
        <x:v>Private nonprofit</x:v>
      </x:c>
      <x:c r="E1538" s="34" t="n">
        <x:v>618</x:v>
      </x:c>
      <x:c r="F1538" s="21" t="n">
        <x:v>0.6267</x:v>
      </x:c>
      <x:c r="G1538" s="16" t="str">
        <x:v>Regional</x:v>
      </x:c>
      <x:c r="H1538" s="36" t="n">
        <x:f>IF(G1538="National",Assumptions!$B$11,IF(G1538="Statewide",Assumptions!$B$12,Assumptions!$B$13))</x:f>
        <x:v>0.85</x:v>
      </x:c>
      <x:c r="I1538" s="21" t="n">
        <x:v>-0.015648919884334034</x:v>
      </x:c>
      <x:c r="J1538" s="21" t="n">
        <x:v>0.03745534954924312</x:v>
      </x:c>
      <x:c r="K1538" s="21" t="n">
        <x:v>0.050093553325395446</x:v>
      </x:c>
      <x:c r="L1538" s="36" t="n">
        <x:f>IF(Assumptions!$B$4=2030,I1538,IF(Assumptions!$B$4=2035,J1538,K1538))</x:f>
        <x:v>0.03745534954924312</x:v>
      </x:c>
      <x:c r="M1538" s="36" t="n">
        <x:f>Assumptions!$B$19</x:f>
        <x:v>-0.04739891965741583</x:v>
      </x:c>
      <x:c r="N1538" s="52" t="n">
        <x:f>H1538*L1538+(1-H1538)*M1538+O1538</x:f>
        <x:v>0.024727209168244273</x:v>
      </x:c>
      <x:c r="O1538" s="36" t="n">
        <x:f>Assumptions!$B$10</x:f>
        <x:v>0</x:v>
      </x:c>
      <x:c r="P1538" s="54" t="n">
        <x:f>E1538*(1+N1538)</x:f>
        <x:v>633.2814152659749</x:v>
      </x:c>
      <x:c r="Q1538" s="54" t="n">
        <x:f>P1538-E1538</x:f>
        <x:v>15.281415265974942</x:v>
      </x:c>
      <x:c r="R1538" s="16" t="str">
        <x:v>Yes</x:v>
      </x:c>
      <x:c r="S1538" s="56" t="n">
        <x:v>7962</x:v>
      </x:c>
      <x:c r="T1538" s="56" t="n">
        <x:v>5737</x:v>
      </x:c>
      <x:c r="U1538" s="40" t="n">
        <x:f>E1538*Assumptions!$B$8</x:f>
        <x:v>525.3</x:v>
      </x:c>
      <x:c r="V1538" s="40" t="n">
        <x:f>P1538*Assumptions!$B$8</x:f>
        <x:v>538.2892029760787</x:v>
      </x:c>
      <x:c r="W1538" s="54" t="n">
        <x:f>V1538-U1538</x:f>
        <x:v>12.989202976078786</x:v>
      </x:c>
      <x:c r="X1538" s="58" t="n">
        <x:f>IF(R1538="No","",W1538*S1538)</x:f>
        <x:v>103420.0340955393</x:v>
      </x:c>
      <x:c r="Y1538" s="58" t="n">
        <x:f>IF(R1538="No","",W1538*T1538*Assumptions!$B$9)</x:f>
        <x:v>22355.717242129198</x:v>
      </x:c>
      <x:c r="Z1538" s="58" t="n">
        <x:f>IF(R1538="No","",X1538-Y1538)</x:f>
        <x:v>81064.3168534101</x:v>
      </x:c>
      <x:c r="AA1538" s="58" t="n">
        <x:f>IF(R1538="No","",MAX(0,-Z1538))</x:f>
        <x:v>0</x:v>
      </x:c>
      <x:c r="AB1538" s="52" t="n">
        <x:f>IF(OR(R1538="No",U1538*S1538=0),"",AA1538/(U1538*S1538))</x:f>
        <x:v>0</x:v>
      </x:c>
      <x:c r="AC1538" s="54" t="n">
        <x:f>IF(OR(R1538="No",S1538-T1538*Assumptions!$B$9&lt;=0),"",AA1538/(Assumptions!$B$8*(S1538-T1538*Assumptions!$B$9)))</x:f>
        <x:v>0</x:v>
      </x:c>
      <x:c r="AD1538" s="52" t="n">
        <x:f>IF(OR(R1538="No",U1538*S1538=0),"",AA1538/(U1538*S1538))</x:f>
        <x:v>0</x:v>
      </x:c>
      <x:c r="AE1538" s="50" t="str">
        <x:f>IF(R1538="No","No finance data",IF(AB1538&gt;=10%,"Severe",IF(AB1538&gt;=5%,"High",IF(AB1538&gt;=2%,"Moderate","Low"))))</x:f>
        <x:v>Low</x:v>
      </x:c>
      <x:c r="AF1538" s="60" t="n">
        <x:v>34.332087</x:v>
      </x:c>
      <x:c r="AG1538" s="60" t="n">
        <x:v>-82.39095</x:v>
      </x:c>
      <x:c r="AH1538" s="44" t="str">
        <x:v>Undergraduate tuition-contribution proxy only; not an audited total institutional budget.</x:v>
      </x:c>
    </x:row>
    <x:row r="1539">
      <x:c r="A1539" s="16" t="n">
        <x:v>218061</x:v>
      </x:c>
      <x:c r="B1539" s="16" t="str">
        <x:v>Francis Marion University</x:v>
      </x:c>
      <x:c r="C1539" s="16" t="str">
        <x:v>SC</x:v>
      </x:c>
      <x:c r="D1539" s="16" t="str">
        <x:v>Public</x:v>
      </x:c>
      <x:c r="E1539" s="34" t="n">
        <x:v>3258</x:v>
      </x:c>
      <x:c r="F1539" s="21" t="n">
        <x:v>0.8613</x:v>
      </x:c>
      <x:c r="G1539" s="16" t="str">
        <x:v>Regional</x:v>
      </x:c>
      <x:c r="H1539" s="36" t="n">
        <x:f>IF(G1539="National",Assumptions!$B$11,IF(G1539="Statewide",Assumptions!$B$12,Assumptions!$B$13))</x:f>
        <x:v>0.85</x:v>
      </x:c>
      <x:c r="I1539" s="21" t="n">
        <x:v>-0.015648919884334034</x:v>
      </x:c>
      <x:c r="J1539" s="21" t="n">
        <x:v>0.03745534954924312</x:v>
      </x:c>
      <x:c r="K1539" s="21" t="n">
        <x:v>0.050093553325395446</x:v>
      </x:c>
      <x:c r="L1539" s="36" t="n">
        <x:f>IF(Assumptions!$B$4=2030,I1539,IF(Assumptions!$B$4=2035,J1539,K1539))</x:f>
        <x:v>0.03745534954924312</x:v>
      </x:c>
      <x:c r="M1539" s="36" t="n">
        <x:f>Assumptions!$B$19</x:f>
        <x:v>-0.04739891965741583</x:v>
      </x:c>
      <x:c r="N1539" s="52" t="n">
        <x:f>H1539*L1539+(1-H1539)*M1539+O1539</x:f>
        <x:v>0.024727209168244273</x:v>
      </x:c>
      <x:c r="O1539" s="36" t="n">
        <x:f>Assumptions!$B$10</x:f>
        <x:v>0</x:v>
      </x:c>
      <x:c r="P1539" s="54" t="n">
        <x:f>E1539*(1+N1539)</x:f>
        <x:v>3338.5612474701397</x:v>
      </x:c>
      <x:c r="Q1539" s="54" t="n">
        <x:f>P1539-E1539</x:f>
        <x:v>80.56124747013973</x:v>
      </x:c>
      <x:c r="R1539" s="16" t="str">
        <x:v>Yes</x:v>
      </x:c>
      <x:c r="S1539" s="56" t="n">
        <x:v>7669</x:v>
      </x:c>
      <x:c r="T1539" s="56" t="n">
        <x:v>9883</x:v>
      </x:c>
      <x:c r="U1539" s="40" t="n">
        <x:f>E1539*Assumptions!$B$8</x:f>
        <x:v>2769.2999999999997</x:v>
      </x:c>
      <x:c r="V1539" s="40" t="n">
        <x:f>P1539*Assumptions!$B$8</x:f>
        <x:v>2837.7770603496188</x:v>
      </x:c>
      <x:c r="W1539" s="54" t="n">
        <x:f>V1539-U1539</x:f>
        <x:v>68.47706034961902</x:v>
      </x:c>
      <x:c r="X1539" s="58" t="n">
        <x:f>IF(R1539="No","",W1539*S1539)</x:f>
        <x:v>525150.5758212283</x:v>
      </x:c>
      <x:c r="Y1539" s="58" t="n">
        <x:f>IF(R1539="No","",W1539*T1539*Assumptions!$B$9)</x:f>
        <x:v>203027.63623058543</x:v>
      </x:c>
      <x:c r="Z1539" s="58" t="n">
        <x:f>IF(R1539="No","",X1539-Y1539)</x:f>
        <x:v>322122.9395906429</x:v>
      </x:c>
      <x:c r="AA1539" s="58" t="n">
        <x:f>IF(R1539="No","",MAX(0,-Z1539))</x:f>
        <x:v>0</x:v>
      </x:c>
      <x:c r="AB1539" s="52" t="n">
        <x:f>IF(OR(R1539="No",U1539*S1539=0),"",AA1539/(U1539*S1539))</x:f>
        <x:v>0</x:v>
      </x:c>
      <x:c r="AC1539" s="54" t="n">
        <x:f>IF(OR(R1539="No",S1539-T1539*Assumptions!$B$9&lt;=0),"",AA1539/(Assumptions!$B$8*(S1539-T1539*Assumptions!$B$9)))</x:f>
        <x:v>0</x:v>
      </x:c>
      <x:c r="AD1539" s="52" t="n">
        <x:f>IF(OR(R1539="No",U1539*S1539=0),"",AA1539/(U1539*S1539))</x:f>
        <x:v>0</x:v>
      </x:c>
      <x:c r="AE1539" s="50" t="str">
        <x:f>IF(R1539="No","No finance data",IF(AB1539&gt;=10%,"Severe",IF(AB1539&gt;=5%,"High",IF(AB1539&gt;=2%,"Moderate","Low"))))</x:f>
        <x:v>Low</x:v>
      </x:c>
      <x:c r="AF1539" s="60" t="n">
        <x:v>34.189777</x:v>
      </x:c>
      <x:c r="AG1539" s="60" t="n">
        <x:v>-79.652854</x:v>
      </x:c>
      <x:c r="AH1539" s="44" t="str">
        <x:v>Undergraduate tuition-contribution proxy only; not an audited total institutional budget.</x:v>
      </x:c>
    </x:row>
    <x:row r="1540">
      <x:c r="A1540" s="16" t="n">
        <x:v>218070</x:v>
      </x:c>
      <x:c r="B1540" s="16" t="str">
        <x:v>Furman University</x:v>
      </x:c>
      <x:c r="C1540" s="16" t="str">
        <x:v>SC</x:v>
      </x:c>
      <x:c r="D1540" s="16" t="str">
        <x:v>Private nonprofit</x:v>
      </x:c>
      <x:c r="E1540" s="34" t="n">
        <x:v>2710</x:v>
      </x:c>
      <x:c r="F1540" s="21" t="n">
        <x:v>0.7135</x:v>
      </x:c>
      <x:c r="G1540" s="16" t="str">
        <x:v>Regional</x:v>
      </x:c>
      <x:c r="H1540" s="36" t="n">
        <x:f>IF(G1540="National",Assumptions!$B$11,IF(G1540="Statewide",Assumptions!$B$12,Assumptions!$B$13))</x:f>
        <x:v>0.85</x:v>
      </x:c>
      <x:c r="I1540" s="21" t="n">
        <x:v>-0.015648919884334034</x:v>
      </x:c>
      <x:c r="J1540" s="21" t="n">
        <x:v>0.03745534954924312</x:v>
      </x:c>
      <x:c r="K1540" s="21" t="n">
        <x:v>0.050093553325395446</x:v>
      </x:c>
      <x:c r="L1540" s="36" t="n">
        <x:f>IF(Assumptions!$B$4=2030,I1540,IF(Assumptions!$B$4=2035,J1540,K1540))</x:f>
        <x:v>0.03745534954924312</x:v>
      </x:c>
      <x:c r="M1540" s="36" t="n">
        <x:f>Assumptions!$B$19</x:f>
        <x:v>-0.04739891965741583</x:v>
      </x:c>
      <x:c r="N1540" s="52" t="n">
        <x:f>H1540*L1540+(1-H1540)*M1540+O1540</x:f>
        <x:v>0.024727209168244273</x:v>
      </x:c>
      <x:c r="O1540" s="36" t="n">
        <x:f>Assumptions!$B$10</x:f>
        <x:v>0</x:v>
      </x:c>
      <x:c r="P1540" s="54" t="n">
        <x:f>E1540*(1+N1540)</x:f>
        <x:v>2777.0107368459417</x:v>
      </x:c>
      <x:c r="Q1540" s="54" t="n">
        <x:f>P1540-E1540</x:f>
        <x:v>67.01073684594166</x:v>
      </x:c>
      <x:c r="R1540" s="16" t="str">
        <x:v>Yes</x:v>
      </x:c>
      <x:c r="S1540" s="56" t="n">
        <x:v>22362</x:v>
      </x:c>
      <x:c r="T1540" s="56" t="n">
        <x:v>19837</x:v>
      </x:c>
      <x:c r="U1540" s="40" t="n">
        <x:f>E1540*Assumptions!$B$8</x:f>
        <x:v>2303.5</x:v>
      </x:c>
      <x:c r="V1540" s="40" t="n">
        <x:f>P1540*Assumptions!$B$8</x:f>
        <x:v>2360.4591263190505</x:v>
      </x:c>
      <x:c r="W1540" s="54" t="n">
        <x:f>V1540-U1540</x:f>
        <x:v>56.95912631905048</x:v>
      </x:c>
      <x:c r="X1540" s="58" t="n">
        <x:f>IF(R1540="No","",W1540*S1540)</x:f>
        <x:v>1273719.982746607</x:v>
      </x:c>
      <x:c r="Y1540" s="58" t="n">
        <x:f>IF(R1540="No","",W1540*T1540*Assumptions!$B$9)</x:f>
        <x:v>338969.4566373013</x:v>
      </x:c>
      <x:c r="Z1540" s="58" t="n">
        <x:f>IF(R1540="No","",X1540-Y1540)</x:f>
        <x:v>934750.5261093057</x:v>
      </x:c>
      <x:c r="AA1540" s="58" t="n">
        <x:f>IF(R1540="No","",MAX(0,-Z1540))</x:f>
        <x:v>0</x:v>
      </x:c>
      <x:c r="AB1540" s="52" t="n">
        <x:f>IF(OR(R1540="No",U1540*S1540=0),"",AA1540/(U1540*S1540))</x:f>
        <x:v>0</x:v>
      </x:c>
      <x:c r="AC1540" s="54" t="n">
        <x:f>IF(OR(R1540="No",S1540-T1540*Assumptions!$B$9&lt;=0),"",AA1540/(Assumptions!$B$8*(S1540-T1540*Assumptions!$B$9)))</x:f>
        <x:v>0</x:v>
      </x:c>
      <x:c r="AD1540" s="52" t="n">
        <x:f>IF(OR(R1540="No",U1540*S1540=0),"",AA1540/(U1540*S1540))</x:f>
        <x:v>0</x:v>
      </x:c>
      <x:c r="AE1540" s="50" t="str">
        <x:f>IF(R1540="No","No finance data",IF(AB1540&gt;=10%,"Severe",IF(AB1540&gt;=5%,"High",IF(AB1540&gt;=2%,"Moderate","Low"))))</x:f>
        <x:v>Low</x:v>
      </x:c>
      <x:c r="AF1540" s="60" t="n">
        <x:v>34.924676</x:v>
      </x:c>
      <x:c r="AG1540" s="60" t="n">
        <x:v>-82.440458</x:v>
      </x:c>
      <x:c r="AH1540" s="44" t="str">
        <x:v>Undergraduate tuition-contribution proxy only; not an audited total institutional budget.</x:v>
      </x:c>
    </x:row>
    <x:row r="1541">
      <x:c r="A1541" s="16" t="n">
        <x:v>218229</x:v>
      </x:c>
      <x:c r="B1541" s="16" t="str">
        <x:v>Lander University</x:v>
      </x:c>
      <x:c r="C1541" s="16" t="str">
        <x:v>SC</x:v>
      </x:c>
      <x:c r="D1541" s="16" t="str">
        <x:v>Public</x:v>
      </x:c>
      <x:c r="E1541" s="34" t="n">
        <x:v>2606</x:v>
      </x:c>
      <x:c r="F1541" s="21" t="n">
        <x:v>0.6905</x:v>
      </x:c>
      <x:c r="G1541" s="16" t="str">
        <x:v>Regional</x:v>
      </x:c>
      <x:c r="H1541" s="36" t="n">
        <x:f>IF(G1541="National",Assumptions!$B$11,IF(G1541="Statewide",Assumptions!$B$12,Assumptions!$B$13))</x:f>
        <x:v>0.85</x:v>
      </x:c>
      <x:c r="I1541" s="21" t="n">
        <x:v>-0.015648919884334034</x:v>
      </x:c>
      <x:c r="J1541" s="21" t="n">
        <x:v>0.03745534954924312</x:v>
      </x:c>
      <x:c r="K1541" s="21" t="n">
        <x:v>0.050093553325395446</x:v>
      </x:c>
      <x:c r="L1541" s="36" t="n">
        <x:f>IF(Assumptions!$B$4=2030,I1541,IF(Assumptions!$B$4=2035,J1541,K1541))</x:f>
        <x:v>0.03745534954924312</x:v>
      </x:c>
      <x:c r="M1541" s="36" t="n">
        <x:f>Assumptions!$B$19</x:f>
        <x:v>-0.04739891965741583</x:v>
      </x:c>
      <x:c r="N1541" s="52" t="n">
        <x:f>H1541*L1541+(1-H1541)*M1541+O1541</x:f>
        <x:v>0.024727209168244273</x:v>
      </x:c>
      <x:c r="O1541" s="36" t="n">
        <x:f>Assumptions!$B$10</x:f>
        <x:v>0</x:v>
      </x:c>
      <x:c r="P1541" s="54" t="n">
        <x:f>E1541*(1+N1541)</x:f>
        <x:v>2670.4391070924444</x:v>
      </x:c>
      <x:c r="Q1541" s="54" t="n">
        <x:f>P1541-E1541</x:f>
        <x:v>64.43910709244437</x:v>
      </x:c>
      <x:c r="R1541" s="16" t="str">
        <x:v>Yes</x:v>
      </x:c>
      <x:c r="S1541" s="56" t="n">
        <x:v>4387</x:v>
      </x:c>
      <x:c r="T1541" s="56" t="n">
        <x:v>6130</x:v>
      </x:c>
      <x:c r="U1541" s="40" t="n">
        <x:f>E1541*Assumptions!$B$8</x:f>
        <x:v>2215.1</x:v>
      </x:c>
      <x:c r="V1541" s="40" t="n">
        <x:f>P1541*Assumptions!$B$8</x:f>
        <x:v>2269.8732410285775</x:v>
      </x:c>
      <x:c r="W1541" s="54" t="n">
        <x:f>V1541-U1541</x:f>
        <x:v>54.77324102857756</x:v>
      </x:c>
      <x:c r="X1541" s="58" t="n">
        <x:f>IF(R1541="No","",W1541*S1541)</x:f>
        <x:v>240290.20839236974</x:v>
      </x:c>
      <x:c r="Y1541" s="58" t="n">
        <x:f>IF(R1541="No","",W1541*T1541*Assumptions!$B$9)</x:f>
        <x:v>100727.99025155413</x:v>
      </x:c>
      <x:c r="Z1541" s="58" t="n">
        <x:f>IF(R1541="No","",X1541-Y1541)</x:f>
        <x:v>139562.21814081562</x:v>
      </x:c>
      <x:c r="AA1541" s="58" t="n">
        <x:f>IF(R1541="No","",MAX(0,-Z1541))</x:f>
        <x:v>0</x:v>
      </x:c>
      <x:c r="AB1541" s="52" t="n">
        <x:f>IF(OR(R1541="No",U1541*S1541=0),"",AA1541/(U1541*S1541))</x:f>
        <x:v>0</x:v>
      </x:c>
      <x:c r="AC1541" s="54" t="n">
        <x:f>IF(OR(R1541="No",S1541-T1541*Assumptions!$B$9&lt;=0),"",AA1541/(Assumptions!$B$8*(S1541-T1541*Assumptions!$B$9)))</x:f>
        <x:v>0</x:v>
      </x:c>
      <x:c r="AD1541" s="52" t="n">
        <x:f>IF(OR(R1541="No",U1541*S1541=0),"",AA1541/(U1541*S1541))</x:f>
        <x:v>0</x:v>
      </x:c>
      <x:c r="AE1541" s="50" t="str">
        <x:f>IF(R1541="No","No finance data",IF(AB1541&gt;=10%,"Severe",IF(AB1541&gt;=5%,"High",IF(AB1541&gt;=2%,"Moderate","Low"))))</x:f>
        <x:v>Low</x:v>
      </x:c>
      <x:c r="AF1541" s="60" t="n">
        <x:v>34.199892</x:v>
      </x:c>
      <x:c r="AG1541" s="60" t="n">
        <x:v>-82.164736</x:v>
      </x:c>
      <x:c r="AH1541" s="44" t="str">
        <x:v>Undergraduate tuition-contribution proxy only; not an audited total institutional budget.</x:v>
      </x:c>
    </x:row>
    <x:row r="1542">
      <x:c r="A1542" s="16" t="n">
        <x:v>218238</x:v>
      </x:c>
      <x:c r="B1542" s="16" t="str">
        <x:v>Limestone College</x:v>
      </x:c>
      <x:c r="C1542" s="16" t="str">
        <x:v>SC</x:v>
      </x:c>
      <x:c r="D1542" s="16" t="str">
        <x:v>Private nonprofit</x:v>
      </x:c>
      <x:c r="E1542" s="34" t="n">
        <x:v>2955</x:v>
      </x:c>
      <x:c r="F1542" s="21" t="n">
        <x:v>0.8723</x:v>
      </x:c>
      <x:c r="G1542" s="16" t="str">
        <x:v>Regional</x:v>
      </x:c>
      <x:c r="H1542" s="36" t="n">
        <x:f>IF(G1542="National",Assumptions!$B$11,IF(G1542="Statewide",Assumptions!$B$12,Assumptions!$B$13))</x:f>
        <x:v>0.85</x:v>
      </x:c>
      <x:c r="I1542" s="21" t="n">
        <x:v>-0.015648919884334034</x:v>
      </x:c>
      <x:c r="J1542" s="21" t="n">
        <x:v>0.03745534954924312</x:v>
      </x:c>
      <x:c r="K1542" s="21" t="n">
        <x:v>0.050093553325395446</x:v>
      </x:c>
      <x:c r="L1542" s="36" t="n">
        <x:f>IF(Assumptions!$B$4=2030,I1542,IF(Assumptions!$B$4=2035,J1542,K1542))</x:f>
        <x:v>0.03745534954924312</x:v>
      </x:c>
      <x:c r="M1542" s="36" t="n">
        <x:f>Assumptions!$B$19</x:f>
        <x:v>-0.04739891965741583</x:v>
      </x:c>
      <x:c r="N1542" s="52" t="n">
        <x:f>H1542*L1542+(1-H1542)*M1542+O1542</x:f>
        <x:v>0.024727209168244273</x:v>
      </x:c>
      <x:c r="O1542" s="36" t="n">
        <x:f>Assumptions!$B$10</x:f>
        <x:v>0</x:v>
      </x:c>
      <x:c r="P1542" s="54" t="n">
        <x:f>E1542*(1+N1542)</x:f>
        <x:v>3028.0689030921617</x:v>
      </x:c>
      <x:c r="Q1542" s="54" t="n">
        <x:f>P1542-E1542</x:f>
        <x:v>73.06890309216169</x:v>
      </x:c>
      <x:c r="R1542" s="16" t="str">
        <x:v>Yes</x:v>
      </x:c>
      <x:c r="S1542" s="56" t="n">
        <x:v>12200</x:v>
      </x:c>
      <x:c r="T1542" s="56" t="n">
        <x:v>7145</x:v>
      </x:c>
      <x:c r="U1542" s="40" t="n">
        <x:f>E1542*Assumptions!$B$8</x:f>
        <x:v>2511.75</x:v>
      </x:c>
      <x:c r="V1542" s="40" t="n">
        <x:f>P1542*Assumptions!$B$8</x:f>
        <x:v>2573.8585676283374</x:v>
      </x:c>
      <x:c r="W1542" s="54" t="n">
        <x:f>V1542-U1542</x:f>
        <x:v>62.10856762833737</x:v>
      </x:c>
      <x:c r="X1542" s="58" t="n">
        <x:f>IF(R1542="No","",W1542*S1542)</x:f>
        <x:v>757724.5250657159</x:v>
      </x:c>
      <x:c r="Y1542" s="58" t="n">
        <x:f>IF(R1542="No","",W1542*T1542*Assumptions!$B$9)</x:f>
        <x:v>133129.71471134116</x:v>
      </x:c>
      <x:c r="Z1542" s="58" t="n">
        <x:f>IF(R1542="No","",X1542-Y1542)</x:f>
        <x:v>624594.8103543747</x:v>
      </x:c>
      <x:c r="AA1542" s="58" t="n">
        <x:f>IF(R1542="No","",MAX(0,-Z1542))</x:f>
        <x:v>0</x:v>
      </x:c>
      <x:c r="AB1542" s="52" t="n">
        <x:f>IF(OR(R1542="No",U1542*S1542=0),"",AA1542/(U1542*S1542))</x:f>
        <x:v>0</x:v>
      </x:c>
      <x:c r="AC1542" s="54" t="n">
        <x:f>IF(OR(R1542="No",S1542-T1542*Assumptions!$B$9&lt;=0),"",AA1542/(Assumptions!$B$8*(S1542-T1542*Assumptions!$B$9)))</x:f>
        <x:v>0</x:v>
      </x:c>
      <x:c r="AD1542" s="52" t="n">
        <x:f>IF(OR(R1542="No",U1542*S1542=0),"",AA1542/(U1542*S1542))</x:f>
        <x:v>0</x:v>
      </x:c>
      <x:c r="AE1542" s="50" t="str">
        <x:f>IF(R1542="No","No finance data",IF(AB1542&gt;=10%,"Severe",IF(AB1542&gt;=5%,"High",IF(AB1542&gt;=2%,"Moderate","Low"))))</x:f>
        <x:v>Low</x:v>
      </x:c>
      <x:c r="AF1542" s="60" t="n">
        <x:v>35.057076</x:v>
      </x:c>
      <x:c r="AG1542" s="60" t="n">
        <x:v>-81.649161</x:v>
      </x:c>
      <x:c r="AH1542" s="44" t="str">
        <x:v>Undergraduate tuition-contribution proxy only; not an audited total institutional budget.</x:v>
      </x:c>
    </x:row>
    <x:row r="1543">
      <x:c r="A1543" s="16" t="n">
        <x:v>218335</x:v>
      </x:c>
      <x:c r="B1543" s="16" t="str">
        <x:v>Medical University of South Carolina</x:v>
      </x:c>
      <x:c r="C1543" s="16" t="str">
        <x:v>SC</x:v>
      </x:c>
      <x:c r="D1543" s="16" t="str">
        <x:v>Public</x:v>
      </x:c>
      <x:c r="E1543" s="34" t="n">
        <x:v>324</x:v>
      </x:c>
      <x:c r="F1543" s="21"/>
      <x:c r="G1543" s="16" t="str">
        <x:v>Regional</x:v>
      </x:c>
      <x:c r="H1543" s="36" t="n">
        <x:f>IF(G1543="National",Assumptions!$B$11,IF(G1543="Statewide",Assumptions!$B$12,Assumptions!$B$13))</x:f>
        <x:v>0.85</x:v>
      </x:c>
      <x:c r="I1543" s="21" t="n">
        <x:v>-0.015648919884334034</x:v>
      </x:c>
      <x:c r="J1543" s="21" t="n">
        <x:v>0.03745534954924312</x:v>
      </x:c>
      <x:c r="K1543" s="21" t="n">
        <x:v>0.050093553325395446</x:v>
      </x:c>
      <x:c r="L1543" s="36" t="n">
        <x:f>IF(Assumptions!$B$4=2030,I1543,IF(Assumptions!$B$4=2035,J1543,K1543))</x:f>
        <x:v>0.03745534954924312</x:v>
      </x:c>
      <x:c r="M1543" s="36" t="n">
        <x:f>Assumptions!$B$19</x:f>
        <x:v>-0.04739891965741583</x:v>
      </x:c>
      <x:c r="N1543" s="52" t="n">
        <x:f>H1543*L1543+(1-H1543)*M1543+O1543</x:f>
        <x:v>0.024727209168244273</x:v>
      </x:c>
      <x:c r="O1543" s="36" t="n">
        <x:f>Assumptions!$B$10</x:f>
        <x:v>0</x:v>
      </x:c>
      <x:c r="P1543" s="54" t="n">
        <x:f>E1543*(1+N1543)</x:f>
        <x:v>332.0116157705111</x:v>
      </x:c>
      <x:c r="Q1543" s="54" t="n">
        <x:f>P1543-E1543</x:f>
        <x:v>8.011615770511128</x:v>
      </x:c>
      <x:c r="R1543" s="16" t="str">
        <x:v>No</x:v>
      </x:c>
      <x:c r="S1543" s="56"/>
      <x:c r="T1543" s="56"/>
      <x:c r="U1543" s="40" t="n">
        <x:f>E1543*Assumptions!$B$8</x:f>
        <x:v>275.4</x:v>
      </x:c>
      <x:c r="V1543" s="40" t="n">
        <x:f>P1543*Assumptions!$B$8</x:f>
        <x:v>282.20987340493446</x:v>
      </x:c>
      <x:c r="W1543" s="54" t="n">
        <x:f>V1543-U1543</x:f>
        <x:v>6.8098734049344785</x:v>
      </x:c>
      <x:c r="X1543" s="58" t="str">
        <x:f>IF(R1543="No","",W1543*S1543)</x:f>
      </x:c>
      <x:c r="Y1543" s="58" t="str">
        <x:f>IF(R1543="No","",W1543*T1543*Assumptions!$B$9)</x:f>
      </x:c>
      <x:c r="Z1543" s="58" t="str">
        <x:f>IF(R1543="No","",X1543-Y1543)</x:f>
      </x:c>
      <x:c r="AA1543" s="58" t="str">
        <x:f>IF(R1543="No","",MAX(0,-Z1543))</x:f>
      </x:c>
      <x:c r="AB1543" s="52" t="str">
        <x:f>IF(OR(R1543="No",U1543*S1543=0),"",AA1543/(U1543*S1543))</x:f>
      </x:c>
      <x:c r="AC1543" s="54" t="str">
        <x:f>IF(OR(R1543="No",S1543-T1543*Assumptions!$B$9&lt;=0),"",AA1543/(Assumptions!$B$8*(S1543-T1543*Assumptions!$B$9)))</x:f>
      </x:c>
      <x:c r="AD1543" s="52" t="str">
        <x:f>IF(OR(R1543="No",U1543*S1543=0),"",AA1543/(U1543*S1543))</x:f>
      </x:c>
      <x:c r="AE1543" s="50" t="str">
        <x:f>IF(R1543="No","No finance data",IF(AB1543&gt;=10%,"Severe",IF(AB1543&gt;=5%,"High",IF(AB1543&gt;=2%,"Moderate","Low"))))</x:f>
        <x:v>No finance data</x:v>
      </x:c>
      <x:c r="AF1543" s="60"/>
      <x:c r="AG1543" s="60"/>
      <x:c r="AH1543" s="44" t="str">
        <x:v>Undergraduate tuition-contribution proxy only; not an audited total institutional budget.</x:v>
      </x:c>
    </x:row>
    <x:row r="1544">
      <x:c r="A1544" s="16" t="n">
        <x:v>218399</x:v>
      </x:c>
      <x:c r="B1544" s="16" t="str">
        <x:v>Morris College</x:v>
      </x:c>
      <x:c r="C1544" s="16" t="str">
        <x:v>SC</x:v>
      </x:c>
      <x:c r="D1544" s="16" t="str">
        <x:v>Private nonprofit</x:v>
      </x:c>
      <x:c r="E1544" s="34" t="n">
        <x:v>774</x:v>
      </x:c>
      <x:c r="F1544" s="21"/>
      <x:c r="G1544" s="16" t="str">
        <x:v>Regional</x:v>
      </x:c>
      <x:c r="H1544" s="36" t="n">
        <x:f>IF(G1544="National",Assumptions!$B$11,IF(G1544="Statewide",Assumptions!$B$12,Assumptions!$B$13))</x:f>
        <x:v>0.85</x:v>
      </x:c>
      <x:c r="I1544" s="21" t="n">
        <x:v>-0.015648919884334034</x:v>
      </x:c>
      <x:c r="J1544" s="21" t="n">
        <x:v>0.03745534954924312</x:v>
      </x:c>
      <x:c r="K1544" s="21" t="n">
        <x:v>0.050093553325395446</x:v>
      </x:c>
      <x:c r="L1544" s="36" t="n">
        <x:f>IF(Assumptions!$B$4=2030,I1544,IF(Assumptions!$B$4=2035,J1544,K1544))</x:f>
        <x:v>0.03745534954924312</x:v>
      </x:c>
      <x:c r="M1544" s="36" t="n">
        <x:f>Assumptions!$B$19</x:f>
        <x:v>-0.04739891965741583</x:v>
      </x:c>
      <x:c r="N1544" s="52" t="n">
        <x:f>H1544*L1544+(1-H1544)*M1544+O1544</x:f>
        <x:v>0.024727209168244273</x:v>
      </x:c>
      <x:c r="O1544" s="36" t="n">
        <x:f>Assumptions!$B$10</x:f>
        <x:v>0</x:v>
      </x:c>
      <x:c r="P1544" s="54" t="n">
        <x:f>E1544*(1+N1544)</x:f>
        <x:v>793.138859896221</x:v>
      </x:c>
      <x:c r="Q1544" s="54" t="n">
        <x:f>P1544-E1544</x:f>
        <x:v>19.138859896220993</x:v>
      </x:c>
      <x:c r="R1544" s="16" t="str">
        <x:v>No</x:v>
      </x:c>
      <x:c r="S1544" s="56"/>
      <x:c r="T1544" s="56"/>
      <x:c r="U1544" s="40" t="n">
        <x:f>E1544*Assumptions!$B$8</x:f>
        <x:v>657.9</x:v>
      </x:c>
      <x:c r="V1544" s="40" t="n">
        <x:f>P1544*Assumptions!$B$8</x:f>
        <x:v>674.1680309117878</x:v>
      </x:c>
      <x:c r="W1544" s="54" t="n">
        <x:f>V1544-U1544</x:f>
        <x:v>16.268030911787832</x:v>
      </x:c>
      <x:c r="X1544" s="58" t="str">
        <x:f>IF(R1544="No","",W1544*S1544)</x:f>
      </x:c>
      <x:c r="Y1544" s="58" t="str">
        <x:f>IF(R1544="No","",W1544*T1544*Assumptions!$B$9)</x:f>
      </x:c>
      <x:c r="Z1544" s="58" t="str">
        <x:f>IF(R1544="No","",X1544-Y1544)</x:f>
      </x:c>
      <x:c r="AA1544" s="58" t="str">
        <x:f>IF(R1544="No","",MAX(0,-Z1544))</x:f>
      </x:c>
      <x:c r="AB1544" s="52" t="str">
        <x:f>IF(OR(R1544="No",U1544*S1544=0),"",AA1544/(U1544*S1544))</x:f>
      </x:c>
      <x:c r="AC1544" s="54" t="str">
        <x:f>IF(OR(R1544="No",S1544-T1544*Assumptions!$B$9&lt;=0),"",AA1544/(Assumptions!$B$8*(S1544-T1544*Assumptions!$B$9)))</x:f>
      </x:c>
      <x:c r="AD1544" s="52" t="str">
        <x:f>IF(OR(R1544="No",U1544*S1544=0),"",AA1544/(U1544*S1544))</x:f>
      </x:c>
      <x:c r="AE1544" s="50" t="str">
        <x:f>IF(R1544="No","No finance data",IF(AB1544&gt;=10%,"Severe",IF(AB1544&gt;=5%,"High",IF(AB1544&gt;=2%,"Moderate","Low"))))</x:f>
        <x:v>No finance data</x:v>
      </x:c>
      <x:c r="AF1544" s="60"/>
      <x:c r="AG1544" s="60"/>
      <x:c r="AH1544" s="44" t="str">
        <x:v>Undergraduate tuition-contribution proxy only; not an audited total institutional budget.</x:v>
      </x:c>
    </x:row>
    <x:row r="1545">
      <x:c r="A1545" s="16" t="n">
        <x:v>218414</x:v>
      </x:c>
      <x:c r="B1545" s="16" t="str">
        <x:v>Newberry College</x:v>
      </x:c>
      <x:c r="C1545" s="16" t="str">
        <x:v>SC</x:v>
      </x:c>
      <x:c r="D1545" s="16" t="str">
        <x:v>Private nonprofit</x:v>
      </x:c>
      <x:c r="E1545" s="34" t="n">
        <x:v>1048</x:v>
      </x:c>
      <x:c r="F1545" s="21" t="n">
        <x:v>0.5741</x:v>
      </x:c>
      <x:c r="G1545" s="16" t="str">
        <x:v>Regional</x:v>
      </x:c>
      <x:c r="H1545" s="36" t="n">
        <x:f>IF(G1545="National",Assumptions!$B$11,IF(G1545="Statewide",Assumptions!$B$12,Assumptions!$B$13))</x:f>
        <x:v>0.85</x:v>
      </x:c>
      <x:c r="I1545" s="21" t="n">
        <x:v>-0.015648919884334034</x:v>
      </x:c>
      <x:c r="J1545" s="21" t="n">
        <x:v>0.03745534954924312</x:v>
      </x:c>
      <x:c r="K1545" s="21" t="n">
        <x:v>0.050093553325395446</x:v>
      </x:c>
      <x:c r="L1545" s="36" t="n">
        <x:f>IF(Assumptions!$B$4=2030,I1545,IF(Assumptions!$B$4=2035,J1545,K1545))</x:f>
        <x:v>0.03745534954924312</x:v>
      </x:c>
      <x:c r="M1545" s="36" t="n">
        <x:f>Assumptions!$B$19</x:f>
        <x:v>-0.04739891965741583</x:v>
      </x:c>
      <x:c r="N1545" s="52" t="n">
        <x:f>H1545*L1545+(1-H1545)*M1545+O1545</x:f>
        <x:v>0.024727209168244273</x:v>
      </x:c>
      <x:c r="O1545" s="36" t="n">
        <x:f>Assumptions!$B$10</x:f>
        <x:v>0</x:v>
      </x:c>
      <x:c r="P1545" s="54" t="n">
        <x:f>E1545*(1+N1545)</x:f>
        <x:v>1073.91411520832</x:v>
      </x:c>
      <x:c r="Q1545" s="54" t="n">
        <x:f>P1545-E1545</x:f>
        <x:v>25.914115208320027</x:v>
      </x:c>
      <x:c r="R1545" s="16" t="str">
        <x:v>Yes</x:v>
      </x:c>
      <x:c r="S1545" s="56" t="n">
        <x:v>11842</x:v>
      </x:c>
      <x:c r="T1545" s="56" t="n">
        <x:v>7224</x:v>
      </x:c>
      <x:c r="U1545" s="40" t="n">
        <x:f>E1545*Assumptions!$B$8</x:f>
        <x:v>890.8</x:v>
      </x:c>
      <x:c r="V1545" s="40" t="n">
        <x:f>P1545*Assumptions!$B$8</x:f>
        <x:v>912.826997927072</x:v>
      </x:c>
      <x:c r="W1545" s="54" t="n">
        <x:f>V1545-U1545</x:f>
        <x:v>22.02699792707199</x:v>
      </x:c>
      <x:c r="X1545" s="58" t="n">
        <x:f>IF(R1545="No","",W1545*S1545)</x:f>
        <x:v>260843.70945238648</x:v>
      </x:c>
      <x:c r="Y1545" s="58" t="n">
        <x:f>IF(R1545="No","",W1545*T1545*Assumptions!$B$9)</x:f>
        <x:v>47736.90990755041</x:v>
      </x:c>
      <x:c r="Z1545" s="58" t="n">
        <x:f>IF(R1545="No","",X1545-Y1545)</x:f>
        <x:v>213106.79954483607</x:v>
      </x:c>
      <x:c r="AA1545" s="58" t="n">
        <x:f>IF(R1545="No","",MAX(0,-Z1545))</x:f>
        <x:v>0</x:v>
      </x:c>
      <x:c r="AB1545" s="52" t="n">
        <x:f>IF(OR(R1545="No",U1545*S1545=0),"",AA1545/(U1545*S1545))</x:f>
        <x:v>0</x:v>
      </x:c>
      <x:c r="AC1545" s="54" t="n">
        <x:f>IF(OR(R1545="No",S1545-T1545*Assumptions!$B$9&lt;=0),"",AA1545/(Assumptions!$B$8*(S1545-T1545*Assumptions!$B$9)))</x:f>
        <x:v>0</x:v>
      </x:c>
      <x:c r="AD1545" s="52" t="n">
        <x:f>IF(OR(R1545="No",U1545*S1545=0),"",AA1545/(U1545*S1545))</x:f>
        <x:v>0</x:v>
      </x:c>
      <x:c r="AE1545" s="50" t="str">
        <x:f>IF(R1545="No","No finance data",IF(AB1545&gt;=10%,"Severe",IF(AB1545&gt;=5%,"High",IF(AB1545&gt;=2%,"Moderate","Low"))))</x:f>
        <x:v>Low</x:v>
      </x:c>
      <x:c r="AF1545" s="60" t="n">
        <x:v>34.285868</x:v>
      </x:c>
      <x:c r="AG1545" s="60" t="n">
        <x:v>-81.619777</x:v>
      </x:c>
      <x:c r="AH1545" s="44" t="str">
        <x:v>Undergraduate tuition-contribution proxy only; not an audited total institutional budget.</x:v>
      </x:c>
    </x:row>
    <x:row r="1546">
      <x:c r="A1546" s="16" t="n">
        <x:v>218441</x:v>
      </x:c>
      <x:c r="B1546" s="16" t="str">
        <x:v>North Greenville University</x:v>
      </x:c>
      <x:c r="C1546" s="16" t="str">
        <x:v>SC</x:v>
      </x:c>
      <x:c r="D1546" s="16" t="str">
        <x:v>Private nonprofit</x:v>
      </x:c>
      <x:c r="E1546" s="34" t="n">
        <x:v>2278</x:v>
      </x:c>
      <x:c r="F1546" s="21" t="n">
        <x:v>0.6974</x:v>
      </x:c>
      <x:c r="G1546" s="16" t="str">
        <x:v>Regional</x:v>
      </x:c>
      <x:c r="H1546" s="36" t="n">
        <x:f>IF(G1546="National",Assumptions!$B$11,IF(G1546="Statewide",Assumptions!$B$12,Assumptions!$B$13))</x:f>
        <x:v>0.85</x:v>
      </x:c>
      <x:c r="I1546" s="21" t="n">
        <x:v>-0.015648919884334034</x:v>
      </x:c>
      <x:c r="J1546" s="21" t="n">
        <x:v>0.03745534954924312</x:v>
      </x:c>
      <x:c r="K1546" s="21" t="n">
        <x:v>0.050093553325395446</x:v>
      </x:c>
      <x:c r="L1546" s="36" t="n">
        <x:f>IF(Assumptions!$B$4=2030,I1546,IF(Assumptions!$B$4=2035,J1546,K1546))</x:f>
        <x:v>0.03745534954924312</x:v>
      </x:c>
      <x:c r="M1546" s="36" t="n">
        <x:f>Assumptions!$B$19</x:f>
        <x:v>-0.04739891965741583</x:v>
      </x:c>
      <x:c r="N1546" s="52" t="n">
        <x:f>H1546*L1546+(1-H1546)*M1546+O1546</x:f>
        <x:v>0.024727209168244273</x:v>
      </x:c>
      <x:c r="O1546" s="36" t="n">
        <x:f>Assumptions!$B$10</x:f>
        <x:v>0</x:v>
      </x:c>
      <x:c r="P1546" s="54" t="n">
        <x:f>E1546*(1+N1546)</x:f>
        <x:v>2334.3285824852605</x:v>
      </x:c>
      <x:c r="Q1546" s="54" t="n">
        <x:f>P1546-E1546</x:f>
        <x:v>56.32858248526054</x:v>
      </x:c>
      <x:c r="R1546" s="16" t="str">
        <x:v>Yes</x:v>
      </x:c>
      <x:c r="S1546" s="56" t="n">
        <x:v>10588</x:v>
      </x:c>
      <x:c r="T1546" s="56" t="n">
        <x:v>6322</x:v>
      </x:c>
      <x:c r="U1546" s="40" t="n">
        <x:f>E1546*Assumptions!$B$8</x:f>
        <x:v>1936.3</x:v>
      </x:c>
      <x:c r="V1546" s="40" t="n">
        <x:f>P1546*Assumptions!$B$8</x:f>
        <x:v>1984.1792951124714</x:v>
      </x:c>
      <x:c r="W1546" s="54" t="n">
        <x:f>V1546-U1546</x:f>
        <x:v>47.87929511247148</x:v>
      </x:c>
      <x:c r="X1546" s="58" t="n">
        <x:f>IF(R1546="No","",W1546*S1546)</x:f>
        <x:v>506945.97665084805</x:v>
      </x:c>
      <x:c r="Y1546" s="58" t="n">
        <x:f>IF(R1546="No","",W1546*T1546*Assumptions!$B$9)</x:f>
        <x:v>90807.87111031341</x:v>
      </x:c>
      <x:c r="Z1546" s="58" t="n">
        <x:f>IF(R1546="No","",X1546-Y1546)</x:f>
        <x:v>416138.10554053466</x:v>
      </x:c>
      <x:c r="AA1546" s="58" t="n">
        <x:f>IF(R1546="No","",MAX(0,-Z1546))</x:f>
        <x:v>0</x:v>
      </x:c>
      <x:c r="AB1546" s="52" t="n">
        <x:f>IF(OR(R1546="No",U1546*S1546=0),"",AA1546/(U1546*S1546))</x:f>
        <x:v>0</x:v>
      </x:c>
      <x:c r="AC1546" s="54" t="n">
        <x:f>IF(OR(R1546="No",S1546-T1546*Assumptions!$B$9&lt;=0),"",AA1546/(Assumptions!$B$8*(S1546-T1546*Assumptions!$B$9)))</x:f>
        <x:v>0</x:v>
      </x:c>
      <x:c r="AD1546" s="52" t="n">
        <x:f>IF(OR(R1546="No",U1546*S1546=0),"",AA1546/(U1546*S1546))</x:f>
        <x:v>0</x:v>
      </x:c>
      <x:c r="AE1546" s="50" t="str">
        <x:f>IF(R1546="No","No finance data",IF(AB1546&gt;=10%,"Severe",IF(AB1546&gt;=5%,"High",IF(AB1546&gt;=2%,"Moderate","Low"))))</x:f>
        <x:v>Low</x:v>
      </x:c>
      <x:c r="AF1546" s="60" t="n">
        <x:v>35.069758</x:v>
      </x:c>
      <x:c r="AG1546" s="60" t="n">
        <x:v>-82.37026</x:v>
      </x:c>
      <x:c r="AH1546" s="44" t="str">
        <x:v>Undergraduate tuition-contribution proxy only; not an audited total institutional budget.</x:v>
      </x:c>
    </x:row>
    <x:row r="1547">
      <x:c r="A1547" s="16" t="n">
        <x:v>218539</x:v>
      </x:c>
      <x:c r="B1547" s="16" t="str">
        <x:v>Presbyterian College</x:v>
      </x:c>
      <x:c r="C1547" s="16" t="str">
        <x:v>SC</x:v>
      </x:c>
      <x:c r="D1547" s="16" t="str">
        <x:v>Private nonprofit</x:v>
      </x:c>
      <x:c r="E1547" s="34" t="n">
        <x:v>963</x:v>
      </x:c>
      <x:c r="F1547" s="21" t="n">
        <x:v>0.7098</x:v>
      </x:c>
      <x:c r="G1547" s="16" t="str">
        <x:v>Regional</x:v>
      </x:c>
      <x:c r="H1547" s="36" t="n">
        <x:f>IF(G1547="National",Assumptions!$B$11,IF(G1547="Statewide",Assumptions!$B$12,Assumptions!$B$13))</x:f>
        <x:v>0.85</x:v>
      </x:c>
      <x:c r="I1547" s="21" t="n">
        <x:v>-0.015648919884334034</x:v>
      </x:c>
      <x:c r="J1547" s="21" t="n">
        <x:v>0.03745534954924312</x:v>
      </x:c>
      <x:c r="K1547" s="21" t="n">
        <x:v>0.050093553325395446</x:v>
      </x:c>
      <x:c r="L1547" s="36" t="n">
        <x:f>IF(Assumptions!$B$4=2030,I1547,IF(Assumptions!$B$4=2035,J1547,K1547))</x:f>
        <x:v>0.03745534954924312</x:v>
      </x:c>
      <x:c r="M1547" s="36" t="n">
        <x:f>Assumptions!$B$19</x:f>
        <x:v>-0.04739891965741583</x:v>
      </x:c>
      <x:c r="N1547" s="52" t="n">
        <x:f>H1547*L1547+(1-H1547)*M1547+O1547</x:f>
        <x:v>0.024727209168244273</x:v>
      </x:c>
      <x:c r="O1547" s="36" t="n">
        <x:f>Assumptions!$B$10</x:f>
        <x:v>0</x:v>
      </x:c>
      <x:c r="P1547" s="54" t="n">
        <x:f>E1547*(1+N1547)</x:f>
        <x:v>986.8123024290192</x:v>
      </x:c>
      <x:c r="Q1547" s="54" t="n">
        <x:f>P1547-E1547</x:f>
        <x:v>23.812302429019155</x:v>
      </x:c>
      <x:c r="R1547" s="16" t="str">
        <x:v>Yes</x:v>
      </x:c>
      <x:c r="S1547" s="56" t="n">
        <x:v>18120</x:v>
      </x:c>
      <x:c r="T1547" s="56" t="n">
        <x:v>10884</x:v>
      </x:c>
      <x:c r="U1547" s="40" t="n">
        <x:f>E1547*Assumptions!$B$8</x:f>
        <x:v>818.55</x:v>
      </x:c>
      <x:c r="V1547" s="40" t="n">
        <x:f>P1547*Assumptions!$B$8</x:f>
        <x:v>838.7904570646663</x:v>
      </x:c>
      <x:c r="W1547" s="54" t="n">
        <x:f>V1547-U1547</x:f>
        <x:v>20.240457064666316</x:v>
      </x:c>
      <x:c r="X1547" s="58" t="n">
        <x:f>IF(R1547="No","",W1547*S1547)</x:f>
        <x:v>366757.08201175364</x:v>
      </x:c>
      <x:c r="Y1547" s="58" t="n">
        <x:f>IF(R1547="No","",W1547*T1547*Assumptions!$B$9)</x:f>
        <x:v>66089.14040754846</x:v>
      </x:c>
      <x:c r="Z1547" s="58" t="n">
        <x:f>IF(R1547="No","",X1547-Y1547)</x:f>
        <x:v>300667.9416042052</x:v>
      </x:c>
      <x:c r="AA1547" s="58" t="n">
        <x:f>IF(R1547="No","",MAX(0,-Z1547))</x:f>
        <x:v>0</x:v>
      </x:c>
      <x:c r="AB1547" s="52" t="n">
        <x:f>IF(OR(R1547="No",U1547*S1547=0),"",AA1547/(U1547*S1547))</x:f>
        <x:v>0</x:v>
      </x:c>
      <x:c r="AC1547" s="54" t="n">
        <x:f>IF(OR(R1547="No",S1547-T1547*Assumptions!$B$9&lt;=0),"",AA1547/(Assumptions!$B$8*(S1547-T1547*Assumptions!$B$9)))</x:f>
        <x:v>0</x:v>
      </x:c>
      <x:c r="AD1547" s="52" t="n">
        <x:f>IF(OR(R1547="No",U1547*S1547=0),"",AA1547/(U1547*S1547))</x:f>
        <x:v>0</x:v>
      </x:c>
      <x:c r="AE1547" s="50" t="str">
        <x:f>IF(R1547="No","No finance data",IF(AB1547&gt;=10%,"Severe",IF(AB1547&gt;=5%,"High",IF(AB1547&gt;=2%,"Moderate","Low"))))</x:f>
        <x:v>Low</x:v>
      </x:c>
      <x:c r="AF1547" s="60" t="n">
        <x:v>34.465834</x:v>
      </x:c>
      <x:c r="AG1547" s="60" t="n">
        <x:v>-81.87448</x:v>
      </x:c>
      <x:c r="AH1547" s="44" t="str">
        <x:v>Undergraduate tuition-contribution proxy only; not an audited total institutional budget.</x:v>
      </x:c>
    </x:row>
    <x:row r="1548">
      <x:c r="A1548" s="16" t="n">
        <x:v>218733</x:v>
      </x:c>
      <x:c r="B1548" s="16" t="str">
        <x:v>South Carolina State University</x:v>
      </x:c>
      <x:c r="C1548" s="16" t="str">
        <x:v>SC</x:v>
      </x:c>
      <x:c r="D1548" s="16" t="str">
        <x:v>Public</x:v>
      </x:c>
      <x:c r="E1548" s="34" t="n">
        <x:v>2410</x:v>
      </x:c>
      <x:c r="F1548" s="21" t="n">
        <x:v>0.8759</x:v>
      </x:c>
      <x:c r="G1548" s="16" t="str">
        <x:v>Regional</x:v>
      </x:c>
      <x:c r="H1548" s="36" t="n">
        <x:f>IF(G1548="National",Assumptions!$B$11,IF(G1548="Statewide",Assumptions!$B$12,Assumptions!$B$13))</x:f>
        <x:v>0.85</x:v>
      </x:c>
      <x:c r="I1548" s="21" t="n">
        <x:v>-0.015648919884334034</x:v>
      </x:c>
      <x:c r="J1548" s="21" t="n">
        <x:v>0.03745534954924312</x:v>
      </x:c>
      <x:c r="K1548" s="21" t="n">
        <x:v>0.050093553325395446</x:v>
      </x:c>
      <x:c r="L1548" s="36" t="n">
        <x:f>IF(Assumptions!$B$4=2030,I1548,IF(Assumptions!$B$4=2035,J1548,K1548))</x:f>
        <x:v>0.03745534954924312</x:v>
      </x:c>
      <x:c r="M1548" s="36" t="n">
        <x:f>Assumptions!$B$19</x:f>
        <x:v>-0.04739891965741583</x:v>
      </x:c>
      <x:c r="N1548" s="52" t="n">
        <x:f>H1548*L1548+(1-H1548)*M1548+O1548</x:f>
        <x:v>0.024727209168244273</x:v>
      </x:c>
      <x:c r="O1548" s="36" t="n">
        <x:f>Assumptions!$B$10</x:f>
        <x:v>0</x:v>
      </x:c>
      <x:c r="P1548" s="54" t="n">
        <x:f>E1548*(1+N1548)</x:f>
        <x:v>2469.5925740954685</x:v>
      </x:c>
      <x:c r="Q1548" s="54" t="n">
        <x:f>P1548-E1548</x:f>
        <x:v>59.592574095468535</x:v>
      </x:c>
      <x:c r="R1548" s="16" t="str">
        <x:v>Yes</x:v>
      </x:c>
      <x:c r="S1548" s="56" t="n">
        <x:v>9647</x:v>
      </x:c>
      <x:c r="T1548" s="56" t="n">
        <x:v>9539</x:v>
      </x:c>
      <x:c r="U1548" s="40" t="n">
        <x:f>E1548*Assumptions!$B$8</x:f>
        <x:v>2048.5</x:v>
      </x:c>
      <x:c r="V1548" s="40" t="n">
        <x:f>P1548*Assumptions!$B$8</x:f>
        <x:v>2099.1536879811483</x:v>
      </x:c>
      <x:c r="W1548" s="54" t="n">
        <x:f>V1548-U1548</x:f>
        <x:v>50.65368798114832</x:v>
      </x:c>
      <x:c r="X1548" s="58" t="n">
        <x:f>IF(R1548="No","",W1548*S1548)</x:f>
        <x:v>488656.12795413786</x:v>
      </x:c>
      <x:c r="Y1548" s="58" t="n">
        <x:f>IF(R1548="No","",W1548*T1548*Assumptions!$B$9)</x:f>
        <x:v>144955.65889565216</x:v>
      </x:c>
      <x:c r="Z1548" s="58" t="n">
        <x:f>IF(R1548="No","",X1548-Y1548)</x:f>
        <x:v>343700.4690584857</x:v>
      </x:c>
      <x:c r="AA1548" s="58" t="n">
        <x:f>IF(R1548="No","",MAX(0,-Z1548))</x:f>
        <x:v>0</x:v>
      </x:c>
      <x:c r="AB1548" s="52" t="n">
        <x:f>IF(OR(R1548="No",U1548*S1548=0),"",AA1548/(U1548*S1548))</x:f>
        <x:v>0</x:v>
      </x:c>
      <x:c r="AC1548" s="54" t="n">
        <x:f>IF(OR(R1548="No",S1548-T1548*Assumptions!$B$9&lt;=0),"",AA1548/(Assumptions!$B$8*(S1548-T1548*Assumptions!$B$9)))</x:f>
        <x:v>0</x:v>
      </x:c>
      <x:c r="AD1548" s="52" t="n">
        <x:f>IF(OR(R1548="No",U1548*S1548=0),"",AA1548/(U1548*S1548))</x:f>
        <x:v>0</x:v>
      </x:c>
      <x:c r="AE1548" s="50" t="str">
        <x:f>IF(R1548="No","No finance data",IF(AB1548&gt;=10%,"Severe",IF(AB1548&gt;=5%,"High",IF(AB1548&gt;=2%,"Moderate","Low"))))</x:f>
        <x:v>Low</x:v>
      </x:c>
      <x:c r="AF1548" s="60" t="n">
        <x:v>33.497968</x:v>
      </x:c>
      <x:c r="AG1548" s="60" t="n">
        <x:v>-80.848722</x:v>
      </x:c>
      <x:c r="AH1548" s="44" t="str">
        <x:v>Undergraduate tuition-contribution proxy only; not an audited total institutional budget.</x:v>
      </x:c>
    </x:row>
    <x:row r="1549">
      <x:c r="A1549" s="16" t="n">
        <x:v>217776</x:v>
      </x:c>
      <x:c r="B1549" s="16" t="str">
        <x:v>Southern Wesleyan University</x:v>
      </x:c>
      <x:c r="C1549" s="16" t="str">
        <x:v>SC</x:v>
      </x:c>
      <x:c r="D1549" s="16" t="str">
        <x:v>Private nonprofit</x:v>
      </x:c>
      <x:c r="E1549" s="34" t="n">
        <x:v>1264</x:v>
      </x:c>
      <x:c r="F1549" s="21" t="n">
        <x:v>0.5661</x:v>
      </x:c>
      <x:c r="G1549" s="16" t="str">
        <x:v>Regional</x:v>
      </x:c>
      <x:c r="H1549" s="36" t="n">
        <x:f>IF(G1549="National",Assumptions!$B$11,IF(G1549="Statewide",Assumptions!$B$12,Assumptions!$B$13))</x:f>
        <x:v>0.85</x:v>
      </x:c>
      <x:c r="I1549" s="21" t="n">
        <x:v>-0.015648919884334034</x:v>
      </x:c>
      <x:c r="J1549" s="21" t="n">
        <x:v>0.03745534954924312</x:v>
      </x:c>
      <x:c r="K1549" s="21" t="n">
        <x:v>0.050093553325395446</x:v>
      </x:c>
      <x:c r="L1549" s="36" t="n">
        <x:f>IF(Assumptions!$B$4=2030,I1549,IF(Assumptions!$B$4=2035,J1549,K1549))</x:f>
        <x:v>0.03745534954924312</x:v>
      </x:c>
      <x:c r="M1549" s="36" t="n">
        <x:f>Assumptions!$B$19</x:f>
        <x:v>-0.04739891965741583</x:v>
      </x:c>
      <x:c r="N1549" s="52" t="n">
        <x:f>H1549*L1549+(1-H1549)*M1549+O1549</x:f>
        <x:v>0.024727209168244273</x:v>
      </x:c>
      <x:c r="O1549" s="36" t="n">
        <x:f>Assumptions!$B$10</x:f>
        <x:v>0</x:v>
      </x:c>
      <x:c r="P1549" s="54" t="n">
        <x:f>E1549*(1+N1549)</x:f>
        <x:v>1295.2551923886606</x:v>
      </x:c>
      <x:c r="Q1549" s="54" t="n">
        <x:f>P1549-E1549</x:f>
        <x:v>31.25519238866059</x:v>
      </x:c>
      <x:c r="R1549" s="16" t="str">
        <x:v>Yes</x:v>
      </x:c>
      <x:c r="S1549" s="56" t="n">
        <x:v>12594</x:v>
      </x:c>
      <x:c r="T1549" s="56" t="n">
        <x:v>6097</x:v>
      </x:c>
      <x:c r="U1549" s="40" t="n">
        <x:f>E1549*Assumptions!$B$8</x:f>
        <x:v>1074.3999999999999</x:v>
      </x:c>
      <x:c r="V1549" s="40" t="n">
        <x:f>P1549*Assumptions!$B$8</x:f>
        <x:v>1100.9669135303616</x:v>
      </x:c>
      <x:c r="W1549" s="54" t="n">
        <x:f>V1549-U1549</x:f>
        <x:v>26.566913530361717</x:v>
      </x:c>
      <x:c r="X1549" s="58" t="n">
        <x:f>IF(R1549="No","",W1549*S1549)</x:f>
        <x:v>334583.7090013755</x:v>
      </x:c>
      <x:c r="Y1549" s="58" t="n">
        <x:f>IF(R1549="No","",W1549*T1549*Assumptions!$B$9)</x:f>
        <x:v>48593.54153838461</x:v>
      </x:c>
      <x:c r="Z1549" s="58" t="n">
        <x:f>IF(R1549="No","",X1549-Y1549)</x:f>
        <x:v>285990.16746299085</x:v>
      </x:c>
      <x:c r="AA1549" s="58" t="n">
        <x:f>IF(R1549="No","",MAX(0,-Z1549))</x:f>
        <x:v>0</x:v>
      </x:c>
      <x:c r="AB1549" s="52" t="n">
        <x:f>IF(OR(R1549="No",U1549*S1549=0),"",AA1549/(U1549*S1549))</x:f>
        <x:v>0</x:v>
      </x:c>
      <x:c r="AC1549" s="54" t="n">
        <x:f>IF(OR(R1549="No",S1549-T1549*Assumptions!$B$9&lt;=0),"",AA1549/(Assumptions!$B$8*(S1549-T1549*Assumptions!$B$9)))</x:f>
        <x:v>0</x:v>
      </x:c>
      <x:c r="AD1549" s="52" t="n">
        <x:f>IF(OR(R1549="No",U1549*S1549=0),"",AA1549/(U1549*S1549))</x:f>
        <x:v>0</x:v>
      </x:c>
      <x:c r="AE1549" s="50" t="str">
        <x:f>IF(R1549="No","No finance data",IF(AB1549&gt;=10%,"Severe",IF(AB1549&gt;=5%,"High",IF(AB1549&gt;=2%,"Moderate","Low"))))</x:f>
        <x:v>Low</x:v>
      </x:c>
      <x:c r="AF1549" s="60" t="n">
        <x:v>34.728068</x:v>
      </x:c>
      <x:c r="AG1549" s="60" t="n">
        <x:v>-82.761586</x:v>
      </x:c>
      <x:c r="AH1549" s="44" t="str">
        <x:v>Undergraduate tuition-contribution proxy only; not an audited total institutional budget.</x:v>
      </x:c>
    </x:row>
    <x:row r="1550">
      <x:c r="A1550" s="16" t="n">
        <x:v>218645</x:v>
      </x:c>
      <x:c r="B1550" s="16" t="str">
        <x:v>University of South Carolina-Aiken</x:v>
      </x:c>
      <x:c r="C1550" s="16" t="str">
        <x:v>SC</x:v>
      </x:c>
      <x:c r="D1550" s="16" t="str">
        <x:v>Public</x:v>
      </x:c>
      <x:c r="E1550" s="34" t="n">
        <x:v>3060</x:v>
      </x:c>
      <x:c r="F1550" s="21" t="n">
        <x:v>0.8352</x:v>
      </x:c>
      <x:c r="G1550" s="16" t="str">
        <x:v>Regional</x:v>
      </x:c>
      <x:c r="H1550" s="36" t="n">
        <x:f>IF(G1550="National",Assumptions!$B$11,IF(G1550="Statewide",Assumptions!$B$12,Assumptions!$B$13))</x:f>
        <x:v>0.85</x:v>
      </x:c>
      <x:c r="I1550" s="21" t="n">
        <x:v>-0.015648919884334034</x:v>
      </x:c>
      <x:c r="J1550" s="21" t="n">
        <x:v>0.03745534954924312</x:v>
      </x:c>
      <x:c r="K1550" s="21" t="n">
        <x:v>0.050093553325395446</x:v>
      </x:c>
      <x:c r="L1550" s="36" t="n">
        <x:f>IF(Assumptions!$B$4=2030,I1550,IF(Assumptions!$B$4=2035,J1550,K1550))</x:f>
        <x:v>0.03745534954924312</x:v>
      </x:c>
      <x:c r="M1550" s="36" t="n">
        <x:f>Assumptions!$B$19</x:f>
        <x:v>-0.04739891965741583</x:v>
      </x:c>
      <x:c r="N1550" s="52" t="n">
        <x:f>H1550*L1550+(1-H1550)*M1550+O1550</x:f>
        <x:v>0.024727209168244273</x:v>
      </x:c>
      <x:c r="O1550" s="36" t="n">
        <x:f>Assumptions!$B$10</x:f>
        <x:v>0</x:v>
      </x:c>
      <x:c r="P1550" s="54" t="n">
        <x:f>E1550*(1+N1550)</x:f>
        <x:v>3135.6652600548273</x:v>
      </x:c>
      <x:c r="Q1550" s="54" t="n">
        <x:f>P1550-E1550</x:f>
        <x:v>75.66526005482729</x:v>
      </x:c>
      <x:c r="R1550" s="16" t="str">
        <x:v>Yes</x:v>
      </x:c>
      <x:c r="S1550" s="56" t="n">
        <x:v>6769</x:v>
      </x:c>
      <x:c r="T1550" s="56" t="n">
        <x:v>8347</x:v>
      </x:c>
      <x:c r="U1550" s="40" t="n">
        <x:f>E1550*Assumptions!$B$8</x:f>
        <x:v>2601</x:v>
      </x:c>
      <x:c r="V1550" s="40" t="n">
        <x:f>P1550*Assumptions!$B$8</x:f>
        <x:v>2665.3154710466033</x:v>
      </x:c>
      <x:c r="W1550" s="54" t="n">
        <x:f>V1550-U1550</x:f>
        <x:v>64.3154710466033</x:v>
      </x:c>
      <x:c r="X1550" s="58" t="n">
        <x:f>IF(R1550="No","",W1550*S1550)</x:f>
        <x:v>435351.42351445777</x:v>
      </x:c>
      <x:c r="Y1550" s="58" t="n">
        <x:f>IF(R1550="No","",W1550*T1550*Assumptions!$B$9)</x:f>
        <x:v>161052.37104779933</x:v>
      </x:c>
      <x:c r="Z1550" s="58" t="n">
        <x:f>IF(R1550="No","",X1550-Y1550)</x:f>
        <x:v>274299.0524666584</x:v>
      </x:c>
      <x:c r="AA1550" s="58" t="n">
        <x:f>IF(R1550="No","",MAX(0,-Z1550))</x:f>
        <x:v>0</x:v>
      </x:c>
      <x:c r="AB1550" s="52" t="n">
        <x:f>IF(OR(R1550="No",U1550*S1550=0),"",AA1550/(U1550*S1550))</x:f>
        <x:v>0</x:v>
      </x:c>
      <x:c r="AC1550" s="54" t="n">
        <x:f>IF(OR(R1550="No",S1550-T1550*Assumptions!$B$9&lt;=0),"",AA1550/(Assumptions!$B$8*(S1550-T1550*Assumptions!$B$9)))</x:f>
        <x:v>0</x:v>
      </x:c>
      <x:c r="AD1550" s="52" t="n">
        <x:f>IF(OR(R1550="No",U1550*S1550=0),"",AA1550/(U1550*S1550))</x:f>
        <x:v>0</x:v>
      </x:c>
      <x:c r="AE1550" s="50" t="str">
        <x:f>IF(R1550="No","No finance data",IF(AB1550&gt;=10%,"Severe",IF(AB1550&gt;=5%,"High",IF(AB1550&gt;=2%,"Moderate","Low"))))</x:f>
        <x:v>Low</x:v>
      </x:c>
      <x:c r="AF1550" s="60" t="n">
        <x:v>33.572704</x:v>
      </x:c>
      <x:c r="AG1550" s="60" t="n">
        <x:v>-81.767612</x:v>
      </x:c>
      <x:c r="AH1550" s="44" t="str">
        <x:v>Undergraduate tuition-contribution proxy only; not an audited total institutional budget.</x:v>
      </x:c>
    </x:row>
    <x:row r="1551">
      <x:c r="A1551" s="16" t="n">
        <x:v>218654</x:v>
      </x:c>
      <x:c r="B1551" s="16" t="str">
        <x:v>University of South Carolina-Beaufort</x:v>
      </x:c>
      <x:c r="C1551" s="16" t="str">
        <x:v>SC</x:v>
      </x:c>
      <x:c r="D1551" s="16" t="str">
        <x:v>Public</x:v>
      </x:c>
      <x:c r="E1551" s="34" t="n">
        <x:v>1917</x:v>
      </x:c>
      <x:c r="F1551" s="21" t="n">
        <x:v>0.8372</x:v>
      </x:c>
      <x:c r="G1551" s="16" t="str">
        <x:v>Regional</x:v>
      </x:c>
      <x:c r="H1551" s="36" t="n">
        <x:f>IF(G1551="National",Assumptions!$B$11,IF(G1551="Statewide",Assumptions!$B$12,Assumptions!$B$13))</x:f>
        <x:v>0.85</x:v>
      </x:c>
      <x:c r="I1551" s="21" t="n">
        <x:v>-0.015648919884334034</x:v>
      </x:c>
      <x:c r="J1551" s="21" t="n">
        <x:v>0.03745534954924312</x:v>
      </x:c>
      <x:c r="K1551" s="21" t="n">
        <x:v>0.050093553325395446</x:v>
      </x:c>
      <x:c r="L1551" s="36" t="n">
        <x:f>IF(Assumptions!$B$4=2030,I1551,IF(Assumptions!$B$4=2035,J1551,K1551))</x:f>
        <x:v>0.03745534954924312</x:v>
      </x:c>
      <x:c r="M1551" s="36" t="n">
        <x:f>Assumptions!$B$19</x:f>
        <x:v>-0.04739891965741583</x:v>
      </x:c>
      <x:c r="N1551" s="52" t="n">
        <x:f>H1551*L1551+(1-H1551)*M1551+O1551</x:f>
        <x:v>0.024727209168244273</x:v>
      </x:c>
      <x:c r="O1551" s="36" t="n">
        <x:f>Assumptions!$B$10</x:f>
        <x:v>0</x:v>
      </x:c>
      <x:c r="P1551" s="54" t="n">
        <x:f>E1551*(1+N1551)</x:f>
        <x:v>1964.4020599755243</x:v>
      </x:c>
      <x:c r="Q1551" s="54" t="n">
        <x:f>P1551-E1551</x:f>
        <x:v>47.40205997552425</x:v>
      </x:c>
      <x:c r="R1551" s="16" t="str">
        <x:v>Yes</x:v>
      </x:c>
      <x:c r="S1551" s="56" t="n">
        <x:v>6349</x:v>
      </x:c>
      <x:c r="T1551" s="56" t="n">
        <x:v>8260</x:v>
      </x:c>
      <x:c r="U1551" s="40" t="n">
        <x:f>E1551*Assumptions!$B$8</x:f>
        <x:v>1629.45</x:v>
      </x:c>
      <x:c r="V1551" s="40" t="n">
        <x:f>P1551*Assumptions!$B$8</x:f>
        <x:v>1669.7417509791956</x:v>
      </x:c>
      <x:c r="W1551" s="54" t="n">
        <x:f>V1551-U1551</x:f>
        <x:v>40.29175097919551</x:v>
      </x:c>
      <x:c r="X1551" s="58" t="n">
        <x:f>IF(R1551="No","",W1551*S1551)</x:f>
        <x:v>255812.3269669123</x:v>
      </x:c>
      <x:c r="Y1551" s="58" t="n">
        <x:f>IF(R1551="No","",W1551*T1551*Assumptions!$B$9)</x:f>
        <x:v>99842.95892644647</x:v>
      </x:c>
      <x:c r="Z1551" s="58" t="n">
        <x:f>IF(R1551="No","",X1551-Y1551)</x:f>
        <x:v>155969.36804046584</x:v>
      </x:c>
      <x:c r="AA1551" s="58" t="n">
        <x:f>IF(R1551="No","",MAX(0,-Z1551))</x:f>
        <x:v>0</x:v>
      </x:c>
      <x:c r="AB1551" s="52" t="n">
        <x:f>IF(OR(R1551="No",U1551*S1551=0),"",AA1551/(U1551*S1551))</x:f>
        <x:v>0</x:v>
      </x:c>
      <x:c r="AC1551" s="54" t="n">
        <x:f>IF(OR(R1551="No",S1551-T1551*Assumptions!$B$9&lt;=0),"",AA1551/(Assumptions!$B$8*(S1551-T1551*Assumptions!$B$9)))</x:f>
        <x:v>0</x:v>
      </x:c>
      <x:c r="AD1551" s="52" t="n">
        <x:f>IF(OR(R1551="No",U1551*S1551=0),"",AA1551/(U1551*S1551))</x:f>
        <x:v>0</x:v>
      </x:c>
      <x:c r="AE1551" s="50" t="str">
        <x:f>IF(R1551="No","No finance data",IF(AB1551&gt;=10%,"Severe",IF(AB1551&gt;=5%,"High",IF(AB1551&gt;=2%,"Moderate","Low"))))</x:f>
        <x:v>Low</x:v>
      </x:c>
      <x:c r="AF1551" s="60" t="n">
        <x:v>32.303308</x:v>
      </x:c>
      <x:c r="AG1551" s="60" t="n">
        <x:v>-80.973595</x:v>
      </x:c>
      <x:c r="AH1551" s="44" t="str">
        <x:v>Undergraduate tuition-contribution proxy only; not an audited total institutional budget.</x:v>
      </x:c>
    </x:row>
    <x:row r="1552">
      <x:c r="A1552" s="16" t="n">
        <x:v>218663</x:v>
      </x:c>
      <x:c r="B1552" s="16" t="str">
        <x:v>University of South Carolina-Columbia</x:v>
      </x:c>
      <x:c r="C1552" s="16" t="str">
        <x:v>SC</x:v>
      </x:c>
      <x:c r="D1552" s="16" t="str">
        <x:v>Public</x:v>
      </x:c>
      <x:c r="E1552" s="34" t="n">
        <x:v>24941</x:v>
      </x:c>
      <x:c r="F1552" s="21" t="n">
        <x:v>0.6156</x:v>
      </x:c>
      <x:c r="G1552" s="16" t="str">
        <x:v>Statewide</x:v>
      </x:c>
      <x:c r="H1552" s="36" t="n">
        <x:f>IF(G1552="National",Assumptions!$B$11,IF(G1552="Statewide",Assumptions!$B$12,Assumptions!$B$13))</x:f>
        <x:v>0.6</x:v>
      </x:c>
      <x:c r="I1552" s="21" t="n">
        <x:v>-0.015648919884334034</x:v>
      </x:c>
      <x:c r="J1552" s="21" t="n">
        <x:v>0.03745534954924312</x:v>
      </x:c>
      <x:c r="K1552" s="21" t="n">
        <x:v>0.050093553325395446</x:v>
      </x:c>
      <x:c r="L1552" s="36" t="n">
        <x:f>IF(Assumptions!$B$4=2030,I1552,IF(Assumptions!$B$4=2035,J1552,K1552))</x:f>
        <x:v>0.03745534954924312</x:v>
      </x:c>
      <x:c r="M1552" s="36" t="n">
        <x:f>Assumptions!$B$19</x:f>
        <x:v>-0.04739891965741583</x:v>
      </x:c>
      <x:c r="N1552" s="52" t="n">
        <x:f>H1552*L1552+(1-H1552)*M1552+O1552</x:f>
        <x:v>0.0035136418665795387</x:v>
      </x:c>
      <x:c r="O1552" s="36" t="n">
        <x:f>Assumptions!$B$10</x:f>
        <x:v>0</x:v>
      </x:c>
      <x:c r="P1552" s="54" t="n">
        <x:f>E1552*(1+N1552)</x:f>
        <x:v>25028.63374179436</x:v>
      </x:c>
      <x:c r="Q1552" s="54" t="n">
        <x:f>P1552-E1552</x:f>
        <x:v>87.63374179436141</x:v>
      </x:c>
      <x:c r="R1552" s="16" t="str">
        <x:v>Yes</x:v>
      </x:c>
      <x:c r="S1552" s="56" t="n">
        <x:v>13579</x:v>
      </x:c>
      <x:c r="T1552" s="56" t="n">
        <x:v>11752</x:v>
      </x:c>
      <x:c r="U1552" s="40" t="n">
        <x:f>E1552*Assumptions!$B$8</x:f>
        <x:v>21199.85</x:v>
      </x:c>
      <x:c r="V1552" s="40" t="n">
        <x:f>P1552*Assumptions!$B$8</x:f>
        <x:v>21274.338680525205</x:v>
      </x:c>
      <x:c r="W1552" s="54" t="n">
        <x:f>V1552-U1552</x:f>
        <x:v>74.48868052520629</x:v>
      </x:c>
      <x:c r="X1552" s="58" t="n">
        <x:f>IF(R1552="No","",W1552*S1552)</x:f>
        <x:v>1011481.7928517762</x:v>
      </x:c>
      <x:c r="Y1552" s="58" t="n">
        <x:f>IF(R1552="No","",W1552*T1552*Assumptions!$B$9)</x:f>
        <x:v>262617.2920596673</x:v>
      </x:c>
      <x:c r="Z1552" s="58" t="n">
        <x:f>IF(R1552="No","",X1552-Y1552)</x:f>
        <x:v>748864.500792109</x:v>
      </x:c>
      <x:c r="AA1552" s="58" t="n">
        <x:f>IF(R1552="No","",MAX(0,-Z1552))</x:f>
        <x:v>0</x:v>
      </x:c>
      <x:c r="AB1552" s="52" t="n">
        <x:f>IF(OR(R1552="No",U1552*S1552=0),"",AA1552/(U1552*S1552))</x:f>
        <x:v>0</x:v>
      </x:c>
      <x:c r="AC1552" s="54" t="n">
        <x:f>IF(OR(R1552="No",S1552-T1552*Assumptions!$B$9&lt;=0),"",AA1552/(Assumptions!$B$8*(S1552-T1552*Assumptions!$B$9)))</x:f>
        <x:v>0</x:v>
      </x:c>
      <x:c r="AD1552" s="52" t="n">
        <x:f>IF(OR(R1552="No",U1552*S1552=0),"",AA1552/(U1552*S1552))</x:f>
        <x:v>0</x:v>
      </x:c>
      <x:c r="AE1552" s="50" t="str">
        <x:f>IF(R1552="No","No finance data",IF(AB1552&gt;=10%,"Severe",IF(AB1552&gt;=5%,"High",IF(AB1552&gt;=2%,"Moderate","Low"))))</x:f>
        <x:v>Low</x:v>
      </x:c>
      <x:c r="AF1552" s="60" t="n">
        <x:v>33.996788</x:v>
      </x:c>
      <x:c r="AG1552" s="60" t="n">
        <x:v>-81.026935</x:v>
      </x:c>
      <x:c r="AH1552" s="44" t="str">
        <x:v>Undergraduate tuition-contribution proxy only; not an audited total institutional budget.</x:v>
      </x:c>
    </x:row>
    <x:row r="1553">
      <x:c r="A1553" s="16" t="n">
        <x:v>218742</x:v>
      </x:c>
      <x:c r="B1553" s="16" t="str">
        <x:v>University of South Carolina-Upstate</x:v>
      </x:c>
      <x:c r="C1553" s="16" t="str">
        <x:v>SC</x:v>
      </x:c>
      <x:c r="D1553" s="16" t="str">
        <x:v>Public</x:v>
      </x:c>
      <x:c r="E1553" s="34" t="n">
        <x:v>5094</x:v>
      </x:c>
      <x:c r="F1553" s="21" t="n">
        <x:v>0.757</x:v>
      </x:c>
      <x:c r="G1553" s="16" t="str">
        <x:v>Statewide</x:v>
      </x:c>
      <x:c r="H1553" s="36" t="n">
        <x:f>IF(G1553="National",Assumptions!$B$11,IF(G1553="Statewide",Assumptions!$B$12,Assumptions!$B$13))</x:f>
        <x:v>0.6</x:v>
      </x:c>
      <x:c r="I1553" s="21" t="n">
        <x:v>-0.015648919884334034</x:v>
      </x:c>
      <x:c r="J1553" s="21" t="n">
        <x:v>0.03745534954924312</x:v>
      </x:c>
      <x:c r="K1553" s="21" t="n">
        <x:v>0.050093553325395446</x:v>
      </x:c>
      <x:c r="L1553" s="36" t="n">
        <x:f>IF(Assumptions!$B$4=2030,I1553,IF(Assumptions!$B$4=2035,J1553,K1553))</x:f>
        <x:v>0.03745534954924312</x:v>
      </x:c>
      <x:c r="M1553" s="36" t="n">
        <x:f>Assumptions!$B$19</x:f>
        <x:v>-0.04739891965741583</x:v>
      </x:c>
      <x:c r="N1553" s="52" t="n">
        <x:f>H1553*L1553+(1-H1553)*M1553+O1553</x:f>
        <x:v>0.0035136418665795387</x:v>
      </x:c>
      <x:c r="O1553" s="36" t="n">
        <x:f>Assumptions!$B$10</x:f>
        <x:v>0</x:v>
      </x:c>
      <x:c r="P1553" s="54" t="n">
        <x:f>E1553*(1+N1553)</x:f>
        <x:v>5111.898491668356</x:v>
      </x:c>
      <x:c r="Q1553" s="54" t="n">
        <x:f>P1553-E1553</x:f>
        <x:v>17.898491668355746</x:v>
      </x:c>
      <x:c r="R1553" s="16" t="str">
        <x:v>Yes</x:v>
      </x:c>
      <x:c r="S1553" s="56" t="n">
        <x:v>6434</x:v>
      </x:c>
      <x:c r="T1553" s="56" t="n">
        <x:v>7093</x:v>
      </x:c>
      <x:c r="U1553" s="40" t="n">
        <x:f>E1553*Assumptions!$B$8</x:f>
        <x:v>4329.9</x:v>
      </x:c>
      <x:c r="V1553" s="40" t="n">
        <x:f>P1553*Assumptions!$B$8</x:f>
        <x:v>4345.113717918102</x:v>
      </x:c>
      <x:c r="W1553" s="54" t="n">
        <x:f>V1553-U1553</x:f>
        <x:v>15.213717918102702</x:v>
      </x:c>
      <x:c r="X1553" s="58" t="n">
        <x:f>IF(R1553="No","",W1553*S1553)</x:f>
        <x:v>97885.06108507278</x:v>
      </x:c>
      <x:c r="Y1553" s="58" t="n">
        <x:f>IF(R1553="No","",W1553*T1553*Assumptions!$B$9)</x:f>
        <x:v>32373.27035793074</x:v>
      </x:c>
      <x:c r="Z1553" s="58" t="n">
        <x:f>IF(R1553="No","",X1553-Y1553)</x:f>
        <x:v>65511.79072714204</x:v>
      </x:c>
      <x:c r="AA1553" s="58" t="n">
        <x:f>IF(R1553="No","",MAX(0,-Z1553))</x:f>
        <x:v>0</x:v>
      </x:c>
      <x:c r="AB1553" s="52" t="n">
        <x:f>IF(OR(R1553="No",U1553*S1553=0),"",AA1553/(U1553*S1553))</x:f>
        <x:v>0</x:v>
      </x:c>
      <x:c r="AC1553" s="54" t="n">
        <x:f>IF(OR(R1553="No",S1553-T1553*Assumptions!$B$9&lt;=0),"",AA1553/(Assumptions!$B$8*(S1553-T1553*Assumptions!$B$9)))</x:f>
        <x:v>0</x:v>
      </x:c>
      <x:c r="AD1553" s="52" t="n">
        <x:f>IF(OR(R1553="No",U1553*S1553=0),"",AA1553/(U1553*S1553))</x:f>
        <x:v>0</x:v>
      </x:c>
      <x:c r="AE1553" s="50" t="str">
        <x:f>IF(R1553="No","No finance data",IF(AB1553&gt;=10%,"Severe",IF(AB1553&gt;=5%,"High",IF(AB1553&gt;=2%,"Moderate","Low"))))</x:f>
        <x:v>Low</x:v>
      </x:c>
      <x:c r="AF1553" s="60" t="n">
        <x:v>34.996403</x:v>
      </x:c>
      <x:c r="AG1553" s="60" t="n">
        <x:v>-81.970583</x:v>
      </x:c>
      <x:c r="AH1553" s="44" t="str">
        <x:v>Undergraduate tuition-contribution proxy only; not an audited total institutional budget.</x:v>
      </x:c>
    </x:row>
    <x:row r="1554">
      <x:c r="A1554" s="16" t="n">
        <x:v>218919</x:v>
      </x:c>
      <x:c r="B1554" s="16" t="str">
        <x:v>Voorhees College</x:v>
      </x:c>
      <x:c r="C1554" s="16" t="str">
        <x:v>SC</x:v>
      </x:c>
      <x:c r="D1554" s="16" t="str">
        <x:v>Private nonprofit</x:v>
      </x:c>
      <x:c r="E1554" s="34" t="n">
        <x:v>434</x:v>
      </x:c>
      <x:c r="F1554" s="21"/>
      <x:c r="G1554" s="16" t="str">
        <x:v>Regional</x:v>
      </x:c>
      <x:c r="H1554" s="36" t="n">
        <x:f>IF(G1554="National",Assumptions!$B$11,IF(G1554="Statewide",Assumptions!$B$12,Assumptions!$B$13))</x:f>
        <x:v>0.85</x:v>
      </x:c>
      <x:c r="I1554" s="21" t="n">
        <x:v>-0.015648919884334034</x:v>
      </x:c>
      <x:c r="J1554" s="21" t="n">
        <x:v>0.03745534954924312</x:v>
      </x:c>
      <x:c r="K1554" s="21" t="n">
        <x:v>0.050093553325395446</x:v>
      </x:c>
      <x:c r="L1554" s="36" t="n">
        <x:f>IF(Assumptions!$B$4=2030,I1554,IF(Assumptions!$B$4=2035,J1554,K1554))</x:f>
        <x:v>0.03745534954924312</x:v>
      </x:c>
      <x:c r="M1554" s="36" t="n">
        <x:f>Assumptions!$B$19</x:f>
        <x:v>-0.04739891965741583</x:v>
      </x:c>
      <x:c r="N1554" s="52" t="n">
        <x:f>H1554*L1554+(1-H1554)*M1554+O1554</x:f>
        <x:v>0.024727209168244273</x:v>
      </x:c>
      <x:c r="O1554" s="36" t="n">
        <x:f>Assumptions!$B$10</x:f>
        <x:v>0</x:v>
      </x:c>
      <x:c r="P1554" s="54" t="n">
        <x:f>E1554*(1+N1554)</x:f>
        <x:v>444.731608779018</x:v>
      </x:c>
      <x:c r="Q1554" s="54" t="n">
        <x:f>P1554-E1554</x:f>
        <x:v>10.731608779018018</x:v>
      </x:c>
      <x:c r="R1554" s="16" t="str">
        <x:v>No</x:v>
      </x:c>
      <x:c r="S1554" s="56"/>
      <x:c r="T1554" s="56"/>
      <x:c r="U1554" s="40" t="n">
        <x:f>E1554*Assumptions!$B$8</x:f>
        <x:v>368.9</x:v>
      </x:c>
      <x:c r="V1554" s="40" t="n">
        <x:f>P1554*Assumptions!$B$8</x:f>
        <x:v>378.0218674621653</x:v>
      </x:c>
      <x:c r="W1554" s="54" t="n">
        <x:f>V1554-U1554</x:f>
        <x:v>9.121867462165312</x:v>
      </x:c>
      <x:c r="X1554" s="58" t="str">
        <x:f>IF(R1554="No","",W1554*S1554)</x:f>
      </x:c>
      <x:c r="Y1554" s="58" t="str">
        <x:f>IF(R1554="No","",W1554*T1554*Assumptions!$B$9)</x:f>
      </x:c>
      <x:c r="Z1554" s="58" t="str">
        <x:f>IF(R1554="No","",X1554-Y1554)</x:f>
      </x:c>
      <x:c r="AA1554" s="58" t="str">
        <x:f>IF(R1554="No","",MAX(0,-Z1554))</x:f>
      </x:c>
      <x:c r="AB1554" s="52" t="str">
        <x:f>IF(OR(R1554="No",U1554*S1554=0),"",AA1554/(U1554*S1554))</x:f>
      </x:c>
      <x:c r="AC1554" s="54" t="str">
        <x:f>IF(OR(R1554="No",S1554-T1554*Assumptions!$B$9&lt;=0),"",AA1554/(Assumptions!$B$8*(S1554-T1554*Assumptions!$B$9)))</x:f>
      </x:c>
      <x:c r="AD1554" s="52" t="str">
        <x:f>IF(OR(R1554="No",U1554*S1554=0),"",AA1554/(U1554*S1554))</x:f>
      </x:c>
      <x:c r="AE1554" s="50" t="str">
        <x:f>IF(R1554="No","No finance data",IF(AB1554&gt;=10%,"Severe",IF(AB1554&gt;=5%,"High",IF(AB1554&gt;=2%,"Moderate","Low"))))</x:f>
        <x:v>No finance data</x:v>
      </x:c>
      <x:c r="AF1554" s="60"/>
      <x:c r="AG1554" s="60"/>
      <x:c r="AH1554" s="44" t="str">
        <x:v>Undergraduate tuition-contribution proxy only; not an audited total institutional budget.</x:v>
      </x:c>
    </x:row>
    <x:row r="1555">
      <x:c r="A1555" s="16" t="n">
        <x:v>218964</x:v>
      </x:c>
      <x:c r="B1555" s="16" t="str">
        <x:v>Winthrop University</x:v>
      </x:c>
      <x:c r="C1555" s="16" t="str">
        <x:v>SC</x:v>
      </x:c>
      <x:c r="D1555" s="16" t="str">
        <x:v>Public</x:v>
      </x:c>
      <x:c r="E1555" s="34" t="n">
        <x:v>4786</x:v>
      </x:c>
      <x:c r="F1555" s="21" t="n">
        <x:v>0.639</x:v>
      </x:c>
      <x:c r="G1555" s="16" t="str">
        <x:v>Regional</x:v>
      </x:c>
      <x:c r="H1555" s="36" t="n">
        <x:f>IF(G1555="National",Assumptions!$B$11,IF(G1555="Statewide",Assumptions!$B$12,Assumptions!$B$13))</x:f>
        <x:v>0.85</x:v>
      </x:c>
      <x:c r="I1555" s="21" t="n">
        <x:v>-0.015648919884334034</x:v>
      </x:c>
      <x:c r="J1555" s="21" t="n">
        <x:v>0.03745534954924312</x:v>
      </x:c>
      <x:c r="K1555" s="21" t="n">
        <x:v>0.050093553325395446</x:v>
      </x:c>
      <x:c r="L1555" s="36" t="n">
        <x:f>IF(Assumptions!$B$4=2030,I1555,IF(Assumptions!$B$4=2035,J1555,K1555))</x:f>
        <x:v>0.03745534954924312</x:v>
      </x:c>
      <x:c r="M1555" s="36" t="n">
        <x:f>Assumptions!$B$19</x:f>
        <x:v>-0.04739891965741583</x:v>
      </x:c>
      <x:c r="N1555" s="52" t="n">
        <x:f>H1555*L1555+(1-H1555)*M1555+O1555</x:f>
        <x:v>0.024727209168244273</x:v>
      </x:c>
      <x:c r="O1555" s="36" t="n">
        <x:f>Assumptions!$B$10</x:f>
        <x:v>0</x:v>
      </x:c>
      <x:c r="P1555" s="54" t="n">
        <x:f>E1555*(1+N1555)</x:f>
        <x:v>4904.3444230792165</x:v>
      </x:c>
      <x:c r="Q1555" s="54" t="n">
        <x:f>P1555-E1555</x:f>
        <x:v>118.34442307921654</x:v>
      </x:c>
      <x:c r="R1555" s="16" t="str">
        <x:v>Yes</x:v>
      </x:c>
      <x:c r="S1555" s="56" t="n">
        <x:v>9442</x:v>
      </x:c>
      <x:c r="T1555" s="56" t="n">
        <x:v>8877</x:v>
      </x:c>
      <x:c r="U1555" s="40" t="n">
        <x:f>E1555*Assumptions!$B$8</x:f>
        <x:v>4068.1</x:v>
      </x:c>
      <x:c r="V1555" s="40" t="n">
        <x:f>P1555*Assumptions!$B$8</x:f>
        <x:v>4168.692759617334</x:v>
      </x:c>
      <x:c r="W1555" s="54" t="n">
        <x:f>V1555-U1555</x:f>
        <x:v>100.59275961733374</x:v>
      </x:c>
      <x:c r="X1555" s="58" t="n">
        <x:f>IF(R1555="No","",W1555*S1555)</x:f>
        <x:v>949796.8363068652</x:v>
      </x:c>
      <x:c r="Y1555" s="58" t="n">
        <x:f>IF(R1555="No","",W1555*T1555*Assumptions!$B$9)</x:f>
        <x:v>267888.57813692145</x:v>
      </x:c>
      <x:c r="Z1555" s="58" t="n">
        <x:f>IF(R1555="No","",X1555-Y1555)</x:f>
        <x:v>681908.2581699437</x:v>
      </x:c>
      <x:c r="AA1555" s="58" t="n">
        <x:f>IF(R1555="No","",MAX(0,-Z1555))</x:f>
        <x:v>0</x:v>
      </x:c>
      <x:c r="AB1555" s="52" t="n">
        <x:f>IF(OR(R1555="No",U1555*S1555=0),"",AA1555/(U1555*S1555))</x:f>
        <x:v>0</x:v>
      </x:c>
      <x:c r="AC1555" s="54" t="n">
        <x:f>IF(OR(R1555="No",S1555-T1555*Assumptions!$B$9&lt;=0),"",AA1555/(Assumptions!$B$8*(S1555-T1555*Assumptions!$B$9)))</x:f>
        <x:v>0</x:v>
      </x:c>
      <x:c r="AD1555" s="52" t="n">
        <x:f>IF(OR(R1555="No",U1555*S1555=0),"",AA1555/(U1555*S1555))</x:f>
        <x:v>0</x:v>
      </x:c>
      <x:c r="AE1555" s="50" t="str">
        <x:f>IF(R1555="No","No finance data",IF(AB1555&gt;=10%,"Severe",IF(AB1555&gt;=5%,"High",IF(AB1555&gt;=2%,"Moderate","Low"))))</x:f>
        <x:v>Low</x:v>
      </x:c>
      <x:c r="AF1555" s="60" t="n">
        <x:v>34.941515</x:v>
      </x:c>
      <x:c r="AG1555" s="60" t="n">
        <x:v>-81.031404</x:v>
      </x:c>
      <x:c r="AH1555" s="44" t="str">
        <x:v>Undergraduate tuition-contribution proxy only; not an audited total institutional budget.</x:v>
      </x:c>
    </x:row>
    <x:row r="1556">
      <x:c r="A1556" s="16" t="n">
        <x:v>218973</x:v>
      </x:c>
      <x:c r="B1556" s="16" t="str">
        <x:v>Wofford College</x:v>
      </x:c>
      <x:c r="C1556" s="16" t="str">
        <x:v>SC</x:v>
      </x:c>
      <x:c r="D1556" s="16" t="str">
        <x:v>Private nonprofit</x:v>
      </x:c>
      <x:c r="E1556" s="34" t="n">
        <x:v>1653</x:v>
      </x:c>
      <x:c r="F1556" s="21" t="n">
        <x:v>0.5245</x:v>
      </x:c>
      <x:c r="G1556" s="16" t="str">
        <x:v>Regional</x:v>
      </x:c>
      <x:c r="H1556" s="36" t="n">
        <x:f>IF(G1556="National",Assumptions!$B$11,IF(G1556="Statewide",Assumptions!$B$12,Assumptions!$B$13))</x:f>
        <x:v>0.85</x:v>
      </x:c>
      <x:c r="I1556" s="21" t="n">
        <x:v>-0.015648919884334034</x:v>
      </x:c>
      <x:c r="J1556" s="21" t="n">
        <x:v>0.03745534954924312</x:v>
      </x:c>
      <x:c r="K1556" s="21" t="n">
        <x:v>0.050093553325395446</x:v>
      </x:c>
      <x:c r="L1556" s="36" t="n">
        <x:f>IF(Assumptions!$B$4=2030,I1556,IF(Assumptions!$B$4=2035,J1556,K1556))</x:f>
        <x:v>0.03745534954924312</x:v>
      </x:c>
      <x:c r="M1556" s="36" t="n">
        <x:f>Assumptions!$B$19</x:f>
        <x:v>-0.04739891965741583</x:v>
      </x:c>
      <x:c r="N1556" s="52" t="n">
        <x:f>H1556*L1556+(1-H1556)*M1556+O1556</x:f>
        <x:v>0.024727209168244273</x:v>
      </x:c>
      <x:c r="O1556" s="36" t="n">
        <x:f>Assumptions!$B$10</x:f>
        <x:v>0</x:v>
      </x:c>
      <x:c r="P1556" s="54" t="n">
        <x:f>E1556*(1+N1556)</x:f>
        <x:v>1693.8740767551078</x:v>
      </x:c>
      <x:c r="Q1556" s="54" t="n">
        <x:f>P1556-E1556</x:f>
        <x:v>40.87407675510781</x:v>
      </x:c>
      <x:c r="R1556" s="16" t="str">
        <x:v>Yes</x:v>
      </x:c>
      <x:c r="S1556" s="56" t="n">
        <x:v>20078</x:v>
      </x:c>
      <x:c r="T1556" s="56" t="n">
        <x:v>12226</x:v>
      </x:c>
      <x:c r="U1556" s="40" t="n">
        <x:f>E1556*Assumptions!$B$8</x:f>
        <x:v>1405.05</x:v>
      </x:c>
      <x:c r="V1556" s="40" t="n">
        <x:f>P1556*Assumptions!$B$8</x:f>
        <x:v>1439.7929652418416</x:v>
      </x:c>
      <x:c r="W1556" s="54" t="n">
        <x:f>V1556-U1556</x:f>
        <x:v>34.7429652418416</x:v>
      </x:c>
      <x:c r="X1556" s="58" t="n">
        <x:f>IF(R1556="No","",W1556*S1556)</x:f>
        <x:v>697569.2561256957</x:v>
      </x:c>
      <x:c r="Y1556" s="58" t="n">
        <x:f>IF(R1556="No","",W1556*T1556*Assumptions!$B$9)</x:f>
        <x:v>127430.24791402662</x:v>
      </x:c>
      <x:c r="Z1556" s="58" t="n">
        <x:f>IF(R1556="No","",X1556-Y1556)</x:f>
        <x:v>570139.008211669</x:v>
      </x:c>
      <x:c r="AA1556" s="58" t="n">
        <x:f>IF(R1556="No","",MAX(0,-Z1556))</x:f>
        <x:v>0</x:v>
      </x:c>
      <x:c r="AB1556" s="52" t="n">
        <x:f>IF(OR(R1556="No",U1556*S1556=0),"",AA1556/(U1556*S1556))</x:f>
        <x:v>0</x:v>
      </x:c>
      <x:c r="AC1556" s="54" t="n">
        <x:f>IF(OR(R1556="No",S1556-T1556*Assumptions!$B$9&lt;=0),"",AA1556/(Assumptions!$B$8*(S1556-T1556*Assumptions!$B$9)))</x:f>
        <x:v>0</x:v>
      </x:c>
      <x:c r="AD1556" s="52" t="n">
        <x:f>IF(OR(R1556="No",U1556*S1556=0),"",AA1556/(U1556*S1556))</x:f>
        <x:v>0</x:v>
      </x:c>
      <x:c r="AE1556" s="50" t="str">
        <x:f>IF(R1556="No","No finance data",IF(AB1556&gt;=10%,"Severe",IF(AB1556&gt;=5%,"High",IF(AB1556&gt;=2%,"Moderate","Low"))))</x:f>
        <x:v>Low</x:v>
      </x:c>
      <x:c r="AF1556" s="60" t="n">
        <x:v>34.959411</x:v>
      </x:c>
      <x:c r="AG1556" s="60" t="n">
        <x:v>-81.933568</x:v>
      </x:c>
      <x:c r="AH1556" s="44" t="str">
        <x:v>Undergraduate tuition-contribution proxy only; not an audited total institutional budget.</x:v>
      </x:c>
    </x:row>
    <x:row r="1557">
      <x:c r="A1557" s="16" t="n">
        <x:v>219000</x:v>
      </x:c>
      <x:c r="B1557" s="16" t="str">
        <x:v>Augustana University</x:v>
      </x:c>
      <x:c r="C1557" s="16" t="str">
        <x:v>SD</x:v>
      </x:c>
      <x:c r="D1557" s="16" t="str">
        <x:v>Private nonprofit</x:v>
      </x:c>
      <x:c r="E1557" s="34" t="n">
        <x:v>1563</x:v>
      </x:c>
      <x:c r="F1557" s="21" t="n">
        <x:v>0.7182</x:v>
      </x:c>
      <x:c r="G1557" s="16" t="str">
        <x:v>Regional</x:v>
      </x:c>
      <x:c r="H1557" s="36" t="n">
        <x:f>IF(G1557="National",Assumptions!$B$11,IF(G1557="Statewide",Assumptions!$B$12,Assumptions!$B$13))</x:f>
        <x:v>0.85</x:v>
      </x:c>
      <x:c r="I1557" s="21" t="n">
        <x:v>0.006030340148873936</x:v>
      </x:c>
      <x:c r="J1557" s="21" t="n">
        <x:v>0.05493262979364921</x:v>
      </x:c>
      <x:c r="K1557" s="21" t="n">
        <x:v>-0.024121360595496077</x:v>
      </x:c>
      <x:c r="L1557" s="36" t="n">
        <x:f>IF(Assumptions!$B$4=2030,I1557,IF(Assumptions!$B$4=2035,J1557,K1557))</x:f>
        <x:v>0.05493262979364921</x:v>
      </x:c>
      <x:c r="M1557" s="36" t="n">
        <x:f>Assumptions!$B$19</x:f>
        <x:v>-0.04739891965741583</x:v>
      </x:c>
      <x:c r="N1557" s="52" t="n">
        <x:f>H1557*L1557+(1-H1557)*M1557+O1557</x:f>
        <x:v>0.039582897375989454</x:v>
      </x:c>
      <x:c r="O1557" s="36" t="n">
        <x:f>Assumptions!$B$10</x:f>
        <x:v>0</x:v>
      </x:c>
      <x:c r="P1557" s="54" t="n">
        <x:f>E1557*(1+N1557)</x:f>
        <x:v>1624.8680685986717</x:v>
      </x:c>
      <x:c r="Q1557" s="54" t="n">
        <x:f>P1557-E1557</x:f>
        <x:v>61.8680685986717</x:v>
      </x:c>
      <x:c r="R1557" s="16" t="str">
        <x:v>Yes</x:v>
      </x:c>
      <x:c r="S1557" s="56" t="n">
        <x:v>15473</x:v>
      </x:c>
      <x:c r="T1557" s="56" t="n">
        <x:v>12438</x:v>
      </x:c>
      <x:c r="U1557" s="40" t="n">
        <x:f>E1557*Assumptions!$B$8</x:f>
        <x:v>1328.55</x:v>
      </x:c>
      <x:c r="V1557" s="40" t="n">
        <x:f>P1557*Assumptions!$B$8</x:f>
        <x:v>1381.1378583088708</x:v>
      </x:c>
      <x:c r="W1557" s="54" t="n">
        <x:f>V1557-U1557</x:f>
        <x:v>52.587858308870864</x:v>
      </x:c>
      <x:c r="X1557" s="58" t="n">
        <x:f>IF(R1557="No","",W1557*S1557)</x:f>
        <x:v>813691.9316131589</x:v>
      </x:c>
      <x:c r="Y1557" s="58" t="n">
        <x:f>IF(R1557="No","",W1557*T1557*Assumptions!$B$9)</x:f>
        <x:v>196226.33449372076</x:v>
      </x:c>
      <x:c r="Z1557" s="58" t="n">
        <x:f>IF(R1557="No","",X1557-Y1557)</x:f>
        <x:v>617465.5971194381</x:v>
      </x:c>
      <x:c r="AA1557" s="58" t="n">
        <x:f>IF(R1557="No","",MAX(0,-Z1557))</x:f>
        <x:v>0</x:v>
      </x:c>
      <x:c r="AB1557" s="52" t="n">
        <x:f>IF(OR(R1557="No",U1557*S1557=0),"",AA1557/(U1557*S1557))</x:f>
        <x:v>0</x:v>
      </x:c>
      <x:c r="AC1557" s="54" t="n">
        <x:f>IF(OR(R1557="No",S1557-T1557*Assumptions!$B$9&lt;=0),"",AA1557/(Assumptions!$B$8*(S1557-T1557*Assumptions!$B$9)))</x:f>
        <x:v>0</x:v>
      </x:c>
      <x:c r="AD1557" s="52" t="n">
        <x:f>IF(OR(R1557="No",U1557*S1557=0),"",AA1557/(U1557*S1557))</x:f>
        <x:v>0</x:v>
      </x:c>
      <x:c r="AE1557" s="50" t="str">
        <x:f>IF(R1557="No","No finance data",IF(AB1557&gt;=10%,"Severe",IF(AB1557&gt;=5%,"High",IF(AB1557&gt;=2%,"Moderate","Low"))))</x:f>
        <x:v>Low</x:v>
      </x:c>
      <x:c r="AF1557" s="60" t="n">
        <x:v>43.525148</x:v>
      </x:c>
      <x:c r="AG1557" s="60" t="n">
        <x:v>-96.736975</x:v>
      </x:c>
      <x:c r="AH1557" s="44" t="str">
        <x:v>Undergraduate tuition-contribution proxy only; not an audited total institutional budget.</x:v>
      </x:c>
    </x:row>
    <x:row r="1558">
      <x:c r="A1558" s="16" t="n">
        <x:v>219046</x:v>
      </x:c>
      <x:c r="B1558" s="16" t="str">
        <x:v>Black Hills State University</x:v>
      </x:c>
      <x:c r="C1558" s="16" t="str">
        <x:v>SD</x:v>
      </x:c>
      <x:c r="D1558" s="16" t="str">
        <x:v>Public</x:v>
      </x:c>
      <x:c r="E1558" s="34" t="n">
        <x:v>2849</x:v>
      </x:c>
      <x:c r="F1558" s="21" t="n">
        <x:v>0.9725</x:v>
      </x:c>
      <x:c r="G1558" s="16" t="str">
        <x:v>Regional</x:v>
      </x:c>
      <x:c r="H1558" s="36" t="n">
        <x:f>IF(G1558="National",Assumptions!$B$11,IF(G1558="Statewide",Assumptions!$B$12,Assumptions!$B$13))</x:f>
        <x:v>0.85</x:v>
      </x:c>
      <x:c r="I1558" s="21" t="n">
        <x:v>0.006030340148873936</x:v>
      </x:c>
      <x:c r="J1558" s="21" t="n">
        <x:v>0.05493262979364921</x:v>
      </x:c>
      <x:c r="K1558" s="21" t="n">
        <x:v>-0.024121360595496077</x:v>
      </x:c>
      <x:c r="L1558" s="36" t="n">
        <x:f>IF(Assumptions!$B$4=2030,I1558,IF(Assumptions!$B$4=2035,J1558,K1558))</x:f>
        <x:v>0.05493262979364921</x:v>
      </x:c>
      <x:c r="M1558" s="36" t="n">
        <x:f>Assumptions!$B$19</x:f>
        <x:v>-0.04739891965741583</x:v>
      </x:c>
      <x:c r="N1558" s="52" t="n">
        <x:f>H1558*L1558+(1-H1558)*M1558+O1558</x:f>
        <x:v>0.039582897375989454</x:v>
      </x:c>
      <x:c r="O1558" s="36" t="n">
        <x:f>Assumptions!$B$10</x:f>
        <x:v>0</x:v>
      </x:c>
      <x:c r="P1558" s="54" t="n">
        <x:f>E1558*(1+N1558)</x:f>
        <x:v>2961.771674624194</x:v>
      </x:c>
      <x:c r="Q1558" s="54" t="n">
        <x:f>P1558-E1558</x:f>
        <x:v>112.77167462419402</x:v>
      </x:c>
      <x:c r="R1558" s="16" t="str">
        <x:v>Yes</x:v>
      </x:c>
      <x:c r="S1558" s="56" t="n">
        <x:v>6535</x:v>
      </x:c>
      <x:c r="T1558" s="56" t="n">
        <x:v>6211</x:v>
      </x:c>
      <x:c r="U1558" s="40" t="n">
        <x:f>E1558*Assumptions!$B$8</x:f>
        <x:v>2421.65</x:v>
      </x:c>
      <x:c r="V1558" s="40" t="n">
        <x:f>P1558*Assumptions!$B$8</x:f>
        <x:v>2517.505923430565</x:v>
      </x:c>
      <x:c r="W1558" s="54" t="n">
        <x:f>V1558-U1558</x:f>
        <x:v>95.85592343056487</x:v>
      </x:c>
      <x:c r="X1558" s="58" t="n">
        <x:f>IF(R1558="No","",W1558*S1558)</x:f>
        <x:v>626418.4596187414</x:v>
      </x:c>
      <x:c r="Y1558" s="58" t="n">
        <x:f>IF(R1558="No","",W1558*T1558*Assumptions!$B$9)</x:f>
        <x:v>178608.34212817153</x:v>
      </x:c>
      <x:c r="Z1558" s="58" t="n">
        <x:f>IF(R1558="No","",X1558-Y1558)</x:f>
        <x:v>447810.1174905699</x:v>
      </x:c>
      <x:c r="AA1558" s="58" t="n">
        <x:f>IF(R1558="No","",MAX(0,-Z1558))</x:f>
        <x:v>0</x:v>
      </x:c>
      <x:c r="AB1558" s="52" t="n">
        <x:f>IF(OR(R1558="No",U1558*S1558=0),"",AA1558/(U1558*S1558))</x:f>
        <x:v>0</x:v>
      </x:c>
      <x:c r="AC1558" s="54" t="n">
        <x:f>IF(OR(R1558="No",S1558-T1558*Assumptions!$B$9&lt;=0),"",AA1558/(Assumptions!$B$8*(S1558-T1558*Assumptions!$B$9)))</x:f>
        <x:v>0</x:v>
      </x:c>
      <x:c r="AD1558" s="52" t="n">
        <x:f>IF(OR(R1558="No",U1558*S1558=0),"",AA1558/(U1558*S1558))</x:f>
        <x:v>0</x:v>
      </x:c>
      <x:c r="AE1558" s="50" t="str">
        <x:f>IF(R1558="No","No finance data",IF(AB1558&gt;=10%,"Severe",IF(AB1558&gt;=5%,"High",IF(AB1558&gt;=2%,"Moderate","Low"))))</x:f>
        <x:v>Low</x:v>
      </x:c>
      <x:c r="AF1558" s="60" t="n">
        <x:v>44.494889</x:v>
      </x:c>
      <x:c r="AG1558" s="60" t="n">
        <x:v>-103.870966</x:v>
      </x:c>
      <x:c r="AH1558" s="44" t="str">
        <x:v>Undergraduate tuition-contribution proxy only; not an audited total institutional budget.</x:v>
      </x:c>
    </x:row>
    <x:row r="1559">
      <x:c r="A1559" s="16" t="n">
        <x:v>219082</x:v>
      </x:c>
      <x:c r="B1559" s="16" t="str">
        <x:v>Dakota State University</x:v>
      </x:c>
      <x:c r="C1559" s="16" t="str">
        <x:v>SD</x:v>
      </x:c>
      <x:c r="D1559" s="16" t="str">
        <x:v>Public</x:v>
      </x:c>
      <x:c r="E1559" s="34" t="n">
        <x:v>1896</x:v>
      </x:c>
      <x:c r="F1559" s="21" t="n">
        <x:v>0.8561</x:v>
      </x:c>
      <x:c r="G1559" s="16" t="str">
        <x:v>Regional</x:v>
      </x:c>
      <x:c r="H1559" s="36" t="n">
        <x:f>IF(G1559="National",Assumptions!$B$11,IF(G1559="Statewide",Assumptions!$B$12,Assumptions!$B$13))</x:f>
        <x:v>0.85</x:v>
      </x:c>
      <x:c r="I1559" s="21" t="n">
        <x:v>0.006030340148873936</x:v>
      </x:c>
      <x:c r="J1559" s="21" t="n">
        <x:v>0.05493262979364921</x:v>
      </x:c>
      <x:c r="K1559" s="21" t="n">
        <x:v>-0.024121360595496077</x:v>
      </x:c>
      <x:c r="L1559" s="36" t="n">
        <x:f>IF(Assumptions!$B$4=2030,I1559,IF(Assumptions!$B$4=2035,J1559,K1559))</x:f>
        <x:v>0.05493262979364921</x:v>
      </x:c>
      <x:c r="M1559" s="36" t="n">
        <x:f>Assumptions!$B$19</x:f>
        <x:v>-0.04739891965741583</x:v>
      </x:c>
      <x:c r="N1559" s="52" t="n">
        <x:f>H1559*L1559+(1-H1559)*M1559+O1559</x:f>
        <x:v>0.039582897375989454</x:v>
      </x:c>
      <x:c r="O1559" s="36" t="n">
        <x:f>Assumptions!$B$10</x:f>
        <x:v>0</x:v>
      </x:c>
      <x:c r="P1559" s="54" t="n">
        <x:f>E1559*(1+N1559)</x:f>
        <x:v>1971.0491734248762</x:v>
      </x:c>
      <x:c r="Q1559" s="54" t="n">
        <x:f>P1559-E1559</x:f>
        <x:v>75.04917342487624</x:v>
      </x:c>
      <x:c r="R1559" s="16" t="str">
        <x:v>Yes</x:v>
      </x:c>
      <x:c r="S1559" s="56" t="n">
        <x:v>7800</x:v>
      </x:c>
      <x:c r="T1559" s="56" t="n">
        <x:v>8651</x:v>
      </x:c>
      <x:c r="U1559" s="40" t="n">
        <x:f>E1559*Assumptions!$B$8</x:f>
        <x:v>1611.6</x:v>
      </x:c>
      <x:c r="V1559" s="40" t="n">
        <x:f>P1559*Assumptions!$B$8</x:f>
        <x:v>1675.3917974111448</x:v>
      </x:c>
      <x:c r="W1559" s="54" t="n">
        <x:f>V1559-U1559</x:f>
        <x:v>63.7917974111449</x:v>
      </x:c>
      <x:c r="X1559" s="58" t="n">
        <x:f>IF(R1559="No","",W1559*S1559)</x:f>
        <x:v>497576.0198069302</x:v>
      </x:c>
      <x:c r="Y1559" s="58" t="n">
        <x:f>IF(R1559="No","",W1559*T1559*Assumptions!$B$9)</x:f>
        <x:v>165558.85182114434</x:v>
      </x:c>
      <x:c r="Z1559" s="58" t="n">
        <x:f>IF(R1559="No","",X1559-Y1559)</x:f>
        <x:v>332017.16798578587</x:v>
      </x:c>
      <x:c r="AA1559" s="58" t="n">
        <x:f>IF(R1559="No","",MAX(0,-Z1559))</x:f>
        <x:v>0</x:v>
      </x:c>
      <x:c r="AB1559" s="52" t="n">
        <x:f>IF(OR(R1559="No",U1559*S1559=0),"",AA1559/(U1559*S1559))</x:f>
        <x:v>0</x:v>
      </x:c>
      <x:c r="AC1559" s="54" t="n">
        <x:f>IF(OR(R1559="No",S1559-T1559*Assumptions!$B$9&lt;=0),"",AA1559/(Assumptions!$B$8*(S1559-T1559*Assumptions!$B$9)))</x:f>
        <x:v>0</x:v>
      </x:c>
      <x:c r="AD1559" s="52" t="n">
        <x:f>IF(OR(R1559="No",U1559*S1559=0),"",AA1559/(U1559*S1559))</x:f>
        <x:v>0</x:v>
      </x:c>
      <x:c r="AE1559" s="50" t="str">
        <x:f>IF(R1559="No","No finance data",IF(AB1559&gt;=10%,"Severe",IF(AB1559&gt;=5%,"High",IF(AB1559&gt;=2%,"Moderate","Low"))))</x:f>
        <x:v>Low</x:v>
      </x:c>
      <x:c r="AF1559" s="60" t="n">
        <x:v>44.013014</x:v>
      </x:c>
      <x:c r="AG1559" s="60" t="n">
        <x:v>-97.113358</x:v>
      </x:c>
      <x:c r="AH1559" s="44" t="str">
        <x:v>Undergraduate tuition-contribution proxy only; not an audited total institutional budget.</x:v>
      </x:c>
    </x:row>
    <x:row r="1560">
      <x:c r="A1560" s="16" t="n">
        <x:v>219091</x:v>
      </x:c>
      <x:c r="B1560" s="16" t="str">
        <x:v>Dakota Wesleyan University</x:v>
      </x:c>
      <x:c r="C1560" s="16" t="str">
        <x:v>SD</x:v>
      </x:c>
      <x:c r="D1560" s="16" t="str">
        <x:v>Private nonprofit</x:v>
      </x:c>
      <x:c r="E1560" s="34" t="n">
        <x:v>795</x:v>
      </x:c>
      <x:c r="F1560" s="21" t="n">
        <x:v>0.7574</x:v>
      </x:c>
      <x:c r="G1560" s="16" t="str">
        <x:v>Regional</x:v>
      </x:c>
      <x:c r="H1560" s="36" t="n">
        <x:f>IF(G1560="National",Assumptions!$B$11,IF(G1560="Statewide",Assumptions!$B$12,Assumptions!$B$13))</x:f>
        <x:v>0.85</x:v>
      </x:c>
      <x:c r="I1560" s="21" t="n">
        <x:v>0.006030340148873936</x:v>
      </x:c>
      <x:c r="J1560" s="21" t="n">
        <x:v>0.05493262979364921</x:v>
      </x:c>
      <x:c r="K1560" s="21" t="n">
        <x:v>-0.024121360595496077</x:v>
      </x:c>
      <x:c r="L1560" s="36" t="n">
        <x:f>IF(Assumptions!$B$4=2030,I1560,IF(Assumptions!$B$4=2035,J1560,K1560))</x:f>
        <x:v>0.05493262979364921</x:v>
      </x:c>
      <x:c r="M1560" s="36" t="n">
        <x:f>Assumptions!$B$19</x:f>
        <x:v>-0.04739891965741583</x:v>
      </x:c>
      <x:c r="N1560" s="52" t="n">
        <x:f>H1560*L1560+(1-H1560)*M1560+O1560</x:f>
        <x:v>0.039582897375989454</x:v>
      </x:c>
      <x:c r="O1560" s="36" t="n">
        <x:f>Assumptions!$B$10</x:f>
        <x:v>0</x:v>
      </x:c>
      <x:c r="P1560" s="54" t="n">
        <x:f>E1560*(1+N1560)</x:f>
        <x:v>826.4684034139117</x:v>
      </x:c>
      <x:c r="Q1560" s="54" t="n">
        <x:f>P1560-E1560</x:f>
        <x:v>31.468403413911687</x:v>
      </x:c>
      <x:c r="R1560" s="16" t="str">
        <x:v>Yes</x:v>
      </x:c>
      <x:c r="S1560" s="56" t="n">
        <x:v>12427</x:v>
      </x:c>
      <x:c r="T1560" s="56" t="n">
        <x:v>5969</x:v>
      </x:c>
      <x:c r="U1560" s="40" t="n">
        <x:f>E1560*Assumptions!$B$8</x:f>
        <x:v>675.75</x:v>
      </x:c>
      <x:c r="V1560" s="40" t="n">
        <x:f>P1560*Assumptions!$B$8</x:f>
        <x:v>702.498142901825</x:v>
      </x:c>
      <x:c r="W1560" s="54" t="n">
        <x:f>V1560-U1560</x:f>
        <x:v>26.748142901824963</x:v>
      </x:c>
      <x:c r="X1560" s="58" t="n">
        <x:f>IF(R1560="No","",W1560*S1560)</x:f>
        <x:v>332399.1718409788</x:v>
      </x:c>
      <x:c r="Y1560" s="58" t="n">
        <x:f>IF(R1560="No","",W1560*T1560*Assumptions!$B$9)</x:f>
        <x:v>47897.899494297955</x:v>
      </x:c>
      <x:c r="Z1560" s="58" t="n">
        <x:f>IF(R1560="No","",X1560-Y1560)</x:f>
        <x:v>284501.2723466808</x:v>
      </x:c>
      <x:c r="AA1560" s="58" t="n">
        <x:f>IF(R1560="No","",MAX(0,-Z1560))</x:f>
        <x:v>0</x:v>
      </x:c>
      <x:c r="AB1560" s="52" t="n">
        <x:f>IF(OR(R1560="No",U1560*S1560=0),"",AA1560/(U1560*S1560))</x:f>
        <x:v>0</x:v>
      </x:c>
      <x:c r="AC1560" s="54" t="n">
        <x:f>IF(OR(R1560="No",S1560-T1560*Assumptions!$B$9&lt;=0),"",AA1560/(Assumptions!$B$8*(S1560-T1560*Assumptions!$B$9)))</x:f>
        <x:v>0</x:v>
      </x:c>
      <x:c r="AD1560" s="52" t="n">
        <x:f>IF(OR(R1560="No",U1560*S1560=0),"",AA1560/(U1560*S1560))</x:f>
        <x:v>0</x:v>
      </x:c>
      <x:c r="AE1560" s="50" t="str">
        <x:f>IF(R1560="No","No finance data",IF(AB1560&gt;=10%,"Severe",IF(AB1560&gt;=5%,"High",IF(AB1560&gt;=2%,"Moderate","Low"))))</x:f>
        <x:v>Low</x:v>
      </x:c>
      <x:c r="AF1560" s="60" t="n">
        <x:v>43.697432</x:v>
      </x:c>
      <x:c r="AG1560" s="60" t="n">
        <x:v>-98.031188</x:v>
      </x:c>
      <x:c r="AH1560" s="44" t="str">
        <x:v>Undergraduate tuition-contribution proxy only; not an audited total institutional budget.</x:v>
      </x:c>
    </x:row>
    <x:row r="1561">
      <x:c r="A1561" s="16" t="n">
        <x:v>219198</x:v>
      </x:c>
      <x:c r="B1561" s="16" t="str">
        <x:v>Mount Marty College</x:v>
      </x:c>
      <x:c r="C1561" s="16" t="str">
        <x:v>SD</x:v>
      </x:c>
      <x:c r="D1561" s="16" t="str">
        <x:v>Private nonprofit</x:v>
      </x:c>
      <x:c r="E1561" s="34" t="n">
        <x:v>585</x:v>
      </x:c>
      <x:c r="F1561" s="21" t="n">
        <x:v>0.6737</x:v>
      </x:c>
      <x:c r="G1561" s="16" t="str">
        <x:v>Regional</x:v>
      </x:c>
      <x:c r="H1561" s="36" t="n">
        <x:f>IF(G1561="National",Assumptions!$B$11,IF(G1561="Statewide",Assumptions!$B$12,Assumptions!$B$13))</x:f>
        <x:v>0.85</x:v>
      </x:c>
      <x:c r="I1561" s="21" t="n">
        <x:v>0.006030340148873936</x:v>
      </x:c>
      <x:c r="J1561" s="21" t="n">
        <x:v>0.05493262979364921</x:v>
      </x:c>
      <x:c r="K1561" s="21" t="n">
        <x:v>-0.024121360595496077</x:v>
      </x:c>
      <x:c r="L1561" s="36" t="n">
        <x:f>IF(Assumptions!$B$4=2030,I1561,IF(Assumptions!$B$4=2035,J1561,K1561))</x:f>
        <x:v>0.05493262979364921</x:v>
      </x:c>
      <x:c r="M1561" s="36" t="n">
        <x:f>Assumptions!$B$19</x:f>
        <x:v>-0.04739891965741583</x:v>
      </x:c>
      <x:c r="N1561" s="52" t="n">
        <x:f>H1561*L1561+(1-H1561)*M1561+O1561</x:f>
        <x:v>0.039582897375989454</x:v>
      </x:c>
      <x:c r="O1561" s="36" t="n">
        <x:f>Assumptions!$B$10</x:f>
        <x:v>0</x:v>
      </x:c>
      <x:c r="P1561" s="54" t="n">
        <x:f>E1561*(1+N1561)</x:f>
        <x:v>608.1559949649538</x:v>
      </x:c>
      <x:c r="Q1561" s="54" t="n">
        <x:f>P1561-E1561</x:f>
        <x:v>23.155994964953834</x:v>
      </x:c>
      <x:c r="R1561" s="16" t="str">
        <x:v>Yes</x:v>
      </x:c>
      <x:c r="S1561" s="56" t="n">
        <x:v>10878</x:v>
      </x:c>
      <x:c r="T1561" s="56" t="n">
        <x:v>7334</x:v>
      </x:c>
      <x:c r="U1561" s="40" t="n">
        <x:f>E1561*Assumptions!$B$8</x:f>
        <x:v>497.25</x:v>
      </x:c>
      <x:c r="V1561" s="40" t="n">
        <x:f>P1561*Assumptions!$B$8</x:f>
        <x:v>516.9325957202108</x:v>
      </x:c>
      <x:c r="W1561" s="54" t="n">
        <x:f>V1561-U1561</x:f>
        <x:v>19.68259572021077</x:v>
      </x:c>
      <x:c r="X1561" s="58" t="n">
        <x:f>IF(R1561="No","",W1561*S1561)</x:f>
        <x:v>214107.27624445275</x:v>
      </x:c>
      <x:c r="Y1561" s="58" t="n">
        <x:f>IF(R1561="No","",W1561*T1561*Assumptions!$B$9)</x:f>
        <x:v>43305.647103607735</x:v>
      </x:c>
      <x:c r="Z1561" s="58" t="n">
        <x:f>IF(R1561="No","",X1561-Y1561)</x:f>
        <x:v>170801.629140845</x:v>
      </x:c>
      <x:c r="AA1561" s="58" t="n">
        <x:f>IF(R1561="No","",MAX(0,-Z1561))</x:f>
        <x:v>0</x:v>
      </x:c>
      <x:c r="AB1561" s="52" t="n">
        <x:f>IF(OR(R1561="No",U1561*S1561=0),"",AA1561/(U1561*S1561))</x:f>
        <x:v>0</x:v>
      </x:c>
      <x:c r="AC1561" s="54" t="n">
        <x:f>IF(OR(R1561="No",S1561-T1561*Assumptions!$B$9&lt;=0),"",AA1561/(Assumptions!$B$8*(S1561-T1561*Assumptions!$B$9)))</x:f>
        <x:v>0</x:v>
      </x:c>
      <x:c r="AD1561" s="52" t="n">
        <x:f>IF(OR(R1561="No",U1561*S1561=0),"",AA1561/(U1561*S1561))</x:f>
        <x:v>0</x:v>
      </x:c>
      <x:c r="AE1561" s="50" t="str">
        <x:f>IF(R1561="No","No finance data",IF(AB1561&gt;=10%,"Severe",IF(AB1561&gt;=5%,"High",IF(AB1561&gt;=2%,"Moderate","Low"))))</x:f>
        <x:v>Low</x:v>
      </x:c>
      <x:c r="AF1561" s="60" t="n">
        <x:v>42.874475</x:v>
      </x:c>
      <x:c r="AG1561" s="60" t="n">
        <x:v>-97.409904</x:v>
      </x:c>
      <x:c r="AH1561" s="44" t="str">
        <x:v>Undergraduate tuition-contribution proxy only; not an audited total institutional budget.</x:v>
      </x:c>
    </x:row>
    <x:row r="1562">
      <x:c r="A1562" s="16" t="n">
        <x:v>219259</x:v>
      </x:c>
      <x:c r="B1562" s="16" t="str">
        <x:v>Northern State University</x:v>
      </x:c>
      <x:c r="C1562" s="16" t="str">
        <x:v>SD</x:v>
      </x:c>
      <x:c r="D1562" s="16" t="str">
        <x:v>Public</x:v>
      </x:c>
      <x:c r="E1562" s="34" t="n">
        <x:v>1561</x:v>
      </x:c>
      <x:c r="F1562" s="21" t="n">
        <x:v>0.7982</x:v>
      </x:c>
      <x:c r="G1562" s="16" t="str">
        <x:v>Regional</x:v>
      </x:c>
      <x:c r="H1562" s="36" t="n">
        <x:f>IF(G1562="National",Assumptions!$B$11,IF(G1562="Statewide",Assumptions!$B$12,Assumptions!$B$13))</x:f>
        <x:v>0.85</x:v>
      </x:c>
      <x:c r="I1562" s="21" t="n">
        <x:v>0.006030340148873936</x:v>
      </x:c>
      <x:c r="J1562" s="21" t="n">
        <x:v>0.05493262979364921</x:v>
      </x:c>
      <x:c r="K1562" s="21" t="n">
        <x:v>-0.024121360595496077</x:v>
      </x:c>
      <x:c r="L1562" s="36" t="n">
        <x:f>IF(Assumptions!$B$4=2030,I1562,IF(Assumptions!$B$4=2035,J1562,K1562))</x:f>
        <x:v>0.05493262979364921</x:v>
      </x:c>
      <x:c r="M1562" s="36" t="n">
        <x:f>Assumptions!$B$19</x:f>
        <x:v>-0.04739891965741583</x:v>
      </x:c>
      <x:c r="N1562" s="52" t="n">
        <x:f>H1562*L1562+(1-H1562)*M1562+O1562</x:f>
        <x:v>0.039582897375989454</x:v>
      </x:c>
      <x:c r="O1562" s="36" t="n">
        <x:f>Assumptions!$B$10</x:f>
        <x:v>0</x:v>
      </x:c>
      <x:c r="P1562" s="54" t="n">
        <x:f>E1562*(1+N1562)</x:f>
        <x:v>1622.7889028039197</x:v>
      </x:c>
      <x:c r="Q1562" s="54" t="n">
        <x:f>P1562-E1562</x:f>
        <x:v>61.788902803919655</x:v>
      </x:c>
      <x:c r="R1562" s="16" t="str">
        <x:v>Yes</x:v>
      </x:c>
      <x:c r="S1562" s="56" t="n">
        <x:v>5375</x:v>
      </x:c>
      <x:c r="T1562" s="56" t="n">
        <x:v>9854</x:v>
      </x:c>
      <x:c r="U1562" s="40" t="n">
        <x:f>E1562*Assumptions!$B$8</x:f>
        <x:v>1326.85</x:v>
      </x:c>
      <x:c r="V1562" s="40" t="n">
        <x:f>P1562*Assumptions!$B$8</x:f>
        <x:v>1379.3705673833317</x:v>
      </x:c>
      <x:c r="W1562" s="54" t="n">
        <x:f>V1562-U1562</x:f>
        <x:v>52.52056738333181</x:v>
      </x:c>
      <x:c r="X1562" s="58" t="n">
        <x:f>IF(R1562="No","",W1562*S1562)</x:f>
        <x:v>282298.0496854085</x:v>
      </x:c>
      <x:c r="Y1562" s="58" t="n">
        <x:f>IF(R1562="No","",W1562*T1562*Assumptions!$B$9)</x:f>
        <x:v>155261.30129860548</x:v>
      </x:c>
      <x:c r="Z1562" s="58" t="n">
        <x:f>IF(R1562="No","",X1562-Y1562)</x:f>
        <x:v>127036.748386803</x:v>
      </x:c>
      <x:c r="AA1562" s="58" t="n">
        <x:f>IF(R1562="No","",MAX(0,-Z1562))</x:f>
        <x:v>0</x:v>
      </x:c>
      <x:c r="AB1562" s="52" t="n">
        <x:f>IF(OR(R1562="No",U1562*S1562=0),"",AA1562/(U1562*S1562))</x:f>
        <x:v>0</x:v>
      </x:c>
      <x:c r="AC1562" s="54" t="n">
        <x:f>IF(OR(R1562="No",S1562-T1562*Assumptions!$B$9&lt;=0),"",AA1562/(Assumptions!$B$8*(S1562-T1562*Assumptions!$B$9)))</x:f>
        <x:v>0</x:v>
      </x:c>
      <x:c r="AD1562" s="52" t="n">
        <x:f>IF(OR(R1562="No",U1562*S1562=0),"",AA1562/(U1562*S1562))</x:f>
        <x:v>0</x:v>
      </x:c>
      <x:c r="AE1562" s="50" t="str">
        <x:f>IF(R1562="No","No finance data",IF(AB1562&gt;=10%,"Severe",IF(AB1562&gt;=5%,"High",IF(AB1562&gt;=2%,"Moderate","Low"))))</x:f>
        <x:v>Low</x:v>
      </x:c>
      <x:c r="AF1562" s="60" t="n">
        <x:v>45.450829</x:v>
      </x:c>
      <x:c r="AG1562" s="60" t="n">
        <x:v>-98.484728</x:v>
      </x:c>
      <x:c r="AH1562" s="44" t="str">
        <x:v>Undergraduate tuition-contribution proxy only; not an audited total institutional budget.</x:v>
      </x:c>
    </x:row>
    <x:row r="1563">
      <x:c r="A1563" s="16" t="n">
        <x:v>219295</x:v>
      </x:c>
      <x:c r="B1563" s="16" t="str">
        <x:v>Presentation College</x:v>
      </x:c>
      <x:c r="C1563" s="16" t="str">
        <x:v>SD</x:v>
      </x:c>
      <x:c r="D1563" s="16" t="str">
        <x:v>Private nonprofit</x:v>
      </x:c>
      <x:c r="E1563" s="34" t="n">
        <x:v>752</x:v>
      </x:c>
      <x:c r="F1563" s="21" t="n">
        <x:v>0.9373</x:v>
      </x:c>
      <x:c r="G1563" s="16" t="str">
        <x:v>Regional</x:v>
      </x:c>
      <x:c r="H1563" s="36" t="n">
        <x:f>IF(G1563="National",Assumptions!$B$11,IF(G1563="Statewide",Assumptions!$B$12,Assumptions!$B$13))</x:f>
        <x:v>0.85</x:v>
      </x:c>
      <x:c r="I1563" s="21" t="n">
        <x:v>0.006030340148873936</x:v>
      </x:c>
      <x:c r="J1563" s="21" t="n">
        <x:v>0.05493262979364921</x:v>
      </x:c>
      <x:c r="K1563" s="21" t="n">
        <x:v>-0.024121360595496077</x:v>
      </x:c>
      <x:c r="L1563" s="36" t="n">
        <x:f>IF(Assumptions!$B$4=2030,I1563,IF(Assumptions!$B$4=2035,J1563,K1563))</x:f>
        <x:v>0.05493262979364921</x:v>
      </x:c>
      <x:c r="M1563" s="36" t="n">
        <x:f>Assumptions!$B$19</x:f>
        <x:v>-0.04739891965741583</x:v>
      </x:c>
      <x:c r="N1563" s="52" t="n">
        <x:f>H1563*L1563+(1-H1563)*M1563+O1563</x:f>
        <x:v>0.039582897375989454</x:v>
      </x:c>
      <x:c r="O1563" s="36" t="n">
        <x:f>Assumptions!$B$10</x:f>
        <x:v>0</x:v>
      </x:c>
      <x:c r="P1563" s="54" t="n">
        <x:f>E1563*(1+N1563)</x:f>
        <x:v>781.7663388267441</x:v>
      </x:c>
      <x:c r="Q1563" s="54" t="n">
        <x:f>P1563-E1563</x:f>
        <x:v>29.766338826744118</x:v>
      </x:c>
      <x:c r="R1563" s="16" t="str">
        <x:v>Yes</x:v>
      </x:c>
      <x:c r="S1563" s="56" t="n">
        <x:v>14268</x:v>
      </x:c>
      <x:c r="T1563" s="56" t="n">
        <x:v>6803</x:v>
      </x:c>
      <x:c r="U1563" s="40" t="n">
        <x:f>E1563*Assumptions!$B$8</x:f>
        <x:v>639.1999999999999</x:v>
      </x:c>
      <x:c r="V1563" s="40" t="n">
        <x:f>P1563*Assumptions!$B$8</x:f>
        <x:v>664.5013880027325</x:v>
      </x:c>
      <x:c r="W1563" s="54" t="n">
        <x:f>V1563-U1563</x:f>
        <x:v>25.30138800273255</x:v>
      </x:c>
      <x:c r="X1563" s="58" t="n">
        <x:f>IF(R1563="No","",W1563*S1563)</x:f>
        <x:v>361000.20402298804</x:v>
      </x:c>
      <x:c r="Y1563" s="58" t="n">
        <x:f>IF(R1563="No","",W1563*T1563*Assumptions!$B$9)</x:f>
        <x:v>51637.60277477686</x:v>
      </x:c>
      <x:c r="Z1563" s="58" t="n">
        <x:f>IF(R1563="No","",X1563-Y1563)</x:f>
        <x:v>309362.60124821117</x:v>
      </x:c>
      <x:c r="AA1563" s="58" t="n">
        <x:f>IF(R1563="No","",MAX(0,-Z1563))</x:f>
        <x:v>0</x:v>
      </x:c>
      <x:c r="AB1563" s="52" t="n">
        <x:f>IF(OR(R1563="No",U1563*S1563=0),"",AA1563/(U1563*S1563))</x:f>
        <x:v>0</x:v>
      </x:c>
      <x:c r="AC1563" s="54" t="n">
        <x:f>IF(OR(R1563="No",S1563-T1563*Assumptions!$B$9&lt;=0),"",AA1563/(Assumptions!$B$8*(S1563-T1563*Assumptions!$B$9)))</x:f>
        <x:v>0</x:v>
      </x:c>
      <x:c r="AD1563" s="52" t="n">
        <x:f>IF(OR(R1563="No",U1563*S1563=0),"",AA1563/(U1563*S1563))</x:f>
        <x:v>0</x:v>
      </x:c>
      <x:c r="AE1563" s="50" t="str">
        <x:f>IF(R1563="No","No finance data",IF(AB1563&gt;=10%,"Severe",IF(AB1563&gt;=5%,"High",IF(AB1563&gt;=2%,"Moderate","Low"))))</x:f>
        <x:v>Low</x:v>
      </x:c>
      <x:c r="AF1563" s="60" t="n">
        <x:v>45.483339</x:v>
      </x:c>
      <x:c r="AG1563" s="60" t="n">
        <x:v>-98.49129</x:v>
      </x:c>
      <x:c r="AH1563" s="44" t="str">
        <x:v>Undergraduate tuition-contribution proxy only; not an audited total institutional budget.</x:v>
      </x:c>
    </x:row>
    <x:row r="1564">
      <x:c r="A1564" s="16" t="n">
        <x:v>219347</x:v>
      </x:c>
      <x:c r="B1564" s="16" t="str">
        <x:v>South Dakota School of Mines and Technology</x:v>
      </x:c>
      <x:c r="C1564" s="16" t="str">
        <x:v>SD</x:v>
      </x:c>
      <x:c r="D1564" s="16" t="str">
        <x:v>Public</x:v>
      </x:c>
      <x:c r="E1564" s="34" t="n">
        <x:v>2674</x:v>
      </x:c>
      <x:c r="F1564" s="21" t="n">
        <x:v>0.8048</x:v>
      </x:c>
      <x:c r="G1564" s="16" t="str">
        <x:v>Regional</x:v>
      </x:c>
      <x:c r="H1564" s="36" t="n">
        <x:f>IF(G1564="National",Assumptions!$B$11,IF(G1564="Statewide",Assumptions!$B$12,Assumptions!$B$13))</x:f>
        <x:v>0.85</x:v>
      </x:c>
      <x:c r="I1564" s="21" t="n">
        <x:v>0.006030340148873936</x:v>
      </x:c>
      <x:c r="J1564" s="21" t="n">
        <x:v>0.05493262979364921</x:v>
      </x:c>
      <x:c r="K1564" s="21" t="n">
        <x:v>-0.024121360595496077</x:v>
      </x:c>
      <x:c r="L1564" s="36" t="n">
        <x:f>IF(Assumptions!$B$4=2030,I1564,IF(Assumptions!$B$4=2035,J1564,K1564))</x:f>
        <x:v>0.05493262979364921</x:v>
      </x:c>
      <x:c r="M1564" s="36" t="n">
        <x:f>Assumptions!$B$19</x:f>
        <x:v>-0.04739891965741583</x:v>
      </x:c>
      <x:c r="N1564" s="52" t="n">
        <x:f>H1564*L1564+(1-H1564)*M1564+O1564</x:f>
        <x:v>0.039582897375989454</x:v>
      </x:c>
      <x:c r="O1564" s="36" t="n">
        <x:f>Assumptions!$B$10</x:f>
        <x:v>0</x:v>
      </x:c>
      <x:c r="P1564" s="54" t="n">
        <x:f>E1564*(1+N1564)</x:f>
        <x:v>2779.844667583396</x:v>
      </x:c>
      <x:c r="Q1564" s="54" t="n">
        <x:f>P1564-E1564</x:f>
        <x:v>105.84466758339613</x:v>
      </x:c>
      <x:c r="R1564" s="16" t="str">
        <x:v>Yes</x:v>
      </x:c>
      <x:c r="S1564" s="56" t="n">
        <x:v>8714</x:v>
      </x:c>
      <x:c r="T1564" s="56" t="n">
        <x:v>11960</x:v>
      </x:c>
      <x:c r="U1564" s="40" t="n">
        <x:f>E1564*Assumptions!$B$8</x:f>
        <x:v>2272.9</x:v>
      </x:c>
      <x:c r="V1564" s="40" t="n">
        <x:f>P1564*Assumptions!$B$8</x:f>
        <x:v>2362.8679674458867</x:v>
      </x:c>
      <x:c r="W1564" s="54" t="n">
        <x:f>V1564-U1564</x:f>
        <x:v>89.96796744588664</x:v>
      </x:c>
      <x:c r="X1564" s="58" t="n">
        <x:f>IF(R1564="No","",W1564*S1564)</x:f>
        <x:v>783980.8683234563</x:v>
      </x:c>
      <x:c r="Y1564" s="58" t="n">
        <x:f>IF(R1564="No","",W1564*T1564*Assumptions!$B$9)</x:f>
        <x:v>322805.0671958412</x:v>
      </x:c>
      <x:c r="Z1564" s="58" t="n">
        <x:f>IF(R1564="No","",X1564-Y1564)</x:f>
        <x:v>461175.80112761504</x:v>
      </x:c>
      <x:c r="AA1564" s="58" t="n">
        <x:f>IF(R1564="No","",MAX(0,-Z1564))</x:f>
        <x:v>0</x:v>
      </x:c>
      <x:c r="AB1564" s="52" t="n">
        <x:f>IF(OR(R1564="No",U1564*S1564=0),"",AA1564/(U1564*S1564))</x:f>
        <x:v>0</x:v>
      </x:c>
      <x:c r="AC1564" s="54" t="n">
        <x:f>IF(OR(R1564="No",S1564-T1564*Assumptions!$B$9&lt;=0),"",AA1564/(Assumptions!$B$8*(S1564-T1564*Assumptions!$B$9)))</x:f>
        <x:v>0</x:v>
      </x:c>
      <x:c r="AD1564" s="52" t="n">
        <x:f>IF(OR(R1564="No",U1564*S1564=0),"",AA1564/(U1564*S1564))</x:f>
        <x:v>0</x:v>
      </x:c>
      <x:c r="AE1564" s="50" t="str">
        <x:f>IF(R1564="No","No finance data",IF(AB1564&gt;=10%,"Severe",IF(AB1564&gt;=5%,"High",IF(AB1564&gt;=2%,"Moderate","Low"))))</x:f>
        <x:v>Low</x:v>
      </x:c>
      <x:c r="AF1564" s="60" t="n">
        <x:v>44.075439</x:v>
      </x:c>
      <x:c r="AG1564" s="60" t="n">
        <x:v>-103.205753</x:v>
      </x:c>
      <x:c r="AH1564" s="44" t="str">
        <x:v>Undergraduate tuition-contribution proxy only; not an audited total institutional budget.</x:v>
      </x:c>
    </x:row>
    <x:row r="1565">
      <x:c r="A1565" s="16" t="n">
        <x:v>219356</x:v>
      </x:c>
      <x:c r="B1565" s="16" t="str">
        <x:v>South Dakota State University</x:v>
      </x:c>
      <x:c r="C1565" s="16" t="str">
        <x:v>SD</x:v>
      </x:c>
      <x:c r="D1565" s="16" t="str">
        <x:v>Public</x:v>
      </x:c>
      <x:c r="E1565" s="34" t="n">
        <x:v>9825</x:v>
      </x:c>
      <x:c r="F1565" s="21" t="n">
        <x:v>0.8743</x:v>
      </x:c>
      <x:c r="G1565" s="16" t="str">
        <x:v>Statewide</x:v>
      </x:c>
      <x:c r="H1565" s="36" t="n">
        <x:f>IF(G1565="National",Assumptions!$B$11,IF(G1565="Statewide",Assumptions!$B$12,Assumptions!$B$13))</x:f>
        <x:v>0.6</x:v>
      </x:c>
      <x:c r="I1565" s="21" t="n">
        <x:v>0.006030340148873936</x:v>
      </x:c>
      <x:c r="J1565" s="21" t="n">
        <x:v>0.05493262979364921</x:v>
      </x:c>
      <x:c r="K1565" s="21" t="n">
        <x:v>-0.024121360595496077</x:v>
      </x:c>
      <x:c r="L1565" s="36" t="n">
        <x:f>IF(Assumptions!$B$4=2030,I1565,IF(Assumptions!$B$4=2035,J1565,K1565))</x:f>
        <x:v>0.05493262979364921</x:v>
      </x:c>
      <x:c r="M1565" s="36" t="n">
        <x:f>Assumptions!$B$19</x:f>
        <x:v>-0.04739891965741583</x:v>
      </x:c>
      <x:c r="N1565" s="52" t="n">
        <x:f>H1565*L1565+(1-H1565)*M1565+O1565</x:f>
        <x:v>0.014000010013223194</x:v>
      </x:c>
      <x:c r="O1565" s="36" t="n">
        <x:f>Assumptions!$B$10</x:f>
        <x:v>0</x:v>
      </x:c>
      <x:c r="P1565" s="54" t="n">
        <x:f>E1565*(1+N1565)</x:f>
        <x:v>9962.550098379917</x:v>
      </x:c>
      <x:c r="Q1565" s="54" t="n">
        <x:f>P1565-E1565</x:f>
        <x:v>137.55009837991747</x:v>
      </x:c>
      <x:c r="R1565" s="16" t="str">
        <x:v>Yes</x:v>
      </x:c>
      <x:c r="S1565" s="56" t="n">
        <x:v>8708</x:v>
      </x:c>
      <x:c r="T1565" s="56" t="n">
        <x:v>8746</x:v>
      </x:c>
      <x:c r="U1565" s="40" t="n">
        <x:f>E1565*Assumptions!$B$8</x:f>
        <x:v>8351.25</x:v>
      </x:c>
      <x:c r="V1565" s="40" t="n">
        <x:f>P1565*Assumptions!$B$8</x:f>
        <x:v>8468.16758362293</x:v>
      </x:c>
      <x:c r="W1565" s="54" t="n">
        <x:f>V1565-U1565</x:f>
        <x:v>116.91758362292967</x:v>
      </x:c>
      <x:c r="X1565" s="58" t="n">
        <x:f>IF(R1565="No","",W1565*S1565)</x:f>
        <x:v>1018118.3181884716</x:v>
      </x:c>
      <x:c r="Y1565" s="58" t="n">
        <x:f>IF(R1565="No","",W1565*T1565*Assumptions!$B$9)</x:f>
        <x:v>306768.3559098429</x:v>
      </x:c>
      <x:c r="Z1565" s="58" t="n">
        <x:f>IF(R1565="No","",X1565-Y1565)</x:f>
        <x:v>711349.9622786287</x:v>
      </x:c>
      <x:c r="AA1565" s="58" t="n">
        <x:f>IF(R1565="No","",MAX(0,-Z1565))</x:f>
        <x:v>0</x:v>
      </x:c>
      <x:c r="AB1565" s="52" t="n">
        <x:f>IF(OR(R1565="No",U1565*S1565=0),"",AA1565/(U1565*S1565))</x:f>
        <x:v>0</x:v>
      </x:c>
      <x:c r="AC1565" s="54" t="n">
        <x:f>IF(OR(R1565="No",S1565-T1565*Assumptions!$B$9&lt;=0),"",AA1565/(Assumptions!$B$8*(S1565-T1565*Assumptions!$B$9)))</x:f>
        <x:v>0</x:v>
      </x:c>
      <x:c r="AD1565" s="52" t="n">
        <x:f>IF(OR(R1565="No",U1565*S1565=0),"",AA1565/(U1565*S1565))</x:f>
        <x:v>0</x:v>
      </x:c>
      <x:c r="AE1565" s="50" t="str">
        <x:f>IF(R1565="No","No finance data",IF(AB1565&gt;=10%,"Severe",IF(AB1565&gt;=5%,"High",IF(AB1565&gt;=2%,"Moderate","Low"))))</x:f>
        <x:v>Low</x:v>
      </x:c>
      <x:c r="AF1565" s="60" t="n">
        <x:v>44.317485</x:v>
      </x:c>
      <x:c r="AG1565" s="60" t="n">
        <x:v>-96.782139</x:v>
      </x:c>
      <x:c r="AH1565" s="44" t="str">
        <x:v>Undergraduate tuition-contribution proxy only; not an audited total institutional budget.</x:v>
      </x:c>
    </x:row>
    <x:row r="1566">
      <x:c r="A1566" s="16" t="n">
        <x:v>219383</x:v>
      </x:c>
      <x:c r="B1566" s="16" t="str">
        <x:v>University of Sioux Falls</x:v>
      </x:c>
      <x:c r="C1566" s="16" t="str">
        <x:v>SD</x:v>
      </x:c>
      <x:c r="D1566" s="16" t="str">
        <x:v>Private nonprofit</x:v>
      </x:c>
      <x:c r="E1566" s="34" t="n">
        <x:v>1185</x:v>
      </x:c>
      <x:c r="F1566" s="21" t="n">
        <x:v>0.7665</x:v>
      </x:c>
      <x:c r="G1566" s="16" t="str">
        <x:v>Regional</x:v>
      </x:c>
      <x:c r="H1566" s="36" t="n">
        <x:f>IF(G1566="National",Assumptions!$B$11,IF(G1566="Statewide",Assumptions!$B$12,Assumptions!$B$13))</x:f>
        <x:v>0.85</x:v>
      </x:c>
      <x:c r="I1566" s="21" t="n">
        <x:v>0.006030340148873936</x:v>
      </x:c>
      <x:c r="J1566" s="21" t="n">
        <x:v>0.05493262979364921</x:v>
      </x:c>
      <x:c r="K1566" s="21" t="n">
        <x:v>-0.024121360595496077</x:v>
      </x:c>
      <x:c r="L1566" s="36" t="n">
        <x:f>IF(Assumptions!$B$4=2030,I1566,IF(Assumptions!$B$4=2035,J1566,K1566))</x:f>
        <x:v>0.05493262979364921</x:v>
      </x:c>
      <x:c r="M1566" s="36" t="n">
        <x:f>Assumptions!$B$19</x:f>
        <x:v>-0.04739891965741583</x:v>
      </x:c>
      <x:c r="N1566" s="52" t="n">
        <x:f>H1566*L1566+(1-H1566)*M1566+O1566</x:f>
        <x:v>0.039582897375989454</x:v>
      </x:c>
      <x:c r="O1566" s="36" t="n">
        <x:f>Assumptions!$B$10</x:f>
        <x:v>0</x:v>
      </x:c>
      <x:c r="P1566" s="54" t="n">
        <x:f>E1566*(1+N1566)</x:f>
        <x:v>1231.9057333905475</x:v>
      </x:c>
      <x:c r="Q1566" s="54" t="n">
        <x:f>P1566-E1566</x:f>
        <x:v>46.90573339054754</x:v>
      </x:c>
      <x:c r="R1566" s="16" t="str">
        <x:v>Yes</x:v>
      </x:c>
      <x:c r="S1566" s="56" t="n">
        <x:v>11794</x:v>
      </x:c>
      <x:c r="T1566" s="56" t="n">
        <x:v>5359</x:v>
      </x:c>
      <x:c r="U1566" s="40" t="n">
        <x:f>E1566*Assumptions!$B$8</x:f>
        <x:v>1007.25</x:v>
      </x:c>
      <x:c r="V1566" s="40" t="n">
        <x:f>P1566*Assumptions!$B$8</x:f>
        <x:v>1047.1198733819654</x:v>
      </x:c>
      <x:c r="W1566" s="54" t="n">
        <x:f>V1566-U1566</x:f>
        <x:v>39.86987338196536</x:v>
      </x:c>
      <x:c r="X1566" s="58" t="n">
        <x:f>IF(R1566="No","",W1566*S1566)</x:f>
        <x:v>470225.2866668995</x:v>
      </x:c>
      <x:c r="Y1566" s="58" t="n">
        <x:f>IF(R1566="No","",W1566*T1566*Assumptions!$B$9)</x:f>
        <x:v>64098.79543618571</x:v>
      </x:c>
      <x:c r="Z1566" s="58" t="n">
        <x:f>IF(R1566="No","",X1566-Y1566)</x:f>
        <x:v>406126.4912307138</x:v>
      </x:c>
      <x:c r="AA1566" s="58" t="n">
        <x:f>IF(R1566="No","",MAX(0,-Z1566))</x:f>
        <x:v>0</x:v>
      </x:c>
      <x:c r="AB1566" s="52" t="n">
        <x:f>IF(OR(R1566="No",U1566*S1566=0),"",AA1566/(U1566*S1566))</x:f>
        <x:v>0</x:v>
      </x:c>
      <x:c r="AC1566" s="54" t="n">
        <x:f>IF(OR(R1566="No",S1566-T1566*Assumptions!$B$9&lt;=0),"",AA1566/(Assumptions!$B$8*(S1566-T1566*Assumptions!$B$9)))</x:f>
        <x:v>0</x:v>
      </x:c>
      <x:c r="AD1566" s="52" t="n">
        <x:f>IF(OR(R1566="No",U1566*S1566=0),"",AA1566/(U1566*S1566))</x:f>
        <x:v>0</x:v>
      </x:c>
      <x:c r="AE1566" s="50" t="str">
        <x:f>IF(R1566="No","No finance data",IF(AB1566&gt;=10%,"Severe",IF(AB1566&gt;=5%,"High",IF(AB1566&gt;=2%,"Moderate","Low"))))</x:f>
        <x:v>Low</x:v>
      </x:c>
      <x:c r="AF1566" s="60" t="n">
        <x:v>43.531574</x:v>
      </x:c>
      <x:c r="AG1566" s="60" t="n">
        <x:v>-96.738229</x:v>
      </x:c>
      <x:c r="AH1566" s="44" t="str">
        <x:v>Undergraduate tuition-contribution proxy only; not an audited total institutional budget.</x:v>
      </x:c>
    </x:row>
    <x:row r="1567">
      <x:c r="A1567" s="16" t="n">
        <x:v>219471</x:v>
      </x:c>
      <x:c r="B1567" s="16" t="str">
        <x:v>University of South Dakota</x:v>
      </x:c>
      <x:c r="C1567" s="16" t="str">
        <x:v>SD</x:v>
      </x:c>
      <x:c r="D1567" s="16" t="str">
        <x:v>Public</x:v>
      </x:c>
      <x:c r="E1567" s="34" t="n">
        <x:v>6205</x:v>
      </x:c>
      <x:c r="F1567" s="21" t="n">
        <x:v>0.8701</x:v>
      </x:c>
      <x:c r="G1567" s="16" t="str">
        <x:v>Statewide</x:v>
      </x:c>
      <x:c r="H1567" s="36" t="n">
        <x:f>IF(G1567="National",Assumptions!$B$11,IF(G1567="Statewide",Assumptions!$B$12,Assumptions!$B$13))</x:f>
        <x:v>0.6</x:v>
      </x:c>
      <x:c r="I1567" s="21" t="n">
        <x:v>0.006030340148873936</x:v>
      </x:c>
      <x:c r="J1567" s="21" t="n">
        <x:v>0.05493262979364921</x:v>
      </x:c>
      <x:c r="K1567" s="21" t="n">
        <x:v>-0.024121360595496077</x:v>
      </x:c>
      <x:c r="L1567" s="36" t="n">
        <x:f>IF(Assumptions!$B$4=2030,I1567,IF(Assumptions!$B$4=2035,J1567,K1567))</x:f>
        <x:v>0.05493262979364921</x:v>
      </x:c>
      <x:c r="M1567" s="36" t="n">
        <x:f>Assumptions!$B$19</x:f>
        <x:v>-0.04739891965741583</x:v>
      </x:c>
      <x:c r="N1567" s="52" t="n">
        <x:f>H1567*L1567+(1-H1567)*M1567+O1567</x:f>
        <x:v>0.014000010013223194</x:v>
      </x:c>
      <x:c r="O1567" s="36" t="n">
        <x:f>Assumptions!$B$10</x:f>
        <x:v>0</x:v>
      </x:c>
      <x:c r="P1567" s="54" t="n">
        <x:f>E1567*(1+N1567)</x:f>
        <x:v>6291.8700621320495</x:v>
      </x:c>
      <x:c r="Q1567" s="54" t="n">
        <x:f>P1567-E1567</x:f>
        <x:v>86.8700621320495</x:v>
      </x:c>
      <x:c r="R1567" s="16" t="str">
        <x:v>Yes</x:v>
      </x:c>
      <x:c r="S1567" s="56" t="n">
        <x:v>8289</x:v>
      </x:c>
      <x:c r="T1567" s="56" t="n">
        <x:v>10574</x:v>
      </x:c>
      <x:c r="U1567" s="40" t="n">
        <x:f>E1567*Assumptions!$B$8</x:f>
        <x:v>5274.25</x:v>
      </x:c>
      <x:c r="V1567" s="40" t="n">
        <x:f>P1567*Assumptions!$B$8</x:f>
        <x:v>5348.089552812242</x:v>
      </x:c>
      <x:c r="W1567" s="54" t="n">
        <x:f>V1567-U1567</x:f>
        <x:v>73.83955281224189</x:v>
      </x:c>
      <x:c r="X1567" s="58" t="n">
        <x:f>IF(R1567="No","",W1567*S1567)</x:f>
        <x:v>612056.0532606731</x:v>
      </x:c>
      <x:c r="Y1567" s="58" t="n">
        <x:f>IF(R1567="No","",W1567*T1567*Assumptions!$B$9)</x:f>
        <x:v>234233.82943099373</x:v>
      </x:c>
      <x:c r="Z1567" s="58" t="n">
        <x:f>IF(R1567="No","",X1567-Y1567)</x:f>
        <x:v>377822.2238296793</x:v>
      </x:c>
      <x:c r="AA1567" s="58" t="n">
        <x:f>IF(R1567="No","",MAX(0,-Z1567))</x:f>
        <x:v>0</x:v>
      </x:c>
      <x:c r="AB1567" s="52" t="n">
        <x:f>IF(OR(R1567="No",U1567*S1567=0),"",AA1567/(U1567*S1567))</x:f>
        <x:v>0</x:v>
      </x:c>
      <x:c r="AC1567" s="54" t="n">
        <x:f>IF(OR(R1567="No",S1567-T1567*Assumptions!$B$9&lt;=0),"",AA1567/(Assumptions!$B$8*(S1567-T1567*Assumptions!$B$9)))</x:f>
        <x:v>0</x:v>
      </x:c>
      <x:c r="AD1567" s="52" t="n">
        <x:f>IF(OR(R1567="No",U1567*S1567=0),"",AA1567/(U1567*S1567))</x:f>
        <x:v>0</x:v>
      </x:c>
      <x:c r="AE1567" s="50" t="str">
        <x:f>IF(R1567="No","No finance data",IF(AB1567&gt;=10%,"Severe",IF(AB1567&gt;=5%,"High",IF(AB1567&gt;=2%,"Moderate","Low"))))</x:f>
        <x:v>Low</x:v>
      </x:c>
      <x:c r="AF1567" s="60" t="n">
        <x:v>42.786019</x:v>
      </x:c>
      <x:c r="AG1567" s="60" t="n">
        <x:v>-96.925283</x:v>
      </x:c>
      <x:c r="AH1567" s="44" t="str">
        <x:v>Undergraduate tuition-contribution proxy only; not an audited total institutional budget.</x:v>
      </x:c>
    </x:row>
    <x:row r="1568">
      <x:c r="A1568" s="16" t="n">
        <x:v>219505</x:v>
      </x:c>
      <x:c r="B1568" s="16" t="str">
        <x:v>American Baptist College</x:v>
      </x:c>
      <x:c r="C1568" s="16" t="str">
        <x:v>TN</x:v>
      </x:c>
      <x:c r="D1568" s="16" t="str">
        <x:v>Private nonprofit</x:v>
      </x:c>
      <x:c r="E1568" s="34" t="n">
        <x:v>157</x:v>
      </x:c>
      <x:c r="F1568" s="21"/>
      <x:c r="G1568" s="16" t="str">
        <x:v>Regional</x:v>
      </x:c>
      <x:c r="H1568" s="36" t="n">
        <x:f>IF(G1568="National",Assumptions!$B$11,IF(G1568="Statewide",Assumptions!$B$12,Assumptions!$B$13))</x:f>
        <x:v>0.85</x:v>
      </x:c>
      <x:c r="I1568" s="21" t="n">
        <x:v>-0.0004403581579685012</x:v>
      </x:c>
      <x:c r="J1568" s="21" t="n">
        <x:v>0.06302459333591326</x:v>
      </x:c>
      <x:c r="K1568" s="21" t="n">
        <x:v>0.08700409666528786</x:v>
      </x:c>
      <x:c r="L1568" s="36" t="n">
        <x:f>IF(Assumptions!$B$4=2030,I1568,IF(Assumptions!$B$4=2035,J1568,K1568))</x:f>
        <x:v>0.06302459333591326</x:v>
      </x:c>
      <x:c r="M1568" s="36" t="n">
        <x:f>Assumptions!$B$19</x:f>
        <x:v>-0.04739891965741583</x:v>
      </x:c>
      <x:c r="N1568" s="52" t="n">
        <x:f>H1568*L1568+(1-H1568)*M1568+O1568</x:f>
        <x:v>0.04646106638691389</x:v>
      </x:c>
      <x:c r="O1568" s="36" t="n">
        <x:f>Assumptions!$B$10</x:f>
        <x:v>0</x:v>
      </x:c>
      <x:c r="P1568" s="54" t="n">
        <x:f>E1568*(1+N1568)</x:f>
        <x:v>164.29438742274547</x:v>
      </x:c>
      <x:c r="Q1568" s="54" t="n">
        <x:f>P1568-E1568</x:f>
        <x:v>7.294387422745473</x:v>
      </x:c>
      <x:c r="R1568" s="16" t="str">
        <x:v>No</x:v>
      </x:c>
      <x:c r="S1568" s="56"/>
      <x:c r="T1568" s="56"/>
      <x:c r="U1568" s="40" t="n">
        <x:f>E1568*Assumptions!$B$8</x:f>
        <x:v>133.45</x:v>
      </x:c>
      <x:c r="V1568" s="40" t="n">
        <x:f>P1568*Assumptions!$B$8</x:f>
        <x:v>139.65022930933364</x:v>
      </x:c>
      <x:c r="W1568" s="54" t="n">
        <x:f>V1568-U1568</x:f>
        <x:v>6.2002293093336505</x:v>
      </x:c>
      <x:c r="X1568" s="58" t="str">
        <x:f>IF(R1568="No","",W1568*S1568)</x:f>
      </x:c>
      <x:c r="Y1568" s="58" t="str">
        <x:f>IF(R1568="No","",W1568*T1568*Assumptions!$B$9)</x:f>
      </x:c>
      <x:c r="Z1568" s="58" t="str">
        <x:f>IF(R1568="No","",X1568-Y1568)</x:f>
      </x:c>
      <x:c r="AA1568" s="58" t="str">
        <x:f>IF(R1568="No","",MAX(0,-Z1568))</x:f>
      </x:c>
      <x:c r="AB1568" s="52" t="str">
        <x:f>IF(OR(R1568="No",U1568*S1568=0),"",AA1568/(U1568*S1568))</x:f>
      </x:c>
      <x:c r="AC1568" s="54" t="str">
        <x:f>IF(OR(R1568="No",S1568-T1568*Assumptions!$B$9&lt;=0),"",AA1568/(Assumptions!$B$8*(S1568-T1568*Assumptions!$B$9)))</x:f>
      </x:c>
      <x:c r="AD1568" s="52" t="str">
        <x:f>IF(OR(R1568="No",U1568*S1568=0),"",AA1568/(U1568*S1568))</x:f>
      </x:c>
      <x:c r="AE1568" s="50" t="str">
        <x:f>IF(R1568="No","No finance data",IF(AB1568&gt;=10%,"Severe",IF(AB1568&gt;=5%,"High",IF(AB1568&gt;=2%,"Moderate","Low"))))</x:f>
        <x:v>No finance data</x:v>
      </x:c>
      <x:c r="AF1568" s="60"/>
      <x:c r="AG1568" s="60"/>
      <x:c r="AH1568" s="44" t="str">
        <x:v>Undergraduate tuition-contribution proxy only; not an audited total institutional budget.</x:v>
      </x:c>
    </x:row>
    <x:row r="1569">
      <x:c r="A1569" s="16" t="n">
        <x:v>219602</x:v>
      </x:c>
      <x:c r="B1569" s="16" t="str">
        <x:v>Austin Peay State University</x:v>
      </x:c>
      <x:c r="C1569" s="16" t="str">
        <x:v>TN</x:v>
      </x:c>
      <x:c r="D1569" s="16" t="str">
        <x:v>Public</x:v>
      </x:c>
      <x:c r="E1569" s="34" t="n">
        <x:v>8915</x:v>
      </x:c>
      <x:c r="F1569" s="21" t="n">
        <x:v>0.9343</x:v>
      </x:c>
      <x:c r="G1569" s="16" t="str">
        <x:v>Statewide</x:v>
      </x:c>
      <x:c r="H1569" s="36" t="n">
        <x:f>IF(G1569="National",Assumptions!$B$11,IF(G1569="Statewide",Assumptions!$B$12,Assumptions!$B$13))</x:f>
        <x:v>0.6</x:v>
      </x:c>
      <x:c r="I1569" s="21" t="n">
        <x:v>-0.0004403581579685012</x:v>
      </x:c>
      <x:c r="J1569" s="21" t="n">
        <x:v>0.06302459333591326</x:v>
      </x:c>
      <x:c r="K1569" s="21" t="n">
        <x:v>0.08700409666528786</x:v>
      </x:c>
      <x:c r="L1569" s="36" t="n">
        <x:f>IF(Assumptions!$B$4=2030,I1569,IF(Assumptions!$B$4=2035,J1569,K1569))</x:f>
        <x:v>0.06302459333591326</x:v>
      </x:c>
      <x:c r="M1569" s="36" t="n">
        <x:f>Assumptions!$B$19</x:f>
        <x:v>-0.04739891965741583</x:v>
      </x:c>
      <x:c r="N1569" s="52" t="n">
        <x:f>H1569*L1569+(1-H1569)*M1569+O1569</x:f>
        <x:v>0.01885518813858162</x:v>
      </x:c>
      <x:c r="O1569" s="36" t="n">
        <x:f>Assumptions!$B$10</x:f>
        <x:v>0</x:v>
      </x:c>
      <x:c r="P1569" s="54" t="n">
        <x:f>E1569*(1+N1569)</x:f>
        <x:v>9083.094002255455</x:v>
      </x:c>
      <x:c r="Q1569" s="54" t="n">
        <x:f>P1569-E1569</x:f>
        <x:v>168.09400225545505</x:v>
      </x:c>
      <x:c r="R1569" s="16" t="str">
        <x:v>Yes</x:v>
      </x:c>
      <x:c r="S1569" s="56" t="n">
        <x:v>6097</x:v>
      </x:c>
      <x:c r="T1569" s="56" t="n">
        <x:v>8701</x:v>
      </x:c>
      <x:c r="U1569" s="40" t="n">
        <x:f>E1569*Assumptions!$B$8</x:f>
        <x:v>7577.75</x:v>
      </x:c>
      <x:c r="V1569" s="40" t="n">
        <x:f>P1569*Assumptions!$B$8</x:f>
        <x:v>7720.6299019171365</x:v>
      </x:c>
      <x:c r="W1569" s="54" t="n">
        <x:f>V1569-U1569</x:f>
        <x:v>142.87990191713652</x:v>
      </x:c>
      <x:c r="X1569" s="58" t="n">
        <x:f>IF(R1569="No","",W1569*S1569)</x:f>
        <x:v>871138.7619887814</x:v>
      </x:c>
      <x:c r="Y1569" s="58" t="n">
        <x:f>IF(R1569="No","",W1569*T1569*Assumptions!$B$9)</x:f>
        <x:v>372959.4079743015</x:v>
      </x:c>
      <x:c r="Z1569" s="58" t="n">
        <x:f>IF(R1569="No","",X1569-Y1569)</x:f>
        <x:v>498179.3540144799</x:v>
      </x:c>
      <x:c r="AA1569" s="58" t="n">
        <x:f>IF(R1569="No","",MAX(0,-Z1569))</x:f>
        <x:v>0</x:v>
      </x:c>
      <x:c r="AB1569" s="52" t="n">
        <x:f>IF(OR(R1569="No",U1569*S1569=0),"",AA1569/(U1569*S1569))</x:f>
        <x:v>0</x:v>
      </x:c>
      <x:c r="AC1569" s="54" t="n">
        <x:f>IF(OR(R1569="No",S1569-T1569*Assumptions!$B$9&lt;=0),"",AA1569/(Assumptions!$B$8*(S1569-T1569*Assumptions!$B$9)))</x:f>
        <x:v>0</x:v>
      </x:c>
      <x:c r="AD1569" s="52" t="n">
        <x:f>IF(OR(R1569="No",U1569*S1569=0),"",AA1569/(U1569*S1569))</x:f>
        <x:v>0</x:v>
      </x:c>
      <x:c r="AE1569" s="50" t="str">
        <x:f>IF(R1569="No","No finance data",IF(AB1569&gt;=10%,"Severe",IF(AB1569&gt;=5%,"High",IF(AB1569&gt;=2%,"Moderate","Low"))))</x:f>
        <x:v>Low</x:v>
      </x:c>
      <x:c r="AF1569" s="60" t="n">
        <x:v>36.533319</x:v>
      </x:c>
      <x:c r="AG1569" s="60" t="n">
        <x:v>-87.354081</x:v>
      </x:c>
      <x:c r="AH1569" s="44" t="str">
        <x:v>Undergraduate tuition-contribution proxy only; not an audited total institutional budget.</x:v>
      </x:c>
    </x:row>
    <x:row r="1570">
      <x:c r="A1570" s="16" t="n">
        <x:v>219639</x:v>
      </x:c>
      <x:c r="B1570" s="16" t="str">
        <x:v>Baptist Memorial College of Health Sciences</x:v>
      </x:c>
      <x:c r="C1570" s="16" t="str">
        <x:v>TN</x:v>
      </x:c>
      <x:c r="D1570" s="16" t="str">
        <x:v>Private nonprofit</x:v>
      </x:c>
      <x:c r="E1570" s="34" t="n">
        <x:v>1078</x:v>
      </x:c>
      <x:c r="F1570" s="21" t="n">
        <x:v>0.3492</x:v>
      </x:c>
      <x:c r="G1570" s="16" t="str">
        <x:v>National</x:v>
      </x:c>
      <x:c r="H1570" s="36" t="n">
        <x:f>IF(G1570="National",Assumptions!$B$11,IF(G1570="Statewide",Assumptions!$B$12,Assumptions!$B$13))</x:f>
        <x:v>0.25</x:v>
      </x:c>
      <x:c r="I1570" s="21" t="n">
        <x:v>-0.0004403581579685012</x:v>
      </x:c>
      <x:c r="J1570" s="21" t="n">
        <x:v>0.06302459333591326</x:v>
      </x:c>
      <x:c r="K1570" s="21" t="n">
        <x:v>0.08700409666528786</x:v>
      </x:c>
      <x:c r="L1570" s="36" t="n">
        <x:f>IF(Assumptions!$B$4=2030,I1570,IF(Assumptions!$B$4=2035,J1570,K1570))</x:f>
        <x:v>0.06302459333591326</x:v>
      </x:c>
      <x:c r="M1570" s="36" t="n">
        <x:f>Assumptions!$B$19</x:f>
        <x:v>-0.04739891965741583</x:v>
      </x:c>
      <x:c r="N1570" s="52" t="n">
        <x:f>H1570*L1570+(1-H1570)*M1570+O1570</x:f>
        <x:v>-0.019793041409083556</x:v>
      </x:c>
      <x:c r="O1570" s="36" t="n">
        <x:f>Assumptions!$B$10</x:f>
        <x:v>0</x:v>
      </x:c>
      <x:c r="P1570" s="54" t="n">
        <x:f>E1570*(1+N1570)</x:f>
        <x:v>1056.6631013610079</x:v>
      </x:c>
      <x:c r="Q1570" s="54" t="n">
        <x:f>P1570-E1570</x:f>
        <x:v>-21.336898638992125</x:v>
      </x:c>
      <x:c r="R1570" s="16" t="str">
        <x:v>Yes</x:v>
      </x:c>
      <x:c r="S1570" s="56" t="n">
        <x:v>15305</x:v>
      </x:c>
      <x:c r="T1570" s="56" t="n">
        <x:v>10572</x:v>
      </x:c>
      <x:c r="U1570" s="40" t="n">
        <x:f>E1570*Assumptions!$B$8</x:f>
        <x:v>916.3</x:v>
      </x:c>
      <x:c r="V1570" s="40" t="n">
        <x:f>P1570*Assumptions!$B$8</x:f>
        <x:v>898.1636361568567</x:v>
      </x:c>
      <x:c r="W1570" s="54" t="n">
        <x:f>V1570-U1570</x:f>
        <x:v>-18.136363843143272</x:v>
      </x:c>
      <x:c r="X1570" s="58" t="n">
        <x:f>IF(R1570="No","",W1570*S1570)</x:f>
        <x:v>-277577.04861930775</x:v>
      </x:c>
      <x:c r="Y1570" s="58" t="n">
        <x:f>IF(R1570="No","",W1570*T1570*Assumptions!$B$9)</x:f>
        <x:v>-57521.291564913205</x:v>
      </x:c>
      <x:c r="Z1570" s="58" t="n">
        <x:f>IF(R1570="No","",X1570-Y1570)</x:f>
        <x:v>-220055.75705439455</x:v>
      </x:c>
      <x:c r="AA1570" s="58" t="n">
        <x:f>IF(R1570="No","",MAX(0,-Z1570))</x:f>
        <x:v>220055.75705439455</x:v>
      </x:c>
      <x:c r="AB1570" s="52" t="n">
        <x:f>IF(OR(R1570="No",U1570*S1570=0),"",AA1570/(U1570*S1570))</x:f>
        <x:v>0.01569140076007674</x:v>
      </x:c>
      <x:c r="AC1570" s="54" t="n">
        <x:f>IF(OR(R1570="No",S1570-T1570*Assumptions!$B$9&lt;=0),"",AA1570/(Assumptions!$B$8*(S1570-T1570*Assumptions!$B$9)))</x:f>
        <x:v>21.336898638992082</x:v>
      </x:c>
      <x:c r="AD1570" s="52" t="n">
        <x:f>IF(OR(R1570="No",U1570*S1570=0),"",AA1570/(U1570*S1570))</x:f>
        <x:v>0.01569140076007674</x:v>
      </x:c>
      <x:c r="AE1570" s="50" t="str">
        <x:f>IF(R1570="No","No finance data",IF(AB1570&gt;=10%,"Severe",IF(AB1570&gt;=5%,"High",IF(AB1570&gt;=2%,"Moderate","Low"))))</x:f>
        <x:v>Low</x:v>
      </x:c>
      <x:c r="AF1570" s="60" t="n">
        <x:v>35.138415</x:v>
      </x:c>
      <x:c r="AG1570" s="60" t="n">
        <x:v>-90.027501</x:v>
      </x:c>
      <x:c r="AH1570" s="44" t="str">
        <x:v>Undergraduate tuition-contribution proxy only; not an audited total institutional budget.</x:v>
      </x:c>
    </x:row>
    <x:row r="1571">
      <x:c r="A1571" s="16" t="n">
        <x:v>219709</x:v>
      </x:c>
      <x:c r="B1571" s="16" t="str">
        <x:v>Belmont University</x:v>
      </x:c>
      <x:c r="C1571" s="16" t="str">
        <x:v>TN</x:v>
      </x:c>
      <x:c r="D1571" s="16" t="str">
        <x:v>Private nonprofit</x:v>
      </x:c>
      <x:c r="E1571" s="34" t="n">
        <x:v>5933</x:v>
      </x:c>
      <x:c r="F1571" s="21" t="n">
        <x:v>0.8808</x:v>
      </x:c>
      <x:c r="G1571" s="16" t="str">
        <x:v>Regional</x:v>
      </x:c>
      <x:c r="H1571" s="36" t="n">
        <x:f>IF(G1571="National",Assumptions!$B$11,IF(G1571="Statewide",Assumptions!$B$12,Assumptions!$B$13))</x:f>
        <x:v>0.85</x:v>
      </x:c>
      <x:c r="I1571" s="21" t="n">
        <x:v>-0.0004403581579685012</x:v>
      </x:c>
      <x:c r="J1571" s="21" t="n">
        <x:v>0.06302459333591326</x:v>
      </x:c>
      <x:c r="K1571" s="21" t="n">
        <x:v>0.08700409666528786</x:v>
      </x:c>
      <x:c r="L1571" s="36" t="n">
        <x:f>IF(Assumptions!$B$4=2030,I1571,IF(Assumptions!$B$4=2035,J1571,K1571))</x:f>
        <x:v>0.06302459333591326</x:v>
      </x:c>
      <x:c r="M1571" s="36" t="n">
        <x:f>Assumptions!$B$19</x:f>
        <x:v>-0.04739891965741583</x:v>
      </x:c>
      <x:c r="N1571" s="52" t="n">
        <x:f>H1571*L1571+(1-H1571)*M1571+O1571</x:f>
        <x:v>0.04646106638691389</x:v>
      </x:c>
      <x:c r="O1571" s="36" t="n">
        <x:f>Assumptions!$B$10</x:f>
        <x:v>0</x:v>
      </x:c>
      <x:c r="P1571" s="54" t="n">
        <x:f>E1571*(1+N1571)</x:f>
        <x:v>6208.653506873559</x:v>
      </x:c>
      <x:c r="Q1571" s="54" t="n">
        <x:f>P1571-E1571</x:f>
        <x:v>275.6535068735593</x:v>
      </x:c>
      <x:c r="R1571" s="16" t="str">
        <x:v>Yes</x:v>
      </x:c>
      <x:c r="S1571" s="56" t="n">
        <x:v>25706</x:v>
      </x:c>
      <x:c r="T1571" s="56" t="n">
        <x:v>10072</x:v>
      </x:c>
      <x:c r="U1571" s="40" t="n">
        <x:f>E1571*Assumptions!$B$8</x:f>
        <x:v>5043.05</x:v>
      </x:c>
      <x:c r="V1571" s="40" t="n">
        <x:f>P1571*Assumptions!$B$8</x:f>
        <x:v>5277.355480842525</x:v>
      </x:c>
      <x:c r="W1571" s="54" t="n">
        <x:f>V1571-U1571</x:f>
        <x:v>234.30548084252496</x:v>
      </x:c>
      <x:c r="X1571" s="58" t="n">
        <x:f>IF(R1571="No","",W1571*S1571)</x:f>
        <x:v>6023056.690537946</x:v>
      </x:c>
      <x:c r="Y1571" s="58" t="n">
        <x:f>IF(R1571="No","",W1571*T1571*Assumptions!$B$9)</x:f>
        <x:v>707977.4409137734</x:v>
      </x:c>
      <x:c r="Z1571" s="58" t="n">
        <x:f>IF(R1571="No","",X1571-Y1571)</x:f>
        <x:v>5315079.249624173</x:v>
      </x:c>
      <x:c r="AA1571" s="58" t="n">
        <x:f>IF(R1571="No","",MAX(0,-Z1571))</x:f>
        <x:v>0</x:v>
      </x:c>
      <x:c r="AB1571" s="52" t="n">
        <x:f>IF(OR(R1571="No",U1571*S1571=0),"",AA1571/(U1571*S1571))</x:f>
        <x:v>0</x:v>
      </x:c>
      <x:c r="AC1571" s="54" t="n">
        <x:f>IF(OR(R1571="No",S1571-T1571*Assumptions!$B$9&lt;=0),"",AA1571/(Assumptions!$B$8*(S1571-T1571*Assumptions!$B$9)))</x:f>
        <x:v>0</x:v>
      </x:c>
      <x:c r="AD1571" s="52" t="n">
        <x:f>IF(OR(R1571="No",U1571*S1571=0),"",AA1571/(U1571*S1571))</x:f>
        <x:v>0</x:v>
      </x:c>
      <x:c r="AE1571" s="50" t="str">
        <x:f>IF(R1571="No","No finance data",IF(AB1571&gt;=10%,"Severe",IF(AB1571&gt;=5%,"High",IF(AB1571&gt;=2%,"Moderate","Low"))))</x:f>
        <x:v>Low</x:v>
      </x:c>
      <x:c r="AF1571" s="60" t="n">
        <x:v>36.135589</x:v>
      </x:c>
      <x:c r="AG1571" s="60" t="n">
        <x:v>-86.794807</x:v>
      </x:c>
      <x:c r="AH1571" s="44" t="str">
        <x:v>Undergraduate tuition-contribution proxy only; not an audited total institutional budget.</x:v>
      </x:c>
    </x:row>
    <x:row r="1572">
      <x:c r="A1572" s="16" t="n">
        <x:v>219718</x:v>
      </x:c>
      <x:c r="B1572" s="16" t="str">
        <x:v>Bethel University</x:v>
      </x:c>
      <x:c r="C1572" s="16" t="str">
        <x:v>TN</x:v>
      </x:c>
      <x:c r="D1572" s="16" t="str">
        <x:v>Private nonprofit</x:v>
      </x:c>
      <x:c r="E1572" s="34" t="n">
        <x:v>4363</x:v>
      </x:c>
      <x:c r="F1572" s="21" t="n">
        <x:v>0.4995</x:v>
      </x:c>
      <x:c r="G1572" s="16" t="str">
        <x:v>Regional</x:v>
      </x:c>
      <x:c r="H1572" s="36" t="n">
        <x:f>IF(G1572="National",Assumptions!$B$11,IF(G1572="Statewide",Assumptions!$B$12,Assumptions!$B$13))</x:f>
        <x:v>0.85</x:v>
      </x:c>
      <x:c r="I1572" s="21" t="n">
        <x:v>-0.0004403581579685012</x:v>
      </x:c>
      <x:c r="J1572" s="21" t="n">
        <x:v>0.06302459333591326</x:v>
      </x:c>
      <x:c r="K1572" s="21" t="n">
        <x:v>0.08700409666528786</x:v>
      </x:c>
      <x:c r="L1572" s="36" t="n">
        <x:f>IF(Assumptions!$B$4=2030,I1572,IF(Assumptions!$B$4=2035,J1572,K1572))</x:f>
        <x:v>0.06302459333591326</x:v>
      </x:c>
      <x:c r="M1572" s="36" t="n">
        <x:f>Assumptions!$B$19</x:f>
        <x:v>-0.04739891965741583</x:v>
      </x:c>
      <x:c r="N1572" s="52" t="n">
        <x:f>H1572*L1572+(1-H1572)*M1572+O1572</x:f>
        <x:v>0.04646106638691389</x:v>
      </x:c>
      <x:c r="O1572" s="36" t="n">
        <x:f>Assumptions!$B$10</x:f>
        <x:v>0</x:v>
      </x:c>
      <x:c r="P1572" s="54" t="n">
        <x:f>E1572*(1+N1572)</x:f>
        <x:v>4565.709632646105</x:v>
      </x:c>
      <x:c r="Q1572" s="54" t="n">
        <x:f>P1572-E1572</x:f>
        <x:v>202.7096326461051</x:v>
      </x:c>
      <x:c r="R1572" s="16" t="str">
        <x:v>Yes</x:v>
      </x:c>
      <x:c r="S1572" s="56" t="n">
        <x:v>15304</x:v>
      </x:c>
      <x:c r="T1572" s="56" t="n">
        <x:v>9623</x:v>
      </x:c>
      <x:c r="U1572" s="40" t="n">
        <x:f>E1572*Assumptions!$B$8</x:f>
        <x:v>3708.5499999999997</x:v>
      </x:c>
      <x:c r="V1572" s="40" t="n">
        <x:f>P1572*Assumptions!$B$8</x:f>
        <x:v>3880.853187749189</x:v>
      </x:c>
      <x:c r="W1572" s="54" t="n">
        <x:f>V1572-U1572</x:f>
        <x:v>172.30318774918942</x:v>
      </x:c>
      <x:c r="X1572" s="58" t="n">
        <x:f>IF(R1572="No","",W1572*S1572)</x:f>
        <x:v>2636927.985313595</x:v>
      </x:c>
      <x:c r="Y1572" s="58" t="n">
        <x:f>IF(R1572="No","",W1572*T1572*Assumptions!$B$9)</x:f>
        <x:v>497422.0727131349</x:v>
      </x:c>
      <x:c r="Z1572" s="58" t="n">
        <x:f>IF(R1572="No","",X1572-Y1572)</x:f>
        <x:v>2139505.91260046</x:v>
      </x:c>
      <x:c r="AA1572" s="58" t="n">
        <x:f>IF(R1572="No","",MAX(0,-Z1572))</x:f>
        <x:v>0</x:v>
      </x:c>
      <x:c r="AB1572" s="52" t="n">
        <x:f>IF(OR(R1572="No",U1572*S1572=0),"",AA1572/(U1572*S1572))</x:f>
        <x:v>0</x:v>
      </x:c>
      <x:c r="AC1572" s="54" t="n">
        <x:f>IF(OR(R1572="No",S1572-T1572*Assumptions!$B$9&lt;=0),"",AA1572/(Assumptions!$B$8*(S1572-T1572*Assumptions!$B$9)))</x:f>
        <x:v>0</x:v>
      </x:c>
      <x:c r="AD1572" s="52" t="n">
        <x:f>IF(OR(R1572="No",U1572*S1572=0),"",AA1572/(U1572*S1572))</x:f>
        <x:v>0</x:v>
      </x:c>
      <x:c r="AE1572" s="50" t="str">
        <x:f>IF(R1572="No","No finance data",IF(AB1572&gt;=10%,"Severe",IF(AB1572&gt;=5%,"High",IF(AB1572&gt;=2%,"Moderate","Low"))))</x:f>
        <x:v>Low</x:v>
      </x:c>
      <x:c r="AF1572" s="60" t="n">
        <x:v>36.137848</x:v>
      </x:c>
      <x:c r="AG1572" s="60" t="n">
        <x:v>-88.516762</x:v>
      </x:c>
      <x:c r="AH1572" s="44" t="str">
        <x:v>Undergraduate tuition-contribution proxy only; not an audited total institutional budget.</x:v>
      </x:c>
    </x:row>
    <x:row r="1573">
      <x:c r="A1573" s="16" t="n">
        <x:v>219790</x:v>
      </x:c>
      <x:c r="B1573" s="16" t="str">
        <x:v>Bryan College-Dayton</x:v>
      </x:c>
      <x:c r="C1573" s="16" t="str">
        <x:v>TN</x:v>
      </x:c>
      <x:c r="D1573" s="16" t="str">
        <x:v>Private nonprofit</x:v>
      </x:c>
      <x:c r="E1573" s="34" t="n">
        <x:v>968</x:v>
      </x:c>
      <x:c r="F1573" s="21"/>
      <x:c r="G1573" s="16" t="str">
        <x:v>Regional</x:v>
      </x:c>
      <x:c r="H1573" s="36" t="n">
        <x:f>IF(G1573="National",Assumptions!$B$11,IF(G1573="Statewide",Assumptions!$B$12,Assumptions!$B$13))</x:f>
        <x:v>0.85</x:v>
      </x:c>
      <x:c r="I1573" s="21" t="n">
        <x:v>-0.0004403581579685012</x:v>
      </x:c>
      <x:c r="J1573" s="21" t="n">
        <x:v>0.06302459333591326</x:v>
      </x:c>
      <x:c r="K1573" s="21" t="n">
        <x:v>0.08700409666528786</x:v>
      </x:c>
      <x:c r="L1573" s="36" t="n">
        <x:f>IF(Assumptions!$B$4=2030,I1573,IF(Assumptions!$B$4=2035,J1573,K1573))</x:f>
        <x:v>0.06302459333591326</x:v>
      </x:c>
      <x:c r="M1573" s="36" t="n">
        <x:f>Assumptions!$B$19</x:f>
        <x:v>-0.04739891965741583</x:v>
      </x:c>
      <x:c r="N1573" s="52" t="n">
        <x:f>H1573*L1573+(1-H1573)*M1573+O1573</x:f>
        <x:v>0.04646106638691389</x:v>
      </x:c>
      <x:c r="O1573" s="36" t="n">
        <x:f>Assumptions!$B$10</x:f>
        <x:v>0</x:v>
      </x:c>
      <x:c r="P1573" s="54" t="n">
        <x:f>E1573*(1+N1573)</x:f>
        <x:v>1012.9743122625326</x:v>
      </x:c>
      <x:c r="Q1573" s="54" t="n">
        <x:f>P1573-E1573</x:f>
        <x:v>44.974312262532635</x:v>
      </x:c>
      <x:c r="R1573" s="16" t="str">
        <x:v>Yes</x:v>
      </x:c>
      <x:c r="S1573" s="56" t="n">
        <x:v>9497</x:v>
      </x:c>
      <x:c r="T1573" s="56" t="n">
        <x:v>4817</x:v>
      </x:c>
      <x:c r="U1573" s="40" t="n">
        <x:f>E1573*Assumptions!$B$8</x:f>
        <x:v>822.8</x:v>
      </x:c>
      <x:c r="V1573" s="40" t="n">
        <x:f>P1573*Assumptions!$B$8</x:f>
        <x:v>861.0281654231527</x:v>
      </x:c>
      <x:c r="W1573" s="54" t="n">
        <x:f>V1573-U1573</x:f>
        <x:v>38.228165423152745</x:v>
      </x:c>
      <x:c r="X1573" s="58" t="n">
        <x:f>IF(R1573="No","",W1573*S1573)</x:f>
        <x:v>363052.8870236816</x:v>
      </x:c>
      <x:c r="Y1573" s="58" t="n">
        <x:f>IF(R1573="No","",W1573*T1573*Assumptions!$B$9)</x:f>
        <x:v>55243.521852998034</x:v>
      </x:c>
      <x:c r="Z1573" s="58" t="n">
        <x:f>IF(R1573="No","",X1573-Y1573)</x:f>
        <x:v>307809.3651706836</x:v>
      </x:c>
      <x:c r="AA1573" s="58" t="n">
        <x:f>IF(R1573="No","",MAX(0,-Z1573))</x:f>
        <x:v>0</x:v>
      </x:c>
      <x:c r="AB1573" s="52" t="n">
        <x:f>IF(OR(R1573="No",U1573*S1573=0),"",AA1573/(U1573*S1573))</x:f>
        <x:v>0</x:v>
      </x:c>
      <x:c r="AC1573" s="54" t="n">
        <x:f>IF(OR(R1573="No",S1573-T1573*Assumptions!$B$9&lt;=0),"",AA1573/(Assumptions!$B$8*(S1573-T1573*Assumptions!$B$9)))</x:f>
        <x:v>0</x:v>
      </x:c>
      <x:c r="AD1573" s="52" t="n">
        <x:f>IF(OR(R1573="No",U1573*S1573=0),"",AA1573/(U1573*S1573))</x:f>
        <x:v>0</x:v>
      </x:c>
      <x:c r="AE1573" s="50" t="str">
        <x:f>IF(R1573="No","No finance data",IF(AB1573&gt;=10%,"Severe",IF(AB1573&gt;=5%,"High",IF(AB1573&gt;=2%,"Moderate","Low"))))</x:f>
        <x:v>Low</x:v>
      </x:c>
      <x:c r="AF1573" s="60" t="n">
        <x:v>35.497209</x:v>
      </x:c>
      <x:c r="AG1573" s="60" t="n">
        <x:v>-84.999552</x:v>
      </x:c>
      <x:c r="AH1573" s="44" t="str">
        <x:v>Undergraduate tuition-contribution proxy only; not an audited total institutional budget.</x:v>
      </x:c>
    </x:row>
    <x:row r="1574">
      <x:c r="A1574" s="16" t="n">
        <x:v>219806</x:v>
      </x:c>
      <x:c r="B1574" s="16" t="str">
        <x:v>Carson-Newman University</x:v>
      </x:c>
      <x:c r="C1574" s="16" t="str">
        <x:v>TN</x:v>
      </x:c>
      <x:c r="D1574" s="16" t="str">
        <x:v>Private nonprofit</x:v>
      </x:c>
      <x:c r="E1574" s="34" t="n">
        <x:v>1711</x:v>
      </x:c>
      <x:c r="F1574" s="21" t="n">
        <x:v>0.7887</x:v>
      </x:c>
      <x:c r="G1574" s="16" t="str">
        <x:v>Regional</x:v>
      </x:c>
      <x:c r="H1574" s="36" t="n">
        <x:f>IF(G1574="National",Assumptions!$B$11,IF(G1574="Statewide",Assumptions!$B$12,Assumptions!$B$13))</x:f>
        <x:v>0.85</x:v>
      </x:c>
      <x:c r="I1574" s="21" t="n">
        <x:v>-0.0004403581579685012</x:v>
      </x:c>
      <x:c r="J1574" s="21" t="n">
        <x:v>0.06302459333591326</x:v>
      </x:c>
      <x:c r="K1574" s="21" t="n">
        <x:v>0.08700409666528786</x:v>
      </x:c>
      <x:c r="L1574" s="36" t="n">
        <x:f>IF(Assumptions!$B$4=2030,I1574,IF(Assumptions!$B$4=2035,J1574,K1574))</x:f>
        <x:v>0.06302459333591326</x:v>
      </x:c>
      <x:c r="M1574" s="36" t="n">
        <x:f>Assumptions!$B$19</x:f>
        <x:v>-0.04739891965741583</x:v>
      </x:c>
      <x:c r="N1574" s="52" t="n">
        <x:f>H1574*L1574+(1-H1574)*M1574+O1574</x:f>
        <x:v>0.04646106638691389</x:v>
      </x:c>
      <x:c r="O1574" s="36" t="n">
        <x:f>Assumptions!$B$10</x:f>
        <x:v>0</x:v>
      </x:c>
      <x:c r="P1574" s="54" t="n">
        <x:f>E1574*(1+N1574)</x:f>
        <x:v>1790.4948845880097</x:v>
      </x:c>
      <x:c r="Q1574" s="54" t="n">
        <x:f>P1574-E1574</x:f>
        <x:v>79.49488458800965</x:v>
      </x:c>
      <x:c r="R1574" s="16" t="str">
        <x:v>Yes</x:v>
      </x:c>
      <x:c r="S1574" s="56" t="n">
        <x:v>10438</x:v>
      </x:c>
      <x:c r="T1574" s="56" t="n">
        <x:v>5070</x:v>
      </x:c>
      <x:c r="U1574" s="40" t="n">
        <x:f>E1574*Assumptions!$B$8</x:f>
        <x:v>1454.35</x:v>
      </x:c>
      <x:c r="V1574" s="40" t="n">
        <x:f>P1574*Assumptions!$B$8</x:f>
        <x:v>1521.9206518998083</x:v>
      </x:c>
      <x:c r="W1574" s="54" t="n">
        <x:f>V1574-U1574</x:f>
        <x:v>67.57065189980835</x:v>
      </x:c>
      <x:c r="X1574" s="58" t="n">
        <x:f>IF(R1574="No","",W1574*S1574)</x:f>
        <x:v>705302.4645301996</x:v>
      </x:c>
      <x:c r="Y1574" s="58" t="n">
        <x:f>IF(R1574="No","",W1574*T1574*Assumptions!$B$9)</x:f>
        <x:v>102774.96153960851</x:v>
      </x:c>
      <x:c r="Z1574" s="58" t="n">
        <x:f>IF(R1574="No","",X1574-Y1574)</x:f>
        <x:v>602527.5029905911</x:v>
      </x:c>
      <x:c r="AA1574" s="58" t="n">
        <x:f>IF(R1574="No","",MAX(0,-Z1574))</x:f>
        <x:v>0</x:v>
      </x:c>
      <x:c r="AB1574" s="52" t="n">
        <x:f>IF(OR(R1574="No",U1574*S1574=0),"",AA1574/(U1574*S1574))</x:f>
        <x:v>0</x:v>
      </x:c>
      <x:c r="AC1574" s="54" t="n">
        <x:f>IF(OR(R1574="No",S1574-T1574*Assumptions!$B$9&lt;=0),"",AA1574/(Assumptions!$B$8*(S1574-T1574*Assumptions!$B$9)))</x:f>
        <x:v>0</x:v>
      </x:c>
      <x:c r="AD1574" s="52" t="n">
        <x:f>IF(OR(R1574="No",U1574*S1574=0),"",AA1574/(U1574*S1574))</x:f>
        <x:v>0</x:v>
      </x:c>
      <x:c r="AE1574" s="50" t="str">
        <x:f>IF(R1574="No","No finance data",IF(AB1574&gt;=10%,"Severe",IF(AB1574&gt;=5%,"High",IF(AB1574&gt;=2%,"Moderate","Low"))))</x:f>
        <x:v>Low</x:v>
      </x:c>
      <x:c r="AF1574" s="60" t="n">
        <x:v>36.122934</x:v>
      </x:c>
      <x:c r="AG1574" s="60" t="n">
        <x:v>-83.491709</x:v>
      </x:c>
      <x:c r="AH1574" s="44" t="str">
        <x:v>Undergraduate tuition-contribution proxy only; not an audited total institutional budget.</x:v>
      </x:c>
    </x:row>
    <x:row r="1575">
      <x:c r="A1575" s="16" t="n">
        <x:v>219833</x:v>
      </x:c>
      <x:c r="B1575" s="16" t="str">
        <x:v>Christian Brothers University</x:v>
      </x:c>
      <x:c r="C1575" s="16" t="str">
        <x:v>TN</x:v>
      </x:c>
      <x:c r="D1575" s="16" t="str">
        <x:v>Private nonprofit</x:v>
      </x:c>
      <x:c r="E1575" s="34" t="n">
        <x:v>1408</x:v>
      </x:c>
      <x:c r="F1575" s="21" t="n">
        <x:v>0.9657</x:v>
      </x:c>
      <x:c r="G1575" s="16" t="str">
        <x:v>Regional</x:v>
      </x:c>
      <x:c r="H1575" s="36" t="n">
        <x:f>IF(G1575="National",Assumptions!$B$11,IF(G1575="Statewide",Assumptions!$B$12,Assumptions!$B$13))</x:f>
        <x:v>0.85</x:v>
      </x:c>
      <x:c r="I1575" s="21" t="n">
        <x:v>-0.0004403581579685012</x:v>
      </x:c>
      <x:c r="J1575" s="21" t="n">
        <x:v>0.06302459333591326</x:v>
      </x:c>
      <x:c r="K1575" s="21" t="n">
        <x:v>0.08700409666528786</x:v>
      </x:c>
      <x:c r="L1575" s="36" t="n">
        <x:f>IF(Assumptions!$B$4=2030,I1575,IF(Assumptions!$B$4=2035,J1575,K1575))</x:f>
        <x:v>0.06302459333591326</x:v>
      </x:c>
      <x:c r="M1575" s="36" t="n">
        <x:f>Assumptions!$B$19</x:f>
        <x:v>-0.04739891965741583</x:v>
      </x:c>
      <x:c r="N1575" s="52" t="n">
        <x:f>H1575*L1575+(1-H1575)*M1575+O1575</x:f>
        <x:v>0.04646106638691389</x:v>
      </x:c>
      <x:c r="O1575" s="36" t="n">
        <x:f>Assumptions!$B$10</x:f>
        <x:v>0</x:v>
      </x:c>
      <x:c r="P1575" s="54" t="n">
        <x:f>E1575*(1+N1575)</x:f>
        <x:v>1473.4171814727747</x:v>
      </x:c>
      <x:c r="Q1575" s="54" t="n">
        <x:f>P1575-E1575</x:f>
        <x:v>65.4171814727747</x:v>
      </x:c>
      <x:c r="R1575" s="16" t="str">
        <x:v>Yes</x:v>
      </x:c>
      <x:c r="S1575" s="56" t="n">
        <x:v>12318</x:v>
      </x:c>
      <x:c r="T1575" s="56" t="n">
        <x:v>8360</x:v>
      </x:c>
      <x:c r="U1575" s="40" t="n">
        <x:f>E1575*Assumptions!$B$8</x:f>
        <x:v>1196.8</x:v>
      </x:c>
      <x:c r="V1575" s="40" t="n">
        <x:f>P1575*Assumptions!$B$8</x:f>
        <x:v>1252.4046042518585</x:v>
      </x:c>
      <x:c r="W1575" s="54" t="n">
        <x:f>V1575-U1575</x:f>
        <x:v>55.60460425185852</x:v>
      </x:c>
      <x:c r="X1575" s="58" t="n">
        <x:f>IF(R1575="No","",W1575*S1575)</x:f>
        <x:v>684937.5151743932</x:v>
      </x:c>
      <x:c r="Y1575" s="58" t="n">
        <x:f>IF(R1575="No","",W1575*T1575*Assumptions!$B$9)</x:f>
        <x:v>139456.34746366116</x:v>
      </x:c>
      <x:c r="Z1575" s="58" t="n">
        <x:f>IF(R1575="No","",X1575-Y1575)</x:f>
        <x:v>545481.167710732</x:v>
      </x:c>
      <x:c r="AA1575" s="58" t="n">
        <x:f>IF(R1575="No","",MAX(0,-Z1575))</x:f>
        <x:v>0</x:v>
      </x:c>
      <x:c r="AB1575" s="52" t="n">
        <x:f>IF(OR(R1575="No",U1575*S1575=0),"",AA1575/(U1575*S1575))</x:f>
        <x:v>0</x:v>
      </x:c>
      <x:c r="AC1575" s="54" t="n">
        <x:f>IF(OR(R1575="No",S1575-T1575*Assumptions!$B$9&lt;=0),"",AA1575/(Assumptions!$B$8*(S1575-T1575*Assumptions!$B$9)))</x:f>
        <x:v>0</x:v>
      </x:c>
      <x:c r="AD1575" s="52" t="n">
        <x:f>IF(OR(R1575="No",U1575*S1575=0),"",AA1575/(U1575*S1575))</x:f>
        <x:v>0</x:v>
      </x:c>
      <x:c r="AE1575" s="50" t="str">
        <x:f>IF(R1575="No","No finance data",IF(AB1575&gt;=10%,"Severe",IF(AB1575&gt;=5%,"High",IF(AB1575&gt;=2%,"Moderate","Low"))))</x:f>
        <x:v>Low</x:v>
      </x:c>
      <x:c r="AF1575" s="60" t="n">
        <x:v>35.127437</x:v>
      </x:c>
      <x:c r="AG1575" s="60" t="n">
        <x:v>-89.983241</x:v>
      </x:c>
      <x:c r="AH1575" s="44" t="str">
        <x:v>Undergraduate tuition-contribution proxy only; not an audited total institutional budget.</x:v>
      </x:c>
    </x:row>
    <x:row r="1576">
      <x:c r="A1576" s="16" t="n">
        <x:v>219949</x:v>
      </x:c>
      <x:c r="B1576" s="16" t="str">
        <x:v>Cumberland University</x:v>
      </x:c>
      <x:c r="C1576" s="16" t="str">
        <x:v>TN</x:v>
      </x:c>
      <x:c r="D1576" s="16" t="str">
        <x:v>Private nonprofit</x:v>
      </x:c>
      <x:c r="E1576" s="34" t="n">
        <x:v>1144</x:v>
      </x:c>
      <x:c r="F1576" s="21" t="n">
        <x:v>0.5776</x:v>
      </x:c>
      <x:c r="G1576" s="16" t="str">
        <x:v>Regional</x:v>
      </x:c>
      <x:c r="H1576" s="36" t="n">
        <x:f>IF(G1576="National",Assumptions!$B$11,IF(G1576="Statewide",Assumptions!$B$12,Assumptions!$B$13))</x:f>
        <x:v>0.85</x:v>
      </x:c>
      <x:c r="I1576" s="21" t="n">
        <x:v>-0.0004403581579685012</x:v>
      </x:c>
      <x:c r="J1576" s="21" t="n">
        <x:v>0.06302459333591326</x:v>
      </x:c>
      <x:c r="K1576" s="21" t="n">
        <x:v>0.08700409666528786</x:v>
      </x:c>
      <x:c r="L1576" s="36" t="n">
        <x:f>IF(Assumptions!$B$4=2030,I1576,IF(Assumptions!$B$4=2035,J1576,K1576))</x:f>
        <x:v>0.06302459333591326</x:v>
      </x:c>
      <x:c r="M1576" s="36" t="n">
        <x:f>Assumptions!$B$19</x:f>
        <x:v>-0.04739891965741583</x:v>
      </x:c>
      <x:c r="N1576" s="52" t="n">
        <x:f>H1576*L1576+(1-H1576)*M1576+O1576</x:f>
        <x:v>0.04646106638691389</x:v>
      </x:c>
      <x:c r="O1576" s="36" t="n">
        <x:f>Assumptions!$B$10</x:f>
        <x:v>0</x:v>
      </x:c>
      <x:c r="P1576" s="54" t="n">
        <x:f>E1576*(1+N1576)</x:f>
        <x:v>1197.1514599466295</x:v>
      </x:c>
      <x:c r="Q1576" s="54" t="n">
        <x:f>P1576-E1576</x:f>
        <x:v>53.15145994662953</x:v>
      </x:c>
      <x:c r="R1576" s="16" t="str">
        <x:v>Yes</x:v>
      </x:c>
      <x:c r="S1576" s="56" t="n">
        <x:v>7552</x:v>
      </x:c>
      <x:c r="T1576" s="56" t="n">
        <x:v>3516</x:v>
      </x:c>
      <x:c r="U1576" s="40" t="n">
        <x:f>E1576*Assumptions!$B$8</x:f>
        <x:v>972.4</x:v>
      </x:c>
      <x:c r="V1576" s="40" t="n">
        <x:f>P1576*Assumptions!$B$8</x:f>
        <x:v>1017.5787409546351</x:v>
      </x:c>
      <x:c r="W1576" s="54" t="n">
        <x:f>V1576-U1576</x:f>
        <x:v>45.178740954635145</x:v>
      </x:c>
      <x:c r="X1576" s="58" t="n">
        <x:f>IF(R1576="No","",W1576*S1576)</x:f>
        <x:v>341189.85168940463</x:v>
      </x:c>
      <x:c r="Y1576" s="58" t="n">
        <x:f>IF(R1576="No","",W1576*T1576*Assumptions!$B$9)</x:f>
        <x:v>47654.53595894915</x:v>
      </x:c>
      <x:c r="Z1576" s="58" t="n">
        <x:f>IF(R1576="No","",X1576-Y1576)</x:f>
        <x:v>293535.3157304555</x:v>
      </x:c>
      <x:c r="AA1576" s="58" t="n">
        <x:f>IF(R1576="No","",MAX(0,-Z1576))</x:f>
        <x:v>0</x:v>
      </x:c>
      <x:c r="AB1576" s="52" t="n">
        <x:f>IF(OR(R1576="No",U1576*S1576=0),"",AA1576/(U1576*S1576))</x:f>
        <x:v>0</x:v>
      </x:c>
      <x:c r="AC1576" s="54" t="n">
        <x:f>IF(OR(R1576="No",S1576-T1576*Assumptions!$B$9&lt;=0),"",AA1576/(Assumptions!$B$8*(S1576-T1576*Assumptions!$B$9)))</x:f>
        <x:v>0</x:v>
      </x:c>
      <x:c r="AD1576" s="52" t="n">
        <x:f>IF(OR(R1576="No",U1576*S1576=0),"",AA1576/(U1576*S1576))</x:f>
        <x:v>0</x:v>
      </x:c>
      <x:c r="AE1576" s="50" t="str">
        <x:f>IF(R1576="No","No finance data",IF(AB1576&gt;=10%,"Severe",IF(AB1576&gt;=5%,"High",IF(AB1576&gt;=2%,"Moderate","Low"))))</x:f>
        <x:v>Low</x:v>
      </x:c>
      <x:c r="AF1576" s="60" t="n">
        <x:v>36.204514</x:v>
      </x:c>
      <x:c r="AG1576" s="60" t="n">
        <x:v>-86.298782</x:v>
      </x:c>
      <x:c r="AH1576" s="44" t="str">
        <x:v>Undergraduate tuition-contribution proxy only; not an audited total institutional budget.</x:v>
      </x:c>
    </x:row>
    <x:row r="1577">
      <x:c r="A1577" s="16" t="n">
        <x:v>220075</x:v>
      </x:c>
      <x:c r="B1577" s="16" t="str">
        <x:v>East Tennessee State University</x:v>
      </x:c>
      <x:c r="C1577" s="16" t="str">
        <x:v>TN</x:v>
      </x:c>
      <x:c r="D1577" s="16" t="str">
        <x:v>Public</x:v>
      </x:c>
      <x:c r="E1577" s="34" t="n">
        <x:v>10960</x:v>
      </x:c>
      <x:c r="F1577" s="21" t="n">
        <x:v>0.874</x:v>
      </x:c>
      <x:c r="G1577" s="16" t="str">
        <x:v>Statewide</x:v>
      </x:c>
      <x:c r="H1577" s="36" t="n">
        <x:f>IF(G1577="National",Assumptions!$B$11,IF(G1577="Statewide",Assumptions!$B$12,Assumptions!$B$13))</x:f>
        <x:v>0.6</x:v>
      </x:c>
      <x:c r="I1577" s="21" t="n">
        <x:v>-0.0004403581579685012</x:v>
      </x:c>
      <x:c r="J1577" s="21" t="n">
        <x:v>0.06302459333591326</x:v>
      </x:c>
      <x:c r="K1577" s="21" t="n">
        <x:v>0.08700409666528786</x:v>
      </x:c>
      <x:c r="L1577" s="36" t="n">
        <x:f>IF(Assumptions!$B$4=2030,I1577,IF(Assumptions!$B$4=2035,J1577,K1577))</x:f>
        <x:v>0.06302459333591326</x:v>
      </x:c>
      <x:c r="M1577" s="36" t="n">
        <x:f>Assumptions!$B$19</x:f>
        <x:v>-0.04739891965741583</x:v>
      </x:c>
      <x:c r="N1577" s="52" t="n">
        <x:f>H1577*L1577+(1-H1577)*M1577+O1577</x:f>
        <x:v>0.01885518813858162</x:v>
      </x:c>
      <x:c r="O1577" s="36" t="n">
        <x:f>Assumptions!$B$10</x:f>
        <x:v>0</x:v>
      </x:c>
      <x:c r="P1577" s="54" t="n">
        <x:f>E1577*(1+N1577)</x:f>
        <x:v>11166.652861998855</x:v>
      </x:c>
      <x:c r="Q1577" s="54" t="n">
        <x:f>P1577-E1577</x:f>
        <x:v>206.65286199885486</x:v>
      </x:c>
      <x:c r="R1577" s="16" t="str">
        <x:v>Yes</x:v>
      </x:c>
      <x:c r="S1577" s="56" t="n">
        <x:v>9314</x:v>
      </x:c>
      <x:c r="T1577" s="56" t="n">
        <x:v>13763</x:v>
      </x:c>
      <x:c r="U1577" s="40" t="n">
        <x:f>E1577*Assumptions!$B$8</x:f>
        <x:v>9316</x:v>
      </x:c>
      <x:c r="V1577" s="40" t="n">
        <x:f>P1577*Assumptions!$B$8</x:f>
        <x:v>9491.654932699026</x:v>
      </x:c>
      <x:c r="W1577" s="54" t="n">
        <x:f>V1577-U1577</x:f>
        <x:v>175.65493269902618</x:v>
      </x:c>
      <x:c r="X1577" s="58" t="n">
        <x:f>IF(R1577="No","",W1577*S1577)</x:f>
        <x:v>1636050.0431587298</x:v>
      </x:c>
      <x:c r="Y1577" s="58" t="n">
        <x:f>IF(R1577="No","",W1577*T1577*Assumptions!$B$9)</x:f>
        <x:v>725261.6516210091</x:v>
      </x:c>
      <x:c r="Z1577" s="58" t="n">
        <x:f>IF(R1577="No","",X1577-Y1577)</x:f>
        <x:v>910788.3915377207</x:v>
      </x:c>
      <x:c r="AA1577" s="58" t="n">
        <x:f>IF(R1577="No","",MAX(0,-Z1577))</x:f>
        <x:v>0</x:v>
      </x:c>
      <x:c r="AB1577" s="52" t="n">
        <x:f>IF(OR(R1577="No",U1577*S1577=0),"",AA1577/(U1577*S1577))</x:f>
        <x:v>0</x:v>
      </x:c>
      <x:c r="AC1577" s="54" t="n">
        <x:f>IF(OR(R1577="No",S1577-T1577*Assumptions!$B$9&lt;=0),"",AA1577/(Assumptions!$B$8*(S1577-T1577*Assumptions!$B$9)))</x:f>
        <x:v>0</x:v>
      </x:c>
      <x:c r="AD1577" s="52" t="n">
        <x:f>IF(OR(R1577="No",U1577*S1577=0),"",AA1577/(U1577*S1577))</x:f>
        <x:v>0</x:v>
      </x:c>
      <x:c r="AE1577" s="50" t="str">
        <x:f>IF(R1577="No","No finance data",IF(AB1577&gt;=10%,"Severe",IF(AB1577&gt;=5%,"High",IF(AB1577&gt;=2%,"Moderate","Low"))))</x:f>
        <x:v>Low</x:v>
      </x:c>
      <x:c r="AF1577" s="60" t="n">
        <x:v>36.301643</x:v>
      </x:c>
      <x:c r="AG1577" s="60" t="n">
        <x:v>-82.366954</x:v>
      </x:c>
      <x:c r="AH1577" s="44" t="str">
        <x:v>Undergraduate tuition-contribution proxy only; not an audited total institutional budget.</x:v>
      </x:c>
    </x:row>
    <x:row r="1578">
      <x:c r="A1578" s="16" t="n">
        <x:v>220181</x:v>
      </x:c>
      <x:c r="B1578" s="16" t="str">
        <x:v>Fisk University</x:v>
      </x:c>
      <x:c r="C1578" s="16" t="str">
        <x:v>TN</x:v>
      </x:c>
      <x:c r="D1578" s="16" t="str">
        <x:v>Private nonprofit</x:v>
      </x:c>
      <x:c r="E1578" s="34" t="n">
        <x:v>806</x:v>
      </x:c>
      <x:c r="F1578" s="21" t="n">
        <x:v>0.6111</x:v>
      </x:c>
      <x:c r="G1578" s="16" t="str">
        <x:v>Regional</x:v>
      </x:c>
      <x:c r="H1578" s="36" t="n">
        <x:f>IF(G1578="National",Assumptions!$B$11,IF(G1578="Statewide",Assumptions!$B$12,Assumptions!$B$13))</x:f>
        <x:v>0.85</x:v>
      </x:c>
      <x:c r="I1578" s="21" t="n">
        <x:v>-0.0004403581579685012</x:v>
      </x:c>
      <x:c r="J1578" s="21" t="n">
        <x:v>0.06302459333591326</x:v>
      </x:c>
      <x:c r="K1578" s="21" t="n">
        <x:v>0.08700409666528786</x:v>
      </x:c>
      <x:c r="L1578" s="36" t="n">
        <x:f>IF(Assumptions!$B$4=2030,I1578,IF(Assumptions!$B$4=2035,J1578,K1578))</x:f>
        <x:v>0.06302459333591326</x:v>
      </x:c>
      <x:c r="M1578" s="36" t="n">
        <x:f>Assumptions!$B$19</x:f>
        <x:v>-0.04739891965741583</x:v>
      </x:c>
      <x:c r="N1578" s="52" t="n">
        <x:f>H1578*L1578+(1-H1578)*M1578+O1578</x:f>
        <x:v>0.04646106638691389</x:v>
      </x:c>
      <x:c r="O1578" s="36" t="n">
        <x:f>Assumptions!$B$10</x:f>
        <x:v>0</x:v>
      </x:c>
      <x:c r="P1578" s="54" t="n">
        <x:f>E1578*(1+N1578)</x:f>
        <x:v>843.4476195078526</x:v>
      </x:c>
      <x:c r="Q1578" s="54" t="n">
        <x:f>P1578-E1578</x:f>
        <x:v>37.44761950785255</x:v>
      </x:c>
      <x:c r="R1578" s="16" t="str">
        <x:v>Yes</x:v>
      </x:c>
      <x:c r="S1578" s="56" t="n">
        <x:v>10154</x:v>
      </x:c>
      <x:c r="T1578" s="56" t="n">
        <x:v>4289</x:v>
      </x:c>
      <x:c r="U1578" s="40" t="n">
        <x:f>E1578*Assumptions!$B$8</x:f>
        <x:v>685.1</x:v>
      </x:c>
      <x:c r="V1578" s="40" t="n">
        <x:f>P1578*Assumptions!$B$8</x:f>
        <x:v>716.9304765816746</x:v>
      </x:c>
      <x:c r="W1578" s="54" t="n">
        <x:f>V1578-U1578</x:f>
        <x:v>31.83047658167459</x:v>
      </x:c>
      <x:c r="X1578" s="58" t="n">
        <x:f>IF(R1578="No","",W1578*S1578)</x:f>
        <x:v>323206.65921032376</x:v>
      </x:c>
      <x:c r="Y1578" s="58" t="n">
        <x:f>IF(R1578="No","",W1578*T1578*Assumptions!$B$9)</x:f>
        <x:v>40956.27421764069</x:v>
      </x:c>
      <x:c r="Z1578" s="58" t="n">
        <x:f>IF(R1578="No","",X1578-Y1578)</x:f>
        <x:v>282250.3849926831</x:v>
      </x:c>
      <x:c r="AA1578" s="58" t="n">
        <x:f>IF(R1578="No","",MAX(0,-Z1578))</x:f>
        <x:v>0</x:v>
      </x:c>
      <x:c r="AB1578" s="52" t="n">
        <x:f>IF(OR(R1578="No",U1578*S1578=0),"",AA1578/(U1578*S1578))</x:f>
        <x:v>0</x:v>
      </x:c>
      <x:c r="AC1578" s="54" t="n">
        <x:f>IF(OR(R1578="No",S1578-T1578*Assumptions!$B$9&lt;=0),"",AA1578/(Assumptions!$B$8*(S1578-T1578*Assumptions!$B$9)))</x:f>
        <x:v>0</x:v>
      </x:c>
      <x:c r="AD1578" s="52" t="n">
        <x:f>IF(OR(R1578="No",U1578*S1578=0),"",AA1578/(U1578*S1578))</x:f>
        <x:v>0</x:v>
      </x:c>
      <x:c r="AE1578" s="50" t="str">
        <x:f>IF(R1578="No","No finance data",IF(AB1578&gt;=10%,"Severe",IF(AB1578&gt;=5%,"High",IF(AB1578&gt;=2%,"Moderate","Low"))))</x:f>
        <x:v>Low</x:v>
      </x:c>
      <x:c r="AF1578" s="60" t="n">
        <x:v>36.167087</x:v>
      </x:c>
      <x:c r="AG1578" s="60" t="n">
        <x:v>-86.804805</x:v>
      </x:c>
      <x:c r="AH1578" s="44" t="str">
        <x:v>Undergraduate tuition-contribution proxy only; not an audited total institutional budget.</x:v>
      </x:c>
    </x:row>
    <x:row r="1579">
      <x:c r="A1579" s="16" t="n">
        <x:v>220215</x:v>
      </x:c>
      <x:c r="B1579" s="16" t="str">
        <x:v>Freed-Hardeman University</x:v>
      </x:c>
      <x:c r="C1579" s="16" t="str">
        <x:v>TN</x:v>
      </x:c>
      <x:c r="D1579" s="16" t="str">
        <x:v>Private nonprofit</x:v>
      </x:c>
      <x:c r="E1579" s="34" t="n">
        <x:v>1260</x:v>
      </x:c>
      <x:c r="F1579" s="21" t="n">
        <x:v>0.8788</x:v>
      </x:c>
      <x:c r="G1579" s="16" t="str">
        <x:v>Regional</x:v>
      </x:c>
      <x:c r="H1579" s="36" t="n">
        <x:f>IF(G1579="National",Assumptions!$B$11,IF(G1579="Statewide",Assumptions!$B$12,Assumptions!$B$13))</x:f>
        <x:v>0.85</x:v>
      </x:c>
      <x:c r="I1579" s="21" t="n">
        <x:v>-0.0004403581579685012</x:v>
      </x:c>
      <x:c r="J1579" s="21" t="n">
        <x:v>0.06302459333591326</x:v>
      </x:c>
      <x:c r="K1579" s="21" t="n">
        <x:v>0.08700409666528786</x:v>
      </x:c>
      <x:c r="L1579" s="36" t="n">
        <x:f>IF(Assumptions!$B$4=2030,I1579,IF(Assumptions!$B$4=2035,J1579,K1579))</x:f>
        <x:v>0.06302459333591326</x:v>
      </x:c>
      <x:c r="M1579" s="36" t="n">
        <x:f>Assumptions!$B$19</x:f>
        <x:v>-0.04739891965741583</x:v>
      </x:c>
      <x:c r="N1579" s="52" t="n">
        <x:f>H1579*L1579+(1-H1579)*M1579+O1579</x:f>
        <x:v>0.04646106638691389</x:v>
      </x:c>
      <x:c r="O1579" s="36" t="n">
        <x:f>Assumptions!$B$10</x:f>
        <x:v>0</x:v>
      </x:c>
      <x:c r="P1579" s="54" t="n">
        <x:f>E1579*(1+N1579)</x:f>
        <x:v>1318.5409436475113</x:v>
      </x:c>
      <x:c r="Q1579" s="54" t="n">
        <x:f>P1579-E1579</x:f>
        <x:v>58.54094364751131</x:v>
      </x:c>
      <x:c r="R1579" s="16" t="str">
        <x:v>Yes</x:v>
      </x:c>
      <x:c r="S1579" s="56" t="n">
        <x:v>9322</x:v>
      </x:c>
      <x:c r="T1579" s="56" t="n">
        <x:v>7395</x:v>
      </x:c>
      <x:c r="U1579" s="40" t="n">
        <x:f>E1579*Assumptions!$B$8</x:f>
        <x:v>1071</x:v>
      </x:c>
      <x:c r="V1579" s="40" t="n">
        <x:f>P1579*Assumptions!$B$8</x:f>
        <x:v>1120.7598021003846</x:v>
      </x:c>
      <x:c r="W1579" s="54" t="n">
        <x:f>V1579-U1579</x:f>
        <x:v>49.759802100384604</x:v>
      </x:c>
      <x:c r="X1579" s="58" t="n">
        <x:f>IF(R1579="No","",W1579*S1579)</x:f>
        <x:v>463860.8751797853</x:v>
      </x:c>
      <x:c r="Y1579" s="58" t="n">
        <x:f>IF(R1579="No","",W1579*T1579*Assumptions!$B$9)</x:f>
        <x:v>110392.12095970324</x:v>
      </x:c>
      <x:c r="Z1579" s="58" t="n">
        <x:f>IF(R1579="No","",X1579-Y1579)</x:f>
        <x:v>353468.7542200821</x:v>
      </x:c>
      <x:c r="AA1579" s="58" t="n">
        <x:f>IF(R1579="No","",MAX(0,-Z1579))</x:f>
        <x:v>0</x:v>
      </x:c>
      <x:c r="AB1579" s="52" t="n">
        <x:f>IF(OR(R1579="No",U1579*S1579=0),"",AA1579/(U1579*S1579))</x:f>
        <x:v>0</x:v>
      </x:c>
      <x:c r="AC1579" s="54" t="n">
        <x:f>IF(OR(R1579="No",S1579-T1579*Assumptions!$B$9&lt;=0),"",AA1579/(Assumptions!$B$8*(S1579-T1579*Assumptions!$B$9)))</x:f>
        <x:v>0</x:v>
      </x:c>
      <x:c r="AD1579" s="52" t="n">
        <x:f>IF(OR(R1579="No",U1579*S1579=0),"",AA1579/(U1579*S1579))</x:f>
        <x:v>0</x:v>
      </x:c>
      <x:c r="AE1579" s="50" t="str">
        <x:f>IF(R1579="No","No finance data",IF(AB1579&gt;=10%,"Severe",IF(AB1579&gt;=5%,"High",IF(AB1579&gt;=2%,"Moderate","Low"))))</x:f>
        <x:v>Low</x:v>
      </x:c>
      <x:c r="AF1579" s="60" t="n">
        <x:v>35.440611</x:v>
      </x:c>
      <x:c r="AG1579" s="60" t="n">
        <x:v>-88.637964</x:v>
      </x:c>
      <x:c r="AH1579" s="44" t="str">
        <x:v>Undergraduate tuition-contribution proxy only; not an audited total institutional budget.</x:v>
      </x:c>
    </x:row>
    <x:row r="1580">
      <x:c r="A1580" s="16" t="n">
        <x:v>220473</x:v>
      </x:c>
      <x:c r="B1580" s="16" t="str">
        <x:v>Johnson University</x:v>
      </x:c>
      <x:c r="C1580" s="16" t="str">
        <x:v>TN</x:v>
      </x:c>
      <x:c r="D1580" s="16" t="str">
        <x:v>Private nonprofit</x:v>
      </x:c>
      <x:c r="E1580" s="34" t="n">
        <x:v>879</x:v>
      </x:c>
      <x:c r="F1580" s="21" t="n">
        <x:v>0.8092</x:v>
      </x:c>
      <x:c r="G1580" s="16" t="str">
        <x:v>Regional</x:v>
      </x:c>
      <x:c r="H1580" s="36" t="n">
        <x:f>IF(G1580="National",Assumptions!$B$11,IF(G1580="Statewide",Assumptions!$B$12,Assumptions!$B$13))</x:f>
        <x:v>0.85</x:v>
      </x:c>
      <x:c r="I1580" s="21" t="n">
        <x:v>-0.0004403581579685012</x:v>
      </x:c>
      <x:c r="J1580" s="21" t="n">
        <x:v>0.06302459333591326</x:v>
      </x:c>
      <x:c r="K1580" s="21" t="n">
        <x:v>0.08700409666528786</x:v>
      </x:c>
      <x:c r="L1580" s="36" t="n">
        <x:f>IF(Assumptions!$B$4=2030,I1580,IF(Assumptions!$B$4=2035,J1580,K1580))</x:f>
        <x:v>0.06302459333591326</x:v>
      </x:c>
      <x:c r="M1580" s="36" t="n">
        <x:f>Assumptions!$B$19</x:f>
        <x:v>-0.04739891965741583</x:v>
      </x:c>
      <x:c r="N1580" s="52" t="n">
        <x:f>H1580*L1580+(1-H1580)*M1580+O1580</x:f>
        <x:v>0.04646106638691389</x:v>
      </x:c>
      <x:c r="O1580" s="36" t="n">
        <x:f>Assumptions!$B$10</x:f>
        <x:v>0</x:v>
      </x:c>
      <x:c r="P1580" s="54" t="n">
        <x:f>E1580*(1+N1580)</x:f>
        <x:v>919.8392773540972</x:v>
      </x:c>
      <x:c r="Q1580" s="54" t="n">
        <x:f>P1580-E1580</x:f>
        <x:v>40.83927735409725</x:v>
      </x:c>
      <x:c r="R1580" s="16" t="str">
        <x:v>Yes</x:v>
      </x:c>
      <x:c r="S1580" s="56" t="n">
        <x:v>12486</x:v>
      </x:c>
      <x:c r="T1580" s="56" t="n">
        <x:v>8957</x:v>
      </x:c>
      <x:c r="U1580" s="40" t="n">
        <x:f>E1580*Assumptions!$B$8</x:f>
        <x:v>747.15</x:v>
      </x:c>
      <x:c r="V1580" s="40" t="n">
        <x:f>P1580*Assumptions!$B$8</x:f>
        <x:v>781.8633857509826</x:v>
      </x:c>
      <x:c r="W1580" s="54" t="n">
        <x:f>V1580-U1580</x:f>
        <x:v>34.71338575098264</x:v>
      </x:c>
      <x:c r="X1580" s="58" t="n">
        <x:f>IF(R1580="No","",W1580*S1580)</x:f>
        <x:v>433431.3344867692</x:v>
      </x:c>
      <x:c r="Y1580" s="58" t="n">
        <x:f>IF(R1580="No","",W1580*T1580*Assumptions!$B$9)</x:f>
        <x:v>93278.33885146545</x:v>
      </x:c>
      <x:c r="Z1580" s="58" t="n">
        <x:f>IF(R1580="No","",X1580-Y1580)</x:f>
        <x:v>340152.9956353038</x:v>
      </x:c>
      <x:c r="AA1580" s="58" t="n">
        <x:f>IF(R1580="No","",MAX(0,-Z1580))</x:f>
        <x:v>0</x:v>
      </x:c>
      <x:c r="AB1580" s="52" t="n">
        <x:f>IF(OR(R1580="No",U1580*S1580=0),"",AA1580/(U1580*S1580))</x:f>
        <x:v>0</x:v>
      </x:c>
      <x:c r="AC1580" s="54" t="n">
        <x:f>IF(OR(R1580="No",S1580-T1580*Assumptions!$B$9&lt;=0),"",AA1580/(Assumptions!$B$8*(S1580-T1580*Assumptions!$B$9)))</x:f>
        <x:v>0</x:v>
      </x:c>
      <x:c r="AD1580" s="52" t="n">
        <x:f>IF(OR(R1580="No",U1580*S1580=0),"",AA1580/(U1580*S1580))</x:f>
        <x:v>0</x:v>
      </x:c>
      <x:c r="AE1580" s="50" t="str">
        <x:f>IF(R1580="No","No finance data",IF(AB1580&gt;=10%,"Severe",IF(AB1580&gt;=5%,"High",IF(AB1580&gt;=2%,"Moderate","Low"))))</x:f>
        <x:v>Low</x:v>
      </x:c>
      <x:c r="AF1580" s="60" t="n">
        <x:v>35.937193</x:v>
      </x:c>
      <x:c r="AG1580" s="60" t="n">
        <x:v>-83.750273</x:v>
      </x:c>
      <x:c r="AH1580" s="44" t="str">
        <x:v>Undergraduate tuition-contribution proxy only; not an audited total institutional budget.</x:v>
      </x:c>
    </x:row>
    <x:row r="1581">
      <x:c r="A1581" s="16" t="n">
        <x:v>220516</x:v>
      </x:c>
      <x:c r="B1581" s="16" t="str">
        <x:v>King University</x:v>
      </x:c>
      <x:c r="C1581" s="16" t="str">
        <x:v>TN</x:v>
      </x:c>
      <x:c r="D1581" s="16" t="str">
        <x:v>Private nonprofit</x:v>
      </x:c>
      <x:c r="E1581" s="34" t="n">
        <x:v>2357</x:v>
      </x:c>
      <x:c r="F1581" s="21" t="n">
        <x:v>0.6619</x:v>
      </x:c>
      <x:c r="G1581" s="16" t="str">
        <x:v>Regional</x:v>
      </x:c>
      <x:c r="H1581" s="36" t="n">
        <x:f>IF(G1581="National",Assumptions!$B$11,IF(G1581="Statewide",Assumptions!$B$12,Assumptions!$B$13))</x:f>
        <x:v>0.85</x:v>
      </x:c>
      <x:c r="I1581" s="21" t="n">
        <x:v>-0.0004403581579685012</x:v>
      </x:c>
      <x:c r="J1581" s="21" t="n">
        <x:v>0.06302459333591326</x:v>
      </x:c>
      <x:c r="K1581" s="21" t="n">
        <x:v>0.08700409666528786</x:v>
      </x:c>
      <x:c r="L1581" s="36" t="n">
        <x:f>IF(Assumptions!$B$4=2030,I1581,IF(Assumptions!$B$4=2035,J1581,K1581))</x:f>
        <x:v>0.06302459333591326</x:v>
      </x:c>
      <x:c r="M1581" s="36" t="n">
        <x:f>Assumptions!$B$19</x:f>
        <x:v>-0.04739891965741583</x:v>
      </x:c>
      <x:c r="N1581" s="52" t="n">
        <x:f>H1581*L1581+(1-H1581)*M1581+O1581</x:f>
        <x:v>0.04646106638691389</x:v>
      </x:c>
      <x:c r="O1581" s="36" t="n">
        <x:f>Assumptions!$B$10</x:f>
        <x:v>0</x:v>
      </x:c>
      <x:c r="P1581" s="54" t="n">
        <x:f>E1581*(1+N1581)</x:f>
        <x:v>2466.508733473956</x:v>
      </x:c>
      <x:c r="Q1581" s="54" t="n">
        <x:f>P1581-E1581</x:f>
        <x:v>109.508733473956</x:v>
      </x:c>
      <x:c r="R1581" s="16" t="str">
        <x:v>Yes</x:v>
      </x:c>
      <x:c r="S1581" s="56" t="n">
        <x:v>10890</x:v>
      </x:c>
      <x:c r="T1581" s="56" t="n">
        <x:v>5653</x:v>
      </x:c>
      <x:c r="U1581" s="40" t="n">
        <x:f>E1581*Assumptions!$B$8</x:f>
        <x:v>2003.45</x:v>
      </x:c>
      <x:c r="V1581" s="40" t="n">
        <x:f>P1581*Assumptions!$B$8</x:f>
        <x:v>2096.5324234528625</x:v>
      </x:c>
      <x:c r="W1581" s="54" t="n">
        <x:f>V1581-U1581</x:f>
        <x:v>93.08242345286249</x:v>
      </x:c>
      <x:c r="X1581" s="58" t="n">
        <x:f>IF(R1581="No","",W1581*S1581)</x:f>
        <x:v>1013667.5914016725</x:v>
      </x:c>
      <x:c r="Y1581" s="58" t="n">
        <x:f>IF(R1581="No","",W1581*T1581*Assumptions!$B$9)</x:f>
        <x:v>157858.4819337095</x:v>
      </x:c>
      <x:c r="Z1581" s="58" t="n">
        <x:f>IF(R1581="No","",X1581-Y1581)</x:f>
        <x:v>855809.109467963</x:v>
      </x:c>
      <x:c r="AA1581" s="58" t="n">
        <x:f>IF(R1581="No","",MAX(0,-Z1581))</x:f>
        <x:v>0</x:v>
      </x:c>
      <x:c r="AB1581" s="52" t="n">
        <x:f>IF(OR(R1581="No",U1581*S1581=0),"",AA1581/(U1581*S1581))</x:f>
        <x:v>0</x:v>
      </x:c>
      <x:c r="AC1581" s="54" t="n">
        <x:f>IF(OR(R1581="No",S1581-T1581*Assumptions!$B$9&lt;=0),"",AA1581/(Assumptions!$B$8*(S1581-T1581*Assumptions!$B$9)))</x:f>
        <x:v>0</x:v>
      </x:c>
      <x:c r="AD1581" s="52" t="n">
        <x:f>IF(OR(R1581="No",U1581*S1581=0),"",AA1581/(U1581*S1581))</x:f>
        <x:v>0</x:v>
      </x:c>
      <x:c r="AE1581" s="50" t="str">
        <x:f>IF(R1581="No","No finance data",IF(AB1581&gt;=10%,"Severe",IF(AB1581&gt;=5%,"High",IF(AB1581&gt;=2%,"Moderate","Low"))))</x:f>
        <x:v>Low</x:v>
      </x:c>
      <x:c r="AF1581" s="60" t="n">
        <x:v>36.585309</x:v>
      </x:c>
      <x:c r="AG1581" s="60" t="n">
        <x:v>-82.159421</x:v>
      </x:c>
      <x:c r="AH1581" s="44" t="str">
        <x:v>Undergraduate tuition-contribution proxy only; not an audited total institutional budget.</x:v>
      </x:c>
    </x:row>
    <x:row r="1582">
      <x:c r="A1582" s="16" t="n">
        <x:v>220598</x:v>
      </x:c>
      <x:c r="B1582" s="16" t="str">
        <x:v>Lane College</x:v>
      </x:c>
      <x:c r="C1582" s="16" t="str">
        <x:v>TN</x:v>
      </x:c>
      <x:c r="D1582" s="16" t="str">
        <x:v>Private nonprofit</x:v>
      </x:c>
      <x:c r="E1582" s="34" t="n">
        <x:v>1376</x:v>
      </x:c>
      <x:c r="F1582" s="21"/>
      <x:c r="G1582" s="16" t="str">
        <x:v>Regional</x:v>
      </x:c>
      <x:c r="H1582" s="36" t="n">
        <x:f>IF(G1582="National",Assumptions!$B$11,IF(G1582="Statewide",Assumptions!$B$12,Assumptions!$B$13))</x:f>
        <x:v>0.85</x:v>
      </x:c>
      <x:c r="I1582" s="21" t="n">
        <x:v>-0.0004403581579685012</x:v>
      </x:c>
      <x:c r="J1582" s="21" t="n">
        <x:v>0.06302459333591326</x:v>
      </x:c>
      <x:c r="K1582" s="21" t="n">
        <x:v>0.08700409666528786</x:v>
      </x:c>
      <x:c r="L1582" s="36" t="n">
        <x:f>IF(Assumptions!$B$4=2030,I1582,IF(Assumptions!$B$4=2035,J1582,K1582))</x:f>
        <x:v>0.06302459333591326</x:v>
      </x:c>
      <x:c r="M1582" s="36" t="n">
        <x:f>Assumptions!$B$19</x:f>
        <x:v>-0.04739891965741583</x:v>
      </x:c>
      <x:c r="N1582" s="52" t="n">
        <x:f>H1582*L1582+(1-H1582)*M1582+O1582</x:f>
        <x:v>0.04646106638691389</x:v>
      </x:c>
      <x:c r="O1582" s="36" t="n">
        <x:f>Assumptions!$B$10</x:f>
        <x:v>0</x:v>
      </x:c>
      <x:c r="P1582" s="54" t="n">
        <x:f>E1582*(1+N1582)</x:f>
        <x:v>1439.9304273483933</x:v>
      </x:c>
      <x:c r="Q1582" s="54" t="n">
        <x:f>P1582-E1582</x:f>
        <x:v>63.93042734839332</x:v>
      </x:c>
      <x:c r="R1582" s="16" t="str">
        <x:v>Yes</x:v>
      </x:c>
      <x:c r="S1582" s="56" t="n">
        <x:v>8843</x:v>
      </x:c>
      <x:c r="T1582" s="56" t="n">
        <x:v>5384</x:v>
      </x:c>
      <x:c r="U1582" s="40" t="n">
        <x:f>E1582*Assumptions!$B$8</x:f>
        <x:v>1169.6</x:v>
      </x:c>
      <x:c r="V1582" s="40" t="n">
        <x:f>P1582*Assumptions!$B$8</x:f>
        <x:v>1223.9408632461343</x:v>
      </x:c>
      <x:c r="W1582" s="54" t="n">
        <x:f>V1582-U1582</x:f>
        <x:v>54.340863246134404</x:v>
      </x:c>
      <x:c r="X1582" s="58" t="n">
        <x:f>IF(R1582="No","",W1582*S1582)</x:f>
        <x:v>480536.25368556654</x:v>
      </x:c>
      <x:c r="Y1582" s="58" t="n">
        <x:f>IF(R1582="No","",W1582*T1582*Assumptions!$B$9)</x:f>
        <x:v>87771.3623151563</x:v>
      </x:c>
      <x:c r="Z1582" s="58" t="n">
        <x:f>IF(R1582="No","",X1582-Y1582)</x:f>
        <x:v>392764.8913704102</x:v>
      </x:c>
      <x:c r="AA1582" s="58" t="n">
        <x:f>IF(R1582="No","",MAX(0,-Z1582))</x:f>
        <x:v>0</x:v>
      </x:c>
      <x:c r="AB1582" s="52" t="n">
        <x:f>IF(OR(R1582="No",U1582*S1582=0),"",AA1582/(U1582*S1582))</x:f>
        <x:v>0</x:v>
      </x:c>
      <x:c r="AC1582" s="54" t="n">
        <x:f>IF(OR(R1582="No",S1582-T1582*Assumptions!$B$9&lt;=0),"",AA1582/(Assumptions!$B$8*(S1582-T1582*Assumptions!$B$9)))</x:f>
        <x:v>0</x:v>
      </x:c>
      <x:c r="AD1582" s="52" t="n">
        <x:f>IF(OR(R1582="No",U1582*S1582=0),"",AA1582/(U1582*S1582))</x:f>
        <x:v>0</x:v>
      </x:c>
      <x:c r="AE1582" s="50" t="str">
        <x:f>IF(R1582="No","No finance data",IF(AB1582&gt;=10%,"Severe",IF(AB1582&gt;=5%,"High",IF(AB1582&gt;=2%,"Moderate","Low"))))</x:f>
        <x:v>Low</x:v>
      </x:c>
      <x:c r="AF1582" s="60" t="n">
        <x:v>35.627378</x:v>
      </x:c>
      <x:c r="AG1582" s="60" t="n">
        <x:v>-88.806535</x:v>
      </x:c>
      <x:c r="AH1582" s="44" t="str">
        <x:v>Undergraduate tuition-contribution proxy only; not an audited total institutional budget.</x:v>
      </x:c>
    </x:row>
    <x:row r="1583">
      <x:c r="A1583" s="16" t="n">
        <x:v>220604</x:v>
      </x:c>
      <x:c r="B1583" s="16" t="str">
        <x:v>Le Moyne-Owen College</x:v>
      </x:c>
      <x:c r="C1583" s="16" t="str">
        <x:v>TN</x:v>
      </x:c>
      <x:c r="D1583" s="16" t="str">
        <x:v>Private nonprofit</x:v>
      </x:c>
      <x:c r="E1583" s="34" t="n">
        <x:v>945</x:v>
      </x:c>
      <x:c r="F1583" s="21" t="n">
        <x:v>0.9788</x:v>
      </x:c>
      <x:c r="G1583" s="16" t="str">
        <x:v>Regional</x:v>
      </x:c>
      <x:c r="H1583" s="36" t="n">
        <x:f>IF(G1583="National",Assumptions!$B$11,IF(G1583="Statewide",Assumptions!$B$12,Assumptions!$B$13))</x:f>
        <x:v>0.85</x:v>
      </x:c>
      <x:c r="I1583" s="21" t="n">
        <x:v>-0.0004403581579685012</x:v>
      </x:c>
      <x:c r="J1583" s="21" t="n">
        <x:v>0.06302459333591326</x:v>
      </x:c>
      <x:c r="K1583" s="21" t="n">
        <x:v>0.08700409666528786</x:v>
      </x:c>
      <x:c r="L1583" s="36" t="n">
        <x:f>IF(Assumptions!$B$4=2030,I1583,IF(Assumptions!$B$4=2035,J1583,K1583))</x:f>
        <x:v>0.06302459333591326</x:v>
      </x:c>
      <x:c r="M1583" s="36" t="n">
        <x:f>Assumptions!$B$19</x:f>
        <x:v>-0.04739891965741583</x:v>
      </x:c>
      <x:c r="N1583" s="52" t="n">
        <x:f>H1583*L1583+(1-H1583)*M1583+O1583</x:f>
        <x:v>0.04646106638691389</x:v>
      </x:c>
      <x:c r="O1583" s="36" t="n">
        <x:f>Assumptions!$B$10</x:f>
        <x:v>0</x:v>
      </x:c>
      <x:c r="P1583" s="54" t="n">
        <x:f>E1583*(1+N1583)</x:f>
        <x:v>988.9057077356335</x:v>
      </x:c>
      <x:c r="Q1583" s="54" t="n">
        <x:f>P1583-E1583</x:f>
        <x:v>43.90570773563354</x:v>
      </x:c>
      <x:c r="R1583" s="16" t="str">
        <x:v>Yes</x:v>
      </x:c>
      <x:c r="S1583" s="56" t="n">
        <x:v>8484</x:v>
      </x:c>
      <x:c r="T1583" s="56" t="n">
        <x:v>5177</x:v>
      </x:c>
      <x:c r="U1583" s="40" t="n">
        <x:f>E1583*Assumptions!$B$8</x:f>
        <x:v>803.25</x:v>
      </x:c>
      <x:c r="V1583" s="40" t="n">
        <x:f>P1583*Assumptions!$B$8</x:f>
        <x:v>840.5698515752885</x:v>
      </x:c>
      <x:c r="W1583" s="54" t="n">
        <x:f>V1583-U1583</x:f>
        <x:v>37.31985157528845</x:v>
      </x:c>
      <x:c r="X1583" s="58" t="n">
        <x:f>IF(R1583="No","",W1583*S1583)</x:f>
        <x:v>316621.62076474726</x:v>
      </x:c>
      <x:c r="Y1583" s="58" t="n">
        <x:f>IF(R1583="No","",W1583*T1583*Assumptions!$B$9)</x:f>
        <x:v>57961.461481580496</x:v>
      </x:c>
      <x:c r="Z1583" s="58" t="n">
        <x:f>IF(R1583="No","",X1583-Y1583)</x:f>
        <x:v>258660.15928316675</x:v>
      </x:c>
      <x:c r="AA1583" s="58" t="n">
        <x:f>IF(R1583="No","",MAX(0,-Z1583))</x:f>
        <x:v>0</x:v>
      </x:c>
      <x:c r="AB1583" s="52" t="n">
        <x:f>IF(OR(R1583="No",U1583*S1583=0),"",AA1583/(U1583*S1583))</x:f>
        <x:v>0</x:v>
      </x:c>
      <x:c r="AC1583" s="54" t="n">
        <x:f>IF(OR(R1583="No",S1583-T1583*Assumptions!$B$9&lt;=0),"",AA1583/(Assumptions!$B$8*(S1583-T1583*Assumptions!$B$9)))</x:f>
        <x:v>0</x:v>
      </x:c>
      <x:c r="AD1583" s="52" t="n">
        <x:f>IF(OR(R1583="No",U1583*S1583=0),"",AA1583/(U1583*S1583))</x:f>
        <x:v>0</x:v>
      </x:c>
      <x:c r="AE1583" s="50" t="str">
        <x:f>IF(R1583="No","No finance data",IF(AB1583&gt;=10%,"Severe",IF(AB1583&gt;=5%,"High",IF(AB1583&gt;=2%,"Moderate","Low"))))</x:f>
        <x:v>Low</x:v>
      </x:c>
      <x:c r="AF1583" s="60" t="n">
        <x:v>35.118641</x:v>
      </x:c>
      <x:c r="AG1583" s="60" t="n">
        <x:v>-90.034101</x:v>
      </x:c>
      <x:c r="AH1583" s="44" t="str">
        <x:v>Undergraduate tuition-contribution proxy only; not an audited total institutional budget.</x:v>
      </x:c>
    </x:row>
    <x:row r="1584">
      <x:c r="A1584" s="16" t="n">
        <x:v>220613</x:v>
      </x:c>
      <x:c r="B1584" s="16" t="str">
        <x:v>Lee University</x:v>
      </x:c>
      <x:c r="C1584" s="16" t="str">
        <x:v>TN</x:v>
      </x:c>
      <x:c r="D1584" s="16" t="str">
        <x:v>Private nonprofit</x:v>
      </x:c>
      <x:c r="E1584" s="34" t="n">
        <x:v>4151</x:v>
      </x:c>
      <x:c r="F1584" s="21" t="n">
        <x:v>0.8294</x:v>
      </x:c>
      <x:c r="G1584" s="16" t="str">
        <x:v>Regional</x:v>
      </x:c>
      <x:c r="H1584" s="36" t="n">
        <x:f>IF(G1584="National",Assumptions!$B$11,IF(G1584="Statewide",Assumptions!$B$12,Assumptions!$B$13))</x:f>
        <x:v>0.85</x:v>
      </x:c>
      <x:c r="I1584" s="21" t="n">
        <x:v>-0.0004403581579685012</x:v>
      </x:c>
      <x:c r="J1584" s="21" t="n">
        <x:v>0.06302459333591326</x:v>
      </x:c>
      <x:c r="K1584" s="21" t="n">
        <x:v>0.08700409666528786</x:v>
      </x:c>
      <x:c r="L1584" s="36" t="n">
        <x:f>IF(Assumptions!$B$4=2030,I1584,IF(Assumptions!$B$4=2035,J1584,K1584))</x:f>
        <x:v>0.06302459333591326</x:v>
      </x:c>
      <x:c r="M1584" s="36" t="n">
        <x:f>Assumptions!$B$19</x:f>
        <x:v>-0.04739891965741583</x:v>
      </x:c>
      <x:c r="N1584" s="52" t="n">
        <x:f>H1584*L1584+(1-H1584)*M1584+O1584</x:f>
        <x:v>0.04646106638691389</x:v>
      </x:c>
      <x:c r="O1584" s="36" t="n">
        <x:f>Assumptions!$B$10</x:f>
        <x:v>0</x:v>
      </x:c>
      <x:c r="P1584" s="54" t="n">
        <x:f>E1584*(1+N1584)</x:f>
        <x:v>4343.85988657208</x:v>
      </x:c>
      <x:c r="Q1584" s="54" t="n">
        <x:f>P1584-E1584</x:f>
        <x:v>192.85988657207963</x:v>
      </x:c>
      <x:c r="R1584" s="16" t="str">
        <x:v>Yes</x:v>
      </x:c>
      <x:c r="S1584" s="56" t="n">
        <x:v>12559</x:v>
      </x:c>
      <x:c r="T1584" s="56" t="n">
        <x:v>7119</x:v>
      </x:c>
      <x:c r="U1584" s="40" t="n">
        <x:f>E1584*Assumptions!$B$8</x:f>
        <x:v>3528.35</x:v>
      </x:c>
      <x:c r="V1584" s="40" t="n">
        <x:f>P1584*Assumptions!$B$8</x:f>
        <x:v>3692.2809035862674</x:v>
      </x:c>
      <x:c r="W1584" s="54" t="n">
        <x:f>V1584-U1584</x:f>
        <x:v>163.9309035862675</x:v>
      </x:c>
      <x:c r="X1584" s="58" t="n">
        <x:f>IF(R1584="No","",W1584*S1584)</x:f>
        <x:v>2058808.2181399337</x:v>
      </x:c>
      <x:c r="Y1584" s="58" t="n">
        <x:f>IF(R1584="No","",W1584*T1584*Assumptions!$B$9)</x:f>
        <x:v>350107.2307891915</x:v>
      </x:c>
      <x:c r="Z1584" s="58" t="n">
        <x:f>IF(R1584="No","",X1584-Y1584)</x:f>
        <x:v>1708700.987350742</x:v>
      </x:c>
      <x:c r="AA1584" s="58" t="n">
        <x:f>IF(R1584="No","",MAX(0,-Z1584))</x:f>
        <x:v>0</x:v>
      </x:c>
      <x:c r="AB1584" s="52" t="n">
        <x:f>IF(OR(R1584="No",U1584*S1584=0),"",AA1584/(U1584*S1584))</x:f>
        <x:v>0</x:v>
      </x:c>
      <x:c r="AC1584" s="54" t="n">
        <x:f>IF(OR(R1584="No",S1584-T1584*Assumptions!$B$9&lt;=0),"",AA1584/(Assumptions!$B$8*(S1584-T1584*Assumptions!$B$9)))</x:f>
        <x:v>0</x:v>
      </x:c>
      <x:c r="AD1584" s="52" t="n">
        <x:f>IF(OR(R1584="No",U1584*S1584=0),"",AA1584/(U1584*S1584))</x:f>
        <x:v>0</x:v>
      </x:c>
      <x:c r="AE1584" s="50" t="str">
        <x:f>IF(R1584="No","No finance data",IF(AB1584&gt;=10%,"Severe",IF(AB1584&gt;=5%,"High",IF(AB1584&gt;=2%,"Moderate","Low"))))</x:f>
        <x:v>Low</x:v>
      </x:c>
      <x:c r="AF1584" s="60" t="n">
        <x:v>35.166019</x:v>
      </x:c>
      <x:c r="AG1584" s="60" t="n">
        <x:v>-84.871399</x:v>
      </x:c>
      <x:c r="AH1584" s="44" t="str">
        <x:v>Undergraduate tuition-contribution proxy only; not an audited total institutional budget.</x:v>
      </x:c>
    </x:row>
    <x:row r="1585">
      <x:c r="A1585" s="16" t="n">
        <x:v>220631</x:v>
      </x:c>
      <x:c r="B1585" s="16" t="str">
        <x:v>Lincoln Memorial University</x:v>
      </x:c>
      <x:c r="C1585" s="16" t="str">
        <x:v>TN</x:v>
      </x:c>
      <x:c r="D1585" s="16" t="str">
        <x:v>Private nonprofit</x:v>
      </x:c>
      <x:c r="E1585" s="34" t="n">
        <x:v>1457</x:v>
      </x:c>
      <x:c r="F1585" s="21" t="n">
        <x:v>0.699</x:v>
      </x:c>
      <x:c r="G1585" s="16" t="str">
        <x:v>Regional</x:v>
      </x:c>
      <x:c r="H1585" s="36" t="n">
        <x:f>IF(G1585="National",Assumptions!$B$11,IF(G1585="Statewide",Assumptions!$B$12,Assumptions!$B$13))</x:f>
        <x:v>0.85</x:v>
      </x:c>
      <x:c r="I1585" s="21" t="n">
        <x:v>-0.0004403581579685012</x:v>
      </x:c>
      <x:c r="J1585" s="21" t="n">
        <x:v>0.06302459333591326</x:v>
      </x:c>
      <x:c r="K1585" s="21" t="n">
        <x:v>0.08700409666528786</x:v>
      </x:c>
      <x:c r="L1585" s="36" t="n">
        <x:f>IF(Assumptions!$B$4=2030,I1585,IF(Assumptions!$B$4=2035,J1585,K1585))</x:f>
        <x:v>0.06302459333591326</x:v>
      </x:c>
      <x:c r="M1585" s="36" t="n">
        <x:f>Assumptions!$B$19</x:f>
        <x:v>-0.04739891965741583</x:v>
      </x:c>
      <x:c r="N1585" s="52" t="n">
        <x:f>H1585*L1585+(1-H1585)*M1585+O1585</x:f>
        <x:v>0.04646106638691389</x:v>
      </x:c>
      <x:c r="O1585" s="36" t="n">
        <x:f>Assumptions!$B$10</x:f>
        <x:v>0</x:v>
      </x:c>
      <x:c r="P1585" s="54" t="n">
        <x:f>E1585*(1+N1585)</x:f>
        <x:v>1524.6937737257335</x:v>
      </x:c>
      <x:c r="Q1585" s="54" t="n">
        <x:f>P1585-E1585</x:f>
        <x:v>67.69377372573354</x:v>
      </x:c>
      <x:c r="R1585" s="16" t="str">
        <x:v>Yes</x:v>
      </x:c>
      <x:c r="S1585" s="56" t="n">
        <x:v>28279</x:v>
      </x:c>
      <x:c r="T1585" s="56" t="n">
        <x:v>10319</x:v>
      </x:c>
      <x:c r="U1585" s="40" t="n">
        <x:f>E1585*Assumptions!$B$8</x:f>
        <x:v>1238.45</x:v>
      </x:c>
      <x:c r="V1585" s="40" t="n">
        <x:f>P1585*Assumptions!$B$8</x:f>
        <x:v>1295.9897076668735</x:v>
      </x:c>
      <x:c r="W1585" s="54" t="n">
        <x:f>V1585-U1585</x:f>
        <x:v>57.53970766687348</x:v>
      </x:c>
      <x:c r="X1585" s="58" t="n">
        <x:f>IF(R1585="No","",W1585*S1585)</x:f>
        <x:v>1627165.3931115153</x:v>
      </x:c>
      <x:c r="Y1585" s="58" t="n">
        <x:f>IF(R1585="No","",W1585*T1585*Assumptions!$B$9)</x:f>
        <x:v>178125.6730243402</x:v>
      </x:c>
      <x:c r="Z1585" s="58" t="n">
        <x:f>IF(R1585="No","",X1585-Y1585)</x:f>
        <x:v>1449039.720087175</x:v>
      </x:c>
      <x:c r="AA1585" s="58" t="n">
        <x:f>IF(R1585="No","",MAX(0,-Z1585))</x:f>
        <x:v>0</x:v>
      </x:c>
      <x:c r="AB1585" s="52" t="n">
        <x:f>IF(OR(R1585="No",U1585*S1585=0),"",AA1585/(U1585*S1585))</x:f>
        <x:v>0</x:v>
      </x:c>
      <x:c r="AC1585" s="54" t="n">
        <x:f>IF(OR(R1585="No",S1585-T1585*Assumptions!$B$9&lt;=0),"",AA1585/(Assumptions!$B$8*(S1585-T1585*Assumptions!$B$9)))</x:f>
        <x:v>0</x:v>
      </x:c>
      <x:c r="AD1585" s="52" t="n">
        <x:f>IF(OR(R1585="No",U1585*S1585=0),"",AA1585/(U1585*S1585))</x:f>
        <x:v>0</x:v>
      </x:c>
      <x:c r="AE1585" s="50" t="str">
        <x:f>IF(R1585="No","No finance data",IF(AB1585&gt;=10%,"Severe",IF(AB1585&gt;=5%,"High",IF(AB1585&gt;=2%,"Moderate","Low"))))</x:f>
        <x:v>Low</x:v>
      </x:c>
      <x:c r="AF1585" s="60" t="n">
        <x:v>36.578508</x:v>
      </x:c>
      <x:c r="AG1585" s="60" t="n">
        <x:v>-83.660198</x:v>
      </x:c>
      <x:c r="AH1585" s="44" t="str">
        <x:v>Undergraduate tuition-contribution proxy only; not an audited total institutional budget.</x:v>
      </x:c>
    </x:row>
    <x:row r="1586">
      <x:c r="A1586" s="16" t="n">
        <x:v>219976</x:v>
      </x:c>
      <x:c r="B1586" s="16" t="str">
        <x:v>Lipscomb University</x:v>
      </x:c>
      <x:c r="C1586" s="16" t="str">
        <x:v>TN</x:v>
      </x:c>
      <x:c r="D1586" s="16" t="str">
        <x:v>Private nonprofit</x:v>
      </x:c>
      <x:c r="E1586" s="34" t="n">
        <x:v>3024</x:v>
      </x:c>
      <x:c r="F1586" s="21" t="n">
        <x:v>0.7399</x:v>
      </x:c>
      <x:c r="G1586" s="16" t="str">
        <x:v>Regional</x:v>
      </x:c>
      <x:c r="H1586" s="36" t="n">
        <x:f>IF(G1586="National",Assumptions!$B$11,IF(G1586="Statewide",Assumptions!$B$12,Assumptions!$B$13))</x:f>
        <x:v>0.85</x:v>
      </x:c>
      <x:c r="I1586" s="21" t="n">
        <x:v>-0.0004403581579685012</x:v>
      </x:c>
      <x:c r="J1586" s="21" t="n">
        <x:v>0.06302459333591326</x:v>
      </x:c>
      <x:c r="K1586" s="21" t="n">
        <x:v>0.08700409666528786</x:v>
      </x:c>
      <x:c r="L1586" s="36" t="n">
        <x:f>IF(Assumptions!$B$4=2030,I1586,IF(Assumptions!$B$4=2035,J1586,K1586))</x:f>
        <x:v>0.06302459333591326</x:v>
      </x:c>
      <x:c r="M1586" s="36" t="n">
        <x:f>Assumptions!$B$19</x:f>
        <x:v>-0.04739891965741583</x:v>
      </x:c>
      <x:c r="N1586" s="52" t="n">
        <x:f>H1586*L1586+(1-H1586)*M1586+O1586</x:f>
        <x:v>0.04646106638691389</x:v>
      </x:c>
      <x:c r="O1586" s="36" t="n">
        <x:f>Assumptions!$B$10</x:f>
        <x:v>0</x:v>
      </x:c>
      <x:c r="P1586" s="54" t="n">
        <x:f>E1586*(1+N1586)</x:f>
        <x:v>3164.4982647540273</x:v>
      </x:c>
      <x:c r="Q1586" s="54" t="n">
        <x:f>P1586-E1586</x:f>
        <x:v>140.49826475402733</x:v>
      </x:c>
      <x:c r="R1586" s="16" t="str">
        <x:v>Yes</x:v>
      </x:c>
      <x:c r="S1586" s="56" t="n">
        <x:v>18831</x:v>
      </x:c>
      <x:c r="T1586" s="56" t="n">
        <x:v>10812</x:v>
      </x:c>
      <x:c r="U1586" s="40" t="n">
        <x:f>E1586*Assumptions!$B$8</x:f>
        <x:v>2570.4</x:v>
      </x:c>
      <x:c r="V1586" s="40" t="n">
        <x:f>P1586*Assumptions!$B$8</x:f>
        <x:v>2689.823525040923</x:v>
      </x:c>
      <x:c r="W1586" s="54" t="n">
        <x:f>V1586-U1586</x:f>
        <x:v>119.42352504092287</x:v>
      </x:c>
      <x:c r="X1586" s="58" t="n">
        <x:f>IF(R1586="No","",W1586*S1586)</x:f>
        <x:v>2248864.4000456184</x:v>
      </x:c>
      <x:c r="Y1586" s="58" t="n">
        <x:f>IF(R1586="No","",W1586*T1586*Assumptions!$B$9)</x:f>
        <x:v>387362.1458227374</x:v>
      </x:c>
      <x:c r="Z1586" s="58" t="n">
        <x:f>IF(R1586="No","",X1586-Y1586)</x:f>
        <x:v>1861502.254222881</x:v>
      </x:c>
      <x:c r="AA1586" s="58" t="n">
        <x:f>IF(R1586="No","",MAX(0,-Z1586))</x:f>
        <x:v>0</x:v>
      </x:c>
      <x:c r="AB1586" s="52" t="n">
        <x:f>IF(OR(R1586="No",U1586*S1586=0),"",AA1586/(U1586*S1586))</x:f>
        <x:v>0</x:v>
      </x:c>
      <x:c r="AC1586" s="54" t="n">
        <x:f>IF(OR(R1586="No",S1586-T1586*Assumptions!$B$9&lt;=0),"",AA1586/(Assumptions!$B$8*(S1586-T1586*Assumptions!$B$9)))</x:f>
        <x:v>0</x:v>
      </x:c>
      <x:c r="AD1586" s="52" t="n">
        <x:f>IF(OR(R1586="No",U1586*S1586=0),"",AA1586/(U1586*S1586))</x:f>
        <x:v>0</x:v>
      </x:c>
      <x:c r="AE1586" s="50" t="str">
        <x:f>IF(R1586="No","No finance data",IF(AB1586&gt;=10%,"Severe",IF(AB1586&gt;=5%,"High",IF(AB1586&gt;=2%,"Moderate","Low"))))</x:f>
        <x:v>Low</x:v>
      </x:c>
      <x:c r="AF1586" s="60" t="n">
        <x:v>36.106253</x:v>
      </x:c>
      <x:c r="AG1586" s="60" t="n">
        <x:v>-86.799791</x:v>
      </x:c>
      <x:c r="AH1586" s="44" t="str">
        <x:v>Undergraduate tuition-contribution proxy only; not an audited total institutional budget.</x:v>
      </x:c>
    </x:row>
    <x:row r="1587">
      <x:c r="A1587" s="16" t="n">
        <x:v>220701</x:v>
      </x:c>
      <x:c r="B1587" s="16" t="str">
        <x:v>Martin Methodist College</x:v>
      </x:c>
      <x:c r="C1587" s="16" t="str">
        <x:v>TN</x:v>
      </x:c>
      <x:c r="D1587" s="16" t="str">
        <x:v>Private nonprofit</x:v>
      </x:c>
      <x:c r="E1587" s="34" t="n">
        <x:v>1098</x:v>
      </x:c>
      <x:c r="F1587" s="21" t="n">
        <x:v>0.9216</x:v>
      </x:c>
      <x:c r="G1587" s="16" t="str">
        <x:v>Regional</x:v>
      </x:c>
      <x:c r="H1587" s="36" t="n">
        <x:f>IF(G1587="National",Assumptions!$B$11,IF(G1587="Statewide",Assumptions!$B$12,Assumptions!$B$13))</x:f>
        <x:v>0.85</x:v>
      </x:c>
      <x:c r="I1587" s="21" t="n">
        <x:v>-0.0004403581579685012</x:v>
      </x:c>
      <x:c r="J1587" s="21" t="n">
        <x:v>0.06302459333591326</x:v>
      </x:c>
      <x:c r="K1587" s="21" t="n">
        <x:v>0.08700409666528786</x:v>
      </x:c>
      <x:c r="L1587" s="36" t="n">
        <x:f>IF(Assumptions!$B$4=2030,I1587,IF(Assumptions!$B$4=2035,J1587,K1587))</x:f>
        <x:v>0.06302459333591326</x:v>
      </x:c>
      <x:c r="M1587" s="36" t="n">
        <x:f>Assumptions!$B$19</x:f>
        <x:v>-0.04739891965741583</x:v>
      </x:c>
      <x:c r="N1587" s="52" t="n">
        <x:f>H1587*L1587+(1-H1587)*M1587+O1587</x:f>
        <x:v>0.04646106638691389</x:v>
      </x:c>
      <x:c r="O1587" s="36" t="n">
        <x:f>Assumptions!$B$10</x:f>
        <x:v>0</x:v>
      </x:c>
      <x:c r="P1587" s="54" t="n">
        <x:f>E1587*(1+N1587)</x:f>
        <x:v>1149.0142508928313</x:v>
      </x:c>
      <x:c r="Q1587" s="54" t="n">
        <x:f>P1587-E1587</x:f>
        <x:v>51.01425089283134</x:v>
      </x:c>
      <x:c r="R1587" s="16" t="str">
        <x:v>Yes</x:v>
      </x:c>
      <x:c r="S1587" s="56" t="n">
        <x:v>11325</x:v>
      </x:c>
      <x:c r="T1587" s="56" t="n">
        <x:v>8046</x:v>
      </x:c>
      <x:c r="U1587" s="40" t="n">
        <x:f>E1587*Assumptions!$B$8</x:f>
        <x:v>933.3</x:v>
      </x:c>
      <x:c r="V1587" s="40" t="n">
        <x:f>P1587*Assumptions!$B$8</x:f>
        <x:v>976.6621132589066</x:v>
      </x:c>
      <x:c r="W1587" s="54" t="n">
        <x:f>V1587-U1587</x:f>
        <x:v>43.362113258906675</x:v>
      </x:c>
      <x:c r="X1587" s="58" t="n">
        <x:f>IF(R1587="No","",W1587*S1587)</x:f>
        <x:v>491075.9326571181</x:v>
      </x:c>
      <x:c r="Y1587" s="58" t="n">
        <x:f>IF(R1587="No","",W1587*T1587*Assumptions!$B$9)</x:f>
        <x:v>104667.46898434893</x:v>
      </x:c>
      <x:c r="Z1587" s="58" t="n">
        <x:f>IF(R1587="No","",X1587-Y1587)</x:f>
        <x:v>386408.46367276914</x:v>
      </x:c>
      <x:c r="AA1587" s="58" t="n">
        <x:f>IF(R1587="No","",MAX(0,-Z1587))</x:f>
        <x:v>0</x:v>
      </x:c>
      <x:c r="AB1587" s="52" t="n">
        <x:f>IF(OR(R1587="No",U1587*S1587=0),"",AA1587/(U1587*S1587))</x:f>
        <x:v>0</x:v>
      </x:c>
      <x:c r="AC1587" s="54" t="n">
        <x:f>IF(OR(R1587="No",S1587-T1587*Assumptions!$B$9&lt;=0),"",AA1587/(Assumptions!$B$8*(S1587-T1587*Assumptions!$B$9)))</x:f>
        <x:v>0</x:v>
      </x:c>
      <x:c r="AD1587" s="52" t="n">
        <x:f>IF(OR(R1587="No",U1587*S1587=0),"",AA1587/(U1587*S1587))</x:f>
        <x:v>0</x:v>
      </x:c>
      <x:c r="AE1587" s="50" t="str">
        <x:f>IF(R1587="No","No finance data",IF(AB1587&gt;=10%,"Severe",IF(AB1587&gt;=5%,"High",IF(AB1587&gt;=2%,"Moderate","Low"))))</x:f>
        <x:v>Low</x:v>
      </x:c>
      <x:c r="AF1587" s="60" t="n">
        <x:v>35.201019</x:v>
      </x:c>
      <x:c r="AG1587" s="60" t="n">
        <x:v>-87.035661</x:v>
      </x:c>
      <x:c r="AH1587" s="44" t="str">
        <x:v>Undergraduate tuition-contribution proxy only; not an audited total institutional budget.</x:v>
      </x:c>
    </x:row>
    <x:row r="1588">
      <x:c r="A1588" s="16" t="n">
        <x:v>220710</x:v>
      </x:c>
      <x:c r="B1588" s="16" t="str">
        <x:v>Maryville College</x:v>
      </x:c>
      <x:c r="C1588" s="16" t="str">
        <x:v>TN</x:v>
      </x:c>
      <x:c r="D1588" s="16" t="str">
        <x:v>Private nonprofit</x:v>
      </x:c>
      <x:c r="E1588" s="34" t="n">
        <x:v>1171</x:v>
      </x:c>
      <x:c r="F1588" s="21" t="n">
        <x:v>0.6819</x:v>
      </x:c>
      <x:c r="G1588" s="16" t="str">
        <x:v>Regional</x:v>
      </x:c>
      <x:c r="H1588" s="36" t="n">
        <x:f>IF(G1588="National",Assumptions!$B$11,IF(G1588="Statewide",Assumptions!$B$12,Assumptions!$B$13))</x:f>
        <x:v>0.85</x:v>
      </x:c>
      <x:c r="I1588" s="21" t="n">
        <x:v>-0.0004403581579685012</x:v>
      </x:c>
      <x:c r="J1588" s="21" t="n">
        <x:v>0.06302459333591326</x:v>
      </x:c>
      <x:c r="K1588" s="21" t="n">
        <x:v>0.08700409666528786</x:v>
      </x:c>
      <x:c r="L1588" s="36" t="n">
        <x:f>IF(Assumptions!$B$4=2030,I1588,IF(Assumptions!$B$4=2035,J1588,K1588))</x:f>
        <x:v>0.06302459333591326</x:v>
      </x:c>
      <x:c r="M1588" s="36" t="n">
        <x:f>Assumptions!$B$19</x:f>
        <x:v>-0.04739891965741583</x:v>
      </x:c>
      <x:c r="N1588" s="52" t="n">
        <x:f>H1588*L1588+(1-H1588)*M1588+O1588</x:f>
        <x:v>0.04646106638691389</x:v>
      </x:c>
      <x:c r="O1588" s="36" t="n">
        <x:f>Assumptions!$B$10</x:f>
        <x:v>0</x:v>
      </x:c>
      <x:c r="P1588" s="54" t="n">
        <x:f>E1588*(1+N1588)</x:f>
        <x:v>1225.405908739076</x:v>
      </x:c>
      <x:c r="Q1588" s="54" t="n">
        <x:f>P1588-E1588</x:f>
        <x:v>54.40590873907604</x:v>
      </x:c>
      <x:c r="R1588" s="16" t="str">
        <x:v>Yes</x:v>
      </x:c>
      <x:c r="S1588" s="56" t="n">
        <x:v>14454</x:v>
      </x:c>
      <x:c r="T1588" s="56" t="n">
        <x:v>8436</x:v>
      </x:c>
      <x:c r="U1588" s="40" t="n">
        <x:f>E1588*Assumptions!$B$8</x:f>
        <x:v>995.35</x:v>
      </x:c>
      <x:c r="V1588" s="40" t="n">
        <x:f>P1588*Assumptions!$B$8</x:f>
        <x:v>1041.5950224282146</x:v>
      </x:c>
      <x:c r="W1588" s="54" t="n">
        <x:f>V1588-U1588</x:f>
        <x:v>46.24502242821461</x:v>
      </x:c>
      <x:c r="X1588" s="58" t="n">
        <x:f>IF(R1588="No","",W1588*S1588)</x:f>
        <x:v>668425.554177414</x:v>
      </x:c>
      <x:c r="Y1588" s="58" t="n">
        <x:f>IF(R1588="No","",W1588*T1588*Assumptions!$B$9)</x:f>
        <x:v>117036.90276132553</x:v>
      </x:c>
      <x:c r="Z1588" s="58" t="n">
        <x:f>IF(R1588="No","",X1588-Y1588)</x:f>
        <x:v>551388.6514160885</x:v>
      </x:c>
      <x:c r="AA1588" s="58" t="n">
        <x:f>IF(R1588="No","",MAX(0,-Z1588))</x:f>
        <x:v>0</x:v>
      </x:c>
      <x:c r="AB1588" s="52" t="n">
        <x:f>IF(OR(R1588="No",U1588*S1588=0),"",AA1588/(U1588*S1588))</x:f>
        <x:v>0</x:v>
      </x:c>
      <x:c r="AC1588" s="54" t="n">
        <x:f>IF(OR(R1588="No",S1588-T1588*Assumptions!$B$9&lt;=0),"",AA1588/(Assumptions!$B$8*(S1588-T1588*Assumptions!$B$9)))</x:f>
        <x:v>0</x:v>
      </x:c>
      <x:c r="AD1588" s="52" t="n">
        <x:f>IF(OR(R1588="No",U1588*S1588=0),"",AA1588/(U1588*S1588))</x:f>
        <x:v>0</x:v>
      </x:c>
      <x:c r="AE1588" s="50" t="str">
        <x:f>IF(R1588="No","No finance data",IF(AB1588&gt;=10%,"Severe",IF(AB1588&gt;=5%,"High",IF(AB1588&gt;=2%,"Moderate","Low"))))</x:f>
        <x:v>Low</x:v>
      </x:c>
      <x:c r="AF1588" s="60" t="n">
        <x:v>35.751505</x:v>
      </x:c>
      <x:c r="AG1588" s="60" t="n">
        <x:v>-83.964223</x:v>
      </x:c>
      <x:c r="AH1588" s="44" t="str">
        <x:v>Undergraduate tuition-contribution proxy only; not an audited total institutional budget.</x:v>
      </x:c>
    </x:row>
    <x:row r="1589">
      <x:c r="A1589" s="16" t="n">
        <x:v>220808</x:v>
      </x:c>
      <x:c r="B1589" s="16" t="str">
        <x:v>Memphis College of Art</x:v>
      </x:c>
      <x:c r="C1589" s="16" t="str">
        <x:v>TN</x:v>
      </x:c>
      <x:c r="D1589" s="16" t="str">
        <x:v>Private nonprofit</x:v>
      </x:c>
      <x:c r="E1589" s="34" t="n">
        <x:v>357</x:v>
      </x:c>
      <x:c r="F1589" s="21"/>
      <x:c r="G1589" s="16" t="str">
        <x:v>Regional</x:v>
      </x:c>
      <x:c r="H1589" s="36" t="n">
        <x:f>IF(G1589="National",Assumptions!$B$11,IF(G1589="Statewide",Assumptions!$B$12,Assumptions!$B$13))</x:f>
        <x:v>0.85</x:v>
      </x:c>
      <x:c r="I1589" s="21" t="n">
        <x:v>-0.0004403581579685012</x:v>
      </x:c>
      <x:c r="J1589" s="21" t="n">
        <x:v>0.06302459333591326</x:v>
      </x:c>
      <x:c r="K1589" s="21" t="n">
        <x:v>0.08700409666528786</x:v>
      </x:c>
      <x:c r="L1589" s="36" t="n">
        <x:f>IF(Assumptions!$B$4=2030,I1589,IF(Assumptions!$B$4=2035,J1589,K1589))</x:f>
        <x:v>0.06302459333591326</x:v>
      </x:c>
      <x:c r="M1589" s="36" t="n">
        <x:f>Assumptions!$B$19</x:f>
        <x:v>-0.04739891965741583</x:v>
      </x:c>
      <x:c r="N1589" s="52" t="n">
        <x:f>H1589*L1589+(1-H1589)*M1589+O1589</x:f>
        <x:v>0.04646106638691389</x:v>
      </x:c>
      <x:c r="O1589" s="36" t="n">
        <x:f>Assumptions!$B$10</x:f>
        <x:v>0</x:v>
      </x:c>
      <x:c r="P1589" s="54" t="n">
        <x:f>E1589*(1+N1589)</x:f>
        <x:v>373.58660070012826</x:v>
      </x:c>
      <x:c r="Q1589" s="54" t="n">
        <x:f>P1589-E1589</x:f>
        <x:v>16.58660070012826</x:v>
      </x:c>
      <x:c r="R1589" s="16" t="str">
        <x:v>No</x:v>
      </x:c>
      <x:c r="S1589" s="56"/>
      <x:c r="T1589" s="56"/>
      <x:c r="U1589" s="40" t="n">
        <x:f>E1589*Assumptions!$B$8</x:f>
        <x:v>303.45</x:v>
      </x:c>
      <x:c r="V1589" s="40" t="n">
        <x:f>P1589*Assumptions!$B$8</x:f>
        <x:v>317.54861059510904</x:v>
      </x:c>
      <x:c r="W1589" s="54" t="n">
        <x:f>V1589-U1589</x:f>
        <x:v>14.09861059510905</x:v>
      </x:c>
      <x:c r="X1589" s="58" t="str">
        <x:f>IF(R1589="No","",W1589*S1589)</x:f>
      </x:c>
      <x:c r="Y1589" s="58" t="str">
        <x:f>IF(R1589="No","",W1589*T1589*Assumptions!$B$9)</x:f>
      </x:c>
      <x:c r="Z1589" s="58" t="str">
        <x:f>IF(R1589="No","",X1589-Y1589)</x:f>
      </x:c>
      <x:c r="AA1589" s="58" t="str">
        <x:f>IF(R1589="No","",MAX(0,-Z1589))</x:f>
      </x:c>
      <x:c r="AB1589" s="52" t="str">
        <x:f>IF(OR(R1589="No",U1589*S1589=0),"",AA1589/(U1589*S1589))</x:f>
      </x:c>
      <x:c r="AC1589" s="54" t="str">
        <x:f>IF(OR(R1589="No",S1589-T1589*Assumptions!$B$9&lt;=0),"",AA1589/(Assumptions!$B$8*(S1589-T1589*Assumptions!$B$9)))</x:f>
      </x:c>
      <x:c r="AD1589" s="52" t="str">
        <x:f>IF(OR(R1589="No",U1589*S1589=0),"",AA1589/(U1589*S1589))</x:f>
      </x:c>
      <x:c r="AE1589" s="50" t="str">
        <x:f>IF(R1589="No","No finance data",IF(AB1589&gt;=10%,"Severe",IF(AB1589&gt;=5%,"High",IF(AB1589&gt;=2%,"Moderate","Low"))))</x:f>
        <x:v>No finance data</x:v>
      </x:c>
      <x:c r="AF1589" s="60"/>
      <x:c r="AG1589" s="60"/>
      <x:c r="AH1589" s="44" t="str">
        <x:v>Undergraduate tuition-contribution proxy only; not an audited total institutional budget.</x:v>
      </x:c>
    </x:row>
    <x:row r="1590">
      <x:c r="A1590" s="16" t="n">
        <x:v>481225</x:v>
      </x:c>
      <x:c r="B1590" s="16" t="str">
        <x:v>Mid-South Christian College</x:v>
      </x:c>
      <x:c r="C1590" s="16" t="str">
        <x:v>TN</x:v>
      </x:c>
      <x:c r="D1590" s="16" t="str">
        <x:v>Private nonprofit</x:v>
      </x:c>
      <x:c r="E1590" s="34" t="n">
        <x:v>22</x:v>
      </x:c>
      <x:c r="F1590" s="21"/>
      <x:c r="G1590" s="16" t="str">
        <x:v>Regional</x:v>
      </x:c>
      <x:c r="H1590" s="36" t="n">
        <x:f>IF(G1590="National",Assumptions!$B$11,IF(G1590="Statewide",Assumptions!$B$12,Assumptions!$B$13))</x:f>
        <x:v>0.85</x:v>
      </x:c>
      <x:c r="I1590" s="21" t="n">
        <x:v>-0.0004403581579685012</x:v>
      </x:c>
      <x:c r="J1590" s="21" t="n">
        <x:v>0.06302459333591326</x:v>
      </x:c>
      <x:c r="K1590" s="21" t="n">
        <x:v>0.08700409666528786</x:v>
      </x:c>
      <x:c r="L1590" s="36" t="n">
        <x:f>IF(Assumptions!$B$4=2030,I1590,IF(Assumptions!$B$4=2035,J1590,K1590))</x:f>
        <x:v>0.06302459333591326</x:v>
      </x:c>
      <x:c r="M1590" s="36" t="n">
        <x:f>Assumptions!$B$19</x:f>
        <x:v>-0.04739891965741583</x:v>
      </x:c>
      <x:c r="N1590" s="52" t="n">
        <x:f>H1590*L1590+(1-H1590)*M1590+O1590</x:f>
        <x:v>0.04646106638691389</x:v>
      </x:c>
      <x:c r="O1590" s="36" t="n">
        <x:f>Assumptions!$B$10</x:f>
        <x:v>0</x:v>
      </x:c>
      <x:c r="P1590" s="54" t="n">
        <x:f>E1590*(1+N1590)</x:f>
        <x:v>23.022143460512105</x:v>
      </x:c>
      <x:c r="Q1590" s="54" t="n">
        <x:f>P1590-E1590</x:f>
        <x:v>1.0221434605121047</x:v>
      </x:c>
      <x:c r="R1590" s="16" t="str">
        <x:v>No</x:v>
      </x:c>
      <x:c r="S1590" s="56"/>
      <x:c r="T1590" s="56"/>
      <x:c r="U1590" s="40" t="n">
        <x:f>E1590*Assumptions!$B$8</x:f>
        <x:v>18.7</x:v>
      </x:c>
      <x:c r="V1590" s="40" t="n">
        <x:f>P1590*Assumptions!$B$8</x:f>
        <x:v>19.56882194143529</x:v>
      </x:c>
      <x:c r="W1590" s="54" t="n">
        <x:f>V1590-U1590</x:f>
        <x:v>0.8688219414352893</x:v>
      </x:c>
      <x:c r="X1590" s="58" t="str">
        <x:f>IF(R1590="No","",W1590*S1590)</x:f>
      </x:c>
      <x:c r="Y1590" s="58" t="str">
        <x:f>IF(R1590="No","",W1590*T1590*Assumptions!$B$9)</x:f>
      </x:c>
      <x:c r="Z1590" s="58" t="str">
        <x:f>IF(R1590="No","",X1590-Y1590)</x:f>
      </x:c>
      <x:c r="AA1590" s="58" t="str">
        <x:f>IF(R1590="No","",MAX(0,-Z1590))</x:f>
      </x:c>
      <x:c r="AB1590" s="52" t="str">
        <x:f>IF(OR(R1590="No",U1590*S1590=0),"",AA1590/(U1590*S1590))</x:f>
      </x:c>
      <x:c r="AC1590" s="54" t="str">
        <x:f>IF(OR(R1590="No",S1590-T1590*Assumptions!$B$9&lt;=0),"",AA1590/(Assumptions!$B$8*(S1590-T1590*Assumptions!$B$9)))</x:f>
      </x:c>
      <x:c r="AD1590" s="52" t="str">
        <x:f>IF(OR(R1590="No",U1590*S1590=0),"",AA1590/(U1590*S1590))</x:f>
      </x:c>
      <x:c r="AE1590" s="50" t="str">
        <x:f>IF(R1590="No","No finance data",IF(AB1590&gt;=10%,"Severe",IF(AB1590&gt;=5%,"High",IF(AB1590&gt;=2%,"Moderate","Low"))))</x:f>
        <x:v>No finance data</x:v>
      </x:c>
      <x:c r="AF1590" s="60"/>
      <x:c r="AG1590" s="60"/>
      <x:c r="AH1590" s="44" t="str">
        <x:v>Undergraduate tuition-contribution proxy only; not an audited total institutional budget.</x:v>
      </x:c>
    </x:row>
    <x:row r="1591">
      <x:c r="A1591" s="16" t="n">
        <x:v>220978</x:v>
      </x:c>
      <x:c r="B1591" s="16" t="str">
        <x:v>Middle Tennessee State University</x:v>
      </x:c>
      <x:c r="C1591" s="16" t="str">
        <x:v>TN</x:v>
      </x:c>
      <x:c r="D1591" s="16" t="str">
        <x:v>Public</x:v>
      </x:c>
      <x:c r="E1591" s="34" t="n">
        <x:v>19446</x:v>
      </x:c>
      <x:c r="F1591" s="21" t="n">
        <x:v>0.684</x:v>
      </x:c>
      <x:c r="G1591" s="16" t="str">
        <x:v>Statewide</x:v>
      </x:c>
      <x:c r="H1591" s="36" t="n">
        <x:f>IF(G1591="National",Assumptions!$B$11,IF(G1591="Statewide",Assumptions!$B$12,Assumptions!$B$13))</x:f>
        <x:v>0.6</x:v>
      </x:c>
      <x:c r="I1591" s="21" t="n">
        <x:v>-0.0004403581579685012</x:v>
      </x:c>
      <x:c r="J1591" s="21" t="n">
        <x:v>0.06302459333591326</x:v>
      </x:c>
      <x:c r="K1591" s="21" t="n">
        <x:v>0.08700409666528786</x:v>
      </x:c>
      <x:c r="L1591" s="36" t="n">
        <x:f>IF(Assumptions!$B$4=2030,I1591,IF(Assumptions!$B$4=2035,J1591,K1591))</x:f>
        <x:v>0.06302459333591326</x:v>
      </x:c>
      <x:c r="M1591" s="36" t="n">
        <x:f>Assumptions!$B$19</x:f>
        <x:v>-0.04739891965741583</x:v>
      </x:c>
      <x:c r="N1591" s="52" t="n">
        <x:f>H1591*L1591+(1-H1591)*M1591+O1591</x:f>
        <x:v>0.01885518813858162</x:v>
      </x:c>
      <x:c r="O1591" s="36" t="n">
        <x:f>Assumptions!$B$10</x:f>
        <x:v>0</x:v>
      </x:c>
      <x:c r="P1591" s="54" t="n">
        <x:f>E1591*(1+N1591)</x:f>
        <x:v>19812.65798854286</x:v>
      </x:c>
      <x:c r="Q1591" s="54" t="n">
        <x:f>P1591-E1591</x:f>
        <x:v>366.6579885428582</x:v>
      </x:c>
      <x:c r="R1591" s="16" t="str">
        <x:v>Yes</x:v>
      </x:c>
      <x:c r="S1591" s="56" t="n">
        <x:v>7443</x:v>
      </x:c>
      <x:c r="T1591" s="56" t="n">
        <x:v>10074</x:v>
      </x:c>
      <x:c r="U1591" s="40" t="n">
        <x:f>E1591*Assumptions!$B$8</x:f>
        <x:v>16529.1</x:v>
      </x:c>
      <x:c r="V1591" s="40" t="n">
        <x:f>P1591*Assumptions!$B$8</x:f>
        <x:v>16840.75929026143</x:v>
      </x:c>
      <x:c r="W1591" s="54" t="n">
        <x:f>V1591-U1591</x:f>
        <x:v>311.65929026143203</x:v>
      </x:c>
      <x:c r="X1591" s="58" t="n">
        <x:f>IF(R1591="No","",W1591*S1591)</x:f>
        <x:v>2319680.097415839</x:v>
      </x:c>
      <x:c r="Y1591" s="58" t="n">
        <x:f>IF(R1591="No","",W1591*T1591*Assumptions!$B$9)</x:f>
        <x:v>941896.7070280999</x:v>
      </x:c>
      <x:c r="Z1591" s="58" t="n">
        <x:f>IF(R1591="No","",X1591-Y1591)</x:f>
        <x:v>1377783.390387739</x:v>
      </x:c>
      <x:c r="AA1591" s="58" t="n">
        <x:f>IF(R1591="No","",MAX(0,-Z1591))</x:f>
        <x:v>0</x:v>
      </x:c>
      <x:c r="AB1591" s="52" t="n">
        <x:f>IF(OR(R1591="No",U1591*S1591=0),"",AA1591/(U1591*S1591))</x:f>
        <x:v>0</x:v>
      </x:c>
      <x:c r="AC1591" s="54" t="n">
        <x:f>IF(OR(R1591="No",S1591-T1591*Assumptions!$B$9&lt;=0),"",AA1591/(Assumptions!$B$8*(S1591-T1591*Assumptions!$B$9)))</x:f>
        <x:v>0</x:v>
      </x:c>
      <x:c r="AD1591" s="52" t="n">
        <x:f>IF(OR(R1591="No",U1591*S1591=0),"",AA1591/(U1591*S1591))</x:f>
        <x:v>0</x:v>
      </x:c>
      <x:c r="AE1591" s="50" t="str">
        <x:f>IF(R1591="No","No finance data",IF(AB1591&gt;=10%,"Severe",IF(AB1591&gt;=5%,"High",IF(AB1591&gt;=2%,"Moderate","Low"))))</x:f>
        <x:v>Low</x:v>
      </x:c>
      <x:c r="AF1591" s="60" t="n">
        <x:v>35.848005</x:v>
      </x:c>
      <x:c r="AG1591" s="60" t="n">
        <x:v>-86.360618</x:v>
      </x:c>
      <x:c r="AH1591" s="44" t="str">
        <x:v>Undergraduate tuition-contribution proxy only; not an audited total institutional budget.</x:v>
      </x:c>
    </x:row>
    <x:row r="1592">
      <x:c r="A1592" s="16" t="n">
        <x:v>486901</x:v>
      </x:c>
      <x:c r="B1592" s="16" t="str">
        <x:v>Milligan College</x:v>
      </x:c>
      <x:c r="C1592" s="16" t="str">
        <x:v>TN</x:v>
      </x:c>
      <x:c r="D1592" s="16" t="str">
        <x:v>Private nonprofit</x:v>
      </x:c>
      <x:c r="E1592" s="34" t="n">
        <x:v>832</x:v>
      </x:c>
      <x:c r="F1592" s="21" t="n">
        <x:v>0.6035</x:v>
      </x:c>
      <x:c r="G1592" s="16" t="str">
        <x:v>Regional</x:v>
      </x:c>
      <x:c r="H1592" s="36" t="n">
        <x:f>IF(G1592="National",Assumptions!$B$11,IF(G1592="Statewide",Assumptions!$B$12,Assumptions!$B$13))</x:f>
        <x:v>0.85</x:v>
      </x:c>
      <x:c r="I1592" s="21" t="n">
        <x:v>-0.0004403581579685012</x:v>
      </x:c>
      <x:c r="J1592" s="21" t="n">
        <x:v>0.06302459333591326</x:v>
      </x:c>
      <x:c r="K1592" s="21" t="n">
        <x:v>0.08700409666528786</x:v>
      </x:c>
      <x:c r="L1592" s="36" t="n">
        <x:f>IF(Assumptions!$B$4=2030,I1592,IF(Assumptions!$B$4=2035,J1592,K1592))</x:f>
        <x:v>0.06302459333591326</x:v>
      </x:c>
      <x:c r="M1592" s="36" t="n">
        <x:f>Assumptions!$B$19</x:f>
        <x:v>-0.04739891965741583</x:v>
      </x:c>
      <x:c r="N1592" s="52" t="n">
        <x:f>H1592*L1592+(1-H1592)*M1592+O1592</x:f>
        <x:v>0.04646106638691389</x:v>
      </x:c>
      <x:c r="O1592" s="36" t="n">
        <x:f>Assumptions!$B$10</x:f>
        <x:v>0</x:v>
      </x:c>
      <x:c r="P1592" s="54" t="n">
        <x:f>E1592*(1+N1592)</x:f>
        <x:v>870.6556072339123</x:v>
      </x:c>
      <x:c r="Q1592" s="54" t="n">
        <x:f>P1592-E1592</x:f>
        <x:v>38.65560723391229</x:v>
      </x:c>
      <x:c r="R1592" s="16" t="str">
        <x:v>Yes</x:v>
      </x:c>
      <x:c r="S1592" s="56" t="n">
        <x:v>14211</x:v>
      </x:c>
      <x:c r="T1592" s="56" t="n">
        <x:v>8452</x:v>
      </x:c>
      <x:c r="U1592" s="40" t="n">
        <x:f>E1592*Assumptions!$B$8</x:f>
        <x:v>707.1999999999999</x:v>
      </x:c>
      <x:c r="V1592" s="40" t="n">
        <x:f>P1592*Assumptions!$B$8</x:f>
        <x:v>740.0572661488254</x:v>
      </x:c>
      <x:c r="W1592" s="54" t="n">
        <x:f>V1592-U1592</x:f>
        <x:v>32.85726614882549</x:v>
      </x:c>
      <x:c r="X1592" s="58" t="n">
        <x:f>IF(R1592="No","",W1592*S1592)</x:f>
        <x:v>466934.609240959</x:v>
      </x:c>
      <x:c r="Y1592" s="58" t="n">
        <x:f>IF(R1592="No","",W1592*T1592*Assumptions!$B$9)</x:f>
        <x:v>83312.8840469619</x:v>
      </x:c>
      <x:c r="Z1592" s="58" t="n">
        <x:f>IF(R1592="No","",X1592-Y1592)</x:f>
        <x:v>383621.7251939971</x:v>
      </x:c>
      <x:c r="AA1592" s="58" t="n">
        <x:f>IF(R1592="No","",MAX(0,-Z1592))</x:f>
        <x:v>0</x:v>
      </x:c>
      <x:c r="AB1592" s="52" t="n">
        <x:f>IF(OR(R1592="No",U1592*S1592=0),"",AA1592/(U1592*S1592))</x:f>
        <x:v>0</x:v>
      </x:c>
      <x:c r="AC1592" s="54" t="n">
        <x:f>IF(OR(R1592="No",S1592-T1592*Assumptions!$B$9&lt;=0),"",AA1592/(Assumptions!$B$8*(S1592-T1592*Assumptions!$B$9)))</x:f>
        <x:v>0</x:v>
      </x:c>
      <x:c r="AD1592" s="52" t="n">
        <x:f>IF(OR(R1592="No",U1592*S1592=0),"",AA1592/(U1592*S1592))</x:f>
        <x:v>0</x:v>
      </x:c>
      <x:c r="AE1592" s="50" t="str">
        <x:f>IF(R1592="No","No finance data",IF(AB1592&gt;=10%,"Severe",IF(AB1592&gt;=5%,"High",IF(AB1592&gt;=2%,"Moderate","Low"))))</x:f>
        <x:v>Low</x:v>
      </x:c>
      <x:c r="AF1592" s="60" t="n">
        <x:v>36.300147</x:v>
      </x:c>
      <x:c r="AG1592" s="60" t="n">
        <x:v>-82.29407</x:v>
      </x:c>
      <x:c r="AH1592" s="44" t="str">
        <x:v>Undergraduate tuition-contribution proxy only; not an audited total institutional budget.</x:v>
      </x:c>
    </x:row>
    <x:row r="1593">
      <x:c r="A1593" s="16" t="n">
        <x:v>221254</x:v>
      </x:c>
      <x:c r="B1593" s="16" t="str">
        <x:v>O'More College of Design</x:v>
      </x:c>
      <x:c r="C1593" s="16" t="str">
        <x:v>TN</x:v>
      </x:c>
      <x:c r="D1593" s="16" t="str">
        <x:v>Private nonprofit</x:v>
      </x:c>
      <x:c r="E1593" s="34" t="n">
        <x:v>167</x:v>
      </x:c>
      <x:c r="F1593" s="21"/>
      <x:c r="G1593" s="16" t="str">
        <x:v>Regional</x:v>
      </x:c>
      <x:c r="H1593" s="36" t="n">
        <x:f>IF(G1593="National",Assumptions!$B$11,IF(G1593="Statewide",Assumptions!$B$12,Assumptions!$B$13))</x:f>
        <x:v>0.85</x:v>
      </x:c>
      <x:c r="I1593" s="21" t="n">
        <x:v>-0.0004403581579685012</x:v>
      </x:c>
      <x:c r="J1593" s="21" t="n">
        <x:v>0.06302459333591326</x:v>
      </x:c>
      <x:c r="K1593" s="21" t="n">
        <x:v>0.08700409666528786</x:v>
      </x:c>
      <x:c r="L1593" s="36" t="n">
        <x:f>IF(Assumptions!$B$4=2030,I1593,IF(Assumptions!$B$4=2035,J1593,K1593))</x:f>
        <x:v>0.06302459333591326</x:v>
      </x:c>
      <x:c r="M1593" s="36" t="n">
        <x:f>Assumptions!$B$19</x:f>
        <x:v>-0.04739891965741583</x:v>
      </x:c>
      <x:c r="N1593" s="52" t="n">
        <x:f>H1593*L1593+(1-H1593)*M1593+O1593</x:f>
        <x:v>0.04646106638691389</x:v>
      </x:c>
      <x:c r="O1593" s="36" t="n">
        <x:f>Assumptions!$B$10</x:f>
        <x:v>0</x:v>
      </x:c>
      <x:c r="P1593" s="54" t="n">
        <x:f>E1593*(1+N1593)</x:f>
        <x:v>174.7589980866146</x:v>
      </x:c>
      <x:c r="Q1593" s="54" t="n">
        <x:f>P1593-E1593</x:f>
        <x:v>7.758998086614611</x:v>
      </x:c>
      <x:c r="R1593" s="16" t="str">
        <x:v>No</x:v>
      </x:c>
      <x:c r="S1593" s="56"/>
      <x:c r="T1593" s="56"/>
      <x:c r="U1593" s="40" t="n">
        <x:f>E1593*Assumptions!$B$8</x:f>
        <x:v>141.95</x:v>
      </x:c>
      <x:c r="V1593" s="40" t="n">
        <x:f>P1593*Assumptions!$B$8</x:f>
        <x:v>148.54514837362242</x:v>
      </x:c>
      <x:c r="W1593" s="54" t="n">
        <x:f>V1593-U1593</x:f>
        <x:v>6.595148373622436</x:v>
      </x:c>
      <x:c r="X1593" s="58" t="str">
        <x:f>IF(R1593="No","",W1593*S1593)</x:f>
      </x:c>
      <x:c r="Y1593" s="58" t="str">
        <x:f>IF(R1593="No","",W1593*T1593*Assumptions!$B$9)</x:f>
      </x:c>
      <x:c r="Z1593" s="58" t="str">
        <x:f>IF(R1593="No","",X1593-Y1593)</x:f>
      </x:c>
      <x:c r="AA1593" s="58" t="str">
        <x:f>IF(R1593="No","",MAX(0,-Z1593))</x:f>
      </x:c>
      <x:c r="AB1593" s="52" t="str">
        <x:f>IF(OR(R1593="No",U1593*S1593=0),"",AA1593/(U1593*S1593))</x:f>
      </x:c>
      <x:c r="AC1593" s="54" t="str">
        <x:f>IF(OR(R1593="No",S1593-T1593*Assumptions!$B$9&lt;=0),"",AA1593/(Assumptions!$B$8*(S1593-T1593*Assumptions!$B$9)))</x:f>
      </x:c>
      <x:c r="AD1593" s="52" t="str">
        <x:f>IF(OR(R1593="No",U1593*S1593=0),"",AA1593/(U1593*S1593))</x:f>
      </x:c>
      <x:c r="AE1593" s="50" t="str">
        <x:f>IF(R1593="No","No finance data",IF(AB1593&gt;=10%,"Severe",IF(AB1593&gt;=5%,"High",IF(AB1593&gt;=2%,"Moderate","Low"))))</x:f>
        <x:v>No finance data</x:v>
      </x:c>
      <x:c r="AF1593" s="60"/>
      <x:c r="AG1593" s="60"/>
      <x:c r="AH1593" s="44" t="str">
        <x:v>Undergraduate tuition-contribution proxy only; not an audited total institutional budget.</x:v>
      </x:c>
    </x:row>
    <x:row r="1594">
      <x:c r="A1594" s="16" t="n">
        <x:v>221351</x:v>
      </x:c>
      <x:c r="B1594" s="16" t="str">
        <x:v>Rhodes College</x:v>
      </x:c>
      <x:c r="C1594" s="16" t="str">
        <x:v>TN</x:v>
      </x:c>
      <x:c r="D1594" s="16" t="str">
        <x:v>Private nonprofit</x:v>
      </x:c>
      <x:c r="E1594" s="34" t="n">
        <x:v>2031</x:v>
      </x:c>
      <x:c r="F1594" s="21" t="n">
        <x:v>0.5688</x:v>
      </x:c>
      <x:c r="G1594" s="16" t="str">
        <x:v>Regional</x:v>
      </x:c>
      <x:c r="H1594" s="36" t="n">
        <x:f>IF(G1594="National",Assumptions!$B$11,IF(G1594="Statewide",Assumptions!$B$12,Assumptions!$B$13))</x:f>
        <x:v>0.85</x:v>
      </x:c>
      <x:c r="I1594" s="21" t="n">
        <x:v>-0.0004403581579685012</x:v>
      </x:c>
      <x:c r="J1594" s="21" t="n">
        <x:v>0.06302459333591326</x:v>
      </x:c>
      <x:c r="K1594" s="21" t="n">
        <x:v>0.08700409666528786</x:v>
      </x:c>
      <x:c r="L1594" s="36" t="n">
        <x:f>IF(Assumptions!$B$4=2030,I1594,IF(Assumptions!$B$4=2035,J1594,K1594))</x:f>
        <x:v>0.06302459333591326</x:v>
      </x:c>
      <x:c r="M1594" s="36" t="n">
        <x:f>Assumptions!$B$19</x:f>
        <x:v>-0.04739891965741583</x:v>
      </x:c>
      <x:c r="N1594" s="52" t="n">
        <x:f>H1594*L1594+(1-H1594)*M1594+O1594</x:f>
        <x:v>0.04646106638691389</x:v>
      </x:c>
      <x:c r="O1594" s="36" t="n">
        <x:f>Assumptions!$B$10</x:f>
        <x:v>0</x:v>
      </x:c>
      <x:c r="P1594" s="54" t="n">
        <x:f>E1594*(1+N1594)</x:f>
        <x:v>2125.362425831822</x:v>
      </x:c>
      <x:c r="Q1594" s="54" t="n">
        <x:f>P1594-E1594</x:f>
        <x:v>94.36242583182184</x:v>
      </x:c>
      <x:c r="R1594" s="16" t="str">
        <x:v>Yes</x:v>
      </x:c>
      <x:c r="S1594" s="56" t="n">
        <x:v>15787</x:v>
      </x:c>
      <x:c r="T1594" s="56" t="n">
        <x:v>15138</x:v>
      </x:c>
      <x:c r="U1594" s="40" t="n">
        <x:f>E1594*Assumptions!$B$8</x:f>
        <x:v>1726.35</x:v>
      </x:c>
      <x:c r="V1594" s="40" t="n">
        <x:f>P1594*Assumptions!$B$8</x:f>
        <x:v>1806.5580619570485</x:v>
      </x:c>
      <x:c r="W1594" s="54" t="n">
        <x:f>V1594-U1594</x:f>
        <x:v>80.20806195704859</x:v>
      </x:c>
      <x:c r="X1594" s="58" t="n">
        <x:f>IF(R1594="No","",W1594*S1594)</x:f>
        <x:v>1266244.674115926</x:v>
      </x:c>
      <x:c r="Y1594" s="58" t="n">
        <x:f>IF(R1594="No","",W1594*T1594*Assumptions!$B$9)</x:f>
        <x:v>364256.8925717404</x:v>
      </x:c>
      <x:c r="Z1594" s="58" t="n">
        <x:f>IF(R1594="No","",X1594-Y1594)</x:f>
        <x:v>901987.7815441857</x:v>
      </x:c>
      <x:c r="AA1594" s="58" t="n">
        <x:f>IF(R1594="No","",MAX(0,-Z1594))</x:f>
        <x:v>0</x:v>
      </x:c>
      <x:c r="AB1594" s="52" t="n">
        <x:f>IF(OR(R1594="No",U1594*S1594=0),"",AA1594/(U1594*S1594))</x:f>
        <x:v>0</x:v>
      </x:c>
      <x:c r="AC1594" s="54" t="n">
        <x:f>IF(OR(R1594="No",S1594-T1594*Assumptions!$B$9&lt;=0),"",AA1594/(Assumptions!$B$8*(S1594-T1594*Assumptions!$B$9)))</x:f>
        <x:v>0</x:v>
      </x:c>
      <x:c r="AD1594" s="52" t="n">
        <x:f>IF(OR(R1594="No",U1594*S1594=0),"",AA1594/(U1594*S1594))</x:f>
        <x:v>0</x:v>
      </x:c>
      <x:c r="AE1594" s="50" t="str">
        <x:f>IF(R1594="No","No finance data",IF(AB1594&gt;=10%,"Severe",IF(AB1594&gt;=5%,"High",IF(AB1594&gt;=2%,"Moderate","Low"))))</x:f>
        <x:v>Low</x:v>
      </x:c>
      <x:c r="AF1594" s="60" t="n">
        <x:v>35.154405</x:v>
      </x:c>
      <x:c r="AG1594" s="60" t="n">
        <x:v>-89.990803</x:v>
      </x:c>
      <x:c r="AH1594" s="44" t="str">
        <x:v>Undergraduate tuition-contribution proxy only; not an audited total institutional budget.</x:v>
      </x:c>
    </x:row>
    <x:row r="1595">
      <x:c r="A1595" s="16" t="n">
        <x:v>221519</x:v>
      </x:c>
      <x:c r="B1595" s="16" t="str">
        <x:v>Sewanee-The University of the South</x:v>
      </x:c>
      <x:c r="C1595" s="16" t="str">
        <x:v>TN</x:v>
      </x:c>
      <x:c r="D1595" s="16" t="str">
        <x:v>Private nonprofit</x:v>
      </x:c>
      <x:c r="E1595" s="34" t="n">
        <x:v>1689</x:v>
      </x:c>
      <x:c r="F1595" s="21" t="n">
        <x:v>0.6026</x:v>
      </x:c>
      <x:c r="G1595" s="16" t="str">
        <x:v>Regional</x:v>
      </x:c>
      <x:c r="H1595" s="36" t="n">
        <x:f>IF(G1595="National",Assumptions!$B$11,IF(G1595="Statewide",Assumptions!$B$12,Assumptions!$B$13))</x:f>
        <x:v>0.85</x:v>
      </x:c>
      <x:c r="I1595" s="21" t="n">
        <x:v>-0.0004403581579685012</x:v>
      </x:c>
      <x:c r="J1595" s="21" t="n">
        <x:v>0.06302459333591326</x:v>
      </x:c>
      <x:c r="K1595" s="21" t="n">
        <x:v>0.08700409666528786</x:v>
      </x:c>
      <x:c r="L1595" s="36" t="n">
        <x:f>IF(Assumptions!$B$4=2030,I1595,IF(Assumptions!$B$4=2035,J1595,K1595))</x:f>
        <x:v>0.06302459333591326</x:v>
      </x:c>
      <x:c r="M1595" s="36" t="n">
        <x:f>Assumptions!$B$19</x:f>
        <x:v>-0.04739891965741583</x:v>
      </x:c>
      <x:c r="N1595" s="52" t="n">
        <x:f>H1595*L1595+(1-H1595)*M1595+O1595</x:f>
        <x:v>0.04646106638691389</x:v>
      </x:c>
      <x:c r="O1595" s="36" t="n">
        <x:f>Assumptions!$B$10</x:f>
        <x:v>0</x:v>
      </x:c>
      <x:c r="P1595" s="54" t="n">
        <x:f>E1595*(1+N1595)</x:f>
        <x:v>1767.4727411274976</x:v>
      </x:c>
      <x:c r="Q1595" s="54" t="n">
        <x:f>P1595-E1595</x:f>
        <x:v>78.47274112749756</x:v>
      </x:c>
      <x:c r="R1595" s="16" t="str">
        <x:v>Yes</x:v>
      </x:c>
      <x:c r="S1595" s="56" t="n">
        <x:v>24189</x:v>
      </x:c>
      <x:c r="T1595" s="56" t="n">
        <x:v>16181</x:v>
      </x:c>
      <x:c r="U1595" s="40" t="n">
        <x:f>E1595*Assumptions!$B$8</x:f>
        <x:v>1435.6499999999999</x:v>
      </x:c>
      <x:c r="V1595" s="40" t="n">
        <x:f>P1595*Assumptions!$B$8</x:f>
        <x:v>1502.351829958373</x:v>
      </x:c>
      <x:c r="W1595" s="54" t="n">
        <x:f>V1595-U1595</x:f>
        <x:v>66.70182995837308</x:v>
      </x:c>
      <x:c r="X1595" s="58" t="n">
        <x:f>IF(R1595="No","",W1595*S1595)</x:f>
        <x:v>1613450.5648630864</x:v>
      </x:c>
      <x:c r="Y1595" s="58" t="n">
        <x:f>IF(R1595="No","",W1595*T1595*Assumptions!$B$9)</x:f>
        <x:v>323790.6931669304</x:v>
      </x:c>
      <x:c r="Z1595" s="58" t="n">
        <x:f>IF(R1595="No","",X1595-Y1595)</x:f>
        <x:v>1289659.871696156</x:v>
      </x:c>
      <x:c r="AA1595" s="58" t="n">
        <x:f>IF(R1595="No","",MAX(0,-Z1595))</x:f>
        <x:v>0</x:v>
      </x:c>
      <x:c r="AB1595" s="52" t="n">
        <x:f>IF(OR(R1595="No",U1595*S1595=0),"",AA1595/(U1595*S1595))</x:f>
        <x:v>0</x:v>
      </x:c>
      <x:c r="AC1595" s="54" t="n">
        <x:f>IF(OR(R1595="No",S1595-T1595*Assumptions!$B$9&lt;=0),"",AA1595/(Assumptions!$B$8*(S1595-T1595*Assumptions!$B$9)))</x:f>
        <x:v>0</x:v>
      </x:c>
      <x:c r="AD1595" s="52" t="n">
        <x:f>IF(OR(R1595="No",U1595*S1595=0),"",AA1595/(U1595*S1595))</x:f>
        <x:v>0</x:v>
      </x:c>
      <x:c r="AE1595" s="50" t="str">
        <x:f>IF(R1595="No","No finance data",IF(AB1595&gt;=10%,"Severe",IF(AB1595&gt;=5%,"High",IF(AB1595&gt;=2%,"Moderate","Low"))))</x:f>
        <x:v>Low</x:v>
      </x:c>
      <x:c r="AF1595" s="60" t="n">
        <x:v>35.204719</x:v>
      </x:c>
      <x:c r="AG1595" s="60" t="n">
        <x:v>-85.920179</x:v>
      </x:c>
      <x:c r="AH1595" s="44" t="str">
        <x:v>Undergraduate tuition-contribution proxy only; not an audited total institutional budget.</x:v>
      </x:c>
    </x:row>
    <x:row r="1596">
      <x:c r="A1596" s="16" t="n">
        <x:v>221661</x:v>
      </x:c>
      <x:c r="B1596" s="16" t="str">
        <x:v>Southern Adventist University</x:v>
      </x:c>
      <x:c r="C1596" s="16" t="str">
        <x:v>TN</x:v>
      </x:c>
      <x:c r="D1596" s="16" t="str">
        <x:v>Private nonprofit</x:v>
      </x:c>
      <x:c r="E1596" s="34" t="n">
        <x:v>2537</x:v>
      </x:c>
      <x:c r="F1596" s="21" t="n">
        <x:v>0.744</x:v>
      </x:c>
      <x:c r="G1596" s="16" t="str">
        <x:v>Regional</x:v>
      </x:c>
      <x:c r="H1596" s="36" t="n">
        <x:f>IF(G1596="National",Assumptions!$B$11,IF(G1596="Statewide",Assumptions!$B$12,Assumptions!$B$13))</x:f>
        <x:v>0.85</x:v>
      </x:c>
      <x:c r="I1596" s="21" t="n">
        <x:v>-0.0004403581579685012</x:v>
      </x:c>
      <x:c r="J1596" s="21" t="n">
        <x:v>0.06302459333591326</x:v>
      </x:c>
      <x:c r="K1596" s="21" t="n">
        <x:v>0.08700409666528786</x:v>
      </x:c>
      <x:c r="L1596" s="36" t="n">
        <x:f>IF(Assumptions!$B$4=2030,I1596,IF(Assumptions!$B$4=2035,J1596,K1596))</x:f>
        <x:v>0.06302459333591326</x:v>
      </x:c>
      <x:c r="M1596" s="36" t="n">
        <x:f>Assumptions!$B$19</x:f>
        <x:v>-0.04739891965741583</x:v>
      </x:c>
      <x:c r="N1596" s="52" t="n">
        <x:f>H1596*L1596+(1-H1596)*M1596+O1596</x:f>
        <x:v>0.04646106638691389</x:v>
      </x:c>
      <x:c r="O1596" s="36" t="n">
        <x:f>Assumptions!$B$10</x:f>
        <x:v>0</x:v>
      </x:c>
      <x:c r="P1596" s="54" t="n">
        <x:f>E1596*(1+N1596)</x:f>
        <x:v>2654.8717254236003</x:v>
      </x:c>
      <x:c r="Q1596" s="54" t="n">
        <x:f>P1596-E1596</x:f>
        <x:v>117.87172542360031</x:v>
      </x:c>
      <x:c r="R1596" s="16" t="str">
        <x:v>Yes</x:v>
      </x:c>
      <x:c r="S1596" s="56" t="n">
        <x:v>15003</x:v>
      </x:c>
      <x:c r="T1596" s="56" t="n">
        <x:v>10457</x:v>
      </x:c>
      <x:c r="U1596" s="40" t="n">
        <x:f>E1596*Assumptions!$B$8</x:f>
        <x:v>2156.45</x:v>
      </x:c>
      <x:c r="V1596" s="40" t="n">
        <x:f>P1596*Assumptions!$B$8</x:f>
        <x:v>2256.6409666100603</x:v>
      </x:c>
      <x:c r="W1596" s="54" t="n">
        <x:f>V1596-U1596</x:f>
        <x:v>100.19096661006051</x:v>
      </x:c>
      <x:c r="X1596" s="58" t="n">
        <x:f>IF(R1596="No","",W1596*S1596)</x:f>
        <x:v>1503165.072050738</x:v>
      </x:c>
      <x:c r="Y1596" s="58" t="n">
        <x:f>IF(R1596="No","",W1596*T1596*Assumptions!$B$9)</x:f>
        <x:v>314309.08135242085</x:v>
      </x:c>
      <x:c r="Z1596" s="58" t="n">
        <x:f>IF(R1596="No","",X1596-Y1596)</x:f>
        <x:v>1188855.990698317</x:v>
      </x:c>
      <x:c r="AA1596" s="58" t="n">
        <x:f>IF(R1596="No","",MAX(0,-Z1596))</x:f>
        <x:v>0</x:v>
      </x:c>
      <x:c r="AB1596" s="52" t="n">
        <x:f>IF(OR(R1596="No",U1596*S1596=0),"",AA1596/(U1596*S1596))</x:f>
        <x:v>0</x:v>
      </x:c>
      <x:c r="AC1596" s="54" t="n">
        <x:f>IF(OR(R1596="No",S1596-T1596*Assumptions!$B$9&lt;=0),"",AA1596/(Assumptions!$B$8*(S1596-T1596*Assumptions!$B$9)))</x:f>
        <x:v>0</x:v>
      </x:c>
      <x:c r="AD1596" s="52" t="n">
        <x:f>IF(OR(R1596="No",U1596*S1596=0),"",AA1596/(U1596*S1596))</x:f>
        <x:v>0</x:v>
      </x:c>
      <x:c r="AE1596" s="50" t="str">
        <x:f>IF(R1596="No","No finance data",IF(AB1596&gt;=10%,"Severe",IF(AB1596&gt;=5%,"High",IF(AB1596&gt;=2%,"Moderate","Low"))))</x:f>
        <x:v>Low</x:v>
      </x:c>
      <x:c r="AF1596" s="60" t="n">
        <x:v>35.048254</x:v>
      </x:c>
      <x:c r="AG1596" s="60" t="n">
        <x:v>-85.052088</x:v>
      </x:c>
      <x:c r="AH1596" s="44" t="str">
        <x:v>Undergraduate tuition-contribution proxy only; not an audited total institutional budget.</x:v>
      </x:c>
    </x:row>
    <x:row r="1597">
      <x:c r="A1597" s="16" t="n">
        <x:v>221838</x:v>
      </x:c>
      <x:c r="B1597" s="16" t="str">
        <x:v>Tennessee State University</x:v>
      </x:c>
      <x:c r="C1597" s="16" t="str">
        <x:v>TN</x:v>
      </x:c>
      <x:c r="D1597" s="16" t="str">
        <x:v>Public</x:v>
      </x:c>
      <x:c r="E1597" s="34" t="n">
        <x:v>7255</x:v>
      </x:c>
      <x:c r="F1597" s="21"/>
      <x:c r="G1597" s="16" t="str">
        <x:v>Statewide</x:v>
      </x:c>
      <x:c r="H1597" s="36" t="n">
        <x:f>IF(G1597="National",Assumptions!$B$11,IF(G1597="Statewide",Assumptions!$B$12,Assumptions!$B$13))</x:f>
        <x:v>0.6</x:v>
      </x:c>
      <x:c r="I1597" s="21" t="n">
        <x:v>-0.0004403581579685012</x:v>
      </x:c>
      <x:c r="J1597" s="21" t="n">
        <x:v>0.06302459333591326</x:v>
      </x:c>
      <x:c r="K1597" s="21" t="n">
        <x:v>0.08700409666528786</x:v>
      </x:c>
      <x:c r="L1597" s="36" t="n">
        <x:f>IF(Assumptions!$B$4=2030,I1597,IF(Assumptions!$B$4=2035,J1597,K1597))</x:f>
        <x:v>0.06302459333591326</x:v>
      </x:c>
      <x:c r="M1597" s="36" t="n">
        <x:f>Assumptions!$B$19</x:f>
        <x:v>-0.04739891965741583</x:v>
      </x:c>
      <x:c r="N1597" s="52" t="n">
        <x:f>H1597*L1597+(1-H1597)*M1597+O1597</x:f>
        <x:v>0.01885518813858162</x:v>
      </x:c>
      <x:c r="O1597" s="36" t="n">
        <x:f>Assumptions!$B$10</x:f>
        <x:v>0</x:v>
      </x:c>
      <x:c r="P1597" s="54" t="n">
        <x:f>E1597*(1+N1597)</x:f>
        <x:v>7391.79438994541</x:v>
      </x:c>
      <x:c r="Q1597" s="54" t="n">
        <x:f>P1597-E1597</x:f>
        <x:v>136.79438994541033</x:v>
      </x:c>
      <x:c r="R1597" s="16" t="str">
        <x:v>Yes</x:v>
      </x:c>
      <x:c r="S1597" s="56" t="n">
        <x:v>4374</x:v>
      </x:c>
      <x:c r="T1597" s="56" t="n">
        <x:v>10641</x:v>
      </x:c>
      <x:c r="U1597" s="40" t="n">
        <x:f>E1597*Assumptions!$B$8</x:f>
        <x:v>6166.75</x:v>
      </x:c>
      <x:c r="V1597" s="40" t="n">
        <x:f>P1597*Assumptions!$B$8</x:f>
        <x:v>6283.025231453598</x:v>
      </x:c>
      <x:c r="W1597" s="54" t="n">
        <x:f>V1597-U1597</x:f>
        <x:v>116.27523145359828</x:v>
      </x:c>
      <x:c r="X1597" s="58" t="n">
        <x:f>IF(R1597="No","",W1597*S1597)</x:f>
        <x:v>508587.8623780389</x:v>
      </x:c>
      <x:c r="Y1597" s="58" t="n">
        <x:f>IF(R1597="No","",W1597*T1597*Assumptions!$B$9)</x:f>
        <x:v>371185.42136932176</x:v>
      </x:c>
      <x:c r="Z1597" s="58" t="n">
        <x:f>IF(R1597="No","",X1597-Y1597)</x:f>
        <x:v>137402.4410087171</x:v>
      </x:c>
      <x:c r="AA1597" s="58" t="n">
        <x:f>IF(R1597="No","",MAX(0,-Z1597))</x:f>
        <x:v>0</x:v>
      </x:c>
      <x:c r="AB1597" s="52" t="n">
        <x:f>IF(OR(R1597="No",U1597*S1597=0),"",AA1597/(U1597*S1597))</x:f>
        <x:v>0</x:v>
      </x:c>
      <x:c r="AC1597" s="54" t="n">
        <x:f>IF(OR(R1597="No",S1597-T1597*Assumptions!$B$9&lt;=0),"",AA1597/(Assumptions!$B$8*(S1597-T1597*Assumptions!$B$9)))</x:f>
        <x:v>0</x:v>
      </x:c>
      <x:c r="AD1597" s="52" t="n">
        <x:f>IF(OR(R1597="No",U1597*S1597=0),"",AA1597/(U1597*S1597))</x:f>
        <x:v>0</x:v>
      </x:c>
      <x:c r="AE1597" s="50" t="str">
        <x:f>IF(R1597="No","No finance data",IF(AB1597&gt;=10%,"Severe",IF(AB1597&gt;=5%,"High",IF(AB1597&gt;=2%,"Moderate","Low"))))</x:f>
        <x:v>Low</x:v>
      </x:c>
      <x:c r="AF1597" s="60" t="n">
        <x:v>36.166321</x:v>
      </x:c>
      <x:c r="AG1597" s="60" t="n">
        <x:v>-86.828275</x:v>
      </x:c>
      <x:c r="AH1597" s="44" t="str">
        <x:v>Undergraduate tuition-contribution proxy only; not an audited total institutional budget.</x:v>
      </x:c>
    </x:row>
    <x:row r="1598">
      <x:c r="A1598" s="16" t="n">
        <x:v>221847</x:v>
      </x:c>
      <x:c r="B1598" s="16" t="str">
        <x:v>Tennessee Technological University</x:v>
      </x:c>
      <x:c r="C1598" s="16" t="str">
        <x:v>TN</x:v>
      </x:c>
      <x:c r="D1598" s="16" t="str">
        <x:v>Public</x:v>
      </x:c>
      <x:c r="E1598" s="34" t="n">
        <x:v>9475</x:v>
      </x:c>
      <x:c r="F1598" s="21" t="n">
        <x:v>0.7915</x:v>
      </x:c>
      <x:c r="G1598" s="16" t="str">
        <x:v>Statewide</x:v>
      </x:c>
      <x:c r="H1598" s="36" t="n">
        <x:f>IF(G1598="National",Assumptions!$B$11,IF(G1598="Statewide",Assumptions!$B$12,Assumptions!$B$13))</x:f>
        <x:v>0.6</x:v>
      </x:c>
      <x:c r="I1598" s="21" t="n">
        <x:v>-0.0004403581579685012</x:v>
      </x:c>
      <x:c r="J1598" s="21" t="n">
        <x:v>0.06302459333591326</x:v>
      </x:c>
      <x:c r="K1598" s="21" t="n">
        <x:v>0.08700409666528786</x:v>
      </x:c>
      <x:c r="L1598" s="36" t="n">
        <x:f>IF(Assumptions!$B$4=2030,I1598,IF(Assumptions!$B$4=2035,J1598,K1598))</x:f>
        <x:v>0.06302459333591326</x:v>
      </x:c>
      <x:c r="M1598" s="36" t="n">
        <x:f>Assumptions!$B$19</x:f>
        <x:v>-0.04739891965741583</x:v>
      </x:c>
      <x:c r="N1598" s="52" t="n">
        <x:f>H1598*L1598+(1-H1598)*M1598+O1598</x:f>
        <x:v>0.01885518813858162</x:v>
      </x:c>
      <x:c r="O1598" s="36" t="n">
        <x:f>Assumptions!$B$10</x:f>
        <x:v>0</x:v>
      </x:c>
      <x:c r="P1598" s="54" t="n">
        <x:f>E1598*(1+N1598)</x:f>
        <x:v>9653.652907613061</x:v>
      </x:c>
      <x:c r="Q1598" s="54" t="n">
        <x:f>P1598-E1598</x:f>
        <x:v>178.65290761306096</x:v>
      </x:c>
      <x:c r="R1598" s="16" t="str">
        <x:v>Yes</x:v>
      </x:c>
      <x:c r="S1598" s="56" t="n">
        <x:v>6431</x:v>
      </x:c>
      <x:c r="T1598" s="56" t="n">
        <x:v>9259</x:v>
      </x:c>
      <x:c r="U1598" s="40" t="n">
        <x:f>E1598*Assumptions!$B$8</x:f>
        <x:v>8053.75</x:v>
      </x:c>
      <x:c r="V1598" s="40" t="n">
        <x:f>P1598*Assumptions!$B$8</x:f>
        <x:v>8205.6049714711</x:v>
      </x:c>
      <x:c r="W1598" s="54" t="n">
        <x:f>V1598-U1598</x:f>
        <x:v>151.85497147110073</x:v>
      </x:c>
      <x:c r="X1598" s="58" t="n">
        <x:f>IF(R1598="No","",W1598*S1598)</x:f>
        <x:v>976579.3215306487</x:v>
      </x:c>
      <x:c r="Y1598" s="58" t="n">
        <x:f>IF(R1598="No","",W1598*T1598*Assumptions!$B$9)</x:f>
        <x:v>421807.5542552765</x:v>
      </x:c>
      <x:c r="Z1598" s="58" t="n">
        <x:f>IF(R1598="No","",X1598-Y1598)</x:f>
        <x:v>554771.7672753723</x:v>
      </x:c>
      <x:c r="AA1598" s="58" t="n">
        <x:f>IF(R1598="No","",MAX(0,-Z1598))</x:f>
        <x:v>0</x:v>
      </x:c>
      <x:c r="AB1598" s="52" t="n">
        <x:f>IF(OR(R1598="No",U1598*S1598=0),"",AA1598/(U1598*S1598))</x:f>
        <x:v>0</x:v>
      </x:c>
      <x:c r="AC1598" s="54" t="n">
        <x:f>IF(OR(R1598="No",S1598-T1598*Assumptions!$B$9&lt;=0),"",AA1598/(Assumptions!$B$8*(S1598-T1598*Assumptions!$B$9)))</x:f>
        <x:v>0</x:v>
      </x:c>
      <x:c r="AD1598" s="52" t="n">
        <x:f>IF(OR(R1598="No",U1598*S1598=0),"",AA1598/(U1598*S1598))</x:f>
        <x:v>0</x:v>
      </x:c>
      <x:c r="AE1598" s="50" t="str">
        <x:f>IF(R1598="No","No finance data",IF(AB1598&gt;=10%,"Severe",IF(AB1598&gt;=5%,"High",IF(AB1598&gt;=2%,"Moderate","Low"))))</x:f>
        <x:v>Low</x:v>
      </x:c>
      <x:c r="AF1598" s="60" t="n">
        <x:v>36.174754</x:v>
      </x:c>
      <x:c r="AG1598" s="60" t="n">
        <x:v>-85.504039</x:v>
      </x:c>
      <x:c r="AH1598" s="44" t="str">
        <x:v>Undergraduate tuition-contribution proxy only; not an audited total institutional budget.</x:v>
      </x:c>
    </x:row>
    <x:row r="1599">
      <x:c r="A1599" s="16" t="n">
        <x:v>221731</x:v>
      </x:c>
      <x:c r="B1599" s="16" t="str">
        <x:v>Tennessee Wesleyan University</x:v>
      </x:c>
      <x:c r="C1599" s="16" t="str">
        <x:v>TN</x:v>
      </x:c>
      <x:c r="D1599" s="16" t="str">
        <x:v>Private nonprofit</x:v>
      </x:c>
      <x:c r="E1599" s="34" t="n">
        <x:v>996</x:v>
      </x:c>
      <x:c r="F1599" s="21" t="n">
        <x:v>0.5962</x:v>
      </x:c>
      <x:c r="G1599" s="16" t="str">
        <x:v>Regional</x:v>
      </x:c>
      <x:c r="H1599" s="36" t="n">
        <x:f>IF(G1599="National",Assumptions!$B$11,IF(G1599="Statewide",Assumptions!$B$12,Assumptions!$B$13))</x:f>
        <x:v>0.85</x:v>
      </x:c>
      <x:c r="I1599" s="21" t="n">
        <x:v>-0.0004403581579685012</x:v>
      </x:c>
      <x:c r="J1599" s="21" t="n">
        <x:v>0.06302459333591326</x:v>
      </x:c>
      <x:c r="K1599" s="21" t="n">
        <x:v>0.08700409666528786</x:v>
      </x:c>
      <x:c r="L1599" s="36" t="n">
        <x:f>IF(Assumptions!$B$4=2030,I1599,IF(Assumptions!$B$4=2035,J1599,K1599))</x:f>
        <x:v>0.06302459333591326</x:v>
      </x:c>
      <x:c r="M1599" s="36" t="n">
        <x:f>Assumptions!$B$19</x:f>
        <x:v>-0.04739891965741583</x:v>
      </x:c>
      <x:c r="N1599" s="52" t="n">
        <x:f>H1599*L1599+(1-H1599)*M1599+O1599</x:f>
        <x:v>0.04646106638691389</x:v>
      </x:c>
      <x:c r="O1599" s="36" t="n">
        <x:f>Assumptions!$B$10</x:f>
        <x:v>0</x:v>
      </x:c>
      <x:c r="P1599" s="54" t="n">
        <x:f>E1599*(1+N1599)</x:f>
        <x:v>1042.2752221213661</x:v>
      </x:c>
      <x:c r="Q1599" s="54" t="n">
        <x:f>P1599-E1599</x:f>
        <x:v>46.27522212136614</x:v>
      </x:c>
      <x:c r="R1599" s="16" t="str">
        <x:v>Yes</x:v>
      </x:c>
      <x:c r="S1599" s="56" t="n">
        <x:v>11098</x:v>
      </x:c>
      <x:c r="T1599" s="56" t="n">
        <x:v>7279</x:v>
      </x:c>
      <x:c r="U1599" s="40" t="n">
        <x:f>E1599*Assumptions!$B$8</x:f>
        <x:v>846.6</x:v>
      </x:c>
      <x:c r="V1599" s="40" t="n">
        <x:f>P1599*Assumptions!$B$8</x:f>
        <x:v>885.9339388031611</x:v>
      </x:c>
      <x:c r="W1599" s="54" t="n">
        <x:f>V1599-U1599</x:f>
        <x:v>39.33393880316112</x:v>
      </x:c>
      <x:c r="X1599" s="58" t="n">
        <x:f>IF(R1599="No","",W1599*S1599)</x:f>
        <x:v>436528.0528374821</x:v>
      </x:c>
      <x:c r="Y1599" s="58" t="n">
        <x:f>IF(R1599="No","",W1599*T1599*Assumptions!$B$9)</x:f>
        <x:v>85893.52216446292</x:v>
      </x:c>
      <x:c r="Z1599" s="58" t="n">
        <x:f>IF(R1599="No","",X1599-Y1599)</x:f>
        <x:v>350634.5306730191</x:v>
      </x:c>
      <x:c r="AA1599" s="58" t="n">
        <x:f>IF(R1599="No","",MAX(0,-Z1599))</x:f>
        <x:v>0</x:v>
      </x:c>
      <x:c r="AB1599" s="52" t="n">
        <x:f>IF(OR(R1599="No",U1599*S1599=0),"",AA1599/(U1599*S1599))</x:f>
        <x:v>0</x:v>
      </x:c>
      <x:c r="AC1599" s="54" t="n">
        <x:f>IF(OR(R1599="No",S1599-T1599*Assumptions!$B$9&lt;=0),"",AA1599/(Assumptions!$B$8*(S1599-T1599*Assumptions!$B$9)))</x:f>
        <x:v>0</x:v>
      </x:c>
      <x:c r="AD1599" s="52" t="n">
        <x:f>IF(OR(R1599="No",U1599*S1599=0),"",AA1599/(U1599*S1599))</x:f>
        <x:v>0</x:v>
      </x:c>
      <x:c r="AE1599" s="50" t="str">
        <x:f>IF(R1599="No","No finance data",IF(AB1599&gt;=10%,"Severe",IF(AB1599&gt;=5%,"High",IF(AB1599&gt;=2%,"Moderate","Low"))))</x:f>
        <x:v>Low</x:v>
      </x:c>
      <x:c r="AF1599" s="60" t="n">
        <x:v>35.446331</x:v>
      </x:c>
      <x:c r="AG1599" s="60" t="n">
        <x:v>-84.592728</x:v>
      </x:c>
      <x:c r="AH1599" s="44" t="str">
        <x:v>Undergraduate tuition-contribution proxy only; not an audited total institutional budget.</x:v>
      </x:c>
    </x:row>
    <x:row r="1600">
      <x:c r="A1600" s="16" t="n">
        <x:v>221740</x:v>
      </x:c>
      <x:c r="B1600" s="16" t="str">
        <x:v>The University of Tennessee-Chattanooga</x:v>
      </x:c>
      <x:c r="C1600" s="16" t="str">
        <x:v>TN</x:v>
      </x:c>
      <x:c r="D1600" s="16" t="str">
        <x:v>Public</x:v>
      </x:c>
      <x:c r="E1600" s="34" t="n">
        <x:v>9976</x:v>
      </x:c>
      <x:c r="F1600" s="21" t="n">
        <x:v>0.8568</x:v>
      </x:c>
      <x:c r="G1600" s="16" t="str">
        <x:v>Statewide</x:v>
      </x:c>
      <x:c r="H1600" s="36" t="n">
        <x:f>IF(G1600="National",Assumptions!$B$11,IF(G1600="Statewide",Assumptions!$B$12,Assumptions!$B$13))</x:f>
        <x:v>0.6</x:v>
      </x:c>
      <x:c r="I1600" s="21" t="n">
        <x:v>-0.0004403581579685012</x:v>
      </x:c>
      <x:c r="J1600" s="21" t="n">
        <x:v>0.06302459333591326</x:v>
      </x:c>
      <x:c r="K1600" s="21" t="n">
        <x:v>0.08700409666528786</x:v>
      </x:c>
      <x:c r="L1600" s="36" t="n">
        <x:f>IF(Assumptions!$B$4=2030,I1600,IF(Assumptions!$B$4=2035,J1600,K1600))</x:f>
        <x:v>0.06302459333591326</x:v>
      </x:c>
      <x:c r="M1600" s="36" t="n">
        <x:f>Assumptions!$B$19</x:f>
        <x:v>-0.04739891965741583</x:v>
      </x:c>
      <x:c r="N1600" s="52" t="n">
        <x:f>H1600*L1600+(1-H1600)*M1600+O1600</x:f>
        <x:v>0.01885518813858162</x:v>
      </x:c>
      <x:c r="O1600" s="36" t="n">
        <x:f>Assumptions!$B$10</x:f>
        <x:v>0</x:v>
      </x:c>
      <x:c r="P1600" s="54" t="n">
        <x:f>E1600*(1+N1600)</x:f>
        <x:v>10164.09935687049</x:v>
      </x:c>
      <x:c r="Q1600" s="54" t="n">
        <x:f>P1600-E1600</x:f>
        <x:v>188.09935687049074</x:v>
      </x:c>
      <x:c r="R1600" s="16" t="str">
        <x:v>Yes</x:v>
      </x:c>
      <x:c r="S1600" s="56" t="n">
        <x:v>6054</x:v>
      </x:c>
      <x:c r="T1600" s="56" t="n">
        <x:v>8124</x:v>
      </x:c>
      <x:c r="U1600" s="40" t="n">
        <x:f>E1600*Assumptions!$B$8</x:f>
        <x:v>8479.6</x:v>
      </x:c>
      <x:c r="V1600" s="40" t="n">
        <x:f>P1600*Assumptions!$B$8</x:f>
        <x:v>8639.484453339917</x:v>
      </x:c>
      <x:c r="W1600" s="54" t="n">
        <x:f>V1600-U1600</x:f>
        <x:v>159.88445333991694</x:v>
      </x:c>
      <x:c r="X1600" s="58" t="n">
        <x:f>IF(R1600="No","",W1600*S1600)</x:f>
        <x:v>967940.4805198571</x:v>
      </x:c>
      <x:c r="Y1600" s="58" t="n">
        <x:f>IF(R1600="No","",W1600*T1600*Assumptions!$B$9)</x:f>
        <x:v>389670.3896800456</x:v>
      </x:c>
      <x:c r="Z1600" s="58" t="n">
        <x:f>IF(R1600="No","",X1600-Y1600)</x:f>
        <x:v>578270.0908398116</x:v>
      </x:c>
      <x:c r="AA1600" s="58" t="n">
        <x:f>IF(R1600="No","",MAX(0,-Z1600))</x:f>
        <x:v>0</x:v>
      </x:c>
      <x:c r="AB1600" s="52" t="n">
        <x:f>IF(OR(R1600="No",U1600*S1600=0),"",AA1600/(U1600*S1600))</x:f>
        <x:v>0</x:v>
      </x:c>
      <x:c r="AC1600" s="54" t="n">
        <x:f>IF(OR(R1600="No",S1600-T1600*Assumptions!$B$9&lt;=0),"",AA1600/(Assumptions!$B$8*(S1600-T1600*Assumptions!$B$9)))</x:f>
        <x:v>0</x:v>
      </x:c>
      <x:c r="AD1600" s="52" t="n">
        <x:f>IF(OR(R1600="No",U1600*S1600=0),"",AA1600/(U1600*S1600))</x:f>
        <x:v>0</x:v>
      </x:c>
      <x:c r="AE1600" s="50" t="str">
        <x:f>IF(R1600="No","No finance data",IF(AB1600&gt;=10%,"Severe",IF(AB1600&gt;=5%,"High",IF(AB1600&gt;=2%,"Moderate","Low"))))</x:f>
        <x:v>Low</x:v>
      </x:c>
      <x:c r="AF1600" s="60" t="n">
        <x:v>35.047519</x:v>
      </x:c>
      <x:c r="AG1600" s="60" t="n">
        <x:v>-85.300247</x:v>
      </x:c>
      <x:c r="AH1600" s="44" t="str">
        <x:v>Undergraduate tuition-contribution proxy only; not an audited total institutional budget.</x:v>
      </x:c>
    </x:row>
    <x:row r="1601">
      <x:c r="A1601" s="16" t="n">
        <x:v>487010</x:v>
      </x:c>
      <x:c r="B1601" s="16" t="str">
        <x:v>The University of Tennessee-Health Science Center</x:v>
      </x:c>
      <x:c r="C1601" s="16" t="str">
        <x:v>TN</x:v>
      </x:c>
      <x:c r="D1601" s="16" t="str">
        <x:v>Public</x:v>
      </x:c>
      <x:c r="E1601" s="34" t="n">
        <x:v>265</x:v>
      </x:c>
      <x:c r="F1601" s="21"/>
      <x:c r="G1601" s="16" t="str">
        <x:v>Regional</x:v>
      </x:c>
      <x:c r="H1601" s="36" t="n">
        <x:f>IF(G1601="National",Assumptions!$B$11,IF(G1601="Statewide",Assumptions!$B$12,Assumptions!$B$13))</x:f>
        <x:v>0.85</x:v>
      </x:c>
      <x:c r="I1601" s="21" t="n">
        <x:v>-0.0004403581579685012</x:v>
      </x:c>
      <x:c r="J1601" s="21" t="n">
        <x:v>0.06302459333591326</x:v>
      </x:c>
      <x:c r="K1601" s="21" t="n">
        <x:v>0.08700409666528786</x:v>
      </x:c>
      <x:c r="L1601" s="36" t="n">
        <x:f>IF(Assumptions!$B$4=2030,I1601,IF(Assumptions!$B$4=2035,J1601,K1601))</x:f>
        <x:v>0.06302459333591326</x:v>
      </x:c>
      <x:c r="M1601" s="36" t="n">
        <x:f>Assumptions!$B$19</x:f>
        <x:v>-0.04739891965741583</x:v>
      </x:c>
      <x:c r="N1601" s="52" t="n">
        <x:f>H1601*L1601+(1-H1601)*M1601+O1601</x:f>
        <x:v>0.04646106638691389</x:v>
      </x:c>
      <x:c r="O1601" s="36" t="n">
        <x:f>Assumptions!$B$10</x:f>
        <x:v>0</x:v>
      </x:c>
      <x:c r="P1601" s="54" t="n">
        <x:f>E1601*(1+N1601)</x:f>
        <x:v>277.31218259253217</x:v>
      </x:c>
      <x:c r="Q1601" s="54" t="n">
        <x:f>P1601-E1601</x:f>
        <x:v>12.312182592532167</x:v>
      </x:c>
      <x:c r="R1601" s="16" t="str">
        <x:v>No</x:v>
      </x:c>
      <x:c r="S1601" s="56"/>
      <x:c r="T1601" s="56"/>
      <x:c r="U1601" s="40" t="n">
        <x:f>E1601*Assumptions!$B$8</x:f>
        <x:v>225.25</x:v>
      </x:c>
      <x:c r="V1601" s="40" t="n">
        <x:f>P1601*Assumptions!$B$8</x:f>
        <x:v>235.71535520365234</x:v>
      </x:c>
      <x:c r="W1601" s="54" t="n">
        <x:f>V1601-U1601</x:f>
        <x:v>10.465355203652337</x:v>
      </x:c>
      <x:c r="X1601" s="58" t="str">
        <x:f>IF(R1601="No","",W1601*S1601)</x:f>
      </x:c>
      <x:c r="Y1601" s="58" t="str">
        <x:f>IF(R1601="No","",W1601*T1601*Assumptions!$B$9)</x:f>
      </x:c>
      <x:c r="Z1601" s="58" t="str">
        <x:f>IF(R1601="No","",X1601-Y1601)</x:f>
      </x:c>
      <x:c r="AA1601" s="58" t="str">
        <x:f>IF(R1601="No","",MAX(0,-Z1601))</x:f>
      </x:c>
      <x:c r="AB1601" s="52" t="str">
        <x:f>IF(OR(R1601="No",U1601*S1601=0),"",AA1601/(U1601*S1601))</x:f>
      </x:c>
      <x:c r="AC1601" s="54" t="str">
        <x:f>IF(OR(R1601="No",S1601-T1601*Assumptions!$B$9&lt;=0),"",AA1601/(Assumptions!$B$8*(S1601-T1601*Assumptions!$B$9)))</x:f>
      </x:c>
      <x:c r="AD1601" s="52" t="str">
        <x:f>IF(OR(R1601="No",U1601*S1601=0),"",AA1601/(U1601*S1601))</x:f>
      </x:c>
      <x:c r="AE1601" s="50" t="str">
        <x:f>IF(R1601="No","No finance data",IF(AB1601&gt;=10%,"Severe",IF(AB1601&gt;=5%,"High",IF(AB1601&gt;=2%,"Moderate","Low"))))</x:f>
        <x:v>No finance data</x:v>
      </x:c>
      <x:c r="AF1601" s="60"/>
      <x:c r="AG1601" s="60"/>
      <x:c r="AH1601" s="44" t="str">
        <x:v>Undergraduate tuition-contribution proxy only; not an audited total institutional budget.</x:v>
      </x:c>
    </x:row>
    <x:row r="1602">
      <x:c r="A1602" s="16" t="n">
        <x:v>221759</x:v>
      </x:c>
      <x:c r="B1602" s="16" t="str">
        <x:v>The University of Tennessee-Knoxville</x:v>
      </x:c>
      <x:c r="C1602" s="16" t="str">
        <x:v>TN</x:v>
      </x:c>
      <x:c r="D1602" s="16" t="str">
        <x:v>Public</x:v>
      </x:c>
      <x:c r="E1602" s="34" t="n">
        <x:v>21661</x:v>
      </x:c>
      <x:c r="F1602" s="21" t="n">
        <x:v>0.7494</x:v>
      </x:c>
      <x:c r="G1602" s="16" t="str">
        <x:v>Statewide</x:v>
      </x:c>
      <x:c r="H1602" s="36" t="n">
        <x:f>IF(G1602="National",Assumptions!$B$11,IF(G1602="Statewide",Assumptions!$B$12,Assumptions!$B$13))</x:f>
        <x:v>0.6</x:v>
      </x:c>
      <x:c r="I1602" s="21" t="n">
        <x:v>-0.0004403581579685012</x:v>
      </x:c>
      <x:c r="J1602" s="21" t="n">
        <x:v>0.06302459333591326</x:v>
      </x:c>
      <x:c r="K1602" s="21" t="n">
        <x:v>0.08700409666528786</x:v>
      </x:c>
      <x:c r="L1602" s="36" t="n">
        <x:f>IF(Assumptions!$B$4=2030,I1602,IF(Assumptions!$B$4=2035,J1602,K1602))</x:f>
        <x:v>0.06302459333591326</x:v>
      </x:c>
      <x:c r="M1602" s="36" t="n">
        <x:f>Assumptions!$B$19</x:f>
        <x:v>-0.04739891965741583</x:v>
      </x:c>
      <x:c r="N1602" s="52" t="n">
        <x:f>H1602*L1602+(1-H1602)*M1602+O1602</x:f>
        <x:v>0.01885518813858162</x:v>
      </x:c>
      <x:c r="O1602" s="36" t="n">
        <x:f>Assumptions!$B$10</x:f>
        <x:v>0</x:v>
      </x:c>
      <x:c r="P1602" s="54" t="n">
        <x:f>E1602*(1+N1602)</x:f>
        <x:v>22069.422230269818</x:v>
      </x:c>
      <x:c r="Q1602" s="54" t="n">
        <x:f>P1602-E1602</x:f>
        <x:v>408.4222302698181</x:v>
      </x:c>
      <x:c r="R1602" s="16" t="str">
        <x:v>Yes</x:v>
      </x:c>
      <x:c r="S1602" s="56" t="n">
        <x:v>12147</x:v>
      </x:c>
      <x:c r="T1602" s="56" t="n">
        <x:v>12485</x:v>
      </x:c>
      <x:c r="U1602" s="40" t="n">
        <x:f>E1602*Assumptions!$B$8</x:f>
        <x:v>18411.85</x:v>
      </x:c>
      <x:c r="V1602" s="40" t="n">
        <x:f>P1602*Assumptions!$B$8</x:f>
        <x:v>18759.008895729345</x:v>
      </x:c>
      <x:c r="W1602" s="54" t="n">
        <x:f>V1602-U1602</x:f>
        <x:v>347.1588957293461</x:v>
      </x:c>
      <x:c r="X1602" s="58" t="n">
        <x:f>IF(R1602="No","",W1602*S1602)</x:f>
        <x:v>4216939.106424367</x:v>
      </x:c>
      <x:c r="Y1602" s="58" t="n">
        <x:f>IF(R1602="No","",W1602*T1602*Assumptions!$B$9)</x:f>
        <x:v>1300283.6439542659</x:v>
      </x:c>
      <x:c r="Z1602" s="58" t="n">
        <x:f>IF(R1602="No","",X1602-Y1602)</x:f>
        <x:v>2916655.462470101</x:v>
      </x:c>
      <x:c r="AA1602" s="58" t="n">
        <x:f>IF(R1602="No","",MAX(0,-Z1602))</x:f>
        <x:v>0</x:v>
      </x:c>
      <x:c r="AB1602" s="52" t="n">
        <x:f>IF(OR(R1602="No",U1602*S1602=0),"",AA1602/(U1602*S1602))</x:f>
        <x:v>0</x:v>
      </x:c>
      <x:c r="AC1602" s="54" t="n">
        <x:f>IF(OR(R1602="No",S1602-T1602*Assumptions!$B$9&lt;=0),"",AA1602/(Assumptions!$B$8*(S1602-T1602*Assumptions!$B$9)))</x:f>
        <x:v>0</x:v>
      </x:c>
      <x:c r="AD1602" s="52" t="n">
        <x:f>IF(OR(R1602="No",U1602*S1602=0),"",AA1602/(U1602*S1602))</x:f>
        <x:v>0</x:v>
      </x:c>
      <x:c r="AE1602" s="50" t="str">
        <x:f>IF(R1602="No","No finance data",IF(AB1602&gt;=10%,"Severe",IF(AB1602&gt;=5%,"High",IF(AB1602&gt;=2%,"Moderate","Low"))))</x:f>
        <x:v>Low</x:v>
      </x:c>
      <x:c r="AF1602" s="60" t="n">
        <x:v>35.952082</x:v>
      </x:c>
      <x:c r="AG1602" s="60" t="n">
        <x:v>-83.925852</x:v>
      </x:c>
      <x:c r="AH1602" s="44" t="str">
        <x:v>Undergraduate tuition-contribution proxy only; not an audited total institutional budget.</x:v>
      </x:c>
    </x:row>
    <x:row r="1603">
      <x:c r="A1603" s="16" t="n">
        <x:v>221768</x:v>
      </x:c>
      <x:c r="B1603" s="16" t="str">
        <x:v>The University of Tennessee-Martin</x:v>
      </x:c>
      <x:c r="C1603" s="16" t="str">
        <x:v>TN</x:v>
      </x:c>
      <x:c r="D1603" s="16" t="str">
        <x:v>Public</x:v>
      </x:c>
      <x:c r="E1603" s="34" t="n">
        <x:v>5988</x:v>
      </x:c>
      <x:c r="F1603" s="21" t="n">
        <x:v>0.7512</x:v>
      </x:c>
      <x:c r="G1603" s="16" t="str">
        <x:v>Statewide</x:v>
      </x:c>
      <x:c r="H1603" s="36" t="n">
        <x:f>IF(G1603="National",Assumptions!$B$11,IF(G1603="Statewide",Assumptions!$B$12,Assumptions!$B$13))</x:f>
        <x:v>0.6</x:v>
      </x:c>
      <x:c r="I1603" s="21" t="n">
        <x:v>-0.0004403581579685012</x:v>
      </x:c>
      <x:c r="J1603" s="21" t="n">
        <x:v>0.06302459333591326</x:v>
      </x:c>
      <x:c r="K1603" s="21" t="n">
        <x:v>0.08700409666528786</x:v>
      </x:c>
      <x:c r="L1603" s="36" t="n">
        <x:f>IF(Assumptions!$B$4=2030,I1603,IF(Assumptions!$B$4=2035,J1603,K1603))</x:f>
        <x:v>0.06302459333591326</x:v>
      </x:c>
      <x:c r="M1603" s="36" t="n">
        <x:f>Assumptions!$B$19</x:f>
        <x:v>-0.04739891965741583</x:v>
      </x:c>
      <x:c r="N1603" s="52" t="n">
        <x:f>H1603*L1603+(1-H1603)*M1603+O1603</x:f>
        <x:v>0.01885518813858162</x:v>
      </x:c>
      <x:c r="O1603" s="36" t="n">
        <x:f>Assumptions!$B$10</x:f>
        <x:v>0</x:v>
      </x:c>
      <x:c r="P1603" s="54" t="n">
        <x:f>E1603*(1+N1603)</x:f>
        <x:v>6100.904866573827</x:v>
      </x:c>
      <x:c r="Q1603" s="54" t="n">
        <x:f>P1603-E1603</x:f>
        <x:v>112.90486657382735</x:v>
      </x:c>
      <x:c r="R1603" s="16" t="str">
        <x:v>Yes</x:v>
      </x:c>
      <x:c r="S1603" s="56" t="n">
        <x:v>5254</x:v>
      </x:c>
      <x:c r="T1603" s="56" t="n">
        <x:v>8693</x:v>
      </x:c>
      <x:c r="U1603" s="40" t="n">
        <x:f>E1603*Assumptions!$B$8</x:f>
        <x:v>5089.8</x:v>
      </x:c>
      <x:c r="V1603" s="40" t="n">
        <x:f>P1603*Assumptions!$B$8</x:f>
        <x:v>5185.769136587754</x:v>
      </x:c>
      <x:c r="W1603" s="54" t="n">
        <x:f>V1603-U1603</x:f>
        <x:v>95.96913658775338</x:v>
      </x:c>
      <x:c r="X1603" s="58" t="n">
        <x:f>IF(R1603="No","",W1603*S1603)</x:f>
        <x:v>504221.84363205626</x:v>
      </x:c>
      <x:c r="Y1603" s="58" t="n">
        <x:f>IF(R1603="No","",W1603*T1603*Assumptions!$B$9)</x:f>
        <x:v>250277.911307202</x:v>
      </x:c>
      <x:c r="Z1603" s="58" t="n">
        <x:f>IF(R1603="No","",X1603-Y1603)</x:f>
        <x:v>253943.93232485425</x:v>
      </x:c>
      <x:c r="AA1603" s="58" t="n">
        <x:f>IF(R1603="No","",MAX(0,-Z1603))</x:f>
        <x:v>0</x:v>
      </x:c>
      <x:c r="AB1603" s="52" t="n">
        <x:f>IF(OR(R1603="No",U1603*S1603=0),"",AA1603/(U1603*S1603))</x:f>
        <x:v>0</x:v>
      </x:c>
      <x:c r="AC1603" s="54" t="n">
        <x:f>IF(OR(R1603="No",S1603-T1603*Assumptions!$B$9&lt;=0),"",AA1603/(Assumptions!$B$8*(S1603-T1603*Assumptions!$B$9)))</x:f>
        <x:v>0</x:v>
      </x:c>
      <x:c r="AD1603" s="52" t="n">
        <x:f>IF(OR(R1603="No",U1603*S1603=0),"",AA1603/(U1603*S1603))</x:f>
        <x:v>0</x:v>
      </x:c>
      <x:c r="AE1603" s="50" t="str">
        <x:f>IF(R1603="No","No finance data",IF(AB1603&gt;=10%,"Severe",IF(AB1603&gt;=5%,"High",IF(AB1603&gt;=2%,"Moderate","Low"))))</x:f>
        <x:v>Low</x:v>
      </x:c>
      <x:c r="AF1603" s="60" t="n">
        <x:v>36.340338</x:v>
      </x:c>
      <x:c r="AG1603" s="60" t="n">
        <x:v>-88.864211</x:v>
      </x:c>
      <x:c r="AH1603" s="44" t="str">
        <x:v>Undergraduate tuition-contribution proxy only; not an audited total institutional budget.</x:v>
      </x:c>
    </x:row>
    <x:row r="1604">
      <x:c r="A1604" s="16" t="n">
        <x:v>221892</x:v>
      </x:c>
      <x:c r="B1604" s="16" t="str">
        <x:v>Trevecca Nazarene University</x:v>
      </x:c>
      <x:c r="C1604" s="16" t="str">
        <x:v>TN</x:v>
      </x:c>
      <x:c r="D1604" s="16" t="str">
        <x:v>Private nonprofit</x:v>
      </x:c>
      <x:c r="E1604" s="34" t="n">
        <x:v>1762</x:v>
      </x:c>
      <x:c r="F1604" s="21" t="n">
        <x:v>0.777</x:v>
      </x:c>
      <x:c r="G1604" s="16" t="str">
        <x:v>Regional</x:v>
      </x:c>
      <x:c r="H1604" s="36" t="n">
        <x:f>IF(G1604="National",Assumptions!$B$11,IF(G1604="Statewide",Assumptions!$B$12,Assumptions!$B$13))</x:f>
        <x:v>0.85</x:v>
      </x:c>
      <x:c r="I1604" s="21" t="n">
        <x:v>-0.0004403581579685012</x:v>
      </x:c>
      <x:c r="J1604" s="21" t="n">
        <x:v>0.06302459333591326</x:v>
      </x:c>
      <x:c r="K1604" s="21" t="n">
        <x:v>0.08700409666528786</x:v>
      </x:c>
      <x:c r="L1604" s="36" t="n">
        <x:f>IF(Assumptions!$B$4=2030,I1604,IF(Assumptions!$B$4=2035,J1604,K1604))</x:f>
        <x:v>0.06302459333591326</x:v>
      </x:c>
      <x:c r="M1604" s="36" t="n">
        <x:f>Assumptions!$B$19</x:f>
        <x:v>-0.04739891965741583</x:v>
      </x:c>
      <x:c r="N1604" s="52" t="n">
        <x:f>H1604*L1604+(1-H1604)*M1604+O1604</x:f>
        <x:v>0.04646106638691389</x:v>
      </x:c>
      <x:c r="O1604" s="36" t="n">
        <x:f>Assumptions!$B$10</x:f>
        <x:v>0</x:v>
      </x:c>
      <x:c r="P1604" s="54" t="n">
        <x:f>E1604*(1+N1604)</x:f>
        <x:v>1843.8643989737423</x:v>
      </x:c>
      <x:c r="Q1604" s="54" t="n">
        <x:f>P1604-E1604</x:f>
        <x:v>81.86439897374225</x:v>
      </x:c>
      <x:c r="R1604" s="16" t="str">
        <x:v>Yes</x:v>
      </x:c>
      <x:c r="S1604" s="56" t="n">
        <x:v>13217</x:v>
      </x:c>
      <x:c r="T1604" s="56" t="n">
        <x:v>6673</x:v>
      </x:c>
      <x:c r="U1604" s="40" t="n">
        <x:f>E1604*Assumptions!$B$8</x:f>
        <x:v>1497.7</x:v>
      </x:c>
      <x:c r="V1604" s="40" t="n">
        <x:f>P1604*Assumptions!$B$8</x:f>
        <x:v>1567.284739127681</x:v>
      </x:c>
      <x:c r="W1604" s="54" t="n">
        <x:f>V1604-U1604</x:f>
        <x:v>69.5847391276809</x:v>
      </x:c>
      <x:c r="X1604" s="58" t="n">
        <x:f>IF(R1604="No","",W1604*S1604)</x:f>
        <x:v>919701.4970505586</x:v>
      </x:c>
      <x:c r="Y1604" s="58" t="n">
        <x:f>IF(R1604="No","",W1604*T1604*Assumptions!$B$9)</x:f>
        <x:v>139301.6892597044</x:v>
      </x:c>
      <x:c r="Z1604" s="58" t="n">
        <x:f>IF(R1604="No","",X1604-Y1604)</x:f>
        <x:v>780399.8077908541</x:v>
      </x:c>
      <x:c r="AA1604" s="58" t="n">
        <x:f>IF(R1604="No","",MAX(0,-Z1604))</x:f>
        <x:v>0</x:v>
      </x:c>
      <x:c r="AB1604" s="52" t="n">
        <x:f>IF(OR(R1604="No",U1604*S1604=0),"",AA1604/(U1604*S1604))</x:f>
        <x:v>0</x:v>
      </x:c>
      <x:c r="AC1604" s="54" t="n">
        <x:f>IF(OR(R1604="No",S1604-T1604*Assumptions!$B$9&lt;=0),"",AA1604/(Assumptions!$B$8*(S1604-T1604*Assumptions!$B$9)))</x:f>
        <x:v>0</x:v>
      </x:c>
      <x:c r="AD1604" s="52" t="n">
        <x:f>IF(OR(R1604="No",U1604*S1604=0),"",AA1604/(U1604*S1604))</x:f>
        <x:v>0</x:v>
      </x:c>
      <x:c r="AE1604" s="50" t="str">
        <x:f>IF(R1604="No","No finance data",IF(AB1604&gt;=10%,"Severe",IF(AB1604&gt;=5%,"High",IF(AB1604&gt;=2%,"Moderate","Low"))))</x:f>
        <x:v>Low</x:v>
      </x:c>
      <x:c r="AF1604" s="60" t="n">
        <x:v>36.141324</x:v>
      </x:c>
      <x:c r="AG1604" s="60" t="n">
        <x:v>-86.754238</x:v>
      </x:c>
      <x:c r="AH1604" s="44" t="str">
        <x:v>Undergraduate tuition-contribution proxy only; not an audited total institutional budget.</x:v>
      </x:c>
    </x:row>
    <x:row r="1605">
      <x:c r="A1605" s="16" t="n">
        <x:v>221953</x:v>
      </x:c>
      <x:c r="B1605" s="16" t="str">
        <x:v>Tusculum College</x:v>
      </x:c>
      <x:c r="C1605" s="16" t="str">
        <x:v>TN</x:v>
      </x:c>
      <x:c r="D1605" s="16" t="str">
        <x:v>Private nonprofit</x:v>
      </x:c>
      <x:c r="E1605" s="34" t="n">
        <x:v>1619</x:v>
      </x:c>
      <x:c r="F1605" s="21" t="n">
        <x:v>0.7703</x:v>
      </x:c>
      <x:c r="G1605" s="16" t="str">
        <x:v>Regional</x:v>
      </x:c>
      <x:c r="H1605" s="36" t="n">
        <x:f>IF(G1605="National",Assumptions!$B$11,IF(G1605="Statewide",Assumptions!$B$12,Assumptions!$B$13))</x:f>
        <x:v>0.85</x:v>
      </x:c>
      <x:c r="I1605" s="21" t="n">
        <x:v>-0.0004403581579685012</x:v>
      </x:c>
      <x:c r="J1605" s="21" t="n">
        <x:v>0.06302459333591326</x:v>
      </x:c>
      <x:c r="K1605" s="21" t="n">
        <x:v>0.08700409666528786</x:v>
      </x:c>
      <x:c r="L1605" s="36" t="n">
        <x:f>IF(Assumptions!$B$4=2030,I1605,IF(Assumptions!$B$4=2035,J1605,K1605))</x:f>
        <x:v>0.06302459333591326</x:v>
      </x:c>
      <x:c r="M1605" s="36" t="n">
        <x:f>Assumptions!$B$19</x:f>
        <x:v>-0.04739891965741583</x:v>
      </x:c>
      <x:c r="N1605" s="52" t="n">
        <x:f>H1605*L1605+(1-H1605)*M1605+O1605</x:f>
        <x:v>0.04646106638691389</x:v>
      </x:c>
      <x:c r="O1605" s="36" t="n">
        <x:f>Assumptions!$B$10</x:f>
        <x:v>0</x:v>
      </x:c>
      <x:c r="P1605" s="54" t="n">
        <x:f>E1605*(1+N1605)</x:f>
        <x:v>1694.2204664804135</x:v>
      </x:c>
      <x:c r="Q1605" s="54" t="n">
        <x:f>P1605-E1605</x:f>
        <x:v>75.2204664804135</x:v>
      </x:c>
      <x:c r="R1605" s="16" t="str">
        <x:v>Yes</x:v>
      </x:c>
      <x:c r="S1605" s="56" t="n">
        <x:v>9479</x:v>
      </x:c>
      <x:c r="T1605" s="56" t="n">
        <x:v>4822</x:v>
      </x:c>
      <x:c r="U1605" s="40" t="n">
        <x:f>E1605*Assumptions!$B$8</x:f>
        <x:v>1376.1499999999999</x:v>
      </x:c>
      <x:c r="V1605" s="40" t="n">
        <x:f>P1605*Assumptions!$B$8</x:f>
        <x:v>1440.0873965083515</x:v>
      </x:c>
      <x:c r="W1605" s="54" t="n">
        <x:f>V1605-U1605</x:f>
        <x:v>63.93739650835164</x:v>
      </x:c>
      <x:c r="X1605" s="58" t="n">
        <x:f>IF(R1605="No","",W1605*S1605)</x:f>
        <x:v>606062.5815026652</x:v>
      </x:c>
      <x:c r="Y1605" s="58" t="n">
        <x:f>IF(R1605="No","",W1605*T1605*Assumptions!$B$9)</x:f>
        <x:v>92491.83778898147</x:v>
      </x:c>
      <x:c r="Z1605" s="58" t="n">
        <x:f>IF(R1605="No","",X1605-Y1605)</x:f>
        <x:v>513570.7437136837</x:v>
      </x:c>
      <x:c r="AA1605" s="58" t="n">
        <x:f>IF(R1605="No","",MAX(0,-Z1605))</x:f>
        <x:v>0</x:v>
      </x:c>
      <x:c r="AB1605" s="52" t="n">
        <x:f>IF(OR(R1605="No",U1605*S1605=0),"",AA1605/(U1605*S1605))</x:f>
        <x:v>0</x:v>
      </x:c>
      <x:c r="AC1605" s="54" t="n">
        <x:f>IF(OR(R1605="No",S1605-T1605*Assumptions!$B$9&lt;=0),"",AA1605/(Assumptions!$B$8*(S1605-T1605*Assumptions!$B$9)))</x:f>
        <x:v>0</x:v>
      </x:c>
      <x:c r="AD1605" s="52" t="n">
        <x:f>IF(OR(R1605="No",U1605*S1605=0),"",AA1605/(U1605*S1605))</x:f>
        <x:v>0</x:v>
      </x:c>
      <x:c r="AE1605" s="50" t="str">
        <x:f>IF(R1605="No","No finance data",IF(AB1605&gt;=10%,"Severe",IF(AB1605&gt;=5%,"High",IF(AB1605&gt;=2%,"Moderate","Low"))))</x:f>
        <x:v>Low</x:v>
      </x:c>
      <x:c r="AF1605" s="60" t="n">
        <x:v>36.172435</x:v>
      </x:c>
      <x:c r="AG1605" s="60" t="n">
        <x:v>-82.760818</x:v>
      </x:c>
      <x:c r="AH1605" s="44" t="str">
        <x:v>Undergraduate tuition-contribution proxy only; not an audited total institutional budget.</x:v>
      </x:c>
    </x:row>
    <x:row r="1606">
      <x:c r="A1606" s="16" t="n">
        <x:v>221971</x:v>
      </x:c>
      <x:c r="B1606" s="16" t="str">
        <x:v>Union University</x:v>
      </x:c>
      <x:c r="C1606" s="16" t="str">
        <x:v>TN</x:v>
      </x:c>
      <x:c r="D1606" s="16" t="str">
        <x:v>Private nonprofit</x:v>
      </x:c>
      <x:c r="E1606" s="34" t="n">
        <x:v>2239</x:v>
      </x:c>
      <x:c r="F1606" s="21" t="n">
        <x:v>0.5289</x:v>
      </x:c>
      <x:c r="G1606" s="16" t="str">
        <x:v>Regional</x:v>
      </x:c>
      <x:c r="H1606" s="36" t="n">
        <x:f>IF(G1606="National",Assumptions!$B$11,IF(G1606="Statewide",Assumptions!$B$12,Assumptions!$B$13))</x:f>
        <x:v>0.85</x:v>
      </x:c>
      <x:c r="I1606" s="21" t="n">
        <x:v>-0.0004403581579685012</x:v>
      </x:c>
      <x:c r="J1606" s="21" t="n">
        <x:v>0.06302459333591326</x:v>
      </x:c>
      <x:c r="K1606" s="21" t="n">
        <x:v>0.08700409666528786</x:v>
      </x:c>
      <x:c r="L1606" s="36" t="n">
        <x:f>IF(Assumptions!$B$4=2030,I1606,IF(Assumptions!$B$4=2035,J1606,K1606))</x:f>
        <x:v>0.06302459333591326</x:v>
      </x:c>
      <x:c r="M1606" s="36" t="n">
        <x:f>Assumptions!$B$19</x:f>
        <x:v>-0.04739891965741583</x:v>
      </x:c>
      <x:c r="N1606" s="52" t="n">
        <x:f>H1606*L1606+(1-H1606)*M1606+O1606</x:f>
        <x:v>0.04646106638691389</x:v>
      </x:c>
      <x:c r="O1606" s="36" t="n">
        <x:f>Assumptions!$B$10</x:f>
        <x:v>0</x:v>
      </x:c>
      <x:c r="P1606" s="54" t="n">
        <x:f>E1606*(1+N1606)</x:f>
        <x:v>2343.0263276403</x:v>
      </x:c>
      <x:c r="Q1606" s="54" t="n">
        <x:f>P1606-E1606</x:f>
        <x:v>104.02632764030022</x:v>
      </x:c>
      <x:c r="R1606" s="16" t="str">
        <x:v>Yes</x:v>
      </x:c>
      <x:c r="S1606" s="56" t="n">
        <x:v>15727</x:v>
      </x:c>
      <x:c r="T1606" s="56" t="n">
        <x:v>12248</x:v>
      </x:c>
      <x:c r="U1606" s="40" t="n">
        <x:f>E1606*Assumptions!$B$8</x:f>
        <x:v>1903.1499999999999</x:v>
      </x:c>
      <x:c r="V1606" s="40" t="n">
        <x:f>P1606*Assumptions!$B$8</x:f>
        <x:v>1991.5723784942552</x:v>
      </x:c>
      <x:c r="W1606" s="54" t="n">
        <x:f>V1606-U1606</x:f>
        <x:v>88.42237849425533</x:v>
      </x:c>
      <x:c r="X1606" s="58" t="n">
        <x:f>IF(R1606="No","",W1606*S1606)</x:f>
        <x:v>1390618.7465791535</x:v>
      </x:c>
      <x:c r="Y1606" s="58" t="n">
        <x:f>IF(R1606="No","",W1606*T1606*Assumptions!$B$9)</x:f>
        <x:v>324899.1875392918</x:v>
      </x:c>
      <x:c r="Z1606" s="58" t="n">
        <x:f>IF(R1606="No","",X1606-Y1606)</x:f>
        <x:v>1065719.5590398617</x:v>
      </x:c>
      <x:c r="AA1606" s="58" t="n">
        <x:f>IF(R1606="No","",MAX(0,-Z1606))</x:f>
        <x:v>0</x:v>
      </x:c>
      <x:c r="AB1606" s="52" t="n">
        <x:f>IF(OR(R1606="No",U1606*S1606=0),"",AA1606/(U1606*S1606))</x:f>
        <x:v>0</x:v>
      </x:c>
      <x:c r="AC1606" s="54" t="n">
        <x:f>IF(OR(R1606="No",S1606-T1606*Assumptions!$B$9&lt;=0),"",AA1606/(Assumptions!$B$8*(S1606-T1606*Assumptions!$B$9)))</x:f>
        <x:v>0</x:v>
      </x:c>
      <x:c r="AD1606" s="52" t="n">
        <x:f>IF(OR(R1606="No",U1606*S1606=0),"",AA1606/(U1606*S1606))</x:f>
        <x:v>0</x:v>
      </x:c>
      <x:c r="AE1606" s="50" t="str">
        <x:f>IF(R1606="No","No finance data",IF(AB1606&gt;=10%,"Severe",IF(AB1606&gt;=5%,"High",IF(AB1606&gt;=2%,"Moderate","Low"))))</x:f>
        <x:v>Low</x:v>
      </x:c>
      <x:c r="AF1606" s="60" t="n">
        <x:v>35.676896</x:v>
      </x:c>
      <x:c r="AG1606" s="60" t="n">
        <x:v>-88.858524</x:v>
      </x:c>
      <x:c r="AH1606" s="44" t="str">
        <x:v>Undergraduate tuition-contribution proxy only; not an audited total institutional budget.</x:v>
      </x:c>
    </x:row>
    <x:row r="1607">
      <x:c r="A1607" s="16" t="n">
        <x:v>220862</x:v>
      </x:c>
      <x:c r="B1607" s="16" t="str">
        <x:v>University of Memphis</x:v>
      </x:c>
      <x:c r="C1607" s="16" t="str">
        <x:v>TN</x:v>
      </x:c>
      <x:c r="D1607" s="16" t="str">
        <x:v>Public</x:v>
      </x:c>
      <x:c r="E1607" s="34" t="n">
        <x:v>15553</x:v>
      </x:c>
      <x:c r="F1607" s="21" t="n">
        <x:v>0.9521</x:v>
      </x:c>
      <x:c r="G1607" s="16" t="str">
        <x:v>Statewide</x:v>
      </x:c>
      <x:c r="H1607" s="36" t="n">
        <x:f>IF(G1607="National",Assumptions!$B$11,IF(G1607="Statewide",Assumptions!$B$12,Assumptions!$B$13))</x:f>
        <x:v>0.6</x:v>
      </x:c>
      <x:c r="I1607" s="21" t="n">
        <x:v>-0.0004403581579685012</x:v>
      </x:c>
      <x:c r="J1607" s="21" t="n">
        <x:v>0.06302459333591326</x:v>
      </x:c>
      <x:c r="K1607" s="21" t="n">
        <x:v>0.08700409666528786</x:v>
      </x:c>
      <x:c r="L1607" s="36" t="n">
        <x:f>IF(Assumptions!$B$4=2030,I1607,IF(Assumptions!$B$4=2035,J1607,K1607))</x:f>
        <x:v>0.06302459333591326</x:v>
      </x:c>
      <x:c r="M1607" s="36" t="n">
        <x:f>Assumptions!$B$19</x:f>
        <x:v>-0.04739891965741583</x:v>
      </x:c>
      <x:c r="N1607" s="52" t="n">
        <x:f>H1607*L1607+(1-H1607)*M1607+O1607</x:f>
        <x:v>0.01885518813858162</x:v>
      </x:c>
      <x:c r="O1607" s="36" t="n">
        <x:f>Assumptions!$B$10</x:f>
        <x:v>0</x:v>
      </x:c>
      <x:c r="P1607" s="54" t="n">
        <x:f>E1607*(1+N1607)</x:f>
        <x:v>15846.254741119361</x:v>
      </x:c>
      <x:c r="Q1607" s="54" t="n">
        <x:f>P1607-E1607</x:f>
        <x:v>293.2547411193609</x:v>
      </x:c>
      <x:c r="R1607" s="16" t="str">
        <x:v>Yes</x:v>
      </x:c>
      <x:c r="S1607" s="56" t="n">
        <x:v>7520</x:v>
      </x:c>
      <x:c r="T1607" s="56" t="n">
        <x:v>9119</x:v>
      </x:c>
      <x:c r="U1607" s="40" t="n">
        <x:f>E1607*Assumptions!$B$8</x:f>
        <x:v>13220.05</x:v>
      </x:c>
      <x:c r="V1607" s="40" t="n">
        <x:f>P1607*Assumptions!$B$8</x:f>
        <x:v>13469.316529951457</x:v>
      </x:c>
      <x:c r="W1607" s="54" t="n">
        <x:f>V1607-U1607</x:f>
        <x:v>249.26652995145741</x:v>
      </x:c>
      <x:c r="X1607" s="58" t="n">
        <x:f>IF(R1607="No","",W1607*S1607)</x:f>
        <x:v>1874484.3052349598</x:v>
      </x:c>
      <x:c r="Y1607" s="58" t="n">
        <x:f>IF(R1607="No","",W1607*T1607*Assumptions!$B$9)</x:f>
        <x:v>681918.4459882021</x:v>
      </x:c>
      <x:c r="Z1607" s="58" t="n">
        <x:f>IF(R1607="No","",X1607-Y1607)</x:f>
        <x:v>1192565.8592467578</x:v>
      </x:c>
      <x:c r="AA1607" s="58" t="n">
        <x:f>IF(R1607="No","",MAX(0,-Z1607))</x:f>
        <x:v>0</x:v>
      </x:c>
      <x:c r="AB1607" s="52" t="n">
        <x:f>IF(OR(R1607="No",U1607*S1607=0),"",AA1607/(U1607*S1607))</x:f>
        <x:v>0</x:v>
      </x:c>
      <x:c r="AC1607" s="54" t="n">
        <x:f>IF(OR(R1607="No",S1607-T1607*Assumptions!$B$9&lt;=0),"",AA1607/(Assumptions!$B$8*(S1607-T1607*Assumptions!$B$9)))</x:f>
        <x:v>0</x:v>
      </x:c>
      <x:c r="AD1607" s="52" t="n">
        <x:f>IF(OR(R1607="No",U1607*S1607=0),"",AA1607/(U1607*S1607))</x:f>
        <x:v>0</x:v>
      </x:c>
      <x:c r="AE1607" s="50" t="str">
        <x:f>IF(R1607="No","No finance data",IF(AB1607&gt;=10%,"Severe",IF(AB1607&gt;=5%,"High",IF(AB1607&gt;=2%,"Moderate","Low"))))</x:f>
        <x:v>Low</x:v>
      </x:c>
      <x:c r="AF1607" s="60" t="n">
        <x:v>35.118878</x:v>
      </x:c>
      <x:c r="AG1607" s="60" t="n">
        <x:v>-89.938068</x:v>
      </x:c>
      <x:c r="AH1607" s="44" t="str">
        <x:v>Undergraduate tuition-contribution proxy only; not an audited total institutional budget.</x:v>
      </x:c>
    </x:row>
    <x:row r="1608">
      <x:c r="A1608" s="16" t="n">
        <x:v>221999</x:v>
      </x:c>
      <x:c r="B1608" s="16" t="str">
        <x:v>Vanderbilt University</x:v>
      </x:c>
      <x:c r="C1608" s="16" t="str">
        <x:v>TN</x:v>
      </x:c>
      <x:c r="D1608" s="16" t="str">
        <x:v>Private nonprofit</x:v>
      </x:c>
      <x:c r="E1608" s="34" t="n">
        <x:v>6857</x:v>
      </x:c>
      <x:c r="F1608" s="21" t="n">
        <x:v>0.0714</x:v>
      </x:c>
      <x:c r="G1608" s="16" t="str">
        <x:v>National</x:v>
      </x:c>
      <x:c r="H1608" s="36" t="n">
        <x:f>IF(G1608="National",Assumptions!$B$11,IF(G1608="Statewide",Assumptions!$B$12,Assumptions!$B$13))</x:f>
        <x:v>0.25</x:v>
      </x:c>
      <x:c r="I1608" s="21" t="n">
        <x:v>-0.0004403581579685012</x:v>
      </x:c>
      <x:c r="J1608" s="21" t="n">
        <x:v>0.06302459333591326</x:v>
      </x:c>
      <x:c r="K1608" s="21" t="n">
        <x:v>0.08700409666528786</x:v>
      </x:c>
      <x:c r="L1608" s="36" t="n">
        <x:f>IF(Assumptions!$B$4=2030,I1608,IF(Assumptions!$B$4=2035,J1608,K1608))</x:f>
        <x:v>0.06302459333591326</x:v>
      </x:c>
      <x:c r="M1608" s="36" t="n">
        <x:f>Assumptions!$B$19</x:f>
        <x:v>-0.04739891965741583</x:v>
      </x:c>
      <x:c r="N1608" s="52" t="n">
        <x:f>H1608*L1608+(1-H1608)*M1608+O1608</x:f>
        <x:v>-0.019793041409083556</x:v>
      </x:c>
      <x:c r="O1608" s="36" t="n">
        <x:f>Assumptions!$B$10</x:f>
        <x:v>0</x:v>
      </x:c>
      <x:c r="P1608" s="54" t="n">
        <x:f>E1608*(1+N1608)</x:f>
        <x:v>6721.279115057914</x:v>
      </x:c>
      <x:c r="Q1608" s="54" t="n">
        <x:f>P1608-E1608</x:f>
        <x:v>-135.72088494208583</x:v>
      </x:c>
      <x:c r="R1608" s="16" t="str">
        <x:v>Yes</x:v>
      </x:c>
      <x:c r="S1608" s="56" t="n">
        <x:v>28768</x:v>
      </x:c>
      <x:c r="T1608" s="56" t="n">
        <x:v>29572</x:v>
      </x:c>
      <x:c r="U1608" s="40" t="n">
        <x:f>E1608*Assumptions!$B$8</x:f>
        <x:v>5828.45</x:v>
      </x:c>
      <x:c r="V1608" s="40" t="n">
        <x:f>P1608*Assumptions!$B$8</x:f>
        <x:v>5713.087247799227</x:v>
      </x:c>
      <x:c r="W1608" s="54" t="n">
        <x:f>V1608-U1608</x:f>
        <x:v>-115.36275220077277</x:v>
      </x:c>
      <x:c r="X1608" s="58" t="n">
        <x:f>IF(R1608="No","",W1608*S1608)</x:f>
        <x:v>-3318755.6553118313</x:v>
      </x:c>
      <x:c r="Y1608" s="58" t="n">
        <x:f>IF(R1608="No","",W1608*T1608*Assumptions!$B$9)</x:f>
        <x:v>-1023452.1924243757</x:v>
      </x:c>
      <x:c r="Z1608" s="58" t="n">
        <x:f>IF(R1608="No","",X1608-Y1608)</x:f>
        <x:v>-2295303.4628874557</x:v>
      </x:c>
      <x:c r="AA1608" s="58" t="n">
        <x:f>IF(R1608="No","",MAX(0,-Z1608))</x:f>
        <x:v>2295303.4628874557</x:v>
      </x:c>
      <x:c r="AB1608" s="52" t="n">
        <x:f>IF(OR(R1608="No",U1608*S1608=0),"",AA1608/(U1608*S1608))</x:f>
        <x:v>0.013689177874433023</x:v>
      </x:c>
      <x:c r="AC1608" s="54" t="n">
        <x:f>IF(OR(R1608="No",S1608-T1608*Assumptions!$B$9&lt;=0),"",AA1608/(Assumptions!$B$8*(S1608-T1608*Assumptions!$B$9)))</x:f>
        <x:v>135.7208849420856</x:v>
      </x:c>
      <x:c r="AD1608" s="52" t="n">
        <x:f>IF(OR(R1608="No",U1608*S1608=0),"",AA1608/(U1608*S1608))</x:f>
        <x:v>0.013689177874433023</x:v>
      </x:c>
      <x:c r="AE1608" s="50" t="str">
        <x:f>IF(R1608="No","No finance data",IF(AB1608&gt;=10%,"Severe",IF(AB1608&gt;=5%,"High",IF(AB1608&gt;=2%,"Moderate","Low"))))</x:f>
        <x:v>Low</x:v>
      </x:c>
      <x:c r="AF1608" s="60" t="n">
        <x:v>36.14659</x:v>
      </x:c>
      <x:c r="AG1608" s="60" t="n">
        <x:v>-86.803369</x:v>
      </x:c>
      <x:c r="AH1608" s="44" t="str">
        <x:v>Undergraduate tuition-contribution proxy only; not an audited total institutional budget.</x:v>
      </x:c>
    </x:row>
    <x:row r="1609">
      <x:c r="A1609" s="16" t="n">
        <x:v>449764</x:v>
      </x:c>
      <x:c r="B1609" s="16" t="str">
        <x:v>Visible Music College</x:v>
      </x:c>
      <x:c r="C1609" s="16" t="str">
        <x:v>TN</x:v>
      </x:c>
      <x:c r="D1609" s="16" t="str">
        <x:v>Private nonprofit</x:v>
      </x:c>
      <x:c r="E1609" s="34" t="n">
        <x:v>109</x:v>
      </x:c>
      <x:c r="F1609" s="21"/>
      <x:c r="G1609" s="16" t="str">
        <x:v>Regional</x:v>
      </x:c>
      <x:c r="H1609" s="36" t="n">
        <x:f>IF(G1609="National",Assumptions!$B$11,IF(G1609="Statewide",Assumptions!$B$12,Assumptions!$B$13))</x:f>
        <x:v>0.85</x:v>
      </x:c>
      <x:c r="I1609" s="21" t="n">
        <x:v>-0.0004403581579685012</x:v>
      </x:c>
      <x:c r="J1609" s="21" t="n">
        <x:v>0.06302459333591326</x:v>
      </x:c>
      <x:c r="K1609" s="21" t="n">
        <x:v>0.08700409666528786</x:v>
      </x:c>
      <x:c r="L1609" s="36" t="n">
        <x:f>IF(Assumptions!$B$4=2030,I1609,IF(Assumptions!$B$4=2035,J1609,K1609))</x:f>
        <x:v>0.06302459333591326</x:v>
      </x:c>
      <x:c r="M1609" s="36" t="n">
        <x:f>Assumptions!$B$19</x:f>
        <x:v>-0.04739891965741583</x:v>
      </x:c>
      <x:c r="N1609" s="52" t="n">
        <x:f>H1609*L1609+(1-H1609)*M1609+O1609</x:f>
        <x:v>0.04646106638691389</x:v>
      </x:c>
      <x:c r="O1609" s="36" t="n">
        <x:f>Assumptions!$B$10</x:f>
        <x:v>0</x:v>
      </x:c>
      <x:c r="P1609" s="54" t="n">
        <x:f>E1609*(1+N1609)</x:f>
        <x:v>114.0642562361736</x:v>
      </x:c>
      <x:c r="Q1609" s="54" t="n">
        <x:f>P1609-E1609</x:f>
        <x:v>5.064256236173605</x:v>
      </x:c>
      <x:c r="R1609" s="16" t="str">
        <x:v>No</x:v>
      </x:c>
      <x:c r="S1609" s="56"/>
      <x:c r="T1609" s="56"/>
      <x:c r="U1609" s="40" t="n">
        <x:f>E1609*Assumptions!$B$8</x:f>
        <x:v>92.64999999999999</x:v>
      </x:c>
      <x:c r="V1609" s="40" t="n">
        <x:f>P1609*Assumptions!$B$8</x:f>
        <x:v>96.95461780074756</x:v>
      </x:c>
      <x:c r="W1609" s="54" t="n">
        <x:f>V1609-U1609</x:f>
        <x:v>4.304617800747565</x:v>
      </x:c>
      <x:c r="X1609" s="58" t="str">
        <x:f>IF(R1609="No","",W1609*S1609)</x:f>
      </x:c>
      <x:c r="Y1609" s="58" t="str">
        <x:f>IF(R1609="No","",W1609*T1609*Assumptions!$B$9)</x:f>
      </x:c>
      <x:c r="Z1609" s="58" t="str">
        <x:f>IF(R1609="No","",X1609-Y1609)</x:f>
      </x:c>
      <x:c r="AA1609" s="58" t="str">
        <x:f>IF(R1609="No","",MAX(0,-Z1609))</x:f>
      </x:c>
      <x:c r="AB1609" s="52" t="str">
        <x:f>IF(OR(R1609="No",U1609*S1609=0),"",AA1609/(U1609*S1609))</x:f>
      </x:c>
      <x:c r="AC1609" s="54" t="str">
        <x:f>IF(OR(R1609="No",S1609-T1609*Assumptions!$B$9&lt;=0),"",AA1609/(Assumptions!$B$8*(S1609-T1609*Assumptions!$B$9)))</x:f>
      </x:c>
      <x:c r="AD1609" s="52" t="str">
        <x:f>IF(OR(R1609="No",U1609*S1609=0),"",AA1609/(U1609*S1609))</x:f>
      </x:c>
      <x:c r="AE1609" s="50" t="str">
        <x:f>IF(R1609="No","No finance data",IF(AB1609&gt;=10%,"Severe",IF(AB1609&gt;=5%,"High",IF(AB1609&gt;=2%,"Moderate","Low"))))</x:f>
        <x:v>No finance data</x:v>
      </x:c>
      <x:c r="AF1609" s="60"/>
      <x:c r="AG1609" s="60"/>
      <x:c r="AH1609" s="44" t="str">
        <x:v>Undergraduate tuition-contribution proxy only; not an audited total institutional budget.</x:v>
      </x:c>
    </x:row>
    <x:row r="1610">
      <x:c r="A1610" s="16" t="n">
        <x:v>392840</x:v>
      </x:c>
      <x:c r="B1610" s="16" t="str">
        <x:v>Watkins College of Art Design &amp; Film</x:v>
      </x:c>
      <x:c r="C1610" s="16" t="str">
        <x:v>TN</x:v>
      </x:c>
      <x:c r="D1610" s="16" t="str">
        <x:v>Private nonprofit</x:v>
      </x:c>
      <x:c r="E1610" s="34" t="n">
        <x:v>271</x:v>
      </x:c>
      <x:c r="F1610" s="21"/>
      <x:c r="G1610" s="16" t="str">
        <x:v>Regional</x:v>
      </x:c>
      <x:c r="H1610" s="36" t="n">
        <x:f>IF(G1610="National",Assumptions!$B$11,IF(G1610="Statewide",Assumptions!$B$12,Assumptions!$B$13))</x:f>
        <x:v>0.85</x:v>
      </x:c>
      <x:c r="I1610" s="21" t="n">
        <x:v>-0.0004403581579685012</x:v>
      </x:c>
      <x:c r="J1610" s="21" t="n">
        <x:v>0.06302459333591326</x:v>
      </x:c>
      <x:c r="K1610" s="21" t="n">
        <x:v>0.08700409666528786</x:v>
      </x:c>
      <x:c r="L1610" s="36" t="n">
        <x:f>IF(Assumptions!$B$4=2030,I1610,IF(Assumptions!$B$4=2035,J1610,K1610))</x:f>
        <x:v>0.06302459333591326</x:v>
      </x:c>
      <x:c r="M1610" s="36" t="n">
        <x:f>Assumptions!$B$19</x:f>
        <x:v>-0.04739891965741583</x:v>
      </x:c>
      <x:c r="N1610" s="52" t="n">
        <x:f>H1610*L1610+(1-H1610)*M1610+O1610</x:f>
        <x:v>0.04646106638691389</x:v>
      </x:c>
      <x:c r="O1610" s="36" t="n">
        <x:f>Assumptions!$B$10</x:f>
        <x:v>0</x:v>
      </x:c>
      <x:c r="P1610" s="54" t="n">
        <x:f>E1610*(1+N1610)</x:f>
        <x:v>283.59094899085363</x:v>
      </x:c>
      <x:c r="Q1610" s="54" t="n">
        <x:f>P1610-E1610</x:f>
        <x:v>12.590948990853633</x:v>
      </x:c>
      <x:c r="R1610" s="16" t="str">
        <x:v>No</x:v>
      </x:c>
      <x:c r="S1610" s="56"/>
      <x:c r="T1610" s="56"/>
      <x:c r="U1610" s="40" t="n">
        <x:f>E1610*Assumptions!$B$8</x:f>
        <x:v>230.35</x:v>
      </x:c>
      <x:c r="V1610" s="40" t="n">
        <x:f>P1610*Assumptions!$B$8</x:f>
        <x:v>241.05230664222557</x:v>
      </x:c>
      <x:c r="W1610" s="54" t="n">
        <x:f>V1610-U1610</x:f>
        <x:v>10.70230664222558</x:v>
      </x:c>
      <x:c r="X1610" s="58" t="str">
        <x:f>IF(R1610="No","",W1610*S1610)</x:f>
      </x:c>
      <x:c r="Y1610" s="58" t="str">
        <x:f>IF(R1610="No","",W1610*T1610*Assumptions!$B$9)</x:f>
      </x:c>
      <x:c r="Z1610" s="58" t="str">
        <x:f>IF(R1610="No","",X1610-Y1610)</x:f>
      </x:c>
      <x:c r="AA1610" s="58" t="str">
        <x:f>IF(R1610="No","",MAX(0,-Z1610))</x:f>
      </x:c>
      <x:c r="AB1610" s="52" t="str">
        <x:f>IF(OR(R1610="No",U1610*S1610=0),"",AA1610/(U1610*S1610))</x:f>
      </x:c>
      <x:c r="AC1610" s="54" t="str">
        <x:f>IF(OR(R1610="No",S1610-T1610*Assumptions!$B$9&lt;=0),"",AA1610/(Assumptions!$B$8*(S1610-T1610*Assumptions!$B$9)))</x:f>
      </x:c>
      <x:c r="AD1610" s="52" t="str">
        <x:f>IF(OR(R1610="No",U1610*S1610=0),"",AA1610/(U1610*S1610))</x:f>
      </x:c>
      <x:c r="AE1610" s="50" t="str">
        <x:f>IF(R1610="No","No finance data",IF(AB1610&gt;=10%,"Severe",IF(AB1610&gt;=5%,"High",IF(AB1610&gt;=2%,"Moderate","Low"))))</x:f>
        <x:v>No finance data</x:v>
      </x:c>
      <x:c r="AF1610" s="60"/>
      <x:c r="AG1610" s="60"/>
      <x:c r="AH1610" s="44" t="str">
        <x:v>Undergraduate tuition-contribution proxy only; not an audited total institutional budget.</x:v>
      </x:c>
    </x:row>
    <x:row r="1611">
      <x:c r="A1611" s="16" t="n">
        <x:v>220206</x:v>
      </x:c>
      <x:c r="B1611" s="16" t="str">
        <x:v>Welch College</x:v>
      </x:c>
      <x:c r="C1611" s="16" t="str">
        <x:v>TN</x:v>
      </x:c>
      <x:c r="D1611" s="16" t="str">
        <x:v>Private nonprofit</x:v>
      </x:c>
      <x:c r="E1611" s="34" t="n">
        <x:v>261</x:v>
      </x:c>
      <x:c r="F1611" s="21"/>
      <x:c r="G1611" s="16" t="str">
        <x:v>Regional</x:v>
      </x:c>
      <x:c r="H1611" s="36" t="n">
        <x:f>IF(G1611="National",Assumptions!$B$11,IF(G1611="Statewide",Assumptions!$B$12,Assumptions!$B$13))</x:f>
        <x:v>0.85</x:v>
      </x:c>
      <x:c r="I1611" s="21" t="n">
        <x:v>-0.0004403581579685012</x:v>
      </x:c>
      <x:c r="J1611" s="21" t="n">
        <x:v>0.06302459333591326</x:v>
      </x:c>
      <x:c r="K1611" s="21" t="n">
        <x:v>0.08700409666528786</x:v>
      </x:c>
      <x:c r="L1611" s="36" t="n">
        <x:f>IF(Assumptions!$B$4=2030,I1611,IF(Assumptions!$B$4=2035,J1611,K1611))</x:f>
        <x:v>0.06302459333591326</x:v>
      </x:c>
      <x:c r="M1611" s="36" t="n">
        <x:f>Assumptions!$B$19</x:f>
        <x:v>-0.04739891965741583</x:v>
      </x:c>
      <x:c r="N1611" s="52" t="n">
        <x:f>H1611*L1611+(1-H1611)*M1611+O1611</x:f>
        <x:v>0.04646106638691389</x:v>
      </x:c>
      <x:c r="O1611" s="36" t="n">
        <x:f>Assumptions!$B$10</x:f>
        <x:v>0</x:v>
      </x:c>
      <x:c r="P1611" s="54" t="n">
        <x:f>E1611*(1+N1611)</x:f>
        <x:v>273.1263383269845</x:v>
      </x:c>
      <x:c r="Q1611" s="54" t="n">
        <x:f>P1611-E1611</x:f>
        <x:v>12.126338326984524</x:v>
      </x:c>
      <x:c r="R1611" s="16" t="str">
        <x:v>No</x:v>
      </x:c>
      <x:c r="S1611" s="56"/>
      <x:c r="T1611" s="56"/>
      <x:c r="U1611" s="40" t="n">
        <x:f>E1611*Assumptions!$B$8</x:f>
        <x:v>221.85</x:v>
      </x:c>
      <x:c r="V1611" s="40" t="n">
        <x:f>P1611*Assumptions!$B$8</x:f>
        <x:v>232.15738757793684</x:v>
      </x:c>
      <x:c r="W1611" s="54" t="n">
        <x:f>V1611-U1611</x:f>
        <x:v>10.30738757793685</x:v>
      </x:c>
      <x:c r="X1611" s="58" t="str">
        <x:f>IF(R1611="No","",W1611*S1611)</x:f>
      </x:c>
      <x:c r="Y1611" s="58" t="str">
        <x:f>IF(R1611="No","",W1611*T1611*Assumptions!$B$9)</x:f>
      </x:c>
      <x:c r="Z1611" s="58" t="str">
        <x:f>IF(R1611="No","",X1611-Y1611)</x:f>
      </x:c>
      <x:c r="AA1611" s="58" t="str">
        <x:f>IF(R1611="No","",MAX(0,-Z1611))</x:f>
      </x:c>
      <x:c r="AB1611" s="52" t="str">
        <x:f>IF(OR(R1611="No",U1611*S1611=0),"",AA1611/(U1611*S1611))</x:f>
      </x:c>
      <x:c r="AC1611" s="54" t="str">
        <x:f>IF(OR(R1611="No",S1611-T1611*Assumptions!$B$9&lt;=0),"",AA1611/(Assumptions!$B$8*(S1611-T1611*Assumptions!$B$9)))</x:f>
      </x:c>
      <x:c r="AD1611" s="52" t="str">
        <x:f>IF(OR(R1611="No",U1611*S1611=0),"",AA1611/(U1611*S1611))</x:f>
      </x:c>
      <x:c r="AE1611" s="50" t="str">
        <x:f>IF(R1611="No","No finance data",IF(AB1611&gt;=10%,"Severe",IF(AB1611&gt;=5%,"High",IF(AB1611&gt;=2%,"Moderate","Low"))))</x:f>
        <x:v>No finance data</x:v>
      </x:c>
      <x:c r="AF1611" s="60"/>
      <x:c r="AG1611" s="60"/>
      <x:c r="AH1611" s="44" t="str">
        <x:v>Undergraduate tuition-contribution proxy only; not an audited total institutional budget.</x:v>
      </x:c>
    </x:row>
    <x:row r="1612">
      <x:c r="A1612" s="16" t="n">
        <x:v>443340</x:v>
      </x:c>
      <x:c r="B1612" s="16" t="str">
        <x:v>Williamson Christian College</x:v>
      </x:c>
      <x:c r="C1612" s="16" t="str">
        <x:v>TN</x:v>
      </x:c>
      <x:c r="D1612" s="16" t="str">
        <x:v>Private nonprofit</x:v>
      </x:c>
      <x:c r="E1612" s="34" t="n">
        <x:v>59</x:v>
      </x:c>
      <x:c r="F1612" s="21"/>
      <x:c r="G1612" s="16" t="str">
        <x:v>Regional</x:v>
      </x:c>
      <x:c r="H1612" s="36" t="n">
        <x:f>IF(G1612="National",Assumptions!$B$11,IF(G1612="Statewide",Assumptions!$B$12,Assumptions!$B$13))</x:f>
        <x:v>0.85</x:v>
      </x:c>
      <x:c r="I1612" s="21" t="n">
        <x:v>-0.0004403581579685012</x:v>
      </x:c>
      <x:c r="J1612" s="21" t="n">
        <x:v>0.06302459333591326</x:v>
      </x:c>
      <x:c r="K1612" s="21" t="n">
        <x:v>0.08700409666528786</x:v>
      </x:c>
      <x:c r="L1612" s="36" t="n">
        <x:f>IF(Assumptions!$B$4=2030,I1612,IF(Assumptions!$B$4=2035,J1612,K1612))</x:f>
        <x:v>0.06302459333591326</x:v>
      </x:c>
      <x:c r="M1612" s="36" t="n">
        <x:f>Assumptions!$B$19</x:f>
        <x:v>-0.04739891965741583</x:v>
      </x:c>
      <x:c r="N1612" s="52" t="n">
        <x:f>H1612*L1612+(1-H1612)*M1612+O1612</x:f>
        <x:v>0.04646106638691389</x:v>
      </x:c>
      <x:c r="O1612" s="36" t="n">
        <x:f>Assumptions!$B$10</x:f>
        <x:v>0</x:v>
      </x:c>
      <x:c r="P1612" s="54" t="n">
        <x:f>E1612*(1+N1612)</x:f>
        <x:v>61.741202916827916</x:v>
      </x:c>
      <x:c r="Q1612" s="54" t="n">
        <x:f>P1612-E1612</x:f>
        <x:v>2.741202916827916</x:v>
      </x:c>
      <x:c r="R1612" s="16" t="str">
        <x:v>No</x:v>
      </x:c>
      <x:c r="S1612" s="56"/>
      <x:c r="T1612" s="56"/>
      <x:c r="U1612" s="40" t="n">
        <x:f>E1612*Assumptions!$B$8</x:f>
        <x:v>50.15</x:v>
      </x:c>
      <x:c r="V1612" s="40" t="n">
        <x:f>P1612*Assumptions!$B$8</x:f>
        <x:v>52.48002247930373</x:v>
      </x:c>
      <x:c r="W1612" s="54" t="n">
        <x:f>V1612-U1612</x:f>
        <x:v>2.3300224793037287</x:v>
      </x:c>
      <x:c r="X1612" s="58" t="str">
        <x:f>IF(R1612="No","",W1612*S1612)</x:f>
      </x:c>
      <x:c r="Y1612" s="58" t="str">
        <x:f>IF(R1612="No","",W1612*T1612*Assumptions!$B$9)</x:f>
      </x:c>
      <x:c r="Z1612" s="58" t="str">
        <x:f>IF(R1612="No","",X1612-Y1612)</x:f>
      </x:c>
      <x:c r="AA1612" s="58" t="str">
        <x:f>IF(R1612="No","",MAX(0,-Z1612))</x:f>
      </x:c>
      <x:c r="AB1612" s="52" t="str">
        <x:f>IF(OR(R1612="No",U1612*S1612=0),"",AA1612/(U1612*S1612))</x:f>
      </x:c>
      <x:c r="AC1612" s="54" t="str">
        <x:f>IF(OR(R1612="No",S1612-T1612*Assumptions!$B$9&lt;=0),"",AA1612/(Assumptions!$B$8*(S1612-T1612*Assumptions!$B$9)))</x:f>
      </x:c>
      <x:c r="AD1612" s="52" t="str">
        <x:f>IF(OR(R1612="No",U1612*S1612=0),"",AA1612/(U1612*S1612))</x:f>
      </x:c>
      <x:c r="AE1612" s="50" t="str">
        <x:f>IF(R1612="No","No finance data",IF(AB1612&gt;=10%,"Severe",IF(AB1612&gt;=5%,"High",IF(AB1612&gt;=2%,"Moderate","Low"))))</x:f>
        <x:v>No finance data</x:v>
      </x:c>
      <x:c r="AF1612" s="60"/>
      <x:c r="AG1612" s="60"/>
      <x:c r="AH1612" s="44" t="str">
        <x:v>Undergraduate tuition-contribution proxy only; not an audited total institutional budget.</x:v>
      </x:c>
    </x:row>
    <x:row r="1613">
      <x:c r="A1613" s="16" t="n">
        <x:v>222178</x:v>
      </x:c>
      <x:c r="B1613" s="16" t="str">
        <x:v>Abilene Christian University</x:v>
      </x:c>
      <x:c r="C1613" s="16" t="str">
        <x:v>TX</x:v>
      </x:c>
      <x:c r="D1613" s="16" t="str">
        <x:v>Private nonprofit</x:v>
      </x:c>
      <x:c r="E1613" s="34" t="n">
        <x:v>3695</x:v>
      </x:c>
      <x:c r="F1613" s="21" t="n">
        <x:v>0.7011</x:v>
      </x:c>
      <x:c r="G1613" s="16" t="str">
        <x:v>Regional</x:v>
      </x:c>
      <x:c r="H1613" s="36" t="n">
        <x:f>IF(G1613="National",Assumptions!$B$11,IF(G1613="Statewide",Assumptions!$B$12,Assumptions!$B$13))</x:f>
        <x:v>0.85</x:v>
      </x:c>
      <x:c r="I1613" s="21" t="n">
        <x:v>-0.027936917423154628</x:v>
      </x:c>
      <x:c r="J1613" s="21" t="n">
        <x:v>-0.0014699797999464526</x:v>
      </x:c>
      <x:c r="K1613" s="21" t="n">
        <x:v>0.009664387062230828</x:v>
      </x:c>
      <x:c r="L1613" s="36" t="n">
        <x:f>IF(Assumptions!$B$4=2030,I1613,IF(Assumptions!$B$4=2035,J1613,K1613))</x:f>
        <x:v>-0.0014699797999464526</x:v>
      </x:c>
      <x:c r="M1613" s="36" t="n">
        <x:f>Assumptions!$B$19</x:f>
        <x:v>-0.04739891965741583</x:v>
      </x:c>
      <x:c r="N1613" s="52" t="n">
        <x:f>H1613*L1613+(1-H1613)*M1613+O1613</x:f>
        <x:v>-0.00835932077856686</x:v>
      </x:c>
      <x:c r="O1613" s="36" t="n">
        <x:f>Assumptions!$B$10</x:f>
        <x:v>0</x:v>
      </x:c>
      <x:c r="P1613" s="54" t="n">
        <x:f>E1613*(1+N1613)</x:f>
        <x:v>3664.1123097231957</x:v>
      </x:c>
      <x:c r="Q1613" s="54" t="n">
        <x:f>P1613-E1613</x:f>
        <x:v>-30.88769027680428</x:v>
      </x:c>
      <x:c r="R1613" s="16" t="str">
        <x:v>Yes</x:v>
      </x:c>
      <x:c r="S1613" s="56" t="n">
        <x:v>16071</x:v>
      </x:c>
      <x:c r="T1613" s="56" t="n">
        <x:v>9576</x:v>
      </x:c>
      <x:c r="U1613" s="40" t="n">
        <x:f>E1613*Assumptions!$B$8</x:f>
        <x:v>3140.75</x:v>
      </x:c>
      <x:c r="V1613" s="40" t="n">
        <x:f>P1613*Assumptions!$B$8</x:f>
        <x:v>3114.4954632647164</x:v>
      </x:c>
      <x:c r="W1613" s="54" t="n">
        <x:f>V1613-U1613</x:f>
        <x:v>-26.254536735283637</x:v>
      </x:c>
      <x:c r="X1613" s="58" t="n">
        <x:f>IF(R1613="No","",W1613*S1613)</x:f>
        <x:v>-421936.6598727433</x:v>
      </x:c>
      <x:c r="Y1613" s="58" t="n">
        <x:f>IF(R1613="No","",W1613*T1613*Assumptions!$B$9)</x:f>
        <x:v>-75424.03313312284</x:v>
      </x:c>
      <x:c r="Z1613" s="58" t="n">
        <x:f>IF(R1613="No","",X1613-Y1613)</x:f>
        <x:v>-346512.62673962046</x:v>
      </x:c>
      <x:c r="AA1613" s="58" t="n">
        <x:f>IF(R1613="No","",MAX(0,-Z1613))</x:f>
        <x:v>346512.62673962046</x:v>
      </x:c>
      <x:c r="AB1613" s="52" t="n">
        <x:f>IF(OR(R1613="No",U1613*S1613=0),"",AA1613/(U1613*S1613))</x:f>
        <x:v>0.006865035623152272</x:v>
      </x:c>
      <x:c r="AC1613" s="54" t="n">
        <x:f>IF(OR(R1613="No",S1613-T1613*Assumptions!$B$9&lt;=0),"",AA1613/(Assumptions!$B$8*(S1613-T1613*Assumptions!$B$9)))</x:f>
        <x:v>30.88769027680427</x:v>
      </x:c>
      <x:c r="AD1613" s="52" t="n">
        <x:f>IF(OR(R1613="No",U1613*S1613=0),"",AA1613/(U1613*S1613))</x:f>
        <x:v>0.006865035623152272</x:v>
      </x:c>
      <x:c r="AE1613" s="50" t="str">
        <x:f>IF(R1613="No","No finance data",IF(AB1613&gt;=10%,"Severe",IF(AB1613&gt;=5%,"High",IF(AB1613&gt;=2%,"Moderate","Low"))))</x:f>
        <x:v>Low</x:v>
      </x:c>
      <x:c r="AF1613" s="60" t="n">
        <x:v>32.468943</x:v>
      </x:c>
      <x:c r="AG1613" s="60" t="n">
        <x:v>-99.709797</x:v>
      </x:c>
      <x:c r="AH1613" s="44" t="str">
        <x:v>Undergraduate tuition-contribution proxy only; not an audited total institutional budget.</x:v>
      </x:c>
    </x:row>
    <x:row r="1614">
      <x:c r="A1614" s="16" t="n">
        <x:v>222831</x:v>
      </x:c>
      <x:c r="B1614" s="16" t="str">
        <x:v>Angelo State University</x:v>
      </x:c>
      <x:c r="C1614" s="16" t="str">
        <x:v>TX</x:v>
      </x:c>
      <x:c r="D1614" s="16" t="str">
        <x:v>Public</x:v>
      </x:c>
      <x:c r="E1614" s="34" t="n">
        <x:v>5325</x:v>
      </x:c>
      <x:c r="F1614" s="21" t="n">
        <x:v>0.7007</x:v>
      </x:c>
      <x:c r="G1614" s="16" t="str">
        <x:v>Statewide</x:v>
      </x:c>
      <x:c r="H1614" s="36" t="n">
        <x:f>IF(G1614="National",Assumptions!$B$11,IF(G1614="Statewide",Assumptions!$B$12,Assumptions!$B$13))</x:f>
        <x:v>0.6</x:v>
      </x:c>
      <x:c r="I1614" s="21" t="n">
        <x:v>-0.027936917423154628</x:v>
      </x:c>
      <x:c r="J1614" s="21" t="n">
        <x:v>-0.0014699797999464526</x:v>
      </x:c>
      <x:c r="K1614" s="21" t="n">
        <x:v>0.009664387062230828</x:v>
      </x:c>
      <x:c r="L1614" s="36" t="n">
        <x:f>IF(Assumptions!$B$4=2030,I1614,IF(Assumptions!$B$4=2035,J1614,K1614))</x:f>
        <x:v>-0.0014699797999464526</x:v>
      </x:c>
      <x:c r="M1614" s="36" t="n">
        <x:f>Assumptions!$B$19</x:f>
        <x:v>-0.04739891965741583</x:v>
      </x:c>
      <x:c r="N1614" s="52" t="n">
        <x:f>H1614*L1614+(1-H1614)*M1614+O1614</x:f>
        <x:v>-0.019841555742934204</x:v>
      </x:c>
      <x:c r="O1614" s="36" t="n">
        <x:f>Assumptions!$B$10</x:f>
        <x:v>0</x:v>
      </x:c>
      <x:c r="P1614" s="54" t="n">
        <x:f>E1614*(1+N1614)</x:f>
        <x:v>5219.343715668875</x:v>
      </x:c>
      <x:c r="Q1614" s="54" t="n">
        <x:f>P1614-E1614</x:f>
        <x:v>-105.65628433112488</x:v>
      </x:c>
      <x:c r="R1614" s="16" t="str">
        <x:v>Yes</x:v>
      </x:c>
      <x:c r="S1614" s="56" t="n">
        <x:v>5613</x:v>
      </x:c>
      <x:c r="T1614" s="56" t="n">
        <x:v>6626</x:v>
      </x:c>
      <x:c r="U1614" s="40" t="n">
        <x:f>E1614*Assumptions!$B$8</x:f>
        <x:v>4526.25</x:v>
      </x:c>
      <x:c r="V1614" s="40" t="n">
        <x:f>P1614*Assumptions!$B$8</x:f>
        <x:v>4436.442158318544</x:v>
      </x:c>
      <x:c r="W1614" s="54" t="n">
        <x:f>V1614-U1614</x:f>
        <x:v>-89.80784168145601</x:v>
      </x:c>
      <x:c r="X1614" s="58" t="n">
        <x:f>IF(R1614="No","",W1614*S1614)</x:f>
        <x:v>-504091.4153580126</x:v>
      </x:c>
      <x:c r="Y1614" s="58" t="n">
        <x:f>IF(R1614="No","",W1614*T1614*Assumptions!$B$9)</x:f>
        <x:v>-178520.02769439825</x:v>
      </x:c>
      <x:c r="Z1614" s="58" t="n">
        <x:f>IF(R1614="No","",X1614-Y1614)</x:f>
        <x:v>-325571.38766361435</x:v>
      </x:c>
      <x:c r="AA1614" s="58" t="n">
        <x:f>IF(R1614="No","",MAX(0,-Z1614))</x:f>
        <x:v>325571.38766361435</x:v>
      </x:c>
      <x:c r="AB1614" s="52" t="n">
        <x:f>IF(OR(R1614="No",U1614*S1614=0),"",AA1614/(U1614*S1614))</x:f>
        <x:v>0.012814824136697869</x:v>
      </x:c>
      <x:c r="AC1614" s="54" t="n">
        <x:f>IF(OR(R1614="No",S1614-T1614*Assumptions!$B$9&lt;=0),"",AA1614/(Assumptions!$B$8*(S1614-T1614*Assumptions!$B$9)))</x:f>
        <x:v>105.65628433112474</x:v>
      </x:c>
      <x:c r="AD1614" s="52" t="n">
        <x:f>IF(OR(R1614="No",U1614*S1614=0),"",AA1614/(U1614*S1614))</x:f>
        <x:v>0.012814824136697869</x:v>
      </x:c>
      <x:c r="AE1614" s="50" t="str">
        <x:f>IF(R1614="No","No finance data",IF(AB1614&gt;=10%,"Severe",IF(AB1614&gt;=5%,"High",IF(AB1614&gt;=2%,"Moderate","Low"))))</x:f>
        <x:v>Low</x:v>
      </x:c>
      <x:c r="AF1614" s="60" t="n">
        <x:v>31.440914</x:v>
      </x:c>
      <x:c r="AG1614" s="60" t="n">
        <x:v>-100.465051</x:v>
      </x:c>
      <x:c r="AH1614" s="44" t="str">
        <x:v>Undergraduate tuition-contribution proxy only; not an audited total institutional budget.</x:v>
      </x:c>
    </x:row>
    <x:row r="1615">
      <x:c r="A1615" s="16" t="n">
        <x:v>222877</x:v>
      </x:c>
      <x:c r="B1615" s="16" t="str">
        <x:v>Arlington Baptist College</x:v>
      </x:c>
      <x:c r="C1615" s="16" t="str">
        <x:v>TX</x:v>
      </x:c>
      <x:c r="D1615" s="16" t="str">
        <x:v>Private nonprofit</x:v>
      </x:c>
      <x:c r="E1615" s="34" t="n">
        <x:v>184</x:v>
      </x:c>
      <x:c r="F1615" s="21"/>
      <x:c r="G1615" s="16" t="str">
        <x:v>Regional</x:v>
      </x:c>
      <x:c r="H1615" s="36" t="n">
        <x:f>IF(G1615="National",Assumptions!$B$11,IF(G1615="Statewide",Assumptions!$B$12,Assumptions!$B$13))</x:f>
        <x:v>0.85</x:v>
      </x:c>
      <x:c r="I1615" s="21" t="n">
        <x:v>-0.027936917423154628</x:v>
      </x:c>
      <x:c r="J1615" s="21" t="n">
        <x:v>-0.0014699797999464526</x:v>
      </x:c>
      <x:c r="K1615" s="21" t="n">
        <x:v>0.009664387062230828</x:v>
      </x:c>
      <x:c r="L1615" s="36" t="n">
        <x:f>IF(Assumptions!$B$4=2030,I1615,IF(Assumptions!$B$4=2035,J1615,K1615))</x:f>
        <x:v>-0.0014699797999464526</x:v>
      </x:c>
      <x:c r="M1615" s="36" t="n">
        <x:f>Assumptions!$B$19</x:f>
        <x:v>-0.04739891965741583</x:v>
      </x:c>
      <x:c r="N1615" s="52" t="n">
        <x:f>H1615*L1615+(1-H1615)*M1615+O1615</x:f>
        <x:v>-0.00835932077856686</x:v>
      </x:c>
      <x:c r="O1615" s="36" t="n">
        <x:f>Assumptions!$B$10</x:f>
        <x:v>0</x:v>
      </x:c>
      <x:c r="P1615" s="54" t="n">
        <x:f>E1615*(1+N1615)</x:f>
        <x:v>182.4618849767437</x:v>
      </x:c>
      <x:c r="Q1615" s="54" t="n">
        <x:f>P1615-E1615</x:f>
        <x:v>-1.538115023256296</x:v>
      </x:c>
      <x:c r="R1615" s="16" t="str">
        <x:v>No</x:v>
      </x:c>
      <x:c r="S1615" s="56"/>
      <x:c r="T1615" s="56"/>
      <x:c r="U1615" s="40" t="n">
        <x:f>E1615*Assumptions!$B$8</x:f>
        <x:v>156.4</x:v>
      </x:c>
      <x:c r="V1615" s="40" t="n">
        <x:f>P1615*Assumptions!$B$8</x:f>
        <x:v>155.09260223023213</x:v>
      </x:c>
      <x:c r="W1615" s="54" t="n">
        <x:f>V1615-U1615</x:f>
        <x:v>-1.3073977697678743</x:v>
      </x:c>
      <x:c r="X1615" s="58" t="str">
        <x:f>IF(R1615="No","",W1615*S1615)</x:f>
      </x:c>
      <x:c r="Y1615" s="58" t="str">
        <x:f>IF(R1615="No","",W1615*T1615*Assumptions!$B$9)</x:f>
      </x:c>
      <x:c r="Z1615" s="58" t="str">
        <x:f>IF(R1615="No","",X1615-Y1615)</x:f>
      </x:c>
      <x:c r="AA1615" s="58" t="str">
        <x:f>IF(R1615="No","",MAX(0,-Z1615))</x:f>
      </x:c>
      <x:c r="AB1615" s="52" t="str">
        <x:f>IF(OR(R1615="No",U1615*S1615=0),"",AA1615/(U1615*S1615))</x:f>
      </x:c>
      <x:c r="AC1615" s="54" t="str">
        <x:f>IF(OR(R1615="No",S1615-T1615*Assumptions!$B$9&lt;=0),"",AA1615/(Assumptions!$B$8*(S1615-T1615*Assumptions!$B$9)))</x:f>
      </x:c>
      <x:c r="AD1615" s="52" t="str">
        <x:f>IF(OR(R1615="No",U1615*S1615=0),"",AA1615/(U1615*S1615))</x:f>
      </x:c>
      <x:c r="AE1615" s="50" t="str">
        <x:f>IF(R1615="No","No finance data",IF(AB1615&gt;=10%,"Severe",IF(AB1615&gt;=5%,"High",IF(AB1615&gt;=2%,"Moderate","Low"))))</x:f>
        <x:v>No finance data</x:v>
      </x:c>
      <x:c r="AF1615" s="60"/>
      <x:c r="AG1615" s="60"/>
      <x:c r="AH1615" s="44" t="str">
        <x:v>Undergraduate tuition-contribution proxy only; not an audited total institutional budget.</x:v>
      </x:c>
    </x:row>
    <x:row r="1616">
      <x:c r="A1616" s="16" t="n">
        <x:v>222983</x:v>
      </x:c>
      <x:c r="B1616" s="16" t="str">
        <x:v>Austin College</x:v>
      </x:c>
      <x:c r="C1616" s="16" t="str">
        <x:v>TX</x:v>
      </x:c>
      <x:c r="D1616" s="16" t="str">
        <x:v>Private nonprofit</x:v>
      </x:c>
      <x:c r="E1616" s="34" t="n">
        <x:v>1233</x:v>
      </x:c>
      <x:c r="F1616" s="21" t="n">
        <x:v>0.4271</x:v>
      </x:c>
      <x:c r="G1616" s="16" t="str">
        <x:v>Regional</x:v>
      </x:c>
      <x:c r="H1616" s="36" t="n">
        <x:f>IF(G1616="National",Assumptions!$B$11,IF(G1616="Statewide",Assumptions!$B$12,Assumptions!$B$13))</x:f>
        <x:v>0.85</x:v>
      </x:c>
      <x:c r="I1616" s="21" t="n">
        <x:v>-0.027936917423154628</x:v>
      </x:c>
      <x:c r="J1616" s="21" t="n">
        <x:v>-0.0014699797999464526</x:v>
      </x:c>
      <x:c r="K1616" s="21" t="n">
        <x:v>0.009664387062230828</x:v>
      </x:c>
      <x:c r="L1616" s="36" t="n">
        <x:f>IF(Assumptions!$B$4=2030,I1616,IF(Assumptions!$B$4=2035,J1616,K1616))</x:f>
        <x:v>-0.0014699797999464526</x:v>
      </x:c>
      <x:c r="M1616" s="36" t="n">
        <x:f>Assumptions!$B$19</x:f>
        <x:v>-0.04739891965741583</x:v>
      </x:c>
      <x:c r="N1616" s="52" t="n">
        <x:f>H1616*L1616+(1-H1616)*M1616+O1616</x:f>
        <x:v>-0.00835932077856686</x:v>
      </x:c>
      <x:c r="O1616" s="36" t="n">
        <x:f>Assumptions!$B$10</x:f>
        <x:v>0</x:v>
      </x:c>
      <x:c r="P1616" s="54" t="n">
        <x:f>E1616*(1+N1616)</x:f>
        <x:v>1222.6929574800272</x:v>
      </x:c>
      <x:c r="Q1616" s="54" t="n">
        <x:f>P1616-E1616</x:f>
        <x:v>-10.30704251997281</x:v>
      </x:c>
      <x:c r="R1616" s="16" t="str">
        <x:v>Yes</x:v>
      </x:c>
      <x:c r="S1616" s="56" t="n">
        <x:v>15111</x:v>
      </x:c>
      <x:c r="T1616" s="56" t="n">
        <x:v>11436</x:v>
      </x:c>
      <x:c r="U1616" s="40" t="n">
        <x:f>E1616*Assumptions!$B$8</x:f>
        <x:v>1048.05</x:v>
      </x:c>
      <x:c r="V1616" s="40" t="n">
        <x:f>P1616*Assumptions!$B$8</x:f>
        <x:v>1039.289013858023</x:v>
      </x:c>
      <x:c r="W1616" s="54" t="n">
        <x:f>V1616-U1616</x:f>
        <x:v>-8.7609861419769</x:v>
      </x:c>
      <x:c r="X1616" s="58" t="n">
        <x:f>IF(R1616="No","",W1616*S1616)</x:f>
        <x:v>-132387.26159141294</x:v>
      </x:c>
      <x:c r="Y1616" s="58" t="n">
        <x:f>IF(R1616="No","",W1616*T1616*Assumptions!$B$9)</x:f>
        <x:v>-30057.191255894348</x:v>
      </x:c>
      <x:c r="Z1616" s="58" t="n">
        <x:f>IF(R1616="No","",X1616-Y1616)</x:f>
        <x:v>-102330.0703355186</x:v>
      </x:c>
      <x:c r="AA1616" s="58" t="n">
        <x:f>IF(R1616="No","",MAX(0,-Z1616))</x:f>
        <x:v>102330.0703355186</x:v>
      </x:c>
      <x:c r="AB1616" s="52" t="n">
        <x:f>IF(OR(R1616="No",U1616*S1616=0),"",AA1616/(U1616*S1616))</x:f>
        <x:v>0.006461421385600925</x:v>
      </x:c>
      <x:c r="AC1616" s="54" t="n">
        <x:f>IF(OR(R1616="No",S1616-T1616*Assumptions!$B$9&lt;=0),"",AA1616/(Assumptions!$B$8*(S1616-T1616*Assumptions!$B$9)))</x:f>
        <x:v>10.307042519972825</x:v>
      </x:c>
      <x:c r="AD1616" s="52" t="n">
        <x:f>IF(OR(R1616="No",U1616*S1616=0),"",AA1616/(U1616*S1616))</x:f>
        <x:v>0.006461421385600925</x:v>
      </x:c>
      <x:c r="AE1616" s="50" t="str">
        <x:f>IF(R1616="No","No finance data",IF(AB1616&gt;=10%,"Severe",IF(AB1616&gt;=5%,"High",IF(AB1616&gt;=2%,"Moderate","Low"))))</x:f>
        <x:v>Low</x:v>
      </x:c>
      <x:c r="AF1616" s="60" t="n">
        <x:v>33.646345</x:v>
      </x:c>
      <x:c r="AG1616" s="60" t="n">
        <x:v>-96.596331</x:v>
      </x:c>
      <x:c r="AH1616" s="44" t="str">
        <x:v>Undergraduate tuition-contribution proxy only; not an audited total institutional budget.</x:v>
      </x:c>
    </x:row>
    <x:row r="1617">
      <x:c r="A1617" s="16" t="n">
        <x:v>247825</x:v>
      </x:c>
      <x:c r="B1617" s="16" t="str">
        <x:v>Austin Graduate School of Theology</x:v>
      </x:c>
      <x:c r="C1617" s="16" t="str">
        <x:v>TX</x:v>
      </x:c>
      <x:c r="D1617" s="16" t="str">
        <x:v>Private nonprofit</x:v>
      </x:c>
      <x:c r="E1617" s="34" t="n">
        <x:v>22</x:v>
      </x:c>
      <x:c r="F1617" s="21"/>
      <x:c r="G1617" s="16" t="str">
        <x:v>Regional</x:v>
      </x:c>
      <x:c r="H1617" s="36" t="n">
        <x:f>IF(G1617="National",Assumptions!$B$11,IF(G1617="Statewide",Assumptions!$B$12,Assumptions!$B$13))</x:f>
        <x:v>0.85</x:v>
      </x:c>
      <x:c r="I1617" s="21" t="n">
        <x:v>-0.027936917423154628</x:v>
      </x:c>
      <x:c r="J1617" s="21" t="n">
        <x:v>-0.0014699797999464526</x:v>
      </x:c>
      <x:c r="K1617" s="21" t="n">
        <x:v>0.009664387062230828</x:v>
      </x:c>
      <x:c r="L1617" s="36" t="n">
        <x:f>IF(Assumptions!$B$4=2030,I1617,IF(Assumptions!$B$4=2035,J1617,K1617))</x:f>
        <x:v>-0.0014699797999464526</x:v>
      </x:c>
      <x:c r="M1617" s="36" t="n">
        <x:f>Assumptions!$B$19</x:f>
        <x:v>-0.04739891965741583</x:v>
      </x:c>
      <x:c r="N1617" s="52" t="n">
        <x:f>H1617*L1617+(1-H1617)*M1617+O1617</x:f>
        <x:v>-0.00835932077856686</x:v>
      </x:c>
      <x:c r="O1617" s="36" t="n">
        <x:f>Assumptions!$B$10</x:f>
        <x:v>0</x:v>
      </x:c>
      <x:c r="P1617" s="54" t="n">
        <x:f>E1617*(1+N1617)</x:f>
        <x:v>21.81609494287153</x:v>
      </x:c>
      <x:c r="Q1617" s="54" t="n">
        <x:f>P1617-E1617</x:f>
        <x:v>-0.18390505712847016</x:v>
      </x:c>
      <x:c r="R1617" s="16" t="str">
        <x:v>No</x:v>
      </x:c>
      <x:c r="S1617" s="56"/>
      <x:c r="T1617" s="56"/>
      <x:c r="U1617" s="40" t="n">
        <x:f>E1617*Assumptions!$B$8</x:f>
        <x:v>18.7</x:v>
      </x:c>
      <x:c r="V1617" s="40" t="n">
        <x:f>P1617*Assumptions!$B$8</x:f>
        <x:v>18.5436807014408</x:v>
      </x:c>
      <x:c r="W1617" s="54" t="n">
        <x:f>V1617-U1617</x:f>
        <x:v>-0.15631929855920035</x:v>
      </x:c>
      <x:c r="X1617" s="58" t="str">
        <x:f>IF(R1617="No","",W1617*S1617)</x:f>
      </x:c>
      <x:c r="Y1617" s="58" t="str">
        <x:f>IF(R1617="No","",W1617*T1617*Assumptions!$B$9)</x:f>
      </x:c>
      <x:c r="Z1617" s="58" t="str">
        <x:f>IF(R1617="No","",X1617-Y1617)</x:f>
      </x:c>
      <x:c r="AA1617" s="58" t="str">
        <x:f>IF(R1617="No","",MAX(0,-Z1617))</x:f>
      </x:c>
      <x:c r="AB1617" s="52" t="str">
        <x:f>IF(OR(R1617="No",U1617*S1617=0),"",AA1617/(U1617*S1617))</x:f>
      </x:c>
      <x:c r="AC1617" s="54" t="str">
        <x:f>IF(OR(R1617="No",S1617-T1617*Assumptions!$B$9&lt;=0),"",AA1617/(Assumptions!$B$8*(S1617-T1617*Assumptions!$B$9)))</x:f>
      </x:c>
      <x:c r="AD1617" s="52" t="str">
        <x:f>IF(OR(R1617="No",U1617*S1617=0),"",AA1617/(U1617*S1617))</x:f>
      </x:c>
      <x:c r="AE1617" s="50" t="str">
        <x:f>IF(R1617="No","No finance data",IF(AB1617&gt;=10%,"Severe",IF(AB1617&gt;=5%,"High",IF(AB1617&gt;=2%,"Moderate","Low"))))</x:f>
        <x:v>No finance data</x:v>
      </x:c>
      <x:c r="AF1617" s="60"/>
      <x:c r="AG1617" s="60"/>
      <x:c r="AH1617" s="44" t="str">
        <x:v>Undergraduate tuition-contribution proxy only; not an audited total institutional budget.</x:v>
      </x:c>
    </x:row>
    <x:row r="1618">
      <x:c r="A1618" s="16" t="n">
        <x:v>223117</x:v>
      </x:c>
      <x:c r="B1618" s="16" t="str">
        <x:v>Baptist Missionary Association Theological Seminary</x:v>
      </x:c>
      <x:c r="C1618" s="16" t="str">
        <x:v>TX</x:v>
      </x:c>
      <x:c r="D1618" s="16" t="str">
        <x:v>Private nonprofit</x:v>
      </x:c>
      <x:c r="E1618" s="34" t="n">
        <x:v>65</x:v>
      </x:c>
      <x:c r="F1618" s="21"/>
      <x:c r="G1618" s="16" t="str">
        <x:v>Regional</x:v>
      </x:c>
      <x:c r="H1618" s="36" t="n">
        <x:f>IF(G1618="National",Assumptions!$B$11,IF(G1618="Statewide",Assumptions!$B$12,Assumptions!$B$13))</x:f>
        <x:v>0.85</x:v>
      </x:c>
      <x:c r="I1618" s="21" t="n">
        <x:v>-0.027936917423154628</x:v>
      </x:c>
      <x:c r="J1618" s="21" t="n">
        <x:v>-0.0014699797999464526</x:v>
      </x:c>
      <x:c r="K1618" s="21" t="n">
        <x:v>0.009664387062230828</x:v>
      </x:c>
      <x:c r="L1618" s="36" t="n">
        <x:f>IF(Assumptions!$B$4=2030,I1618,IF(Assumptions!$B$4=2035,J1618,K1618))</x:f>
        <x:v>-0.0014699797999464526</x:v>
      </x:c>
      <x:c r="M1618" s="36" t="n">
        <x:f>Assumptions!$B$19</x:f>
        <x:v>-0.04739891965741583</x:v>
      </x:c>
      <x:c r="N1618" s="52" t="n">
        <x:f>H1618*L1618+(1-H1618)*M1618+O1618</x:f>
        <x:v>-0.00835932077856686</x:v>
      </x:c>
      <x:c r="O1618" s="36" t="n">
        <x:f>Assumptions!$B$10</x:f>
        <x:v>0</x:v>
      </x:c>
      <x:c r="P1618" s="54" t="n">
        <x:f>E1618*(1+N1618)</x:f>
        <x:v>64.45664414939316</x:v>
      </x:c>
      <x:c r="Q1618" s="54" t="n">
        <x:f>P1618-E1618</x:f>
        <x:v>-0.5433558506068437</x:v>
      </x:c>
      <x:c r="R1618" s="16" t="str">
        <x:v>No</x:v>
      </x:c>
      <x:c r="S1618" s="56"/>
      <x:c r="T1618" s="56"/>
      <x:c r="U1618" s="40" t="n">
        <x:f>E1618*Assumptions!$B$8</x:f>
        <x:v>55.25</x:v>
      </x:c>
      <x:c r="V1618" s="40" t="n">
        <x:f>P1618*Assumptions!$B$8</x:f>
        <x:v>54.78814752698418</x:v>
      </x:c>
      <x:c r="W1618" s="54" t="n">
        <x:f>V1618-U1618</x:f>
        <x:v>-0.4618524730158171</x:v>
      </x:c>
      <x:c r="X1618" s="58" t="str">
        <x:f>IF(R1618="No","",W1618*S1618)</x:f>
      </x:c>
      <x:c r="Y1618" s="58" t="str">
        <x:f>IF(R1618="No","",W1618*T1618*Assumptions!$B$9)</x:f>
      </x:c>
      <x:c r="Z1618" s="58" t="str">
        <x:f>IF(R1618="No","",X1618-Y1618)</x:f>
      </x:c>
      <x:c r="AA1618" s="58" t="str">
        <x:f>IF(R1618="No","",MAX(0,-Z1618))</x:f>
      </x:c>
      <x:c r="AB1618" s="52" t="str">
        <x:f>IF(OR(R1618="No",U1618*S1618=0),"",AA1618/(U1618*S1618))</x:f>
      </x:c>
      <x:c r="AC1618" s="54" t="str">
        <x:f>IF(OR(R1618="No",S1618-T1618*Assumptions!$B$9&lt;=0),"",AA1618/(Assumptions!$B$8*(S1618-T1618*Assumptions!$B$9)))</x:f>
      </x:c>
      <x:c r="AD1618" s="52" t="str">
        <x:f>IF(OR(R1618="No",U1618*S1618=0),"",AA1618/(U1618*S1618))</x:f>
      </x:c>
      <x:c r="AE1618" s="50" t="str">
        <x:f>IF(R1618="No","No finance data",IF(AB1618&gt;=10%,"Severe",IF(AB1618&gt;=5%,"High",IF(AB1618&gt;=2%,"Moderate","Low"))))</x:f>
        <x:v>No finance data</x:v>
      </x:c>
      <x:c r="AF1618" s="60"/>
      <x:c r="AG1618" s="60"/>
      <x:c r="AH1618" s="44" t="str">
        <x:v>Undergraduate tuition-contribution proxy only; not an audited total institutional budget.</x:v>
      </x:c>
    </x:row>
    <x:row r="1619">
      <x:c r="A1619" s="16" t="n">
        <x:v>444398</x:v>
      </x:c>
      <x:c r="B1619" s="16" t="str">
        <x:v>Baptist University of the Americas</x:v>
      </x:c>
      <x:c r="C1619" s="16" t="str">
        <x:v>TX</x:v>
      </x:c>
      <x:c r="D1619" s="16" t="str">
        <x:v>Private nonprofit</x:v>
      </x:c>
      <x:c r="E1619" s="34" t="n">
        <x:v>194</x:v>
      </x:c>
      <x:c r="F1619" s="21"/>
      <x:c r="G1619" s="16" t="str">
        <x:v>Regional</x:v>
      </x:c>
      <x:c r="H1619" s="36" t="n">
        <x:f>IF(G1619="National",Assumptions!$B$11,IF(G1619="Statewide",Assumptions!$B$12,Assumptions!$B$13))</x:f>
        <x:v>0.85</x:v>
      </x:c>
      <x:c r="I1619" s="21" t="n">
        <x:v>-0.027936917423154628</x:v>
      </x:c>
      <x:c r="J1619" s="21" t="n">
        <x:v>-0.0014699797999464526</x:v>
      </x:c>
      <x:c r="K1619" s="21" t="n">
        <x:v>0.009664387062230828</x:v>
      </x:c>
      <x:c r="L1619" s="36" t="n">
        <x:f>IF(Assumptions!$B$4=2030,I1619,IF(Assumptions!$B$4=2035,J1619,K1619))</x:f>
        <x:v>-0.0014699797999464526</x:v>
      </x:c>
      <x:c r="M1619" s="36" t="n">
        <x:f>Assumptions!$B$19</x:f>
        <x:v>-0.04739891965741583</x:v>
      </x:c>
      <x:c r="N1619" s="52" t="n">
        <x:f>H1619*L1619+(1-H1619)*M1619+O1619</x:f>
        <x:v>-0.00835932077856686</x:v>
      </x:c>
      <x:c r="O1619" s="36" t="n">
        <x:f>Assumptions!$B$10</x:f>
        <x:v>0</x:v>
      </x:c>
      <x:c r="P1619" s="54" t="n">
        <x:f>E1619*(1+N1619)</x:f>
        <x:v>192.37829176895804</x:v>
      </x:c>
      <x:c r="Q1619" s="54" t="n">
        <x:f>P1619-E1619</x:f>
        <x:v>-1.6217082310419642</x:v>
      </x:c>
      <x:c r="R1619" s="16" t="str">
        <x:v>No</x:v>
      </x:c>
      <x:c r="S1619" s="56"/>
      <x:c r="T1619" s="56"/>
      <x:c r="U1619" s="40" t="n">
        <x:f>E1619*Assumptions!$B$8</x:f>
        <x:v>164.9</x:v>
      </x:c>
      <x:c r="V1619" s="40" t="n">
        <x:f>P1619*Assumptions!$B$8</x:f>
        <x:v>163.52154800361433</x:v>
      </x:c>
      <x:c r="W1619" s="54" t="n">
        <x:f>V1619-U1619</x:f>
        <x:v>-1.378451996385678</x:v>
      </x:c>
      <x:c r="X1619" s="58" t="str">
        <x:f>IF(R1619="No","",W1619*S1619)</x:f>
      </x:c>
      <x:c r="Y1619" s="58" t="str">
        <x:f>IF(R1619="No","",W1619*T1619*Assumptions!$B$9)</x:f>
      </x:c>
      <x:c r="Z1619" s="58" t="str">
        <x:f>IF(R1619="No","",X1619-Y1619)</x:f>
      </x:c>
      <x:c r="AA1619" s="58" t="str">
        <x:f>IF(R1619="No","",MAX(0,-Z1619))</x:f>
      </x:c>
      <x:c r="AB1619" s="52" t="str">
        <x:f>IF(OR(R1619="No",U1619*S1619=0),"",AA1619/(U1619*S1619))</x:f>
      </x:c>
      <x:c r="AC1619" s="54" t="str">
        <x:f>IF(OR(R1619="No",S1619-T1619*Assumptions!$B$9&lt;=0),"",AA1619/(Assumptions!$B$8*(S1619-T1619*Assumptions!$B$9)))</x:f>
      </x:c>
      <x:c r="AD1619" s="52" t="str">
        <x:f>IF(OR(R1619="No",U1619*S1619=0),"",AA1619/(U1619*S1619))</x:f>
      </x:c>
      <x:c r="AE1619" s="50" t="str">
        <x:f>IF(R1619="No","No finance data",IF(AB1619&gt;=10%,"Severe",IF(AB1619&gt;=5%,"High",IF(AB1619&gt;=2%,"Moderate","Low"))))</x:f>
        <x:v>No finance data</x:v>
      </x:c>
      <x:c r="AF1619" s="60"/>
      <x:c r="AG1619" s="60"/>
      <x:c r="AH1619" s="44" t="str">
        <x:v>Undergraduate tuition-contribution proxy only; not an audited total institutional budget.</x:v>
      </x:c>
    </x:row>
    <x:row r="1620">
      <x:c r="A1620" s="16" t="n">
        <x:v>223232</x:v>
      </x:c>
      <x:c r="B1620" s="16" t="str">
        <x:v>Baylor University</x:v>
      </x:c>
      <x:c r="C1620" s="16" t="str">
        <x:v>TX</x:v>
      </x:c>
      <x:c r="D1620" s="16" t="str">
        <x:v>Private nonprofit</x:v>
      </x:c>
      <x:c r="E1620" s="34" t="n">
        <x:v>14139</x:v>
      </x:c>
      <x:c r="F1620" s="21" t="n">
        <x:v>0.5669</x:v>
      </x:c>
      <x:c r="G1620" s="16" t="str">
        <x:v>Statewide</x:v>
      </x:c>
      <x:c r="H1620" s="36" t="n">
        <x:f>IF(G1620="National",Assumptions!$B$11,IF(G1620="Statewide",Assumptions!$B$12,Assumptions!$B$13))</x:f>
        <x:v>0.6</x:v>
      </x:c>
      <x:c r="I1620" s="21" t="n">
        <x:v>-0.027936917423154628</x:v>
      </x:c>
      <x:c r="J1620" s="21" t="n">
        <x:v>-0.0014699797999464526</x:v>
      </x:c>
      <x:c r="K1620" s="21" t="n">
        <x:v>0.009664387062230828</x:v>
      </x:c>
      <x:c r="L1620" s="36" t="n">
        <x:f>IF(Assumptions!$B$4=2030,I1620,IF(Assumptions!$B$4=2035,J1620,K1620))</x:f>
        <x:v>-0.0014699797999464526</x:v>
      </x:c>
      <x:c r="M1620" s="36" t="n">
        <x:f>Assumptions!$B$19</x:f>
        <x:v>-0.04739891965741583</x:v>
      </x:c>
      <x:c r="N1620" s="52" t="n">
        <x:f>H1620*L1620+(1-H1620)*M1620+O1620</x:f>
        <x:v>-0.019841555742934204</x:v>
      </x:c>
      <x:c r="O1620" s="36" t="n">
        <x:f>Assumptions!$B$10</x:f>
        <x:v>0</x:v>
      </x:c>
      <x:c r="P1620" s="54" t="n">
        <x:f>E1620*(1+N1620)</x:f>
        <x:v>13858.460243350653</x:v>
      </x:c>
      <x:c r="Q1620" s="54" t="n">
        <x:f>P1620-E1620</x:f>
        <x:v>-280.5397566493466</x:v>
      </x:c>
      <x:c r="R1620" s="16" t="str">
        <x:v>Yes</x:v>
      </x:c>
      <x:c r="S1620" s="56" t="n">
        <x:v>26524</x:v>
      </x:c>
      <x:c r="T1620" s="56" t="n">
        <x:v>17162</x:v>
      </x:c>
      <x:c r="U1620" s="40" t="n">
        <x:f>E1620*Assumptions!$B$8</x:f>
        <x:v>12018.15</x:v>
      </x:c>
      <x:c r="V1620" s="40" t="n">
        <x:f>P1620*Assumptions!$B$8</x:f>
        <x:v>11779.691206848054</x:v>
      </x:c>
      <x:c r="W1620" s="54" t="n">
        <x:f>V1620-U1620</x:f>
        <x:v>-238.45879315194543</x:v>
      </x:c>
      <x:c r="X1620" s="58" t="n">
        <x:f>IF(R1620="No","",W1620*S1620)</x:f>
        <x:v>-6324881.0295622</x:v>
      </x:c>
      <x:c r="Y1620" s="58" t="n">
        <x:f>IF(R1620="No","",W1620*T1620*Assumptions!$B$9)</x:f>
        <x:v>-1227728.9424221062</x:v>
      </x:c>
      <x:c r="Z1620" s="58" t="n">
        <x:f>IF(R1620="No","",X1620-Y1620)</x:f>
        <x:v>-5097152.0871400945</x:v>
      </x:c>
      <x:c r="AA1620" s="58" t="n">
        <x:f>IF(R1620="No","",MAX(0,-Z1620))</x:f>
        <x:v>5097152.0871400945</x:v>
      </x:c>
      <x:c r="AB1620" s="52" t="n">
        <x:f>IF(OR(R1620="No",U1620*S1620=0),"",AA1620/(U1620*S1620))</x:f>
        <x:v>0.01599009163879947</x:v>
      </x:c>
      <x:c r="AC1620" s="54" t="n">
        <x:f>IF(OR(R1620="No",S1620-T1620*Assumptions!$B$9&lt;=0),"",AA1620/(Assumptions!$B$8*(S1620-T1620*Assumptions!$B$9)))</x:f>
        <x:v>280.53975664934757</x:v>
      </x:c>
      <x:c r="AD1620" s="52" t="n">
        <x:f>IF(OR(R1620="No",U1620*S1620=0),"",AA1620/(U1620*S1620))</x:f>
        <x:v>0.01599009163879947</x:v>
      </x:c>
      <x:c r="AE1620" s="50" t="str">
        <x:f>IF(R1620="No","No finance data",IF(AB1620&gt;=10%,"Severe",IF(AB1620&gt;=5%,"High",IF(AB1620&gt;=2%,"Moderate","Low"))))</x:f>
        <x:v>Low</x:v>
      </x:c>
      <x:c r="AF1620" s="60" t="n">
        <x:v>31.546872</x:v>
      </x:c>
      <x:c r="AG1620" s="60" t="n">
        <x:v>-97.121041</x:v>
      </x:c>
      <x:c r="AH1620" s="44" t="str">
        <x:v>Undergraduate tuition-contribution proxy only; not an audited total institutional budget.</x:v>
      </x:c>
    </x:row>
    <x:row r="1621">
      <x:c r="A1621" s="16" t="n">
        <x:v>388520</x:v>
      </x:c>
      <x:c r="B1621" s="16" t="str">
        <x:v>College of Biblical Studies-Houston</x:v>
      </x:c>
      <x:c r="C1621" s="16" t="str">
        <x:v>TX</x:v>
      </x:c>
      <x:c r="D1621" s="16" t="str">
        <x:v>Private nonprofit</x:v>
      </x:c>
      <x:c r="E1621" s="34" t="n">
        <x:v>402</x:v>
      </x:c>
      <x:c r="F1621" s="21"/>
      <x:c r="G1621" s="16" t="str">
        <x:v>Regional</x:v>
      </x:c>
      <x:c r="H1621" s="36" t="n">
        <x:f>IF(G1621="National",Assumptions!$B$11,IF(G1621="Statewide",Assumptions!$B$12,Assumptions!$B$13))</x:f>
        <x:v>0.85</x:v>
      </x:c>
      <x:c r="I1621" s="21" t="n">
        <x:v>-0.027936917423154628</x:v>
      </x:c>
      <x:c r="J1621" s="21" t="n">
        <x:v>-0.0014699797999464526</x:v>
      </x:c>
      <x:c r="K1621" s="21" t="n">
        <x:v>0.009664387062230828</x:v>
      </x:c>
      <x:c r="L1621" s="36" t="n">
        <x:f>IF(Assumptions!$B$4=2030,I1621,IF(Assumptions!$B$4=2035,J1621,K1621))</x:f>
        <x:v>-0.0014699797999464526</x:v>
      </x:c>
      <x:c r="M1621" s="36" t="n">
        <x:f>Assumptions!$B$19</x:f>
        <x:v>-0.04739891965741583</x:v>
      </x:c>
      <x:c r="N1621" s="52" t="n">
        <x:f>H1621*L1621+(1-H1621)*M1621+O1621</x:f>
        <x:v>-0.00835932077856686</x:v>
      </x:c>
      <x:c r="O1621" s="36" t="n">
        <x:f>Assumptions!$B$10</x:f>
        <x:v>0</x:v>
      </x:c>
      <x:c r="P1621" s="54" t="n">
        <x:f>E1621*(1+N1621)</x:f>
        <x:v>398.63955304701614</x:v>
      </x:c>
      <x:c r="Q1621" s="54" t="n">
        <x:f>P1621-E1621</x:f>
        <x:v>-3.360446952983864</x:v>
      </x:c>
      <x:c r="R1621" s="16" t="str">
        <x:v>No</x:v>
      </x:c>
      <x:c r="S1621" s="56"/>
      <x:c r="T1621" s="56"/>
      <x:c r="U1621" s="40" t="n">
        <x:f>E1621*Assumptions!$B$8</x:f>
        <x:v>341.7</x:v>
      </x:c>
      <x:c r="V1621" s="40" t="n">
        <x:f>P1621*Assumptions!$B$8</x:f>
        <x:v>338.8436200899637</x:v>
      </x:c>
      <x:c r="W1621" s="54" t="n">
        <x:f>V1621-U1621</x:f>
        <x:v>-2.85637991003631</x:v>
      </x:c>
      <x:c r="X1621" s="58" t="str">
        <x:f>IF(R1621="No","",W1621*S1621)</x:f>
      </x:c>
      <x:c r="Y1621" s="58" t="str">
        <x:f>IF(R1621="No","",W1621*T1621*Assumptions!$B$9)</x:f>
      </x:c>
      <x:c r="Z1621" s="58" t="str">
        <x:f>IF(R1621="No","",X1621-Y1621)</x:f>
      </x:c>
      <x:c r="AA1621" s="58" t="str">
        <x:f>IF(R1621="No","",MAX(0,-Z1621))</x:f>
      </x:c>
      <x:c r="AB1621" s="52" t="str">
        <x:f>IF(OR(R1621="No",U1621*S1621=0),"",AA1621/(U1621*S1621))</x:f>
      </x:c>
      <x:c r="AC1621" s="54" t="str">
        <x:f>IF(OR(R1621="No",S1621-T1621*Assumptions!$B$9&lt;=0),"",AA1621/(Assumptions!$B$8*(S1621-T1621*Assumptions!$B$9)))</x:f>
      </x:c>
      <x:c r="AD1621" s="52" t="str">
        <x:f>IF(OR(R1621="No",U1621*S1621=0),"",AA1621/(U1621*S1621))</x:f>
      </x:c>
      <x:c r="AE1621" s="50" t="str">
        <x:f>IF(R1621="No","No finance data",IF(AB1621&gt;=10%,"Severe",IF(AB1621&gt;=5%,"High",IF(AB1621&gt;=2%,"Moderate","Low"))))</x:f>
        <x:v>No finance data</x:v>
      </x:c>
      <x:c r="AF1621" s="60"/>
      <x:c r="AG1621" s="60"/>
      <x:c r="AH1621" s="44" t="str">
        <x:v>Undergraduate tuition-contribution proxy only; not an audited total institutional budget.</x:v>
      </x:c>
    </x:row>
    <x:row r="1622">
      <x:c r="A1622" s="16" t="n">
        <x:v>224004</x:v>
      </x:c>
      <x:c r="B1622" s="16" t="str">
        <x:v>Concordia University-Texas</x:v>
      </x:c>
      <x:c r="C1622" s="16" t="str">
        <x:v>TX</x:v>
      </x:c>
      <x:c r="D1622" s="16" t="str">
        <x:v>Private nonprofit</x:v>
      </x:c>
      <x:c r="E1622" s="34" t="n">
        <x:v>1672</x:v>
      </x:c>
      <x:c r="F1622" s="21" t="n">
        <x:v>0.8904</x:v>
      </x:c>
      <x:c r="G1622" s="16" t="str">
        <x:v>Regional</x:v>
      </x:c>
      <x:c r="H1622" s="36" t="n">
        <x:f>IF(G1622="National",Assumptions!$B$11,IF(G1622="Statewide",Assumptions!$B$12,Assumptions!$B$13))</x:f>
        <x:v>0.85</x:v>
      </x:c>
      <x:c r="I1622" s="21" t="n">
        <x:v>-0.027936917423154628</x:v>
      </x:c>
      <x:c r="J1622" s="21" t="n">
        <x:v>-0.0014699797999464526</x:v>
      </x:c>
      <x:c r="K1622" s="21" t="n">
        <x:v>0.009664387062230828</x:v>
      </x:c>
      <x:c r="L1622" s="36" t="n">
        <x:f>IF(Assumptions!$B$4=2030,I1622,IF(Assumptions!$B$4=2035,J1622,K1622))</x:f>
        <x:v>-0.0014699797999464526</x:v>
      </x:c>
      <x:c r="M1622" s="36" t="n">
        <x:f>Assumptions!$B$19</x:f>
        <x:v>-0.04739891965741583</x:v>
      </x:c>
      <x:c r="N1622" s="52" t="n">
        <x:f>H1622*L1622+(1-H1622)*M1622+O1622</x:f>
        <x:v>-0.00835932077856686</x:v>
      </x:c>
      <x:c r="O1622" s="36" t="n">
        <x:f>Assumptions!$B$10</x:f>
        <x:v>0</x:v>
      </x:c>
      <x:c r="P1622" s="54" t="n">
        <x:f>E1622*(1+N1622)</x:f>
        <x:v>1658.0232156582363</x:v>
      </x:c>
      <x:c r="Q1622" s="54" t="n">
        <x:f>P1622-E1622</x:f>
        <x:v>-13.976784341763732</x:v>
      </x:c>
      <x:c r="R1622" s="16" t="str">
        <x:v>Yes</x:v>
      </x:c>
      <x:c r="S1622" s="56" t="n">
        <x:v>19733</x:v>
      </x:c>
      <x:c r="T1622" s="56" t="n">
        <x:v>4776</x:v>
      </x:c>
      <x:c r="U1622" s="40" t="n">
        <x:f>E1622*Assumptions!$B$8</x:f>
        <x:v>1421.2</x:v>
      </x:c>
      <x:c r="V1622" s="40" t="n">
        <x:f>P1622*Assumptions!$B$8</x:f>
        <x:v>1409.3197333095009</x:v>
      </x:c>
      <x:c r="W1622" s="54" t="n">
        <x:f>V1622-U1622</x:f>
        <x:v>-11.880266690499184</x:v>
      </x:c>
      <x:c r="X1622" s="58" t="n">
        <x:f>IF(R1622="No","",W1622*S1622)</x:f>
        <x:v>-234433.3026036204</x:v>
      </x:c>
      <x:c r="Y1622" s="58" t="n">
        <x:f>IF(R1622="No","",W1622*T1622*Assumptions!$B$9)</x:f>
        <x:v>-17022.04611414723</x:v>
      </x:c>
      <x:c r="Z1622" s="58" t="n">
        <x:f>IF(R1622="No","",X1622-Y1622)</x:f>
        <x:v>-217411.25648947316</x:v>
      </x:c>
      <x:c r="AA1622" s="58" t="n">
        <x:f>IF(R1622="No","",MAX(0,-Z1622))</x:f>
        <x:v>217411.25648947316</x:v>
      </x:c>
      <x:c r="AB1622" s="52" t="n">
        <x:f>IF(OR(R1622="No",U1622*S1622=0),"",AA1622/(U1622*S1622))</x:f>
        <x:v>0.007752356058983873</x:v>
      </x:c>
      <x:c r="AC1622" s="54" t="n">
        <x:f>IF(OR(R1622="No",S1622-T1622*Assumptions!$B$9&lt;=0),"",AA1622/(Assumptions!$B$8*(S1622-T1622*Assumptions!$B$9)))</x:f>
        <x:v>13.976784341763745</x:v>
      </x:c>
      <x:c r="AD1622" s="52" t="n">
        <x:f>IF(OR(R1622="No",U1622*S1622=0),"",AA1622/(U1622*S1622))</x:f>
        <x:v>0.007752356058983873</x:v>
      </x:c>
      <x:c r="AE1622" s="50" t="str">
        <x:f>IF(R1622="No","No finance data",IF(AB1622&gt;=10%,"Severe",IF(AB1622&gt;=5%,"High",IF(AB1622&gt;=2%,"Moderate","Low"))))</x:f>
        <x:v>Low</x:v>
      </x:c>
      <x:c r="AF1622" s="60" t="n">
        <x:v>30.420232</x:v>
      </x:c>
      <x:c r="AG1622" s="60" t="n">
        <x:v>-97.835703</x:v>
      </x:c>
      <x:c r="AH1622" s="44" t="str">
        <x:v>Undergraduate tuition-contribution proxy only; not an audited total institutional budget.</x:v>
      </x:c>
    </x:row>
    <x:row r="1623">
      <x:c r="A1623" s="16" t="n">
        <x:v>475608</x:v>
      </x:c>
      <x:c r="B1623" s="16" t="str">
        <x:v>Criswell College</x:v>
      </x:c>
      <x:c r="C1623" s="16" t="str">
        <x:v>TX</x:v>
      </x:c>
      <x:c r="D1623" s="16" t="str">
        <x:v>Private nonprofit</x:v>
      </x:c>
      <x:c r="E1623" s="34" t="n">
        <x:v>225</x:v>
      </x:c>
      <x:c r="F1623" s="21"/>
      <x:c r="G1623" s="16" t="str">
        <x:v>Regional</x:v>
      </x:c>
      <x:c r="H1623" s="36" t="n">
        <x:f>IF(G1623="National",Assumptions!$B$11,IF(G1623="Statewide",Assumptions!$B$12,Assumptions!$B$13))</x:f>
        <x:v>0.85</x:v>
      </x:c>
      <x:c r="I1623" s="21" t="n">
        <x:v>-0.027936917423154628</x:v>
      </x:c>
      <x:c r="J1623" s="21" t="n">
        <x:v>-0.0014699797999464526</x:v>
      </x:c>
      <x:c r="K1623" s="21" t="n">
        <x:v>0.009664387062230828</x:v>
      </x:c>
      <x:c r="L1623" s="36" t="n">
        <x:f>IF(Assumptions!$B$4=2030,I1623,IF(Assumptions!$B$4=2035,J1623,K1623))</x:f>
        <x:v>-0.0014699797999464526</x:v>
      </x:c>
      <x:c r="M1623" s="36" t="n">
        <x:f>Assumptions!$B$19</x:f>
        <x:v>-0.04739891965741583</x:v>
      </x:c>
      <x:c r="N1623" s="52" t="n">
        <x:f>H1623*L1623+(1-H1623)*M1623+O1623</x:f>
        <x:v>-0.00835932077856686</x:v>
      </x:c>
      <x:c r="O1623" s="36" t="n">
        <x:f>Assumptions!$B$10</x:f>
        <x:v>0</x:v>
      </x:c>
      <x:c r="P1623" s="54" t="n">
        <x:f>E1623*(1+N1623)</x:f>
        <x:v>223.11915282482246</x:v>
      </x:c>
      <x:c r="Q1623" s="54" t="n">
        <x:f>P1623-E1623</x:f>
        <x:v>-1.8808471751775357</x:v>
      </x:c>
      <x:c r="R1623" s="16" t="str">
        <x:v>No</x:v>
      </x:c>
      <x:c r="S1623" s="56"/>
      <x:c r="T1623" s="56"/>
      <x:c r="U1623" s="40" t="n">
        <x:f>E1623*Assumptions!$B$8</x:f>
        <x:v>191.25</x:v>
      </x:c>
      <x:c r="V1623" s="40" t="n">
        <x:f>P1623*Assumptions!$B$8</x:f>
        <x:v>189.6512799010991</x:v>
      </x:c>
      <x:c r="W1623" s="54" t="n">
        <x:f>V1623-U1623</x:f>
        <x:v>-1.5987200989009125</x:v>
      </x:c>
      <x:c r="X1623" s="58" t="str">
        <x:f>IF(R1623="No","",W1623*S1623)</x:f>
      </x:c>
      <x:c r="Y1623" s="58" t="str">
        <x:f>IF(R1623="No","",W1623*T1623*Assumptions!$B$9)</x:f>
      </x:c>
      <x:c r="Z1623" s="58" t="str">
        <x:f>IF(R1623="No","",X1623-Y1623)</x:f>
      </x:c>
      <x:c r="AA1623" s="58" t="str">
        <x:f>IF(R1623="No","",MAX(0,-Z1623))</x:f>
      </x:c>
      <x:c r="AB1623" s="52" t="str">
        <x:f>IF(OR(R1623="No",U1623*S1623=0),"",AA1623/(U1623*S1623))</x:f>
      </x:c>
      <x:c r="AC1623" s="54" t="str">
        <x:f>IF(OR(R1623="No",S1623-T1623*Assumptions!$B$9&lt;=0),"",AA1623/(Assumptions!$B$8*(S1623-T1623*Assumptions!$B$9)))</x:f>
      </x:c>
      <x:c r="AD1623" s="52" t="str">
        <x:f>IF(OR(R1623="No",U1623*S1623=0),"",AA1623/(U1623*S1623))</x:f>
      </x:c>
      <x:c r="AE1623" s="50" t="str">
        <x:f>IF(R1623="No","No finance data",IF(AB1623&gt;=10%,"Severe",IF(AB1623&gt;=5%,"High",IF(AB1623&gt;=2%,"Moderate","Low"))))</x:f>
        <x:v>No finance data</x:v>
      </x:c>
      <x:c r="AF1623" s="60"/>
      <x:c r="AG1623" s="60"/>
      <x:c r="AH1623" s="44" t="str">
        <x:v>Undergraduate tuition-contribution proxy only; not an audited total institutional budget.</x:v>
      </x:c>
    </x:row>
    <x:row r="1624">
      <x:c r="A1624" s="16" t="n">
        <x:v>224226</x:v>
      </x:c>
      <x:c r="B1624" s="16" t="str">
        <x:v>Dallas Baptist University</x:v>
      </x:c>
      <x:c r="C1624" s="16" t="str">
        <x:v>TX</x:v>
      </x:c>
      <x:c r="D1624" s="16" t="str">
        <x:v>Private nonprofit</x:v>
      </x:c>
      <x:c r="E1624" s="34" t="n">
        <x:v>3220</x:v>
      </x:c>
      <x:c r="F1624" s="21" t="n">
        <x:v>0.94</x:v>
      </x:c>
      <x:c r="G1624" s="16" t="str">
        <x:v>Regional</x:v>
      </x:c>
      <x:c r="H1624" s="36" t="n">
        <x:f>IF(G1624="National",Assumptions!$B$11,IF(G1624="Statewide",Assumptions!$B$12,Assumptions!$B$13))</x:f>
        <x:v>0.85</x:v>
      </x:c>
      <x:c r="I1624" s="21" t="n">
        <x:v>-0.027936917423154628</x:v>
      </x:c>
      <x:c r="J1624" s="21" t="n">
        <x:v>-0.0014699797999464526</x:v>
      </x:c>
      <x:c r="K1624" s="21" t="n">
        <x:v>0.009664387062230828</x:v>
      </x:c>
      <x:c r="L1624" s="36" t="n">
        <x:f>IF(Assumptions!$B$4=2030,I1624,IF(Assumptions!$B$4=2035,J1624,K1624))</x:f>
        <x:v>-0.0014699797999464526</x:v>
      </x:c>
      <x:c r="M1624" s="36" t="n">
        <x:f>Assumptions!$B$19</x:f>
        <x:v>-0.04739891965741583</x:v>
      </x:c>
      <x:c r="N1624" s="52" t="n">
        <x:f>H1624*L1624+(1-H1624)*M1624+O1624</x:f>
        <x:v>-0.00835932077856686</x:v>
      </x:c>
      <x:c r="O1624" s="36" t="n">
        <x:f>Assumptions!$B$10</x:f>
        <x:v>0</x:v>
      </x:c>
      <x:c r="P1624" s="54" t="n">
        <x:f>E1624*(1+N1624)</x:f>
        <x:v>3193.0829870930147</x:v>
      </x:c>
      <x:c r="Q1624" s="54" t="n">
        <x:f>P1624-E1624</x:f>
        <x:v>-26.917012906985292</x:v>
      </x:c>
      <x:c r="R1624" s="16" t="str">
        <x:v>Yes</x:v>
      </x:c>
      <x:c r="S1624" s="56" t="n">
        <x:v>18790</x:v>
      </x:c>
      <x:c r="T1624" s="56" t="n">
        <x:v>9029</x:v>
      </x:c>
      <x:c r="U1624" s="40" t="n">
        <x:f>E1624*Assumptions!$B$8</x:f>
        <x:v>2737</x:v>
      </x:c>
      <x:c r="V1624" s="40" t="n">
        <x:f>P1624*Assumptions!$B$8</x:f>
        <x:v>2714.1205390290625</x:v>
      </x:c>
      <x:c r="W1624" s="54" t="n">
        <x:f>V1624-U1624</x:f>
        <x:v>-22.879460970937544</x:v>
      </x:c>
      <x:c r="X1624" s="58" t="n">
        <x:f>IF(R1624="No","",W1624*S1624)</x:f>
        <x:v>-429905.0716439164</x:v>
      </x:c>
      <x:c r="Y1624" s="58" t="n">
        <x:f>IF(R1624="No","",W1624*T1624*Assumptions!$B$9)</x:f>
        <x:v>-61973.59593197852</x:v>
      </x:c>
      <x:c r="Z1624" s="58" t="n">
        <x:f>IF(R1624="No","",X1624-Y1624)</x:f>
        <x:v>-367931.4757119379</x:v>
      </x:c>
      <x:c r="AA1624" s="58" t="n">
        <x:f>IF(R1624="No","",MAX(0,-Z1624))</x:f>
        <x:v>367931.4757119379</x:v>
      </x:c>
      <x:c r="AB1624" s="52" t="n">
        <x:f>IF(OR(R1624="No",U1624*S1624=0),"",AA1624/(U1624*S1624))</x:f>
        <x:v>0.007154270635251065</x:v>
      </x:c>
      <x:c r="AC1624" s="54" t="n">
        <x:f>IF(OR(R1624="No",S1624-T1624*Assumptions!$B$9&lt;=0),"",AA1624/(Assumptions!$B$8*(S1624-T1624*Assumptions!$B$9)))</x:f>
        <x:v>26.91701290698534</x:v>
      </x:c>
      <x:c r="AD1624" s="52" t="n">
        <x:f>IF(OR(R1624="No",U1624*S1624=0),"",AA1624/(U1624*S1624))</x:f>
        <x:v>0.007154270635251065</x:v>
      </x:c>
      <x:c r="AE1624" s="50" t="str">
        <x:f>IF(R1624="No","No finance data",IF(AB1624&gt;=10%,"Severe",IF(AB1624&gt;=5%,"High",IF(AB1624&gt;=2%,"Moderate","Low"))))</x:f>
        <x:v>Low</x:v>
      </x:c>
      <x:c r="AF1624" s="60" t="n">
        <x:v>32.710017</x:v>
      </x:c>
      <x:c r="AG1624" s="60" t="n">
        <x:v>-96.947006</x:v>
      </x:c>
      <x:c r="AH1624" s="44" t="str">
        <x:v>Undergraduate tuition-contribution proxy only; not an audited total institutional budget.</x:v>
      </x:c>
    </x:row>
    <x:row r="1625">
      <x:c r="A1625" s="16" t="n">
        <x:v>224244</x:v>
      </x:c>
      <x:c r="B1625" s="16" t="str">
        <x:v>Dallas Christian College</x:v>
      </x:c>
      <x:c r="C1625" s="16" t="str">
        <x:v>TX</x:v>
      </x:c>
      <x:c r="D1625" s="16" t="str">
        <x:v>Private nonprofit</x:v>
      </x:c>
      <x:c r="E1625" s="34" t="n">
        <x:v>315</x:v>
      </x:c>
      <x:c r="F1625" s="21"/>
      <x:c r="G1625" s="16" t="str">
        <x:v>Regional</x:v>
      </x:c>
      <x:c r="H1625" s="36" t="n">
        <x:f>IF(G1625="National",Assumptions!$B$11,IF(G1625="Statewide",Assumptions!$B$12,Assumptions!$B$13))</x:f>
        <x:v>0.85</x:v>
      </x:c>
      <x:c r="I1625" s="21" t="n">
        <x:v>-0.027936917423154628</x:v>
      </x:c>
      <x:c r="J1625" s="21" t="n">
        <x:v>-0.0014699797999464526</x:v>
      </x:c>
      <x:c r="K1625" s="21" t="n">
        <x:v>0.009664387062230828</x:v>
      </x:c>
      <x:c r="L1625" s="36" t="n">
        <x:f>IF(Assumptions!$B$4=2030,I1625,IF(Assumptions!$B$4=2035,J1625,K1625))</x:f>
        <x:v>-0.0014699797999464526</x:v>
      </x:c>
      <x:c r="M1625" s="36" t="n">
        <x:f>Assumptions!$B$19</x:f>
        <x:v>-0.04739891965741583</x:v>
      </x:c>
      <x:c r="N1625" s="52" t="n">
        <x:f>H1625*L1625+(1-H1625)*M1625+O1625</x:f>
        <x:v>-0.00835932077856686</x:v>
      </x:c>
      <x:c r="O1625" s="36" t="n">
        <x:f>Assumptions!$B$10</x:f>
        <x:v>0</x:v>
      </x:c>
      <x:c r="P1625" s="54" t="n">
        <x:f>E1625*(1+N1625)</x:f>
        <x:v>312.3668139547515</x:v>
      </x:c>
      <x:c r="Q1625" s="54" t="n">
        <x:f>P1625-E1625</x:f>
        <x:v>-2.6331860452485216</x:v>
      </x:c>
      <x:c r="R1625" s="16" t="str">
        <x:v>No</x:v>
      </x:c>
      <x:c r="S1625" s="56"/>
      <x:c r="T1625" s="56"/>
      <x:c r="U1625" s="40" t="n">
        <x:f>E1625*Assumptions!$B$8</x:f>
        <x:v>267.75</x:v>
      </x:c>
      <x:c r="V1625" s="40" t="n">
        <x:f>P1625*Assumptions!$B$8</x:f>
        <x:v>265.51179186153877</x:v>
      </x:c>
      <x:c r="W1625" s="54" t="n">
        <x:f>V1625-U1625</x:f>
        <x:v>-2.238208138461232</x:v>
      </x:c>
      <x:c r="X1625" s="58" t="str">
        <x:f>IF(R1625="No","",W1625*S1625)</x:f>
      </x:c>
      <x:c r="Y1625" s="58" t="str">
        <x:f>IF(R1625="No","",W1625*T1625*Assumptions!$B$9)</x:f>
      </x:c>
      <x:c r="Z1625" s="58" t="str">
        <x:f>IF(R1625="No","",X1625-Y1625)</x:f>
      </x:c>
      <x:c r="AA1625" s="58" t="str">
        <x:f>IF(R1625="No","",MAX(0,-Z1625))</x:f>
      </x:c>
      <x:c r="AB1625" s="52" t="str">
        <x:f>IF(OR(R1625="No",U1625*S1625=0),"",AA1625/(U1625*S1625))</x:f>
      </x:c>
      <x:c r="AC1625" s="54" t="str">
        <x:f>IF(OR(R1625="No",S1625-T1625*Assumptions!$B$9&lt;=0),"",AA1625/(Assumptions!$B$8*(S1625-T1625*Assumptions!$B$9)))</x:f>
      </x:c>
      <x:c r="AD1625" s="52" t="str">
        <x:f>IF(OR(R1625="No",U1625*S1625=0),"",AA1625/(U1625*S1625))</x:f>
      </x:c>
      <x:c r="AE1625" s="50" t="str">
        <x:f>IF(R1625="No","No finance data",IF(AB1625&gt;=10%,"Severe",IF(AB1625&gt;=5%,"High",IF(AB1625&gt;=2%,"Moderate","Low"))))</x:f>
        <x:v>No finance data</x:v>
      </x:c>
      <x:c r="AF1625" s="60"/>
      <x:c r="AG1625" s="60"/>
      <x:c r="AH1625" s="44" t="str">
        <x:v>Undergraduate tuition-contribution proxy only; not an audited total institutional budget.</x:v>
      </x:c>
    </x:row>
    <x:row r="1626">
      <x:c r="A1626" s="16" t="n">
        <x:v>224527</x:v>
      </x:c>
      <x:c r="B1626" s="16" t="str">
        <x:v>East Texas Baptist University</x:v>
      </x:c>
      <x:c r="C1626" s="16" t="str">
        <x:v>TX</x:v>
      </x:c>
      <x:c r="D1626" s="16" t="str">
        <x:v>Private nonprofit</x:v>
      </x:c>
      <x:c r="E1626" s="34" t="n">
        <x:v>1164</x:v>
      </x:c>
      <x:c r="F1626" s="21" t="n">
        <x:v>0.6452</x:v>
      </x:c>
      <x:c r="G1626" s="16" t="str">
        <x:v>Regional</x:v>
      </x:c>
      <x:c r="H1626" s="36" t="n">
        <x:f>IF(G1626="National",Assumptions!$B$11,IF(G1626="Statewide",Assumptions!$B$12,Assumptions!$B$13))</x:f>
        <x:v>0.85</x:v>
      </x:c>
      <x:c r="I1626" s="21" t="n">
        <x:v>-0.027936917423154628</x:v>
      </x:c>
      <x:c r="J1626" s="21" t="n">
        <x:v>-0.0014699797999464526</x:v>
      </x:c>
      <x:c r="K1626" s="21" t="n">
        <x:v>0.009664387062230828</x:v>
      </x:c>
      <x:c r="L1626" s="36" t="n">
        <x:f>IF(Assumptions!$B$4=2030,I1626,IF(Assumptions!$B$4=2035,J1626,K1626))</x:f>
        <x:v>-0.0014699797999464526</x:v>
      </x:c>
      <x:c r="M1626" s="36" t="n">
        <x:f>Assumptions!$B$19</x:f>
        <x:v>-0.04739891965741583</x:v>
      </x:c>
      <x:c r="N1626" s="52" t="n">
        <x:f>H1626*L1626+(1-H1626)*M1626+O1626</x:f>
        <x:v>-0.00835932077856686</x:v>
      </x:c>
      <x:c r="O1626" s="36" t="n">
        <x:f>Assumptions!$B$10</x:f>
        <x:v>0</x:v>
      </x:c>
      <x:c r="P1626" s="54" t="n">
        <x:f>E1626*(1+N1626)</x:f>
        <x:v>1154.2697506137483</x:v>
      </x:c>
      <x:c r="Q1626" s="54" t="n">
        <x:f>P1626-E1626</x:f>
        <x:v>-9.730249386251671</x:v>
      </x:c>
      <x:c r="R1626" s="16" t="str">
        <x:v>Yes</x:v>
      </x:c>
      <x:c r="S1626" s="56" t="n">
        <x:v>10889</x:v>
      </x:c>
      <x:c r="T1626" s="56" t="n">
        <x:v>7537</x:v>
      </x:c>
      <x:c r="U1626" s="40" t="n">
        <x:f>E1626*Assumptions!$B$8</x:f>
        <x:v>989.4</x:v>
      </x:c>
      <x:c r="V1626" s="40" t="n">
        <x:f>P1626*Assumptions!$B$8</x:f>
        <x:v>981.1292880216861</x:v>
      </x:c>
      <x:c r="W1626" s="54" t="n">
        <x:f>V1626-U1626</x:f>
        <x:v>-8.270711978313898</x:v>
      </x:c>
      <x:c r="X1626" s="58" t="n">
        <x:f>IF(R1626="No","",W1626*S1626)</x:f>
        <x:v>-90059.78273186003</x:v>
      </x:c>
      <x:c r="Y1626" s="58" t="n">
        <x:f>IF(R1626="No","",W1626*T1626*Assumptions!$B$9)</x:f>
        <x:v>-18700.906854165554</x:v>
      </x:c>
      <x:c r="Z1626" s="58" t="n">
        <x:f>IF(R1626="No","",X1626-Y1626)</x:f>
        <x:v>-71358.87587769447</x:v>
      </x:c>
      <x:c r="AA1626" s="58" t="n">
        <x:f>IF(R1626="No","",MAX(0,-Z1626))</x:f>
        <x:v>71358.87587769447</x:v>
      </x:c>
      <x:c r="AB1626" s="52" t="n">
        <x:f>IF(OR(R1626="No",U1626*S1626=0),"",AA1626/(U1626*S1626))</x:f>
        <x:v>0.006623508471429486</x:v>
      </x:c>
      <x:c r="AC1626" s="54" t="n">
        <x:f>IF(OR(R1626="No",S1626-T1626*Assumptions!$B$9&lt;=0),"",AA1626/(Assumptions!$B$8*(S1626-T1626*Assumptions!$B$9)))</x:f>
        <x:v>9.730249386251645</x:v>
      </x:c>
      <x:c r="AD1626" s="52" t="n">
        <x:f>IF(OR(R1626="No",U1626*S1626=0),"",AA1626/(U1626*S1626))</x:f>
        <x:v>0.006623508471429486</x:v>
      </x:c>
      <x:c r="AE1626" s="50" t="str">
        <x:f>IF(R1626="No","No finance data",IF(AB1626&gt;=10%,"Severe",IF(AB1626&gt;=5%,"High",IF(AB1626&gt;=2%,"Moderate","Low"))))</x:f>
        <x:v>Low</x:v>
      </x:c>
      <x:c r="AF1626" s="60" t="n">
        <x:v>32.557847</x:v>
      </x:c>
      <x:c r="AG1626" s="60" t="n">
        <x:v>-94.374488</x:v>
      </x:c>
      <x:c r="AH1626" s="44" t="str">
        <x:v>Undergraduate tuition-contribution proxy only; not an audited total institutional budget.</x:v>
      </x:c>
    </x:row>
    <x:row r="1627">
      <x:c r="A1627" s="16" t="n">
        <x:v>225247</x:v>
      </x:c>
      <x:c r="B1627" s="16" t="str">
        <x:v>Hardin-Simmons University</x:v>
      </x:c>
      <x:c r="C1627" s="16" t="str">
        <x:v>TX</x:v>
      </x:c>
      <x:c r="D1627" s="16" t="str">
        <x:v>Private nonprofit</x:v>
      </x:c>
      <x:c r="E1627" s="34" t="n">
        <x:v>1575</x:v>
      </x:c>
      <x:c r="F1627" s="21" t="n">
        <x:v>0.9459</x:v>
      </x:c>
      <x:c r="G1627" s="16" t="str">
        <x:v>Regional</x:v>
      </x:c>
      <x:c r="H1627" s="36" t="n">
        <x:f>IF(G1627="National",Assumptions!$B$11,IF(G1627="Statewide",Assumptions!$B$12,Assumptions!$B$13))</x:f>
        <x:v>0.85</x:v>
      </x:c>
      <x:c r="I1627" s="21" t="n">
        <x:v>-0.027936917423154628</x:v>
      </x:c>
      <x:c r="J1627" s="21" t="n">
        <x:v>-0.0014699797999464526</x:v>
      </x:c>
      <x:c r="K1627" s="21" t="n">
        <x:v>0.009664387062230828</x:v>
      </x:c>
      <x:c r="L1627" s="36" t="n">
        <x:f>IF(Assumptions!$B$4=2030,I1627,IF(Assumptions!$B$4=2035,J1627,K1627))</x:f>
        <x:v>-0.0014699797999464526</x:v>
      </x:c>
      <x:c r="M1627" s="36" t="n">
        <x:f>Assumptions!$B$19</x:f>
        <x:v>-0.04739891965741583</x:v>
      </x:c>
      <x:c r="N1627" s="52" t="n">
        <x:f>H1627*L1627+(1-H1627)*M1627+O1627</x:f>
        <x:v>-0.00835932077856686</x:v>
      </x:c>
      <x:c r="O1627" s="36" t="n">
        <x:f>Assumptions!$B$10</x:f>
        <x:v>0</x:v>
      </x:c>
      <x:c r="P1627" s="54" t="n">
        <x:f>E1627*(1+N1627)</x:f>
        <x:v>1561.8340697737572</x:v>
      </x:c>
      <x:c r="Q1627" s="54" t="n">
        <x:f>P1627-E1627</x:f>
        <x:v>-13.165930226242835</x:v>
      </x:c>
      <x:c r="R1627" s="16" t="str">
        <x:v>Yes</x:v>
      </x:c>
      <x:c r="S1627" s="56" t="n">
        <x:v>12834</x:v>
      </x:c>
      <x:c r="T1627" s="56" t="n">
        <x:v>9204</x:v>
      </x:c>
      <x:c r="U1627" s="40" t="n">
        <x:f>E1627*Assumptions!$B$8</x:f>
        <x:v>1338.75</x:v>
      </x:c>
      <x:c r="V1627" s="40" t="n">
        <x:f>P1627*Assumptions!$B$8</x:f>
        <x:v>1327.5589593076936</x:v>
      </x:c>
      <x:c r="W1627" s="54" t="n">
        <x:f>V1627-U1627</x:f>
        <x:v>-11.191040692306387</x:v>
      </x:c>
      <x:c r="X1627" s="58" t="n">
        <x:f>IF(R1627="No","",W1627*S1627)</x:f>
        <x:v>-143625.81624506018</x:v>
      </x:c>
      <x:c r="Y1627" s="58" t="n">
        <x:f>IF(R1627="No","",W1627*T1627*Assumptions!$B$9)</x:f>
        <x:v>-30900.701559596397</x:v>
      </x:c>
      <x:c r="Z1627" s="58" t="n">
        <x:f>IF(R1627="No","",X1627-Y1627)</x:f>
        <x:v>-112725.11468546378</x:v>
      </x:c>
      <x:c r="AA1627" s="58" t="n">
        <x:f>IF(R1627="No","",MAX(0,-Z1627))</x:f>
        <x:v>112725.11468546378</x:v>
      </x:c>
      <x:c r="AB1627" s="52" t="n">
        <x:f>IF(OR(R1627="No",U1627*S1627=0),"",AA1627/(U1627*S1627))</x:f>
        <x:v>0.006560835775155703</x:v>
      </x:c>
      <x:c r="AC1627" s="54" t="n">
        <x:f>IF(OR(R1627="No",S1627-T1627*Assumptions!$B$9&lt;=0),"",AA1627/(Assumptions!$B$8*(S1627-T1627*Assumptions!$B$9)))</x:f>
        <x:v>13.16593022624281</x:v>
      </x:c>
      <x:c r="AD1627" s="52" t="n">
        <x:f>IF(OR(R1627="No",U1627*S1627=0),"",AA1627/(U1627*S1627))</x:f>
        <x:v>0.006560835775155703</x:v>
      </x:c>
      <x:c r="AE1627" s="50" t="str">
        <x:f>IF(R1627="No","No finance data",IF(AB1627&gt;=10%,"Severe",IF(AB1627&gt;=5%,"High",IF(AB1627&gt;=2%,"Moderate","Low"))))</x:f>
        <x:v>Low</x:v>
      </x:c>
      <x:c r="AF1627" s="60" t="n">
        <x:v>32.476434</x:v>
      </x:c>
      <x:c r="AG1627" s="60" t="n">
        <x:v>-99.73564</x:v>
      </x:c>
      <x:c r="AH1627" s="44" t="str">
        <x:v>Undergraduate tuition-contribution proxy only; not an audited total institutional budget.</x:v>
      </x:c>
    </x:row>
    <x:row r="1628">
      <x:c r="A1628" s="16" t="n">
        <x:v>225399</x:v>
      </x:c>
      <x:c r="B1628" s="16" t="str">
        <x:v>Houston Baptist University</x:v>
      </x:c>
      <x:c r="C1628" s="16" t="str">
        <x:v>TX</x:v>
      </x:c>
      <x:c r="D1628" s="16" t="str">
        <x:v>Private nonprofit</x:v>
      </x:c>
      <x:c r="E1628" s="34" t="n">
        <x:v>2240</x:v>
      </x:c>
      <x:c r="F1628" s="21" t="n">
        <x:v>0.8487</x:v>
      </x:c>
      <x:c r="G1628" s="16" t="str">
        <x:v>Regional</x:v>
      </x:c>
      <x:c r="H1628" s="36" t="n">
        <x:f>IF(G1628="National",Assumptions!$B$11,IF(G1628="Statewide",Assumptions!$B$12,Assumptions!$B$13))</x:f>
        <x:v>0.85</x:v>
      </x:c>
      <x:c r="I1628" s="21" t="n">
        <x:v>-0.027936917423154628</x:v>
      </x:c>
      <x:c r="J1628" s="21" t="n">
        <x:v>-0.0014699797999464526</x:v>
      </x:c>
      <x:c r="K1628" s="21" t="n">
        <x:v>0.009664387062230828</x:v>
      </x:c>
      <x:c r="L1628" s="36" t="n">
        <x:f>IF(Assumptions!$B$4=2030,I1628,IF(Assumptions!$B$4=2035,J1628,K1628))</x:f>
        <x:v>-0.0014699797999464526</x:v>
      </x:c>
      <x:c r="M1628" s="36" t="n">
        <x:f>Assumptions!$B$19</x:f>
        <x:v>-0.04739891965741583</x:v>
      </x:c>
      <x:c r="N1628" s="52" t="n">
        <x:f>H1628*L1628+(1-H1628)*M1628+O1628</x:f>
        <x:v>-0.00835932077856686</x:v>
      </x:c>
      <x:c r="O1628" s="36" t="n">
        <x:f>Assumptions!$B$10</x:f>
        <x:v>0</x:v>
      </x:c>
      <x:c r="P1628" s="54" t="n">
        <x:f>E1628*(1+N1628)</x:f>
        <x:v>2221.2751214560103</x:v>
      </x:c>
      <x:c r="Q1628" s="54" t="n">
        <x:f>P1628-E1628</x:f>
        <x:v>-18.72487854398969</x:v>
      </x:c>
      <x:c r="R1628" s="16" t="str">
        <x:v>Yes</x:v>
      </x:c>
      <x:c r="S1628" s="56" t="n">
        <x:v>12812</x:v>
      </x:c>
      <x:c r="T1628" s="56" t="n">
        <x:v>5316</x:v>
      </x:c>
      <x:c r="U1628" s="40" t="n">
        <x:f>E1628*Assumptions!$B$8</x:f>
        <x:v>1904</x:v>
      </x:c>
      <x:c r="V1628" s="40" t="n">
        <x:f>P1628*Assumptions!$B$8</x:f>
        <x:v>1888.0838532376088</x:v>
      </x:c>
      <x:c r="W1628" s="54" t="n">
        <x:f>V1628-U1628</x:f>
        <x:v>-15.916146762391236</x:v>
      </x:c>
      <x:c r="X1628" s="58" t="n">
        <x:f>IF(R1628="No","",W1628*S1628)</x:f>
        <x:v>-203917.6723197565</x:v>
      </x:c>
      <x:c r="Y1628" s="58" t="n">
        <x:f>IF(R1628="No","",W1628*T1628*Assumptions!$B$9)</x:f>
        <x:v>-25383.070856661543</x:v>
      </x:c>
      <x:c r="Z1628" s="58" t="n">
        <x:f>IF(R1628="No","",X1628-Y1628)</x:f>
        <x:v>-178534.60146309496</x:v>
      </x:c>
      <x:c r="AA1628" s="58" t="n">
        <x:f>IF(R1628="No","",MAX(0,-Z1628))</x:f>
        <x:v>178534.60146309496</x:v>
      </x:c>
      <x:c r="AB1628" s="52" t="n">
        <x:f>IF(OR(R1628="No",U1628*S1628=0),"",AA1628/(U1628*S1628))</x:f>
        <x:v>0.0073187771649500305</x:v>
      </x:c>
      <x:c r="AC1628" s="54" t="n">
        <x:f>IF(OR(R1628="No",S1628-T1628*Assumptions!$B$9&lt;=0),"",AA1628/(Assumptions!$B$8*(S1628-T1628*Assumptions!$B$9)))</x:f>
        <x:v>18.724878543989686</x:v>
      </x:c>
      <x:c r="AD1628" s="52" t="n">
        <x:f>IF(OR(R1628="No",U1628*S1628=0),"",AA1628/(U1628*S1628))</x:f>
        <x:v>0.0073187771649500305</x:v>
      </x:c>
      <x:c r="AE1628" s="50" t="str">
        <x:f>IF(R1628="No","No finance data",IF(AB1628&gt;=10%,"Severe",IF(AB1628&gt;=5%,"High",IF(AB1628&gt;=2%,"Moderate","Low"))))</x:f>
        <x:v>Low</x:v>
      </x:c>
      <x:c r="AF1628" s="60" t="n">
        <x:v>29.693819</x:v>
      </x:c>
      <x:c r="AG1628" s="60" t="n">
        <x:v>-95.515954</x:v>
      </x:c>
      <x:c r="AH1628" s="44" t="str">
        <x:v>Undergraduate tuition-contribution proxy only; not an audited total institutional budget.</x:v>
      </x:c>
    </x:row>
    <x:row r="1629">
      <x:c r="A1629" s="16" t="n">
        <x:v>225548</x:v>
      </x:c>
      <x:c r="B1629" s="16" t="str">
        <x:v>Howard Payne University</x:v>
      </x:c>
      <x:c r="C1629" s="16" t="str">
        <x:v>TX</x:v>
      </x:c>
      <x:c r="D1629" s="16" t="str">
        <x:v>Private nonprofit</x:v>
      </x:c>
      <x:c r="E1629" s="34" t="n">
        <x:v>1052</x:v>
      </x:c>
      <x:c r="F1629" s="21" t="n">
        <x:v>0.5926</x:v>
      </x:c>
      <x:c r="G1629" s="16" t="str">
        <x:v>Regional</x:v>
      </x:c>
      <x:c r="H1629" s="36" t="n">
        <x:f>IF(G1629="National",Assumptions!$B$11,IF(G1629="Statewide",Assumptions!$B$12,Assumptions!$B$13))</x:f>
        <x:v>0.85</x:v>
      </x:c>
      <x:c r="I1629" s="21" t="n">
        <x:v>-0.027936917423154628</x:v>
      </x:c>
      <x:c r="J1629" s="21" t="n">
        <x:v>-0.0014699797999464526</x:v>
      </x:c>
      <x:c r="K1629" s="21" t="n">
        <x:v>0.009664387062230828</x:v>
      </x:c>
      <x:c r="L1629" s="36" t="n">
        <x:f>IF(Assumptions!$B$4=2030,I1629,IF(Assumptions!$B$4=2035,J1629,K1629))</x:f>
        <x:v>-0.0014699797999464526</x:v>
      </x:c>
      <x:c r="M1629" s="36" t="n">
        <x:f>Assumptions!$B$19</x:f>
        <x:v>-0.04739891965741583</x:v>
      </x:c>
      <x:c r="N1629" s="52" t="n">
        <x:f>H1629*L1629+(1-H1629)*M1629+O1629</x:f>
        <x:v>-0.00835932077856686</x:v>
      </x:c>
      <x:c r="O1629" s="36" t="n">
        <x:f>Assumptions!$B$10</x:f>
        <x:v>0</x:v>
      </x:c>
      <x:c r="P1629" s="54" t="n">
        <x:f>E1629*(1+N1629)</x:f>
        <x:v>1043.2059945409478</x:v>
      </x:c>
      <x:c r="Q1629" s="54" t="n">
        <x:f>P1629-E1629</x:f>
        <x:v>-8.794005459052187</x:v>
      </x:c>
      <x:c r="R1629" s="16" t="str">
        <x:v>Yes</x:v>
      </x:c>
      <x:c r="S1629" s="56" t="n">
        <x:v>11491</x:v>
      </x:c>
      <x:c r="T1629" s="56" t="n">
        <x:v>8375</x:v>
      </x:c>
      <x:c r="U1629" s="40" t="n">
        <x:f>E1629*Assumptions!$B$8</x:f>
        <x:v>894.1999999999999</x:v>
      </x:c>
      <x:c r="V1629" s="40" t="n">
        <x:f>P1629*Assumptions!$B$8</x:f>
        <x:v>886.7250953598057</x:v>
      </x:c>
      <x:c r="W1629" s="54" t="n">
        <x:f>V1629-U1629</x:f>
        <x:v>-7.474904640194268</x:v>
      </x:c>
      <x:c r="X1629" s="58" t="n">
        <x:f>IF(R1629="No","",W1629*S1629)</x:f>
        <x:v>-85894.12922047233</x:v>
      </x:c>
      <x:c r="Y1629" s="58" t="n">
        <x:f>IF(R1629="No","",W1629*T1629*Assumptions!$B$9)</x:f>
        <x:v>-18780.697908488095</x:v>
      </x:c>
      <x:c r="Z1629" s="58" t="n">
        <x:f>IF(R1629="No","",X1629-Y1629)</x:f>
        <x:v>-67113.43131198423</x:v>
      </x:c>
      <x:c r="AA1629" s="58" t="n">
        <x:f>IF(R1629="No","",MAX(0,-Z1629))</x:f>
        <x:v>67113.43131198423</x:v>
      </x:c>
      <x:c r="AB1629" s="52" t="n">
        <x:f>IF(OR(R1629="No",U1629*S1629=0),"",AA1629/(U1629*S1629))</x:f>
        <x:v>0.006531560491720508</x:v>
      </x:c>
      <x:c r="AC1629" s="54" t="n">
        <x:f>IF(OR(R1629="No",S1629-T1629*Assumptions!$B$9&lt;=0),"",AA1629/(Assumptions!$B$8*(S1629-T1629*Assumptions!$B$9)))</x:f>
        <x:v>8.79400545905208</x:v>
      </x:c>
      <x:c r="AD1629" s="52" t="n">
        <x:f>IF(OR(R1629="No",U1629*S1629=0),"",AA1629/(U1629*S1629))</x:f>
        <x:v>0.006531560491720508</x:v>
      </x:c>
      <x:c r="AE1629" s="50" t="str">
        <x:f>IF(R1629="No","No finance data",IF(AB1629&gt;=10%,"Severe",IF(AB1629&gt;=5%,"High",IF(AB1629&gt;=2%,"Moderate","Low"))))</x:f>
        <x:v>Low</x:v>
      </x:c>
      <x:c r="AF1629" s="60" t="n">
        <x:v>31.716467</x:v>
      </x:c>
      <x:c r="AG1629" s="60" t="n">
        <x:v>-98.985204</x:v>
      </x:c>
      <x:c r="AH1629" s="44" t="str">
        <x:v>Undergraduate tuition-contribution proxy only; not an audited total institutional budget.</x:v>
      </x:c>
    </x:row>
    <x:row r="1630">
      <x:c r="A1630" s="16" t="n">
        <x:v>225575</x:v>
      </x:c>
      <x:c r="B1630" s="16" t="str">
        <x:v>Huston-Tillotson University</x:v>
      </x:c>
      <x:c r="C1630" s="16" t="str">
        <x:v>TX</x:v>
      </x:c>
      <x:c r="D1630" s="16" t="str">
        <x:v>Private nonprofit</x:v>
      </x:c>
      <x:c r="E1630" s="34" t="n">
        <x:v>968</x:v>
      </x:c>
      <x:c r="F1630" s="21" t="n">
        <x:v>0.5003</x:v>
      </x:c>
      <x:c r="G1630" s="16" t="str">
        <x:v>Regional</x:v>
      </x:c>
      <x:c r="H1630" s="36" t="n">
        <x:f>IF(G1630="National",Assumptions!$B$11,IF(G1630="Statewide",Assumptions!$B$12,Assumptions!$B$13))</x:f>
        <x:v>0.85</x:v>
      </x:c>
      <x:c r="I1630" s="21" t="n">
        <x:v>-0.027936917423154628</x:v>
      </x:c>
      <x:c r="J1630" s="21" t="n">
        <x:v>-0.0014699797999464526</x:v>
      </x:c>
      <x:c r="K1630" s="21" t="n">
        <x:v>0.009664387062230828</x:v>
      </x:c>
      <x:c r="L1630" s="36" t="n">
        <x:f>IF(Assumptions!$B$4=2030,I1630,IF(Assumptions!$B$4=2035,J1630,K1630))</x:f>
        <x:v>-0.0014699797999464526</x:v>
      </x:c>
      <x:c r="M1630" s="36" t="n">
        <x:f>Assumptions!$B$19</x:f>
        <x:v>-0.04739891965741583</x:v>
      </x:c>
      <x:c r="N1630" s="52" t="n">
        <x:f>H1630*L1630+(1-H1630)*M1630+O1630</x:f>
        <x:v>-0.00835932077856686</x:v>
      </x:c>
      <x:c r="O1630" s="36" t="n">
        <x:f>Assumptions!$B$10</x:f>
        <x:v>0</x:v>
      </x:c>
      <x:c r="P1630" s="54" t="n">
        <x:f>E1630*(1+N1630)</x:f>
        <x:v>959.9081774863473</x:v>
      </x:c>
      <x:c r="Q1630" s="54" t="n">
        <x:f>P1630-E1630</x:f>
        <x:v>-8.091822513652687</x:v>
      </x:c>
      <x:c r="R1630" s="16" t="str">
        <x:v>Yes</x:v>
      </x:c>
      <x:c r="S1630" s="56" t="n">
        <x:v>12632</x:v>
      </x:c>
      <x:c r="T1630" s="56" t="n">
        <x:v>5841</x:v>
      </x:c>
      <x:c r="U1630" s="40" t="n">
        <x:f>E1630*Assumptions!$B$8</x:f>
        <x:v>822.8</x:v>
      </x:c>
      <x:c r="V1630" s="40" t="n">
        <x:f>P1630*Assumptions!$B$8</x:f>
        <x:v>815.9219508633952</x:v>
      </x:c>
      <x:c r="W1630" s="54" t="n">
        <x:f>V1630-U1630</x:f>
        <x:v>-6.878049136604773</x:v>
      </x:c>
      <x:c r="X1630" s="58" t="n">
        <x:f>IF(R1630="No","",W1630*S1630)</x:f>
        <x:v>-86883.51669359149</x:v>
      </x:c>
      <x:c r="Y1630" s="58" t="n">
        <x:f>IF(R1630="No","",W1630*T1630*Assumptions!$B$9)</x:f>
        <x:v>-12052.405502072543</x:v>
      </x:c>
      <x:c r="Z1630" s="58" t="n">
        <x:f>IF(R1630="No","",X1630-Y1630)</x:f>
        <x:v>-74831.11119151895</x:v>
      </x:c>
      <x:c r="AA1630" s="58" t="n">
        <x:f>IF(R1630="No","",MAX(0,-Z1630))</x:f>
        <x:v>74831.11119151895</x:v>
      </x:c>
      <x:c r="AB1630" s="52" t="n">
        <x:f>IF(OR(R1630="No",U1630*S1630=0),"",AA1630/(U1630*S1630))</x:f>
        <x:v>0.0071997231059668584</x:v>
      </x:c>
      <x:c r="AC1630" s="54" t="n">
        <x:f>IF(OR(R1630="No",S1630-T1630*Assumptions!$B$9&lt;=0),"",AA1630/(Assumptions!$B$8*(S1630-T1630*Assumptions!$B$9)))</x:f>
        <x:v>8.091822513652675</x:v>
      </x:c>
      <x:c r="AD1630" s="52" t="n">
        <x:f>IF(OR(R1630="No",U1630*S1630=0),"",AA1630/(U1630*S1630))</x:f>
        <x:v>0.0071997231059668584</x:v>
      </x:c>
      <x:c r="AE1630" s="50" t="str">
        <x:f>IF(R1630="No","No finance data",IF(AB1630&gt;=10%,"Severe",IF(AB1630&gt;=5%,"High",IF(AB1630&gt;=2%,"Moderate","Low"))))</x:f>
        <x:v>Low</x:v>
      </x:c>
      <x:c r="AF1630" s="60" t="n">
        <x:v>30.264667</x:v>
      </x:c>
      <x:c r="AG1630" s="60" t="n">
        <x:v>-97.721691</x:v>
      </x:c>
      <x:c r="AH1630" s="44" t="str">
        <x:v>Undergraduate tuition-contribution proxy only; not an audited total institutional budget.</x:v>
      </x:c>
    </x:row>
    <x:row r="1631">
      <x:c r="A1631" s="16" t="n">
        <x:v>225885</x:v>
      </x:c>
      <x:c r="B1631" s="16" t="str">
        <x:v>Jarvis Christian College</x:v>
      </x:c>
      <x:c r="C1631" s="16" t="str">
        <x:v>TX</x:v>
      </x:c>
      <x:c r="D1631" s="16" t="str">
        <x:v>Private nonprofit</x:v>
      </x:c>
      <x:c r="E1631" s="34" t="n">
        <x:v>863</x:v>
      </x:c>
      <x:c r="F1631" s="21"/>
      <x:c r="G1631" s="16" t="str">
        <x:v>Regional</x:v>
      </x:c>
      <x:c r="H1631" s="36" t="n">
        <x:f>IF(G1631="National",Assumptions!$B$11,IF(G1631="Statewide",Assumptions!$B$12,Assumptions!$B$13))</x:f>
        <x:v>0.85</x:v>
      </x:c>
      <x:c r="I1631" s="21" t="n">
        <x:v>-0.027936917423154628</x:v>
      </x:c>
      <x:c r="J1631" s="21" t="n">
        <x:v>-0.0014699797999464526</x:v>
      </x:c>
      <x:c r="K1631" s="21" t="n">
        <x:v>0.009664387062230828</x:v>
      </x:c>
      <x:c r="L1631" s="36" t="n">
        <x:f>IF(Assumptions!$B$4=2030,I1631,IF(Assumptions!$B$4=2035,J1631,K1631))</x:f>
        <x:v>-0.0014699797999464526</x:v>
      </x:c>
      <x:c r="M1631" s="36" t="n">
        <x:f>Assumptions!$B$19</x:f>
        <x:v>-0.04739891965741583</x:v>
      </x:c>
      <x:c r="N1631" s="52" t="n">
        <x:f>H1631*L1631+(1-H1631)*M1631+O1631</x:f>
        <x:v>-0.00835932077856686</x:v>
      </x:c>
      <x:c r="O1631" s="36" t="n">
        <x:f>Assumptions!$B$10</x:f>
        <x:v>0</x:v>
      </x:c>
      <x:c r="P1631" s="54" t="n">
        <x:f>E1631*(1+N1631)</x:f>
        <x:v>855.7859061680969</x:v>
      </x:c>
      <x:c r="Q1631" s="54" t="n">
        <x:f>P1631-E1631</x:f>
        <x:v>-7.214093831903142</x:v>
      </x:c>
      <x:c r="R1631" s="16" t="str">
        <x:v>Yes</x:v>
      </x:c>
      <x:c r="S1631" s="56" t="n">
        <x:v>8859</x:v>
      </x:c>
      <x:c r="T1631" s="56" t="n">
        <x:v>5358</x:v>
      </x:c>
      <x:c r="U1631" s="40" t="n">
        <x:f>E1631*Assumptions!$B$8</x:f>
        <x:v>733.55</x:v>
      </x:c>
      <x:c r="V1631" s="40" t="n">
        <x:f>P1631*Assumptions!$B$8</x:f>
        <x:v>727.4180202428823</x:v>
      </x:c>
      <x:c r="W1631" s="54" t="n">
        <x:f>V1631-U1631</x:f>
        <x:v>-6.13197975711762</x:v>
      </x:c>
      <x:c r="X1631" s="58" t="n">
        <x:f>IF(R1631="No","",W1631*S1631)</x:f>
        <x:v>-54323.20866830499</x:v>
      </x:c>
      <x:c r="Y1631" s="58" t="n">
        <x:f>IF(R1631="No","",W1631*T1631*Assumptions!$B$9)</x:f>
        <x:v>-9856.544261590861</x:v>
      </x:c>
      <x:c r="Z1631" s="58" t="n">
        <x:f>IF(R1631="No","",X1631-Y1631)</x:f>
        <x:v>-44466.66440671413</x:v>
      </x:c>
      <x:c r="AA1631" s="58" t="n">
        <x:f>IF(R1631="No","",MAX(0,-Z1631))</x:f>
        <x:v>44466.66440671413</x:v>
      </x:c>
      <x:c r="AB1631" s="52" t="n">
        <x:f>IF(OR(R1631="No",U1631*S1631=0),"",AA1631/(U1631*S1631))</x:f>
        <x:v>0.006842583876041817</x:v>
      </x:c>
      <x:c r="AC1631" s="54" t="n">
        <x:f>IF(OR(R1631="No",S1631-T1631*Assumptions!$B$9&lt;=0),"",AA1631/(Assumptions!$B$8*(S1631-T1631*Assumptions!$B$9)))</x:f>
        <x:v>7.214093831903082</x:v>
      </x:c>
      <x:c r="AD1631" s="52" t="n">
        <x:f>IF(OR(R1631="No",U1631*S1631=0),"",AA1631/(U1631*S1631))</x:f>
        <x:v>0.006842583876041817</x:v>
      </x:c>
      <x:c r="AE1631" s="50" t="str">
        <x:f>IF(R1631="No","No finance data",IF(AB1631&gt;=10%,"Severe",IF(AB1631&gt;=5%,"High",IF(AB1631&gt;=2%,"Moderate","Low"))))</x:f>
        <x:v>Low</x:v>
      </x:c>
      <x:c r="AF1631" s="60" t="n">
        <x:v>32.587942</x:v>
      </x:c>
      <x:c r="AG1631" s="60" t="n">
        <x:v>-95.181513</x:v>
      </x:c>
      <x:c r="AH1631" s="44" t="str">
        <x:v>Undergraduate tuition-contribution proxy only; not an audited total institutional budget.</x:v>
      </x:c>
    </x:row>
    <x:row r="1632">
      <x:c r="A1632" s="16" t="n">
        <x:v>226091</x:v>
      </x:c>
      <x:c r="B1632" s="16" t="str">
        <x:v>Lamar University</x:v>
      </x:c>
      <x:c r="C1632" s="16" t="str">
        <x:v>TX</x:v>
      </x:c>
      <x:c r="D1632" s="16" t="str">
        <x:v>Public</x:v>
      </x:c>
      <x:c r="E1632" s="34" t="n">
        <x:v>9008</x:v>
      </x:c>
      <x:c r="F1632" s="21" t="n">
        <x:v>0.8806</x:v>
      </x:c>
      <x:c r="G1632" s="16" t="str">
        <x:v>Statewide</x:v>
      </x:c>
      <x:c r="H1632" s="36" t="n">
        <x:f>IF(G1632="National",Assumptions!$B$11,IF(G1632="Statewide",Assumptions!$B$12,Assumptions!$B$13))</x:f>
        <x:v>0.6</x:v>
      </x:c>
      <x:c r="I1632" s="21" t="n">
        <x:v>-0.027936917423154628</x:v>
      </x:c>
      <x:c r="J1632" s="21" t="n">
        <x:v>-0.0014699797999464526</x:v>
      </x:c>
      <x:c r="K1632" s="21" t="n">
        <x:v>0.009664387062230828</x:v>
      </x:c>
      <x:c r="L1632" s="36" t="n">
        <x:f>IF(Assumptions!$B$4=2030,I1632,IF(Assumptions!$B$4=2035,J1632,K1632))</x:f>
        <x:v>-0.0014699797999464526</x:v>
      </x:c>
      <x:c r="M1632" s="36" t="n">
        <x:f>Assumptions!$B$19</x:f>
        <x:v>-0.04739891965741583</x:v>
      </x:c>
      <x:c r="N1632" s="52" t="n">
        <x:f>H1632*L1632+(1-H1632)*M1632+O1632</x:f>
        <x:v>-0.019841555742934204</x:v>
      </x:c>
      <x:c r="O1632" s="36" t="n">
        <x:f>Assumptions!$B$10</x:f>
        <x:v>0</x:v>
      </x:c>
      <x:c r="P1632" s="54" t="n">
        <x:f>E1632*(1+N1632)</x:f>
        <x:v>8829.26726586765</x:v>
      </x:c>
      <x:c r="Q1632" s="54" t="n">
        <x:f>P1632-E1632</x:f>
        <x:v>-178.73273413235074</x:v>
      </x:c>
      <x:c r="R1632" s="16" t="str">
        <x:v>Yes</x:v>
      </x:c>
      <x:c r="S1632" s="56" t="n">
        <x:v>8198</x:v>
      </x:c>
      <x:c r="T1632" s="56" t="n">
        <x:v>5293</x:v>
      </x:c>
      <x:c r="U1632" s="40" t="n">
        <x:f>E1632*Assumptions!$B$8</x:f>
        <x:v>7656.8</x:v>
      </x:c>
      <x:c r="V1632" s="40" t="n">
        <x:f>P1632*Assumptions!$B$8</x:f>
        <x:v>7504.877175987502</x:v>
      </x:c>
      <x:c r="W1632" s="54" t="n">
        <x:f>V1632-U1632</x:f>
        <x:v>-151.9228240124985</x:v>
      </x:c>
      <x:c r="X1632" s="58" t="n">
        <x:f>IF(R1632="No","",W1632*S1632)</x:f>
        <x:v>-1245463.3112544627</x:v>
      </x:c>
      <x:c r="Y1632" s="58" t="n">
        <x:f>IF(R1632="No","",W1632*T1632*Assumptions!$B$9)</x:f>
        <x:v>-241238.25224944635</x:v>
      </x:c>
      <x:c r="Z1632" s="58" t="n">
        <x:f>IF(R1632="No","",X1632-Y1632)</x:f>
        <x:v>-1004225.0590050163</x:v>
      </x:c>
      <x:c r="AA1632" s="58" t="n">
        <x:f>IF(R1632="No","",MAX(0,-Z1632))</x:f>
        <x:v>1004225.0590050163</x:v>
      </x:c>
      <x:c r="AB1632" s="52" t="n">
        <x:f>IF(OR(R1632="No",U1632*S1632=0),"",AA1632/(U1632*S1632))</x:f>
        <x:v>0.0159983737028994</x:v>
      </x:c>
      <x:c r="AC1632" s="54" t="n">
        <x:f>IF(OR(R1632="No",S1632-T1632*Assumptions!$B$9&lt;=0),"",AA1632/(Assumptions!$B$8*(S1632-T1632*Assumptions!$B$9)))</x:f>
        <x:v>178.73273413235117</x:v>
      </x:c>
      <x:c r="AD1632" s="52" t="n">
        <x:f>IF(OR(R1632="No",U1632*S1632=0),"",AA1632/(U1632*S1632))</x:f>
        <x:v>0.0159983737028994</x:v>
      </x:c>
      <x:c r="AE1632" s="50" t="str">
        <x:f>IF(R1632="No","No finance data",IF(AB1632&gt;=10%,"Severe",IF(AB1632&gt;=5%,"High",IF(AB1632&gt;=2%,"Moderate","Low"))))</x:f>
        <x:v>Low</x:v>
      </x:c>
      <x:c r="AF1632" s="60" t="n">
        <x:v>30.042738</x:v>
      </x:c>
      <x:c r="AG1632" s="60" t="n">
        <x:v>-94.072244</x:v>
      </x:c>
      <x:c r="AH1632" s="44" t="str">
        <x:v>Undergraduate tuition-contribution proxy only; not an audited total institutional budget.</x:v>
      </x:c>
    </x:row>
    <x:row r="1633">
      <x:c r="A1633" s="16" t="n">
        <x:v>226231</x:v>
      </x:c>
      <x:c r="B1633" s="16" t="str">
        <x:v>LeTourneau University</x:v>
      </x:c>
      <x:c r="C1633" s="16" t="str">
        <x:v>TX</x:v>
      </x:c>
      <x:c r="D1633" s="16" t="str">
        <x:v>Private nonprofit</x:v>
      </x:c>
      <x:c r="E1633" s="34" t="n">
        <x:v>1933</x:v>
      </x:c>
      <x:c r="F1633" s="21" t="n">
        <x:v>0.5419</x:v>
      </x:c>
      <x:c r="G1633" s="16" t="str">
        <x:v>Regional</x:v>
      </x:c>
      <x:c r="H1633" s="36" t="n">
        <x:f>IF(G1633="National",Assumptions!$B$11,IF(G1633="Statewide",Assumptions!$B$12,Assumptions!$B$13))</x:f>
        <x:v>0.85</x:v>
      </x:c>
      <x:c r="I1633" s="21" t="n">
        <x:v>-0.027936917423154628</x:v>
      </x:c>
      <x:c r="J1633" s="21" t="n">
        <x:v>-0.0014699797999464526</x:v>
      </x:c>
      <x:c r="K1633" s="21" t="n">
        <x:v>0.009664387062230828</x:v>
      </x:c>
      <x:c r="L1633" s="36" t="n">
        <x:f>IF(Assumptions!$B$4=2030,I1633,IF(Assumptions!$B$4=2035,J1633,K1633))</x:f>
        <x:v>-0.0014699797999464526</x:v>
      </x:c>
      <x:c r="M1633" s="36" t="n">
        <x:f>Assumptions!$B$19</x:f>
        <x:v>-0.04739891965741583</x:v>
      </x:c>
      <x:c r="N1633" s="52" t="n">
        <x:f>H1633*L1633+(1-H1633)*M1633+O1633</x:f>
        <x:v>-0.00835932077856686</x:v>
      </x:c>
      <x:c r="O1633" s="36" t="n">
        <x:f>Assumptions!$B$10</x:f>
        <x:v>0</x:v>
      </x:c>
      <x:c r="P1633" s="54" t="n">
        <x:f>E1633*(1+N1633)</x:f>
        <x:v>1916.8414329350303</x:v>
      </x:c>
      <x:c r="Q1633" s="54" t="n">
        <x:f>P1633-E1633</x:f>
        <x:v>-16.158567064969702</x:v>
      </x:c>
      <x:c r="R1633" s="16" t="str">
        <x:v>Yes</x:v>
      </x:c>
      <x:c r="S1633" s="56" t="n">
        <x:v>16075</x:v>
      </x:c>
      <x:c r="T1633" s="56" t="n">
        <x:v>9473</x:v>
      </x:c>
      <x:c r="U1633" s="40" t="n">
        <x:f>E1633*Assumptions!$B$8</x:f>
        <x:v>1643.05</x:v>
      </x:c>
      <x:c r="V1633" s="40" t="n">
        <x:f>P1633*Assumptions!$B$8</x:f>
        <x:v>1629.3152179947758</x:v>
      </x:c>
      <x:c r="W1633" s="54" t="n">
        <x:f>V1633-U1633</x:f>
        <x:v>-13.734782005224133</x:v>
      </x:c>
      <x:c r="X1633" s="58" t="n">
        <x:f>IF(R1633="No","",W1633*S1633)</x:f>
        <x:v>-220786.62073397794</x:v>
      </x:c>
      <x:c r="Y1633" s="58" t="n">
        <x:f>IF(R1633="No","",W1633*T1633*Assumptions!$B$9)</x:f>
        <x:v>-39032.87698064646</x:v>
      </x:c>
      <x:c r="Z1633" s="58" t="n">
        <x:f>IF(R1633="No","",X1633-Y1633)</x:f>
        <x:v>-181753.74375333148</x:v>
      </x:c>
      <x:c r="AA1633" s="58" t="n">
        <x:f>IF(R1633="No","",MAX(0,-Z1633))</x:f>
        <x:v>181753.74375333148</x:v>
      </x:c>
      <x:c r="AB1633" s="52" t="n">
        <x:f>IF(OR(R1633="No",U1633*S1633=0),"",AA1633/(U1633*S1633))</x:f>
        <x:v>0.0068814760681089856</x:v>
      </x:c>
      <x:c r="AC1633" s="54" t="n">
        <x:f>IF(OR(R1633="No",S1633-T1633*Assumptions!$B$9&lt;=0),"",AA1633/(Assumptions!$B$8*(S1633-T1633*Assumptions!$B$9)))</x:f>
        <x:v>16.158567064969567</x:v>
      </x:c>
      <x:c r="AD1633" s="52" t="n">
        <x:f>IF(OR(R1633="No",U1633*S1633=0),"",AA1633/(U1633*S1633))</x:f>
        <x:v>0.0068814760681089856</x:v>
      </x:c>
      <x:c r="AE1633" s="50" t="str">
        <x:f>IF(R1633="No","No finance data",IF(AB1633&gt;=10%,"Severe",IF(AB1633&gt;=5%,"High",IF(AB1633&gt;=2%,"Moderate","Low"))))</x:f>
        <x:v>Low</x:v>
      </x:c>
      <x:c r="AF1633" s="60" t="n">
        <x:v>32.46632</x:v>
      </x:c>
      <x:c r="AG1633" s="60" t="n">
        <x:v>-94.726394</x:v>
      </x:c>
      <x:c r="AH1633" s="44" t="str">
        <x:v>Undergraduate tuition-contribution proxy only; not an audited total institutional budget.</x:v>
      </x:c>
    </x:row>
    <x:row r="1634">
      <x:c r="A1634" s="16" t="n">
        <x:v>226383</x:v>
      </x:c>
      <x:c r="B1634" s="16" t="str">
        <x:v>Lubbock Christian University</x:v>
      </x:c>
      <x:c r="C1634" s="16" t="str">
        <x:v>TX</x:v>
      </x:c>
      <x:c r="D1634" s="16" t="str">
        <x:v>Private nonprofit</x:v>
      </x:c>
      <x:c r="E1634" s="34" t="n">
        <x:v>1471</x:v>
      </x:c>
      <x:c r="F1634" s="21" t="n">
        <x:v>0.9518</x:v>
      </x:c>
      <x:c r="G1634" s="16" t="str">
        <x:v>Regional</x:v>
      </x:c>
      <x:c r="H1634" s="36" t="n">
        <x:f>IF(G1634="National",Assumptions!$B$11,IF(G1634="Statewide",Assumptions!$B$12,Assumptions!$B$13))</x:f>
        <x:v>0.85</x:v>
      </x:c>
      <x:c r="I1634" s="21" t="n">
        <x:v>-0.027936917423154628</x:v>
      </x:c>
      <x:c r="J1634" s="21" t="n">
        <x:v>-0.0014699797999464526</x:v>
      </x:c>
      <x:c r="K1634" s="21" t="n">
        <x:v>0.009664387062230828</x:v>
      </x:c>
      <x:c r="L1634" s="36" t="n">
        <x:f>IF(Assumptions!$B$4=2030,I1634,IF(Assumptions!$B$4=2035,J1634,K1634))</x:f>
        <x:v>-0.0014699797999464526</x:v>
      </x:c>
      <x:c r="M1634" s="36" t="n">
        <x:f>Assumptions!$B$19</x:f>
        <x:v>-0.04739891965741583</x:v>
      </x:c>
      <x:c r="N1634" s="52" t="n">
        <x:f>H1634*L1634+(1-H1634)*M1634+O1634</x:f>
        <x:v>-0.00835932077856686</x:v>
      </x:c>
      <x:c r="O1634" s="36" t="n">
        <x:f>Assumptions!$B$10</x:f>
        <x:v>0</x:v>
      </x:c>
      <x:c r="P1634" s="54" t="n">
        <x:f>E1634*(1+N1634)</x:f>
        <x:v>1458.7034391347281</x:v>
      </x:c>
      <x:c r="Q1634" s="54" t="n">
        <x:f>P1634-E1634</x:f>
        <x:v>-12.296560865271886</x:v>
      </x:c>
      <x:c r="R1634" s="16" t="str">
        <x:v>Yes</x:v>
      </x:c>
      <x:c r="S1634" s="56" t="n">
        <x:v>11342</x:v>
      </x:c>
      <x:c r="T1634" s="56" t="n">
        <x:v>7562</x:v>
      </x:c>
      <x:c r="U1634" s="40" t="n">
        <x:f>E1634*Assumptions!$B$8</x:f>
        <x:v>1250.35</x:v>
      </x:c>
      <x:c r="V1634" s="40" t="n">
        <x:f>P1634*Assumptions!$B$8</x:f>
        <x:v>1239.8979232645188</x:v>
      </x:c>
      <x:c r="W1634" s="54" t="n">
        <x:f>V1634-U1634</x:f>
        <x:v>-10.452076735481114</x:v>
      </x:c>
      <x:c r="X1634" s="58" t="n">
        <x:f>IF(R1634="No","",W1634*S1634)</x:f>
        <x:v>-118547.4543338268</x:v>
      </x:c>
      <x:c r="Y1634" s="58" t="n">
        <x:f>IF(R1634="No","",W1634*T1634*Assumptions!$B$9)</x:f>
        <x:v>-23711.581282112456</x:v>
      </x:c>
      <x:c r="Z1634" s="58" t="n">
        <x:f>IF(R1634="No","",X1634-Y1634)</x:f>
        <x:v>-94835.87305171434</x:v>
      </x:c>
      <x:c r="AA1634" s="58" t="n">
        <x:f>IF(R1634="No","",MAX(0,-Z1634))</x:f>
        <x:v>94835.87305171434</x:v>
      </x:c>
      <x:c r="AB1634" s="52" t="n">
        <x:f>IF(OR(R1634="No",U1634*S1634=0),"",AA1634/(U1634*S1634))</x:f>
        <x:v>0.0066873092181492545</x:v>
      </x:c>
      <x:c r="AC1634" s="54" t="n">
        <x:f>IF(OR(R1634="No",S1634-T1634*Assumptions!$B$9&lt;=0),"",AA1634/(Assumptions!$B$8*(S1634-T1634*Assumptions!$B$9)))</x:f>
        <x:v>12.2965608652719</x:v>
      </x:c>
      <x:c r="AD1634" s="52" t="n">
        <x:f>IF(OR(R1634="No",U1634*S1634=0),"",AA1634/(U1634*S1634))</x:f>
        <x:v>0.0066873092181492545</x:v>
      </x:c>
      <x:c r="AE1634" s="50" t="str">
        <x:f>IF(R1634="No","No finance data",IF(AB1634&gt;=10%,"Severe",IF(AB1634&gt;=5%,"High",IF(AB1634&gt;=2%,"Moderate","Low"))))</x:f>
        <x:v>Low</x:v>
      </x:c>
      <x:c r="AF1634" s="60" t="n">
        <x:v>33.575973</x:v>
      </x:c>
      <x:c r="AG1634" s="60" t="n">
        <x:v>-101.934426</x:v>
      </x:c>
      <x:c r="AH1634" s="44" t="str">
        <x:v>Undergraduate tuition-contribution proxy only; not an audited total institutional budget.</x:v>
      </x:c>
    </x:row>
    <x:row r="1635">
      <x:c r="A1635" s="16" t="n">
        <x:v>226587</x:v>
      </x:c>
      <x:c r="B1635" s="16" t="str">
        <x:v>McMurry University</x:v>
      </x:c>
      <x:c r="C1635" s="16" t="str">
        <x:v>TX</x:v>
      </x:c>
      <x:c r="D1635" s="16" t="str">
        <x:v>Private nonprofit</x:v>
      </x:c>
      <x:c r="E1635" s="34" t="n">
        <x:v>1002</x:v>
      </x:c>
      <x:c r="F1635" s="21" t="n">
        <x:v>0.7835</x:v>
      </x:c>
      <x:c r="G1635" s="16" t="str">
        <x:v>Regional</x:v>
      </x:c>
      <x:c r="H1635" s="36" t="n">
        <x:f>IF(G1635="National",Assumptions!$B$11,IF(G1635="Statewide",Assumptions!$B$12,Assumptions!$B$13))</x:f>
        <x:v>0.85</x:v>
      </x:c>
      <x:c r="I1635" s="21" t="n">
        <x:v>-0.027936917423154628</x:v>
      </x:c>
      <x:c r="J1635" s="21" t="n">
        <x:v>-0.0014699797999464526</x:v>
      </x:c>
      <x:c r="K1635" s="21" t="n">
        <x:v>0.009664387062230828</x:v>
      </x:c>
      <x:c r="L1635" s="36" t="n">
        <x:f>IF(Assumptions!$B$4=2030,I1635,IF(Assumptions!$B$4=2035,J1635,K1635))</x:f>
        <x:v>-0.0014699797999464526</x:v>
      </x:c>
      <x:c r="M1635" s="36" t="n">
        <x:f>Assumptions!$B$19</x:f>
        <x:v>-0.04739891965741583</x:v>
      </x:c>
      <x:c r="N1635" s="52" t="n">
        <x:f>H1635*L1635+(1-H1635)*M1635+O1635</x:f>
        <x:v>-0.00835932077856686</x:v>
      </x:c>
      <x:c r="O1635" s="36" t="n">
        <x:f>Assumptions!$B$10</x:f>
        <x:v>0</x:v>
      </x:c>
      <x:c r="P1635" s="54" t="n">
        <x:f>E1635*(1+N1635)</x:f>
        <x:v>993.623960579876</x:v>
      </x:c>
      <x:c r="Q1635" s="54" t="n">
        <x:f>P1635-E1635</x:f>
        <x:v>-8.376039420124016</x:v>
      </x:c>
      <x:c r="R1635" s="16" t="str">
        <x:v>Yes</x:v>
      </x:c>
      <x:c r="S1635" s="56" t="n">
        <x:v>13502</x:v>
      </x:c>
      <x:c r="T1635" s="56" t="n">
        <x:v>9272</x:v>
      </x:c>
      <x:c r="U1635" s="40" t="n">
        <x:f>E1635*Assumptions!$B$8</x:f>
        <x:v>851.6999999999999</x:v>
      </x:c>
      <x:c r="V1635" s="40" t="n">
        <x:f>P1635*Assumptions!$B$8</x:f>
        <x:v>844.5803664928945</x:v>
      </x:c>
      <x:c r="W1635" s="54" t="n">
        <x:f>V1635-U1635</x:f>
        <x:v>-7.119633507105391</x:v>
      </x:c>
      <x:c r="X1635" s="58" t="n">
        <x:f>IF(R1635="No","",W1635*S1635)</x:f>
        <x:v>-96129.29161293698</x:v>
      </x:c>
      <x:c r="Y1635" s="58" t="n">
        <x:f>IF(R1635="No","",W1635*T1635*Assumptions!$B$9)</x:f>
        <x:v>-19803.972563364354</x:v>
      </x:c>
      <x:c r="Z1635" s="58" t="n">
        <x:f>IF(R1635="No","",X1635-Y1635)</x:f>
        <x:v>-76325.31904957263</x:v>
      </x:c>
      <x:c r="AA1635" s="58" t="n">
        <x:f>IF(R1635="No","",MAX(0,-Z1635))</x:f>
        <x:v>76325.31904957263</x:v>
      </x:c>
      <x:c r="AB1635" s="52" t="n">
        <x:f>IF(OR(R1635="No",U1635*S1635=0),"",AA1635/(U1635*S1635))</x:f>
        <x:v>0.006637184304143692</x:v>
      </x:c>
      <x:c r="AC1635" s="54" t="n">
        <x:f>IF(OR(R1635="No",S1635-T1635*Assumptions!$B$9&lt;=0),"",AA1635/(Assumptions!$B$8*(S1635-T1635*Assumptions!$B$9)))</x:f>
        <x:v>8.37603942012399</x:v>
      </x:c>
      <x:c r="AD1635" s="52" t="n">
        <x:f>IF(OR(R1635="No",U1635*S1635=0),"",AA1635/(U1635*S1635))</x:f>
        <x:v>0.006637184304143692</x:v>
      </x:c>
      <x:c r="AE1635" s="50" t="str">
        <x:f>IF(R1635="No","No finance data",IF(AB1635&gt;=10%,"Severe",IF(AB1635&gt;=5%,"High",IF(AB1635&gt;=2%,"Moderate","Low"))))</x:f>
        <x:v>Low</x:v>
      </x:c>
      <x:c r="AF1635" s="60" t="n">
        <x:v>32.429776</x:v>
      </x:c>
      <x:c r="AG1635" s="60" t="n">
        <x:v>-99.748682</x:v>
      </x:c>
      <x:c r="AH1635" s="44" t="str">
        <x:v>Undergraduate tuition-contribution proxy only; not an audited total institutional budget.</x:v>
      </x:c>
    </x:row>
    <x:row r="1636">
      <x:c r="A1636" s="16" t="n">
        <x:v>417752</x:v>
      </x:c>
      <x:c r="B1636" s="16" t="str">
        <x:v>Messenger College</x:v>
      </x:c>
      <x:c r="C1636" s="16" t="str">
        <x:v>TX</x:v>
      </x:c>
      <x:c r="D1636" s="16" t="str">
        <x:v>Private nonprofit</x:v>
      </x:c>
      <x:c r="E1636" s="34" t="n">
        <x:v>109</x:v>
      </x:c>
      <x:c r="F1636" s="21"/>
      <x:c r="G1636" s="16" t="str">
        <x:v>Regional</x:v>
      </x:c>
      <x:c r="H1636" s="36" t="n">
        <x:f>IF(G1636="National",Assumptions!$B$11,IF(G1636="Statewide",Assumptions!$B$12,Assumptions!$B$13))</x:f>
        <x:v>0.85</x:v>
      </x:c>
      <x:c r="I1636" s="21" t="n">
        <x:v>-0.027936917423154628</x:v>
      </x:c>
      <x:c r="J1636" s="21" t="n">
        <x:v>-0.0014699797999464526</x:v>
      </x:c>
      <x:c r="K1636" s="21" t="n">
        <x:v>0.009664387062230828</x:v>
      </x:c>
      <x:c r="L1636" s="36" t="n">
        <x:f>IF(Assumptions!$B$4=2030,I1636,IF(Assumptions!$B$4=2035,J1636,K1636))</x:f>
        <x:v>-0.0014699797999464526</x:v>
      </x:c>
      <x:c r="M1636" s="36" t="n">
        <x:f>Assumptions!$B$19</x:f>
        <x:v>-0.04739891965741583</x:v>
      </x:c>
      <x:c r="N1636" s="52" t="n">
        <x:f>H1636*L1636+(1-H1636)*M1636+O1636</x:f>
        <x:v>-0.00835932077856686</x:v>
      </x:c>
      <x:c r="O1636" s="36" t="n">
        <x:f>Assumptions!$B$10</x:f>
        <x:v>0</x:v>
      </x:c>
      <x:c r="P1636" s="54" t="n">
        <x:f>E1636*(1+N1636)</x:f>
        <x:v>108.08883403513622</x:v>
      </x:c>
      <x:c r="Q1636" s="54" t="n">
        <x:f>P1636-E1636</x:f>
        <x:v>-0.911165964863784</x:v>
      </x:c>
      <x:c r="R1636" s="16" t="str">
        <x:v>No</x:v>
      </x:c>
      <x:c r="S1636" s="56"/>
      <x:c r="T1636" s="56"/>
      <x:c r="U1636" s="40" t="n">
        <x:f>E1636*Assumptions!$B$8</x:f>
        <x:v>92.64999999999999</x:v>
      </x:c>
      <x:c r="V1636" s="40" t="n">
        <x:f>P1636*Assumptions!$B$8</x:f>
        <x:v>91.87550892986579</x:v>
      </x:c>
      <x:c r="W1636" s="54" t="n">
        <x:f>V1636-U1636</x:f>
        <x:v>-0.7744910701342036</x:v>
      </x:c>
      <x:c r="X1636" s="58" t="str">
        <x:f>IF(R1636="No","",W1636*S1636)</x:f>
      </x:c>
      <x:c r="Y1636" s="58" t="str">
        <x:f>IF(R1636="No","",W1636*T1636*Assumptions!$B$9)</x:f>
      </x:c>
      <x:c r="Z1636" s="58" t="str">
        <x:f>IF(R1636="No","",X1636-Y1636)</x:f>
      </x:c>
      <x:c r="AA1636" s="58" t="str">
        <x:f>IF(R1636="No","",MAX(0,-Z1636))</x:f>
      </x:c>
      <x:c r="AB1636" s="52" t="str">
        <x:f>IF(OR(R1636="No",U1636*S1636=0),"",AA1636/(U1636*S1636))</x:f>
      </x:c>
      <x:c r="AC1636" s="54" t="str">
        <x:f>IF(OR(R1636="No",S1636-T1636*Assumptions!$B$9&lt;=0),"",AA1636/(Assumptions!$B$8*(S1636-T1636*Assumptions!$B$9)))</x:f>
      </x:c>
      <x:c r="AD1636" s="52" t="str">
        <x:f>IF(OR(R1636="No",U1636*S1636=0),"",AA1636/(U1636*S1636))</x:f>
      </x:c>
      <x:c r="AE1636" s="50" t="str">
        <x:f>IF(R1636="No","No finance data",IF(AB1636&gt;=10%,"Severe",IF(AB1636&gt;=5%,"High",IF(AB1636&gt;=2%,"Moderate","Low"))))</x:f>
        <x:v>No finance data</x:v>
      </x:c>
      <x:c r="AF1636" s="60"/>
      <x:c r="AG1636" s="60"/>
      <x:c r="AH1636" s="44" t="str">
        <x:v>Undergraduate tuition-contribution proxy only; not an audited total institutional budget.</x:v>
      </x:c>
    </x:row>
    <x:row r="1637">
      <x:c r="A1637" s="16" t="n">
        <x:v>226833</x:v>
      </x:c>
      <x:c r="B1637" s="16" t="str">
        <x:v>Midwestern State University</x:v>
      </x:c>
      <x:c r="C1637" s="16" t="str">
        <x:v>TX</x:v>
      </x:c>
      <x:c r="D1637" s="16" t="str">
        <x:v>Public</x:v>
      </x:c>
      <x:c r="E1637" s="34" t="n">
        <x:v>5287</x:v>
      </x:c>
      <x:c r="F1637" s="21" t="n">
        <x:v>0.946</x:v>
      </x:c>
      <x:c r="G1637" s="16" t="str">
        <x:v>Statewide</x:v>
      </x:c>
      <x:c r="H1637" s="36" t="n">
        <x:f>IF(G1637="National",Assumptions!$B$11,IF(G1637="Statewide",Assumptions!$B$12,Assumptions!$B$13))</x:f>
        <x:v>0.6</x:v>
      </x:c>
      <x:c r="I1637" s="21" t="n">
        <x:v>-0.027936917423154628</x:v>
      </x:c>
      <x:c r="J1637" s="21" t="n">
        <x:v>-0.0014699797999464526</x:v>
      </x:c>
      <x:c r="K1637" s="21" t="n">
        <x:v>0.009664387062230828</x:v>
      </x:c>
      <x:c r="L1637" s="36" t="n">
        <x:f>IF(Assumptions!$B$4=2030,I1637,IF(Assumptions!$B$4=2035,J1637,K1637))</x:f>
        <x:v>-0.0014699797999464526</x:v>
      </x:c>
      <x:c r="M1637" s="36" t="n">
        <x:f>Assumptions!$B$19</x:f>
        <x:v>-0.04739891965741583</x:v>
      </x:c>
      <x:c r="N1637" s="52" t="n">
        <x:f>H1637*L1637+(1-H1637)*M1637+O1637</x:f>
        <x:v>-0.019841555742934204</x:v>
      </x:c>
      <x:c r="O1637" s="36" t="n">
        <x:f>Assumptions!$B$10</x:f>
        <x:v>0</x:v>
      </x:c>
      <x:c r="P1637" s="54" t="n">
        <x:f>E1637*(1+N1637)</x:f>
        <x:v>5182.097694787107</x:v>
      </x:c>
      <x:c r="Q1637" s="54" t="n">
        <x:f>P1637-E1637</x:f>
        <x:v>-104.90230521289322</x:v>
      </x:c>
      <x:c r="R1637" s="16" t="str">
        <x:v>Yes</x:v>
      </x:c>
      <x:c r="S1637" s="56" t="n">
        <x:v>7027</x:v>
      </x:c>
      <x:c r="T1637" s="56" t="n">
        <x:v>10211</x:v>
      </x:c>
      <x:c r="U1637" s="40" t="n">
        <x:f>E1637*Assumptions!$B$8</x:f>
        <x:v>4493.95</x:v>
      </x:c>
      <x:c r="V1637" s="40" t="n">
        <x:f>P1637*Assumptions!$B$8</x:f>
        <x:v>4404.783040569041</x:v>
      </x:c>
      <x:c r="W1637" s="54" t="n">
        <x:f>V1637-U1637</x:f>
        <x:v>-89.16695943095874</x:v>
      </x:c>
      <x:c r="X1637" s="58" t="n">
        <x:f>IF(R1637="No","",W1637*S1637)</x:f>
        <x:v>-626576.2239213471</x:v>
      </x:c>
      <x:c r="Y1637" s="58" t="n">
        <x:f>IF(R1637="No","",W1637*T1637*Assumptions!$B$9)</x:f>
        <x:v>-273145.1468248559</x:v>
      </x:c>
      <x:c r="Z1637" s="58" t="n">
        <x:f>IF(R1637="No","",X1637-Y1637)</x:f>
        <x:v>-353431.0770964912</x:v>
      </x:c>
      <x:c r="AA1637" s="58" t="n">
        <x:f>IF(R1637="No","",MAX(0,-Z1637))</x:f>
        <x:v>353431.0770964912</x:v>
      </x:c>
      <x:c r="AB1637" s="52" t="n">
        <x:f>IF(OR(R1637="No",U1637*S1637=0),"",AA1637/(U1637*S1637))</x:f>
        <x:v>0.011191970186177307</x:v>
      </x:c>
      <x:c r="AC1637" s="54" t="n">
        <x:f>IF(OR(R1637="No",S1637-T1637*Assumptions!$B$9&lt;=0),"",AA1637/(Assumptions!$B$8*(S1637-T1637*Assumptions!$B$9)))</x:f>
        <x:v>104.90230521289264</x:v>
      </x:c>
      <x:c r="AD1637" s="52" t="n">
        <x:f>IF(OR(R1637="No",U1637*S1637=0),"",AA1637/(U1637*S1637))</x:f>
        <x:v>0.011191970186177307</x:v>
      </x:c>
      <x:c r="AE1637" s="50" t="str">
        <x:f>IF(R1637="No","No finance data",IF(AB1637&gt;=10%,"Severe",IF(AB1637&gt;=5%,"High",IF(AB1637&gt;=2%,"Moderate","Low"))))</x:f>
        <x:v>Low</x:v>
      </x:c>
      <x:c r="AF1637" s="60" t="n">
        <x:v>33.874809</x:v>
      </x:c>
      <x:c r="AG1637" s="60" t="n">
        <x:v>-98.519386</x:v>
      </x:c>
      <x:c r="AH1637" s="44" t="str">
        <x:v>Undergraduate tuition-contribution proxy only; not an audited total institutional budget.</x:v>
      </x:c>
    </x:row>
    <x:row r="1638">
      <x:c r="A1638" s="16" t="n">
        <x:v>461795</x:v>
      </x:c>
      <x:c r="B1638" s="16" t="str">
        <x:v>North American University</x:v>
      </x:c>
      <x:c r="C1638" s="16" t="str">
        <x:v>TX</x:v>
      </x:c>
      <x:c r="D1638" s="16" t="str">
        <x:v>Private nonprofit</x:v>
      </x:c>
      <x:c r="E1638" s="34" t="n">
        <x:v>476</x:v>
      </x:c>
      <x:c r="F1638" s="21"/>
      <x:c r="G1638" s="16" t="str">
        <x:v>Regional</x:v>
      </x:c>
      <x:c r="H1638" s="36" t="n">
        <x:f>IF(G1638="National",Assumptions!$B$11,IF(G1638="Statewide",Assumptions!$B$12,Assumptions!$B$13))</x:f>
        <x:v>0.85</x:v>
      </x:c>
      <x:c r="I1638" s="21" t="n">
        <x:v>-0.027936917423154628</x:v>
      </x:c>
      <x:c r="J1638" s="21" t="n">
        <x:v>-0.0014699797999464526</x:v>
      </x:c>
      <x:c r="K1638" s="21" t="n">
        <x:v>0.009664387062230828</x:v>
      </x:c>
      <x:c r="L1638" s="36" t="n">
        <x:f>IF(Assumptions!$B$4=2030,I1638,IF(Assumptions!$B$4=2035,J1638,K1638))</x:f>
        <x:v>-0.0014699797999464526</x:v>
      </x:c>
      <x:c r="M1638" s="36" t="n">
        <x:f>Assumptions!$B$19</x:f>
        <x:v>-0.04739891965741583</x:v>
      </x:c>
      <x:c r="N1638" s="52" t="n">
        <x:f>H1638*L1638+(1-H1638)*M1638+O1638</x:f>
        <x:v>-0.00835932077856686</x:v>
      </x:c>
      <x:c r="O1638" s="36" t="n">
        <x:f>Assumptions!$B$10</x:f>
        <x:v>0</x:v>
      </x:c>
      <x:c r="P1638" s="54" t="n">
        <x:f>E1638*(1+N1638)</x:f>
        <x:v>472.0209633094022</x:v>
      </x:c>
      <x:c r="Q1638" s="54" t="n">
        <x:f>P1638-E1638</x:f>
        <x:v>-3.979036690597809</x:v>
      </x:c>
      <x:c r="R1638" s="16" t="str">
        <x:v>No</x:v>
      </x:c>
      <x:c r="S1638" s="56"/>
      <x:c r="T1638" s="56"/>
      <x:c r="U1638" s="40" t="n">
        <x:f>E1638*Assumptions!$B$8</x:f>
        <x:v>404.59999999999997</x:v>
      </x:c>
      <x:c r="V1638" s="40" t="n">
        <x:f>P1638*Assumptions!$B$8</x:f>
        <x:v>401.2178188129919</x:v>
      </x:c>
      <x:c r="W1638" s="54" t="n">
        <x:f>V1638-U1638</x:f>
        <x:v>-3.3821811870080865</x:v>
      </x:c>
      <x:c r="X1638" s="58" t="str">
        <x:f>IF(R1638="No","",W1638*S1638)</x:f>
      </x:c>
      <x:c r="Y1638" s="58" t="str">
        <x:f>IF(R1638="No","",W1638*T1638*Assumptions!$B$9)</x:f>
      </x:c>
      <x:c r="Z1638" s="58" t="str">
        <x:f>IF(R1638="No","",X1638-Y1638)</x:f>
      </x:c>
      <x:c r="AA1638" s="58" t="str">
        <x:f>IF(R1638="No","",MAX(0,-Z1638))</x:f>
      </x:c>
      <x:c r="AB1638" s="52" t="str">
        <x:f>IF(OR(R1638="No",U1638*S1638=0),"",AA1638/(U1638*S1638))</x:f>
      </x:c>
      <x:c r="AC1638" s="54" t="str">
        <x:f>IF(OR(R1638="No",S1638-T1638*Assumptions!$B$9&lt;=0),"",AA1638/(Assumptions!$B$8*(S1638-T1638*Assumptions!$B$9)))</x:f>
      </x:c>
      <x:c r="AD1638" s="52" t="str">
        <x:f>IF(OR(R1638="No",U1638*S1638=0),"",AA1638/(U1638*S1638))</x:f>
      </x:c>
      <x:c r="AE1638" s="50" t="str">
        <x:f>IF(R1638="No","No finance data",IF(AB1638&gt;=10%,"Severe",IF(AB1638&gt;=5%,"High",IF(AB1638&gt;=2%,"Moderate","Low"))))</x:f>
        <x:v>No finance data</x:v>
      </x:c>
      <x:c r="AF1638" s="60"/>
      <x:c r="AG1638" s="60"/>
      <x:c r="AH1638" s="44" t="str">
        <x:v>Undergraduate tuition-contribution proxy only; not an audited total institutional budget.</x:v>
      </x:c>
    </x:row>
    <x:row r="1639">
      <x:c r="A1639" s="16" t="n">
        <x:v>227243</x:v>
      </x:c>
      <x:c r="B1639" s="16" t="str">
        <x:v>Northwood University-Texas</x:v>
      </x:c>
      <x:c r="C1639" s="16" t="str">
        <x:v>TX</x:v>
      </x:c>
      <x:c r="D1639" s="16" t="str">
        <x:v>Private nonprofit</x:v>
      </x:c>
      <x:c r="E1639" s="34" t="n">
        <x:v>208</x:v>
      </x:c>
      <x:c r="F1639" s="21"/>
      <x:c r="G1639" s="16" t="str">
        <x:v>Regional</x:v>
      </x:c>
      <x:c r="H1639" s="36" t="n">
        <x:f>IF(G1639="National",Assumptions!$B$11,IF(G1639="Statewide",Assumptions!$B$12,Assumptions!$B$13))</x:f>
        <x:v>0.85</x:v>
      </x:c>
      <x:c r="I1639" s="21" t="n">
        <x:v>-0.027936917423154628</x:v>
      </x:c>
      <x:c r="J1639" s="21" t="n">
        <x:v>-0.0014699797999464526</x:v>
      </x:c>
      <x:c r="K1639" s="21" t="n">
        <x:v>0.009664387062230828</x:v>
      </x:c>
      <x:c r="L1639" s="36" t="n">
        <x:f>IF(Assumptions!$B$4=2030,I1639,IF(Assumptions!$B$4=2035,J1639,K1639))</x:f>
        <x:v>-0.0014699797999464526</x:v>
      </x:c>
      <x:c r="M1639" s="36" t="n">
        <x:f>Assumptions!$B$19</x:f>
        <x:v>-0.04739891965741583</x:v>
      </x:c>
      <x:c r="N1639" s="52" t="n">
        <x:f>H1639*L1639+(1-H1639)*M1639+O1639</x:f>
        <x:v>-0.00835932077856686</x:v>
      </x:c>
      <x:c r="O1639" s="36" t="n">
        <x:f>Assumptions!$B$10</x:f>
        <x:v>0</x:v>
      </x:c>
      <x:c r="P1639" s="54" t="n">
        <x:f>E1639*(1+N1639)</x:f>
        <x:v>206.2612612780581</x:v>
      </x:c>
      <x:c r="Q1639" s="54" t="n">
        <x:f>P1639-E1639</x:f>
        <x:v>-1.7387387219418997</x:v>
      </x:c>
      <x:c r="R1639" s="16" t="str">
        <x:v>No</x:v>
      </x:c>
      <x:c r="S1639" s="56"/>
      <x:c r="T1639" s="56"/>
      <x:c r="U1639" s="40" t="n">
        <x:f>E1639*Assumptions!$B$8</x:f>
        <x:v>176.79999999999998</x:v>
      </x:c>
      <x:c r="V1639" s="40" t="n">
        <x:f>P1639*Assumptions!$B$8</x:f>
        <x:v>175.32207208634938</x:v>
      </x:c>
      <x:c r="W1639" s="54" t="n">
        <x:f>V1639-U1639</x:f>
        <x:v>-1.4779279136506034</x:v>
      </x:c>
      <x:c r="X1639" s="58" t="str">
        <x:f>IF(R1639="No","",W1639*S1639)</x:f>
      </x:c>
      <x:c r="Y1639" s="58" t="str">
        <x:f>IF(R1639="No","",W1639*T1639*Assumptions!$B$9)</x:f>
      </x:c>
      <x:c r="Z1639" s="58" t="str">
        <x:f>IF(R1639="No","",X1639-Y1639)</x:f>
      </x:c>
      <x:c r="AA1639" s="58" t="str">
        <x:f>IF(R1639="No","",MAX(0,-Z1639))</x:f>
      </x:c>
      <x:c r="AB1639" s="52" t="str">
        <x:f>IF(OR(R1639="No",U1639*S1639=0),"",AA1639/(U1639*S1639))</x:f>
      </x:c>
      <x:c r="AC1639" s="54" t="str">
        <x:f>IF(OR(R1639="No",S1639-T1639*Assumptions!$B$9&lt;=0),"",AA1639/(Assumptions!$B$8*(S1639-T1639*Assumptions!$B$9)))</x:f>
      </x:c>
      <x:c r="AD1639" s="52" t="str">
        <x:f>IF(OR(R1639="No",U1639*S1639=0),"",AA1639/(U1639*S1639))</x:f>
      </x:c>
      <x:c r="AE1639" s="50" t="str">
        <x:f>IF(R1639="No","No finance data",IF(AB1639&gt;=10%,"Severe",IF(AB1639&gt;=5%,"High",IF(AB1639&gt;=2%,"Moderate","Low"))))</x:f>
        <x:v>No finance data</x:v>
      </x:c>
      <x:c r="AF1639" s="60"/>
      <x:c r="AG1639" s="60"/>
      <x:c r="AH1639" s="44" t="str">
        <x:v>Undergraduate tuition-contribution proxy only; not an audited total institutional budget.</x:v>
      </x:c>
    </x:row>
    <x:row r="1640">
      <x:c r="A1640" s="16" t="n">
        <x:v>227331</x:v>
      </x:c>
      <x:c r="B1640" s="16" t="str">
        <x:v>Our Lady of the Lake University</x:v>
      </x:c>
      <x:c r="C1640" s="16" t="str">
        <x:v>TX</x:v>
      </x:c>
      <x:c r="D1640" s="16" t="str">
        <x:v>Private nonprofit</x:v>
      </x:c>
      <x:c r="E1640" s="34" t="n">
        <x:v>1498</x:v>
      </x:c>
      <x:c r="F1640" s="21" t="n">
        <x:v>0.6578</x:v>
      </x:c>
      <x:c r="G1640" s="16" t="str">
        <x:v>Regional</x:v>
      </x:c>
      <x:c r="H1640" s="36" t="n">
        <x:f>IF(G1640="National",Assumptions!$B$11,IF(G1640="Statewide",Assumptions!$B$12,Assumptions!$B$13))</x:f>
        <x:v>0.85</x:v>
      </x:c>
      <x:c r="I1640" s="21" t="n">
        <x:v>-0.027936917423154628</x:v>
      </x:c>
      <x:c r="J1640" s="21" t="n">
        <x:v>-0.0014699797999464526</x:v>
      </x:c>
      <x:c r="K1640" s="21" t="n">
        <x:v>0.009664387062230828</x:v>
      </x:c>
      <x:c r="L1640" s="36" t="n">
        <x:f>IF(Assumptions!$B$4=2030,I1640,IF(Assumptions!$B$4=2035,J1640,K1640))</x:f>
        <x:v>-0.0014699797999464526</x:v>
      </x:c>
      <x:c r="M1640" s="36" t="n">
        <x:f>Assumptions!$B$19</x:f>
        <x:v>-0.04739891965741583</x:v>
      </x:c>
      <x:c r="N1640" s="52" t="n">
        <x:f>H1640*L1640+(1-H1640)*M1640+O1640</x:f>
        <x:v>-0.00835932077856686</x:v>
      </x:c>
      <x:c r="O1640" s="36" t="n">
        <x:f>Assumptions!$B$10</x:f>
        <x:v>0</x:v>
      </x:c>
      <x:c r="P1640" s="54" t="n">
        <x:f>E1640*(1+N1640)</x:f>
        <x:v>1485.4777374737068</x:v>
      </x:c>
      <x:c r="Q1640" s="54" t="n">
        <x:f>P1640-E1640</x:f>
        <x:v>-12.522262526293161</x:v>
      </x:c>
      <x:c r="R1640" s="16" t="str">
        <x:v>Yes</x:v>
      </x:c>
      <x:c r="S1640" s="56" t="n">
        <x:v>19457</x:v>
      </x:c>
      <x:c r="T1640" s="56" t="n">
        <x:v>12041</x:v>
      </x:c>
      <x:c r="U1640" s="40" t="n">
        <x:f>E1640*Assumptions!$B$8</x:f>
        <x:v>1273.3</x:v>
      </x:c>
      <x:c r="V1640" s="40" t="n">
        <x:f>P1640*Assumptions!$B$8</x:f>
        <x:v>1262.6560768526508</x:v>
      </x:c>
      <x:c r="W1640" s="54" t="n">
        <x:f>V1640-U1640</x:f>
        <x:v>-10.643923147349142</x:v>
      </x:c>
      <x:c r="X1640" s="58" t="n">
        <x:f>IF(R1640="No","",W1640*S1640)</x:f>
        <x:v>-207098.81267797225</x:v>
      </x:c>
      <x:c r="Y1640" s="58" t="n">
        <x:f>IF(R1640="No","",W1640*T1640*Assumptions!$B$9)</x:f>
        <x:v>-38449.043585169304</x:v>
      </x:c>
      <x:c r="Z1640" s="58" t="n">
        <x:f>IF(R1640="No","",X1640-Y1640)</x:f>
        <x:v>-168649.76909280295</x:v>
      </x:c>
      <x:c r="AA1640" s="58" t="n">
        <x:f>IF(R1640="No","",MAX(0,-Z1640))</x:f>
        <x:v>168649.76909280295</x:v>
      </x:c>
      <x:c r="AB1640" s="52" t="n">
        <x:f>IF(OR(R1640="No",U1640*S1640=0),"",AA1640/(U1640*S1640))</x:f>
        <x:v>0.0068073664974126445</x:v>
      </x:c>
      <x:c r="AC1640" s="54" t="n">
        <x:f>IF(OR(R1640="No",S1640-T1640*Assumptions!$B$9&lt;=0),"",AA1640/(Assumptions!$B$8*(S1640-T1640*Assumptions!$B$9)))</x:f>
        <x:v>12.522262526293106</x:v>
      </x:c>
      <x:c r="AD1640" s="52" t="n">
        <x:f>IF(OR(R1640="No",U1640*S1640=0),"",AA1640/(U1640*S1640))</x:f>
        <x:v>0.0068073664974126445</x:v>
      </x:c>
      <x:c r="AE1640" s="50" t="str">
        <x:f>IF(R1640="No","No finance data",IF(AB1640&gt;=10%,"Severe",IF(AB1640&gt;=5%,"High",IF(AB1640&gt;=2%,"Moderate","Low"))))</x:f>
        <x:v>Low</x:v>
      </x:c>
      <x:c r="AF1640" s="60" t="n">
        <x:v>29.426194</x:v>
      </x:c>
      <x:c r="AG1640" s="60" t="n">
        <x:v>-98.54365</x:v>
      </x:c>
      <x:c r="AH1640" s="44" t="str">
        <x:v>Undergraduate tuition-contribution proxy only; not an audited total institutional budget.</x:v>
      </x:c>
    </x:row>
    <x:row r="1641">
      <x:c r="A1641" s="16" t="n">
        <x:v>243823</x:v>
      </x:c>
      <x:c r="B1641" s="16" t="str">
        <x:v>Parker University</x:v>
      </x:c>
      <x:c r="C1641" s="16" t="str">
        <x:v>TX</x:v>
      </x:c>
      <x:c r="D1641" s="16" t="str">
        <x:v>Private nonprofit</x:v>
      </x:c>
      <x:c r="E1641" s="34" t="n">
        <x:v>143</x:v>
      </x:c>
      <x:c r="F1641" s="21"/>
      <x:c r="G1641" s="16" t="str">
        <x:v>Regional</x:v>
      </x:c>
      <x:c r="H1641" s="36" t="n">
        <x:f>IF(G1641="National",Assumptions!$B$11,IF(G1641="Statewide",Assumptions!$B$12,Assumptions!$B$13))</x:f>
        <x:v>0.85</x:v>
      </x:c>
      <x:c r="I1641" s="21" t="n">
        <x:v>-0.027936917423154628</x:v>
      </x:c>
      <x:c r="J1641" s="21" t="n">
        <x:v>-0.0014699797999464526</x:v>
      </x:c>
      <x:c r="K1641" s="21" t="n">
        <x:v>0.009664387062230828</x:v>
      </x:c>
      <x:c r="L1641" s="36" t="n">
        <x:f>IF(Assumptions!$B$4=2030,I1641,IF(Assumptions!$B$4=2035,J1641,K1641))</x:f>
        <x:v>-0.0014699797999464526</x:v>
      </x:c>
      <x:c r="M1641" s="36" t="n">
        <x:f>Assumptions!$B$19</x:f>
        <x:v>-0.04739891965741583</x:v>
      </x:c>
      <x:c r="N1641" s="52" t="n">
        <x:f>H1641*L1641+(1-H1641)*M1641+O1641</x:f>
        <x:v>-0.00835932077856686</x:v>
      </x:c>
      <x:c r="O1641" s="36" t="n">
        <x:f>Assumptions!$B$10</x:f>
        <x:v>0</x:v>
      </x:c>
      <x:c r="P1641" s="54" t="n">
        <x:f>E1641*(1+N1641)</x:f>
        <x:v>141.80461712866494</x:v>
      </x:c>
      <x:c r="Q1641" s="54" t="n">
        <x:f>P1641-E1641</x:f>
        <x:v>-1.195382871335056</x:v>
      </x:c>
      <x:c r="R1641" s="16" t="str">
        <x:v>No</x:v>
      </x:c>
      <x:c r="S1641" s="56"/>
      <x:c r="T1641" s="56"/>
      <x:c r="U1641" s="40" t="n">
        <x:f>E1641*Assumptions!$B$8</x:f>
        <x:v>121.55</x:v>
      </x:c>
      <x:c r="V1641" s="40" t="n">
        <x:f>P1641*Assumptions!$B$8</x:f>
        <x:v>120.5339245593652</x:v>
      </x:c>
      <x:c r="W1641" s="54" t="n">
        <x:f>V1641-U1641</x:f>
        <x:v>-1.0160754406347934</x:v>
      </x:c>
      <x:c r="X1641" s="58" t="str">
        <x:f>IF(R1641="No","",W1641*S1641)</x:f>
      </x:c>
      <x:c r="Y1641" s="58" t="str">
        <x:f>IF(R1641="No","",W1641*T1641*Assumptions!$B$9)</x:f>
      </x:c>
      <x:c r="Z1641" s="58" t="str">
        <x:f>IF(R1641="No","",X1641-Y1641)</x:f>
      </x:c>
      <x:c r="AA1641" s="58" t="str">
        <x:f>IF(R1641="No","",MAX(0,-Z1641))</x:f>
      </x:c>
      <x:c r="AB1641" s="52" t="str">
        <x:f>IF(OR(R1641="No",U1641*S1641=0),"",AA1641/(U1641*S1641))</x:f>
      </x:c>
      <x:c r="AC1641" s="54" t="str">
        <x:f>IF(OR(R1641="No",S1641-T1641*Assumptions!$B$9&lt;=0),"",AA1641/(Assumptions!$B$8*(S1641-T1641*Assumptions!$B$9)))</x:f>
      </x:c>
      <x:c r="AD1641" s="52" t="str">
        <x:f>IF(OR(R1641="No",U1641*S1641=0),"",AA1641/(U1641*S1641))</x:f>
      </x:c>
      <x:c r="AE1641" s="50" t="str">
        <x:f>IF(R1641="No","No finance data",IF(AB1641&gt;=10%,"Severe",IF(AB1641&gt;=5%,"High",IF(AB1641&gt;=2%,"Moderate","Low"))))</x:f>
        <x:v>No finance data</x:v>
      </x:c>
      <x:c r="AF1641" s="60"/>
      <x:c r="AG1641" s="60"/>
      <x:c r="AH1641" s="44" t="str">
        <x:v>Undergraduate tuition-contribution proxy only; not an audited total institutional budget.</x:v>
      </x:c>
    </x:row>
    <x:row r="1642">
      <x:c r="A1642" s="16" t="n">
        <x:v>227429</x:v>
      </x:c>
      <x:c r="B1642" s="16" t="str">
        <x:v>Paul Quinn College</x:v>
      </x:c>
      <x:c r="C1642" s="16" t="str">
        <x:v>TX</x:v>
      </x:c>
      <x:c r="D1642" s="16" t="str">
        <x:v>Private nonprofit</x:v>
      </x:c>
      <x:c r="E1642" s="34" t="n">
        <x:v>420</x:v>
      </x:c>
      <x:c r="F1642" s="21"/>
      <x:c r="G1642" s="16" t="str">
        <x:v>Regional</x:v>
      </x:c>
      <x:c r="H1642" s="36" t="n">
        <x:f>IF(G1642="National",Assumptions!$B$11,IF(G1642="Statewide",Assumptions!$B$12,Assumptions!$B$13))</x:f>
        <x:v>0.85</x:v>
      </x:c>
      <x:c r="I1642" s="21" t="n">
        <x:v>-0.027936917423154628</x:v>
      </x:c>
      <x:c r="J1642" s="21" t="n">
        <x:v>-0.0014699797999464526</x:v>
      </x:c>
      <x:c r="K1642" s="21" t="n">
        <x:v>0.009664387062230828</x:v>
      </x:c>
      <x:c r="L1642" s="36" t="n">
        <x:f>IF(Assumptions!$B$4=2030,I1642,IF(Assumptions!$B$4=2035,J1642,K1642))</x:f>
        <x:v>-0.0014699797999464526</x:v>
      </x:c>
      <x:c r="M1642" s="36" t="n">
        <x:f>Assumptions!$B$19</x:f>
        <x:v>-0.04739891965741583</x:v>
      </x:c>
      <x:c r="N1642" s="52" t="n">
        <x:f>H1642*L1642+(1-H1642)*M1642+O1642</x:f>
        <x:v>-0.00835932077856686</x:v>
      </x:c>
      <x:c r="O1642" s="36" t="n">
        <x:f>Assumptions!$B$10</x:f>
        <x:v>0</x:v>
      </x:c>
      <x:c r="P1642" s="54" t="n">
        <x:f>E1642*(1+N1642)</x:f>
        <x:v>416.48908527300193</x:v>
      </x:c>
      <x:c r="Q1642" s="54" t="n">
        <x:f>P1642-E1642</x:f>
        <x:v>-3.5109147269980667</x:v>
      </x:c>
      <x:c r="R1642" s="16" t="str">
        <x:v>No</x:v>
      </x:c>
      <x:c r="S1642" s="56"/>
      <x:c r="T1642" s="56"/>
      <x:c r="U1642" s="40" t="n">
        <x:f>E1642*Assumptions!$B$8</x:f>
        <x:v>357</x:v>
      </x:c>
      <x:c r="V1642" s="40" t="n">
        <x:f>P1642*Assumptions!$B$8</x:f>
        <x:v>354.0157224820516</x:v>
      </x:c>
      <x:c r="W1642" s="54" t="n">
        <x:f>V1642-U1642</x:f>
        <x:v>-2.984277517948385</x:v>
      </x:c>
      <x:c r="X1642" s="58" t="str">
        <x:f>IF(R1642="No","",W1642*S1642)</x:f>
      </x:c>
      <x:c r="Y1642" s="58" t="str">
        <x:f>IF(R1642="No","",W1642*T1642*Assumptions!$B$9)</x:f>
      </x:c>
      <x:c r="Z1642" s="58" t="str">
        <x:f>IF(R1642="No","",X1642-Y1642)</x:f>
      </x:c>
      <x:c r="AA1642" s="58" t="str">
        <x:f>IF(R1642="No","",MAX(0,-Z1642))</x:f>
      </x:c>
      <x:c r="AB1642" s="52" t="str">
        <x:f>IF(OR(R1642="No",U1642*S1642=0),"",AA1642/(U1642*S1642))</x:f>
      </x:c>
      <x:c r="AC1642" s="54" t="str">
        <x:f>IF(OR(R1642="No",S1642-T1642*Assumptions!$B$9&lt;=0),"",AA1642/(Assumptions!$B$8*(S1642-T1642*Assumptions!$B$9)))</x:f>
      </x:c>
      <x:c r="AD1642" s="52" t="str">
        <x:f>IF(OR(R1642="No",U1642*S1642=0),"",AA1642/(U1642*S1642))</x:f>
      </x:c>
      <x:c r="AE1642" s="50" t="str">
        <x:f>IF(R1642="No","No finance data",IF(AB1642&gt;=10%,"Severe",IF(AB1642&gt;=5%,"High",IF(AB1642&gt;=2%,"Moderate","Low"))))</x:f>
        <x:v>No finance data</x:v>
      </x:c>
      <x:c r="AF1642" s="60"/>
      <x:c r="AG1642" s="60"/>
      <x:c r="AH1642" s="44" t="str">
        <x:v>Undergraduate tuition-contribution proxy only; not an audited total institutional budget.</x:v>
      </x:c>
    </x:row>
    <x:row r="1643">
      <x:c r="A1643" s="16" t="n">
        <x:v>227526</x:v>
      </x:c>
      <x:c r="B1643" s="16" t="str">
        <x:v>Prairie View A &amp; M University</x:v>
      </x:c>
      <x:c r="C1643" s="16" t="str">
        <x:v>TX</x:v>
      </x:c>
      <x:c r="D1643" s="16" t="str">
        <x:v>Public</x:v>
      </x:c>
      <x:c r="E1643" s="34" t="n">
        <x:v>6925</x:v>
      </x:c>
      <x:c r="F1643" s="21" t="n">
        <x:v>0.77</x:v>
      </x:c>
      <x:c r="G1643" s="16" t="str">
        <x:v>Statewide</x:v>
      </x:c>
      <x:c r="H1643" s="36" t="n">
        <x:f>IF(G1643="National",Assumptions!$B$11,IF(G1643="Statewide",Assumptions!$B$12,Assumptions!$B$13))</x:f>
        <x:v>0.6</x:v>
      </x:c>
      <x:c r="I1643" s="21" t="n">
        <x:v>-0.027936917423154628</x:v>
      </x:c>
      <x:c r="J1643" s="21" t="n">
        <x:v>-0.0014699797999464526</x:v>
      </x:c>
      <x:c r="K1643" s="21" t="n">
        <x:v>0.009664387062230828</x:v>
      </x:c>
      <x:c r="L1643" s="36" t="n">
        <x:f>IF(Assumptions!$B$4=2030,I1643,IF(Assumptions!$B$4=2035,J1643,K1643))</x:f>
        <x:v>-0.0014699797999464526</x:v>
      </x:c>
      <x:c r="M1643" s="36" t="n">
        <x:f>Assumptions!$B$19</x:f>
        <x:v>-0.04739891965741583</x:v>
      </x:c>
      <x:c r="N1643" s="52" t="n">
        <x:f>H1643*L1643+(1-H1643)*M1643+O1643</x:f>
        <x:v>-0.019841555742934204</x:v>
      </x:c>
      <x:c r="O1643" s="36" t="n">
        <x:f>Assumptions!$B$10</x:f>
        <x:v>0</x:v>
      </x:c>
      <x:c r="P1643" s="54" t="n">
        <x:f>E1643*(1+N1643)</x:f>
        <x:v>6787.59722648018</x:v>
      </x:c>
      <x:c r="Q1643" s="54" t="n">
        <x:f>P1643-E1643</x:f>
        <x:v>-137.40277351981968</x:v>
      </x:c>
      <x:c r="R1643" s="16" t="str">
        <x:v>Yes</x:v>
      </x:c>
      <x:c r="S1643" s="56" t="n">
        <x:v>6615</x:v>
      </x:c>
      <x:c r="T1643" s="56" t="n">
        <x:v>8131</x:v>
      </x:c>
      <x:c r="U1643" s="40" t="n">
        <x:f>E1643*Assumptions!$B$8</x:f>
        <x:v>5886.25</x:v>
      </x:c>
      <x:c r="V1643" s="40" t="n">
        <x:f>P1643*Assumptions!$B$8</x:f>
        <x:v>5769.457642508153</x:v>
      </x:c>
      <x:c r="W1643" s="54" t="n">
        <x:f>V1643-U1643</x:f>
        <x:v>-116.79235749184681</x:v>
      </x:c>
      <x:c r="X1643" s="58" t="n">
        <x:f>IF(R1643="No","",W1643*S1643)</x:f>
        <x:v>-772581.4448085667</x:v>
      </x:c>
      <x:c r="Y1643" s="58" t="n">
        <x:f>IF(R1643="No","",W1643*T1643*Assumptions!$B$9)</x:f>
        <x:v>-284891.5976298619</x:v>
      </x:c>
      <x:c r="Z1643" s="58" t="n">
        <x:f>IF(R1643="No","",X1643-Y1643)</x:f>
        <x:v>-487689.8471787048</x:v>
      </x:c>
      <x:c r="AA1643" s="58" t="n">
        <x:f>IF(R1643="No","",MAX(0,-Z1643))</x:f>
        <x:v>487689.8471787048</x:v>
      </x:c>
      <x:c r="AB1643" s="52" t="n">
        <x:f>IF(OR(R1643="No",U1643*S1643=0),"",AA1643/(U1643*S1643))</x:f>
        <x:v>0.01252492582248989</x:v>
      </x:c>
      <x:c r="AC1643" s="54" t="n">
        <x:f>IF(OR(R1643="No",S1643-T1643*Assumptions!$B$9&lt;=0),"",AA1643/(Assumptions!$B$8*(S1643-T1643*Assumptions!$B$9)))</x:f>
        <x:v>137.40277351981976</x:v>
      </x:c>
      <x:c r="AD1643" s="52" t="n">
        <x:f>IF(OR(R1643="No",U1643*S1643=0),"",AA1643/(U1643*S1643))</x:f>
        <x:v>0.01252492582248989</x:v>
      </x:c>
      <x:c r="AE1643" s="50" t="str">
        <x:f>IF(R1643="No","No finance data",IF(AB1643&gt;=10%,"Severe",IF(AB1643&gt;=5%,"High",IF(AB1643&gt;=2%,"Moderate","Low"))))</x:f>
        <x:v>Low</x:v>
      </x:c>
      <x:c r="AF1643" s="60" t="n">
        <x:v>30.092425</x:v>
      </x:c>
      <x:c r="AG1643" s="60" t="n">
        <x:v>-95.989475</x:v>
      </x:c>
      <x:c r="AH1643" s="44" t="str">
        <x:v>Undergraduate tuition-contribution proxy only; not an audited total institutional budget.</x:v>
      </x:c>
    </x:row>
    <x:row r="1644">
      <x:c r="A1644" s="16" t="n">
        <x:v>227757</x:v>
      </x:c>
      <x:c r="B1644" s="16" t="str">
        <x:v>Rice University</x:v>
      </x:c>
      <x:c r="C1644" s="16" t="str">
        <x:v>TX</x:v>
      </x:c>
      <x:c r="D1644" s="16" t="str">
        <x:v>Private nonprofit</x:v>
      </x:c>
      <x:c r="E1644" s="34" t="n">
        <x:v>3879</x:v>
      </x:c>
      <x:c r="F1644" s="21" t="n">
        <x:v>0.0948</x:v>
      </x:c>
      <x:c r="G1644" s="16" t="str">
        <x:v>National</x:v>
      </x:c>
      <x:c r="H1644" s="36" t="n">
        <x:f>IF(G1644="National",Assumptions!$B$11,IF(G1644="Statewide",Assumptions!$B$12,Assumptions!$B$13))</x:f>
        <x:v>0.25</x:v>
      </x:c>
      <x:c r="I1644" s="21" t="n">
        <x:v>-0.027936917423154628</x:v>
      </x:c>
      <x:c r="J1644" s="21" t="n">
        <x:v>-0.0014699797999464526</x:v>
      </x:c>
      <x:c r="K1644" s="21" t="n">
        <x:v>0.009664387062230828</x:v>
      </x:c>
      <x:c r="L1644" s="36" t="n">
        <x:f>IF(Assumptions!$B$4=2030,I1644,IF(Assumptions!$B$4=2035,J1644,K1644))</x:f>
        <x:v>-0.0014699797999464526</x:v>
      </x:c>
      <x:c r="M1644" s="36" t="n">
        <x:f>Assumptions!$B$19</x:f>
        <x:v>-0.04739891965741583</x:v>
      </x:c>
      <x:c r="N1644" s="52" t="n">
        <x:f>H1644*L1644+(1-H1644)*M1644+O1644</x:f>
        <x:v>-0.035916684693048484</x:v>
      </x:c>
      <x:c r="O1644" s="36" t="n">
        <x:f>Assumptions!$B$10</x:f>
        <x:v>0</x:v>
      </x:c>
      <x:c r="P1644" s="54" t="n">
        <x:f>E1644*(1+N1644)</x:f>
        <x:v>3739.6791800756646</x:v>
      </x:c>
      <x:c r="Q1644" s="54" t="n">
        <x:f>P1644-E1644</x:f>
        <x:v>-139.3208199243354</x:v>
      </x:c>
      <x:c r="R1644" s="16" t="str">
        <x:v>Yes</x:v>
      </x:c>
      <x:c r="S1644" s="56" t="n">
        <x:v>26779</x:v>
      </x:c>
      <x:c r="T1644" s="56" t="n">
        <x:v>46286</x:v>
      </x:c>
      <x:c r="U1644" s="40" t="n">
        <x:f>E1644*Assumptions!$B$8</x:f>
        <x:v>3297.15</x:v>
      </x:c>
      <x:c r="V1644" s="40" t="n">
        <x:f>P1644*Assumptions!$B$8</x:f>
        <x:v>3178.727303064315</x:v>
      </x:c>
      <x:c r="W1644" s="54" t="n">
        <x:f>V1644-U1644</x:f>
        <x:v>-118.42269693568505</x:v>
      </x:c>
      <x:c r="X1644" s="58" t="n">
        <x:f>IF(R1644="No","",W1644*S1644)</x:f>
        <x:v>-3171241.40124071</x:v>
      </x:c>
      <x:c r="Y1644" s="58" t="n">
        <x:f>IF(R1644="No","",W1644*T1644*Assumptions!$B$9)</x:f>
        <x:v>-1644393.8851095357</x:v>
      </x:c>
      <x:c r="Z1644" s="58" t="n">
        <x:f>IF(R1644="No","",X1644-Y1644)</x:f>
        <x:v>-1526847.5161311745</x:v>
      </x:c>
      <x:c r="AA1644" s="58" t="n">
        <x:f>IF(R1644="No","",MAX(0,-Z1644))</x:f>
        <x:v>1526847.5161311745</x:v>
      </x:c>
      <x:c r="AB1644" s="52" t="n">
        <x:f>IF(OR(R1644="No",U1644*S1644=0),"",AA1644/(U1644*S1644))</x:f>
        <x:v>0.017292692000612928</x:v>
      </x:c>
      <x:c r="AC1644" s="54" t="n">
        <x:f>IF(OR(R1644="No",S1644-T1644*Assumptions!$B$9&lt;=0),"",AA1644/(Assumptions!$B$8*(S1644-T1644*Assumptions!$B$9)))</x:f>
        <x:v>139.32081992433535</x:v>
      </x:c>
      <x:c r="AD1644" s="52" t="n">
        <x:f>IF(OR(R1644="No",U1644*S1644=0),"",AA1644/(U1644*S1644))</x:f>
        <x:v>0.017292692000612928</x:v>
      </x:c>
      <x:c r="AE1644" s="50" t="str">
        <x:f>IF(R1644="No","No finance data",IF(AB1644&gt;=10%,"Severe",IF(AB1644&gt;=5%,"High",IF(AB1644&gt;=2%,"Moderate","Low"))))</x:f>
        <x:v>Low</x:v>
      </x:c>
      <x:c r="AF1644" s="60" t="n">
        <x:v>29.717897</x:v>
      </x:c>
      <x:c r="AG1644" s="60" t="n">
        <x:v>-95.402035</x:v>
      </x:c>
      <x:c r="AH1644" s="44" t="str">
        <x:v>Undergraduate tuition-contribution proxy only; not an audited total institutional budget.</x:v>
      </x:c>
    </x:row>
    <x:row r="1645">
      <x:c r="A1645" s="16" t="n">
        <x:v>227845</x:v>
      </x:c>
      <x:c r="B1645" s="16" t="str">
        <x:v>Saint Edward's University</x:v>
      </x:c>
      <x:c r="C1645" s="16" t="str">
        <x:v>TX</x:v>
      </x:c>
      <x:c r="D1645" s="16" t="str">
        <x:v>Private nonprofit</x:v>
      </x:c>
      <x:c r="E1645" s="34" t="n">
        <x:v>4018</x:v>
      </x:c>
      <x:c r="F1645" s="21" t="n">
        <x:v>0.9217</x:v>
      </x:c>
      <x:c r="G1645" s="16" t="str">
        <x:v>Regional</x:v>
      </x:c>
      <x:c r="H1645" s="36" t="n">
        <x:f>IF(G1645="National",Assumptions!$B$11,IF(G1645="Statewide",Assumptions!$B$12,Assumptions!$B$13))</x:f>
        <x:v>0.85</x:v>
      </x:c>
      <x:c r="I1645" s="21" t="n">
        <x:v>-0.027936917423154628</x:v>
      </x:c>
      <x:c r="J1645" s="21" t="n">
        <x:v>-0.0014699797999464526</x:v>
      </x:c>
      <x:c r="K1645" s="21" t="n">
        <x:v>0.009664387062230828</x:v>
      </x:c>
      <x:c r="L1645" s="36" t="n">
        <x:f>IF(Assumptions!$B$4=2030,I1645,IF(Assumptions!$B$4=2035,J1645,K1645))</x:f>
        <x:v>-0.0014699797999464526</x:v>
      </x:c>
      <x:c r="M1645" s="36" t="n">
        <x:f>Assumptions!$B$19</x:f>
        <x:v>-0.04739891965741583</x:v>
      </x:c>
      <x:c r="N1645" s="52" t="n">
        <x:f>H1645*L1645+(1-H1645)*M1645+O1645</x:f>
        <x:v>-0.00835932077856686</x:v>
      </x:c>
      <x:c r="O1645" s="36" t="n">
        <x:f>Assumptions!$B$10</x:f>
        <x:v>0</x:v>
      </x:c>
      <x:c r="P1645" s="54" t="n">
        <x:f>E1645*(1+N1645)</x:f>
        <x:v>3984.4122491117187</x:v>
      </x:c>
      <x:c r="Q1645" s="54" t="n">
        <x:f>P1645-E1645</x:f>
        <x:v>-33.587750888281334</x:v>
      </x:c>
      <x:c r="R1645" s="16" t="str">
        <x:v>Yes</x:v>
      </x:c>
      <x:c r="S1645" s="56" t="n">
        <x:v>24455</x:v>
      </x:c>
      <x:c r="T1645" s="56" t="n">
        <x:v>10304</x:v>
      </x:c>
      <x:c r="U1645" s="40" t="n">
        <x:f>E1645*Assumptions!$B$8</x:f>
        <x:v>3415.2999999999997</x:v>
      </x:c>
      <x:c r="V1645" s="40" t="n">
        <x:f>P1645*Assumptions!$B$8</x:f>
        <x:v>3386.7504117449607</x:v>
      </x:c>
      <x:c r="W1645" s="54" t="n">
        <x:f>V1645-U1645</x:f>
        <x:v>-28.549588255038998</x:v>
      </x:c>
      <x:c r="X1645" s="58" t="n">
        <x:f>IF(R1645="No","",W1645*S1645)</x:f>
        <x:v>-698180.1807769787</x:v>
      </x:c>
      <x:c r="Y1645" s="58" t="n">
        <x:f>IF(R1645="No","",W1645*T1645*Assumptions!$B$9)</x:f>
        <x:v>-88252.48721397654</x:v>
      </x:c>
      <x:c r="Z1645" s="58" t="n">
        <x:f>IF(R1645="No","",X1645-Y1645)</x:f>
        <x:v>-609927.6935630022</x:v>
      </x:c>
      <x:c r="AA1645" s="58" t="n">
        <x:f>IF(R1645="No","",MAX(0,-Z1645))</x:f>
        <x:v>609927.6935630022</x:v>
      </x:c>
      <x:c r="AB1645" s="52" t="n">
        <x:f>IF(OR(R1645="No",U1645*S1645=0),"",AA1645/(U1645*S1645))</x:f>
        <x:v>0.00730267255159044</x:v>
      </x:c>
      <x:c r="AC1645" s="54" t="n">
        <x:f>IF(OR(R1645="No",S1645-T1645*Assumptions!$B$9&lt;=0),"",AA1645/(Assumptions!$B$8*(S1645-T1645*Assumptions!$B$9)))</x:f>
        <x:v>33.58775088828118</x:v>
      </x:c>
      <x:c r="AD1645" s="52" t="n">
        <x:f>IF(OR(R1645="No",U1645*S1645=0),"",AA1645/(U1645*S1645))</x:f>
        <x:v>0.00730267255159044</x:v>
      </x:c>
      <x:c r="AE1645" s="50" t="str">
        <x:f>IF(R1645="No","No finance data",IF(AB1645&gt;=10%,"Severe",IF(AB1645&gt;=5%,"High",IF(AB1645&gt;=2%,"Moderate","Low"))))</x:f>
        <x:v>Low</x:v>
      </x:c>
      <x:c r="AF1645" s="60" t="n">
        <x:v>30.229618</x:v>
      </x:c>
      <x:c r="AG1645" s="60" t="n">
        <x:v>-97.754998</x:v>
      </x:c>
      <x:c r="AH1645" s="44" t="str">
        <x:v>Undergraduate tuition-contribution proxy only; not an audited total institutional budget.</x:v>
      </x:c>
    </x:row>
    <x:row r="1646">
      <x:c r="A1646" s="16" t="n">
        <x:v>227881</x:v>
      </x:c>
      <x:c r="B1646" s="16" t="str">
        <x:v>Sam Houston State University</x:v>
      </x:c>
      <x:c r="C1646" s="16" t="str">
        <x:v>TX</x:v>
      </x:c>
      <x:c r="D1646" s="16" t="str">
        <x:v>Public</x:v>
      </x:c>
      <x:c r="E1646" s="34" t="n">
        <x:v>17401</x:v>
      </x:c>
      <x:c r="F1646" s="21" t="n">
        <x:v>0.9658</x:v>
      </x:c>
      <x:c r="G1646" s="16" t="str">
        <x:v>Statewide</x:v>
      </x:c>
      <x:c r="H1646" s="36" t="n">
        <x:f>IF(G1646="National",Assumptions!$B$11,IF(G1646="Statewide",Assumptions!$B$12,Assumptions!$B$13))</x:f>
        <x:v>0.6</x:v>
      </x:c>
      <x:c r="I1646" s="21" t="n">
        <x:v>-0.027936917423154628</x:v>
      </x:c>
      <x:c r="J1646" s="21" t="n">
        <x:v>-0.0014699797999464526</x:v>
      </x:c>
      <x:c r="K1646" s="21" t="n">
        <x:v>0.009664387062230828</x:v>
      </x:c>
      <x:c r="L1646" s="36" t="n">
        <x:f>IF(Assumptions!$B$4=2030,I1646,IF(Assumptions!$B$4=2035,J1646,K1646))</x:f>
        <x:v>-0.0014699797999464526</x:v>
      </x:c>
      <x:c r="M1646" s="36" t="n">
        <x:f>Assumptions!$B$19</x:f>
        <x:v>-0.04739891965741583</x:v>
      </x:c>
      <x:c r="N1646" s="52" t="n">
        <x:f>H1646*L1646+(1-H1646)*M1646+O1646</x:f>
        <x:v>-0.019841555742934204</x:v>
      </x:c>
      <x:c r="O1646" s="36" t="n">
        <x:f>Assumptions!$B$10</x:f>
        <x:v>0</x:v>
      </x:c>
      <x:c r="P1646" s="54" t="n">
        <x:f>E1646*(1+N1646)</x:f>
        <x:v>17055.737088517202</x:v>
      </x:c>
      <x:c r="Q1646" s="54" t="n">
        <x:f>P1646-E1646</x:f>
        <x:v>-345.2629114827978</x:v>
      </x:c>
      <x:c r="R1646" s="16" t="str">
        <x:v>Yes</x:v>
      </x:c>
      <x:c r="S1646" s="56" t="n">
        <x:v>9555</x:v>
      </x:c>
      <x:c r="T1646" s="56" t="n">
        <x:v>7145</x:v>
      </x:c>
      <x:c r="U1646" s="40" t="n">
        <x:f>E1646*Assumptions!$B$8</x:f>
        <x:v>14790.85</x:v>
      </x:c>
      <x:c r="V1646" s="40" t="n">
        <x:f>P1646*Assumptions!$B$8</x:f>
        <x:v>14497.37652523962</x:v>
      </x:c>
      <x:c r="W1646" s="54" t="n">
        <x:f>V1646-U1646</x:f>
        <x:v>-293.47347476037976</x:v>
      </x:c>
      <x:c r="X1646" s="58" t="n">
        <x:f>IF(R1646="No","",W1646*S1646)</x:f>
        <x:v>-2804139.0513354284</x:v>
      </x:c>
      <x:c r="Y1646" s="58" t="n">
        <x:f>IF(R1646="No","",W1646*T1646*Assumptions!$B$9)</x:f>
        <x:v>-629060.393148874</x:v>
      </x:c>
      <x:c r="Z1646" s="58" t="n">
        <x:f>IF(R1646="No","",X1646-Y1646)</x:f>
        <x:v>-2175078.6581865544</x:v>
      </x:c>
      <x:c r="AA1646" s="58" t="n">
        <x:f>IF(R1646="No","",MAX(0,-Z1646))</x:f>
        <x:v>2175078.6581865544</x:v>
      </x:c>
      <x:c r="AB1646" s="52" t="n">
        <x:f>IF(OR(R1646="No",U1646*S1646=0),"",AA1646/(U1646*S1646))</x:f>
        <x:v>0.015390443787415754</x:v>
      </x:c>
      <x:c r="AC1646" s="54" t="n">
        <x:f>IF(OR(R1646="No",S1646-T1646*Assumptions!$B$9&lt;=0),"",AA1646/(Assumptions!$B$8*(S1646-T1646*Assumptions!$B$9)))</x:f>
        <x:v>345.2629114827997</x:v>
      </x:c>
      <x:c r="AD1646" s="52" t="n">
        <x:f>IF(OR(R1646="No",U1646*S1646=0),"",AA1646/(U1646*S1646))</x:f>
        <x:v>0.015390443787415754</x:v>
      </x:c>
      <x:c r="AE1646" s="50" t="str">
        <x:f>IF(R1646="No","No finance data",IF(AB1646&gt;=10%,"Severe",IF(AB1646&gt;=5%,"High",IF(AB1646&gt;=2%,"Moderate","Low"))))</x:f>
        <x:v>Low</x:v>
      </x:c>
      <x:c r="AF1646" s="60" t="n">
        <x:v>30.714738</x:v>
      </x:c>
      <x:c r="AG1646" s="60" t="n">
        <x:v>-95.546205</x:v>
      </x:c>
      <x:c r="AH1646" s="44" t="str">
        <x:v>Undergraduate tuition-contribution proxy only; not an audited total institutional budget.</x:v>
      </x:c>
    </x:row>
    <x:row r="1647">
      <x:c r="A1647" s="16" t="n">
        <x:v>228042</x:v>
      </x:c>
      <x:c r="B1647" s="16" t="str">
        <x:v>Schreiner University</x:v>
      </x:c>
      <x:c r="C1647" s="16" t="str">
        <x:v>TX</x:v>
      </x:c>
      <x:c r="D1647" s="16" t="str">
        <x:v>Private nonprofit</x:v>
      </x:c>
      <x:c r="E1647" s="34" t="n">
        <x:v>1124</x:v>
      </x:c>
      <x:c r="F1647" s="21" t="n">
        <x:v>0.8378</x:v>
      </x:c>
      <x:c r="G1647" s="16" t="str">
        <x:v>Regional</x:v>
      </x:c>
      <x:c r="H1647" s="36" t="n">
        <x:f>IF(G1647="National",Assumptions!$B$11,IF(G1647="Statewide",Assumptions!$B$12,Assumptions!$B$13))</x:f>
        <x:v>0.85</x:v>
      </x:c>
      <x:c r="I1647" s="21" t="n">
        <x:v>-0.027936917423154628</x:v>
      </x:c>
      <x:c r="J1647" s="21" t="n">
        <x:v>-0.0014699797999464526</x:v>
      </x:c>
      <x:c r="K1647" s="21" t="n">
        <x:v>0.009664387062230828</x:v>
      </x:c>
      <x:c r="L1647" s="36" t="n">
        <x:f>IF(Assumptions!$B$4=2030,I1647,IF(Assumptions!$B$4=2035,J1647,K1647))</x:f>
        <x:v>-0.0014699797999464526</x:v>
      </x:c>
      <x:c r="M1647" s="36" t="n">
        <x:f>Assumptions!$B$19</x:f>
        <x:v>-0.04739891965741583</x:v>
      </x:c>
      <x:c r="N1647" s="52" t="n">
        <x:f>H1647*L1647+(1-H1647)*M1647+O1647</x:f>
        <x:v>-0.00835932077856686</x:v>
      </x:c>
      <x:c r="O1647" s="36" t="n">
        <x:f>Assumptions!$B$10</x:f>
        <x:v>0</x:v>
      </x:c>
      <x:c r="P1647" s="54" t="n">
        <x:f>E1647*(1+N1647)</x:f>
        <x:v>1114.6041234448908</x:v>
      </x:c>
      <x:c r="Q1647" s="54" t="n">
        <x:f>P1647-E1647</x:f>
        <x:v>-9.395876555109226</x:v>
      </x:c>
      <x:c r="R1647" s="16" t="str">
        <x:v>Yes</x:v>
      </x:c>
      <x:c r="S1647" s="56" t="n">
        <x:v>14045</x:v>
      </x:c>
      <x:c r="T1647" s="56" t="n">
        <x:v>8468</x:v>
      </x:c>
      <x:c r="U1647" s="40" t="n">
        <x:f>E1647*Assumptions!$B$8</x:f>
        <x:v>955.4</x:v>
      </x:c>
      <x:c r="V1647" s="40" t="n">
        <x:f>P1647*Assumptions!$B$8</x:f>
        <x:v>947.4135049281572</x:v>
      </x:c>
      <x:c r="W1647" s="54" t="n">
        <x:f>V1647-U1647</x:f>
        <x:v>-7.986495071842796</x:v>
      </x:c>
      <x:c r="X1647" s="58" t="n">
        <x:f>IF(R1647="No","",W1647*S1647)</x:f>
        <x:v>-112170.32328403207</x:v>
      </x:c>
      <x:c r="Y1647" s="58" t="n">
        <x:f>IF(R1647="No","",W1647*T1647*Assumptions!$B$9)</x:f>
        <x:v>-20288.892080509442</x:v>
      </x:c>
      <x:c r="Z1647" s="58" t="n">
        <x:f>IF(R1647="No","",X1647-Y1647)</x:f>
        <x:v>-91881.43120352263</x:v>
      </x:c>
      <x:c r="AA1647" s="58" t="n">
        <x:f>IF(R1647="No","",MAX(0,-Z1647))</x:f>
        <x:v>91881.43120352263</x:v>
      </x:c>
      <x:c r="AB1647" s="52" t="n">
        <x:f>IF(OR(R1647="No",U1647*S1647=0),"",AA1647/(U1647*S1647))</x:f>
        <x:v>0.006847322308942721</x:v>
      </x:c>
      <x:c r="AC1647" s="54" t="n">
        <x:f>IF(OR(R1647="No",S1647-T1647*Assumptions!$B$9&lt;=0),"",AA1647/(Assumptions!$B$8*(S1647-T1647*Assumptions!$B$9)))</x:f>
        <x:v>9.395876555109172</x:v>
      </x:c>
      <x:c r="AD1647" s="52" t="n">
        <x:f>IF(OR(R1647="No",U1647*S1647=0),"",AA1647/(U1647*S1647))</x:f>
        <x:v>0.006847322308942721</x:v>
      </x:c>
      <x:c r="AE1647" s="50" t="str">
        <x:f>IF(R1647="No","No finance data",IF(AB1647&gt;=10%,"Severe",IF(AB1647&gt;=5%,"High",IF(AB1647&gt;=2%,"Moderate","Low"))))</x:f>
        <x:v>Low</x:v>
      </x:c>
      <x:c r="AF1647" s="60" t="n">
        <x:v>30.031458</x:v>
      </x:c>
      <x:c r="AG1647" s="60" t="n">
        <x:v>-99.130586</x:v>
      </x:c>
      <x:c r="AH1647" s="44" t="str">
        <x:v>Undergraduate tuition-contribution proxy only; not an audited total institutional budget.</x:v>
      </x:c>
    </x:row>
    <x:row r="1648">
      <x:c r="A1648" s="16" t="n">
        <x:v>228246</x:v>
      </x:c>
      <x:c r="B1648" s="16" t="str">
        <x:v>Southern Methodist University</x:v>
      </x:c>
      <x:c r="C1648" s="16" t="str">
        <x:v>TX</x:v>
      </x:c>
      <x:c r="D1648" s="16" t="str">
        <x:v>Private nonprofit</x:v>
      </x:c>
      <x:c r="E1648" s="34" t="n">
        <x:v>6348</x:v>
      </x:c>
      <x:c r="F1648" s="21" t="n">
        <x:v>0.5313</x:v>
      </x:c>
      <x:c r="G1648" s="16" t="str">
        <x:v>Regional</x:v>
      </x:c>
      <x:c r="H1648" s="36" t="n">
        <x:f>IF(G1648="National",Assumptions!$B$11,IF(G1648="Statewide",Assumptions!$B$12,Assumptions!$B$13))</x:f>
        <x:v>0.85</x:v>
      </x:c>
      <x:c r="I1648" s="21" t="n">
        <x:v>-0.027936917423154628</x:v>
      </x:c>
      <x:c r="J1648" s="21" t="n">
        <x:v>-0.0014699797999464526</x:v>
      </x:c>
      <x:c r="K1648" s="21" t="n">
        <x:v>0.009664387062230828</x:v>
      </x:c>
      <x:c r="L1648" s="36" t="n">
        <x:f>IF(Assumptions!$B$4=2030,I1648,IF(Assumptions!$B$4=2035,J1648,K1648))</x:f>
        <x:v>-0.0014699797999464526</x:v>
      </x:c>
      <x:c r="M1648" s="36" t="n">
        <x:f>Assumptions!$B$19</x:f>
        <x:v>-0.04739891965741583</x:v>
      </x:c>
      <x:c r="N1648" s="52" t="n">
        <x:f>H1648*L1648+(1-H1648)*M1648+O1648</x:f>
        <x:v>-0.00835932077856686</x:v>
      </x:c>
      <x:c r="O1648" s="36" t="n">
        <x:f>Assumptions!$B$10</x:f>
        <x:v>0</x:v>
      </x:c>
      <x:c r="P1648" s="54" t="n">
        <x:f>E1648*(1+N1648)</x:f>
        <x:v>6294.935031697658</x:v>
      </x:c>
      <x:c r="Q1648" s="54" t="n">
        <x:f>P1648-E1648</x:f>
        <x:v>-53.064968302342095</x:v>
      </x:c>
      <x:c r="R1648" s="16" t="str">
        <x:v>Yes</x:v>
      </x:c>
      <x:c r="S1648" s="56" t="n">
        <x:v>30453</x:v>
      </x:c>
      <x:c r="T1648" s="56" t="n">
        <x:v>17063</x:v>
      </x:c>
      <x:c r="U1648" s="40" t="n">
        <x:f>E1648*Assumptions!$B$8</x:f>
        <x:v>5395.8</x:v>
      </x:c>
      <x:c r="V1648" s="40" t="n">
        <x:f>P1648*Assumptions!$B$8</x:f>
        <x:v>5350.694776943009</x:v>
      </x:c>
      <x:c r="W1648" s="54" t="n">
        <x:f>V1648-U1648</x:f>
        <x:v>-45.105223056991235</x:v>
      </x:c>
      <x:c r="X1648" s="58" t="n">
        <x:f>IF(R1648="No","",W1648*S1648)</x:f>
        <x:v>-1373589.3577545541</x:v>
      </x:c>
      <x:c r="Y1648" s="58" t="n">
        <x:f>IF(R1648="No","",W1648*T1648*Assumptions!$B$9)</x:f>
        <x:v>-230889.12630643244</x:v>
      </x:c>
      <x:c r="Z1648" s="58" t="n">
        <x:f>IF(R1648="No","",X1648-Y1648)</x:f>
        <x:v>-1142700.2314481216</x:v>
      </x:c>
      <x:c r="AA1648" s="58" t="n">
        <x:f>IF(R1648="No","",MAX(0,-Z1648))</x:f>
        <x:v>1142700.2314481216</x:v>
      </x:c>
      <x:c r="AB1648" s="52" t="n">
        <x:f>IF(OR(R1648="No",U1648*S1648=0),"",AA1648/(U1648*S1648))</x:f>
        <x:v>0.006954187388312858</x:v>
      </x:c>
      <x:c r="AC1648" s="54" t="n">
        <x:f>IF(OR(R1648="No",S1648-T1648*Assumptions!$B$9&lt;=0),"",AA1648/(Assumptions!$B$8*(S1648-T1648*Assumptions!$B$9)))</x:f>
        <x:v>53.064968302342635</x:v>
      </x:c>
      <x:c r="AD1648" s="52" t="n">
        <x:f>IF(OR(R1648="No",U1648*S1648=0),"",AA1648/(U1648*S1648))</x:f>
        <x:v>0.006954187388312858</x:v>
      </x:c>
      <x:c r="AE1648" s="50" t="str">
        <x:f>IF(R1648="No","No finance data",IF(AB1648&gt;=10%,"Severe",IF(AB1648&gt;=5%,"High",IF(AB1648&gt;=2%,"Moderate","Low"))))</x:f>
        <x:v>Low</x:v>
      </x:c>
      <x:c r="AF1648" s="60" t="n">
        <x:v>32.843612</x:v>
      </x:c>
      <x:c r="AG1648" s="60" t="n">
        <x:v>-96.783365</x:v>
      </x:c>
      <x:c r="AH1648" s="44" t="str">
        <x:v>Undergraduate tuition-contribution proxy only; not an audited total institutional budget.</x:v>
      </x:c>
    </x:row>
    <x:row r="1649">
      <x:c r="A1649" s="16" t="n">
        <x:v>228468</x:v>
      </x:c>
      <x:c r="B1649" s="16" t="str">
        <x:v>Southwestern Adventist University</x:v>
      </x:c>
      <x:c r="C1649" s="16" t="str">
        <x:v>TX</x:v>
      </x:c>
      <x:c r="D1649" s="16" t="str">
        <x:v>Private nonprofit</x:v>
      </x:c>
      <x:c r="E1649" s="34" t="n">
        <x:v>724</x:v>
      </x:c>
      <x:c r="F1649" s="21" t="n">
        <x:v>0.5751</x:v>
      </x:c>
      <x:c r="G1649" s="16" t="str">
        <x:v>Regional</x:v>
      </x:c>
      <x:c r="H1649" s="36" t="n">
        <x:f>IF(G1649="National",Assumptions!$B$11,IF(G1649="Statewide",Assumptions!$B$12,Assumptions!$B$13))</x:f>
        <x:v>0.85</x:v>
      </x:c>
      <x:c r="I1649" s="21" t="n">
        <x:v>-0.027936917423154628</x:v>
      </x:c>
      <x:c r="J1649" s="21" t="n">
        <x:v>-0.0014699797999464526</x:v>
      </x:c>
      <x:c r="K1649" s="21" t="n">
        <x:v>0.009664387062230828</x:v>
      </x:c>
      <x:c r="L1649" s="36" t="n">
        <x:f>IF(Assumptions!$B$4=2030,I1649,IF(Assumptions!$B$4=2035,J1649,K1649))</x:f>
        <x:v>-0.0014699797999464526</x:v>
      </x:c>
      <x:c r="M1649" s="36" t="n">
        <x:f>Assumptions!$B$19</x:f>
        <x:v>-0.04739891965741583</x:v>
      </x:c>
      <x:c r="N1649" s="52" t="n">
        <x:f>H1649*L1649+(1-H1649)*M1649+O1649</x:f>
        <x:v>-0.00835932077856686</x:v>
      </x:c>
      <x:c r="O1649" s="36" t="n">
        <x:f>Assumptions!$B$10</x:f>
        <x:v>0</x:v>
      </x:c>
      <x:c r="P1649" s="54" t="n">
        <x:f>E1649*(1+N1649)</x:f>
        <x:v>717.9478517563176</x:v>
      </x:c>
      <x:c r="Q1649" s="54" t="n">
        <x:f>P1649-E1649</x:f>
        <x:v>-6.052148243682382</x:v>
      </x:c>
      <x:c r="R1649" s="16" t="str">
        <x:v>Yes</x:v>
      </x:c>
      <x:c r="S1649" s="56" t="n">
        <x:v>13928</x:v>
      </x:c>
      <x:c r="T1649" s="56" t="n">
        <x:v>8676</x:v>
      </x:c>
      <x:c r="U1649" s="40" t="n">
        <x:f>E1649*Assumptions!$B$8</x:f>
        <x:v>615.4</x:v>
      </x:c>
      <x:c r="V1649" s="40" t="n">
        <x:f>P1649*Assumptions!$B$8</x:f>
        <x:v>610.25567399287</x:v>
      </x:c>
      <x:c r="W1649" s="54" t="n">
        <x:f>V1649-U1649</x:f>
        <x:v>-5.144326007129962</x:v>
      </x:c>
      <x:c r="X1649" s="58" t="n">
        <x:f>IF(R1649="No","",W1649*S1649)</x:f>
        <x:v>-71650.1726273061</x:v>
      </x:c>
      <x:c r="Y1649" s="58" t="n">
        <x:f>IF(R1649="No","",W1649*T1649*Assumptions!$B$9)</x:f>
        <x:v>-13389.651731357864</x:v>
      </x:c>
      <x:c r="Z1649" s="58" t="n">
        <x:f>IF(R1649="No","",X1649-Y1649)</x:f>
        <x:v>-58260.52089594824</x:v>
      </x:c>
      <x:c r="AA1649" s="58" t="n">
        <x:f>IF(R1649="No","",MAX(0,-Z1649))</x:f>
        <x:v>58260.52089594824</x:v>
      </x:c>
      <x:c r="AB1649" s="52" t="n">
        <x:f>IF(OR(R1649="No",U1649*S1649=0),"",AA1649/(U1649*S1649))</x:f>
        <x:v>0.006797169707167135</x:v>
      </x:c>
      <x:c r="AC1649" s="54" t="n">
        <x:f>IF(OR(R1649="No",S1649-T1649*Assumptions!$B$9&lt;=0),"",AA1649/(Assumptions!$B$8*(S1649-T1649*Assumptions!$B$9)))</x:f>
        <x:v>6.052148243682308</x:v>
      </x:c>
      <x:c r="AD1649" s="52" t="n">
        <x:f>IF(OR(R1649="No",U1649*S1649=0),"",AA1649/(U1649*S1649))</x:f>
        <x:v>0.006797169707167135</x:v>
      </x:c>
      <x:c r="AE1649" s="50" t="str">
        <x:f>IF(R1649="No","No finance data",IF(AB1649&gt;=10%,"Severe",IF(AB1649&gt;=5%,"High",IF(AB1649&gt;=2%,"Moderate","Low"))))</x:f>
        <x:v>Low</x:v>
      </x:c>
      <x:c r="AF1649" s="60" t="n">
        <x:v>32.397617</x:v>
      </x:c>
      <x:c r="AG1649" s="60" t="n">
        <x:v>-97.32702</x:v>
      </x:c>
      <x:c r="AH1649" s="44" t="str">
        <x:v>Undergraduate tuition-contribution proxy only; not an audited total institutional budget.</x:v>
      </x:c>
    </x:row>
    <x:row r="1650">
      <x:c r="A1650" s="16" t="n">
        <x:v>228325</x:v>
      </x:c>
      <x:c r="B1650" s="16" t="str">
        <x:v>Southwestern Assemblies of God University</x:v>
      </x:c>
      <x:c r="C1650" s="16" t="str">
        <x:v>TX</x:v>
      </x:c>
      <x:c r="D1650" s="16" t="str">
        <x:v>Private nonprofit</x:v>
      </x:c>
      <x:c r="E1650" s="34" t="n">
        <x:v>1639</x:v>
      </x:c>
      <x:c r="F1650" s="21" t="n">
        <x:v>0.8541</x:v>
      </x:c>
      <x:c r="G1650" s="16" t="str">
        <x:v>Regional</x:v>
      </x:c>
      <x:c r="H1650" s="36" t="n">
        <x:f>IF(G1650="National",Assumptions!$B$11,IF(G1650="Statewide",Assumptions!$B$12,Assumptions!$B$13))</x:f>
        <x:v>0.85</x:v>
      </x:c>
      <x:c r="I1650" s="21" t="n">
        <x:v>-0.027936917423154628</x:v>
      </x:c>
      <x:c r="J1650" s="21" t="n">
        <x:v>-0.0014699797999464526</x:v>
      </x:c>
      <x:c r="K1650" s="21" t="n">
        <x:v>0.009664387062230828</x:v>
      </x:c>
      <x:c r="L1650" s="36" t="n">
        <x:f>IF(Assumptions!$B$4=2030,I1650,IF(Assumptions!$B$4=2035,J1650,K1650))</x:f>
        <x:v>-0.0014699797999464526</x:v>
      </x:c>
      <x:c r="M1650" s="36" t="n">
        <x:f>Assumptions!$B$19</x:f>
        <x:v>-0.04739891965741583</x:v>
      </x:c>
      <x:c r="N1650" s="52" t="n">
        <x:f>H1650*L1650+(1-H1650)*M1650+O1650</x:f>
        <x:v>-0.00835932077856686</x:v>
      </x:c>
      <x:c r="O1650" s="36" t="n">
        <x:f>Assumptions!$B$10</x:f>
        <x:v>0</x:v>
      </x:c>
      <x:c r="P1650" s="54" t="n">
        <x:f>E1650*(1+N1650)</x:f>
        <x:v>1625.299073243929</x:v>
      </x:c>
      <x:c r="Q1650" s="54" t="n">
        <x:f>P1650-E1650</x:f>
        <x:v>-13.700926756071112</x:v>
      </x:c>
      <x:c r="R1650" s="16" t="str">
        <x:v>Yes</x:v>
      </x:c>
      <x:c r="S1650" s="56" t="n">
        <x:v>12449</x:v>
      </x:c>
      <x:c r="T1650" s="56" t="n">
        <x:v>7951</x:v>
      </x:c>
      <x:c r="U1650" s="40" t="n">
        <x:f>E1650*Assumptions!$B$8</x:f>
        <x:v>1393.1499999999999</x:v>
      </x:c>
      <x:c r="V1650" s="40" t="n">
        <x:f>P1650*Assumptions!$B$8</x:f>
        <x:v>1381.5042122573395</x:v>
      </x:c>
      <x:c r="W1650" s="54" t="n">
        <x:f>V1650-U1650</x:f>
        <x:v>-11.645787742660332</x:v>
      </x:c>
      <x:c r="X1650" s="58" t="n">
        <x:f>IF(R1650="No","",W1650*S1650)</x:f>
        <x:v>-144978.41160837846</x:v>
      </x:c>
      <x:c r="Y1650" s="58" t="n">
        <x:f>IF(R1650="No","",W1650*T1650*Assumptions!$B$9)</x:f>
        <x:v>-27778.697502567687</x:v>
      </x:c>
      <x:c r="Z1650" s="58" t="n">
        <x:f>IF(R1650="No","",X1650-Y1650)</x:f>
        <x:v>-117199.71410581077</x:v>
      </x:c>
      <x:c r="AA1650" s="58" t="n">
        <x:f>IF(R1650="No","",MAX(0,-Z1650))</x:f>
        <x:v>117199.71410581077</x:v>
      </x:c>
      <x:c r="AB1650" s="52" t="n">
        <x:f>IF(OR(R1650="No",U1650*S1650=0),"",AA1650/(U1650*S1650))</x:f>
        <x:v>0.006757626839044314</x:v>
      </x:c>
      <x:c r="AC1650" s="54" t="n">
        <x:f>IF(OR(R1650="No",S1650-T1650*Assumptions!$B$9&lt;=0),"",AA1650/(Assumptions!$B$8*(S1650-T1650*Assumptions!$B$9)))</x:f>
        <x:v>13.700926756070976</x:v>
      </x:c>
      <x:c r="AD1650" s="52" t="n">
        <x:f>IF(OR(R1650="No",U1650*S1650=0),"",AA1650/(U1650*S1650))</x:f>
        <x:v>0.006757626839044314</x:v>
      </x:c>
      <x:c r="AE1650" s="50" t="str">
        <x:f>IF(R1650="No","No finance data",IF(AB1650&gt;=10%,"Severe",IF(AB1650&gt;=5%,"High",IF(AB1650&gt;=2%,"Moderate","Low"))))</x:f>
        <x:v>Low</x:v>
      </x:c>
      <x:c r="AF1650" s="60" t="n">
        <x:v>32.40443</x:v>
      </x:c>
      <x:c r="AG1650" s="60" t="n">
        <x:v>-96.853492</x:v>
      </x:c>
      <x:c r="AH1650" s="44" t="str">
        <x:v>Undergraduate tuition-contribution proxy only; not an audited total institutional budget.</x:v>
      </x:c>
    </x:row>
    <x:row r="1651">
      <x:c r="A1651" s="16" t="n">
        <x:v>228343</x:v>
      </x:c>
      <x:c r="B1651" s="16" t="str">
        <x:v>Southwestern University</x:v>
      </x:c>
      <x:c r="C1651" s="16" t="str">
        <x:v>TX</x:v>
      </x:c>
      <x:c r="D1651" s="16" t="str">
        <x:v>Private nonprofit</x:v>
      </x:c>
      <x:c r="E1651" s="34" t="n">
        <x:v>1515</x:v>
      </x:c>
      <x:c r="F1651" s="21" t="n">
        <x:v>0.5104</x:v>
      </x:c>
      <x:c r="G1651" s="16" t="str">
        <x:v>Regional</x:v>
      </x:c>
      <x:c r="H1651" s="36" t="n">
        <x:f>IF(G1651="National",Assumptions!$B$11,IF(G1651="Statewide",Assumptions!$B$12,Assumptions!$B$13))</x:f>
        <x:v>0.85</x:v>
      </x:c>
      <x:c r="I1651" s="21" t="n">
        <x:v>-0.027936917423154628</x:v>
      </x:c>
      <x:c r="J1651" s="21" t="n">
        <x:v>-0.0014699797999464526</x:v>
      </x:c>
      <x:c r="K1651" s="21" t="n">
        <x:v>0.009664387062230828</x:v>
      </x:c>
      <x:c r="L1651" s="36" t="n">
        <x:f>IF(Assumptions!$B$4=2030,I1651,IF(Assumptions!$B$4=2035,J1651,K1651))</x:f>
        <x:v>-0.0014699797999464526</x:v>
      </x:c>
      <x:c r="M1651" s="36" t="n">
        <x:f>Assumptions!$B$19</x:f>
        <x:v>-0.04739891965741583</x:v>
      </x:c>
      <x:c r="N1651" s="52" t="n">
        <x:f>H1651*L1651+(1-H1651)*M1651+O1651</x:f>
        <x:v>-0.00835932077856686</x:v>
      </x:c>
      <x:c r="O1651" s="36" t="n">
        <x:f>Assumptions!$B$10</x:f>
        <x:v>0</x:v>
      </x:c>
      <x:c r="P1651" s="54" t="n">
        <x:f>E1651*(1+N1651)</x:f>
        <x:v>1502.3356290204713</x:v>
      </x:c>
      <x:c r="Q1651" s="54" t="n">
        <x:f>P1651-E1651</x:f>
        <x:v>-12.664370979528712</x:v>
      </x:c>
      <x:c r="R1651" s="16" t="str">
        <x:v>Yes</x:v>
      </x:c>
      <x:c r="S1651" s="56" t="n">
        <x:v>17996</x:v>
      </x:c>
      <x:c r="T1651" s="56" t="n">
        <x:v>14451</x:v>
      </x:c>
      <x:c r="U1651" s="40" t="n">
        <x:f>E1651*Assumptions!$B$8</x:f>
        <x:v>1287.75</x:v>
      </x:c>
      <x:c r="V1651" s="40" t="n">
        <x:f>P1651*Assumptions!$B$8</x:f>
        <x:v>1276.9852846674005</x:v>
      </x:c>
      <x:c r="W1651" s="54" t="n">
        <x:f>V1651-U1651</x:f>
        <x:v>-10.764715332599508</x:v>
      </x:c>
      <x:c r="X1651" s="58" t="n">
        <x:f>IF(R1651="No","",W1651*S1651)</x:f>
        <x:v>-193721.81712546074</x:v>
      </x:c>
      <x:c r="Y1651" s="58" t="n">
        <x:f>IF(R1651="No","",W1651*T1651*Assumptions!$B$9)</x:f>
        <x:v>-46668.27038141864</x:v>
      </x:c>
      <x:c r="Z1651" s="58" t="n">
        <x:f>IF(R1651="No","",X1651-Y1651)</x:f>
        <x:v>-147053.5467440421</x:v>
      </x:c>
      <x:c r="AA1651" s="58" t="n">
        <x:f>IF(R1651="No","",MAX(0,-Z1651))</x:f>
        <x:v>147053.5467440421</x:v>
      </x:c>
      <x:c r="AB1651" s="52" t="n">
        <x:f>IF(OR(R1651="No",U1651*S1651=0),"",AA1651/(U1651*S1651))</x:f>
        <x:v>0.0063455308601782995</x:v>
      </x:c>
      <x:c r="AC1651" s="54" t="n">
        <x:f>IF(OR(R1651="No",S1651-T1651*Assumptions!$B$9&lt;=0),"",AA1651/(Assumptions!$B$8*(S1651-T1651*Assumptions!$B$9)))</x:f>
        <x:v>12.664370979528833</x:v>
      </x:c>
      <x:c r="AD1651" s="52" t="n">
        <x:f>IF(OR(R1651="No",U1651*S1651=0),"",AA1651/(U1651*S1651))</x:f>
        <x:v>0.0063455308601782995</x:v>
      </x:c>
      <x:c r="AE1651" s="50" t="str">
        <x:f>IF(R1651="No","No finance data",IF(AB1651&gt;=10%,"Severe",IF(AB1651&gt;=5%,"High",IF(AB1651&gt;=2%,"Moderate","Low"))))</x:f>
        <x:v>Low</x:v>
      </x:c>
      <x:c r="AF1651" s="60" t="n">
        <x:v>30.634341</x:v>
      </x:c>
      <x:c r="AG1651" s="60" t="n">
        <x:v>-97.665738</x:v>
      </x:c>
      <x:c r="AH1651" s="44" t="str">
        <x:v>Undergraduate tuition-contribution proxy only; not an audited total institutional budget.</x:v>
      </x:c>
    </x:row>
    <x:row r="1652">
      <x:c r="A1652" s="16" t="n">
        <x:v>228149</x:v>
      </x:c>
      <x:c r="B1652" s="16" t="str">
        <x:v>St. Mary's University</x:v>
      </x:c>
      <x:c r="C1652" s="16" t="str">
        <x:v>TX</x:v>
      </x:c>
      <x:c r="D1652" s="16" t="str">
        <x:v>Private nonprofit</x:v>
      </x:c>
      <x:c r="E1652" s="34" t="n">
        <x:v>2292</x:v>
      </x:c>
      <x:c r="F1652" s="21" t="n">
        <x:v>0.8846</x:v>
      </x:c>
      <x:c r="G1652" s="16" t="str">
        <x:v>Regional</x:v>
      </x:c>
      <x:c r="H1652" s="36" t="n">
        <x:f>IF(G1652="National",Assumptions!$B$11,IF(G1652="Statewide",Assumptions!$B$12,Assumptions!$B$13))</x:f>
        <x:v>0.85</x:v>
      </x:c>
      <x:c r="I1652" s="21" t="n">
        <x:v>-0.027936917423154628</x:v>
      </x:c>
      <x:c r="J1652" s="21" t="n">
        <x:v>-0.0014699797999464526</x:v>
      </x:c>
      <x:c r="K1652" s="21" t="n">
        <x:v>0.009664387062230828</x:v>
      </x:c>
      <x:c r="L1652" s="36" t="n">
        <x:f>IF(Assumptions!$B$4=2030,I1652,IF(Assumptions!$B$4=2035,J1652,K1652))</x:f>
        <x:v>-0.0014699797999464526</x:v>
      </x:c>
      <x:c r="M1652" s="36" t="n">
        <x:f>Assumptions!$B$19</x:f>
        <x:v>-0.04739891965741583</x:v>
      </x:c>
      <x:c r="N1652" s="52" t="n">
        <x:f>H1652*L1652+(1-H1652)*M1652+O1652</x:f>
        <x:v>-0.00835932077856686</x:v>
      </x:c>
      <x:c r="O1652" s="36" t="n">
        <x:f>Assumptions!$B$10</x:f>
        <x:v>0</x:v>
      </x:c>
      <x:c r="P1652" s="54" t="n">
        <x:f>E1652*(1+N1652)</x:f>
        <x:v>2272.8404367755247</x:v>
      </x:c>
      <x:c r="Q1652" s="54" t="n">
        <x:f>P1652-E1652</x:f>
        <x:v>-19.159563224475278</x:v>
      </x:c>
      <x:c r="R1652" s="16" t="str">
        <x:v>Yes</x:v>
      </x:c>
      <x:c r="S1652" s="56" t="n">
        <x:v>18923</x:v>
      </x:c>
      <x:c r="T1652" s="56" t="n">
        <x:v>11270</x:v>
      </x:c>
      <x:c r="U1652" s="40" t="n">
        <x:f>E1652*Assumptions!$B$8</x:f>
        <x:v>1948.2</x:v>
      </x:c>
      <x:c r="V1652" s="40" t="n">
        <x:f>P1652*Assumptions!$B$8</x:f>
        <x:v>1931.914371259196</x:v>
      </x:c>
      <x:c r="W1652" s="54" t="n">
        <x:f>V1652-U1652</x:f>
        <x:v>-16.285628740803986</x:v>
      </x:c>
      <x:c r="X1652" s="58" t="n">
        <x:f>IF(R1652="No","",W1652*S1652)</x:f>
        <x:v>-308172.95266223385</x:v>
      </x:c>
      <x:c r="Y1652" s="58" t="n">
        <x:f>IF(R1652="No","",W1652*T1652*Assumptions!$B$9)</x:f>
        <x:v>-55061.71077265827</x:v>
      </x:c>
      <x:c r="Z1652" s="58" t="n">
        <x:f>IF(R1652="No","",X1652-Y1652)</x:f>
        <x:v>-253111.24188957558</x:v>
      </x:c>
      <x:c r="AA1652" s="58" t="n">
        <x:f>IF(R1652="No","",MAX(0,-Z1652))</x:f>
        <x:v>253111.24188957558</x:v>
      </x:c>
      <x:c r="AB1652" s="52" t="n">
        <x:f>IF(OR(R1652="No",U1652*S1652=0),"",AA1652/(U1652*S1652))</x:f>
        <x:v>0.00686574874705313</x:v>
      </x:c>
      <x:c r="AC1652" s="54" t="n">
        <x:f>IF(OR(R1652="No",S1652-T1652*Assumptions!$B$9&lt;=0),"",AA1652/(Assumptions!$B$8*(S1652-T1652*Assumptions!$B$9)))</x:f>
        <x:v>19.15956322447528</x:v>
      </x:c>
      <x:c r="AD1652" s="52" t="n">
        <x:f>IF(OR(R1652="No",U1652*S1652=0),"",AA1652/(U1652*S1652))</x:f>
        <x:v>0.00686574874705313</x:v>
      </x:c>
      <x:c r="AE1652" s="50" t="str">
        <x:f>IF(R1652="No","No finance data",IF(AB1652&gt;=10%,"Severe",IF(AB1652&gt;=5%,"High",IF(AB1652&gt;=2%,"Moderate","Low"))))</x:f>
        <x:v>Low</x:v>
      </x:c>
      <x:c r="AF1652" s="60" t="n">
        <x:v>29.453244</x:v>
      </x:c>
      <x:c r="AG1652" s="60" t="n">
        <x:v>-98.562778</x:v>
      </x:c>
      <x:c r="AH1652" s="44" t="str">
        <x:v>Undergraduate tuition-contribution proxy only; not an audited total institutional budget.</x:v>
      </x:c>
    </x:row>
    <x:row r="1653">
      <x:c r="A1653" s="16" t="n">
        <x:v>228431</x:v>
      </x:c>
      <x:c r="B1653" s="16" t="str">
        <x:v>Stephen F Austin State University</x:v>
      </x:c>
      <x:c r="C1653" s="16" t="str">
        <x:v>TX</x:v>
      </x:c>
      <x:c r="D1653" s="16" t="str">
        <x:v>Public</x:v>
      </x:c>
      <x:c r="E1653" s="34" t="n">
        <x:v>10562</x:v>
      </x:c>
      <x:c r="F1653" s="21" t="n">
        <x:v>0.8313</x:v>
      </x:c>
      <x:c r="G1653" s="16" t="str">
        <x:v>Statewide</x:v>
      </x:c>
      <x:c r="H1653" s="36" t="n">
        <x:f>IF(G1653="National",Assumptions!$B$11,IF(G1653="Statewide",Assumptions!$B$12,Assumptions!$B$13))</x:f>
        <x:v>0.6</x:v>
      </x:c>
      <x:c r="I1653" s="21" t="n">
        <x:v>-0.027936917423154628</x:v>
      </x:c>
      <x:c r="J1653" s="21" t="n">
        <x:v>-0.0014699797999464526</x:v>
      </x:c>
      <x:c r="K1653" s="21" t="n">
        <x:v>0.009664387062230828</x:v>
      </x:c>
      <x:c r="L1653" s="36" t="n">
        <x:f>IF(Assumptions!$B$4=2030,I1653,IF(Assumptions!$B$4=2035,J1653,K1653))</x:f>
        <x:v>-0.0014699797999464526</x:v>
      </x:c>
      <x:c r="M1653" s="36" t="n">
        <x:f>Assumptions!$B$19</x:f>
        <x:v>-0.04739891965741583</x:v>
      </x:c>
      <x:c r="N1653" s="52" t="n">
        <x:f>H1653*L1653+(1-H1653)*M1653+O1653</x:f>
        <x:v>-0.019841555742934204</x:v>
      </x:c>
      <x:c r="O1653" s="36" t="n">
        <x:f>Assumptions!$B$10</x:f>
        <x:v>0</x:v>
      </x:c>
      <x:c r="P1653" s="54" t="n">
        <x:f>E1653*(1+N1653)</x:f>
        <x:v>10352.433488243129</x:v>
      </x:c>
      <x:c r="Q1653" s="54" t="n">
        <x:f>P1653-E1653</x:f>
        <x:v>-209.56651175687148</x:v>
      </x:c>
      <x:c r="R1653" s="16" t="str">
        <x:v>Yes</x:v>
      </x:c>
      <x:c r="S1653" s="56" t="n">
        <x:v>7527</x:v>
      </x:c>
      <x:c r="T1653" s="56" t="n">
        <x:v>8012</x:v>
      </x:c>
      <x:c r="U1653" s="40" t="n">
        <x:f>E1653*Assumptions!$B$8</x:f>
        <x:v>8977.699999999999</x:v>
      </x:c>
      <x:c r="V1653" s="40" t="n">
        <x:f>P1653*Assumptions!$B$8</x:f>
        <x:v>8799.56846500666</x:v>
      </x:c>
      <x:c r="W1653" s="54" t="n">
        <x:f>V1653-U1653</x:f>
        <x:v>-178.1315349933393</x:v>
      </x:c>
      <x:c r="X1653" s="58" t="n">
        <x:f>IF(R1653="No","",W1653*S1653)</x:f>
        <x:v>-1340796.0638948649</x:v>
      </x:c>
      <x:c r="Y1653" s="58" t="n">
        <x:f>IF(R1653="No","",W1653*T1653*Assumptions!$B$9)</x:f>
        <x:v>-428156.9575099903</x:v>
      </x:c>
      <x:c r="Z1653" s="58" t="n">
        <x:f>IF(R1653="No","",X1653-Y1653)</x:f>
        <x:v>-912639.1063848746</x:v>
      </x:c>
      <x:c r="AA1653" s="58" t="n">
        <x:f>IF(R1653="No","",MAX(0,-Z1653))</x:f>
        <x:v>912639.1063848746</x:v>
      </x:c>
      <x:c r="AB1653" s="52" t="n">
        <x:f>IF(OR(R1653="No",U1653*S1653=0),"",AA1653/(U1653*S1653))</x:f>
        <x:v>0.013505543602145408</x:v>
      </x:c>
      <x:c r="AC1653" s="54" t="n">
        <x:f>IF(OR(R1653="No",S1653-T1653*Assumptions!$B$9&lt;=0),"",AA1653/(Assumptions!$B$8*(S1653-T1653*Assumptions!$B$9)))</x:f>
        <x:v>209.5665117568698</x:v>
      </x:c>
      <x:c r="AD1653" s="52" t="n">
        <x:f>IF(OR(R1653="No",U1653*S1653=0),"",AA1653/(U1653*S1653))</x:f>
        <x:v>0.013505543602145408</x:v>
      </x:c>
      <x:c r="AE1653" s="50" t="str">
        <x:f>IF(R1653="No","No finance data",IF(AB1653&gt;=10%,"Severe",IF(AB1653&gt;=5%,"High",IF(AB1653&gt;=2%,"Moderate","Low"))))</x:f>
        <x:v>Low</x:v>
      </x:c>
      <x:c r="AF1653" s="60" t="n">
        <x:v>31.621056</x:v>
      </x:c>
      <x:c r="AG1653" s="60" t="n">
        <x:v>-94.64908</x:v>
      </x:c>
      <x:c r="AH1653" s="44" t="str">
        <x:v>Undergraduate tuition-contribution proxy only; not an audited total institutional budget.</x:v>
      </x:c>
    </x:row>
    <x:row r="1654">
      <x:c r="A1654" s="16" t="n">
        <x:v>228501</x:v>
      </x:c>
      <x:c r="B1654" s="16" t="str">
        <x:v>Sul Ross State University</x:v>
      </x:c>
      <x:c r="C1654" s="16" t="str">
        <x:v>TX</x:v>
      </x:c>
      <x:c r="D1654" s="16" t="str">
        <x:v>Public</x:v>
      </x:c>
      <x:c r="E1654" s="34" t="n">
        <x:v>2140</x:v>
      </x:c>
      <x:c r="F1654" s="21" t="n">
        <x:v>1</x:v>
      </x:c>
      <x:c r="G1654" s="16" t="str">
        <x:v>Regional</x:v>
      </x:c>
      <x:c r="H1654" s="36" t="n">
        <x:f>IF(G1654="National",Assumptions!$B$11,IF(G1654="Statewide",Assumptions!$B$12,Assumptions!$B$13))</x:f>
        <x:v>0.85</x:v>
      </x:c>
      <x:c r="I1654" s="21" t="n">
        <x:v>-0.027936917423154628</x:v>
      </x:c>
      <x:c r="J1654" s="21" t="n">
        <x:v>-0.0014699797999464526</x:v>
      </x:c>
      <x:c r="K1654" s="21" t="n">
        <x:v>0.009664387062230828</x:v>
      </x:c>
      <x:c r="L1654" s="36" t="n">
        <x:f>IF(Assumptions!$B$4=2030,I1654,IF(Assumptions!$B$4=2035,J1654,K1654))</x:f>
        <x:v>-0.0014699797999464526</x:v>
      </x:c>
      <x:c r="M1654" s="36" t="n">
        <x:f>Assumptions!$B$19</x:f>
        <x:v>-0.04739891965741583</x:v>
      </x:c>
      <x:c r="N1654" s="52" t="n">
        <x:f>H1654*L1654+(1-H1654)*M1654+O1654</x:f>
        <x:v>-0.00835932077856686</x:v>
      </x:c>
      <x:c r="O1654" s="36" t="n">
        <x:f>Assumptions!$B$10</x:f>
        <x:v>0</x:v>
      </x:c>
      <x:c r="P1654" s="54" t="n">
        <x:f>E1654*(1+N1654)</x:f>
        <x:v>2122.111053533867</x:v>
      </x:c>
      <x:c r="Q1654" s="54" t="n">
        <x:f>P1654-E1654</x:f>
        <x:v>-17.888946466132893</x:v>
      </x:c>
      <x:c r="R1654" s="16" t="str">
        <x:v>Yes</x:v>
      </x:c>
      <x:c r="S1654" s="56" t="n">
        <x:v>5059</x:v>
      </x:c>
      <x:c r="T1654" s="56" t="n">
        <x:v>6481</x:v>
      </x:c>
      <x:c r="U1654" s="40" t="n">
        <x:f>E1654*Assumptions!$B$8</x:f>
        <x:v>1819</x:v>
      </x:c>
      <x:c r="V1654" s="40" t="n">
        <x:f>P1654*Assumptions!$B$8</x:f>
        <x:v>1803.794395503787</x:v>
      </x:c>
      <x:c r="W1654" s="54" t="n">
        <x:f>V1654-U1654</x:f>
        <x:v>-15.205604496213027</x:v>
      </x:c>
      <x:c r="X1654" s="58" t="n">
        <x:f>IF(R1654="No","",W1654*S1654)</x:f>
        <x:v>-76925.1531463417</x:v>
      </x:c>
      <x:c r="Y1654" s="58" t="n">
        <x:f>IF(R1654="No","",W1654*T1654*Assumptions!$B$9)</x:f>
        <x:v>-29564.25682198699</x:v>
      </x:c>
      <x:c r="Z1654" s="58" t="n">
        <x:f>IF(R1654="No","",X1654-Y1654)</x:f>
        <x:v>-47360.89632435472</x:v>
      </x:c>
      <x:c r="AA1654" s="58" t="n">
        <x:f>IF(R1654="No","",MAX(0,-Z1654))</x:f>
        <x:v>47360.89632435472</x:v>
      </x:c>
      <x:c r="AB1654" s="52" t="n">
        <x:f>IF(OR(R1654="No",U1654*S1654=0),"",AA1654/(U1654*S1654))</x:f>
        <x:v>0.005146625109508212</x:v>
      </x:c>
      <x:c r="AC1654" s="54" t="n">
        <x:f>IF(OR(R1654="No",S1654-T1654*Assumptions!$B$9&lt;=0),"",AA1654/(Assumptions!$B$8*(S1654-T1654*Assumptions!$B$9)))</x:f>
        <x:v>17.888946466132975</x:v>
      </x:c>
      <x:c r="AD1654" s="52" t="n">
        <x:f>IF(OR(R1654="No",U1654*S1654=0),"",AA1654/(U1654*S1654))</x:f>
        <x:v>0.005146625109508212</x:v>
      </x:c>
      <x:c r="AE1654" s="50" t="str">
        <x:f>IF(R1654="No","No finance data",IF(AB1654&gt;=10%,"Severe",IF(AB1654&gt;=5%,"High",IF(AB1654&gt;=2%,"Moderate","Low"))))</x:f>
        <x:v>Low</x:v>
      </x:c>
      <x:c r="AF1654" s="60" t="n">
        <x:v>30.363139</x:v>
      </x:c>
      <x:c r="AG1654" s="60" t="n">
        <x:v>-103.651469</x:v>
      </x:c>
      <x:c r="AH1654" s="44" t="str">
        <x:v>Undergraduate tuition-contribution proxy only; not an audited total institutional budget.</x:v>
      </x:c>
    </x:row>
    <x:row r="1655">
      <x:c r="A1655" s="16" t="n">
        <x:v>228529</x:v>
      </x:c>
      <x:c r="B1655" s="16" t="str">
        <x:v>Tarleton State University</x:v>
      </x:c>
      <x:c r="C1655" s="16" t="str">
        <x:v>TX</x:v>
      </x:c>
      <x:c r="D1655" s="16" t="str">
        <x:v>Public</x:v>
      </x:c>
      <x:c r="E1655" s="34" t="n">
        <x:v>10749</x:v>
      </x:c>
      <x:c r="F1655" s="21" t="n">
        <x:v>0.5681</x:v>
      </x:c>
      <x:c r="G1655" s="16" t="str">
        <x:v>Statewide</x:v>
      </x:c>
      <x:c r="H1655" s="36" t="n">
        <x:f>IF(G1655="National",Assumptions!$B$11,IF(G1655="Statewide",Assumptions!$B$12,Assumptions!$B$13))</x:f>
        <x:v>0.6</x:v>
      </x:c>
      <x:c r="I1655" s="21" t="n">
        <x:v>-0.027936917423154628</x:v>
      </x:c>
      <x:c r="J1655" s="21" t="n">
        <x:v>-0.0014699797999464526</x:v>
      </x:c>
      <x:c r="K1655" s="21" t="n">
        <x:v>0.009664387062230828</x:v>
      </x:c>
      <x:c r="L1655" s="36" t="n">
        <x:f>IF(Assumptions!$B$4=2030,I1655,IF(Assumptions!$B$4=2035,J1655,K1655))</x:f>
        <x:v>-0.0014699797999464526</x:v>
      </x:c>
      <x:c r="M1655" s="36" t="n">
        <x:f>Assumptions!$B$19</x:f>
        <x:v>-0.04739891965741583</x:v>
      </x:c>
      <x:c r="N1655" s="52" t="n">
        <x:f>H1655*L1655+(1-H1655)*M1655+O1655</x:f>
        <x:v>-0.019841555742934204</x:v>
      </x:c>
      <x:c r="O1655" s="36" t="n">
        <x:f>Assumptions!$B$10</x:f>
        <x:v>0</x:v>
      </x:c>
      <x:c r="P1655" s="54" t="n">
        <x:f>E1655*(1+N1655)</x:f>
        <x:v>10535.7231173192</x:v>
      </x:c>
      <x:c r="Q1655" s="54" t="n">
        <x:f>P1655-E1655</x:f>
        <x:v>-213.27688268080055</x:v>
      </x:c>
      <x:c r="R1655" s="16" t="str">
        <x:v>Yes</x:v>
      </x:c>
      <x:c r="S1655" s="56" t="n">
        <x:v>8129</x:v>
      </x:c>
      <x:c r="T1655" s="56" t="n">
        <x:v>5941</x:v>
      </x:c>
      <x:c r="U1655" s="40" t="n">
        <x:f>E1655*Assumptions!$B$8</x:f>
        <x:v>9136.65</x:v>
      </x:c>
      <x:c r="V1655" s="40" t="n">
        <x:f>P1655*Assumptions!$B$8</x:f>
        <x:v>8955.36464972132</x:v>
      </x:c>
      <x:c r="W1655" s="54" t="n">
        <x:f>V1655-U1655</x:f>
        <x:v>-181.2853502786802</x:v>
      </x:c>
      <x:c r="X1655" s="58" t="n">
        <x:f>IF(R1655="No","",W1655*S1655)</x:f>
        <x:v>-1473668.6124153913</x:v>
      </x:c>
      <x:c r="Y1655" s="58" t="n">
        <x:f>IF(R1655="No","",W1655*T1655*Assumptions!$B$9)</x:f>
        <x:v>-323104.8798016917</x:v>
      </x:c>
      <x:c r="Z1655" s="58" t="n">
        <x:f>IF(R1655="No","",X1655-Y1655)</x:f>
        <x:v>-1150563.7326136995</x:v>
      </x:c>
      <x:c r="AA1655" s="58" t="n">
        <x:f>IF(R1655="No","",MAX(0,-Z1655))</x:f>
        <x:v>1150563.7326136995</x:v>
      </x:c>
      <x:c r="AB1655" s="52" t="n">
        <x:f>IF(OR(R1655="No",U1655*S1655=0),"",AA1655/(U1655*S1655))</x:f>
        <x:v>0.015491253762293123</x:v>
      </x:c>
      <x:c r="AC1655" s="54" t="n">
        <x:f>IF(OR(R1655="No",S1655-T1655*Assumptions!$B$9&lt;=0),"",AA1655/(Assumptions!$B$8*(S1655-T1655*Assumptions!$B$9)))</x:f>
        <x:v>213.2768826808002</x:v>
      </x:c>
      <x:c r="AD1655" s="52" t="n">
        <x:f>IF(OR(R1655="No",U1655*S1655=0),"",AA1655/(U1655*S1655))</x:f>
        <x:v>0.015491253762293123</x:v>
      </x:c>
      <x:c r="AE1655" s="50" t="str">
        <x:f>IF(R1655="No","No finance data",IF(AB1655&gt;=10%,"Severe",IF(AB1655&gt;=5%,"High",IF(AB1655&gt;=2%,"Moderate","Low"))))</x:f>
        <x:v>Low</x:v>
      </x:c>
      <x:c r="AF1655" s="60" t="n">
        <x:v>32.217805</x:v>
      </x:c>
      <x:c r="AG1655" s="60" t="n">
        <x:v>-98.219039</x:v>
      </x:c>
      <x:c r="AH1655" s="44" t="str">
        <x:v>Undergraduate tuition-contribution proxy only; not an audited total institutional budget.</x:v>
      </x:c>
    </x:row>
    <x:row r="1656">
      <x:c r="A1656" s="16" t="n">
        <x:v>226152</x:v>
      </x:c>
      <x:c r="B1656" s="16" t="str">
        <x:v>Texas A &amp; M International University</x:v>
      </x:c>
      <x:c r="C1656" s="16" t="str">
        <x:v>TX</x:v>
      </x:c>
      <x:c r="D1656" s="16" t="str">
        <x:v>Public</x:v>
      </x:c>
      <x:c r="E1656" s="34" t="n">
        <x:v>6349</x:v>
      </x:c>
      <x:c r="F1656" s="21" t="n">
        <x:v>0.5438</x:v>
      </x:c>
      <x:c r="G1656" s="16" t="str">
        <x:v>Statewide</x:v>
      </x:c>
      <x:c r="H1656" s="36" t="n">
        <x:f>IF(G1656="National",Assumptions!$B$11,IF(G1656="Statewide",Assumptions!$B$12,Assumptions!$B$13))</x:f>
        <x:v>0.6</x:v>
      </x:c>
      <x:c r="I1656" s="21" t="n">
        <x:v>-0.027936917423154628</x:v>
      </x:c>
      <x:c r="J1656" s="21" t="n">
        <x:v>-0.0014699797999464526</x:v>
      </x:c>
      <x:c r="K1656" s="21" t="n">
        <x:v>0.009664387062230828</x:v>
      </x:c>
      <x:c r="L1656" s="36" t="n">
        <x:f>IF(Assumptions!$B$4=2030,I1656,IF(Assumptions!$B$4=2035,J1656,K1656))</x:f>
        <x:v>-0.0014699797999464526</x:v>
      </x:c>
      <x:c r="M1656" s="36" t="n">
        <x:f>Assumptions!$B$19</x:f>
        <x:v>-0.04739891965741583</x:v>
      </x:c>
      <x:c r="N1656" s="52" t="n">
        <x:f>H1656*L1656+(1-H1656)*M1656+O1656</x:f>
        <x:v>-0.019841555742934204</x:v>
      </x:c>
      <x:c r="O1656" s="36" t="n">
        <x:f>Assumptions!$B$10</x:f>
        <x:v>0</x:v>
      </x:c>
      <x:c r="P1656" s="54" t="n">
        <x:f>E1656*(1+N1656)</x:f>
        <x:v>6223.025962588111</x:v>
      </x:c>
      <x:c r="Q1656" s="54" t="n">
        <x:f>P1656-E1656</x:f>
        <x:v>-125.97403741188919</x:v>
      </x:c>
      <x:c r="R1656" s="16" t="str">
        <x:v>Yes</x:v>
      </x:c>
      <x:c r="S1656" s="56" t="n">
        <x:v>4827</x:v>
      </x:c>
      <x:c r="T1656" s="56" t="n">
        <x:v>5985</x:v>
      </x:c>
      <x:c r="U1656" s="40" t="n">
        <x:f>E1656*Assumptions!$B$8</x:f>
        <x:v>5396.65</x:v>
      </x:c>
      <x:c r="V1656" s="40" t="n">
        <x:f>P1656*Assumptions!$B$8</x:f>
        <x:v>5289.572068199894</x:v>
      </x:c>
      <x:c r="W1656" s="54" t="n">
        <x:f>V1656-U1656</x:f>
        <x:v>-107.07793180010594</x:v>
      </x:c>
      <x:c r="X1656" s="58" t="n">
        <x:f>IF(R1656="No","",W1656*S1656)</x:f>
        <x:v>-516865.1767991114</x:v>
      </x:c>
      <x:c r="Y1656" s="58" t="n">
        <x:f>IF(R1656="No","",W1656*T1656*Assumptions!$B$9)</x:f>
        <x:v>-192258.4265470902</x:v>
      </x:c>
      <x:c r="Z1656" s="58" t="n">
        <x:f>IF(R1656="No","",X1656-Y1656)</x:f>
        <x:v>-324606.75025202124</x:v>
      </x:c>
      <x:c r="AA1656" s="58" t="n">
        <x:f>IF(R1656="No","",MAX(0,-Z1656))</x:f>
        <x:v>324606.75025202124</x:v>
      </x:c>
      <x:c r="AB1656" s="52" t="n">
        <x:f>IF(OR(R1656="No",U1656*S1656=0),"",AA1656/(U1656*S1656))</x:f>
        <x:v>0.012461088923701078</x:v>
      </x:c>
      <x:c r="AC1656" s="54" t="n">
        <x:f>IF(OR(R1656="No",S1656-T1656*Assumptions!$B$9&lt;=0),"",AA1656/(Assumptions!$B$8*(S1656-T1656*Assumptions!$B$9)))</x:f>
        <x:v>125.97403741188937</x:v>
      </x:c>
      <x:c r="AD1656" s="52" t="n">
        <x:f>IF(OR(R1656="No",U1656*S1656=0),"",AA1656/(U1656*S1656))</x:f>
        <x:v>0.012461088923701078</x:v>
      </x:c>
      <x:c r="AE1656" s="50" t="str">
        <x:f>IF(R1656="No","No finance data",IF(AB1656&gt;=10%,"Severe",IF(AB1656&gt;=5%,"High",IF(AB1656&gt;=2%,"Moderate","Low"))))</x:f>
        <x:v>Low</x:v>
      </x:c>
      <x:c r="AF1656" s="60" t="n">
        <x:v>27.571172</x:v>
      </x:c>
      <x:c r="AG1656" s="60" t="n">
        <x:v>-99.436043</x:v>
      </x:c>
      <x:c r="AH1656" s="44" t="str">
        <x:v>Undergraduate tuition-contribution proxy only; not an audited total institutional budget.</x:v>
      </x:c>
    </x:row>
    <x:row r="1657">
      <x:c r="A1657" s="16" t="n">
        <x:v>483036</x:v>
      </x:c>
      <x:c r="B1657" s="16" t="str">
        <x:v>Texas A &amp; M University-Central Texas</x:v>
      </x:c>
      <x:c r="C1657" s="16" t="str">
        <x:v>TX</x:v>
      </x:c>
      <x:c r="D1657" s="16" t="str">
        <x:v>Public</x:v>
      </x:c>
      <x:c r="E1657" s="34" t="n">
        <x:v>1855</x:v>
      </x:c>
      <x:c r="F1657" s="21" t="n">
        <x:v>0.9592</x:v>
      </x:c>
      <x:c r="G1657" s="16" t="str">
        <x:v>Regional</x:v>
      </x:c>
      <x:c r="H1657" s="36" t="n">
        <x:f>IF(G1657="National",Assumptions!$B$11,IF(G1657="Statewide",Assumptions!$B$12,Assumptions!$B$13))</x:f>
        <x:v>0.85</x:v>
      </x:c>
      <x:c r="I1657" s="21" t="n">
        <x:v>-0.027936917423154628</x:v>
      </x:c>
      <x:c r="J1657" s="21" t="n">
        <x:v>-0.0014699797999464526</x:v>
      </x:c>
      <x:c r="K1657" s="21" t="n">
        <x:v>0.009664387062230828</x:v>
      </x:c>
      <x:c r="L1657" s="36" t="n">
        <x:f>IF(Assumptions!$B$4=2030,I1657,IF(Assumptions!$B$4=2035,J1657,K1657))</x:f>
        <x:v>-0.0014699797999464526</x:v>
      </x:c>
      <x:c r="M1657" s="36" t="n">
        <x:f>Assumptions!$B$19</x:f>
        <x:v>-0.04739891965741583</x:v>
      </x:c>
      <x:c r="N1657" s="52" t="n">
        <x:f>H1657*L1657+(1-H1657)*M1657+O1657</x:f>
        <x:v>-0.00835932077856686</x:v>
      </x:c>
      <x:c r="O1657" s="36" t="n">
        <x:f>Assumptions!$B$10</x:f>
        <x:v>0</x:v>
      </x:c>
      <x:c r="P1657" s="54" t="n">
        <x:f>E1657*(1+N1657)</x:f>
        <x:v>1839.4934599557585</x:v>
      </x:c>
      <x:c r="Q1657" s="54" t="n">
        <x:f>P1657-E1657</x:f>
        <x:v>-15.506540044241547</x:v>
      </x:c>
      <x:c r="R1657" s="16" t="str">
        <x:v>Yes</x:v>
      </x:c>
      <x:c r="S1657" s="56" t="n">
        <x:v>7536</x:v>
      </x:c>
      <x:c r="T1657" s="56" t="n">
        <x:v>8453</x:v>
      </x:c>
      <x:c r="U1657" s="40" t="n">
        <x:f>E1657*Assumptions!$B$8</x:f>
        <x:v>1576.75</x:v>
      </x:c>
      <x:c r="V1657" s="40" t="n">
        <x:f>P1657*Assumptions!$B$8</x:f>
        <x:v>1563.5694409623945</x:v>
      </x:c>
      <x:c r="W1657" s="54" t="n">
        <x:f>V1657-U1657</x:f>
        <x:v>-13.180559037605462</x:v>
      </x:c>
      <x:c r="X1657" s="58" t="n">
        <x:f>IF(R1657="No","",W1657*S1657)</x:f>
        <x:v>-99328.69290739477</x:v>
      </x:c>
      <x:c r="Y1657" s="58" t="n">
        <x:f>IF(R1657="No","",W1657*T1657*Assumptions!$B$9)</x:f>
        <x:v>-33424.57966346369</x:v>
      </x:c>
      <x:c r="Z1657" s="58" t="n">
        <x:f>IF(R1657="No","",X1657-Y1657)</x:f>
        <x:v>-65904.11324393107</x:v>
      </x:c>
      <x:c r="AA1657" s="58" t="n">
        <x:f>IF(R1657="No","",MAX(0,-Z1657))</x:f>
        <x:v>65904.11324393107</x:v>
      </x:c>
      <x:c r="AB1657" s="52" t="n">
        <x:f>IF(OR(R1657="No",U1657*S1657=0),"",AA1657/(U1657*S1657))</x:f>
        <x:v>0.005546369403518137</x:v>
      </x:c>
      <x:c r="AC1657" s="54" t="n">
        <x:f>IF(OR(R1657="No",S1657-T1657*Assumptions!$B$9&lt;=0),"",AA1657/(Assumptions!$B$8*(S1657-T1657*Assumptions!$B$9)))</x:f>
        <x:v>15.50654004424172</x:v>
      </x:c>
      <x:c r="AD1657" s="52" t="n">
        <x:f>IF(OR(R1657="No",U1657*S1657=0),"",AA1657/(U1657*S1657))</x:f>
        <x:v>0.005546369403518137</x:v>
      </x:c>
      <x:c r="AE1657" s="50" t="str">
        <x:f>IF(R1657="No","No finance data",IF(AB1657&gt;=10%,"Severe",IF(AB1657&gt;=5%,"High",IF(AB1657&gt;=2%,"Moderate","Low"))))</x:f>
        <x:v>Low</x:v>
      </x:c>
      <x:c r="AF1657" s="60" t="n">
        <x:v>31.053407</x:v>
      </x:c>
      <x:c r="AG1657" s="60" t="n">
        <x:v>-97.775182</x:v>
      </x:c>
      <x:c r="AH1657" s="44" t="str">
        <x:v>Undergraduate tuition-contribution proxy only; not an audited total institutional budget.</x:v>
      </x:c>
    </x:row>
    <x:row r="1658">
      <x:c r="A1658" s="16" t="n">
        <x:v>228723</x:v>
      </x:c>
      <x:c r="B1658" s="16" t="str">
        <x:v>Texas A &amp; M University-College Station</x:v>
      </x:c>
      <x:c r="C1658" s="16" t="str">
        <x:v>TX</x:v>
      </x:c>
      <x:c r="D1658" s="16" t="str">
        <x:v>Public</x:v>
      </x:c>
      <x:c r="E1658" s="34" t="n">
        <x:v>48707</x:v>
      </x:c>
      <x:c r="F1658" s="21" t="n">
        <x:v>0.6428</x:v>
      </x:c>
      <x:c r="G1658" s="16" t="str">
        <x:v>National</x:v>
      </x:c>
      <x:c r="H1658" s="36" t="n">
        <x:f>IF(G1658="National",Assumptions!$B$11,IF(G1658="Statewide",Assumptions!$B$12,Assumptions!$B$13))</x:f>
        <x:v>0.25</x:v>
      </x:c>
      <x:c r="I1658" s="21" t="n">
        <x:v>-0.027936917423154628</x:v>
      </x:c>
      <x:c r="J1658" s="21" t="n">
        <x:v>-0.0014699797999464526</x:v>
      </x:c>
      <x:c r="K1658" s="21" t="n">
        <x:v>0.009664387062230828</x:v>
      </x:c>
      <x:c r="L1658" s="36" t="n">
        <x:f>IF(Assumptions!$B$4=2030,I1658,IF(Assumptions!$B$4=2035,J1658,K1658))</x:f>
        <x:v>-0.0014699797999464526</x:v>
      </x:c>
      <x:c r="M1658" s="36" t="n">
        <x:f>Assumptions!$B$19</x:f>
        <x:v>-0.04739891965741583</x:v>
      </x:c>
      <x:c r="N1658" s="52" t="n">
        <x:f>H1658*L1658+(1-H1658)*M1658+O1658</x:f>
        <x:v>-0.035916684693048484</x:v>
      </x:c>
      <x:c r="O1658" s="36" t="n">
        <x:f>Assumptions!$B$10</x:f>
        <x:v>0</x:v>
      </x:c>
      <x:c r="P1658" s="54" t="n">
        <x:f>E1658*(1+N1658)</x:f>
        <x:v>46957.606038655686</x:v>
      </x:c>
      <x:c r="Q1658" s="54" t="n">
        <x:f>P1658-E1658</x:f>
        <x:v>-1749.3939613443144</x:v>
      </x:c>
      <x:c r="R1658" s="16" t="str">
        <x:v>Yes</x:v>
      </x:c>
      <x:c r="S1658" s="56" t="n">
        <x:v>11994</x:v>
      </x:c>
      <x:c r="T1658" s="56" t="n">
        <x:v>16762</x:v>
      </x:c>
      <x:c r="U1658" s="40" t="n">
        <x:f>E1658*Assumptions!$B$8</x:f>
        <x:v>41400.95</x:v>
      </x:c>
      <x:c r="V1658" s="40" t="n">
        <x:f>P1658*Assumptions!$B$8</x:f>
        <x:v>39913.96513285733</x:v>
      </x:c>
      <x:c r="W1658" s="54" t="n">
        <x:f>V1658-U1658</x:f>
        <x:v>-1486.9848671426662</x:v>
      </x:c>
      <x:c r="X1658" s="58" t="n">
        <x:f>IF(R1658="No","",W1658*S1658)</x:f>
        <x:v>-17834896.49650914</x:v>
      </x:c>
      <x:c r="Y1658" s="58" t="n">
        <x:f>IF(R1658="No","",W1658*T1658*Assumptions!$B$9)</x:f>
        <x:v>-7477452.102913612</x:v>
      </x:c>
      <x:c r="Z1658" s="58" t="n">
        <x:f>IF(R1658="No","",X1658-Y1658)</x:f>
        <x:v>-10357444.393595528</x:v>
      </x:c>
      <x:c r="AA1658" s="58" t="n">
        <x:f>IF(R1658="No","",MAX(0,-Z1658))</x:f>
        <x:v>10357444.393595528</x:v>
      </x:c>
      <x:c r="AB1658" s="52" t="n">
        <x:f>IF(OR(R1658="No",U1658*S1658=0),"",AA1658/(U1658*S1658))</x:f>
        <x:v>0.020858268764462236</x:v>
      </x:c>
      <x:c r="AC1658" s="54" t="n">
        <x:f>IF(OR(R1658="No",S1658-T1658*Assumptions!$B$9&lt;=0),"",AA1658/(Assumptions!$B$8*(S1658-T1658*Assumptions!$B$9)))</x:f>
        <x:v>1749.3939613443133</x:v>
      </x:c>
      <x:c r="AD1658" s="52" t="n">
        <x:f>IF(OR(R1658="No",U1658*S1658=0),"",AA1658/(U1658*S1658))</x:f>
        <x:v>0.020858268764462236</x:v>
      </x:c>
      <x:c r="AE1658" s="50" t="str">
        <x:f>IF(R1658="No","No finance data",IF(AB1658&gt;=10%,"Severe",IF(AB1658&gt;=5%,"High",IF(AB1658&gt;=2%,"Moderate","Low"))))</x:f>
        <x:v>Moderate</x:v>
      </x:c>
      <x:c r="AF1658" s="60" t="n">
        <x:v>30.618726</x:v>
      </x:c>
      <x:c r="AG1658" s="60" t="n">
        <x:v>-96.336475</x:v>
      </x:c>
      <x:c r="AH1658" s="44" t="str">
        <x:v>Undergraduate tuition-contribution proxy only; not an audited total institutional budget.</x:v>
      </x:c>
    </x:row>
    <x:row r="1659">
      <x:c r="A1659" s="16" t="n">
        <x:v>224554</x:v>
      </x:c>
      <x:c r="B1659" s="16" t="str">
        <x:v>Texas A &amp; M University-Commerce</x:v>
      </x:c>
      <x:c r="C1659" s="16" t="str">
        <x:v>TX</x:v>
      </x:c>
      <x:c r="D1659" s="16" t="str">
        <x:v>Public</x:v>
      </x:c>
      <x:c r="E1659" s="34" t="n">
        <x:v>7857</x:v>
      </x:c>
      <x:c r="F1659" s="21" t="n">
        <x:v>0.8666</x:v>
      </x:c>
      <x:c r="G1659" s="16" t="str">
        <x:v>Statewide</x:v>
      </x:c>
      <x:c r="H1659" s="36" t="n">
        <x:f>IF(G1659="National",Assumptions!$B$11,IF(G1659="Statewide",Assumptions!$B$12,Assumptions!$B$13))</x:f>
        <x:v>0.6</x:v>
      </x:c>
      <x:c r="I1659" s="21" t="n">
        <x:v>-0.027936917423154628</x:v>
      </x:c>
      <x:c r="J1659" s="21" t="n">
        <x:v>-0.0014699797999464526</x:v>
      </x:c>
      <x:c r="K1659" s="21" t="n">
        <x:v>0.009664387062230828</x:v>
      </x:c>
      <x:c r="L1659" s="36" t="n">
        <x:f>IF(Assumptions!$B$4=2030,I1659,IF(Assumptions!$B$4=2035,J1659,K1659))</x:f>
        <x:v>-0.0014699797999464526</x:v>
      </x:c>
      <x:c r="M1659" s="36" t="n">
        <x:f>Assumptions!$B$19</x:f>
        <x:v>-0.04739891965741583</x:v>
      </x:c>
      <x:c r="N1659" s="52" t="n">
        <x:f>H1659*L1659+(1-H1659)*M1659+O1659</x:f>
        <x:v>-0.019841555742934204</x:v>
      </x:c>
      <x:c r="O1659" s="36" t="n">
        <x:f>Assumptions!$B$10</x:f>
        <x:v>0</x:v>
      </x:c>
      <x:c r="P1659" s="54" t="n">
        <x:f>E1659*(1+N1659)</x:f>
        <x:v>7701.104896527766</x:v>
      </x:c>
      <x:c r="Q1659" s="54" t="n">
        <x:f>P1659-E1659</x:f>
        <x:v>-155.89510347223404</x:v>
      </x:c>
      <x:c r="R1659" s="16" t="str">
        <x:v>Yes</x:v>
      </x:c>
      <x:c r="S1659" s="56" t="n">
        <x:v>8015</x:v>
      </x:c>
      <x:c r="T1659" s="56" t="n">
        <x:v>6763</x:v>
      </x:c>
      <x:c r="U1659" s="40" t="n">
        <x:f>E1659*Assumptions!$B$8</x:f>
        <x:v>6678.45</x:v>
      </x:c>
      <x:c r="V1659" s="40" t="n">
        <x:f>P1659*Assumptions!$B$8</x:f>
        <x:v>6545.939162048601</x:v>
      </x:c>
      <x:c r="W1659" s="54" t="n">
        <x:f>V1659-U1659</x:f>
        <x:v>-132.51083795139857</x:v>
      </x:c>
      <x:c r="X1659" s="58" t="n">
        <x:f>IF(R1659="No","",W1659*S1659)</x:f>
        <x:v>-1062074.3661804595</x:v>
      </x:c>
      <x:c r="Y1659" s="58" t="n">
        <x:f>IF(R1659="No","",W1659*T1659*Assumptions!$B$9)</x:f>
        <x:v>-268851.23911959253</x:v>
      </x:c>
      <x:c r="Z1659" s="58" t="n">
        <x:f>IF(R1659="No","",X1659-Y1659)</x:f>
        <x:v>-793223.1270608669</x:v>
      </x:c>
      <x:c r="AA1659" s="58" t="n">
        <x:f>IF(R1659="No","",MAX(0,-Z1659))</x:f>
        <x:v>793223.1270608669</x:v>
      </x:c>
      <x:c r="AB1659" s="52" t="n">
        <x:f>IF(OR(R1659="No",U1659*S1659=0),"",AA1659/(U1659*S1659))</x:f>
        <x:v>0.014818906654120787</x:v>
      </x:c>
      <x:c r="AC1659" s="54" t="n">
        <x:f>IF(OR(R1659="No",S1659-T1659*Assumptions!$B$9&lt;=0),"",AA1659/(Assumptions!$B$8*(S1659-T1659*Assumptions!$B$9)))</x:f>
        <x:v>155.8951034722336</x:v>
      </x:c>
      <x:c r="AD1659" s="52" t="n">
        <x:f>IF(OR(R1659="No",U1659*S1659=0),"",AA1659/(U1659*S1659))</x:f>
        <x:v>0.014818906654120787</x:v>
      </x:c>
      <x:c r="AE1659" s="50" t="str">
        <x:f>IF(R1659="No","No finance data",IF(AB1659&gt;=10%,"Severe",IF(AB1659&gt;=5%,"High",IF(AB1659&gt;=2%,"Moderate","Low"))))</x:f>
        <x:v>Low</x:v>
      </x:c>
      <x:c r="AF1659" s="60" t="n">
        <x:v>33.242112</x:v>
      </x:c>
      <x:c r="AG1659" s="60" t="n">
        <x:v>-95.904579</x:v>
      </x:c>
      <x:c r="AH1659" s="44" t="str">
        <x:v>Undergraduate tuition-contribution proxy only; not an audited total institutional budget.</x:v>
      </x:c>
    </x:row>
    <x:row r="1660">
      <x:c r="A1660" s="16" t="n">
        <x:v>224147</x:v>
      </x:c>
      <x:c r="B1660" s="16" t="str">
        <x:v>Texas A &amp; M University-Corpus Christi</x:v>
      </x:c>
      <x:c r="C1660" s="16" t="str">
        <x:v>TX</x:v>
      </x:c>
      <x:c r="D1660" s="16" t="str">
        <x:v>Public</x:v>
      </x:c>
      <x:c r="E1660" s="34" t="n">
        <x:v>9552</x:v>
      </x:c>
      <x:c r="F1660" s="21" t="n">
        <x:v>0.9128</x:v>
      </x:c>
      <x:c r="G1660" s="16" t="str">
        <x:v>Statewide</x:v>
      </x:c>
      <x:c r="H1660" s="36" t="n">
        <x:f>IF(G1660="National",Assumptions!$B$11,IF(G1660="Statewide",Assumptions!$B$12,Assumptions!$B$13))</x:f>
        <x:v>0.6</x:v>
      </x:c>
      <x:c r="I1660" s="21" t="n">
        <x:v>-0.027936917423154628</x:v>
      </x:c>
      <x:c r="J1660" s="21" t="n">
        <x:v>-0.0014699797999464526</x:v>
      </x:c>
      <x:c r="K1660" s="21" t="n">
        <x:v>0.009664387062230828</x:v>
      </x:c>
      <x:c r="L1660" s="36" t="n">
        <x:f>IF(Assumptions!$B$4=2030,I1660,IF(Assumptions!$B$4=2035,J1660,K1660))</x:f>
        <x:v>-0.0014699797999464526</x:v>
      </x:c>
      <x:c r="M1660" s="36" t="n">
        <x:f>Assumptions!$B$19</x:f>
        <x:v>-0.04739891965741583</x:v>
      </x:c>
      <x:c r="N1660" s="52" t="n">
        <x:f>H1660*L1660+(1-H1660)*M1660+O1660</x:f>
        <x:v>-0.019841555742934204</x:v>
      </x:c>
      <x:c r="O1660" s="36" t="n">
        <x:f>Assumptions!$B$10</x:f>
        <x:v>0</x:v>
      </x:c>
      <x:c r="P1660" s="54" t="n">
        <x:f>E1660*(1+N1660)</x:f>
        <x:v>9362.473459543493</x:v>
      </x:c>
      <x:c r="Q1660" s="54" t="n">
        <x:f>P1660-E1660</x:f>
        <x:v>-189.52654045650706</x:v>
      </x:c>
      <x:c r="R1660" s="16" t="str">
        <x:v>Yes</x:v>
      </x:c>
      <x:c r="S1660" s="56" t="n">
        <x:v>8474</x:v>
      </x:c>
      <x:c r="T1660" s="56" t="n">
        <x:v>8534</x:v>
      </x:c>
      <x:c r="U1660" s="40" t="n">
        <x:f>E1660*Assumptions!$B$8</x:f>
        <x:v>8119.2</x:v>
      </x:c>
      <x:c r="V1660" s="40" t="n">
        <x:f>P1660*Assumptions!$B$8</x:f>
        <x:v>7958.102440611969</x:v>
      </x:c>
      <x:c r="W1660" s="54" t="n">
        <x:f>V1660-U1660</x:f>
        <x:v>-161.0975593880312</x:v>
      </x:c>
      <x:c r="X1660" s="58" t="n">
        <x:f>IF(R1660="No","",W1660*S1660)</x:f>
        <x:v>-1365140.7182541762</x:v>
      </x:c>
      <x:c r="Y1660" s="58" t="n">
        <x:f>IF(R1660="No","",W1660*T1660*Assumptions!$B$9)</x:f>
        <x:v>-412441.9715452374</x:v>
      </x:c>
      <x:c r="Z1660" s="58" t="n">
        <x:f>IF(R1660="No","",X1660-Y1660)</x:f>
        <x:v>-952698.7467089389</x:v>
      </x:c>
      <x:c r="AA1660" s="58" t="n">
        <x:f>IF(R1660="No","",MAX(0,-Z1660))</x:f>
        <x:v>952698.7467089389</x:v>
      </x:c>
      <x:c r="AB1660" s="52" t="n">
        <x:f>IF(OR(R1660="No",U1660*S1660=0),"",AA1660/(U1660*S1660))</x:f>
        <x:v>0.01384694268970547</x:v>
      </x:c>
      <x:c r="AC1660" s="54" t="n">
        <x:f>IF(OR(R1660="No",S1660-T1660*Assumptions!$B$9&lt;=0),"",AA1660/(Assumptions!$B$8*(S1660-T1660*Assumptions!$B$9)))</x:f>
        <x:v>189.52654045650726</x:v>
      </x:c>
      <x:c r="AD1660" s="52" t="n">
        <x:f>IF(OR(R1660="No",U1660*S1660=0),"",AA1660/(U1660*S1660))</x:f>
        <x:v>0.01384694268970547</x:v>
      </x:c>
      <x:c r="AE1660" s="50" t="str">
        <x:f>IF(R1660="No","No finance data",IF(AB1660&gt;=10%,"Severe",IF(AB1660&gt;=5%,"High",IF(AB1660&gt;=2%,"Moderate","Low"))))</x:f>
        <x:v>Low</x:v>
      </x:c>
      <x:c r="AF1660" s="60" t="n">
        <x:v>27.713723</x:v>
      </x:c>
      <x:c r="AG1660" s="60" t="n">
        <x:v>-97.32395</x:v>
      </x:c>
      <x:c r="AH1660" s="44" t="str">
        <x:v>Undergraduate tuition-contribution proxy only; not an audited total institutional budget.</x:v>
      </x:c>
    </x:row>
    <x:row r="1661">
      <x:c r="A1661" s="16" t="n">
        <x:v>228705</x:v>
      </x:c>
      <x:c r="B1661" s="16" t="str">
        <x:v>Texas A &amp; M University-Kingsville</x:v>
      </x:c>
      <x:c r="C1661" s="16" t="str">
        <x:v>TX</x:v>
      </x:c>
      <x:c r="D1661" s="16" t="str">
        <x:v>Public</x:v>
      </x:c>
      <x:c r="E1661" s="34" t="n">
        <x:v>5630</x:v>
      </x:c>
      <x:c r="F1661" s="21" t="n">
        <x:v>0.9287</x:v>
      </x:c>
      <x:c r="G1661" s="16" t="str">
        <x:v>Statewide</x:v>
      </x:c>
      <x:c r="H1661" s="36" t="n">
        <x:f>IF(G1661="National",Assumptions!$B$11,IF(G1661="Statewide",Assumptions!$B$12,Assumptions!$B$13))</x:f>
        <x:v>0.6</x:v>
      </x:c>
      <x:c r="I1661" s="21" t="n">
        <x:v>-0.027936917423154628</x:v>
      </x:c>
      <x:c r="J1661" s="21" t="n">
        <x:v>-0.0014699797999464526</x:v>
      </x:c>
      <x:c r="K1661" s="21" t="n">
        <x:v>0.009664387062230828</x:v>
      </x:c>
      <x:c r="L1661" s="36" t="n">
        <x:f>IF(Assumptions!$B$4=2030,I1661,IF(Assumptions!$B$4=2035,J1661,K1661))</x:f>
        <x:v>-0.0014699797999464526</x:v>
      </x:c>
      <x:c r="M1661" s="36" t="n">
        <x:f>Assumptions!$B$19</x:f>
        <x:v>-0.04739891965741583</x:v>
      </x:c>
      <x:c r="N1661" s="52" t="n">
        <x:f>H1661*L1661+(1-H1661)*M1661+O1661</x:f>
        <x:v>-0.019841555742934204</x:v>
      </x:c>
      <x:c r="O1661" s="36" t="n">
        <x:f>Assumptions!$B$10</x:f>
        <x:v>0</x:v>
      </x:c>
      <x:c r="P1661" s="54" t="n">
        <x:f>E1661*(1+N1661)</x:f>
        <x:v>5518.29204116728</x:v>
      </x:c>
      <x:c r="Q1661" s="54" t="n">
        <x:f>P1661-E1661</x:f>
        <x:v>-111.70795883271967</x:v>
      </x:c>
      <x:c r="R1661" s="16" t="str">
        <x:v>Yes</x:v>
      </x:c>
      <x:c r="S1661" s="56" t="n">
        <x:v>6719</x:v>
      </x:c>
      <x:c r="T1661" s="56" t="n">
        <x:v>9169</x:v>
      </x:c>
      <x:c r="U1661" s="40" t="n">
        <x:f>E1661*Assumptions!$B$8</x:f>
        <x:v>4785.5</x:v>
      </x:c>
      <x:c r="V1661" s="40" t="n">
        <x:f>P1661*Assumptions!$B$8</x:f>
        <x:v>4690.548234992189</x:v>
      </x:c>
      <x:c r="W1661" s="54" t="n">
        <x:f>V1661-U1661</x:f>
        <x:v>-94.95176500781145</x:v>
      </x:c>
      <x:c r="X1661" s="58" t="n">
        <x:f>IF(R1661="No","",W1661*S1661)</x:f>
        <x:v>-637980.909087485</x:v>
      </x:c>
      <x:c r="Y1661" s="58" t="n">
        <x:f>IF(R1661="No","",W1661*T1661*Assumptions!$B$9)</x:f>
        <x:v>-261183.8200069869</x:v>
      </x:c>
      <x:c r="Z1661" s="58" t="n">
        <x:f>IF(R1661="No","",X1661-Y1661)</x:f>
        <x:v>-376797.08908049815</x:v>
      </x:c>
      <x:c r="AA1661" s="58" t="n">
        <x:f>IF(R1661="No","",MAX(0,-Z1661))</x:f>
        <x:v>376797.08908049815</x:v>
      </x:c>
      <x:c r="AB1661" s="52" t="n">
        <x:f>IF(OR(R1661="No",U1661*S1661=0),"",AA1661/(U1661*S1661))</x:f>
        <x:v>0.01171859587061849</x:v>
      </x:c>
      <x:c r="AC1661" s="54" t="n">
        <x:f>IF(OR(R1661="No",S1661-T1661*Assumptions!$B$9&lt;=0),"",AA1661/(Assumptions!$B$8*(S1661-T1661*Assumptions!$B$9)))</x:f>
        <x:v>111.70795883271933</x:v>
      </x:c>
      <x:c r="AD1661" s="52" t="n">
        <x:f>IF(OR(R1661="No",U1661*S1661=0),"",AA1661/(U1661*S1661))</x:f>
        <x:v>0.01171859587061849</x:v>
      </x:c>
      <x:c r="AE1661" s="50" t="str">
        <x:f>IF(R1661="No","No finance data",IF(AB1661&gt;=10%,"Severe",IF(AB1661&gt;=5%,"High",IF(AB1661&gt;=2%,"Moderate","Low"))))</x:f>
        <x:v>Low</x:v>
      </x:c>
      <x:c r="AF1661" s="60" t="n">
        <x:v>27.525168</x:v>
      </x:c>
      <x:c r="AG1661" s="60" t="n">
        <x:v>-97.882387</x:v>
      </x:c>
      <x:c r="AH1661" s="44" t="str">
        <x:v>Undergraduate tuition-contribution proxy only; not an audited total institutional budget.</x:v>
      </x:c>
    </x:row>
    <x:row r="1662">
      <x:c r="A1662" s="16" t="n">
        <x:v>459949</x:v>
      </x:c>
      <x:c r="B1662" s="16" t="str">
        <x:v>Texas A&amp;M University-San Antonio</x:v>
      </x:c>
      <x:c r="C1662" s="16" t="str">
        <x:v>TX</x:v>
      </x:c>
      <x:c r="D1662" s="16" t="str">
        <x:v>Public</x:v>
      </x:c>
      <x:c r="E1662" s="34" t="n">
        <x:v>3630</x:v>
      </x:c>
      <x:c r="F1662" s="21" t="n">
        <x:v>0.7274</x:v>
      </x:c>
      <x:c r="G1662" s="16" t="str">
        <x:v>Regional</x:v>
      </x:c>
      <x:c r="H1662" s="36" t="n">
        <x:f>IF(G1662="National",Assumptions!$B$11,IF(G1662="Statewide",Assumptions!$B$12,Assumptions!$B$13))</x:f>
        <x:v>0.85</x:v>
      </x:c>
      <x:c r="I1662" s="21" t="n">
        <x:v>-0.027936917423154628</x:v>
      </x:c>
      <x:c r="J1662" s="21" t="n">
        <x:v>-0.0014699797999464526</x:v>
      </x:c>
      <x:c r="K1662" s="21" t="n">
        <x:v>0.009664387062230828</x:v>
      </x:c>
      <x:c r="L1662" s="36" t="n">
        <x:f>IF(Assumptions!$B$4=2030,I1662,IF(Assumptions!$B$4=2035,J1662,K1662))</x:f>
        <x:v>-0.0014699797999464526</x:v>
      </x:c>
      <x:c r="M1662" s="36" t="n">
        <x:f>Assumptions!$B$19</x:f>
        <x:v>-0.04739891965741583</x:v>
      </x:c>
      <x:c r="N1662" s="52" t="n">
        <x:f>H1662*L1662+(1-H1662)*M1662+O1662</x:f>
        <x:v>-0.00835932077856686</x:v>
      </x:c>
      <x:c r="O1662" s="36" t="n">
        <x:f>Assumptions!$B$10</x:f>
        <x:v>0</x:v>
      </x:c>
      <x:c r="P1662" s="54" t="n">
        <x:f>E1662*(1+N1662)</x:f>
        <x:v>3599.6556655738023</x:v>
      </x:c>
      <x:c r="Q1662" s="54" t="n">
        <x:f>P1662-E1662</x:f>
        <x:v>-30.344334426197747</x:v>
      </x:c>
      <x:c r="R1662" s="16" t="str">
        <x:v>Yes</x:v>
      </x:c>
      <x:c r="S1662" s="56" t="n">
        <x:v>5868</x:v>
      </x:c>
      <x:c r="T1662" s="56" t="n">
        <x:v>9064</x:v>
      </x:c>
      <x:c r="U1662" s="40" t="n">
        <x:f>E1662*Assumptions!$B$8</x:f>
        <x:v>3085.5</x:v>
      </x:c>
      <x:c r="V1662" s="40" t="n">
        <x:f>P1662*Assumptions!$B$8</x:f>
        <x:v>3059.7073157377317</x:v>
      </x:c>
      <x:c r="W1662" s="54" t="n">
        <x:f>V1662-U1662</x:f>
        <x:v>-25.792684262268267</x:v>
      </x:c>
      <x:c r="X1662" s="58" t="n">
        <x:f>IF(R1662="No","",W1662*S1662)</x:f>
        <x:v>-151351.4712509902</x:v>
      </x:c>
      <x:c r="Y1662" s="58" t="n">
        <x:f>IF(R1662="No","",W1662*T1662*Assumptions!$B$9)</x:f>
        <x:v>-70135.46704595987</x:v>
      </x:c>
      <x:c r="Z1662" s="58" t="n">
        <x:f>IF(R1662="No","",X1662-Y1662)</x:f>
        <x:v>-81216.00420503033</x:v>
      </x:c>
      <x:c r="AA1662" s="58" t="n">
        <x:f>IF(R1662="No","",MAX(0,-Z1662))</x:f>
        <x:v>81216.00420503033</x:v>
      </x:c>
      <x:c r="AB1662" s="52" t="n">
        <x:f>IF(OR(R1662="No",U1662*S1662=0),"",AA1662/(U1662*S1662))</x:f>
        <x:v>0.004485655976065365</x:v>
      </x:c>
      <x:c r="AC1662" s="54" t="n">
        <x:f>IF(OR(R1662="No",S1662-T1662*Assumptions!$B$9&lt;=0),"",AA1662/(Assumptions!$B$8*(S1662-T1662*Assumptions!$B$9)))</x:f>
        <x:v>30.344334426197964</x:v>
      </x:c>
      <x:c r="AD1662" s="52" t="n">
        <x:f>IF(OR(R1662="No",U1662*S1662=0),"",AA1662/(U1662*S1662))</x:f>
        <x:v>0.004485655976065365</x:v>
      </x:c>
      <x:c r="AE1662" s="50" t="str">
        <x:f>IF(R1662="No","No finance data",IF(AB1662&gt;=10%,"Severe",IF(AB1662&gt;=5%,"High",IF(AB1662&gt;=2%,"Moderate","Low"))))</x:f>
        <x:v>Low</x:v>
      </x:c>
      <x:c r="AF1662" s="60" t="n">
        <x:v>29.304762</x:v>
      </x:c>
      <x:c r="AG1662" s="60" t="n">
        <x:v>-98.52417</x:v>
      </x:c>
      <x:c r="AH1662" s="44" t="str">
        <x:v>Undergraduate tuition-contribution proxy only; not an audited total institutional budget.</x:v>
      </x:c>
    </x:row>
    <x:row r="1663">
      <x:c r="A1663" s="16" t="n">
        <x:v>224545</x:v>
      </x:c>
      <x:c r="B1663" s="16" t="str">
        <x:v>Texas A&amp;M University-Texarkana</x:v>
      </x:c>
      <x:c r="C1663" s="16" t="str">
        <x:v>TX</x:v>
      </x:c>
      <x:c r="D1663" s="16" t="str">
        <x:v>Public</x:v>
      </x:c>
      <x:c r="E1663" s="34" t="n">
        <x:v>1397</x:v>
      </x:c>
      <x:c r="F1663" s="21" t="n">
        <x:v>0.9601</x:v>
      </x:c>
      <x:c r="G1663" s="16" t="str">
        <x:v>Regional</x:v>
      </x:c>
      <x:c r="H1663" s="36" t="n">
        <x:f>IF(G1663="National",Assumptions!$B$11,IF(G1663="Statewide",Assumptions!$B$12,Assumptions!$B$13))</x:f>
        <x:v>0.85</x:v>
      </x:c>
      <x:c r="I1663" s="21" t="n">
        <x:v>-0.027936917423154628</x:v>
      </x:c>
      <x:c r="J1663" s="21" t="n">
        <x:v>-0.0014699797999464526</x:v>
      </x:c>
      <x:c r="K1663" s="21" t="n">
        <x:v>0.009664387062230828</x:v>
      </x:c>
      <x:c r="L1663" s="36" t="n">
        <x:f>IF(Assumptions!$B$4=2030,I1663,IF(Assumptions!$B$4=2035,J1663,K1663))</x:f>
        <x:v>-0.0014699797999464526</x:v>
      </x:c>
      <x:c r="M1663" s="36" t="n">
        <x:f>Assumptions!$B$19</x:f>
        <x:v>-0.04739891965741583</x:v>
      </x:c>
      <x:c r="N1663" s="52" t="n">
        <x:f>H1663*L1663+(1-H1663)*M1663+O1663</x:f>
        <x:v>-0.00835932077856686</x:v>
      </x:c>
      <x:c r="O1663" s="36" t="n">
        <x:f>Assumptions!$B$10</x:f>
        <x:v>0</x:v>
      </x:c>
      <x:c r="P1663" s="54" t="n">
        <x:f>E1663*(1+N1663)</x:f>
        <x:v>1385.3220288723421</x:v>
      </x:c>
      <x:c r="Q1663" s="54" t="n">
        <x:f>P1663-E1663</x:f>
        <x:v>-11.677971127657884</x:v>
      </x:c>
      <x:c r="R1663" s="16" t="str">
        <x:v>Yes</x:v>
      </x:c>
      <x:c r="S1663" s="56" t="n">
        <x:v>6556</x:v>
      </x:c>
      <x:c r="T1663" s="56" t="n">
        <x:v>12743</x:v>
      </x:c>
      <x:c r="U1663" s="40" t="n">
        <x:f>E1663*Assumptions!$B$8</x:f>
        <x:v>1187.45</x:v>
      </x:c>
      <x:c r="V1663" s="40" t="n">
        <x:f>P1663*Assumptions!$B$8</x:f>
        <x:v>1177.5237245414908</x:v>
      </x:c>
      <x:c r="W1663" s="54" t="n">
        <x:f>V1663-U1663</x:f>
        <x:v>-9.92627545850928</x:v>
      </x:c>
      <x:c r="X1663" s="58" t="n">
        <x:f>IF(R1663="No","",W1663*S1663)</x:f>
        <x:v>-65076.661905986846</x:v>
      </x:c>
      <x:c r="Y1663" s="58" t="n">
        <x:f>IF(R1663="No","",W1663*T1663*Assumptions!$B$9)</x:f>
        <x:v>-37947.158450335126</x:v>
      </x:c>
      <x:c r="Z1663" s="58" t="n">
        <x:f>IF(R1663="No","",X1663-Y1663)</x:f>
        <x:v>-27129.50345565172</x:v>
      </x:c>
      <x:c r="AA1663" s="58" t="n">
        <x:f>IF(R1663="No","",MAX(0,-Z1663))</x:f>
        <x:v>27129.50345565172</x:v>
      </x:c>
      <x:c r="AB1663" s="52" t="n">
        <x:f>IF(OR(R1663="No",U1663*S1663=0),"",AA1663/(U1663*S1663))</x:f>
        <x:v>0.0034848779163973815</x:v>
      </x:c>
      <x:c r="AC1663" s="54" t="n">
        <x:f>IF(OR(R1663="No",S1663-T1663*Assumptions!$B$9&lt;=0),"",AA1663/(Assumptions!$B$8*(S1663-T1663*Assumptions!$B$9)))</x:f>
        <x:v>11.677971127657978</x:v>
      </x:c>
      <x:c r="AD1663" s="52" t="n">
        <x:f>IF(OR(R1663="No",U1663*S1663=0),"",AA1663/(U1663*S1663))</x:f>
        <x:v>0.0034848779163973815</x:v>
      </x:c>
      <x:c r="AE1663" s="50" t="str">
        <x:f>IF(R1663="No","No finance data",IF(AB1663&gt;=10%,"Severe",IF(AB1663&gt;=5%,"High",IF(AB1663&gt;=2%,"Moderate","Low"))))</x:f>
        <x:v>Low</x:v>
      </x:c>
      <x:c r="AF1663" s="60" t="n">
        <x:v>33.490482</x:v>
      </x:c>
      <x:c r="AG1663" s="60" t="n">
        <x:v>-94.103617</x:v>
      </x:c>
      <x:c r="AH1663" s="44" t="str">
        <x:v>Undergraduate tuition-contribution proxy only; not an audited total institutional budget.</x:v>
      </x:c>
    </x:row>
    <x:row r="1664">
      <x:c r="A1664" s="16" t="n">
        <x:v>228875</x:v>
      </x:c>
      <x:c r="B1664" s="16" t="str">
        <x:v>Texas Christian University</x:v>
      </x:c>
      <x:c r="C1664" s="16" t="str">
        <x:v>TX</x:v>
      </x:c>
      <x:c r="D1664" s="16" t="str">
        <x:v>Private nonprofit</x:v>
      </x:c>
      <x:c r="E1664" s="34" t="n">
        <x:v>8851</x:v>
      </x:c>
      <x:c r="F1664" s="21" t="n">
        <x:v>0.5361</x:v>
      </x:c>
      <x:c r="G1664" s="16" t="str">
        <x:v>Statewide</x:v>
      </x:c>
      <x:c r="H1664" s="36" t="n">
        <x:f>IF(G1664="National",Assumptions!$B$11,IF(G1664="Statewide",Assumptions!$B$12,Assumptions!$B$13))</x:f>
        <x:v>0.6</x:v>
      </x:c>
      <x:c r="I1664" s="21" t="n">
        <x:v>-0.027936917423154628</x:v>
      </x:c>
      <x:c r="J1664" s="21" t="n">
        <x:v>-0.0014699797999464526</x:v>
      </x:c>
      <x:c r="K1664" s="21" t="n">
        <x:v>0.009664387062230828</x:v>
      </x:c>
      <x:c r="L1664" s="36" t="n">
        <x:f>IF(Assumptions!$B$4=2030,I1664,IF(Assumptions!$B$4=2035,J1664,K1664))</x:f>
        <x:v>-0.0014699797999464526</x:v>
      </x:c>
      <x:c r="M1664" s="36" t="n">
        <x:f>Assumptions!$B$19</x:f>
        <x:v>-0.04739891965741583</x:v>
      </x:c>
      <x:c r="N1664" s="52" t="n">
        <x:f>H1664*L1664+(1-H1664)*M1664+O1664</x:f>
        <x:v>-0.019841555742934204</x:v>
      </x:c>
      <x:c r="O1664" s="36" t="n">
        <x:f>Assumptions!$B$10</x:f>
        <x:v>0</x:v>
      </x:c>
      <x:c r="P1664" s="54" t="n">
        <x:f>E1664*(1+N1664)</x:f>
        <x:v>8675.38239011929</x:v>
      </x:c>
      <x:c r="Q1664" s="54" t="n">
        <x:f>P1664-E1664</x:f>
        <x:v>-175.61760988071</x:v>
      </x:c>
      <x:c r="R1664" s="16" t="str">
        <x:v>Yes</x:v>
      </x:c>
      <x:c r="S1664" s="56" t="n">
        <x:v>28241</x:v>
      </x:c>
      <x:c r="T1664" s="56" t="n">
        <x:v>18749</x:v>
      </x:c>
      <x:c r="U1664" s="40" t="n">
        <x:f>E1664*Assumptions!$B$8</x:f>
        <x:v>7523.349999999999</x:v>
      </x:c>
      <x:c r="V1664" s="40" t="n">
        <x:f>P1664*Assumptions!$B$8</x:f>
        <x:v>7374.075031601396</x:v>
      </x:c>
      <x:c r="W1664" s="54" t="n">
        <x:f>V1664-U1664</x:f>
        <x:v>-149.27496839860305</x:v>
      </x:c>
      <x:c r="X1664" s="58" t="n">
        <x:f>IF(R1664="No","",W1664*S1664)</x:f>
        <x:v>-4215674.382544949</x:v>
      </x:c>
      <x:c r="Y1664" s="58" t="n">
        <x:f>IF(R1664="No","",W1664*T1664*Assumptions!$B$9)</x:f>
        <x:v>-839626.9147516225</x:v>
      </x:c>
      <x:c r="Z1664" s="58" t="n">
        <x:f>IF(R1664="No","",X1664-Y1664)</x:f>
        <x:v>-3376047.4677933264</x:v>
      </x:c>
      <x:c r="AA1664" s="58" t="n">
        <x:f>IF(R1664="No","",MAX(0,-Z1664))</x:f>
        <x:v>3376047.4677933264</x:v>
      </x:c>
      <x:c r="AB1664" s="52" t="n">
        <x:f>IF(OR(R1664="No",U1664*S1664=0),"",AA1664/(U1664*S1664))</x:f>
        <x:v>0.015889755219323676</x:v>
      </x:c>
      <x:c r="AC1664" s="54" t="n">
        <x:f>IF(OR(R1664="No",S1664-T1664*Assumptions!$B$9&lt;=0),"",AA1664/(Assumptions!$B$8*(S1664-T1664*Assumptions!$B$9)))</x:f>
        <x:v>175.6176098807095</x:v>
      </x:c>
      <x:c r="AD1664" s="52" t="n">
        <x:f>IF(OR(R1664="No",U1664*S1664=0),"",AA1664/(U1664*S1664))</x:f>
        <x:v>0.015889755219323676</x:v>
      </x:c>
      <x:c r="AE1664" s="50" t="str">
        <x:f>IF(R1664="No","No finance data",IF(AB1664&gt;=10%,"Severe",IF(AB1664&gt;=5%,"High",IF(AB1664&gt;=2%,"Moderate","Low"))))</x:f>
        <x:v>Low</x:v>
      </x:c>
      <x:c r="AF1664" s="60" t="n">
        <x:v>32.70961</x:v>
      </x:c>
      <x:c r="AG1664" s="60" t="n">
        <x:v>-97.364758</x:v>
      </x:c>
      <x:c r="AH1664" s="44" t="str">
        <x:v>Undergraduate tuition-contribution proxy only; not an audited total institutional budget.</x:v>
      </x:c>
    </x:row>
    <x:row r="1665">
      <x:c r="A1665" s="16" t="n">
        <x:v>228884</x:v>
      </x:c>
      <x:c r="B1665" s="16" t="str">
        <x:v>Texas College</x:v>
      </x:c>
      <x:c r="C1665" s="16" t="str">
        <x:v>TX</x:v>
      </x:c>
      <x:c r="D1665" s="16" t="str">
        <x:v>Private nonprofit</x:v>
      </x:c>
      <x:c r="E1665" s="34" t="n">
        <x:v>853</x:v>
      </x:c>
      <x:c r="F1665" s="21"/>
      <x:c r="G1665" s="16" t="str">
        <x:v>Regional</x:v>
      </x:c>
      <x:c r="H1665" s="36" t="n">
        <x:f>IF(G1665="National",Assumptions!$B$11,IF(G1665="Statewide",Assumptions!$B$12,Assumptions!$B$13))</x:f>
        <x:v>0.85</x:v>
      </x:c>
      <x:c r="I1665" s="21" t="n">
        <x:v>-0.027936917423154628</x:v>
      </x:c>
      <x:c r="J1665" s="21" t="n">
        <x:v>-0.0014699797999464526</x:v>
      </x:c>
      <x:c r="K1665" s="21" t="n">
        <x:v>0.009664387062230828</x:v>
      </x:c>
      <x:c r="L1665" s="36" t="n">
        <x:f>IF(Assumptions!$B$4=2030,I1665,IF(Assumptions!$B$4=2035,J1665,K1665))</x:f>
        <x:v>-0.0014699797999464526</x:v>
      </x:c>
      <x:c r="M1665" s="36" t="n">
        <x:f>Assumptions!$B$19</x:f>
        <x:v>-0.04739891965741583</x:v>
      </x:c>
      <x:c r="N1665" s="52" t="n">
        <x:f>H1665*L1665+(1-H1665)*M1665+O1665</x:f>
        <x:v>-0.00835932077856686</x:v>
      </x:c>
      <x:c r="O1665" s="36" t="n">
        <x:f>Assumptions!$B$10</x:f>
        <x:v>0</x:v>
      </x:c>
      <x:c r="P1665" s="54" t="n">
        <x:f>E1665*(1+N1665)</x:f>
        <x:v>845.8694993758825</x:v>
      </x:c>
      <x:c r="Q1665" s="54" t="n">
        <x:f>P1665-E1665</x:f>
        <x:v>-7.130500624117531</x:v>
      </x:c>
      <x:c r="R1665" s="16" t="str">
        <x:v>Yes</x:v>
      </x:c>
      <x:c r="S1665" s="56" t="n">
        <x:v>8926</x:v>
      </x:c>
      <x:c r="T1665" s="56" t="n">
        <x:v>3127</x:v>
      </x:c>
      <x:c r="U1665" s="40" t="n">
        <x:f>E1665*Assumptions!$B$8</x:f>
        <x:v>725.05</x:v>
      </x:c>
      <x:c r="V1665" s="40" t="n">
        <x:f>P1665*Assumptions!$B$8</x:f>
        <x:v>718.9890744695001</x:v>
      </x:c>
      <x:c r="W1665" s="54" t="n">
        <x:f>V1665-U1665</x:f>
        <x:v>-6.060925530499844</x:v>
      </x:c>
      <x:c r="X1665" s="58" t="n">
        <x:f>IF(R1665="No","",W1665*S1665)</x:f>
        <x:v>-54099.82128524161</x:v>
      </x:c>
      <x:c r="Y1665" s="58" t="n">
        <x:f>IF(R1665="No","",W1665*T1665*Assumptions!$B$9)</x:f>
        <x:v>-5685.754240161904</x:v>
      </x:c>
      <x:c r="Z1665" s="58" t="n">
        <x:f>IF(R1665="No","",X1665-Y1665)</x:f>
        <x:v>-48414.067045079704</x:v>
      </x:c>
      <x:c r="AA1665" s="58" t="n">
        <x:f>IF(R1665="No","",MAX(0,-Z1665))</x:f>
        <x:v>48414.067045079704</x:v>
      </x:c>
      <x:c r="AB1665" s="52" t="n">
        <x:f>IF(OR(R1665="No",U1665*S1665=0),"",AA1665/(U1665*S1665))</x:f>
        <x:v>0.007480777329947746</x:v>
      </x:c>
      <x:c r="AC1665" s="54" t="n">
        <x:f>IF(OR(R1665="No",S1665-T1665*Assumptions!$B$9&lt;=0),"",AA1665/(Assumptions!$B$8*(S1665-T1665*Assumptions!$B$9)))</x:f>
        <x:v>7.130500624117464</x:v>
      </x:c>
      <x:c r="AD1665" s="52" t="n">
        <x:f>IF(OR(R1665="No",U1665*S1665=0),"",AA1665/(U1665*S1665))</x:f>
        <x:v>0.007480777329947746</x:v>
      </x:c>
      <x:c r="AE1665" s="50" t="str">
        <x:f>IF(R1665="No","No finance data",IF(AB1665&gt;=10%,"Severe",IF(AB1665&gt;=5%,"High",IF(AB1665&gt;=2%,"Moderate","Low"))))</x:f>
        <x:v>Low</x:v>
      </x:c>
      <x:c r="AF1665" s="60" t="n">
        <x:v>32.37456</x:v>
      </x:c>
      <x:c r="AG1665" s="60" t="n">
        <x:v>-95.312454</x:v>
      </x:c>
      <x:c r="AH1665" s="44" t="str">
        <x:v>Undergraduate tuition-contribution proxy only; not an audited total institutional budget.</x:v>
      </x:c>
    </x:row>
    <x:row r="1666">
      <x:c r="A1666" s="16" t="n">
        <x:v>228981</x:v>
      </x:c>
      <x:c r="B1666" s="16" t="str">
        <x:v>Texas Lutheran University</x:v>
      </x:c>
      <x:c r="C1666" s="16" t="str">
        <x:v>TX</x:v>
      </x:c>
      <x:c r="D1666" s="16" t="str">
        <x:v>Private nonprofit</x:v>
      </x:c>
      <x:c r="E1666" s="34" t="n">
        <x:v>1320</x:v>
      </x:c>
      <x:c r="F1666" s="21" t="n">
        <x:v>0.6293</x:v>
      </x:c>
      <x:c r="G1666" s="16" t="str">
        <x:v>Regional</x:v>
      </x:c>
      <x:c r="H1666" s="36" t="n">
        <x:f>IF(G1666="National",Assumptions!$B$11,IF(G1666="Statewide",Assumptions!$B$12,Assumptions!$B$13))</x:f>
        <x:v>0.85</x:v>
      </x:c>
      <x:c r="I1666" s="21" t="n">
        <x:v>-0.027936917423154628</x:v>
      </x:c>
      <x:c r="J1666" s="21" t="n">
        <x:v>-0.0014699797999464526</x:v>
      </x:c>
      <x:c r="K1666" s="21" t="n">
        <x:v>0.009664387062230828</x:v>
      </x:c>
      <x:c r="L1666" s="36" t="n">
        <x:f>IF(Assumptions!$B$4=2030,I1666,IF(Assumptions!$B$4=2035,J1666,K1666))</x:f>
        <x:v>-0.0014699797999464526</x:v>
      </x:c>
      <x:c r="M1666" s="36" t="n">
        <x:f>Assumptions!$B$19</x:f>
        <x:v>-0.04739891965741583</x:v>
      </x:c>
      <x:c r="N1666" s="52" t="n">
        <x:f>H1666*L1666+(1-H1666)*M1666+O1666</x:f>
        <x:v>-0.00835932077856686</x:v>
      </x:c>
      <x:c r="O1666" s="36" t="n">
        <x:f>Assumptions!$B$10</x:f>
        <x:v>0</x:v>
      </x:c>
      <x:c r="P1666" s="54" t="n">
        <x:f>E1666*(1+N1666)</x:f>
        <x:v>1308.9656965722918</x:v>
      </x:c>
      <x:c r="Q1666" s="54" t="n">
        <x:f>P1666-E1666</x:f>
        <x:v>-11.03430342770821</x:v>
      </x:c>
      <x:c r="R1666" s="16" t="str">
        <x:v>Yes</x:v>
      </x:c>
      <x:c r="S1666" s="56" t="n">
        <x:v>12015</x:v>
      </x:c>
      <x:c r="T1666" s="56" t="n">
        <x:v>8889</x:v>
      </x:c>
      <x:c r="U1666" s="40" t="n">
        <x:f>E1666*Assumptions!$B$8</x:f>
        <x:v>1122</x:v>
      </x:c>
      <x:c r="V1666" s="40" t="n">
        <x:f>P1666*Assumptions!$B$8</x:f>
        <x:v>1112.620842086448</x:v>
      </x:c>
      <x:c r="W1666" s="54" t="n">
        <x:f>V1666-U1666</x:f>
        <x:v>-9.379157913552035</x:v>
      </x:c>
      <x:c r="X1666" s="58" t="n">
        <x:f>IF(R1666="No","",W1666*S1666)</x:f>
        <x:v>-112690.5823313277</x:v>
      </x:c>
      <x:c r="Y1666" s="58" t="n">
        <x:f>IF(R1666="No","",W1666*T1666*Assumptions!$B$9)</x:f>
        <x:v>-25011.400408069214</x:v>
      </x:c>
      <x:c r="Z1666" s="58" t="n">
        <x:f>IF(R1666="No","",X1666-Y1666)</x:f>
        <x:v>-87679.1819232585</x:v>
      </x:c>
      <x:c r="AA1666" s="58" t="n">
        <x:f>IF(R1666="No","",MAX(0,-Z1666))</x:f>
        <x:v>87679.1819232585</x:v>
      </x:c>
      <x:c r="AB1666" s="52" t="n">
        <x:f>IF(OR(R1666="No",U1666*S1666=0),"",AA1666/(U1666*S1666))</x:f>
        <x:v>0.006503989882170348</x:v>
      </x:c>
      <x:c r="AC1666" s="54" t="n">
        <x:f>IF(OR(R1666="No",S1666-T1666*Assumptions!$B$9&lt;=0),"",AA1666/(Assumptions!$B$8*(S1666-T1666*Assumptions!$B$9)))</x:f>
        <x:v>11.034303427708279</x:v>
      </x:c>
      <x:c r="AD1666" s="52" t="n">
        <x:f>IF(OR(R1666="No",U1666*S1666=0),"",AA1666/(U1666*S1666))</x:f>
        <x:v>0.006503989882170348</x:v>
      </x:c>
      <x:c r="AE1666" s="50" t="str">
        <x:f>IF(R1666="No","No finance data",IF(AB1666&gt;=10%,"Severe",IF(AB1666&gt;=5%,"High",IF(AB1666&gt;=2%,"Moderate","Low"))))</x:f>
        <x:v>Low</x:v>
      </x:c>
      <x:c r="AF1666" s="60" t="n">
        <x:v>29.573261</x:v>
      </x:c>
      <x:c r="AG1666" s="60" t="n">
        <x:v>-97.982669</x:v>
      </x:c>
      <x:c r="AH1666" s="44" t="str">
        <x:v>Undergraduate tuition-contribution proxy only; not an audited total institutional budget.</x:v>
      </x:c>
    </x:row>
    <x:row r="1667">
      <x:c r="A1667" s="16" t="n">
        <x:v>229063</x:v>
      </x:c>
      <x:c r="B1667" s="16" t="str">
        <x:v>Texas Southern University</x:v>
      </x:c>
      <x:c r="C1667" s="16" t="str">
        <x:v>TX</x:v>
      </x:c>
      <x:c r="D1667" s="16" t="str">
        <x:v>Public</x:v>
      </x:c>
      <x:c r="E1667" s="34" t="n">
        <x:v>6696</x:v>
      </x:c>
      <x:c r="F1667" s="21" t="n">
        <x:v>0.6305</x:v>
      </x:c>
      <x:c r="G1667" s="16" t="str">
        <x:v>Statewide</x:v>
      </x:c>
      <x:c r="H1667" s="36" t="n">
        <x:f>IF(G1667="National",Assumptions!$B$11,IF(G1667="Statewide",Assumptions!$B$12,Assumptions!$B$13))</x:f>
        <x:v>0.6</x:v>
      </x:c>
      <x:c r="I1667" s="21" t="n">
        <x:v>-0.027936917423154628</x:v>
      </x:c>
      <x:c r="J1667" s="21" t="n">
        <x:v>-0.0014699797999464526</x:v>
      </x:c>
      <x:c r="K1667" s="21" t="n">
        <x:v>0.009664387062230828</x:v>
      </x:c>
      <x:c r="L1667" s="36" t="n">
        <x:f>IF(Assumptions!$B$4=2030,I1667,IF(Assumptions!$B$4=2035,J1667,K1667))</x:f>
        <x:v>-0.0014699797999464526</x:v>
      </x:c>
      <x:c r="M1667" s="36" t="n">
        <x:f>Assumptions!$B$19</x:f>
        <x:v>-0.04739891965741583</x:v>
      </x:c>
      <x:c r="N1667" s="52" t="n">
        <x:f>H1667*L1667+(1-H1667)*M1667+O1667</x:f>
        <x:v>-0.019841555742934204</x:v>
      </x:c>
      <x:c r="O1667" s="36" t="n">
        <x:f>Assumptions!$B$10</x:f>
        <x:v>0</x:v>
      </x:c>
      <x:c r="P1667" s="54" t="n">
        <x:f>E1667*(1+N1667)</x:f>
        <x:v>6563.140942745313</x:v>
      </x:c>
      <x:c r="Q1667" s="54" t="n">
        <x:f>P1667-E1667</x:f>
        <x:v>-132.8590572546873</x:v>
      </x:c>
      <x:c r="R1667" s="16" t="str">
        <x:v>Yes</x:v>
      </x:c>
      <x:c r="S1667" s="56" t="n">
        <x:v>8182</x:v>
      </x:c>
      <x:c r="T1667" s="56" t="n">
        <x:v>14068</x:v>
      </x:c>
      <x:c r="U1667" s="40" t="n">
        <x:f>E1667*Assumptions!$B$8</x:f>
        <x:v>5691.599999999999</x:v>
      </x:c>
      <x:c r="V1667" s="40" t="n">
        <x:f>P1667*Assumptions!$B$8</x:f>
        <x:v>5578.669801333515</x:v>
      </x:c>
      <x:c r="W1667" s="54" t="n">
        <x:f>V1667-U1667</x:f>
        <x:v>-112.9301986664841</x:v>
      </x:c>
      <x:c r="X1667" s="58" t="n">
        <x:f>IF(R1667="No","",W1667*S1667)</x:f>
        <x:v>-923994.8854891729</x:v>
      </x:c>
      <x:c r="Y1667" s="58" t="n">
        <x:f>IF(R1667="No","",W1667*T1667*Assumptions!$B$9)</x:f>
        <x:v>-476610.6104520295</x:v>
      </x:c>
      <x:c r="Z1667" s="58" t="n">
        <x:f>IF(R1667="No","",X1667-Y1667)</x:f>
        <x:v>-447384.2750371434</x:v>
      </x:c>
      <x:c r="AA1667" s="58" t="n">
        <x:f>IF(R1667="No","",MAX(0,-Z1667))</x:f>
        <x:v>447384.2750371434</x:v>
      </x:c>
      <x:c r="AB1667" s="52" t="n">
        <x:f>IF(OR(R1667="No",U1667*S1667=0),"",AA1667/(U1667*S1667))</x:f>
        <x:v>0.009606979617600587</x:v>
      </x:c>
      <x:c r="AC1667" s="54" t="n">
        <x:f>IF(OR(R1667="No",S1667-T1667*Assumptions!$B$9&lt;=0),"",AA1667/(Assumptions!$B$8*(S1667-T1667*Assumptions!$B$9)))</x:f>
        <x:v>132.85905725468717</x:v>
      </x:c>
      <x:c r="AD1667" s="52" t="n">
        <x:f>IF(OR(R1667="No",U1667*S1667=0),"",AA1667/(U1667*S1667))</x:f>
        <x:v>0.009606979617600587</x:v>
      </x:c>
      <x:c r="AE1667" s="50" t="str">
        <x:f>IF(R1667="No","No finance data",IF(AB1667&gt;=10%,"Severe",IF(AB1667&gt;=5%,"High",IF(AB1667&gt;=2%,"Moderate","Low"))))</x:f>
        <x:v>Low</x:v>
      </x:c>
      <x:c r="AF1667" s="60" t="n">
        <x:v>29.721046</x:v>
      </x:c>
      <x:c r="AG1667" s="60" t="n">
        <x:v>-95.361113</x:v>
      </x:c>
      <x:c r="AH1667" s="44" t="str">
        <x:v>Undergraduate tuition-contribution proxy only; not an audited total institutional budget.</x:v>
      </x:c>
    </x:row>
    <x:row r="1668">
      <x:c r="A1668" s="16" t="n">
        <x:v>227377</x:v>
      </x:c>
      <x:c r="B1668" s="16" t="str">
        <x:v>Texas Southmost College</x:v>
      </x:c>
      <x:c r="C1668" s="16" t="str">
        <x:v>TX</x:v>
      </x:c>
      <x:c r="D1668" s="16" t="str">
        <x:v>Public</x:v>
      </x:c>
      <x:c r="E1668" s="34" t="n">
        <x:v>3166</x:v>
      </x:c>
      <x:c r="F1668" s="21"/>
      <x:c r="G1668" s="16" t="str">
        <x:v>Regional</x:v>
      </x:c>
      <x:c r="H1668" s="36" t="n">
        <x:f>IF(G1668="National",Assumptions!$B$11,IF(G1668="Statewide",Assumptions!$B$12,Assumptions!$B$13))</x:f>
        <x:v>0.85</x:v>
      </x:c>
      <x:c r="I1668" s="21" t="n">
        <x:v>-0.027936917423154628</x:v>
      </x:c>
      <x:c r="J1668" s="21" t="n">
        <x:v>-0.0014699797999464526</x:v>
      </x:c>
      <x:c r="K1668" s="21" t="n">
        <x:v>0.009664387062230828</x:v>
      </x:c>
      <x:c r="L1668" s="36" t="n">
        <x:f>IF(Assumptions!$B$4=2030,I1668,IF(Assumptions!$B$4=2035,J1668,K1668))</x:f>
        <x:v>-0.0014699797999464526</x:v>
      </x:c>
      <x:c r="M1668" s="36" t="n">
        <x:f>Assumptions!$B$19</x:f>
        <x:v>-0.04739891965741583</x:v>
      </x:c>
      <x:c r="N1668" s="52" t="n">
        <x:f>H1668*L1668+(1-H1668)*M1668+O1668</x:f>
        <x:v>-0.00835932077856686</x:v>
      </x:c>
      <x:c r="O1668" s="36" t="n">
        <x:f>Assumptions!$B$10</x:f>
        <x:v>0</x:v>
      </x:c>
      <x:c r="P1668" s="54" t="n">
        <x:f>E1668*(1+N1668)</x:f>
        <x:v>3139.5343904150573</x:v>
      </x:c>
      <x:c r="Q1668" s="54" t="n">
        <x:f>P1668-E1668</x:f>
        <x:v>-26.46560958494274</x:v>
      </x:c>
      <x:c r="R1668" s="16" t="str">
        <x:v>No</x:v>
      </x:c>
      <x:c r="S1668" s="56"/>
      <x:c r="T1668" s="56"/>
      <x:c r="U1668" s="40" t="n">
        <x:f>E1668*Assumptions!$B$8</x:f>
        <x:v>2691.1</x:v>
      </x:c>
      <x:c r="V1668" s="40" t="n">
        <x:f>P1668*Assumptions!$B$8</x:f>
        <x:v>2668.6042318527984</x:v>
      </x:c>
      <x:c r="W1668" s="54" t="n">
        <x:f>V1668-U1668</x:f>
        <x:v>-22.49576814720149</x:v>
      </x:c>
      <x:c r="X1668" s="58" t="str">
        <x:f>IF(R1668="No","",W1668*S1668)</x:f>
      </x:c>
      <x:c r="Y1668" s="58" t="str">
        <x:f>IF(R1668="No","",W1668*T1668*Assumptions!$B$9)</x:f>
      </x:c>
      <x:c r="Z1668" s="58" t="str">
        <x:f>IF(R1668="No","",X1668-Y1668)</x:f>
      </x:c>
      <x:c r="AA1668" s="58" t="str">
        <x:f>IF(R1668="No","",MAX(0,-Z1668))</x:f>
      </x:c>
      <x:c r="AB1668" s="52" t="str">
        <x:f>IF(OR(R1668="No",U1668*S1668=0),"",AA1668/(U1668*S1668))</x:f>
      </x:c>
      <x:c r="AC1668" s="54" t="str">
        <x:f>IF(OR(R1668="No",S1668-T1668*Assumptions!$B$9&lt;=0),"",AA1668/(Assumptions!$B$8*(S1668-T1668*Assumptions!$B$9)))</x:f>
      </x:c>
      <x:c r="AD1668" s="52" t="str">
        <x:f>IF(OR(R1668="No",U1668*S1668=0),"",AA1668/(U1668*S1668))</x:f>
      </x:c>
      <x:c r="AE1668" s="50" t="str">
        <x:f>IF(R1668="No","No finance data",IF(AB1668&gt;=10%,"Severe",IF(AB1668&gt;=5%,"High",IF(AB1668&gt;=2%,"Moderate","Low"))))</x:f>
        <x:v>No finance data</x:v>
      </x:c>
      <x:c r="AF1668" s="60"/>
      <x:c r="AG1668" s="60"/>
      <x:c r="AH1668" s="44" t="str">
        <x:v>Undergraduate tuition-contribution proxy only; not an audited total institutional budget.</x:v>
      </x:c>
    </x:row>
    <x:row r="1669">
      <x:c r="A1669" s="16" t="n">
        <x:v>228459</x:v>
      </x:c>
      <x:c r="B1669" s="16" t="str">
        <x:v>Texas State University</x:v>
      </x:c>
      <x:c r="C1669" s="16" t="str">
        <x:v>TX</x:v>
      </x:c>
      <x:c r="D1669" s="16" t="str">
        <x:v>Public</x:v>
      </x:c>
      <x:c r="E1669" s="34" t="n">
        <x:v>33480</x:v>
      </x:c>
      <x:c r="F1669" s="21" t="n">
        <x:v>0.6999</x:v>
      </x:c>
      <x:c r="G1669" s="16" t="str">
        <x:v>National</x:v>
      </x:c>
      <x:c r="H1669" s="36" t="n">
        <x:f>IF(G1669="National",Assumptions!$B$11,IF(G1669="Statewide",Assumptions!$B$12,Assumptions!$B$13))</x:f>
        <x:v>0.25</x:v>
      </x:c>
      <x:c r="I1669" s="21" t="n">
        <x:v>-0.027936917423154628</x:v>
      </x:c>
      <x:c r="J1669" s="21" t="n">
        <x:v>-0.0014699797999464526</x:v>
      </x:c>
      <x:c r="K1669" s="21" t="n">
        <x:v>0.009664387062230828</x:v>
      </x:c>
      <x:c r="L1669" s="36" t="n">
        <x:f>IF(Assumptions!$B$4=2030,I1669,IF(Assumptions!$B$4=2035,J1669,K1669))</x:f>
        <x:v>-0.0014699797999464526</x:v>
      </x:c>
      <x:c r="M1669" s="36" t="n">
        <x:f>Assumptions!$B$19</x:f>
        <x:v>-0.04739891965741583</x:v>
      </x:c>
      <x:c r="N1669" s="52" t="n">
        <x:f>H1669*L1669+(1-H1669)*M1669+O1669</x:f>
        <x:v>-0.035916684693048484</x:v>
      </x:c>
      <x:c r="O1669" s="36" t="n">
        <x:f>Assumptions!$B$10</x:f>
        <x:v>0</x:v>
      </x:c>
      <x:c r="P1669" s="54" t="n">
        <x:f>E1669*(1+N1669)</x:f>
        <x:v>32277.509396476737</x:v>
      </x:c>
      <x:c r="Q1669" s="54" t="n">
        <x:f>P1669-E1669</x:f>
        <x:v>-1202.4906035232634</x:v>
      </x:c>
      <x:c r="R1669" s="16" t="str">
        <x:v>Yes</x:v>
      </x:c>
      <x:c r="S1669" s="56" t="n">
        <x:v>8847</x:v>
      </x:c>
      <x:c r="T1669" s="56" t="n">
        <x:v>7052</x:v>
      </x:c>
      <x:c r="U1669" s="40" t="n">
        <x:f>E1669*Assumptions!$B$8</x:f>
        <x:v>28458</x:v>
      </x:c>
      <x:c r="V1669" s="40" t="n">
        <x:f>P1669*Assumptions!$B$8</x:f>
        <x:v>27435.882987005225</x:v>
      </x:c>
      <x:c r="W1669" s="54" t="n">
        <x:f>V1669-U1669</x:f>
        <x:v>-1022.117012994775</x:v>
      </x:c>
      <x:c r="X1669" s="58" t="n">
        <x:f>IF(R1669="No","",W1669*S1669)</x:f>
        <x:v>-9042669.213964775</x:v>
      </x:c>
      <x:c r="Y1669" s="58" t="n">
        <x:f>IF(R1669="No","",W1669*T1669*Assumptions!$B$9)</x:f>
        <x:v>-2162390.7526917458</x:v>
      </x:c>
      <x:c r="Z1669" s="58" t="n">
        <x:f>IF(R1669="No","",X1669-Y1669)</x:f>
        <x:v>-6880278.461273029</x:v>
      </x:c>
      <x:c r="AA1669" s="58" t="n">
        <x:f>IF(R1669="No","",MAX(0,-Z1669))</x:f>
        <x:v>6880278.461273029</x:v>
      </x:c>
      <x:c r="AB1669" s="52" t="n">
        <x:f>IF(OR(R1669="No",U1669*S1669=0),"",AA1669/(U1669*S1669))</x:f>
        <x:v>0.027327859313076398</x:v>
      </x:c>
      <x:c r="AC1669" s="54" t="n">
        <x:f>IF(OR(R1669="No",S1669-T1669*Assumptions!$B$9&lt;=0),"",AA1669/(Assumptions!$B$8*(S1669-T1669*Assumptions!$B$9)))</x:f>
        <x:v>1202.490603523265</x:v>
      </x:c>
      <x:c r="AD1669" s="52" t="n">
        <x:f>IF(OR(R1669="No",U1669*S1669=0),"",AA1669/(U1669*S1669))</x:f>
        <x:v>0.027327859313076398</x:v>
      </x:c>
      <x:c r="AE1669" s="50" t="str">
        <x:f>IF(R1669="No","No finance data",IF(AB1669&gt;=10%,"Severe",IF(AB1669&gt;=5%,"High",IF(AB1669&gt;=2%,"Moderate","Low"))))</x:f>
        <x:v>Moderate</x:v>
      </x:c>
      <x:c r="AF1669" s="60" t="n">
        <x:v>29.888885</x:v>
      </x:c>
      <x:c r="AG1669" s="60" t="n">
        <x:v>-97.943029</x:v>
      </x:c>
      <x:c r="AH1669" s="44" t="str">
        <x:v>Undergraduate tuition-contribution proxy only; not an audited total institutional budget.</x:v>
      </x:c>
    </x:row>
    <x:row r="1670">
      <x:c r="A1670" s="16" t="n">
        <x:v>229115</x:v>
      </x:c>
      <x:c r="B1670" s="16" t="str">
        <x:v>Texas Tech University</x:v>
      </x:c>
      <x:c r="C1670" s="16" t="str">
        <x:v>TX</x:v>
      </x:c>
      <x:c r="D1670" s="16" t="str">
        <x:v>Public</x:v>
      </x:c>
      <x:c r="E1670" s="34" t="n">
        <x:v>28868</x:v>
      </x:c>
      <x:c r="F1670" s="21" t="n">
        <x:v>0.6786</x:v>
      </x:c>
      <x:c r="G1670" s="16" t="str">
        <x:v>National</x:v>
      </x:c>
      <x:c r="H1670" s="36" t="n">
        <x:f>IF(G1670="National",Assumptions!$B$11,IF(G1670="Statewide",Assumptions!$B$12,Assumptions!$B$13))</x:f>
        <x:v>0.25</x:v>
      </x:c>
      <x:c r="I1670" s="21" t="n">
        <x:v>-0.027936917423154628</x:v>
      </x:c>
      <x:c r="J1670" s="21" t="n">
        <x:v>-0.0014699797999464526</x:v>
      </x:c>
      <x:c r="K1670" s="21" t="n">
        <x:v>0.009664387062230828</x:v>
      </x:c>
      <x:c r="L1670" s="36" t="n">
        <x:f>IF(Assumptions!$B$4=2030,I1670,IF(Assumptions!$B$4=2035,J1670,K1670))</x:f>
        <x:v>-0.0014699797999464526</x:v>
      </x:c>
      <x:c r="M1670" s="36" t="n">
        <x:f>Assumptions!$B$19</x:f>
        <x:v>-0.04739891965741583</x:v>
      </x:c>
      <x:c r="N1670" s="52" t="n">
        <x:f>H1670*L1670+(1-H1670)*M1670+O1670</x:f>
        <x:v>-0.035916684693048484</x:v>
      </x:c>
      <x:c r="O1670" s="36" t="n">
        <x:f>Assumptions!$B$10</x:f>
        <x:v>0</x:v>
      </x:c>
      <x:c r="P1670" s="54" t="n">
        <x:f>E1670*(1+N1670)</x:f>
        <x:v>27831.157146281075</x:v>
      </x:c>
      <x:c r="Q1670" s="54" t="n">
        <x:f>P1670-E1670</x:f>
        <x:v>-1036.8428537189247</x:v>
      </x:c>
      <x:c r="R1670" s="16" t="str">
        <x:v>Yes</x:v>
      </x:c>
      <x:c r="S1670" s="56" t="n">
        <x:v>9714</x:v>
      </x:c>
      <x:c r="T1670" s="56" t="n">
        <x:v>7243</x:v>
      </x:c>
      <x:c r="U1670" s="40" t="n">
        <x:f>E1670*Assumptions!$B$8</x:f>
        <x:v>24537.8</x:v>
      </x:c>
      <x:c r="V1670" s="40" t="n">
        <x:f>P1670*Assumptions!$B$8</x:f>
        <x:v>23656.483574338912</x:v>
      </x:c>
      <x:c r="W1670" s="54" t="n">
        <x:f>V1670-U1670</x:f>
        <x:v>-881.3164256610871</x:v>
      </x:c>
      <x:c r="X1670" s="58" t="n">
        <x:f>IF(R1670="No","",W1670*S1670)</x:f>
        <x:v>-8561107.758871801</x:v>
      </x:c>
      <x:c r="Y1670" s="58" t="n">
        <x:f>IF(R1670="No","",W1670*T1670*Assumptions!$B$9)</x:f>
        <x:v>-1915012.461318976</x:v>
      </x:c>
      <x:c r="Z1670" s="58" t="n">
        <x:f>IF(R1670="No","",X1670-Y1670)</x:f>
        <x:v>-6646095.297552825</x:v>
      </x:c>
      <x:c r="AA1670" s="58" t="n">
        <x:f>IF(R1670="No","",MAX(0,-Z1670))</x:f>
        <x:v>6646095.297552825</x:v>
      </x:c>
      <x:c r="AB1670" s="52" t="n">
        <x:f>IF(OR(R1670="No",U1670*S1670=0),"",AA1670/(U1670*S1670))</x:f>
        <x:v>0.02788257267230272</x:v>
      </x:c>
      <x:c r="AC1670" s="54" t="n">
        <x:f>IF(OR(R1670="No",S1670-T1670*Assumptions!$B$9&lt;=0),"",AA1670/(Assumptions!$B$8*(S1670-T1670*Assumptions!$B$9)))</x:f>
        <x:v>1036.842853718926</x:v>
      </x:c>
      <x:c r="AD1670" s="52" t="n">
        <x:f>IF(OR(R1670="No",U1670*S1670=0),"",AA1670/(U1670*S1670))</x:f>
        <x:v>0.02788257267230272</x:v>
      </x:c>
      <x:c r="AE1670" s="50" t="str">
        <x:f>IF(R1670="No","No finance data",IF(AB1670&gt;=10%,"Severe",IF(AB1670&gt;=5%,"High",IF(AB1670&gt;=2%,"Moderate","Low"))))</x:f>
        <x:v>Moderate</x:v>
      </x:c>
      <x:c r="AF1670" s="60" t="n">
        <x:v>33.583448</x:v>
      </x:c>
      <x:c r="AG1670" s="60" t="n">
        <x:v>-101.874783</x:v>
      </x:c>
      <x:c r="AH1670" s="44" t="str">
        <x:v>Undergraduate tuition-contribution proxy only; not an audited total institutional budget.</x:v>
      </x:c>
    </x:row>
    <x:row r="1671">
      <x:c r="A1671" s="16" t="n">
        <x:v>229337</x:v>
      </x:c>
      <x:c r="B1671" s="16" t="str">
        <x:v>Texas Tech University Health Sciences Center</x:v>
      </x:c>
      <x:c r="C1671" s="16" t="str">
        <x:v>TX</x:v>
      </x:c>
      <x:c r="D1671" s="16" t="str">
        <x:v>Public</x:v>
      </x:c>
      <x:c r="E1671" s="34" t="n">
        <x:v>1464</x:v>
      </x:c>
      <x:c r="F1671" s="21"/>
      <x:c r="G1671" s="16" t="str">
        <x:v>Regional</x:v>
      </x:c>
      <x:c r="H1671" s="36" t="n">
        <x:f>IF(G1671="National",Assumptions!$B$11,IF(G1671="Statewide",Assumptions!$B$12,Assumptions!$B$13))</x:f>
        <x:v>0.85</x:v>
      </x:c>
      <x:c r="I1671" s="21" t="n">
        <x:v>-0.027936917423154628</x:v>
      </x:c>
      <x:c r="J1671" s="21" t="n">
        <x:v>-0.0014699797999464526</x:v>
      </x:c>
      <x:c r="K1671" s="21" t="n">
        <x:v>0.009664387062230828</x:v>
      </x:c>
      <x:c r="L1671" s="36" t="n">
        <x:f>IF(Assumptions!$B$4=2030,I1671,IF(Assumptions!$B$4=2035,J1671,K1671))</x:f>
        <x:v>-0.0014699797999464526</x:v>
      </x:c>
      <x:c r="M1671" s="36" t="n">
        <x:f>Assumptions!$B$19</x:f>
        <x:v>-0.04739891965741583</x:v>
      </x:c>
      <x:c r="N1671" s="52" t="n">
        <x:f>H1671*L1671+(1-H1671)*M1671+O1671</x:f>
        <x:v>-0.00835932077856686</x:v>
      </x:c>
      <x:c r="O1671" s="36" t="n">
        <x:f>Assumptions!$B$10</x:f>
        <x:v>0</x:v>
      </x:c>
      <x:c r="P1671" s="54" t="n">
        <x:f>E1671*(1+N1671)</x:f>
        <x:v>1451.7619543801782</x:v>
      </x:c>
      <x:c r="Q1671" s="54" t="n">
        <x:f>P1671-E1671</x:f>
        <x:v>-12.238045619821833</x:v>
      </x:c>
      <x:c r="R1671" s="16" t="str">
        <x:v>Yes</x:v>
      </x:c>
      <x:c r="S1671" s="56" t="n">
        <x:v>9840</x:v>
      </x:c>
      <x:c r="T1671" s="56" t="n">
        <x:v>34969</x:v>
      </x:c>
      <x:c r="U1671" s="40" t="n">
        <x:f>E1671*Assumptions!$B$8</x:f>
        <x:v>1244.3999999999999</x:v>
      </x:c>
      <x:c r="V1671" s="40" t="n">
        <x:f>P1671*Assumptions!$B$8</x:f>
        <x:v>1233.9976612231515</x:v>
      </x:c>
      <x:c r="W1671" s="54" t="n">
        <x:f>V1671-U1671</x:f>
        <x:v>-10.40233877684841</x:v>
      </x:c>
      <x:c r="X1671" s="58" t="n">
        <x:f>IF(R1671="No","",W1671*S1671)</x:f>
        <x:v>-102359.01356418835</x:v>
      </x:c>
      <x:c r="Y1671" s="58" t="n">
        <x:f>IF(R1671="No","",W1671*T1671*Assumptions!$B$9)</x:f>
        <x:v>-109127.81540628361</x:v>
      </x:c>
      <x:c r="Z1671" s="58" t="n">
        <x:f>IF(R1671="No","",X1671-Y1671)</x:f>
        <x:v>6768.801842095258</x:v>
      </x:c>
      <x:c r="AA1671" s="58" t="n">
        <x:f>IF(R1671="No","",MAX(0,-Z1671))</x:f>
        <x:v>0</x:v>
      </x:c>
      <x:c r="AB1671" s="52" t="n">
        <x:f>IF(OR(R1671="No",U1671*S1671=0),"",AA1671/(U1671*S1671))</x:f>
        <x:v>0</x:v>
      </x:c>
      <x:c r="AC1671" s="54" t="str">
        <x:f>IF(OR(R1671="No",S1671-T1671*Assumptions!$B$9&lt;=0),"",AA1671/(Assumptions!$B$8*(S1671-T1671*Assumptions!$B$9)))</x:f>
      </x:c>
      <x:c r="AD1671" s="52" t="n">
        <x:f>IF(OR(R1671="No",U1671*S1671=0),"",AA1671/(U1671*S1671))</x:f>
        <x:v>0</x:v>
      </x:c>
      <x:c r="AE1671" s="50" t="str">
        <x:f>IF(R1671="No","No finance data",IF(AB1671&gt;=10%,"Severe",IF(AB1671&gt;=5%,"High",IF(AB1671&gt;=2%,"Moderate","Low"))))</x:f>
        <x:v>Low</x:v>
      </x:c>
      <x:c r="AF1671" s="60" t="n">
        <x:v>33.589284</x:v>
      </x:c>
      <x:c r="AG1671" s="60" t="n">
        <x:v>-101.891915</x:v>
      </x:c>
      <x:c r="AH1671" s="44" t="str">
        <x:v>Undergraduate tuition-contribution proxy only; not an audited total institutional budget.</x:v>
      </x:c>
    </x:row>
    <x:row r="1672">
      <x:c r="A1672" s="16" t="n">
        <x:v>229160</x:v>
      </x:c>
      <x:c r="B1672" s="16" t="str">
        <x:v>Texas Wesleyan University</x:v>
      </x:c>
      <x:c r="C1672" s="16" t="str">
        <x:v>TX</x:v>
      </x:c>
      <x:c r="D1672" s="16" t="str">
        <x:v>Private nonprofit</x:v>
      </x:c>
      <x:c r="E1672" s="34" t="n">
        <x:v>1787</x:v>
      </x:c>
      <x:c r="F1672" s="21" t="n">
        <x:v>0.5753</x:v>
      </x:c>
      <x:c r="G1672" s="16" t="str">
        <x:v>Regional</x:v>
      </x:c>
      <x:c r="H1672" s="36" t="n">
        <x:f>IF(G1672="National",Assumptions!$B$11,IF(G1672="Statewide",Assumptions!$B$12,Assumptions!$B$13))</x:f>
        <x:v>0.85</x:v>
      </x:c>
      <x:c r="I1672" s="21" t="n">
        <x:v>-0.027936917423154628</x:v>
      </x:c>
      <x:c r="J1672" s="21" t="n">
        <x:v>-0.0014699797999464526</x:v>
      </x:c>
      <x:c r="K1672" s="21" t="n">
        <x:v>0.009664387062230828</x:v>
      </x:c>
      <x:c r="L1672" s="36" t="n">
        <x:f>IF(Assumptions!$B$4=2030,I1672,IF(Assumptions!$B$4=2035,J1672,K1672))</x:f>
        <x:v>-0.0014699797999464526</x:v>
      </x:c>
      <x:c r="M1672" s="36" t="n">
        <x:f>Assumptions!$B$19</x:f>
        <x:v>-0.04739891965741583</x:v>
      </x:c>
      <x:c r="N1672" s="52" t="n">
        <x:f>H1672*L1672+(1-H1672)*M1672+O1672</x:f>
        <x:v>-0.00835932077856686</x:v>
      </x:c>
      <x:c r="O1672" s="36" t="n">
        <x:f>Assumptions!$B$10</x:f>
        <x:v>0</x:v>
      </x:c>
      <x:c r="P1672" s="54" t="n">
        <x:f>E1672*(1+N1672)</x:f>
        <x:v>1772.061893768701</x:v>
      </x:c>
      <x:c r="Q1672" s="54" t="n">
        <x:f>P1672-E1672</x:f>
        <x:v>-14.938106231298889</x:v>
      </x:c>
      <x:c r="R1672" s="16" t="str">
        <x:v>Yes</x:v>
      </x:c>
      <x:c r="S1672" s="56" t="n">
        <x:v>18246</x:v>
      </x:c>
      <x:c r="T1672" s="56" t="n">
        <x:v>10503</x:v>
      </x:c>
      <x:c r="U1672" s="40" t="n">
        <x:f>E1672*Assumptions!$B$8</x:f>
        <x:v>1518.95</x:v>
      </x:c>
      <x:c r="V1672" s="40" t="n">
        <x:f>P1672*Assumptions!$B$8</x:f>
        <x:v>1506.2526097033958</x:v>
      </x:c>
      <x:c r="W1672" s="54" t="n">
        <x:f>V1672-U1672</x:f>
        <x:v>-12.697390296604226</x:v>
      </x:c>
      <x:c r="X1672" s="58" t="n">
        <x:f>IF(R1672="No","",W1672*S1672)</x:f>
        <x:v>-231676.5833518407</x:v>
      </x:c>
      <x:c r="Y1672" s="58" t="n">
        <x:f>IF(R1672="No","",W1672*T1672*Assumptions!$B$9)</x:f>
        <x:v>-40008.207085570255</x:v>
      </x:c>
      <x:c r="Z1672" s="58" t="n">
        <x:f>IF(R1672="No","",X1672-Y1672)</x:f>
        <x:v>-191668.37626627044</x:v>
      </x:c>
      <x:c r="AA1672" s="58" t="n">
        <x:f>IF(R1672="No","",MAX(0,-Z1672))</x:f>
        <x:v>191668.37626627044</x:v>
      </x:c>
      <x:c r="AB1672" s="52" t="n">
        <x:f>IF(OR(R1672="No",U1672*S1672=0),"",AA1672/(U1672*S1672))</x:f>
        <x:v>0.006915750470489178</x:v>
      </x:c>
      <x:c r="AC1672" s="54" t="n">
        <x:f>IF(OR(R1672="No",S1672-T1672*Assumptions!$B$9&lt;=0),"",AA1672/(Assumptions!$B$8*(S1672-T1672*Assumptions!$B$9)))</x:f>
        <x:v>14.93810623129909</x:v>
      </x:c>
      <x:c r="AD1672" s="52" t="n">
        <x:f>IF(OR(R1672="No",U1672*S1672=0),"",AA1672/(U1672*S1672))</x:f>
        <x:v>0.006915750470489178</x:v>
      </x:c>
      <x:c r="AE1672" s="50" t="str">
        <x:f>IF(R1672="No","No finance data",IF(AB1672&gt;=10%,"Severe",IF(AB1672&gt;=5%,"High",IF(AB1672&gt;=2%,"Moderate","Low"))))</x:f>
        <x:v>Low</x:v>
      </x:c>
      <x:c r="AF1672" s="60" t="n">
        <x:v>32.732962</x:v>
      </x:c>
      <x:c r="AG1672" s="60" t="n">
        <x:v>-97.279613</x:v>
      </x:c>
      <x:c r="AH1672" s="44" t="str">
        <x:v>Undergraduate tuition-contribution proxy only; not an audited total institutional budget.</x:v>
      </x:c>
    </x:row>
    <x:row r="1673">
      <x:c r="A1673" s="16" t="n">
        <x:v>229179</x:v>
      </x:c>
      <x:c r="B1673" s="16" t="str">
        <x:v>Texas Woman's University</x:v>
      </x:c>
      <x:c r="C1673" s="16" t="str">
        <x:v>TX</x:v>
      </x:c>
      <x:c r="D1673" s="16" t="str">
        <x:v>Public</x:v>
      </x:c>
      <x:c r="E1673" s="34" t="n">
        <x:v>9395</x:v>
      </x:c>
      <x:c r="F1673" s="21" t="n">
        <x:v>0.957</x:v>
      </x:c>
      <x:c r="G1673" s="16" t="str">
        <x:v>Statewide</x:v>
      </x:c>
      <x:c r="H1673" s="36" t="n">
        <x:f>IF(G1673="National",Assumptions!$B$11,IF(G1673="Statewide",Assumptions!$B$12,Assumptions!$B$13))</x:f>
        <x:v>0.6</x:v>
      </x:c>
      <x:c r="I1673" s="21" t="n">
        <x:v>-0.027936917423154628</x:v>
      </x:c>
      <x:c r="J1673" s="21" t="n">
        <x:v>-0.0014699797999464526</x:v>
      </x:c>
      <x:c r="K1673" s="21" t="n">
        <x:v>0.009664387062230828</x:v>
      </x:c>
      <x:c r="L1673" s="36" t="n">
        <x:f>IF(Assumptions!$B$4=2030,I1673,IF(Assumptions!$B$4=2035,J1673,K1673))</x:f>
        <x:v>-0.0014699797999464526</x:v>
      </x:c>
      <x:c r="M1673" s="36" t="n">
        <x:f>Assumptions!$B$19</x:f>
        <x:v>-0.04739891965741583</x:v>
      </x:c>
      <x:c r="N1673" s="52" t="n">
        <x:f>H1673*L1673+(1-H1673)*M1673+O1673</x:f>
        <x:v>-0.019841555742934204</x:v>
      </x:c>
      <x:c r="O1673" s="36" t="n">
        <x:f>Assumptions!$B$10</x:f>
        <x:v>0</x:v>
      </x:c>
      <x:c r="P1673" s="54" t="n">
        <x:f>E1673*(1+N1673)</x:f>
        <x:v>9208.588583795134</x:v>
      </x:c>
      <x:c r="Q1673" s="54" t="n">
        <x:f>P1673-E1673</x:f>
        <x:v>-186.41141620486633</x:v>
      </x:c>
      <x:c r="R1673" s="16" t="str">
        <x:v>Yes</x:v>
      </x:c>
      <x:c r="S1673" s="56" t="n">
        <x:v>5963</x:v>
      </x:c>
      <x:c r="T1673" s="56" t="n">
        <x:v>6500</x:v>
      </x:c>
      <x:c r="U1673" s="40" t="n">
        <x:f>E1673*Assumptions!$B$8</x:f>
        <x:v>7985.75</x:v>
      </x:c>
      <x:c r="V1673" s="40" t="n">
        <x:f>P1673*Assumptions!$B$8</x:f>
        <x:v>7827.300296225863</x:v>
      </x:c>
      <x:c r="W1673" s="54" t="n">
        <x:f>V1673-U1673</x:f>
        <x:v>-158.44970377413665</x:v>
      </x:c>
      <x:c r="X1673" s="58" t="n">
        <x:f>IF(R1673="No","",W1673*S1673)</x:f>
        <x:v>-944835.5836051769</x:v>
      </x:c>
      <x:c r="Y1673" s="58" t="n">
        <x:f>IF(R1673="No","",W1673*T1673*Assumptions!$B$9)</x:f>
        <x:v>-308976.92235956644</x:v>
      </x:c>
      <x:c r="Z1673" s="58" t="n">
        <x:f>IF(R1673="No","",X1673-Y1673)</x:f>
        <x:v>-635858.6612456104</x:v>
      </x:c>
      <x:c r="AA1673" s="58" t="n">
        <x:f>IF(R1673="No","",MAX(0,-Z1673))</x:f>
        <x:v>635858.6612456104</x:v>
      </x:c>
      <x:c r="AB1673" s="52" t="n">
        <x:f>IF(OR(R1673="No",U1673*S1673=0),"",AA1673/(U1673*S1673))</x:f>
        <x:v>0.013353037597919651</x:v>
      </x:c>
      <x:c r="AC1673" s="54" t="n">
        <x:f>IF(OR(R1673="No",S1673-T1673*Assumptions!$B$9&lt;=0),"",AA1673/(Assumptions!$B$8*(S1673-T1673*Assumptions!$B$9)))</x:f>
        <x:v>186.4114162048667</x:v>
      </x:c>
      <x:c r="AD1673" s="52" t="n">
        <x:f>IF(OR(R1673="No",U1673*S1673=0),"",AA1673/(U1673*S1673))</x:f>
        <x:v>0.013353037597919651</x:v>
      </x:c>
      <x:c r="AE1673" s="50" t="str">
        <x:f>IF(R1673="No","No finance data",IF(AB1673&gt;=10%,"Severe",IF(AB1673&gt;=5%,"High",IF(AB1673&gt;=2%,"Moderate","Low"))))</x:f>
        <x:v>Low</x:v>
      </x:c>
      <x:c r="AF1673" s="60" t="n">
        <x:v>33.226211</x:v>
      </x:c>
      <x:c r="AG1673" s="60" t="n">
        <x:v>-97.127842</x:v>
      </x:c>
      <x:c r="AH1673" s="44" t="str">
        <x:v>Undergraduate tuition-contribution proxy only; not an audited total institutional budget.</x:v>
      </x:c>
    </x:row>
    <x:row r="1674">
      <x:c r="A1674" s="16" t="n">
        <x:v>439701</x:v>
      </x:c>
      <x:c r="B1674" s="16" t="str">
        <x:v>The King's University</x:v>
      </x:c>
      <x:c r="C1674" s="16" t="str">
        <x:v>TX</x:v>
      </x:c>
      <x:c r="D1674" s="16" t="str">
        <x:v>Private nonprofit</x:v>
      </x:c>
      <x:c r="E1674" s="34" t="n">
        <x:v>538</x:v>
      </x:c>
      <x:c r="F1674" s="21"/>
      <x:c r="G1674" s="16" t="str">
        <x:v>Regional</x:v>
      </x:c>
      <x:c r="H1674" s="36" t="n">
        <x:f>IF(G1674="National",Assumptions!$B$11,IF(G1674="Statewide",Assumptions!$B$12,Assumptions!$B$13))</x:f>
        <x:v>0.85</x:v>
      </x:c>
      <x:c r="I1674" s="21" t="n">
        <x:v>-0.027936917423154628</x:v>
      </x:c>
      <x:c r="J1674" s="21" t="n">
        <x:v>-0.0014699797999464526</x:v>
      </x:c>
      <x:c r="K1674" s="21" t="n">
        <x:v>0.009664387062230828</x:v>
      </x:c>
      <x:c r="L1674" s="36" t="n">
        <x:f>IF(Assumptions!$B$4=2030,I1674,IF(Assumptions!$B$4=2035,J1674,K1674))</x:f>
        <x:v>-0.0014699797999464526</x:v>
      </x:c>
      <x:c r="M1674" s="36" t="n">
        <x:f>Assumptions!$B$19</x:f>
        <x:v>-0.04739891965741583</x:v>
      </x:c>
      <x:c r="N1674" s="52" t="n">
        <x:f>H1674*L1674+(1-H1674)*M1674+O1674</x:f>
        <x:v>-0.00835932077856686</x:v>
      </x:c>
      <x:c r="O1674" s="36" t="n">
        <x:f>Assumptions!$B$10</x:f>
        <x:v>0</x:v>
      </x:c>
      <x:c r="P1674" s="54" t="n">
        <x:f>E1674*(1+N1674)</x:f>
        <x:v>533.502685421131</x:v>
      </x:c>
      <x:c r="Q1674" s="54" t="n">
        <x:f>P1674-E1674</x:f>
        <x:v>-4.497314578869009</x:v>
      </x:c>
      <x:c r="R1674" s="16" t="str">
        <x:v>No</x:v>
      </x:c>
      <x:c r="S1674" s="56"/>
      <x:c r="T1674" s="56"/>
      <x:c r="U1674" s="40" t="n">
        <x:f>E1674*Assumptions!$B$8</x:f>
        <x:v>457.3</x:v>
      </x:c>
      <x:c r="V1674" s="40" t="n">
        <x:f>P1674*Assumptions!$B$8</x:f>
        <x:v>453.47728260796134</x:v>
      </x:c>
      <x:c r="W1674" s="54" t="n">
        <x:f>V1674-U1674</x:f>
        <x:v>-3.822717392038669</x:v>
      </x:c>
      <x:c r="X1674" s="58" t="str">
        <x:f>IF(R1674="No","",W1674*S1674)</x:f>
      </x:c>
      <x:c r="Y1674" s="58" t="str">
        <x:f>IF(R1674="No","",W1674*T1674*Assumptions!$B$9)</x:f>
      </x:c>
      <x:c r="Z1674" s="58" t="str">
        <x:f>IF(R1674="No","",X1674-Y1674)</x:f>
      </x:c>
      <x:c r="AA1674" s="58" t="str">
        <x:f>IF(R1674="No","",MAX(0,-Z1674))</x:f>
      </x:c>
      <x:c r="AB1674" s="52" t="str">
        <x:f>IF(OR(R1674="No",U1674*S1674=0),"",AA1674/(U1674*S1674))</x:f>
      </x:c>
      <x:c r="AC1674" s="54" t="str">
        <x:f>IF(OR(R1674="No",S1674-T1674*Assumptions!$B$9&lt;=0),"",AA1674/(Assumptions!$B$8*(S1674-T1674*Assumptions!$B$9)))</x:f>
      </x:c>
      <x:c r="AD1674" s="52" t="str">
        <x:f>IF(OR(R1674="No",U1674*S1674=0),"",AA1674/(U1674*S1674))</x:f>
      </x:c>
      <x:c r="AE1674" s="50" t="str">
        <x:f>IF(R1674="No","No finance data",IF(AB1674&gt;=10%,"Severe",IF(AB1674&gt;=5%,"High",IF(AB1674&gt;=2%,"Moderate","Low"))))</x:f>
        <x:v>No finance data</x:v>
      </x:c>
      <x:c r="AF1674" s="60"/>
      <x:c r="AG1674" s="60"/>
      <x:c r="AH1674" s="44" t="str">
        <x:v>Undergraduate tuition-contribution proxy only; not an audited total institutional budget.</x:v>
      </x:c>
    </x:row>
    <x:row r="1675">
      <x:c r="A1675" s="16" t="n">
        <x:v>229300</x:v>
      </x:c>
      <x:c r="B1675" s="16" t="str">
        <x:v>The University of Texas Health Science Center at Houston</x:v>
      </x:c>
      <x:c r="C1675" s="16" t="str">
        <x:v>TX</x:v>
      </x:c>
      <x:c r="D1675" s="16" t="str">
        <x:v>Public</x:v>
      </x:c>
      <x:c r="E1675" s="34" t="n">
        <x:v>677</x:v>
      </x:c>
      <x:c r="F1675" s="21"/>
      <x:c r="G1675" s="16" t="str">
        <x:v>Regional</x:v>
      </x:c>
      <x:c r="H1675" s="36" t="n">
        <x:f>IF(G1675="National",Assumptions!$B$11,IF(G1675="Statewide",Assumptions!$B$12,Assumptions!$B$13))</x:f>
        <x:v>0.85</x:v>
      </x:c>
      <x:c r="I1675" s="21" t="n">
        <x:v>-0.027936917423154628</x:v>
      </x:c>
      <x:c r="J1675" s="21" t="n">
        <x:v>-0.0014699797999464526</x:v>
      </x:c>
      <x:c r="K1675" s="21" t="n">
        <x:v>0.009664387062230828</x:v>
      </x:c>
      <x:c r="L1675" s="36" t="n">
        <x:f>IF(Assumptions!$B$4=2030,I1675,IF(Assumptions!$B$4=2035,J1675,K1675))</x:f>
        <x:v>-0.0014699797999464526</x:v>
      </x:c>
      <x:c r="M1675" s="36" t="n">
        <x:f>Assumptions!$B$19</x:f>
        <x:v>-0.04739891965741583</x:v>
      </x:c>
      <x:c r="N1675" s="52" t="n">
        <x:f>H1675*L1675+(1-H1675)*M1675+O1675</x:f>
        <x:v>-0.00835932077856686</x:v>
      </x:c>
      <x:c r="O1675" s="36" t="n">
        <x:f>Assumptions!$B$10</x:f>
        <x:v>0</x:v>
      </x:c>
      <x:c r="P1675" s="54" t="n">
        <x:f>E1675*(1+N1675)</x:f>
        <x:v>671.3407398329102</x:v>
      </x:c>
      <x:c r="Q1675" s="54" t="n">
        <x:f>P1675-E1675</x:f>
        <x:v>-5.659260167089769</x:v>
      </x:c>
      <x:c r="R1675" s="16" t="str">
        <x:v>Yes</x:v>
      </x:c>
      <x:c r="S1675" s="56" t="n">
        <x:v>13851</x:v>
      </x:c>
      <x:c r="T1675" s="56" t="n">
        <x:v>177683</x:v>
      </x:c>
      <x:c r="U1675" s="40" t="n">
        <x:f>E1675*Assumptions!$B$8</x:f>
        <x:v>575.4499999999999</x:v>
      </x:c>
      <x:c r="V1675" s="40" t="n">
        <x:f>P1675*Assumptions!$B$8</x:f>
        <x:v>570.6396288579737</x:v>
      </x:c>
      <x:c r="W1675" s="54" t="n">
        <x:f>V1675-U1675</x:f>
        <x:v>-4.81037114202627</x:v>
      </x:c>
      <x:c r="X1675" s="58" t="n">
        <x:f>IF(R1675="No","",W1675*S1675)</x:f>
        <x:v>-66628.45068820586</x:v>
      </x:c>
      <x:c r="Y1675" s="58" t="n">
        <x:f>IF(R1675="No","",W1675*T1675*Assumptions!$B$9)</x:f>
        <x:v>-256416.35268859612</x:v>
      </x:c>
      <x:c r="Z1675" s="58" t="n">
        <x:f>IF(R1675="No","",X1675-Y1675)</x:f>
        <x:v>189787.90200039026</x:v>
      </x:c>
      <x:c r="AA1675" s="58" t="n">
        <x:f>IF(R1675="No","",MAX(0,-Z1675))</x:f>
        <x:v>0</x:v>
      </x:c>
      <x:c r="AB1675" s="52" t="n">
        <x:f>IF(OR(R1675="No",U1675*S1675=0),"",AA1675/(U1675*S1675))</x:f>
        <x:v>0</x:v>
      </x:c>
      <x:c r="AC1675" s="54" t="str">
        <x:f>IF(OR(R1675="No",S1675-T1675*Assumptions!$B$9&lt;=0),"",AA1675/(Assumptions!$B$8*(S1675-T1675*Assumptions!$B$9)))</x:f>
      </x:c>
      <x:c r="AD1675" s="52" t="n">
        <x:f>IF(OR(R1675="No",U1675*S1675=0),"",AA1675/(U1675*S1675))</x:f>
        <x:v>0</x:v>
      </x:c>
      <x:c r="AE1675" s="50" t="str">
        <x:f>IF(R1675="No","No finance data",IF(AB1675&gt;=10%,"Severe",IF(AB1675&gt;=5%,"High",IF(AB1675&gt;=2%,"Moderate","Low"))))</x:f>
        <x:v>Low</x:v>
      </x:c>
      <x:c r="AF1675" s="60" t="n">
        <x:v>29.702873</x:v>
      </x:c>
      <x:c r="AG1675" s="60" t="n">
        <x:v>-95.403183</x:v>
      </x:c>
      <x:c r="AH1675" s="44" t="str">
        <x:v>Undergraduate tuition-contribution proxy only; not an audited total institutional budget.</x:v>
      </x:c>
    </x:row>
    <x:row r="1676">
      <x:c r="A1676" s="16" t="n">
        <x:v>228644</x:v>
      </x:c>
      <x:c r="B1676" s="16" t="str">
        <x:v>The University of Texas Health Science Center at San Antonio</x:v>
      </x:c>
      <x:c r="C1676" s="16" t="str">
        <x:v>TX</x:v>
      </x:c>
      <x:c r="D1676" s="16" t="str">
        <x:v>Public</x:v>
      </x:c>
      <x:c r="E1676" s="34" t="n">
        <x:v>793</x:v>
      </x:c>
      <x:c r="F1676" s="21"/>
      <x:c r="G1676" s="16" t="str">
        <x:v>Regional</x:v>
      </x:c>
      <x:c r="H1676" s="36" t="n">
        <x:f>IF(G1676="National",Assumptions!$B$11,IF(G1676="Statewide",Assumptions!$B$12,Assumptions!$B$13))</x:f>
        <x:v>0.85</x:v>
      </x:c>
      <x:c r="I1676" s="21" t="n">
        <x:v>-0.027936917423154628</x:v>
      </x:c>
      <x:c r="J1676" s="21" t="n">
        <x:v>-0.0014699797999464526</x:v>
      </x:c>
      <x:c r="K1676" s="21" t="n">
        <x:v>0.009664387062230828</x:v>
      </x:c>
      <x:c r="L1676" s="36" t="n">
        <x:f>IF(Assumptions!$B$4=2030,I1676,IF(Assumptions!$B$4=2035,J1676,K1676))</x:f>
        <x:v>-0.0014699797999464526</x:v>
      </x:c>
      <x:c r="M1676" s="36" t="n">
        <x:f>Assumptions!$B$19</x:f>
        <x:v>-0.04739891965741583</x:v>
      </x:c>
      <x:c r="N1676" s="52" t="n">
        <x:f>H1676*L1676+(1-H1676)*M1676+O1676</x:f>
        <x:v>-0.00835932077856686</x:v>
      </x:c>
      <x:c r="O1676" s="36" t="n">
        <x:f>Assumptions!$B$10</x:f>
        <x:v>0</x:v>
      </x:c>
      <x:c r="P1676" s="54" t="n">
        <x:f>E1676*(1+N1676)</x:f>
        <x:v>786.3710586225965</x:v>
      </x:c>
      <x:c r="Q1676" s="54" t="n">
        <x:f>P1676-E1676</x:f>
        <x:v>-6.628941377403521</x:v>
      </x:c>
      <x:c r="R1676" s="16" t="str">
        <x:v>Yes</x:v>
      </x:c>
      <x:c r="S1676" s="56" t="n">
        <x:v>13803</x:v>
      </x:c>
      <x:c r="T1676" s="56" t="n">
        <x:v>129594</x:v>
      </x:c>
      <x:c r="U1676" s="40" t="n">
        <x:f>E1676*Assumptions!$B$8</x:f>
        <x:v>674.05</x:v>
      </x:c>
      <x:c r="V1676" s="40" t="n">
        <x:f>P1676*Assumptions!$B$8</x:f>
        <x:v>668.415399829207</x:v>
      </x:c>
      <x:c r="W1676" s="54" t="n">
        <x:f>V1676-U1676</x:f>
        <x:v>-5.6346001707929645</x:v>
      </x:c>
      <x:c r="X1676" s="58" t="n">
        <x:f>IF(R1676="No","",W1676*S1676)</x:f>
        <x:v>-77774.38615745529</x:v>
      </x:c>
      <x:c r="Y1676" s="58" t="n">
        <x:f>IF(R1676="No","",W1676*T1676*Assumptions!$B$9)</x:f>
        <x:v>-219063.11236012305</x:v>
      </x:c>
      <x:c r="Z1676" s="58" t="n">
        <x:f>IF(R1676="No","",X1676-Y1676)</x:f>
        <x:v>141288.72620266775</x:v>
      </x:c>
      <x:c r="AA1676" s="58" t="n">
        <x:f>IF(R1676="No","",MAX(0,-Z1676))</x:f>
        <x:v>0</x:v>
      </x:c>
      <x:c r="AB1676" s="52" t="n">
        <x:f>IF(OR(R1676="No",U1676*S1676=0),"",AA1676/(U1676*S1676))</x:f>
        <x:v>0</x:v>
      </x:c>
      <x:c r="AC1676" s="54" t="str">
        <x:f>IF(OR(R1676="No",S1676-T1676*Assumptions!$B$9&lt;=0),"",AA1676/(Assumptions!$B$8*(S1676-T1676*Assumptions!$B$9)))</x:f>
      </x:c>
      <x:c r="AD1676" s="52" t="n">
        <x:f>IF(OR(R1676="No",U1676*S1676=0),"",AA1676/(U1676*S1676))</x:f>
        <x:v>0</x:v>
      </x:c>
      <x:c r="AE1676" s="50" t="str">
        <x:f>IF(R1676="No","No finance data",IF(AB1676&gt;=10%,"Severe",IF(AB1676&gt;=5%,"High",IF(AB1676&gt;=2%,"Moderate","Low"))))</x:f>
        <x:v>Low</x:v>
      </x:c>
      <x:c r="AF1676" s="60" t="n">
        <x:v>29.508107</x:v>
      </x:c>
      <x:c r="AG1676" s="60" t="n">
        <x:v>-98.575655</x:v>
      </x:c>
      <x:c r="AH1676" s="44" t="str">
        <x:v>Undergraduate tuition-contribution proxy only; not an audited total institutional budget.</x:v>
      </x:c>
    </x:row>
    <x:row r="1677">
      <x:c r="A1677" s="16" t="n">
        <x:v>416801</x:v>
      </x:c>
      <x:c r="B1677" s="16" t="str">
        <x:v>The University of Texas MD Anderson Cancer Center</x:v>
      </x:c>
      <x:c r="C1677" s="16" t="str">
        <x:v>TX</x:v>
      </x:c>
      <x:c r="D1677" s="16" t="str">
        <x:v>Public</x:v>
      </x:c>
      <x:c r="E1677" s="34" t="n">
        <x:v>304</x:v>
      </x:c>
      <x:c r="F1677" s="21"/>
      <x:c r="G1677" s="16" t="str">
        <x:v>Regional</x:v>
      </x:c>
      <x:c r="H1677" s="36" t="n">
        <x:f>IF(G1677="National",Assumptions!$B$11,IF(G1677="Statewide",Assumptions!$B$12,Assumptions!$B$13))</x:f>
        <x:v>0.85</x:v>
      </x:c>
      <x:c r="I1677" s="21" t="n">
        <x:v>-0.027936917423154628</x:v>
      </x:c>
      <x:c r="J1677" s="21" t="n">
        <x:v>-0.0014699797999464526</x:v>
      </x:c>
      <x:c r="K1677" s="21" t="n">
        <x:v>0.009664387062230828</x:v>
      </x:c>
      <x:c r="L1677" s="36" t="n">
        <x:f>IF(Assumptions!$B$4=2030,I1677,IF(Assumptions!$B$4=2035,J1677,K1677))</x:f>
        <x:v>-0.0014699797999464526</x:v>
      </x:c>
      <x:c r="M1677" s="36" t="n">
        <x:f>Assumptions!$B$19</x:f>
        <x:v>-0.04739891965741583</x:v>
      </x:c>
      <x:c r="N1677" s="52" t="n">
        <x:f>H1677*L1677+(1-H1677)*M1677+O1677</x:f>
        <x:v>-0.00835932077856686</x:v>
      </x:c>
      <x:c r="O1677" s="36" t="n">
        <x:f>Assumptions!$B$10</x:f>
        <x:v>0</x:v>
      </x:c>
      <x:c r="P1677" s="54" t="n">
        <x:f>E1677*(1+N1677)</x:f>
        <x:v>301.4587664833157</x:v>
      </x:c>
      <x:c r="Q1677" s="54" t="n">
        <x:f>P1677-E1677</x:f>
        <x:v>-2.541233516684315</x:v>
      </x:c>
      <x:c r="R1677" s="16" t="str">
        <x:v>No</x:v>
      </x:c>
      <x:c r="S1677" s="56"/>
      <x:c r="T1677" s="56"/>
      <x:c r="U1677" s="40" t="n">
        <x:f>E1677*Assumptions!$B$8</x:f>
        <x:v>258.4</x:v>
      </x:c>
      <x:c r="V1677" s="40" t="n">
        <x:f>P1677*Assumptions!$B$8</x:f>
        <x:v>256.23995151081834</x:v>
      </x:c>
      <x:c r="W1677" s="54" t="n">
        <x:f>V1677-U1677</x:f>
        <x:v>-2.1600484891816336</x:v>
      </x:c>
      <x:c r="X1677" s="58" t="str">
        <x:f>IF(R1677="No","",W1677*S1677)</x:f>
      </x:c>
      <x:c r="Y1677" s="58" t="str">
        <x:f>IF(R1677="No","",W1677*T1677*Assumptions!$B$9)</x:f>
      </x:c>
      <x:c r="Z1677" s="58" t="str">
        <x:f>IF(R1677="No","",X1677-Y1677)</x:f>
      </x:c>
      <x:c r="AA1677" s="58" t="str">
        <x:f>IF(R1677="No","",MAX(0,-Z1677))</x:f>
      </x:c>
      <x:c r="AB1677" s="52" t="str">
        <x:f>IF(OR(R1677="No",U1677*S1677=0),"",AA1677/(U1677*S1677))</x:f>
      </x:c>
      <x:c r="AC1677" s="54" t="str">
        <x:f>IF(OR(R1677="No",S1677-T1677*Assumptions!$B$9&lt;=0),"",AA1677/(Assumptions!$B$8*(S1677-T1677*Assumptions!$B$9)))</x:f>
      </x:c>
      <x:c r="AD1677" s="52" t="str">
        <x:f>IF(OR(R1677="No",U1677*S1677=0),"",AA1677/(U1677*S1677))</x:f>
      </x:c>
      <x:c r="AE1677" s="50" t="str">
        <x:f>IF(R1677="No","No finance data",IF(AB1677&gt;=10%,"Severe",IF(AB1677&gt;=5%,"High",IF(AB1677&gt;=2%,"Moderate","Low"))))</x:f>
        <x:v>No finance data</x:v>
      </x:c>
      <x:c r="AF1677" s="60"/>
      <x:c r="AG1677" s="60"/>
      <x:c r="AH1677" s="44" t="str">
        <x:v>Undergraduate tuition-contribution proxy only; not an audited total institutional budget.</x:v>
      </x:c>
    </x:row>
    <x:row r="1678">
      <x:c r="A1678" s="16" t="n">
        <x:v>228653</x:v>
      </x:c>
      <x:c r="B1678" s="16" t="str">
        <x:v>The University of Texas Medical Branch</x:v>
      </x:c>
      <x:c r="C1678" s="16" t="str">
        <x:v>TX</x:v>
      </x:c>
      <x:c r="D1678" s="16" t="str">
        <x:v>Public</x:v>
      </x:c>
      <x:c r="E1678" s="34" t="n">
        <x:v>745</x:v>
      </x:c>
      <x:c r="F1678" s="21"/>
      <x:c r="G1678" s="16" t="str">
        <x:v>Regional</x:v>
      </x:c>
      <x:c r="H1678" s="36" t="n">
        <x:f>IF(G1678="National",Assumptions!$B$11,IF(G1678="Statewide",Assumptions!$B$12,Assumptions!$B$13))</x:f>
        <x:v>0.85</x:v>
      </x:c>
      <x:c r="I1678" s="21" t="n">
        <x:v>-0.027936917423154628</x:v>
      </x:c>
      <x:c r="J1678" s="21" t="n">
        <x:v>-0.0014699797999464526</x:v>
      </x:c>
      <x:c r="K1678" s="21" t="n">
        <x:v>0.009664387062230828</x:v>
      </x:c>
      <x:c r="L1678" s="36" t="n">
        <x:f>IF(Assumptions!$B$4=2030,I1678,IF(Assumptions!$B$4=2035,J1678,K1678))</x:f>
        <x:v>-0.0014699797999464526</x:v>
      </x:c>
      <x:c r="M1678" s="36" t="n">
        <x:f>Assumptions!$B$19</x:f>
        <x:v>-0.04739891965741583</x:v>
      </x:c>
      <x:c r="N1678" s="52" t="n">
        <x:f>H1678*L1678+(1-H1678)*M1678+O1678</x:f>
        <x:v>-0.00835932077856686</x:v>
      </x:c>
      <x:c r="O1678" s="36" t="n">
        <x:f>Assumptions!$B$10</x:f>
        <x:v>0</x:v>
      </x:c>
      <x:c r="P1678" s="54" t="n">
        <x:f>E1678*(1+N1678)</x:f>
        <x:v>738.7723060199677</x:v>
      </x:c>
      <x:c r="Q1678" s="54" t="n">
        <x:f>P1678-E1678</x:f>
        <x:v>-6.2276939800323134</x:v>
      </x:c>
      <x:c r="R1678" s="16" t="str">
        <x:v>Yes</x:v>
      </x:c>
      <x:c r="S1678" s="56" t="n">
        <x:v>13067</x:v>
      </x:c>
      <x:c r="T1678" s="56" t="n">
        <x:v>118710</x:v>
      </x:c>
      <x:c r="U1678" s="40" t="n">
        <x:f>E1678*Assumptions!$B$8</x:f>
        <x:v>633.25</x:v>
      </x:c>
      <x:c r="V1678" s="40" t="n">
        <x:f>P1678*Assumptions!$B$8</x:f>
        <x:v>627.9564601169725</x:v>
      </x:c>
      <x:c r="W1678" s="54" t="n">
        <x:f>V1678-U1678</x:f>
        <x:v>-5.293539883027506</x:v>
      </x:c>
      <x:c r="X1678" s="58" t="n">
        <x:f>IF(R1678="No","",W1678*S1678)</x:f>
        <x:v>-69170.68565152043</x:v>
      </x:c>
      <x:c r="Y1678" s="58" t="n">
        <x:f>IF(R1678="No","",W1678*T1678*Assumptions!$B$9)</x:f>
        <x:v>-188518.83585425856</x:v>
      </x:c>
      <x:c r="Z1678" s="58" t="n">
        <x:f>IF(R1678="No","",X1678-Y1678)</x:f>
        <x:v>119348.15020273814</x:v>
      </x:c>
      <x:c r="AA1678" s="58" t="n">
        <x:f>IF(R1678="No","",MAX(0,-Z1678))</x:f>
        <x:v>0</x:v>
      </x:c>
      <x:c r="AB1678" s="52" t="n">
        <x:f>IF(OR(R1678="No",U1678*S1678=0),"",AA1678/(U1678*S1678))</x:f>
        <x:v>0</x:v>
      </x:c>
      <x:c r="AC1678" s="54" t="str">
        <x:f>IF(OR(R1678="No",S1678-T1678*Assumptions!$B$9&lt;=0),"",AA1678/(Assumptions!$B$8*(S1678-T1678*Assumptions!$B$9)))</x:f>
      </x:c>
      <x:c r="AD1678" s="52" t="n">
        <x:f>IF(OR(R1678="No",U1678*S1678=0),"",AA1678/(U1678*S1678))</x:f>
        <x:v>0</x:v>
      </x:c>
      <x:c r="AE1678" s="50" t="str">
        <x:f>IF(R1678="No","No finance data",IF(AB1678&gt;=10%,"Severe",IF(AB1678&gt;=5%,"High",IF(AB1678&gt;=2%,"Moderate","Low"))))</x:f>
        <x:v>Low</x:v>
      </x:c>
      <x:c r="AF1678" s="60" t="n">
        <x:v>29.310758</x:v>
      </x:c>
      <x:c r="AG1678" s="60" t="n">
        <x:v>-94.775956</x:v>
      </x:c>
      <x:c r="AH1678" s="44" t="str">
        <x:v>Undergraduate tuition-contribution proxy only; not an audited total institutional budget.</x:v>
      </x:c>
    </x:row>
    <x:row r="1679">
      <x:c r="A1679" s="16" t="n">
        <x:v>227368</x:v>
      </x:c>
      <x:c r="B1679" s="16" t="str">
        <x:v>The University of Texas Rio Grande Valley</x:v>
      </x:c>
      <x:c r="C1679" s="16" t="str">
        <x:v>TX</x:v>
      </x:c>
      <x:c r="D1679" s="16" t="str">
        <x:v>Public</x:v>
      </x:c>
      <x:c r="E1679" s="34" t="n">
        <x:v>24473</x:v>
      </x:c>
      <x:c r="F1679" s="21" t="n">
        <x:v>0.939</x:v>
      </x:c>
      <x:c r="G1679" s="16" t="str">
        <x:v>Statewide</x:v>
      </x:c>
      <x:c r="H1679" s="36" t="n">
        <x:f>IF(G1679="National",Assumptions!$B$11,IF(G1679="Statewide",Assumptions!$B$12,Assumptions!$B$13))</x:f>
        <x:v>0.6</x:v>
      </x:c>
      <x:c r="I1679" s="21" t="n">
        <x:v>-0.027936917423154628</x:v>
      </x:c>
      <x:c r="J1679" s="21" t="n">
        <x:v>-0.0014699797999464526</x:v>
      </x:c>
      <x:c r="K1679" s="21" t="n">
        <x:v>0.009664387062230828</x:v>
      </x:c>
      <x:c r="L1679" s="36" t="n">
        <x:f>IF(Assumptions!$B$4=2030,I1679,IF(Assumptions!$B$4=2035,J1679,K1679))</x:f>
        <x:v>-0.0014699797999464526</x:v>
      </x:c>
      <x:c r="M1679" s="36" t="n">
        <x:f>Assumptions!$B$19</x:f>
        <x:v>-0.04739891965741583</x:v>
      </x:c>
      <x:c r="N1679" s="52" t="n">
        <x:f>H1679*L1679+(1-H1679)*M1679+O1679</x:f>
        <x:v>-0.019841555742934204</x:v>
      </x:c>
      <x:c r="O1679" s="36" t="n">
        <x:f>Assumptions!$B$10</x:f>
        <x:v>0</x:v>
      </x:c>
      <x:c r="P1679" s="54" t="n">
        <x:f>E1679*(1+N1679)</x:f>
        <x:v>23987.41760630317</x:v>
      </x:c>
      <x:c r="Q1679" s="54" t="n">
        <x:f>P1679-E1679</x:f>
        <x:v>-485.58239369682997</x:v>
      </x:c>
      <x:c r="R1679" s="16" t="str">
        <x:v>Yes</x:v>
      </x:c>
      <x:c r="S1679" s="56" t="n">
        <x:v>4877</x:v>
      </x:c>
      <x:c r="T1679" s="56" t="n">
        <x:v>7118</x:v>
      </x:c>
      <x:c r="U1679" s="40" t="n">
        <x:f>E1679*Assumptions!$B$8</x:f>
        <x:v>20802.05</x:v>
      </x:c>
      <x:c r="V1679" s="40" t="n">
        <x:f>P1679*Assumptions!$B$8</x:f>
        <x:v>20389.304965357693</x:v>
      </x:c>
      <x:c r="W1679" s="54" t="n">
        <x:f>V1679-U1679</x:f>
        <x:v>-412.74503464230656</x:v>
      </x:c>
      <x:c r="X1679" s="58" t="n">
        <x:f>IF(R1679="No","",W1679*S1679)</x:f>
        <x:v>-2012957.533950529</x:v>
      </x:c>
      <x:c r="Y1679" s="58" t="n">
        <x:f>IF(R1679="No","",W1679*T1679*Assumptions!$B$9)</x:f>
        <x:v>-881375.7469751815</x:v>
      </x:c>
      <x:c r="Z1679" s="58" t="n">
        <x:f>IF(R1679="No","",X1679-Y1679)</x:f>
        <x:v>-1131581.7869753474</x:v>
      </x:c>
      <x:c r="AA1679" s="58" t="n">
        <x:f>IF(R1679="No","",MAX(0,-Z1679))</x:f>
        <x:v>1131581.7869753474</x:v>
      </x:c>
      <x:c r="AB1679" s="52" t="n">
        <x:f>IF(OR(R1679="No",U1679*S1679=0),"",AA1679/(U1679*S1679))</x:f>
        <x:v>0.01115390798130586</x:v>
      </x:c>
      <x:c r="AC1679" s="54" t="n">
        <x:f>IF(OR(R1679="No",S1679-T1679*Assumptions!$B$9&lt;=0),"",AA1679/(Assumptions!$B$8*(S1679-T1679*Assumptions!$B$9)))</x:f>
        <x:v>485.5823936968312</x:v>
      </x:c>
      <x:c r="AD1679" s="52" t="n">
        <x:f>IF(OR(R1679="No",U1679*S1679=0),"",AA1679/(U1679*S1679))</x:f>
        <x:v>0.01115390798130586</x:v>
      </x:c>
      <x:c r="AE1679" s="50" t="str">
        <x:f>IF(R1679="No","No finance data",IF(AB1679&gt;=10%,"Severe",IF(AB1679&gt;=5%,"High",IF(AB1679&gt;=2%,"Moderate","Low"))))</x:f>
        <x:v>Low</x:v>
      </x:c>
      <x:c r="AF1679" s="60" t="n">
        <x:v>26.306759</x:v>
      </x:c>
      <x:c r="AG1679" s="60" t="n">
        <x:v>-98.173567</x:v>
      </x:c>
      <x:c r="AH1679" s="44" t="str">
        <x:v>Undergraduate tuition-contribution proxy only; not an audited total institutional budget.</x:v>
      </x:c>
    </x:row>
    <x:row r="1680">
      <x:c r="A1680" s="16" t="n">
        <x:v>228769</x:v>
      </x:c>
      <x:c r="B1680" s="16" t="str">
        <x:v>The University of Texas at Arlington</x:v>
      </x:c>
      <x:c r="C1680" s="16" t="str">
        <x:v>TX</x:v>
      </x:c>
      <x:c r="D1680" s="16" t="str">
        <x:v>Public</x:v>
      </x:c>
      <x:c r="E1680" s="34" t="n">
        <x:v>30358</x:v>
      </x:c>
      <x:c r="F1680" s="21" t="n">
        <x:v>0.927</x:v>
      </x:c>
      <x:c r="G1680" s="16" t="str">
        <x:v>National</x:v>
      </x:c>
      <x:c r="H1680" s="36" t="n">
        <x:f>IF(G1680="National",Assumptions!$B$11,IF(G1680="Statewide",Assumptions!$B$12,Assumptions!$B$13))</x:f>
        <x:v>0.25</x:v>
      </x:c>
      <x:c r="I1680" s="21" t="n">
        <x:v>-0.027936917423154628</x:v>
      </x:c>
      <x:c r="J1680" s="21" t="n">
        <x:v>-0.0014699797999464526</x:v>
      </x:c>
      <x:c r="K1680" s="21" t="n">
        <x:v>0.009664387062230828</x:v>
      </x:c>
      <x:c r="L1680" s="36" t="n">
        <x:f>IF(Assumptions!$B$4=2030,I1680,IF(Assumptions!$B$4=2035,J1680,K1680))</x:f>
        <x:v>-0.0014699797999464526</x:v>
      </x:c>
      <x:c r="M1680" s="36" t="n">
        <x:f>Assumptions!$B$19</x:f>
        <x:v>-0.04739891965741583</x:v>
      </x:c>
      <x:c r="N1680" s="52" t="n">
        <x:f>H1680*L1680+(1-H1680)*M1680+O1680</x:f>
        <x:v>-0.035916684693048484</x:v>
      </x:c>
      <x:c r="O1680" s="36" t="n">
        <x:f>Assumptions!$B$10</x:f>
        <x:v>0</x:v>
      </x:c>
      <x:c r="P1680" s="54" t="n">
        <x:f>E1680*(1+N1680)</x:f>
        <x:v>29267.641286088434</x:v>
      </x:c>
      <x:c r="Q1680" s="54" t="n">
        <x:f>P1680-E1680</x:f>
        <x:v>-1090.3587139115662</x:v>
      </x:c>
      <x:c r="R1680" s="16" t="str">
        <x:v>Yes</x:v>
      </x:c>
      <x:c r="S1680" s="56" t="n">
        <x:v>8548</x:v>
      </x:c>
      <x:c r="T1680" s="56" t="n">
        <x:v>5977</x:v>
      </x:c>
      <x:c r="U1680" s="40" t="n">
        <x:f>E1680*Assumptions!$B$8</x:f>
        <x:v>25804.3</x:v>
      </x:c>
      <x:c r="V1680" s="40" t="n">
        <x:f>P1680*Assumptions!$B$8</x:f>
        <x:v>24877.495093175166</x:v>
      </x:c>
      <x:c r="W1680" s="54" t="n">
        <x:f>V1680-U1680</x:f>
        <x:v>-926.8049068248329</x:v>
      </x:c>
      <x:c r="X1680" s="58" t="n">
        <x:f>IF(R1680="No","",W1680*S1680)</x:f>
        <x:v>-7922328.343538672</x:v>
      </x:c>
      <x:c r="Y1680" s="58" t="n">
        <x:f>IF(R1680="No","",W1680*T1680*Assumptions!$B$9)</x:f>
        <x:v>-1661853.8784276077</x:v>
      </x:c>
      <x:c r="Z1680" s="58" t="n">
        <x:f>IF(R1680="No","",X1680-Y1680)</x:f>
        <x:v>-6260474.465111064</x:v>
      </x:c>
      <x:c r="AA1680" s="58" t="n">
        <x:f>IF(R1680="No","",MAX(0,-Z1680))</x:f>
        <x:v>6260474.465111064</x:v>
      </x:c>
      <x:c r="AB1680" s="52" t="n">
        <x:f>IF(OR(R1680="No",U1680*S1680=0),"",AA1680/(U1680*S1680))</x:f>
        <x:v>0.028382500401623035</x:v>
      </x:c>
      <x:c r="AC1680" s="54" t="n">
        <x:f>IF(OR(R1680="No",S1680-T1680*Assumptions!$B$9&lt;=0),"",AA1680/(Assumptions!$B$8*(S1680-T1680*Assumptions!$B$9)))</x:f>
        <x:v>1090.3587139115682</x:v>
      </x:c>
      <x:c r="AD1680" s="52" t="n">
        <x:f>IF(OR(R1680="No",U1680*S1680=0),"",AA1680/(U1680*S1680))</x:f>
        <x:v>0.028382500401623035</x:v>
      </x:c>
      <x:c r="AE1680" s="50" t="str">
        <x:f>IF(R1680="No","No finance data",IF(AB1680&gt;=10%,"Severe",IF(AB1680&gt;=5%,"High",IF(AB1680&gt;=2%,"Moderate","Low"))))</x:f>
        <x:v>Moderate</x:v>
      </x:c>
      <x:c r="AF1680" s="60" t="n">
        <x:v>32.729718</x:v>
      </x:c>
      <x:c r="AG1680" s="60" t="n">
        <x:v>-97.11296</x:v>
      </x:c>
      <x:c r="AH1680" s="44" t="str">
        <x:v>Undergraduate tuition-contribution proxy only; not an audited total institutional budget.</x:v>
      </x:c>
    </x:row>
    <x:row r="1681">
      <x:c r="A1681" s="16" t="n">
        <x:v>228778</x:v>
      </x:c>
      <x:c r="B1681" s="16" t="str">
        <x:v>The University of Texas at Austin</x:v>
      </x:c>
      <x:c r="C1681" s="16" t="str">
        <x:v>TX</x:v>
      </x:c>
      <x:c r="D1681" s="16" t="str">
        <x:v>Public</x:v>
      </x:c>
      <x:c r="E1681" s="34" t="n">
        <x:v>39057</x:v>
      </x:c>
      <x:c r="F1681" s="21" t="n">
        <x:v>0.2875</x:v>
      </x:c>
      <x:c r="G1681" s="16" t="str">
        <x:v>National</x:v>
      </x:c>
      <x:c r="H1681" s="36" t="n">
        <x:f>IF(G1681="National",Assumptions!$B$11,IF(G1681="Statewide",Assumptions!$B$12,Assumptions!$B$13))</x:f>
        <x:v>0.25</x:v>
      </x:c>
      <x:c r="I1681" s="21" t="n">
        <x:v>-0.027936917423154628</x:v>
      </x:c>
      <x:c r="J1681" s="21" t="n">
        <x:v>-0.0014699797999464526</x:v>
      </x:c>
      <x:c r="K1681" s="21" t="n">
        <x:v>0.009664387062230828</x:v>
      </x:c>
      <x:c r="L1681" s="36" t="n">
        <x:f>IF(Assumptions!$B$4=2030,I1681,IF(Assumptions!$B$4=2035,J1681,K1681))</x:f>
        <x:v>-0.0014699797999464526</x:v>
      </x:c>
      <x:c r="M1681" s="36" t="n">
        <x:f>Assumptions!$B$19</x:f>
        <x:v>-0.04739891965741583</x:v>
      </x:c>
      <x:c r="N1681" s="52" t="n">
        <x:f>H1681*L1681+(1-H1681)*M1681+O1681</x:f>
        <x:v>-0.035916684693048484</x:v>
      </x:c>
      <x:c r="O1681" s="36" t="n">
        <x:f>Assumptions!$B$10</x:f>
        <x:v>0</x:v>
      </x:c>
      <x:c r="P1681" s="54" t="n">
        <x:f>E1681*(1+N1681)</x:f>
        <x:v>37654.2020459436</x:v>
      </x:c>
      <x:c r="Q1681" s="54" t="n">
        <x:f>P1681-E1681</x:f>
        <x:v>-1402.7979540563974</x:v>
      </x:c>
      <x:c r="R1681" s="16" t="str">
        <x:v>Yes</x:v>
      </x:c>
      <x:c r="S1681" s="56" t="n">
        <x:v>11181</x:v>
      </x:c>
      <x:c r="T1681" s="56" t="n">
        <x:v>18798</x:v>
      </x:c>
      <x:c r="U1681" s="40" t="n">
        <x:f>E1681*Assumptions!$B$8</x:f>
        <x:v>33198.45</x:v>
      </x:c>
      <x:c r="V1681" s="40" t="n">
        <x:f>P1681*Assumptions!$B$8</x:f>
        <x:v>32006.071739052062</x:v>
      </x:c>
      <x:c r="W1681" s="54" t="n">
        <x:f>V1681-U1681</x:f>
        <x:v>-1192.378260947935</x:v>
      </x:c>
      <x:c r="X1681" s="58" t="n">
        <x:f>IF(R1681="No","",W1681*S1681)</x:f>
        <x:v>-13331981.33565886</x:v>
      </x:c>
      <x:c r="Y1681" s="58" t="n">
        <x:f>IF(R1681="No","",W1681*T1681*Assumptions!$B$9)</x:f>
        <x:v>-6724297.9647897845</x:v>
      </x:c>
      <x:c r="Z1681" s="58" t="n">
        <x:f>IF(R1681="No","",X1681-Y1681)</x:f>
        <x:v>-6607683.370869075</x:v>
      </x:c>
      <x:c r="AA1681" s="58" t="n">
        <x:f>IF(R1681="No","",MAX(0,-Z1681))</x:f>
        <x:v>6607683.370869075</x:v>
      </x:c>
      <x:c r="AB1681" s="52" t="n">
        <x:f>IF(OR(R1681="No",U1681*S1681=0),"",AA1681/(U1681*S1681))</x:f>
        <x:v>0.01780126105849185</x:v>
      </x:c>
      <x:c r="AC1681" s="54" t="n">
        <x:f>IF(OR(R1681="No",S1681-T1681*Assumptions!$B$9&lt;=0),"",AA1681/(Assumptions!$B$8*(S1681-T1681*Assumptions!$B$9)))</x:f>
        <x:v>1402.7979540563936</x:v>
      </x:c>
      <x:c r="AD1681" s="52" t="n">
        <x:f>IF(OR(R1681="No",U1681*S1681=0),"",AA1681/(U1681*S1681))</x:f>
        <x:v>0.01780126105849185</x:v>
      </x:c>
      <x:c r="AE1681" s="50" t="str">
        <x:f>IF(R1681="No","No finance data",IF(AB1681&gt;=10%,"Severe",IF(AB1681&gt;=5%,"High",IF(AB1681&gt;=2%,"Moderate","Low"))))</x:f>
        <x:v>Low</x:v>
      </x:c>
      <x:c r="AF1681" s="60" t="n">
        <x:v>30.282825</x:v>
      </x:c>
      <x:c r="AG1681" s="60" t="n">
        <x:v>-97.738273</x:v>
      </x:c>
      <x:c r="AH1681" s="44" t="str">
        <x:v>Undergraduate tuition-contribution proxy only; not an audited total institutional budget.</x:v>
      </x:c>
    </x:row>
    <x:row r="1682">
      <x:c r="A1682" s="16" t="n">
        <x:v>228787</x:v>
      </x:c>
      <x:c r="B1682" s="16" t="str">
        <x:v>The University of Texas at Dallas</x:v>
      </x:c>
      <x:c r="C1682" s="16" t="str">
        <x:v>TX</x:v>
      </x:c>
      <x:c r="D1682" s="16" t="str">
        <x:v>Public</x:v>
      </x:c>
      <x:c r="E1682" s="34" t="n">
        <x:v>15559</x:v>
      </x:c>
      <x:c r="F1682" s="21" t="n">
        <x:v>0.8721</x:v>
      </x:c>
      <x:c r="G1682" s="16" t="str">
        <x:v>Statewide</x:v>
      </x:c>
      <x:c r="H1682" s="36" t="n">
        <x:f>IF(G1682="National",Assumptions!$B$11,IF(G1682="Statewide",Assumptions!$B$12,Assumptions!$B$13))</x:f>
        <x:v>0.6</x:v>
      </x:c>
      <x:c r="I1682" s="21" t="n">
        <x:v>-0.027936917423154628</x:v>
      </x:c>
      <x:c r="J1682" s="21" t="n">
        <x:v>-0.0014699797999464526</x:v>
      </x:c>
      <x:c r="K1682" s="21" t="n">
        <x:v>0.009664387062230828</x:v>
      </x:c>
      <x:c r="L1682" s="36" t="n">
        <x:f>IF(Assumptions!$B$4=2030,I1682,IF(Assumptions!$B$4=2035,J1682,K1682))</x:f>
        <x:v>-0.0014699797999464526</x:v>
      </x:c>
      <x:c r="M1682" s="36" t="n">
        <x:f>Assumptions!$B$19</x:f>
        <x:v>-0.04739891965741583</x:v>
      </x:c>
      <x:c r="N1682" s="52" t="n">
        <x:f>H1682*L1682+(1-H1682)*M1682+O1682</x:f>
        <x:v>-0.019841555742934204</x:v>
      </x:c>
      <x:c r="O1682" s="36" t="n">
        <x:f>Assumptions!$B$10</x:f>
        <x:v>0</x:v>
      </x:c>
      <x:c r="P1682" s="54" t="n">
        <x:f>E1682*(1+N1682)</x:f>
        <x:v>15250.285234195686</x:v>
      </x:c>
      <x:c r="Q1682" s="54" t="n">
        <x:f>P1682-E1682</x:f>
        <x:v>-308.7147658043141</x:v>
      </x:c>
      <x:c r="R1682" s="16" t="str">
        <x:v>Yes</x:v>
      </x:c>
      <x:c r="S1682" s="56" t="n">
        <x:v>10573</x:v>
      </x:c>
      <x:c r="T1682" s="56" t="n">
        <x:v>10270</x:v>
      </x:c>
      <x:c r="U1682" s="40" t="n">
        <x:f>E1682*Assumptions!$B$8</x:f>
        <x:v>13225.15</x:v>
      </x:c>
      <x:c r="V1682" s="40" t="n">
        <x:f>P1682*Assumptions!$B$8</x:f>
        <x:v>12962.742449066332</x:v>
      </x:c>
      <x:c r="W1682" s="54" t="n">
        <x:f>V1682-U1682</x:f>
        <x:v>-262.40755093366715</x:v>
      </x:c>
      <x:c r="X1682" s="58" t="n">
        <x:f>IF(R1682="No","",W1682*S1682)</x:f>
        <x:v>-2774435.036021663</x:v>
      </x:c>
      <x:c r="Y1682" s="58" t="n">
        <x:f>IF(R1682="No","",W1682*T1682*Assumptions!$B$9)</x:f>
        <x:v>-808477.6644266284</x:v>
      </x:c>
      <x:c r="Z1682" s="58" t="n">
        <x:f>IF(R1682="No","",X1682-Y1682)</x:f>
        <x:v>-1965957.3715950344</x:v>
      </x:c>
      <x:c r="AA1682" s="58" t="n">
        <x:f>IF(R1682="No","",MAX(0,-Z1682))</x:f>
        <x:v>1965957.3715950344</x:v>
      </x:c>
      <x:c r="AB1682" s="52" t="n">
        <x:f>IF(OR(R1682="No",U1682*S1682=0),"",AA1682/(U1682*S1682))</x:f>
        <x:v>0.01405967422926923</x:v>
      </x:c>
      <x:c r="AC1682" s="54" t="n">
        <x:f>IF(OR(R1682="No",S1682-T1682*Assumptions!$B$9&lt;=0),"",AA1682/(Assumptions!$B$8*(S1682-T1682*Assumptions!$B$9)))</x:f>
        <x:v>308.7147658043143</x:v>
      </x:c>
      <x:c r="AD1682" s="52" t="n">
        <x:f>IF(OR(R1682="No",U1682*S1682=0),"",AA1682/(U1682*S1682))</x:f>
        <x:v>0.01405967422926923</x:v>
      </x:c>
      <x:c r="AE1682" s="50" t="str">
        <x:f>IF(R1682="No","No finance data",IF(AB1682&gt;=10%,"Severe",IF(AB1682&gt;=5%,"High",IF(AB1682&gt;=2%,"Moderate","Low"))))</x:f>
        <x:v>Low</x:v>
      </x:c>
      <x:c r="AF1682" s="60" t="n">
        <x:v>32.984673</x:v>
      </x:c>
      <x:c r="AG1682" s="60" t="n">
        <x:v>-96.749702</x:v>
      </x:c>
      <x:c r="AH1682" s="44" t="str">
        <x:v>Undergraduate tuition-contribution proxy only; not an audited total institutional budget.</x:v>
      </x:c>
    </x:row>
    <x:row r="1683">
      <x:c r="A1683" s="16" t="n">
        <x:v>228796</x:v>
      </x:c>
      <x:c r="B1683" s="16" t="str">
        <x:v>The University of Texas at El Paso</x:v>
      </x:c>
      <x:c r="C1683" s="16" t="str">
        <x:v>TX</x:v>
      </x:c>
      <x:c r="D1683" s="16" t="str">
        <x:v>Public</x:v>
      </x:c>
      <x:c r="E1683" s="34" t="n">
        <x:v>20004</x:v>
      </x:c>
      <x:c r="F1683" s="21" t="n">
        <x:v>0.9998</x:v>
      </x:c>
      <x:c r="G1683" s="16" t="str">
        <x:v>Statewide</x:v>
      </x:c>
      <x:c r="H1683" s="36" t="n">
        <x:f>IF(G1683="National",Assumptions!$B$11,IF(G1683="Statewide",Assumptions!$B$12,Assumptions!$B$13))</x:f>
        <x:v>0.6</x:v>
      </x:c>
      <x:c r="I1683" s="21" t="n">
        <x:v>-0.027936917423154628</x:v>
      </x:c>
      <x:c r="J1683" s="21" t="n">
        <x:v>-0.0014699797999464526</x:v>
      </x:c>
      <x:c r="K1683" s="21" t="n">
        <x:v>0.009664387062230828</x:v>
      </x:c>
      <x:c r="L1683" s="36" t="n">
        <x:f>IF(Assumptions!$B$4=2030,I1683,IF(Assumptions!$B$4=2035,J1683,K1683))</x:f>
        <x:v>-0.0014699797999464526</x:v>
      </x:c>
      <x:c r="M1683" s="36" t="n">
        <x:f>Assumptions!$B$19</x:f>
        <x:v>-0.04739891965741583</x:v>
      </x:c>
      <x:c r="N1683" s="52" t="n">
        <x:f>H1683*L1683+(1-H1683)*M1683+O1683</x:f>
        <x:v>-0.019841555742934204</x:v>
      </x:c>
      <x:c r="O1683" s="36" t="n">
        <x:f>Assumptions!$B$10</x:f>
        <x:v>0</x:v>
      </x:c>
      <x:c r="P1683" s="54" t="n">
        <x:f>E1683*(1+N1683)</x:f>
        <x:v>19607.089518918343</x:v>
      </x:c>
      <x:c r="Q1683" s="54" t="n">
        <x:f>P1683-E1683</x:f>
        <x:v>-396.91048108165705</x:v>
      </x:c>
      <x:c r="R1683" s="16" t="str">
        <x:v>Yes</x:v>
      </x:c>
      <x:c r="S1683" s="56" t="n">
        <x:v>7307</x:v>
      </x:c>
      <x:c r="T1683" s="56" t="n">
        <x:v>6715</x:v>
      </x:c>
      <x:c r="U1683" s="40" t="n">
        <x:f>E1683*Assumptions!$B$8</x:f>
        <x:v>17003.399999999998</x:v>
      </x:c>
      <x:c r="V1683" s="40" t="n">
        <x:f>P1683*Assumptions!$B$8</x:f>
        <x:v>16666.026091080592</x:v>
      </x:c>
      <x:c r="W1683" s="54" t="n">
        <x:f>V1683-U1683</x:f>
        <x:v>-337.37390891940595</x:v>
      </x:c>
      <x:c r="X1683" s="58" t="n">
        <x:f>IF(R1683="No","",W1683*S1683)</x:f>
        <x:v>-2465191.1524740993</x:v>
      </x:c>
      <x:c r="Y1683" s="58" t="n">
        <x:f>IF(R1683="No","",W1683*T1683*Assumptions!$B$9)</x:f>
        <x:v>-679639.7395181434</x:v>
      </x:c>
      <x:c r="Z1683" s="58" t="n">
        <x:f>IF(R1683="No","",X1683-Y1683)</x:f>
        <x:v>-1785551.412955956</x:v>
      </x:c>
      <x:c r="AA1683" s="58" t="n">
        <x:f>IF(R1683="No","",MAX(0,-Z1683))</x:f>
        <x:v>1785551.412955956</x:v>
      </x:c>
      <x:c r="AB1683" s="52" t="n">
        <x:f>IF(OR(R1683="No",U1683*S1683=0),"",AA1683/(U1683*S1683))</x:f>
        <x:v>0.014371347169765817</x:v>
      </x:c>
      <x:c r="AC1683" s="54" t="n">
        <x:f>IF(OR(R1683="No",S1683-T1683*Assumptions!$B$9&lt;=0),"",AA1683/(Assumptions!$B$8*(S1683-T1683*Assumptions!$B$9)))</x:f>
        <x:v>396.9104810816541</x:v>
      </x:c>
      <x:c r="AD1683" s="52" t="n">
        <x:f>IF(OR(R1683="No",U1683*S1683=0),"",AA1683/(U1683*S1683))</x:f>
        <x:v>0.014371347169765817</x:v>
      </x:c>
      <x:c r="AE1683" s="50" t="str">
        <x:f>IF(R1683="No","No finance data",IF(AB1683&gt;=10%,"Severe",IF(AB1683&gt;=5%,"High",IF(AB1683&gt;=2%,"Moderate","Low"))))</x:f>
        <x:v>Low</x:v>
      </x:c>
      <x:c r="AF1683" s="60" t="n">
        <x:v>31.77015</x:v>
      </x:c>
      <x:c r="AG1683" s="60" t="n">
        <x:v>-106.504098</x:v>
      </x:c>
      <x:c r="AH1683" s="44" t="str">
        <x:v>Undergraduate tuition-contribution proxy only; not an audited total institutional budget.</x:v>
      </x:c>
    </x:row>
    <x:row r="1684">
      <x:c r="A1684" s="16" t="n">
        <x:v>229027</x:v>
      </x:c>
      <x:c r="B1684" s="16" t="str">
        <x:v>The University of Texas at San Antonio</x:v>
      </x:c>
      <x:c r="C1684" s="16" t="str">
        <x:v>TX</x:v>
      </x:c>
      <x:c r="D1684" s="16" t="str">
        <x:v>Public</x:v>
      </x:c>
      <x:c r="E1684" s="34" t="n">
        <x:v>23921</x:v>
      </x:c>
      <x:c r="F1684" s="21" t="n">
        <x:v>0.905</x:v>
      </x:c>
      <x:c r="G1684" s="16" t="str">
        <x:v>Statewide</x:v>
      </x:c>
      <x:c r="H1684" s="36" t="n">
        <x:f>IF(G1684="National",Assumptions!$B$11,IF(G1684="Statewide",Assumptions!$B$12,Assumptions!$B$13))</x:f>
        <x:v>0.6</x:v>
      </x:c>
      <x:c r="I1684" s="21" t="n">
        <x:v>-0.027936917423154628</x:v>
      </x:c>
      <x:c r="J1684" s="21" t="n">
        <x:v>-0.0014699797999464526</x:v>
      </x:c>
      <x:c r="K1684" s="21" t="n">
        <x:v>0.009664387062230828</x:v>
      </x:c>
      <x:c r="L1684" s="36" t="n">
        <x:f>IF(Assumptions!$B$4=2030,I1684,IF(Assumptions!$B$4=2035,J1684,K1684))</x:f>
        <x:v>-0.0014699797999464526</x:v>
      </x:c>
      <x:c r="M1684" s="36" t="n">
        <x:f>Assumptions!$B$19</x:f>
        <x:v>-0.04739891965741583</x:v>
      </x:c>
      <x:c r="N1684" s="52" t="n">
        <x:f>H1684*L1684+(1-H1684)*M1684+O1684</x:f>
        <x:v>-0.019841555742934204</x:v>
      </x:c>
      <x:c r="O1684" s="36" t="n">
        <x:f>Assumptions!$B$10</x:f>
        <x:v>0</x:v>
      </x:c>
      <x:c r="P1684" s="54" t="n">
        <x:f>E1684*(1+N1684)</x:f>
        <x:v>23446.37014507327</x:v>
      </x:c>
      <x:c r="Q1684" s="54" t="n">
        <x:f>P1684-E1684</x:f>
        <x:v>-474.62985492673033</x:v>
      </x:c>
      <x:c r="R1684" s="16" t="str">
        <x:v>Yes</x:v>
      </x:c>
      <x:c r="S1684" s="56" t="n">
        <x:v>8581</x:v>
      </x:c>
      <x:c r="T1684" s="56" t="n">
        <x:v>5076</x:v>
      </x:c>
      <x:c r="U1684" s="40" t="n">
        <x:f>E1684*Assumptions!$B$8</x:f>
        <x:v>20332.85</x:v>
      </x:c>
      <x:c r="V1684" s="40" t="n">
        <x:f>P1684*Assumptions!$B$8</x:f>
        <x:v>19929.414623312277</x:v>
      </x:c>
      <x:c r="W1684" s="54" t="n">
        <x:f>V1684-U1684</x:f>
        <x:v>-403.43537668772115</x:v>
      </x:c>
      <x:c r="X1684" s="58" t="n">
        <x:f>IF(R1684="No","",W1684*S1684)</x:f>
        <x:v>-3461878.967357335</x:v>
      </x:c>
      <x:c r="Y1684" s="58" t="n">
        <x:f>IF(R1684="No","",W1684*T1684*Assumptions!$B$9)</x:f>
        <x:v>-614351.3916200617</x:v>
      </x:c>
      <x:c r="Z1684" s="58" t="n">
        <x:f>IF(R1684="No","",X1684-Y1684)</x:f>
        <x:v>-2847527.5757372733</x:v>
      </x:c>
      <x:c r="AA1684" s="58" t="n">
        <x:f>IF(R1684="No","",MAX(0,-Z1684))</x:f>
        <x:v>2847527.5757372733</x:v>
      </x:c>
      <x:c r="AB1684" s="52" t="n">
        <x:f>IF(OR(R1684="No",U1684*S1684=0),"",AA1684/(U1684*S1684))</x:f>
        <x:v>0.01632043686572412</x:v>
      </x:c>
      <x:c r="AC1684" s="54" t="n">
        <x:f>IF(OR(R1684="No",S1684-T1684*Assumptions!$B$9&lt;=0),"",AA1684/(Assumptions!$B$8*(S1684-T1684*Assumptions!$B$9)))</x:f>
        <x:v>474.6298549267308</x:v>
      </x:c>
      <x:c r="AD1684" s="52" t="n">
        <x:f>IF(OR(R1684="No",U1684*S1684=0),"",AA1684/(U1684*S1684))</x:f>
        <x:v>0.01632043686572412</x:v>
      </x:c>
      <x:c r="AE1684" s="50" t="str">
        <x:f>IF(R1684="No","No finance data",IF(AB1684&gt;=10%,"Severe",IF(AB1684&gt;=5%,"High",IF(AB1684&gt;=2%,"Moderate","Low"))))</x:f>
        <x:v>Low</x:v>
      </x:c>
      <x:c r="AF1684" s="60" t="n">
        <x:v>29.583709</x:v>
      </x:c>
      <x:c r="AG1684" s="60" t="n">
        <x:v>-98.620657</x:v>
      </x:c>
      <x:c r="AH1684" s="44" t="str">
        <x:v>Undergraduate tuition-contribution proxy only; not an audited total institutional budget.</x:v>
      </x:c>
    </x:row>
    <x:row r="1685">
      <x:c r="A1685" s="16" t="n">
        <x:v>228802</x:v>
      </x:c>
      <x:c r="B1685" s="16" t="str">
        <x:v>The University of Texas at Tyler</x:v>
      </x:c>
      <x:c r="C1685" s="16" t="str">
        <x:v>TX</x:v>
      </x:c>
      <x:c r="D1685" s="16" t="str">
        <x:v>Public</x:v>
      </x:c>
      <x:c r="E1685" s="34" t="n">
        <x:v>6059</x:v>
      </x:c>
      <x:c r="F1685" s="21" t="n">
        <x:v>0.9388</x:v>
      </x:c>
      <x:c r="G1685" s="16" t="str">
        <x:v>Statewide</x:v>
      </x:c>
      <x:c r="H1685" s="36" t="n">
        <x:f>IF(G1685="National",Assumptions!$B$11,IF(G1685="Statewide",Assumptions!$B$12,Assumptions!$B$13))</x:f>
        <x:v>0.6</x:v>
      </x:c>
      <x:c r="I1685" s="21" t="n">
        <x:v>-0.027936917423154628</x:v>
      </x:c>
      <x:c r="J1685" s="21" t="n">
        <x:v>-0.0014699797999464526</x:v>
      </x:c>
      <x:c r="K1685" s="21" t="n">
        <x:v>0.009664387062230828</x:v>
      </x:c>
      <x:c r="L1685" s="36" t="n">
        <x:f>IF(Assumptions!$B$4=2030,I1685,IF(Assumptions!$B$4=2035,J1685,K1685))</x:f>
        <x:v>-0.0014699797999464526</x:v>
      </x:c>
      <x:c r="M1685" s="36" t="n">
        <x:f>Assumptions!$B$19</x:f>
        <x:v>-0.04739891965741583</x:v>
      </x:c>
      <x:c r="N1685" s="52" t="n">
        <x:f>H1685*L1685+(1-H1685)*M1685+O1685</x:f>
        <x:v>-0.019841555742934204</x:v>
      </x:c>
      <x:c r="O1685" s="36" t="n">
        <x:f>Assumptions!$B$10</x:f>
        <x:v>0</x:v>
      </x:c>
      <x:c r="P1685" s="54" t="n">
        <x:f>E1685*(1+N1685)</x:f>
        <x:v>5938.780013753561</x:v>
      </x:c>
      <x:c r="Q1685" s="54" t="n">
        <x:f>P1685-E1685</x:f>
        <x:v>-120.21998624643857</x:v>
      </x:c>
      <x:c r="R1685" s="16" t="str">
        <x:v>Yes</x:v>
      </x:c>
      <x:c r="S1685" s="56" t="n">
        <x:v>6949</x:v>
      </x:c>
      <x:c r="T1685" s="56" t="n">
        <x:v>17211</x:v>
      </x:c>
      <x:c r="U1685" s="40" t="n">
        <x:f>E1685*Assumptions!$B$8</x:f>
        <x:v>5150.15</x:v>
      </x:c>
      <x:c r="V1685" s="40" t="n">
        <x:f>P1685*Assumptions!$B$8</x:f>
        <x:v>5047.963011690527</x:v>
      </x:c>
      <x:c r="W1685" s="54" t="n">
        <x:f>V1685-U1685</x:f>
        <x:v>-102.18698830947233</x:v>
      </x:c>
      <x:c r="X1685" s="58" t="n">
        <x:f>IF(R1685="No","",W1685*S1685)</x:f>
        <x:v>-710097.3817625232</x:v>
      </x:c>
      <x:c r="Y1685" s="58" t="n">
        <x:f>IF(R1685="No","",W1685*T1685*Assumptions!$B$9)</x:f>
        <x:v>-527622.0767382984</x:v>
      </x:c>
      <x:c r="Z1685" s="58" t="n">
        <x:f>IF(R1685="No","",X1685-Y1685)</x:f>
        <x:v>-182475.3050242248</x:v>
      </x:c>
      <x:c r="AA1685" s="58" t="n">
        <x:f>IF(R1685="No","",MAX(0,-Z1685))</x:f>
        <x:v>182475.3050242248</x:v>
      </x:c>
      <x:c r="AB1685" s="52" t="n">
        <x:f>IF(OR(R1685="No",U1685*S1685=0),"",AA1685/(U1685*S1685))</x:f>
        <x:v>0.00509872875092208</x:v>
      </x:c>
      <x:c r="AC1685" s="54" t="n">
        <x:f>IF(OR(R1685="No",S1685-T1685*Assumptions!$B$9&lt;=0),"",AA1685/(Assumptions!$B$8*(S1685-T1685*Assumptions!$B$9)))</x:f>
        <x:v>120.2199862464381</x:v>
      </x:c>
      <x:c r="AD1685" s="52" t="n">
        <x:f>IF(OR(R1685="No",U1685*S1685=0),"",AA1685/(U1685*S1685))</x:f>
        <x:v>0.00509872875092208</x:v>
      </x:c>
      <x:c r="AE1685" s="50" t="str">
        <x:f>IF(R1685="No","No finance data",IF(AB1685&gt;=10%,"Severe",IF(AB1685&gt;=5%,"High",IF(AB1685&gt;=2%,"Moderate","Low"))))</x:f>
        <x:v>Low</x:v>
      </x:c>
      <x:c r="AF1685" s="60" t="n">
        <x:v>32.315772</x:v>
      </x:c>
      <x:c r="AG1685" s="60" t="n">
        <x:v>-95.254337</x:v>
      </x:c>
      <x:c r="AH1685" s="44" t="str">
        <x:v>Undergraduate tuition-contribution proxy only; not an audited total institutional budget.</x:v>
      </x:c>
    </x:row>
    <x:row r="1686">
      <x:c r="A1686" s="16" t="n">
        <x:v>229018</x:v>
      </x:c>
      <x:c r="B1686" s="16" t="str">
        <x:v>The University of Texas of the Permian Basin</x:v>
      </x:c>
      <x:c r="C1686" s="16" t="str">
        <x:v>TX</x:v>
      </x:c>
      <x:c r="D1686" s="16" t="str">
        <x:v>Public</x:v>
      </x:c>
      <x:c r="E1686" s="34" t="n">
        <x:v>3527</x:v>
      </x:c>
      <x:c r="F1686" s="21" t="n">
        <x:v>0.6469</x:v>
      </x:c>
      <x:c r="G1686" s="16" t="str">
        <x:v>Regional</x:v>
      </x:c>
      <x:c r="H1686" s="36" t="n">
        <x:f>IF(G1686="National",Assumptions!$B$11,IF(G1686="Statewide",Assumptions!$B$12,Assumptions!$B$13))</x:f>
        <x:v>0.85</x:v>
      </x:c>
      <x:c r="I1686" s="21" t="n">
        <x:v>-0.027936917423154628</x:v>
      </x:c>
      <x:c r="J1686" s="21" t="n">
        <x:v>-0.0014699797999464526</x:v>
      </x:c>
      <x:c r="K1686" s="21" t="n">
        <x:v>0.009664387062230828</x:v>
      </x:c>
      <x:c r="L1686" s="36" t="n">
        <x:f>IF(Assumptions!$B$4=2030,I1686,IF(Assumptions!$B$4=2035,J1686,K1686))</x:f>
        <x:v>-0.0014699797999464526</x:v>
      </x:c>
      <x:c r="M1686" s="36" t="n">
        <x:f>Assumptions!$B$19</x:f>
        <x:v>-0.04739891965741583</x:v>
      </x:c>
      <x:c r="N1686" s="52" t="n">
        <x:f>H1686*L1686+(1-H1686)*M1686+O1686</x:f>
        <x:v>-0.00835932077856686</x:v>
      </x:c>
      <x:c r="O1686" s="36" t="n">
        <x:f>Assumptions!$B$10</x:f>
        <x:v>0</x:v>
      </x:c>
      <x:c r="P1686" s="54" t="n">
        <x:f>E1686*(1+N1686)</x:f>
        <x:v>3497.5166756139947</x:v>
      </x:c>
      <x:c r="Q1686" s="54" t="n">
        <x:f>P1686-E1686</x:f>
        <x:v>-29.48332438600528</x:v>
      </x:c>
      <x:c r="R1686" s="16" t="str">
        <x:v>Yes</x:v>
      </x:c>
      <x:c r="S1686" s="56" t="n">
        <x:v>7201</x:v>
      </x:c>
      <x:c r="T1686" s="56" t="n">
        <x:v>11119</x:v>
      </x:c>
      <x:c r="U1686" s="40" t="n">
        <x:f>E1686*Assumptions!$B$8</x:f>
        <x:v>2997.95</x:v>
      </x:c>
      <x:c r="V1686" s="40" t="n">
        <x:f>P1686*Assumptions!$B$8</x:f>
        <x:v>2972.8891742718956</x:v>
      </x:c>
      <x:c r="W1686" s="54" t="n">
        <x:f>V1686-U1686</x:f>
        <x:v>-25.06082572810419</x:v>
      </x:c>
      <x:c r="X1686" s="58" t="n">
        <x:f>IF(R1686="No","",W1686*S1686)</x:f>
        <x:v>-180463.00606807828</x:v>
      </x:c>
      <x:c r="Y1686" s="58" t="n">
        <x:f>IF(R1686="No","",W1686*T1686*Assumptions!$B$9)</x:f>
        <x:v>-83595.39638123715</x:v>
      </x:c>
      <x:c r="Z1686" s="58" t="n">
        <x:f>IF(R1686="No","",X1686-Y1686)</x:f>
        <x:v>-96867.60968684113</x:v>
      </x:c>
      <x:c r="AA1686" s="58" t="n">
        <x:f>IF(R1686="No","",MAX(0,-Z1686))</x:f>
        <x:v>96867.60968684113</x:v>
      </x:c>
      <x:c r="AB1686" s="52" t="n">
        <x:f>IF(OR(R1686="No",U1686*S1686=0),"",AA1686/(U1686*S1686))</x:f>
        <x:v>0.004487054937563403</x:v>
      </x:c>
      <x:c r="AC1686" s="54" t="n">
        <x:f>IF(OR(R1686="No",S1686-T1686*Assumptions!$B$9&lt;=0),"",AA1686/(Assumptions!$B$8*(S1686-T1686*Assumptions!$B$9)))</x:f>
        <x:v>29.483324386004927</x:v>
      </x:c>
      <x:c r="AD1686" s="52" t="n">
        <x:f>IF(OR(R1686="No",U1686*S1686=0),"",AA1686/(U1686*S1686))</x:f>
        <x:v>0.004487054937563403</x:v>
      </x:c>
      <x:c r="AE1686" s="50" t="str">
        <x:f>IF(R1686="No","No finance data",IF(AB1686&gt;=10%,"Severe",IF(AB1686&gt;=5%,"High",IF(AB1686&gt;=2%,"Moderate","Low"))))</x:f>
        <x:v>Low</x:v>
      </x:c>
      <x:c r="AF1686" s="60" t="n">
        <x:v>31.889509</x:v>
      </x:c>
      <x:c r="AG1686" s="60" t="n">
        <x:v>-102.329634</x:v>
      </x:c>
      <x:c r="AH1686" s="44" t="str">
        <x:v>Undergraduate tuition-contribution proxy only; not an audited total institutional budget.</x:v>
      </x:c>
    </x:row>
    <x:row r="1687">
      <x:c r="A1687" s="16" t="n">
        <x:v>229267</x:v>
      </x:c>
      <x:c r="B1687" s="16" t="str">
        <x:v>Trinity University</x:v>
      </x:c>
      <x:c r="C1687" s="16" t="str">
        <x:v>TX</x:v>
      </x:c>
      <x:c r="D1687" s="16" t="str">
        <x:v>Private nonprofit</x:v>
      </x:c>
      <x:c r="E1687" s="34" t="n">
        <x:v>2213</x:v>
      </x:c>
      <x:c r="F1687" s="21" t="n">
        <x:v>0.3372</x:v>
      </x:c>
      <x:c r="G1687" s="16" t="str">
        <x:v>National</x:v>
      </x:c>
      <x:c r="H1687" s="36" t="n">
        <x:f>IF(G1687="National",Assumptions!$B$11,IF(G1687="Statewide",Assumptions!$B$12,Assumptions!$B$13))</x:f>
        <x:v>0.25</x:v>
      </x:c>
      <x:c r="I1687" s="21" t="n">
        <x:v>-0.027936917423154628</x:v>
      </x:c>
      <x:c r="J1687" s="21" t="n">
        <x:v>-0.0014699797999464526</x:v>
      </x:c>
      <x:c r="K1687" s="21" t="n">
        <x:v>0.009664387062230828</x:v>
      </x:c>
      <x:c r="L1687" s="36" t="n">
        <x:f>IF(Assumptions!$B$4=2030,I1687,IF(Assumptions!$B$4=2035,J1687,K1687))</x:f>
        <x:v>-0.0014699797999464526</x:v>
      </x:c>
      <x:c r="M1687" s="36" t="n">
        <x:f>Assumptions!$B$19</x:f>
        <x:v>-0.04739891965741583</x:v>
      </x:c>
      <x:c r="N1687" s="52" t="n">
        <x:f>H1687*L1687+(1-H1687)*M1687+O1687</x:f>
        <x:v>-0.035916684693048484</x:v>
      </x:c>
      <x:c r="O1687" s="36" t="n">
        <x:f>Assumptions!$B$10</x:f>
        <x:v>0</x:v>
      </x:c>
      <x:c r="P1687" s="54" t="n">
        <x:f>E1687*(1+N1687)</x:f>
        <x:v>2133.516376774284</x:v>
      </x:c>
      <x:c r="Q1687" s="54" t="n">
        <x:f>P1687-E1687</x:f>
        <x:v>-79.4836232257162</x:v>
      </x:c>
      <x:c r="R1687" s="16" t="str">
        <x:v>Yes</x:v>
      </x:c>
      <x:c r="S1687" s="56" t="n">
        <x:v>19050</x:v>
      </x:c>
      <x:c r="T1687" s="56" t="n">
        <x:v>20185</x:v>
      </x:c>
      <x:c r="U1687" s="40" t="n">
        <x:f>E1687*Assumptions!$B$8</x:f>
        <x:v>1881.05</x:v>
      </x:c>
      <x:c r="V1687" s="40" t="n">
        <x:f>P1687*Assumptions!$B$8</x:f>
        <x:v>1813.4889202581412</x:v>
      </x:c>
      <x:c r="W1687" s="54" t="n">
        <x:f>V1687-U1687</x:f>
        <x:v>-67.56107974185875</x:v>
      </x:c>
      <x:c r="X1687" s="58" t="n">
        <x:f>IF(R1687="No","",W1687*S1687)</x:f>
        <x:v>-1287038.5690824091</x:v>
      </x:c>
      <x:c r="Y1687" s="58" t="n">
        <x:f>IF(R1687="No","",W1687*T1687*Assumptions!$B$9)</x:f>
        <x:v>-409116.11837682565</x:v>
      </x:c>
      <x:c r="Z1687" s="58" t="n">
        <x:f>IF(R1687="No","",X1687-Y1687)</x:f>
        <x:v>-877922.4507055834</x:v>
      </x:c>
      <x:c r="AA1687" s="58" t="n">
        <x:f>IF(R1687="No","",MAX(0,-Z1687))</x:f>
        <x:v>877922.4507055834</x:v>
      </x:c>
      <x:c r="AB1687" s="52" t="n">
        <x:f>IF(OR(R1687="No",U1687*S1687=0),"",AA1687/(U1687*S1687))</x:f>
        <x:v>0.02449970389731327</x:v>
      </x:c>
      <x:c r="AC1687" s="54" t="n">
        <x:f>IF(OR(R1687="No",S1687-T1687*Assumptions!$B$9&lt;=0),"",AA1687/(Assumptions!$B$8*(S1687-T1687*Assumptions!$B$9)))</x:f>
        <x:v>79.48362322571617</x:v>
      </x:c>
      <x:c r="AD1687" s="52" t="n">
        <x:f>IF(OR(R1687="No",U1687*S1687=0),"",AA1687/(U1687*S1687))</x:f>
        <x:v>0.02449970389731327</x:v>
      </x:c>
      <x:c r="AE1687" s="50" t="str">
        <x:f>IF(R1687="No","No finance data",IF(AB1687&gt;=10%,"Severe",IF(AB1687&gt;=5%,"High",IF(AB1687&gt;=2%,"Moderate","Low"))))</x:f>
        <x:v>Moderate</x:v>
      </x:c>
      <x:c r="AF1687" s="60" t="n">
        <x:v>29.462682</x:v>
      </x:c>
      <x:c r="AG1687" s="60" t="n">
        <x:v>-98.48186</x:v>
      </x:c>
      <x:c r="AH1687" s="44" t="str">
        <x:v>Undergraduate tuition-contribution proxy only; not an audited total institutional budget.</x:v>
      </x:c>
    </x:row>
    <x:row r="1688">
      <x:c r="A1688" s="16" t="n">
        <x:v>224323</x:v>
      </x:c>
      <x:c r="B1688" s="16" t="str">
        <x:v>University of Dallas</x:v>
      </x:c>
      <x:c r="C1688" s="16" t="str">
        <x:v>TX</x:v>
      </x:c>
      <x:c r="D1688" s="16" t="str">
        <x:v>Private nonprofit</x:v>
      </x:c>
      <x:c r="E1688" s="34" t="n">
        <x:v>1336</x:v>
      </x:c>
      <x:c r="F1688" s="21" t="n">
        <x:v>0.5836</x:v>
      </x:c>
      <x:c r="G1688" s="16" t="str">
        <x:v>Regional</x:v>
      </x:c>
      <x:c r="H1688" s="36" t="n">
        <x:f>IF(G1688="National",Assumptions!$B$11,IF(G1688="Statewide",Assumptions!$B$12,Assumptions!$B$13))</x:f>
        <x:v>0.85</x:v>
      </x:c>
      <x:c r="I1688" s="21" t="n">
        <x:v>-0.027936917423154628</x:v>
      </x:c>
      <x:c r="J1688" s="21" t="n">
        <x:v>-0.0014699797999464526</x:v>
      </x:c>
      <x:c r="K1688" s="21" t="n">
        <x:v>0.009664387062230828</x:v>
      </x:c>
      <x:c r="L1688" s="36" t="n">
        <x:f>IF(Assumptions!$B$4=2030,I1688,IF(Assumptions!$B$4=2035,J1688,K1688))</x:f>
        <x:v>-0.0014699797999464526</x:v>
      </x:c>
      <x:c r="M1688" s="36" t="n">
        <x:f>Assumptions!$B$19</x:f>
        <x:v>-0.04739891965741583</x:v>
      </x:c>
      <x:c r="N1688" s="52" t="n">
        <x:f>H1688*L1688+(1-H1688)*M1688+O1688</x:f>
        <x:v>-0.00835932077856686</x:v>
      </x:c>
      <x:c r="O1688" s="36" t="n">
        <x:f>Assumptions!$B$10</x:f>
        <x:v>0</x:v>
      </x:c>
      <x:c r="P1688" s="54" t="n">
        <x:f>E1688*(1+N1688)</x:f>
        <x:v>1324.8319474398347</x:v>
      </x:c>
      <x:c r="Q1688" s="54" t="n">
        <x:f>P1688-E1688</x:f>
        <x:v>-11.168052560165279</x:v>
      </x:c>
      <x:c r="R1688" s="16" t="str">
        <x:v>Yes</x:v>
      </x:c>
      <x:c r="S1688" s="56" t="n">
        <x:v>17438</x:v>
      </x:c>
      <x:c r="T1688" s="56" t="n">
        <x:v>10603</x:v>
      </x:c>
      <x:c r="U1688" s="40" t="n">
        <x:f>E1688*Assumptions!$B$8</x:f>
        <x:v>1135.6</x:v>
      </x:c>
      <x:c r="V1688" s="40" t="n">
        <x:f>P1688*Assumptions!$B$8</x:f>
        <x:v>1126.1071553238594</x:v>
      </x:c>
      <x:c r="W1688" s="54" t="n">
        <x:f>V1688-U1688</x:f>
        <x:v>-9.492844676140521</x:v>
      </x:c>
      <x:c r="X1688" s="58" t="n">
        <x:f>IF(R1688="No","",W1688*S1688)</x:f>
        <x:v>-165536.22546253842</x:v>
      </x:c>
      <x:c r="Y1688" s="58" t="n">
        <x:f>IF(R1688="No","",W1688*T1688*Assumptions!$B$9)</x:f>
        <x:v>-30195.789630335385</x:v>
      </x:c>
      <x:c r="Z1688" s="58" t="n">
        <x:f>IF(R1688="No","",X1688-Y1688)</x:f>
        <x:v>-135340.43583220305</x:v>
      </x:c>
      <x:c r="AA1688" s="58" t="n">
        <x:f>IF(R1688="No","",MAX(0,-Z1688))</x:f>
        <x:v>135340.43583220305</x:v>
      </x:c>
      <x:c r="AB1688" s="52" t="n">
        <x:f>IF(OR(R1688="No",U1688*S1688=0),"",AA1688/(U1688*S1688))</x:f>
        <x:v>0.006834480575301385</x:v>
      </x:c>
      <x:c r="AC1688" s="54" t="n">
        <x:f>IF(OR(R1688="No",S1688-T1688*Assumptions!$B$9&lt;=0),"",AA1688/(Assumptions!$B$8*(S1688-T1688*Assumptions!$B$9)))</x:f>
        <x:v>11.168052560165322</x:v>
      </x:c>
      <x:c r="AD1688" s="52" t="n">
        <x:f>IF(OR(R1688="No",U1688*S1688=0),"",AA1688/(U1688*S1688))</x:f>
        <x:v>0.006834480575301385</x:v>
      </x:c>
      <x:c r="AE1688" s="50" t="str">
        <x:f>IF(R1688="No","No finance data",IF(AB1688&gt;=10%,"Severe",IF(AB1688&gt;=5%,"High",IF(AB1688&gt;=2%,"Moderate","Low"))))</x:f>
        <x:v>Low</x:v>
      </x:c>
      <x:c r="AF1688" s="60" t="n">
        <x:v>32.846221</x:v>
      </x:c>
      <x:c r="AG1688" s="60" t="n">
        <x:v>-96.919512</x:v>
      </x:c>
      <x:c r="AH1688" s="44" t="str">
        <x:v>Undergraduate tuition-contribution proxy only; not an audited total institutional budget.</x:v>
      </x:c>
    </x:row>
    <x:row r="1689">
      <x:c r="A1689" s="16" t="n">
        <x:v>225511</x:v>
      </x:c>
      <x:c r="B1689" s="16" t="str">
        <x:v>University of Houston</x:v>
      </x:c>
      <x:c r="C1689" s="16" t="str">
        <x:v>TX</x:v>
      </x:c>
      <x:c r="D1689" s="16" t="str">
        <x:v>Public</x:v>
      </x:c>
      <x:c r="E1689" s="34" t="n">
        <x:v>33300</x:v>
      </x:c>
      <x:c r="F1689" s="21" t="n">
        <x:v>0.6552</x:v>
      </x:c>
      <x:c r="G1689" s="16" t="str">
        <x:v>National</x:v>
      </x:c>
      <x:c r="H1689" s="36" t="n">
        <x:f>IF(G1689="National",Assumptions!$B$11,IF(G1689="Statewide",Assumptions!$B$12,Assumptions!$B$13))</x:f>
        <x:v>0.25</x:v>
      </x:c>
      <x:c r="I1689" s="21" t="n">
        <x:v>-0.027936917423154628</x:v>
      </x:c>
      <x:c r="J1689" s="21" t="n">
        <x:v>-0.0014699797999464526</x:v>
      </x:c>
      <x:c r="K1689" s="21" t="n">
        <x:v>0.009664387062230828</x:v>
      </x:c>
      <x:c r="L1689" s="36" t="n">
        <x:f>IF(Assumptions!$B$4=2030,I1689,IF(Assumptions!$B$4=2035,J1689,K1689))</x:f>
        <x:v>-0.0014699797999464526</x:v>
      </x:c>
      <x:c r="M1689" s="36" t="n">
        <x:f>Assumptions!$B$19</x:f>
        <x:v>-0.04739891965741583</x:v>
      </x:c>
      <x:c r="N1689" s="52" t="n">
        <x:f>H1689*L1689+(1-H1689)*M1689+O1689</x:f>
        <x:v>-0.035916684693048484</x:v>
      </x:c>
      <x:c r="O1689" s="36" t="n">
        <x:f>Assumptions!$B$10</x:f>
        <x:v>0</x:v>
      </x:c>
      <x:c r="P1689" s="54" t="n">
        <x:f>E1689*(1+N1689)</x:f>
        <x:v>32103.974399721483</x:v>
      </x:c>
      <x:c r="Q1689" s="54" t="n">
        <x:f>P1689-E1689</x:f>
        <x:v>-1196.0256002785172</x:v>
      </x:c>
      <x:c r="R1689" s="16" t="str">
        <x:v>Yes</x:v>
      </x:c>
      <x:c r="S1689" s="56" t="n">
        <x:v>9758</x:v>
      </x:c>
      <x:c r="T1689" s="56" t="n">
        <x:v>7873</x:v>
      </x:c>
      <x:c r="U1689" s="40" t="n">
        <x:f>E1689*Assumptions!$B$8</x:f>
        <x:v>28305</x:v>
      </x:c>
      <x:c r="V1689" s="40" t="n">
        <x:f>P1689*Assumptions!$B$8</x:f>
        <x:v>27288.37823976326</x:v>
      </x:c>
      <x:c r="W1689" s="54" t="n">
        <x:f>V1689-U1689</x:f>
        <x:v>-1016.6217602367396</x:v>
      </x:c>
      <x:c r="X1689" s="58" t="n">
        <x:f>IF(R1689="No","",W1689*S1689)</x:f>
        <x:v>-9920195.136390105</x:v>
      </x:c>
      <x:c r="Y1689" s="58" t="n">
        <x:f>IF(R1689="No","",W1689*T1689*Assumptions!$B$9)</x:f>
        <x:v>-2401158.9355031555</x:v>
      </x:c>
      <x:c r="Z1689" s="58" t="n">
        <x:f>IF(R1689="No","",X1689-Y1689)</x:f>
        <x:v>-7519036.20088695</x:v>
      </x:c>
      <x:c r="AA1689" s="58" t="n">
        <x:f>IF(R1689="No","",MAX(0,-Z1689))</x:f>
        <x:v>7519036.20088695</x:v>
      </x:c>
      <x:c r="AB1689" s="52" t="n">
        <x:f>IF(OR(R1689="No",U1689*S1689=0),"",AA1689/(U1689*S1689))</x:f>
        <x:v>0.027223139132840385</x:v>
      </x:c>
      <x:c r="AC1689" s="54" t="n">
        <x:f>IF(OR(R1689="No",S1689-T1689*Assumptions!$B$9&lt;=0),"",AA1689/(Assumptions!$B$8*(S1689-T1689*Assumptions!$B$9)))</x:f>
        <x:v>1196.0256002785172</x:v>
      </x:c>
      <x:c r="AD1689" s="52" t="n">
        <x:f>IF(OR(R1689="No",U1689*S1689=0),"",AA1689/(U1689*S1689))</x:f>
        <x:v>0.027223139132840385</x:v>
      </x:c>
      <x:c r="AE1689" s="50" t="str">
        <x:f>IF(R1689="No","No finance data",IF(AB1689&gt;=10%,"Severe",IF(AB1689&gt;=5%,"High",IF(AB1689&gt;=2%,"Moderate","Low"))))</x:f>
        <x:v>Moderate</x:v>
      </x:c>
      <x:c r="AF1689" s="60" t="n">
        <x:v>29.720393</x:v>
      </x:c>
      <x:c r="AG1689" s="60" t="n">
        <x:v>-95.343537</x:v>
      </x:c>
      <x:c r="AH1689" s="44" t="str">
        <x:v>Undergraduate tuition-contribution proxy only; not an audited total institutional budget.</x:v>
      </x:c>
    </x:row>
    <x:row r="1690">
      <x:c r="A1690" s="16" t="n">
        <x:v>225414</x:v>
      </x:c>
      <x:c r="B1690" s="16" t="str">
        <x:v>University of Houston-Clear Lake</x:v>
      </x:c>
      <x:c r="C1690" s="16" t="str">
        <x:v>TX</x:v>
      </x:c>
      <x:c r="D1690" s="16" t="str">
        <x:v>Public</x:v>
      </x:c>
      <x:c r="E1690" s="34" t="n">
        <x:v>5403</x:v>
      </x:c>
      <x:c r="F1690" s="21" t="n">
        <x:v>0.9119</x:v>
      </x:c>
      <x:c r="G1690" s="16" t="str">
        <x:v>Statewide</x:v>
      </x:c>
      <x:c r="H1690" s="36" t="n">
        <x:f>IF(G1690="National",Assumptions!$B$11,IF(G1690="Statewide",Assumptions!$B$12,Assumptions!$B$13))</x:f>
        <x:v>0.6</x:v>
      </x:c>
      <x:c r="I1690" s="21" t="n">
        <x:v>-0.027936917423154628</x:v>
      </x:c>
      <x:c r="J1690" s="21" t="n">
        <x:v>-0.0014699797999464526</x:v>
      </x:c>
      <x:c r="K1690" s="21" t="n">
        <x:v>0.009664387062230828</x:v>
      </x:c>
      <x:c r="L1690" s="36" t="n">
        <x:f>IF(Assumptions!$B$4=2030,I1690,IF(Assumptions!$B$4=2035,J1690,K1690))</x:f>
        <x:v>-0.0014699797999464526</x:v>
      </x:c>
      <x:c r="M1690" s="36" t="n">
        <x:f>Assumptions!$B$19</x:f>
        <x:v>-0.04739891965741583</x:v>
      </x:c>
      <x:c r="N1690" s="52" t="n">
        <x:f>H1690*L1690+(1-H1690)*M1690+O1690</x:f>
        <x:v>-0.019841555742934204</x:v>
      </x:c>
      <x:c r="O1690" s="36" t="n">
        <x:f>Assumptions!$B$10</x:f>
        <x:v>0</x:v>
      </x:c>
      <x:c r="P1690" s="54" t="n">
        <x:f>E1690*(1+N1690)</x:f>
        <x:v>5295.796074320926</x:v>
      </x:c>
      <x:c r="Q1690" s="54" t="n">
        <x:f>P1690-E1690</x:f>
        <x:v>-107.20392567907402</x:v>
      </x:c>
      <x:c r="R1690" s="16" t="str">
        <x:v>Yes</x:v>
      </x:c>
      <x:c r="S1690" s="56" t="n">
        <x:v>8076</x:v>
      </x:c>
      <x:c r="T1690" s="56" t="n">
        <x:v>7199</x:v>
      </x:c>
      <x:c r="U1690" s="40" t="n">
        <x:f>E1690*Assumptions!$B$8</x:f>
        <x:v>4592.55</x:v>
      </x:c>
      <x:c r="V1690" s="40" t="n">
        <x:f>P1690*Assumptions!$B$8</x:f>
        <x:v>4501.426663172787</x:v>
      </x:c>
      <x:c r="W1690" s="54" t="n">
        <x:f>V1690-U1690</x:f>
        <x:v>-91.12333682721328</x:v>
      </x:c>
      <x:c r="X1690" s="58" t="n">
        <x:f>IF(R1690="No","",W1690*S1690)</x:f>
        <x:v>-735912.0682165745</x:v>
      </x:c>
      <x:c r="Y1690" s="58" t="n">
        <x:f>IF(R1690="No","",W1690*T1690*Assumptions!$B$9)</x:f>
        <x:v>-196799.0705457325</x:v>
      </x:c>
      <x:c r="Z1690" s="58" t="n">
        <x:f>IF(R1690="No","",X1690-Y1690)</x:f>
        <x:v>-539112.997670842</x:v>
      </x:c>
      <x:c r="AA1690" s="58" t="n">
        <x:f>IF(R1690="No","",MAX(0,-Z1690))</x:f>
        <x:v>539112.997670842</x:v>
      </x:c>
      <x:c r="AB1690" s="52" t="n">
        <x:f>IF(OR(R1690="No",U1690*S1690=0),"",AA1690/(U1690*S1690))</x:f>
        <x:v>0.014535487399940894</x:v>
      </x:c>
      <x:c r="AC1690" s="54" t="n">
        <x:f>IF(OR(R1690="No",S1690-T1690*Assumptions!$B$9&lt;=0),"",AA1690/(Assumptions!$B$8*(S1690-T1690*Assumptions!$B$9)))</x:f>
        <x:v>107.20392567907444</x:v>
      </x:c>
      <x:c r="AD1690" s="52" t="n">
        <x:f>IF(OR(R1690="No",U1690*S1690=0),"",AA1690/(U1690*S1690))</x:f>
        <x:v>0.014535487399940894</x:v>
      </x:c>
      <x:c r="AE1690" s="50" t="str">
        <x:f>IF(R1690="No","No finance data",IF(AB1690&gt;=10%,"Severe",IF(AB1690&gt;=5%,"High",IF(AB1690&gt;=2%,"Moderate","Low"))))</x:f>
        <x:v>Low</x:v>
      </x:c>
      <x:c r="AF1690" s="60" t="n">
        <x:v>29.582523</x:v>
      </x:c>
      <x:c r="AG1690" s="60" t="n">
        <x:v>-95.098129</x:v>
      </x:c>
      <x:c r="AH1690" s="44" t="str">
        <x:v>Undergraduate tuition-contribution proxy only; not an audited total institutional budget.</x:v>
      </x:c>
    </x:row>
    <x:row r="1691">
      <x:c r="A1691" s="16" t="n">
        <x:v>225432</x:v>
      </x:c>
      <x:c r="B1691" s="16" t="str">
        <x:v>University of Houston-Downtown</x:v>
      </x:c>
      <x:c r="C1691" s="16" t="str">
        <x:v>TX</x:v>
      </x:c>
      <x:c r="D1691" s="16" t="str">
        <x:v>Public</x:v>
      </x:c>
      <x:c r="E1691" s="34" t="n">
        <x:v>13101</x:v>
      </x:c>
      <x:c r="F1691" s="21" t="n">
        <x:v>0.9484</x:v>
      </x:c>
      <x:c r="G1691" s="16" t="str">
        <x:v>Statewide</x:v>
      </x:c>
      <x:c r="H1691" s="36" t="n">
        <x:f>IF(G1691="National",Assumptions!$B$11,IF(G1691="Statewide",Assumptions!$B$12,Assumptions!$B$13))</x:f>
        <x:v>0.6</x:v>
      </x:c>
      <x:c r="I1691" s="21" t="n">
        <x:v>-0.027936917423154628</x:v>
      </x:c>
      <x:c r="J1691" s="21" t="n">
        <x:v>-0.0014699797999464526</x:v>
      </x:c>
      <x:c r="K1691" s="21" t="n">
        <x:v>0.009664387062230828</x:v>
      </x:c>
      <x:c r="L1691" s="36" t="n">
        <x:f>IF(Assumptions!$B$4=2030,I1691,IF(Assumptions!$B$4=2035,J1691,K1691))</x:f>
        <x:v>-0.0014699797999464526</x:v>
      </x:c>
      <x:c r="M1691" s="36" t="n">
        <x:f>Assumptions!$B$19</x:f>
        <x:v>-0.04739891965741583</x:v>
      </x:c>
      <x:c r="N1691" s="52" t="n">
        <x:f>H1691*L1691+(1-H1691)*M1691+O1691</x:f>
        <x:v>-0.019841555742934204</x:v>
      </x:c>
      <x:c r="O1691" s="36" t="n">
        <x:f>Assumptions!$B$10</x:f>
        <x:v>0</x:v>
      </x:c>
      <x:c r="P1691" s="54" t="n">
        <x:f>E1691*(1+N1691)</x:f>
        <x:v>12841.05577821182</x:v>
      </x:c>
      <x:c r="Q1691" s="54" t="n">
        <x:f>P1691-E1691</x:f>
        <x:v>-259.9442217881806</x:v>
      </x:c>
      <x:c r="R1691" s="16" t="str">
        <x:v>Yes</x:v>
      </x:c>
      <x:c r="S1691" s="56" t="n">
        <x:v>6160</x:v>
      </x:c>
      <x:c r="T1691" s="56" t="n">
        <x:v>5424</x:v>
      </x:c>
      <x:c r="U1691" s="40" t="n">
        <x:f>E1691*Assumptions!$B$8</x:f>
        <x:v>11135.85</x:v>
      </x:c>
      <x:c r="V1691" s="40" t="n">
        <x:f>P1691*Assumptions!$B$8</x:f>
        <x:v>10914.897411480046</x:v>
      </x:c>
      <x:c r="W1691" s="54" t="n">
        <x:f>V1691-U1691</x:f>
        <x:v>-220.9525885199546</x:v>
      </x:c>
      <x:c r="X1691" s="58" t="n">
        <x:f>IF(R1691="No","",W1691*S1691)</x:f>
        <x:v>-1361067.9452829203</x:v>
      </x:c>
      <x:c r="Y1691" s="58" t="n">
        <x:f>IF(R1691="No","",W1691*T1691*Assumptions!$B$9)</x:f>
        <x:v>-359534.0520396701</x:v>
      </x:c>
      <x:c r="Z1691" s="58" t="n">
        <x:f>IF(R1691="No","",X1691-Y1691)</x:f>
        <x:v>-1001533.8932432502</x:v>
      </x:c>
      <x:c r="AA1691" s="58" t="n">
        <x:f>IF(R1691="No","",MAX(0,-Z1691))</x:f>
        <x:v>1001533.8932432502</x:v>
      </x:c>
      <x:c r="AB1691" s="52" t="n">
        <x:f>IF(OR(R1691="No",U1691*S1691=0),"",AA1691/(U1691*S1691))</x:f>
        <x:v>0.014600292836294231</x:v>
      </x:c>
      <x:c r="AC1691" s="54" t="n">
        <x:f>IF(OR(R1691="No",S1691-T1691*Assumptions!$B$9&lt;=0),"",AA1691/(Assumptions!$B$8*(S1691-T1691*Assumptions!$B$9)))</x:f>
        <x:v>259.9442217881819</x:v>
      </x:c>
      <x:c r="AD1691" s="52" t="n">
        <x:f>IF(OR(R1691="No",U1691*S1691=0),"",AA1691/(U1691*S1691))</x:f>
        <x:v>0.014600292836294231</x:v>
      </x:c>
      <x:c r="AE1691" s="50" t="str">
        <x:f>IF(R1691="No","No finance data",IF(AB1691&gt;=10%,"Severe",IF(AB1691&gt;=5%,"High",IF(AB1691&gt;=2%,"Moderate","Low"))))</x:f>
        <x:v>Low</x:v>
      </x:c>
      <x:c r="AF1691" s="60" t="n">
        <x:v>29.7661</x:v>
      </x:c>
      <x:c r="AG1691" s="60" t="n">
        <x:v>-95.359338</x:v>
      </x:c>
      <x:c r="AH1691" s="44" t="str">
        <x:v>Undergraduate tuition-contribution proxy only; not an audited total institutional budget.</x:v>
      </x:c>
    </x:row>
    <x:row r="1692">
      <x:c r="A1692" s="16" t="n">
        <x:v>225502</x:v>
      </x:c>
      <x:c r="B1692" s="16" t="str">
        <x:v>University of Houston-Victoria</x:v>
      </x:c>
      <x:c r="C1692" s="16" t="str">
        <x:v>TX</x:v>
      </x:c>
      <x:c r="D1692" s="16" t="str">
        <x:v>Public</x:v>
      </x:c>
      <x:c r="E1692" s="34" t="n">
        <x:v>2954</x:v>
      </x:c>
      <x:c r="F1692" s="21" t="n">
        <x:v>0.5335</x:v>
      </x:c>
      <x:c r="G1692" s="16" t="str">
        <x:v>Regional</x:v>
      </x:c>
      <x:c r="H1692" s="36" t="n">
        <x:f>IF(G1692="National",Assumptions!$B$11,IF(G1692="Statewide",Assumptions!$B$12,Assumptions!$B$13))</x:f>
        <x:v>0.85</x:v>
      </x:c>
      <x:c r="I1692" s="21" t="n">
        <x:v>-0.027936917423154628</x:v>
      </x:c>
      <x:c r="J1692" s="21" t="n">
        <x:v>-0.0014699797999464526</x:v>
      </x:c>
      <x:c r="K1692" s="21" t="n">
        <x:v>0.009664387062230828</x:v>
      </x:c>
      <x:c r="L1692" s="36" t="n">
        <x:f>IF(Assumptions!$B$4=2030,I1692,IF(Assumptions!$B$4=2035,J1692,K1692))</x:f>
        <x:v>-0.0014699797999464526</x:v>
      </x:c>
      <x:c r="M1692" s="36" t="n">
        <x:f>Assumptions!$B$19</x:f>
        <x:v>-0.04739891965741583</x:v>
      </x:c>
      <x:c r="N1692" s="52" t="n">
        <x:f>H1692*L1692+(1-H1692)*M1692+O1692</x:f>
        <x:v>-0.00835932077856686</x:v>
      </x:c>
      <x:c r="O1692" s="36" t="n">
        <x:f>Assumptions!$B$10</x:f>
        <x:v>0</x:v>
      </x:c>
      <x:c r="P1692" s="54" t="n">
        <x:f>E1692*(1+N1692)</x:f>
        <x:v>2929.3065664201135</x:v>
      </x:c>
      <x:c r="Q1692" s="54" t="n">
        <x:f>P1692-E1692</x:f>
        <x:v>-24.69343357988646</x:v>
      </x:c>
      <x:c r="R1692" s="16" t="str">
        <x:v>Yes</x:v>
      </x:c>
      <x:c r="S1692" s="56" t="n">
        <x:v>7680</x:v>
      </x:c>
      <x:c r="T1692" s="56" t="n">
        <x:v>8036</x:v>
      </x:c>
      <x:c r="U1692" s="40" t="n">
        <x:f>E1692*Assumptions!$B$8</x:f>
        <x:v>2510.9</x:v>
      </x:c>
      <x:c r="V1692" s="40" t="n">
        <x:f>P1692*Assumptions!$B$8</x:f>
        <x:v>2489.9105814570967</x:v>
      </x:c>
      <x:c r="W1692" s="54" t="n">
        <x:f>V1692-U1692</x:f>
        <x:v>-20.989418542903422</x:v>
      </x:c>
      <x:c r="X1692" s="58" t="n">
        <x:f>IF(R1692="No","",W1692*S1692)</x:f>
        <x:v>-161198.73440949828</x:v>
      </x:c>
      <x:c r="Y1692" s="58" t="n">
        <x:f>IF(R1692="No","",W1692*T1692*Assumptions!$B$9)</x:f>
        <x:v>-50601.29022323157</x:v>
      </x:c>
      <x:c r="Z1692" s="58" t="n">
        <x:f>IF(R1692="No","",X1692-Y1692)</x:f>
        <x:v>-110597.44418626672</x:v>
      </x:c>
      <x:c r="AA1692" s="58" t="n">
        <x:f>IF(R1692="No","",MAX(0,-Z1692))</x:f>
        <x:v>110597.44418626672</x:v>
      </x:c>
      <x:c r="AB1692" s="52" t="n">
        <x:f>IF(OR(R1692="No",U1692*S1692=0),"",AA1692/(U1692*S1692))</x:f>
        <x:v>0.0057352777404198274</x:v>
      </x:c>
      <x:c r="AC1692" s="54" t="n">
        <x:f>IF(OR(R1692="No",S1692-T1692*Assumptions!$B$9&lt;=0),"",AA1692/(Assumptions!$B$8*(S1692-T1692*Assumptions!$B$9)))</x:f>
        <x:v>24.693433579886378</x:v>
      </x:c>
      <x:c r="AD1692" s="52" t="n">
        <x:f>IF(OR(R1692="No",U1692*S1692=0),"",AA1692/(U1692*S1692))</x:f>
        <x:v>0.0057352777404198274</x:v>
      </x:c>
      <x:c r="AE1692" s="50" t="str">
        <x:f>IF(R1692="No","No finance data",IF(AB1692&gt;=10%,"Severe",IF(AB1692&gt;=5%,"High",IF(AB1692&gt;=2%,"Moderate","Low"))))</x:f>
        <x:v>Low</x:v>
      </x:c>
      <x:c r="AF1692" s="60" t="n">
        <x:v>28.816248</x:v>
      </x:c>
      <x:c r="AG1692" s="60" t="n">
        <x:v>-96.976334</x:v>
      </x:c>
      <x:c r="AH1692" s="44" t="str">
        <x:v>Undergraduate tuition-contribution proxy only; not an audited total institutional budget.</x:v>
      </x:c>
    </x:row>
    <x:row r="1693">
      <x:c r="A1693" s="16" t="n">
        <x:v>226471</x:v>
      </x:c>
      <x:c r="B1693" s="16" t="str">
        <x:v>University of Mary Hardin-Baylor</x:v>
      </x:c>
      <x:c r="C1693" s="16" t="str">
        <x:v>TX</x:v>
      </x:c>
      <x:c r="D1693" s="16" t="str">
        <x:v>Private nonprofit</x:v>
      </x:c>
      <x:c r="E1693" s="34" t="n">
        <x:v>3173</x:v>
      </x:c>
      <x:c r="F1693" s="21" t="n">
        <x:v>0.9934</x:v>
      </x:c>
      <x:c r="G1693" s="16" t="str">
        <x:v>Regional</x:v>
      </x:c>
      <x:c r="H1693" s="36" t="n">
        <x:f>IF(G1693="National",Assumptions!$B$11,IF(G1693="Statewide",Assumptions!$B$12,Assumptions!$B$13))</x:f>
        <x:v>0.85</x:v>
      </x:c>
      <x:c r="I1693" s="21" t="n">
        <x:v>-0.027936917423154628</x:v>
      </x:c>
      <x:c r="J1693" s="21" t="n">
        <x:v>-0.0014699797999464526</x:v>
      </x:c>
      <x:c r="K1693" s="21" t="n">
        <x:v>0.009664387062230828</x:v>
      </x:c>
      <x:c r="L1693" s="36" t="n">
        <x:f>IF(Assumptions!$B$4=2030,I1693,IF(Assumptions!$B$4=2035,J1693,K1693))</x:f>
        <x:v>-0.0014699797999464526</x:v>
      </x:c>
      <x:c r="M1693" s="36" t="n">
        <x:f>Assumptions!$B$19</x:f>
        <x:v>-0.04739891965741583</x:v>
      </x:c>
      <x:c r="N1693" s="52" t="n">
        <x:f>H1693*L1693+(1-H1693)*M1693+O1693</x:f>
        <x:v>-0.00835932077856686</x:v>
      </x:c>
      <x:c r="O1693" s="36" t="n">
        <x:f>Assumptions!$B$10</x:f>
        <x:v>0</x:v>
      </x:c>
      <x:c r="P1693" s="54" t="n">
        <x:f>E1693*(1+N1693)</x:f>
        <x:v>3146.4758751696077</x:v>
      </x:c>
      <x:c r="Q1693" s="54" t="n">
        <x:f>P1693-E1693</x:f>
        <x:v>-26.52412483039234</x:v>
      </x:c>
      <x:c r="R1693" s="16" t="str">
        <x:v>Yes</x:v>
      </x:c>
      <x:c r="S1693" s="56" t="n">
        <x:v>20482</x:v>
      </x:c>
      <x:c r="T1693" s="56" t="n">
        <x:v>9991</x:v>
      </x:c>
      <x:c r="U1693" s="40" t="n">
        <x:f>E1693*Assumptions!$B$8</x:f>
        <x:v>2697.0499999999997</x:v>
      </x:c>
      <x:c r="V1693" s="40" t="n">
        <x:f>P1693*Assumptions!$B$8</x:f>
        <x:v>2674.5044938941664</x:v>
      </x:c>
      <x:c r="W1693" s="54" t="n">
        <x:f>V1693-U1693</x:f>
        <x:v>-22.545506105833283</x:v>
      </x:c>
      <x:c r="X1693" s="58" t="n">
        <x:f>IF(R1693="No","",W1693*S1693)</x:f>
        <x:v>-461777.0560596773</x:v>
      </x:c>
      <x:c r="Y1693" s="58" t="n">
        <x:f>IF(R1693="No","",W1693*T1693*Assumptions!$B$9)</x:f>
        <x:v>-67575.64545101409</x:v>
      </x:c>
      <x:c r="Z1693" s="58" t="n">
        <x:f>IF(R1693="No","",X1693-Y1693)</x:f>
        <x:v>-394201.4106086632</x:v>
      </x:c>
      <x:c r="AA1693" s="58" t="n">
        <x:f>IF(R1693="No","",MAX(0,-Z1693))</x:f>
        <x:v>394201.4106086632</x:v>
      </x:c>
      <x:c r="AB1693" s="52" t="n">
        <x:f>IF(OR(R1693="No",U1693*S1693=0),"",AA1693/(U1693*S1693))</x:f>
        <x:v>0.007136032419539351</x:v>
      </x:c>
      <x:c r="AC1693" s="54" t="n">
        <x:f>IF(OR(R1693="No",S1693-T1693*Assumptions!$B$9&lt;=0),"",AA1693/(Assumptions!$B$8*(S1693-T1693*Assumptions!$B$9)))</x:f>
        <x:v>26.524124830392097</x:v>
      </x:c>
      <x:c r="AD1693" s="52" t="n">
        <x:f>IF(OR(R1693="No",U1693*S1693=0),"",AA1693/(U1693*S1693))</x:f>
        <x:v>0.007136032419539351</x:v>
      </x:c>
      <x:c r="AE1693" s="50" t="str">
        <x:f>IF(R1693="No","No finance data",IF(AB1693&gt;=10%,"Severe",IF(AB1693&gt;=5%,"High",IF(AB1693&gt;=2%,"Moderate","Low"))))</x:f>
        <x:v>Low</x:v>
      </x:c>
      <x:c r="AF1693" s="60" t="n">
        <x:v>31.066793</x:v>
      </x:c>
      <x:c r="AG1693" s="60" t="n">
        <x:v>-97.463471</x:v>
      </x:c>
      <x:c r="AH1693" s="44" t="str">
        <x:v>Undergraduate tuition-contribution proxy only; not an audited total institutional budget.</x:v>
      </x:c>
    </x:row>
    <x:row r="1694">
      <x:c r="A1694" s="16" t="n">
        <x:v>227216</x:v>
      </x:c>
      <x:c r="B1694" s="16" t="str">
        <x:v>University of North Texas</x:v>
      </x:c>
      <x:c r="C1694" s="16" t="str">
        <x:v>TX</x:v>
      </x:c>
      <x:c r="D1694" s="16" t="str">
        <x:v>Public</x:v>
      </x:c>
      <x:c r="E1694" s="34" t="n">
        <x:v>30533</x:v>
      </x:c>
      <x:c r="F1694" s="21" t="n">
        <x:v>0.8142</x:v>
      </x:c>
      <x:c r="G1694" s="16" t="str">
        <x:v>National</x:v>
      </x:c>
      <x:c r="H1694" s="36" t="n">
        <x:f>IF(G1694="National",Assumptions!$B$11,IF(G1694="Statewide",Assumptions!$B$12,Assumptions!$B$13))</x:f>
        <x:v>0.25</x:v>
      </x:c>
      <x:c r="I1694" s="21" t="n">
        <x:v>-0.027936917423154628</x:v>
      </x:c>
      <x:c r="J1694" s="21" t="n">
        <x:v>-0.0014699797999464526</x:v>
      </x:c>
      <x:c r="K1694" s="21" t="n">
        <x:v>0.009664387062230828</x:v>
      </x:c>
      <x:c r="L1694" s="36" t="n">
        <x:f>IF(Assumptions!$B$4=2030,I1694,IF(Assumptions!$B$4=2035,J1694,K1694))</x:f>
        <x:v>-0.0014699797999464526</x:v>
      </x:c>
      <x:c r="M1694" s="36" t="n">
        <x:f>Assumptions!$B$19</x:f>
        <x:v>-0.04739891965741583</x:v>
      </x:c>
      <x:c r="N1694" s="52" t="n">
        <x:f>H1694*L1694+(1-H1694)*M1694+O1694</x:f>
        <x:v>-0.035916684693048484</x:v>
      </x:c>
      <x:c r="O1694" s="36" t="n">
        <x:f>Assumptions!$B$10</x:f>
        <x:v>0</x:v>
      </x:c>
      <x:c r="P1694" s="54" t="n">
        <x:f>E1694*(1+N1694)</x:f>
        <x:v>29436.35586626715</x:v>
      </x:c>
      <x:c r="Q1694" s="54" t="n">
        <x:f>P1694-E1694</x:f>
        <x:v>-1096.6441337328506</x:v>
      </x:c>
      <x:c r="R1694" s="16" t="str">
        <x:v>Yes</x:v>
      </x:c>
      <x:c r="S1694" s="56" t="n">
        <x:v>10041</x:v>
      </x:c>
      <x:c r="T1694" s="56" t="n">
        <x:v>6091</x:v>
      </x:c>
      <x:c r="U1694" s="40" t="n">
        <x:f>E1694*Assumptions!$B$8</x:f>
        <x:v>25953.05</x:v>
      </x:c>
      <x:c r="V1694" s="40" t="n">
        <x:f>P1694*Assumptions!$B$8</x:f>
        <x:v>25020.902486327075</x:v>
      </x:c>
      <x:c r="W1694" s="54" t="n">
        <x:f>V1694-U1694</x:f>
        <x:v>-932.1475136729241</x:v>
      </x:c>
      <x:c r="X1694" s="58" t="n">
        <x:f>IF(R1694="No","",W1694*S1694)</x:f>
        <x:v>-9359693.18478983</x:v>
      </x:c>
      <x:c r="Y1694" s="58" t="n">
        <x:f>IF(R1694="No","",W1694*T1694*Assumptions!$B$9)</x:f>
        <x:v>-1703313.1517345342</x:v>
      </x:c>
      <x:c r="Z1694" s="58" t="n">
        <x:f>IF(R1694="No","",X1694-Y1694)</x:f>
        <x:v>-7656380.033055296</x:v>
      </x:c>
      <x:c r="AA1694" s="58" t="n">
        <x:f>IF(R1694="No","",MAX(0,-Z1694))</x:f>
        <x:v>7656380.033055296</x:v>
      </x:c>
      <x:c r="AB1694" s="52" t="n">
        <x:f>IF(OR(R1694="No",U1694*S1694=0),"",AA1694/(U1694*S1694))</x:f>
        <x:v>0.029380427553360525</x:v>
      </x:c>
      <x:c r="AC1694" s="54" t="n">
        <x:f>IF(OR(R1694="No",S1694-T1694*Assumptions!$B$9&lt;=0),"",AA1694/(Assumptions!$B$8*(S1694-T1694*Assumptions!$B$9)))</x:f>
        <x:v>1096.6441337328517</x:v>
      </x:c>
      <x:c r="AD1694" s="52" t="n">
        <x:f>IF(OR(R1694="No",U1694*S1694=0),"",AA1694/(U1694*S1694))</x:f>
        <x:v>0.029380427553360525</x:v>
      </x:c>
      <x:c r="AE1694" s="50" t="str">
        <x:f>IF(R1694="No","No finance data",IF(AB1694&gt;=10%,"Severe",IF(AB1694&gt;=5%,"High",IF(AB1694&gt;=2%,"Moderate","Low"))))</x:f>
        <x:v>Moderate</x:v>
      </x:c>
      <x:c r="AF1694" s="60" t="n">
        <x:v>33.211178</x:v>
      </x:c>
      <x:c r="AG1694" s="60" t="n">
        <x:v>-97.148422</x:v>
      </x:c>
      <x:c r="AH1694" s="44" t="str">
        <x:v>Undergraduate tuition-contribution proxy only; not an audited total institutional budget.</x:v>
      </x:c>
    </x:row>
    <x:row r="1695">
      <x:c r="A1695" s="16" t="n">
        <x:v>227863</x:v>
      </x:c>
      <x:c r="B1695" s="16" t="str">
        <x:v>University of St Thomas</x:v>
      </x:c>
      <x:c r="C1695" s="16" t="str">
        <x:v>TX</x:v>
      </x:c>
      <x:c r="D1695" s="16" t="str">
        <x:v>Private nonprofit</x:v>
      </x:c>
      <x:c r="E1695" s="34" t="n">
        <x:v>1720</x:v>
      </x:c>
      <x:c r="F1695" s="21" t="n">
        <x:v>0.9842</x:v>
      </x:c>
      <x:c r="G1695" s="16" t="str">
        <x:v>Regional</x:v>
      </x:c>
      <x:c r="H1695" s="36" t="n">
        <x:f>IF(G1695="National",Assumptions!$B$11,IF(G1695="Statewide",Assumptions!$B$12,Assumptions!$B$13))</x:f>
        <x:v>0.85</x:v>
      </x:c>
      <x:c r="I1695" s="21" t="n">
        <x:v>-0.027936917423154628</x:v>
      </x:c>
      <x:c r="J1695" s="21" t="n">
        <x:v>-0.0014699797999464526</x:v>
      </x:c>
      <x:c r="K1695" s="21" t="n">
        <x:v>0.009664387062230828</x:v>
      </x:c>
      <x:c r="L1695" s="36" t="n">
        <x:f>IF(Assumptions!$B$4=2030,I1695,IF(Assumptions!$B$4=2035,J1695,K1695))</x:f>
        <x:v>-0.0014699797999464526</x:v>
      </x:c>
      <x:c r="M1695" s="36" t="n">
        <x:f>Assumptions!$B$19</x:f>
        <x:v>-0.04739891965741583</x:v>
      </x:c>
      <x:c r="N1695" s="52" t="n">
        <x:f>H1695*L1695+(1-H1695)*M1695+O1695</x:f>
        <x:v>-0.00835932077856686</x:v>
      </x:c>
      <x:c r="O1695" s="36" t="n">
        <x:f>Assumptions!$B$10</x:f>
        <x:v>0</x:v>
      </x:c>
      <x:c r="P1695" s="54" t="n">
        <x:f>E1695*(1+N1695)</x:f>
        <x:v>1705.621968260865</x:v>
      </x:c>
      <x:c r="Q1695" s="54" t="n">
        <x:f>P1695-E1695</x:f>
        <x:v>-14.37803173913494</x:v>
      </x:c>
      <x:c r="R1695" s="16" t="str">
        <x:v>Yes</x:v>
      </x:c>
      <x:c r="S1695" s="56" t="n">
        <x:v>14020</x:v>
      </x:c>
      <x:c r="T1695" s="56" t="n">
        <x:v>10269</x:v>
      </x:c>
      <x:c r="U1695" s="40" t="n">
        <x:f>E1695*Assumptions!$B$8</x:f>
        <x:v>1462</x:v>
      </x:c>
      <x:c r="V1695" s="40" t="n">
        <x:f>P1695*Assumptions!$B$8</x:f>
        <x:v>1449.7786730217354</x:v>
      </x:c>
      <x:c r="W1695" s="54" t="n">
        <x:f>V1695-U1695</x:f>
        <x:v>-12.221326978264642</x:v>
      </x:c>
      <x:c r="X1695" s="58" t="n">
        <x:f>IF(R1695="No","",W1695*S1695)</x:f>
        <x:v>-171343.0042352703</x:v>
      </x:c>
      <x:c r="Y1695" s="58" t="n">
        <x:f>IF(R1695="No","",W1695*T1695*Assumptions!$B$9)</x:f>
        <x:v>-37650.24202193988</x:v>
      </x:c>
      <x:c r="Z1695" s="58" t="n">
        <x:f>IF(R1695="No","",X1695-Y1695)</x:f>
        <x:v>-133692.76221333042</x:v>
      </x:c>
      <x:c r="AA1695" s="58" t="n">
        <x:f>IF(R1695="No","",MAX(0,-Z1695))</x:f>
        <x:v>133692.76221333042</x:v>
      </x:c>
      <x:c r="AB1695" s="52" t="n">
        <x:f>IF(OR(R1695="No",U1695*S1695=0),"",AA1695/(U1695*S1695))</x:f>
        <x:v>0.006522476304777152</x:v>
      </x:c>
      <x:c r="AC1695" s="54" t="n">
        <x:f>IF(OR(R1695="No",S1695-T1695*Assumptions!$B$9&lt;=0),"",AA1695/(Assumptions!$B$8*(S1695-T1695*Assumptions!$B$9)))</x:f>
        <x:v>14.378031739134878</x:v>
      </x:c>
      <x:c r="AD1695" s="52" t="n">
        <x:f>IF(OR(R1695="No",U1695*S1695=0),"",AA1695/(U1695*S1695))</x:f>
        <x:v>0.006522476304777152</x:v>
      </x:c>
      <x:c r="AE1695" s="50" t="str">
        <x:f>IF(R1695="No","No finance data",IF(AB1695&gt;=10%,"Severe",IF(AB1695&gt;=5%,"High",IF(AB1695&gt;=2%,"Moderate","Low"))))</x:f>
        <x:v>Low</x:v>
      </x:c>
      <x:c r="AF1695" s="60" t="n">
        <x:v>29.736438</x:v>
      </x:c>
      <x:c r="AG1695" s="60" t="n">
        <x:v>-95.393102</x:v>
      </x:c>
      <x:c r="AH1695" s="44" t="str">
        <x:v>Undergraduate tuition-contribution proxy only; not an audited total institutional budget.</x:v>
      </x:c>
    </x:row>
    <x:row r="1696">
      <x:c r="A1696" s="16" t="n">
        <x:v>225627</x:v>
      </x:c>
      <x:c r="B1696" s="16" t="str">
        <x:v>University of the Incarnate Word</x:v>
      </x:c>
      <x:c r="C1696" s="16" t="str">
        <x:v>TX</x:v>
      </x:c>
      <x:c r="D1696" s="16" t="str">
        <x:v>Private nonprofit</x:v>
      </x:c>
      <x:c r="E1696" s="34" t="n">
        <x:v>6249</x:v>
      </x:c>
      <x:c r="F1696" s="21" t="n">
        <x:v>0.9422</x:v>
      </x:c>
      <x:c r="G1696" s="16" t="str">
        <x:v>Regional</x:v>
      </x:c>
      <x:c r="H1696" s="36" t="n">
        <x:f>IF(G1696="National",Assumptions!$B$11,IF(G1696="Statewide",Assumptions!$B$12,Assumptions!$B$13))</x:f>
        <x:v>0.85</x:v>
      </x:c>
      <x:c r="I1696" s="21" t="n">
        <x:v>-0.027936917423154628</x:v>
      </x:c>
      <x:c r="J1696" s="21" t="n">
        <x:v>-0.0014699797999464526</x:v>
      </x:c>
      <x:c r="K1696" s="21" t="n">
        <x:v>0.009664387062230828</x:v>
      </x:c>
      <x:c r="L1696" s="36" t="n">
        <x:f>IF(Assumptions!$B$4=2030,I1696,IF(Assumptions!$B$4=2035,J1696,K1696))</x:f>
        <x:v>-0.0014699797999464526</x:v>
      </x:c>
      <x:c r="M1696" s="36" t="n">
        <x:f>Assumptions!$B$19</x:f>
        <x:v>-0.04739891965741583</x:v>
      </x:c>
      <x:c r="N1696" s="52" t="n">
        <x:f>H1696*L1696+(1-H1696)*M1696+O1696</x:f>
        <x:v>-0.00835932077856686</x:v>
      </x:c>
      <x:c r="O1696" s="36" t="n">
        <x:f>Assumptions!$B$10</x:f>
        <x:v>0</x:v>
      </x:c>
      <x:c r="P1696" s="54" t="n">
        <x:f>E1696*(1+N1696)</x:f>
        <x:v>6196.762604454736</x:v>
      </x:c>
      <x:c r="Q1696" s="54" t="n">
        <x:f>P1696-E1696</x:f>
        <x:v>-52.23739554526401</x:v>
      </x:c>
      <x:c r="R1696" s="16" t="str">
        <x:v>Yes</x:v>
      </x:c>
      <x:c r="S1696" s="56" t="n">
        <x:v>20873</x:v>
      </x:c>
      <x:c r="T1696" s="56" t="n">
        <x:v>10231</x:v>
      </x:c>
      <x:c r="U1696" s="40" t="n">
        <x:f>E1696*Assumptions!$B$8</x:f>
        <x:v>5311.65</x:v>
      </x:c>
      <x:c r="V1696" s="40" t="n">
        <x:f>P1696*Assumptions!$B$8</x:f>
        <x:v>5267.248213786525</x:v>
      </x:c>
      <x:c r="W1696" s="54" t="n">
        <x:f>V1696-U1696</x:f>
        <x:v>-44.401786213474224</x:v>
      </x:c>
      <x:c r="X1696" s="58" t="n">
        <x:f>IF(R1696="No","",W1696*S1696)</x:f>
        <x:v>-926798.4836338474</x:v>
      </x:c>
      <x:c r="Y1696" s="58" t="n">
        <x:f>IF(R1696="No","",W1696*T1696*Assumptions!$B$9)</x:f>
        <x:v>-136282.40242501642</x:v>
      </x:c>
      <x:c r="Z1696" s="58" t="n">
        <x:f>IF(R1696="No","",X1696-Y1696)</x:f>
        <x:v>-790516.081208831</x:v>
      </x:c>
      <x:c r="AA1696" s="58" t="n">
        <x:f>IF(R1696="No","",MAX(0,-Z1696))</x:f>
        <x:v>790516.081208831</x:v>
      </x:c>
      <x:c r="AB1696" s="52" t="n">
        <x:f>IF(OR(R1696="No",U1696*S1696=0),"",AA1696/(U1696*S1696))</x:f>
        <x:v>0.00713011255427439</x:v>
      </x:c>
      <x:c r="AC1696" s="54" t="n">
        <x:f>IF(OR(R1696="No",S1696-T1696*Assumptions!$B$9&lt;=0),"",AA1696/(Assumptions!$B$8*(S1696-T1696*Assumptions!$B$9)))</x:f>
        <x:v>52.237395545263794</x:v>
      </x:c>
      <x:c r="AD1696" s="52" t="n">
        <x:f>IF(OR(R1696="No",U1696*S1696=0),"",AA1696/(U1696*S1696))</x:f>
        <x:v>0.00713011255427439</x:v>
      </x:c>
      <x:c r="AE1696" s="50" t="str">
        <x:f>IF(R1696="No","No finance data",IF(AB1696&gt;=10%,"Severe",IF(AB1696&gt;=5%,"High",IF(AB1696&gt;=2%,"Moderate","Low"))))</x:f>
        <x:v>Low</x:v>
      </x:c>
      <x:c r="AF1696" s="60" t="n">
        <x:v>29.46708</x:v>
      </x:c>
      <x:c r="AG1696" s="60" t="n">
        <x:v>-98.46583</x:v>
      </x:c>
      <x:c r="AH1696" s="44" t="str">
        <x:v>Undergraduate tuition-contribution proxy only; not an audited total institutional budget.</x:v>
      </x:c>
    </x:row>
    <x:row r="1697">
      <x:c r="A1697" s="16" t="n">
        <x:v>229780</x:v>
      </x:c>
      <x:c r="B1697" s="16" t="str">
        <x:v>Wayland Baptist University</x:v>
      </x:c>
      <x:c r="C1697" s="16" t="str">
        <x:v>TX</x:v>
      </x:c>
      <x:c r="D1697" s="16" t="str">
        <x:v>Private nonprofit</x:v>
      </x:c>
      <x:c r="E1697" s="34" t="n">
        <x:v>3828</x:v>
      </x:c>
      <x:c r="F1697" s="21" t="n">
        <x:v>0.8076</x:v>
      </x:c>
      <x:c r="G1697" s="16" t="str">
        <x:v>Regional</x:v>
      </x:c>
      <x:c r="H1697" s="36" t="n">
        <x:f>IF(G1697="National",Assumptions!$B$11,IF(G1697="Statewide",Assumptions!$B$12,Assumptions!$B$13))</x:f>
        <x:v>0.85</x:v>
      </x:c>
      <x:c r="I1697" s="21" t="n">
        <x:v>-0.027936917423154628</x:v>
      </x:c>
      <x:c r="J1697" s="21" t="n">
        <x:v>-0.0014699797999464526</x:v>
      </x:c>
      <x:c r="K1697" s="21" t="n">
        <x:v>0.009664387062230828</x:v>
      </x:c>
      <x:c r="L1697" s="36" t="n">
        <x:f>IF(Assumptions!$B$4=2030,I1697,IF(Assumptions!$B$4=2035,J1697,K1697))</x:f>
        <x:v>-0.0014699797999464526</x:v>
      </x:c>
      <x:c r="M1697" s="36" t="n">
        <x:f>Assumptions!$B$19</x:f>
        <x:v>-0.04739891965741583</x:v>
      </x:c>
      <x:c r="N1697" s="52" t="n">
        <x:f>H1697*L1697+(1-H1697)*M1697+O1697</x:f>
        <x:v>-0.00835932077856686</x:v>
      </x:c>
      <x:c r="O1697" s="36" t="n">
        <x:f>Assumptions!$B$10</x:f>
        <x:v>0</x:v>
      </x:c>
      <x:c r="P1697" s="54" t="n">
        <x:f>E1697*(1+N1697)</x:f>
        <x:v>3796.000520059646</x:v>
      </x:c>
      <x:c r="Q1697" s="54" t="n">
        <x:f>P1697-E1697</x:f>
        <x:v>-31.999479940353922</x:v>
      </x:c>
      <x:c r="R1697" s="16" t="str">
        <x:v>Yes</x:v>
      </x:c>
      <x:c r="S1697" s="56" t="n">
        <x:v>10992</x:v>
      </x:c>
      <x:c r="T1697" s="56" t="n">
        <x:v>10405</x:v>
      </x:c>
      <x:c r="U1697" s="40" t="n">
        <x:f>E1697*Assumptions!$B$8</x:f>
        <x:v>3253.7999999999997</x:v>
      </x:c>
      <x:c r="V1697" s="40" t="n">
        <x:f>P1697*Assumptions!$B$8</x:f>
        <x:v>3226.6004420506993</x:v>
      </x:c>
      <x:c r="W1697" s="54" t="n">
        <x:f>V1697-U1697</x:f>
        <x:v>-27.19955794930047</x:v>
      </x:c>
      <x:c r="X1697" s="58" t="n">
        <x:f>IF(R1697="No","",W1697*S1697)</x:f>
        <x:v>-298977.54097871075</x:v>
      </x:c>
      <x:c r="Y1697" s="58" t="n">
        <x:f>IF(R1697="No","",W1697*T1697*Assumptions!$B$9)</x:f>
        <x:v>-84903.42013874142</x:v>
      </x:c>
      <x:c r="Z1697" s="58" t="n">
        <x:f>IF(R1697="No","",X1697-Y1697)</x:f>
        <x:v>-214074.1208399693</x:v>
      </x:c>
      <x:c r="AA1697" s="58" t="n">
        <x:f>IF(R1697="No","",MAX(0,-Z1697))</x:f>
        <x:v>214074.1208399693</x:v>
      </x:c>
      <x:c r="AB1697" s="52" t="n">
        <x:f>IF(OR(R1697="No",U1697*S1697=0),"",AA1697/(U1697*S1697))</x:f>
        <x:v>0.005985447069478672</x:v>
      </x:c>
      <x:c r="AC1697" s="54" t="n">
        <x:f>IF(OR(R1697="No",S1697-T1697*Assumptions!$B$9&lt;=0),"",AA1697/(Assumptions!$B$8*(S1697-T1697*Assumptions!$B$9)))</x:f>
        <x:v>31.99947994035349</x:v>
      </x:c>
      <x:c r="AD1697" s="52" t="n">
        <x:f>IF(OR(R1697="No",U1697*S1697=0),"",AA1697/(U1697*S1697))</x:f>
        <x:v>0.005985447069478672</x:v>
      </x:c>
      <x:c r="AE1697" s="50" t="str">
        <x:f>IF(R1697="No","No finance data",IF(AB1697&gt;=10%,"Severe",IF(AB1697&gt;=5%,"High",IF(AB1697&gt;=2%,"Moderate","Low"))))</x:f>
        <x:v>Low</x:v>
      </x:c>
      <x:c r="AF1697" s="60" t="n">
        <x:v>34.187677</x:v>
      </x:c>
      <x:c r="AG1697" s="60" t="n">
        <x:v>-101.730042</x:v>
      </x:c>
      <x:c r="AH1697" s="44" t="str">
        <x:v>Undergraduate tuition-contribution proxy only; not an audited total institutional budget.</x:v>
      </x:c>
    </x:row>
    <x:row r="1698">
      <x:c r="A1698" s="16" t="n">
        <x:v>229814</x:v>
      </x:c>
      <x:c r="B1698" s="16" t="str">
        <x:v>West Texas A &amp; M University</x:v>
      </x:c>
      <x:c r="C1698" s="16" t="str">
        <x:v>TX</x:v>
      </x:c>
      <x:c r="D1698" s="16" t="str">
        <x:v>Public</x:v>
      </x:c>
      <x:c r="E1698" s="34" t="n">
        <x:v>7266</x:v>
      </x:c>
      <x:c r="F1698" s="21" t="n">
        <x:v>0.9704</x:v>
      </x:c>
      <x:c r="G1698" s="16" t="str">
        <x:v>Statewide</x:v>
      </x:c>
      <x:c r="H1698" s="36" t="n">
        <x:f>IF(G1698="National",Assumptions!$B$11,IF(G1698="Statewide",Assumptions!$B$12,Assumptions!$B$13))</x:f>
        <x:v>0.6</x:v>
      </x:c>
      <x:c r="I1698" s="21" t="n">
        <x:v>-0.027936917423154628</x:v>
      </x:c>
      <x:c r="J1698" s="21" t="n">
        <x:v>-0.0014699797999464526</x:v>
      </x:c>
      <x:c r="K1698" s="21" t="n">
        <x:v>0.009664387062230828</x:v>
      </x:c>
      <x:c r="L1698" s="36" t="n">
        <x:f>IF(Assumptions!$B$4=2030,I1698,IF(Assumptions!$B$4=2035,J1698,K1698))</x:f>
        <x:v>-0.0014699797999464526</x:v>
      </x:c>
      <x:c r="M1698" s="36" t="n">
        <x:f>Assumptions!$B$19</x:f>
        <x:v>-0.04739891965741583</x:v>
      </x:c>
      <x:c r="N1698" s="52" t="n">
        <x:f>H1698*L1698+(1-H1698)*M1698+O1698</x:f>
        <x:v>-0.019841555742934204</x:v>
      </x:c>
      <x:c r="O1698" s="36" t="n">
        <x:f>Assumptions!$B$10</x:f>
        <x:v>0</x:v>
      </x:c>
      <x:c r="P1698" s="54" t="n">
        <x:f>E1698*(1+N1698)</x:f>
        <x:v>7121.83125597184</x:v>
      </x:c>
      <x:c r="Q1698" s="54" t="n">
        <x:f>P1698-E1698</x:f>
        <x:v>-144.1687440281603</x:v>
      </x:c>
      <x:c r="R1698" s="16" t="str">
        <x:v>Yes</x:v>
      </x:c>
      <x:c r="S1698" s="56" t="n">
        <x:v>7814</x:v>
      </x:c>
      <x:c r="T1698" s="56" t="n">
        <x:v>5421</x:v>
      </x:c>
      <x:c r="U1698" s="40" t="n">
        <x:f>E1698*Assumptions!$B$8</x:f>
        <x:v>6176.099999999999</x:v>
      </x:c>
      <x:c r="V1698" s="40" t="n">
        <x:f>P1698*Assumptions!$B$8</x:f>
        <x:v>6053.556567576064</x:v>
      </x:c>
      <x:c r="W1698" s="54" t="n">
        <x:f>V1698-U1698</x:f>
        <x:v>-122.54343242393588</x:v>
      </x:c>
      <x:c r="X1698" s="58" t="n">
        <x:f>IF(R1698="No","",W1698*S1698)</x:f>
        <x:v>-957554.380960635</x:v>
      </x:c>
      <x:c r="Y1698" s="58" t="n">
        <x:f>IF(R1698="No","",W1698*T1698*Assumptions!$B$9)</x:f>
        <x:v>-199292.38415104692</x:v>
      </x:c>
      <x:c r="Z1698" s="58" t="n">
        <x:f>IF(R1698="No","",X1698-Y1698)</x:f>
        <x:v>-758261.996809588</x:v>
      </x:c>
      <x:c r="AA1698" s="58" t="n">
        <x:f>IF(R1698="No","",MAX(0,-Z1698))</x:f>
        <x:v>758261.996809588</x:v>
      </x:c>
      <x:c r="AB1698" s="52" t="n">
        <x:f>IF(OR(R1698="No",U1698*S1698=0),"",AA1698/(U1698*S1698))</x:f>
        <x:v>0.015712003387580487</x:v>
      </x:c>
      <x:c r="AC1698" s="54" t="n">
        <x:f>IF(OR(R1698="No",S1698-T1698*Assumptions!$B$9&lt;=0),"",AA1698/(Assumptions!$B$8*(S1698-T1698*Assumptions!$B$9)))</x:f>
        <x:v>144.16874402815986</x:v>
      </x:c>
      <x:c r="AD1698" s="52" t="n">
        <x:f>IF(OR(R1698="No",U1698*S1698=0),"",AA1698/(U1698*S1698))</x:f>
        <x:v>0.015712003387580487</x:v>
      </x:c>
      <x:c r="AE1698" s="50" t="str">
        <x:f>IF(R1698="No","No finance data",IF(AB1698&gt;=10%,"Severe",IF(AB1698&gt;=5%,"High",IF(AB1698&gt;=2%,"Moderate","Low"))))</x:f>
        <x:v>Low</x:v>
      </x:c>
      <x:c r="AF1698" s="60" t="n">
        <x:v>34.982789</x:v>
      </x:c>
      <x:c r="AG1698" s="60" t="n">
        <x:v>-101.914736</x:v>
      </x:c>
      <x:c r="AH1698" s="44" t="str">
        <x:v>Undergraduate tuition-contribution proxy only; not an audited total institutional budget.</x:v>
      </x:c>
    </x:row>
    <x:row r="1699">
      <x:c r="A1699" s="16" t="n">
        <x:v>229887</x:v>
      </x:c>
      <x:c r="B1699" s="16" t="str">
        <x:v>Wiley College</x:v>
      </x:c>
      <x:c r="C1699" s="16" t="str">
        <x:v>TX</x:v>
      </x:c>
      <x:c r="D1699" s="16" t="str">
        <x:v>Private nonprofit</x:v>
      </x:c>
      <x:c r="E1699" s="34" t="n">
        <x:v>1172</x:v>
      </x:c>
      <x:c r="F1699" s="21"/>
      <x:c r="G1699" s="16" t="str">
        <x:v>Regional</x:v>
      </x:c>
      <x:c r="H1699" s="36" t="n">
        <x:f>IF(G1699="National",Assumptions!$B$11,IF(G1699="Statewide",Assumptions!$B$12,Assumptions!$B$13))</x:f>
        <x:v>0.85</x:v>
      </x:c>
      <x:c r="I1699" s="21" t="n">
        <x:v>-0.027936917423154628</x:v>
      </x:c>
      <x:c r="J1699" s="21" t="n">
        <x:v>-0.0014699797999464526</x:v>
      </x:c>
      <x:c r="K1699" s="21" t="n">
        <x:v>0.009664387062230828</x:v>
      </x:c>
      <x:c r="L1699" s="36" t="n">
        <x:f>IF(Assumptions!$B$4=2030,I1699,IF(Assumptions!$B$4=2035,J1699,K1699))</x:f>
        <x:v>-0.0014699797999464526</x:v>
      </x:c>
      <x:c r="M1699" s="36" t="n">
        <x:f>Assumptions!$B$19</x:f>
        <x:v>-0.04739891965741583</x:v>
      </x:c>
      <x:c r="N1699" s="52" t="n">
        <x:f>H1699*L1699+(1-H1699)*M1699+O1699</x:f>
        <x:v>-0.00835932077856686</x:v>
      </x:c>
      <x:c r="O1699" s="36" t="n">
        <x:f>Assumptions!$B$10</x:f>
        <x:v>0</x:v>
      </x:c>
      <x:c r="P1699" s="54" t="n">
        <x:f>E1699*(1+N1699)</x:f>
        <x:v>1162.2028760475196</x:v>
      </x:c>
      <x:c r="Q1699" s="54" t="n">
        <x:f>P1699-E1699</x:f>
        <x:v>-9.797123952480433</x:v>
      </x:c>
      <x:c r="R1699" s="16" t="str">
        <x:v>Yes</x:v>
      </x:c>
      <x:c r="S1699" s="56" t="n">
        <x:v>12595</x:v>
      </x:c>
      <x:c r="T1699" s="56" t="n">
        <x:v>6016</x:v>
      </x:c>
      <x:c r="U1699" s="40" t="n">
        <x:f>E1699*Assumptions!$B$8</x:f>
        <x:v>996.1999999999999</x:v>
      </x:c>
      <x:c r="V1699" s="40" t="n">
        <x:f>P1699*Assumptions!$B$8</x:f>
        <x:v>987.8724446403916</x:v>
      </x:c>
      <x:c r="W1699" s="54" t="n">
        <x:f>V1699-U1699</x:f>
        <x:v>-8.327555359608368</x:v>
      </x:c>
      <x:c r="X1699" s="58" t="n">
        <x:f>IF(R1699="No","",W1699*S1699)</x:f>
        <x:v>-104885.5597542674</x:v>
      </x:c>
      <x:c r="Y1699" s="58" t="n">
        <x:f>IF(R1699="No","",W1699*T1699*Assumptions!$B$9)</x:f>
        <x:v>-15029.571913021182</x:v>
      </x:c>
      <x:c r="Z1699" s="58" t="n">
        <x:f>IF(R1699="No","",X1699-Y1699)</x:f>
        <x:v>-89855.98784124621</x:v>
      </x:c>
      <x:c r="AA1699" s="58" t="n">
        <x:f>IF(R1699="No","",MAX(0,-Z1699))</x:f>
        <x:v>89855.98784124621</x:v>
      </x:c>
      <x:c r="AB1699" s="52" t="n">
        <x:f>IF(OR(R1699="No",U1699*S1699=0),"",AA1699/(U1699*S1699))</x:f>
        <x:v>0.0071614722560454785</x:v>
      </x:c>
      <x:c r="AC1699" s="54" t="n">
        <x:f>IF(OR(R1699="No",S1699-T1699*Assumptions!$B$9&lt;=0),"",AA1699/(Assumptions!$B$8*(S1699-T1699*Assumptions!$B$9)))</x:f>
        <x:v>9.797123952480433</x:v>
      </x:c>
      <x:c r="AD1699" s="52" t="n">
        <x:f>IF(OR(R1699="No",U1699*S1699=0),"",AA1699/(U1699*S1699))</x:f>
        <x:v>0.0071614722560454785</x:v>
      </x:c>
      <x:c r="AE1699" s="50" t="str">
        <x:f>IF(R1699="No","No finance data",IF(AB1699&gt;=10%,"Severe",IF(AB1699&gt;=5%,"High",IF(AB1699&gt;=2%,"Moderate","Low"))))</x:f>
        <x:v>Low</x:v>
      </x:c>
      <x:c r="AF1699" s="60" t="n">
        <x:v>32.537641</x:v>
      </x:c>
      <x:c r="AG1699" s="60" t="n">
        <x:v>-94.376814</x:v>
      </x:c>
      <x:c r="AH1699" s="44" t="str">
        <x:v>Undergraduate tuition-contribution proxy only; not an audited total institutional budget.</x:v>
      </x:c>
    </x:row>
    <x:row r="1700">
      <x:c r="A1700" s="16" t="n">
        <x:v>230038</x:v>
      </x:c>
      <x:c r="B1700" s="16" t="str">
        <x:v>Brigham Young University-Provo</x:v>
      </x:c>
      <x:c r="C1700" s="16" t="str">
        <x:v>UT</x:v>
      </x:c>
      <x:c r="D1700" s="16" t="str">
        <x:v>Private nonprofit</x:v>
      </x:c>
      <x:c r="E1700" s="34" t="n">
        <x:v>30221</x:v>
      </x:c>
      <x:c r="F1700" s="21" t="n">
        <x:v>0.5918</x:v>
      </x:c>
      <x:c r="G1700" s="16" t="str">
        <x:v>National</x:v>
      </x:c>
      <x:c r="H1700" s="36" t="n">
        <x:f>IF(G1700="National",Assumptions!$B$11,IF(G1700="Statewide",Assumptions!$B$12,Assumptions!$B$13))</x:f>
        <x:v>0.25</x:v>
      </x:c>
      <x:c r="I1700" s="21" t="n">
        <x:v>-0.03501922272464697</x:v>
      </x:c>
      <x:c r="J1700" s="21" t="n">
        <x:v>-0.03713073444752102</x:v>
      </x:c>
      <x:c r="K1700" s="21" t="n">
        <x:v>-0.10543614669030499</x:v>
      </x:c>
      <x:c r="L1700" s="36" t="n">
        <x:f>IF(Assumptions!$B$4=2030,I1700,IF(Assumptions!$B$4=2035,J1700,K1700))</x:f>
        <x:v>-0.03713073444752102</x:v>
      </x:c>
      <x:c r="M1700" s="36" t="n">
        <x:f>Assumptions!$B$19</x:f>
        <x:v>-0.04739891965741583</x:v>
      </x:c>
      <x:c r="N1700" s="52" t="n">
        <x:f>H1700*L1700+(1-H1700)*M1700+O1700</x:f>
        <x:v>-0.044831873354942126</x:v>
      </x:c>
      <x:c r="O1700" s="36" t="n">
        <x:f>Assumptions!$B$10</x:f>
        <x:v>0</x:v>
      </x:c>
      <x:c r="P1700" s="54" t="n">
        <x:f>E1700*(1+N1700)</x:f>
        <x:v>28866.135955340294</x:v>
      </x:c>
      <x:c r="Q1700" s="54" t="n">
        <x:f>P1700-E1700</x:f>
        <x:v>-1354.8640446597055</x:v>
      </x:c>
      <x:c r="R1700" s="16" t="str">
        <x:v>Yes</x:v>
      </x:c>
      <x:c r="S1700" s="56" t="n">
        <x:v>5405</x:v>
      </x:c>
      <x:c r="T1700" s="56" t="n">
        <x:v>14980</x:v>
      </x:c>
      <x:c r="U1700" s="40" t="n">
        <x:f>E1700*Assumptions!$B$8</x:f>
        <x:v>25687.85</x:v>
      </x:c>
      <x:c r="V1700" s="40" t="n">
        <x:f>P1700*Assumptions!$B$8</x:f>
        <x:v>24536.21556203925</x:v>
      </x:c>
      <x:c r="W1700" s="54" t="n">
        <x:f>V1700-U1700</x:f>
        <x:v>-1151.6344379607472</x:v>
      </x:c>
      <x:c r="X1700" s="58" t="n">
        <x:f>IF(R1700="No","",W1700*S1700)</x:f>
        <x:v>-6224584.137177838</x:v>
      </x:c>
      <x:c r="Y1700" s="58" t="n">
        <x:f>IF(R1700="No","",W1700*T1700*Assumptions!$B$9)</x:f>
        <x:v>-5175445.164195597</x:v>
      </x:c>
      <x:c r="Z1700" s="58" t="n">
        <x:f>IF(R1700="No","",X1700-Y1700)</x:f>
        <x:v>-1049138.9729822408</x:v>
      </x:c>
      <x:c r="AA1700" s="58" t="n">
        <x:f>IF(R1700="No","",MAX(0,-Z1700))</x:f>
        <x:v>1049138.9729822408</x:v>
      </x:c>
      <x:c r="AB1700" s="52" t="n">
        <x:f>IF(OR(R1700="No",U1700*S1700=0),"",AA1700/(U1700*S1700))</x:f>
        <x:v>0.007556306498862568</x:v>
      </x:c>
      <x:c r="AC1700" s="54" t="n">
        <x:f>IF(OR(R1700="No",S1700-T1700*Assumptions!$B$9&lt;=0),"",AA1700/(Assumptions!$B$8*(S1700-T1700*Assumptions!$B$9)))</x:f>
        <x:v>1354.8640446597028</x:v>
      </x:c>
      <x:c r="AD1700" s="52" t="n">
        <x:f>IF(OR(R1700="No",U1700*S1700=0),"",AA1700/(U1700*S1700))</x:f>
        <x:v>0.007556306498862568</x:v>
      </x:c>
      <x:c r="AE1700" s="50" t="str">
        <x:f>IF(R1700="No","No finance data",IF(AB1700&gt;=10%,"Severe",IF(AB1700&gt;=5%,"High",IF(AB1700&gt;=2%,"Moderate","Low"))))</x:f>
        <x:v>Low</x:v>
      </x:c>
      <x:c r="AF1700" s="60" t="n">
        <x:v>40.250851</x:v>
      </x:c>
      <x:c r="AG1700" s="60" t="n">
        <x:v>-111.649281</x:v>
      </x:c>
      <x:c r="AH1700" s="44" t="str">
        <x:v>Undergraduate tuition-contribution proxy only; not an audited total institutional budget.</x:v>
      </x:c>
    </x:row>
    <x:row r="1701">
      <x:c r="A1701" s="16" t="n">
        <x:v>230603</x:v>
      </x:c>
      <x:c r="B1701" s="16" t="str">
        <x:v>Southern Utah University</x:v>
      </x:c>
      <x:c r="C1701" s="16" t="str">
        <x:v>UT</x:v>
      </x:c>
      <x:c r="D1701" s="16" t="str">
        <x:v>Public</x:v>
      </x:c>
      <x:c r="E1701" s="34" t="n">
        <x:v>5977</x:v>
      </x:c>
      <x:c r="F1701" s="21" t="n">
        <x:v>0.8873</x:v>
      </x:c>
      <x:c r="G1701" s="16" t="str">
        <x:v>Statewide</x:v>
      </x:c>
      <x:c r="H1701" s="36" t="n">
        <x:f>IF(G1701="National",Assumptions!$B$11,IF(G1701="Statewide",Assumptions!$B$12,Assumptions!$B$13))</x:f>
        <x:v>0.6</x:v>
      </x:c>
      <x:c r="I1701" s="21" t="n">
        <x:v>-0.03501922272464697</x:v>
      </x:c>
      <x:c r="J1701" s="21" t="n">
        <x:v>-0.03713073444752102</x:v>
      </x:c>
      <x:c r="K1701" s="21" t="n">
        <x:v>-0.10543614669030499</x:v>
      </x:c>
      <x:c r="L1701" s="36" t="n">
        <x:f>IF(Assumptions!$B$4=2030,I1701,IF(Assumptions!$B$4=2035,J1701,K1701))</x:f>
        <x:v>-0.03713073444752102</x:v>
      </x:c>
      <x:c r="M1701" s="36" t="n">
        <x:f>Assumptions!$B$19</x:f>
        <x:v>-0.04739891965741583</x:v>
      </x:c>
      <x:c r="N1701" s="52" t="n">
        <x:f>H1701*L1701+(1-H1701)*M1701+O1701</x:f>
        <x:v>-0.041238008531478944</x:v>
      </x:c>
      <x:c r="O1701" s="36" t="n">
        <x:f>Assumptions!$B$10</x:f>
        <x:v>0</x:v>
      </x:c>
      <x:c r="P1701" s="54" t="n">
        <x:f>E1701*(1+N1701)</x:f>
        <x:v>5730.5204230073505</x:v>
      </x:c>
      <x:c r="Q1701" s="54" t="n">
        <x:f>P1701-E1701</x:f>
        <x:v>-246.47957699264953</x:v>
      </x:c>
      <x:c r="R1701" s="16" t="str">
        <x:v>Yes</x:v>
      </x:c>
      <x:c r="S1701" s="56" t="n">
        <x:v>7323</x:v>
      </x:c>
      <x:c r="T1701" s="56" t="n">
        <x:v>6611</x:v>
      </x:c>
      <x:c r="U1701" s="40" t="n">
        <x:f>E1701*Assumptions!$B$8</x:f>
        <x:v>5080.45</x:v>
      </x:c>
      <x:c r="V1701" s="40" t="n">
        <x:f>P1701*Assumptions!$B$8</x:f>
        <x:v>4870.9423595562475</x:v>
      </x:c>
      <x:c r="W1701" s="54" t="n">
        <x:f>V1701-U1701</x:f>
        <x:v>-209.50764044375228</x:v>
      </x:c>
      <x:c r="X1701" s="58" t="n">
        <x:f>IF(R1701="No","",W1701*S1701)</x:f>
        <x:v>-1534224.450969598</x:v>
      </x:c>
      <x:c r="Y1701" s="58" t="n">
        <x:f>IF(R1701="No","",W1701*T1701*Assumptions!$B$9)</x:f>
        <x:v>-415516.50329209387</x:v>
      </x:c>
      <x:c r="Z1701" s="58" t="n">
        <x:f>IF(R1701="No","",X1701-Y1701)</x:f>
        <x:v>-1118707.9476775043</x:v>
      </x:c>
      <x:c r="AA1701" s="58" t="n">
        <x:f>IF(R1701="No","",MAX(0,-Z1701))</x:f>
        <x:v>1118707.9476775043</x:v>
      </x:c>
      <x:c r="AB1701" s="52" t="n">
        <x:f>IF(OR(R1701="No",U1701*S1701=0),"",AA1701/(U1701*S1701))</x:f>
        <x:v>0.030069451612117742</x:v>
      </x:c>
      <x:c r="AC1701" s="54" t="n">
        <x:f>IF(OR(R1701="No",S1701-T1701*Assumptions!$B$9&lt;=0),"",AA1701/(Assumptions!$B$8*(S1701-T1701*Assumptions!$B$9)))</x:f>
        <x:v>246.47957699264978</x:v>
      </x:c>
      <x:c r="AD1701" s="52" t="n">
        <x:f>IF(OR(R1701="No",U1701*S1701=0),"",AA1701/(U1701*S1701))</x:f>
        <x:v>0.030069451612117742</x:v>
      </x:c>
      <x:c r="AE1701" s="50" t="str">
        <x:f>IF(R1701="No","No finance data",IF(AB1701&gt;=10%,"Severe",IF(AB1701&gt;=5%,"High",IF(AB1701&gt;=2%,"Moderate","Low"))))</x:f>
        <x:v>Moderate</x:v>
      </x:c>
      <x:c r="AF1701" s="60" t="n">
        <x:v>37.674617</x:v>
      </x:c>
      <x:c r="AG1701" s="60" t="n">
        <x:v>-113.070146</x:v>
      </x:c>
      <x:c r="AH1701" s="44" t="str">
        <x:v>Undergraduate tuition-contribution proxy only; not an audited total institutional budget.</x:v>
      </x:c>
    </x:row>
    <x:row r="1702">
      <x:c r="A1702" s="16" t="n">
        <x:v>438151</x:v>
      </x:c>
      <x:c r="B1702" s="16" t="str">
        <x:v>Stevens-Henager College</x:v>
      </x:c>
      <x:c r="C1702" s="16" t="str">
        <x:v>UT</x:v>
      </x:c>
      <x:c r="D1702" s="16" t="str">
        <x:v>Private nonprofit</x:v>
      </x:c>
      <x:c r="E1702" s="34" t="n">
        <x:v>1063</x:v>
      </x:c>
      <x:c r="F1702" s="21"/>
      <x:c r="G1702" s="16" t="str">
        <x:v>Regional</x:v>
      </x:c>
      <x:c r="H1702" s="36" t="n">
        <x:f>IF(G1702="National",Assumptions!$B$11,IF(G1702="Statewide",Assumptions!$B$12,Assumptions!$B$13))</x:f>
        <x:v>0.85</x:v>
      </x:c>
      <x:c r="I1702" s="21" t="n">
        <x:v>-0.03501922272464697</x:v>
      </x:c>
      <x:c r="J1702" s="21" t="n">
        <x:v>-0.03713073444752102</x:v>
      </x:c>
      <x:c r="K1702" s="21" t="n">
        <x:v>-0.10543614669030499</x:v>
      </x:c>
      <x:c r="L1702" s="36" t="n">
        <x:f>IF(Assumptions!$B$4=2030,I1702,IF(Assumptions!$B$4=2035,J1702,K1702))</x:f>
        <x:v>-0.03713073444752102</x:v>
      </x:c>
      <x:c r="M1702" s="36" t="n">
        <x:f>Assumptions!$B$19</x:f>
        <x:v>-0.04739891965741583</x:v>
      </x:c>
      <x:c r="N1702" s="52" t="n">
        <x:f>H1702*L1702+(1-H1702)*M1702+O1702</x:f>
        <x:v>-0.03867096222900524</x:v>
      </x:c>
      <x:c r="O1702" s="36" t="n">
        <x:f>Assumptions!$B$10</x:f>
        <x:v>0</x:v>
      </x:c>
      <x:c r="P1702" s="54" t="n">
        <x:f>E1702*(1+N1702)</x:f>
        <x:v>1021.8927671505675</x:v>
      </x:c>
      <x:c r="Q1702" s="54" t="n">
        <x:f>P1702-E1702</x:f>
        <x:v>-41.107232849432535</x:v>
      </x:c>
      <x:c r="R1702" s="16" t="str">
        <x:v>No</x:v>
      </x:c>
      <x:c r="S1702" s="56"/>
      <x:c r="T1702" s="56"/>
      <x:c r="U1702" s="40" t="n">
        <x:f>E1702*Assumptions!$B$8</x:f>
        <x:v>903.55</x:v>
      </x:c>
      <x:c r="V1702" s="40" t="n">
        <x:f>P1702*Assumptions!$B$8</x:f>
        <x:v>868.6088520779823</x:v>
      </x:c>
      <x:c r="W1702" s="54" t="n">
        <x:f>V1702-U1702</x:f>
        <x:v>-34.94114792201765</x:v>
      </x:c>
      <x:c r="X1702" s="58" t="str">
        <x:f>IF(R1702="No","",W1702*S1702)</x:f>
      </x:c>
      <x:c r="Y1702" s="58" t="str">
        <x:f>IF(R1702="No","",W1702*T1702*Assumptions!$B$9)</x:f>
      </x:c>
      <x:c r="Z1702" s="58" t="str">
        <x:f>IF(R1702="No","",X1702-Y1702)</x:f>
      </x:c>
      <x:c r="AA1702" s="58" t="str">
        <x:f>IF(R1702="No","",MAX(0,-Z1702))</x:f>
      </x:c>
      <x:c r="AB1702" s="52" t="str">
        <x:f>IF(OR(R1702="No",U1702*S1702=0),"",AA1702/(U1702*S1702))</x:f>
      </x:c>
      <x:c r="AC1702" s="54" t="str">
        <x:f>IF(OR(R1702="No",S1702-T1702*Assumptions!$B$9&lt;=0),"",AA1702/(Assumptions!$B$8*(S1702-T1702*Assumptions!$B$9)))</x:f>
      </x:c>
      <x:c r="AD1702" s="52" t="str">
        <x:f>IF(OR(R1702="No",U1702*S1702=0),"",AA1702/(U1702*S1702))</x:f>
      </x:c>
      <x:c r="AE1702" s="50" t="str">
        <x:f>IF(R1702="No","No finance data",IF(AB1702&gt;=10%,"Severe",IF(AB1702&gt;=5%,"High",IF(AB1702&gt;=2%,"Moderate","Low"))))</x:f>
        <x:v>No finance data</x:v>
      </x:c>
      <x:c r="AF1702" s="60"/>
      <x:c r="AG1702" s="60"/>
      <x:c r="AH1702" s="44" t="str">
        <x:v>Undergraduate tuition-contribution proxy only; not an audited total institutional budget.</x:v>
      </x:c>
    </x:row>
    <x:row r="1703">
      <x:c r="A1703" s="16" t="n">
        <x:v>230764</x:v>
      </x:c>
      <x:c r="B1703" s="16" t="str">
        <x:v>University of Utah</x:v>
      </x:c>
      <x:c r="C1703" s="16" t="str">
        <x:v>UT</x:v>
      </x:c>
      <x:c r="D1703" s="16" t="str">
        <x:v>Public</x:v>
      </x:c>
      <x:c r="E1703" s="34" t="n">
        <x:v>22761</x:v>
      </x:c>
      <x:c r="F1703" s="21" t="n">
        <x:v>0.9497</x:v>
      </x:c>
      <x:c r="G1703" s="16" t="str">
        <x:v>Statewide</x:v>
      </x:c>
      <x:c r="H1703" s="36" t="n">
        <x:f>IF(G1703="National",Assumptions!$B$11,IF(G1703="Statewide",Assumptions!$B$12,Assumptions!$B$13))</x:f>
        <x:v>0.6</x:v>
      </x:c>
      <x:c r="I1703" s="21" t="n">
        <x:v>-0.03501922272464697</x:v>
      </x:c>
      <x:c r="J1703" s="21" t="n">
        <x:v>-0.03713073444752102</x:v>
      </x:c>
      <x:c r="K1703" s="21" t="n">
        <x:v>-0.10543614669030499</x:v>
      </x:c>
      <x:c r="L1703" s="36" t="n">
        <x:f>IF(Assumptions!$B$4=2030,I1703,IF(Assumptions!$B$4=2035,J1703,K1703))</x:f>
        <x:v>-0.03713073444752102</x:v>
      </x:c>
      <x:c r="M1703" s="36" t="n">
        <x:f>Assumptions!$B$19</x:f>
        <x:v>-0.04739891965741583</x:v>
      </x:c>
      <x:c r="N1703" s="52" t="n">
        <x:f>H1703*L1703+(1-H1703)*M1703+O1703</x:f>
        <x:v>-0.041238008531478944</x:v>
      </x:c>
      <x:c r="O1703" s="36" t="n">
        <x:f>Assumptions!$B$10</x:f>
        <x:v>0</x:v>
      </x:c>
      <x:c r="P1703" s="54" t="n">
        <x:f>E1703*(1+N1703)</x:f>
        <x:v>21822.381687815006</x:v>
      </x:c>
      <x:c r="Q1703" s="54" t="n">
        <x:f>P1703-E1703</x:f>
        <x:v>-938.6183121849936</x:v>
      </x:c>
      <x:c r="R1703" s="16" t="str">
        <x:v>Yes</x:v>
      </x:c>
      <x:c r="S1703" s="56" t="n">
        <x:v>12602</x:v>
      </x:c>
      <x:c r="T1703" s="56" t="n">
        <x:v>16497</x:v>
      </x:c>
      <x:c r="U1703" s="40" t="n">
        <x:f>E1703*Assumptions!$B$8</x:f>
        <x:v>19346.85</x:v>
      </x:c>
      <x:c r="V1703" s="40" t="n">
        <x:f>P1703*Assumptions!$B$8</x:f>
        <x:v>18549.024434642753</x:v>
      </x:c>
      <x:c r="W1703" s="54" t="n">
        <x:f>V1703-U1703</x:f>
        <x:v>-797.8255653572451</x:v>
      </x:c>
      <x:c r="X1703" s="58" t="n">
        <x:f>IF(R1703="No","",W1703*S1703)</x:f>
        <x:v>-10054197.774632003</x:v>
      </x:c>
      <x:c r="Y1703" s="58" t="n">
        <x:f>IF(R1703="No","",W1703*T1703*Assumptions!$B$9)</x:f>
        <x:v>-3948518.5055095414</x:v>
      </x:c>
      <x:c r="Z1703" s="58" t="n">
        <x:f>IF(R1703="No","",X1703-Y1703)</x:f>
        <x:v>-6105679.269122462</x:v>
      </x:c>
      <x:c r="AA1703" s="58" t="n">
        <x:f>IF(R1703="No","",MAX(0,-Z1703))</x:f>
        <x:v>6105679.269122462</x:v>
      </x:c>
      <x:c r="AB1703" s="52" t="n">
        <x:f>IF(OR(R1703="No",U1703*S1703=0),"",AA1703/(U1703*S1703))</x:f>
        <x:v>0.025042878550274237</x:v>
      </x:c>
      <x:c r="AC1703" s="54" t="n">
        <x:f>IF(OR(R1703="No",S1703-T1703*Assumptions!$B$9&lt;=0),"",AA1703/(Assumptions!$B$8*(S1703-T1703*Assumptions!$B$9)))</x:f>
        <x:v>938.6183121849944</x:v>
      </x:c>
      <x:c r="AD1703" s="52" t="n">
        <x:f>IF(OR(R1703="No",U1703*S1703=0),"",AA1703/(U1703*S1703))</x:f>
        <x:v>0.025042878550274237</x:v>
      </x:c>
      <x:c r="AE1703" s="50" t="str">
        <x:f>IF(R1703="No","No finance data",IF(AB1703&gt;=10%,"Severe",IF(AB1703&gt;=5%,"High",IF(AB1703&gt;=2%,"Moderate","Low"))))</x:f>
        <x:v>Moderate</x:v>
      </x:c>
      <x:c r="AF1703" s="60" t="n">
        <x:v>40.762484</x:v>
      </x:c>
      <x:c r="AG1703" s="60" t="n">
        <x:v>-111.846044</x:v>
      </x:c>
      <x:c r="AH1703" s="44" t="str">
        <x:v>Undergraduate tuition-contribution proxy only; not an audited total institutional budget.</x:v>
      </x:c>
    </x:row>
    <x:row r="1704">
      <x:c r="A1704" s="16" t="n">
        <x:v>230728</x:v>
      </x:c>
      <x:c r="B1704" s="16" t="str">
        <x:v>Utah State University</x:v>
      </x:c>
      <x:c r="C1704" s="16" t="str">
        <x:v>UT</x:v>
      </x:c>
      <x:c r="D1704" s="16" t="str">
        <x:v>Public</x:v>
      </x:c>
      <x:c r="E1704" s="34" t="n">
        <x:v>22265</x:v>
      </x:c>
      <x:c r="F1704" s="21" t="n">
        <x:v>0.9263</x:v>
      </x:c>
      <x:c r="G1704" s="16" t="str">
        <x:v>Statewide</x:v>
      </x:c>
      <x:c r="H1704" s="36" t="n">
        <x:f>IF(G1704="National",Assumptions!$B$11,IF(G1704="Statewide",Assumptions!$B$12,Assumptions!$B$13))</x:f>
        <x:v>0.6</x:v>
      </x:c>
      <x:c r="I1704" s="21" t="n">
        <x:v>-0.03501922272464697</x:v>
      </x:c>
      <x:c r="J1704" s="21" t="n">
        <x:v>-0.03713073444752102</x:v>
      </x:c>
      <x:c r="K1704" s="21" t="n">
        <x:v>-0.10543614669030499</x:v>
      </x:c>
      <x:c r="L1704" s="36" t="n">
        <x:f>IF(Assumptions!$B$4=2030,I1704,IF(Assumptions!$B$4=2035,J1704,K1704))</x:f>
        <x:v>-0.03713073444752102</x:v>
      </x:c>
      <x:c r="M1704" s="36" t="n">
        <x:f>Assumptions!$B$19</x:f>
        <x:v>-0.04739891965741583</x:v>
      </x:c>
      <x:c r="N1704" s="52" t="n">
        <x:f>H1704*L1704+(1-H1704)*M1704+O1704</x:f>
        <x:v>-0.041238008531478944</x:v>
      </x:c>
      <x:c r="O1704" s="36" t="n">
        <x:f>Assumptions!$B$10</x:f>
        <x:v>0</x:v>
      </x:c>
      <x:c r="P1704" s="54" t="n">
        <x:f>E1704*(1+N1704)</x:f>
        <x:v>21346.83574004662</x:v>
      </x:c>
      <x:c r="Q1704" s="54" t="n">
        <x:f>P1704-E1704</x:f>
        <x:v>-918.1642599533807</x:v>
      </x:c>
      <x:c r="R1704" s="16" t="str">
        <x:v>Yes</x:v>
      </x:c>
      <x:c r="S1704" s="56" t="n">
        <x:v>6662</x:v>
      </x:c>
      <x:c r="T1704" s="56" t="n">
        <x:v>10909</x:v>
      </x:c>
      <x:c r="U1704" s="40" t="n">
        <x:f>E1704*Assumptions!$B$8</x:f>
        <x:v>18925.25</x:v>
      </x:c>
      <x:c r="V1704" s="40" t="n">
        <x:f>P1704*Assumptions!$B$8</x:f>
        <x:v>18144.810379039627</x:v>
      </x:c>
      <x:c r="W1704" s="54" t="n">
        <x:f>V1704-U1704</x:f>
        <x:v>-780.4396209603728</x:v>
      </x:c>
      <x:c r="X1704" s="58" t="n">
        <x:f>IF(R1704="No","",W1704*S1704)</x:f>
        <x:v>-5199288.754838004</x:v>
      </x:c>
      <x:c r="Y1704" s="58" t="n">
        <x:f>IF(R1704="No","",W1704*T1704*Assumptions!$B$9)</x:f>
        <x:v>-2554144.747517012</x:v>
      </x:c>
      <x:c r="Z1704" s="58" t="n">
        <x:f>IF(R1704="No","",X1704-Y1704)</x:f>
        <x:v>-2645144.0073209917</x:v>
      </x:c>
      <x:c r="AA1704" s="58" t="n">
        <x:f>IF(R1704="No","",MAX(0,-Z1704))</x:f>
        <x:v>2645144.0073209917</x:v>
      </x:c>
      <x:c r="AB1704" s="52" t="n">
        <x:f>IF(OR(R1704="No",U1704*S1704=0),"",AA1704/(U1704*S1704))</x:f>
        <x:v>0.020979883265647217</x:v>
      </x:c>
      <x:c r="AC1704" s="54" t="n">
        <x:f>IF(OR(R1704="No",S1704-T1704*Assumptions!$B$9&lt;=0),"",AA1704/(Assumptions!$B$8*(S1704-T1704*Assumptions!$B$9)))</x:f>
        <x:v>918.1642599533798</x:v>
      </x:c>
      <x:c r="AD1704" s="52" t="n">
        <x:f>IF(OR(R1704="No",U1704*S1704=0),"",AA1704/(U1704*S1704))</x:f>
        <x:v>0.020979883265647217</x:v>
      </x:c>
      <x:c r="AE1704" s="50" t="str">
        <x:f>IF(R1704="No","No finance data",IF(AB1704&gt;=10%,"Severe",IF(AB1704&gt;=5%,"High",IF(AB1704&gt;=2%,"Moderate","Low"))))</x:f>
        <x:v>Moderate</x:v>
      </x:c>
      <x:c r="AF1704" s="60" t="n">
        <x:v>41.740748</x:v>
      </x:c>
      <x:c r="AG1704" s="60" t="n">
        <x:v>-111.81391</x:v>
      </x:c>
      <x:c r="AH1704" s="44" t="str">
        <x:v>Undergraduate tuition-contribution proxy only; not an audited total institutional budget.</x:v>
      </x:c>
    </x:row>
    <x:row r="1705">
      <x:c r="A1705" s="16" t="n">
        <x:v>230737</x:v>
      </x:c>
      <x:c r="B1705" s="16" t="str">
        <x:v>Utah Valley University</x:v>
      </x:c>
      <x:c r="C1705" s="16" t="str">
        <x:v>UT</x:v>
      </x:c>
      <x:c r="D1705" s="16" t="str">
        <x:v>Public</x:v>
      </x:c>
      <x:c r="E1705" s="34" t="n">
        <x:v>25751</x:v>
      </x:c>
      <x:c r="F1705" s="21"/>
      <x:c r="G1705" s="16" t="str">
        <x:v>National</x:v>
      </x:c>
      <x:c r="H1705" s="36" t="n">
        <x:f>IF(G1705="National",Assumptions!$B$11,IF(G1705="Statewide",Assumptions!$B$12,Assumptions!$B$13))</x:f>
        <x:v>0.25</x:v>
      </x:c>
      <x:c r="I1705" s="21" t="n">
        <x:v>-0.03501922272464697</x:v>
      </x:c>
      <x:c r="J1705" s="21" t="n">
        <x:v>-0.03713073444752102</x:v>
      </x:c>
      <x:c r="K1705" s="21" t="n">
        <x:v>-0.10543614669030499</x:v>
      </x:c>
      <x:c r="L1705" s="36" t="n">
        <x:f>IF(Assumptions!$B$4=2030,I1705,IF(Assumptions!$B$4=2035,J1705,K1705))</x:f>
        <x:v>-0.03713073444752102</x:v>
      </x:c>
      <x:c r="M1705" s="36" t="n">
        <x:f>Assumptions!$B$19</x:f>
        <x:v>-0.04739891965741583</x:v>
      </x:c>
      <x:c r="N1705" s="52" t="n">
        <x:f>H1705*L1705+(1-H1705)*M1705+O1705</x:f>
        <x:v>-0.044831873354942126</x:v>
      </x:c>
      <x:c r="O1705" s="36" t="n">
        <x:f>Assumptions!$B$10</x:f>
        <x:v>0</x:v>
      </x:c>
      <x:c r="P1705" s="54" t="n">
        <x:f>E1705*(1+N1705)</x:f>
        <x:v>24596.534429236886</x:v>
      </x:c>
      <x:c r="Q1705" s="54" t="n">
        <x:f>P1705-E1705</x:f>
        <x:v>-1154.4655707631136</x:v>
      </x:c>
      <x:c r="R1705" s="16" t="str">
        <x:v>No</x:v>
      </x:c>
      <x:c r="S1705" s="56"/>
      <x:c r="T1705" s="56"/>
      <x:c r="U1705" s="40" t="n">
        <x:f>E1705*Assumptions!$B$8</x:f>
        <x:v>21888.35</x:v>
      </x:c>
      <x:c r="V1705" s="40" t="n">
        <x:f>P1705*Assumptions!$B$8</x:f>
        <x:v>20907.05426485135</x:v>
      </x:c>
      <x:c r="W1705" s="54" t="n">
        <x:f>V1705-U1705</x:f>
        <x:v>-981.2957351486475</x:v>
      </x:c>
      <x:c r="X1705" s="58" t="str">
        <x:f>IF(R1705="No","",W1705*S1705)</x:f>
      </x:c>
      <x:c r="Y1705" s="58" t="str">
        <x:f>IF(R1705="No","",W1705*T1705*Assumptions!$B$9)</x:f>
      </x:c>
      <x:c r="Z1705" s="58" t="str">
        <x:f>IF(R1705="No","",X1705-Y1705)</x:f>
      </x:c>
      <x:c r="AA1705" s="58" t="str">
        <x:f>IF(R1705="No","",MAX(0,-Z1705))</x:f>
      </x:c>
      <x:c r="AB1705" s="52" t="str">
        <x:f>IF(OR(R1705="No",U1705*S1705=0),"",AA1705/(U1705*S1705))</x:f>
      </x:c>
      <x:c r="AC1705" s="54" t="str">
        <x:f>IF(OR(R1705="No",S1705-T1705*Assumptions!$B$9&lt;=0),"",AA1705/(Assumptions!$B$8*(S1705-T1705*Assumptions!$B$9)))</x:f>
      </x:c>
      <x:c r="AD1705" s="52" t="str">
        <x:f>IF(OR(R1705="No",U1705*S1705=0),"",AA1705/(U1705*S1705))</x:f>
      </x:c>
      <x:c r="AE1705" s="50" t="str">
        <x:f>IF(R1705="No","No finance data",IF(AB1705&gt;=10%,"Severe",IF(AB1705&gt;=5%,"High",IF(AB1705&gt;=2%,"Moderate","Low"))))</x:f>
        <x:v>No finance data</x:v>
      </x:c>
      <x:c r="AF1705" s="60"/>
      <x:c r="AG1705" s="60"/>
      <x:c r="AH1705" s="44" t="str">
        <x:v>Undergraduate tuition-contribution proxy only; not an audited total institutional budget.</x:v>
      </x:c>
    </x:row>
    <x:row r="1706">
      <x:c r="A1706" s="16" t="n">
        <x:v>230782</x:v>
      </x:c>
      <x:c r="B1706" s="16" t="str">
        <x:v>Weber State University</x:v>
      </x:c>
      <x:c r="C1706" s="16" t="str">
        <x:v>UT</x:v>
      </x:c>
      <x:c r="D1706" s="16" t="str">
        <x:v>Public</x:v>
      </x:c>
      <x:c r="E1706" s="34" t="n">
        <x:v>16846</x:v>
      </x:c>
      <x:c r="F1706" s="21"/>
      <x:c r="G1706" s="16" t="str">
        <x:v>Statewide</x:v>
      </x:c>
      <x:c r="H1706" s="36" t="n">
        <x:f>IF(G1706="National",Assumptions!$B$11,IF(G1706="Statewide",Assumptions!$B$12,Assumptions!$B$13))</x:f>
        <x:v>0.6</x:v>
      </x:c>
      <x:c r="I1706" s="21" t="n">
        <x:v>-0.03501922272464697</x:v>
      </x:c>
      <x:c r="J1706" s="21" t="n">
        <x:v>-0.03713073444752102</x:v>
      </x:c>
      <x:c r="K1706" s="21" t="n">
        <x:v>-0.10543614669030499</x:v>
      </x:c>
      <x:c r="L1706" s="36" t="n">
        <x:f>IF(Assumptions!$B$4=2030,I1706,IF(Assumptions!$B$4=2035,J1706,K1706))</x:f>
        <x:v>-0.03713073444752102</x:v>
      </x:c>
      <x:c r="M1706" s="36" t="n">
        <x:f>Assumptions!$B$19</x:f>
        <x:v>-0.04739891965741583</x:v>
      </x:c>
      <x:c r="N1706" s="52" t="n">
        <x:f>H1706*L1706+(1-H1706)*M1706+O1706</x:f>
        <x:v>-0.041238008531478944</x:v>
      </x:c>
      <x:c r="O1706" s="36" t="n">
        <x:f>Assumptions!$B$10</x:f>
        <x:v>0</x:v>
      </x:c>
      <x:c r="P1706" s="54" t="n">
        <x:f>E1706*(1+N1706)</x:f>
        <x:v>16151.304508278705</x:v>
      </x:c>
      <x:c r="Q1706" s="54" t="n">
        <x:f>P1706-E1706</x:f>
        <x:v>-694.6954917212952</x:v>
      </x:c>
      <x:c r="R1706" s="16" t="str">
        <x:v>No</x:v>
      </x:c>
      <x:c r="S1706" s="56"/>
      <x:c r="T1706" s="56"/>
      <x:c r="U1706" s="40" t="n">
        <x:f>E1706*Assumptions!$B$8</x:f>
        <x:v>14319.1</x:v>
      </x:c>
      <x:c r="V1706" s="40" t="n">
        <x:f>P1706*Assumptions!$B$8</x:f>
        <x:v>13728.608832036898</x:v>
      </x:c>
      <x:c r="W1706" s="54" t="n">
        <x:f>V1706-U1706</x:f>
        <x:v>-590.4911679631023</x:v>
      </x:c>
      <x:c r="X1706" s="58" t="str">
        <x:f>IF(R1706="No","",W1706*S1706)</x:f>
      </x:c>
      <x:c r="Y1706" s="58" t="str">
        <x:f>IF(R1706="No","",W1706*T1706*Assumptions!$B$9)</x:f>
      </x:c>
      <x:c r="Z1706" s="58" t="str">
        <x:f>IF(R1706="No","",X1706-Y1706)</x:f>
      </x:c>
      <x:c r="AA1706" s="58" t="str">
        <x:f>IF(R1706="No","",MAX(0,-Z1706))</x:f>
      </x:c>
      <x:c r="AB1706" s="52" t="str">
        <x:f>IF(OR(R1706="No",U1706*S1706=0),"",AA1706/(U1706*S1706))</x:f>
      </x:c>
      <x:c r="AC1706" s="54" t="str">
        <x:f>IF(OR(R1706="No",S1706-T1706*Assumptions!$B$9&lt;=0),"",AA1706/(Assumptions!$B$8*(S1706-T1706*Assumptions!$B$9)))</x:f>
      </x:c>
      <x:c r="AD1706" s="52" t="str">
        <x:f>IF(OR(R1706="No",U1706*S1706=0),"",AA1706/(U1706*S1706))</x:f>
      </x:c>
      <x:c r="AE1706" s="50" t="str">
        <x:f>IF(R1706="No","No finance data",IF(AB1706&gt;=10%,"Severe",IF(AB1706&gt;=5%,"High",IF(AB1706&gt;=2%,"Moderate","Low"))))</x:f>
        <x:v>No finance data</x:v>
      </x:c>
      <x:c r="AF1706" s="60"/>
      <x:c r="AG1706" s="60"/>
      <x:c r="AH1706" s="44" t="str">
        <x:v>Undergraduate tuition-contribution proxy only; not an audited total institutional budget.</x:v>
      </x:c>
    </x:row>
    <x:row r="1707">
      <x:c r="A1707" s="16" t="n">
        <x:v>433387</x:v>
      </x:c>
      <x:c r="B1707" s="16" t="str">
        <x:v>Western Governors University</x:v>
      </x:c>
      <x:c r="C1707" s="16" t="str">
        <x:v>UT</x:v>
      </x:c>
      <x:c r="D1707" s="16" t="str">
        <x:v>Private nonprofit</x:v>
      </x:c>
      <x:c r="E1707" s="34" t="n">
        <x:v>54735</x:v>
      </x:c>
      <x:c r="F1707" s="21"/>
      <x:c r="G1707" s="16" t="str">
        <x:v>National</x:v>
      </x:c>
      <x:c r="H1707" s="36" t="n">
        <x:f>IF(G1707="National",Assumptions!$B$11,IF(G1707="Statewide",Assumptions!$B$12,Assumptions!$B$13))</x:f>
        <x:v>0.25</x:v>
      </x:c>
      <x:c r="I1707" s="21" t="n">
        <x:v>-0.03501922272464697</x:v>
      </x:c>
      <x:c r="J1707" s="21" t="n">
        <x:v>-0.03713073444752102</x:v>
      </x:c>
      <x:c r="K1707" s="21" t="n">
        <x:v>-0.10543614669030499</x:v>
      </x:c>
      <x:c r="L1707" s="36" t="n">
        <x:f>IF(Assumptions!$B$4=2030,I1707,IF(Assumptions!$B$4=2035,J1707,K1707))</x:f>
        <x:v>-0.03713073444752102</x:v>
      </x:c>
      <x:c r="M1707" s="36" t="n">
        <x:f>Assumptions!$B$19</x:f>
        <x:v>-0.04739891965741583</x:v>
      </x:c>
      <x:c r="N1707" s="52" t="n">
        <x:f>H1707*L1707+(1-H1707)*M1707+O1707</x:f>
        <x:v>-0.044831873354942126</x:v>
      </x:c>
      <x:c r="O1707" s="36" t="n">
        <x:f>Assumptions!$B$10</x:f>
        <x:v>0</x:v>
      </x:c>
      <x:c r="P1707" s="54" t="n">
        <x:f>E1707*(1+N1707)</x:f>
        <x:v>52281.127411917245</x:v>
      </x:c>
      <x:c r="Q1707" s="54" t="n">
        <x:f>P1707-E1707</x:f>
        <x:v>-2453.872588082755</x:v>
      </x:c>
      <x:c r="R1707" s="16" t="str">
        <x:v>Yes</x:v>
      </x:c>
      <x:c r="S1707" s="56" t="n">
        <x:v>7231</x:v>
      </x:c>
      <x:c r="T1707" s="56" t="n">
        <x:v>2824</x:v>
      </x:c>
      <x:c r="U1707" s="40" t="n">
        <x:f>E1707*Assumptions!$B$8</x:f>
        <x:v>46524.75</x:v>
      </x:c>
      <x:c r="V1707" s="40" t="n">
        <x:f>P1707*Assumptions!$B$8</x:f>
        <x:v>44438.958300129656</x:v>
      </x:c>
      <x:c r="W1707" s="54" t="n">
        <x:f>V1707-U1707</x:f>
        <x:v>-2085.791699870344</x:v>
      </x:c>
      <x:c r="X1707" s="58" t="n">
        <x:f>IF(R1707="No","",W1707*S1707)</x:f>
        <x:v>-15082359.781762458</x:v>
      </x:c>
      <x:c r="Y1707" s="58" t="n">
        <x:f>IF(R1707="No","",W1707*T1707*Assumptions!$B$9)</x:f>
        <x:v>-1767082.7281301555</x:v>
      </x:c>
      <x:c r="Z1707" s="58" t="n">
        <x:f>IF(R1707="No","",X1707-Y1707)</x:f>
        <x:v>-13315277.053632302</x:v>
      </x:c>
      <x:c r="AA1707" s="58" t="n">
        <x:f>IF(R1707="No","",MAX(0,-Z1707))</x:f>
        <x:v>13315277.053632302</x:v>
      </x:c>
      <x:c r="AB1707" s="52" t="n">
        <x:f>IF(OR(R1707="No",U1707*S1707=0),"",AA1707/(U1707*S1707))</x:f>
        <x:v>0.03957927162540169</x:v>
      </x:c>
      <x:c r="AC1707" s="54" t="n">
        <x:f>IF(OR(R1707="No",S1707-T1707*Assumptions!$B$9&lt;=0),"",AA1707/(Assumptions!$B$8*(S1707-T1707*Assumptions!$B$9)))</x:f>
        <x:v>2453.872588082758</x:v>
      </x:c>
      <x:c r="AD1707" s="52" t="n">
        <x:f>IF(OR(R1707="No",U1707*S1707=0),"",AA1707/(U1707*S1707))</x:f>
        <x:v>0.03957927162540169</x:v>
      </x:c>
      <x:c r="AE1707" s="50" t="str">
        <x:f>IF(R1707="No","No finance data",IF(AB1707&gt;=10%,"Severe",IF(AB1707&gt;=5%,"High",IF(AB1707&gt;=2%,"Moderate","Low"))))</x:f>
        <x:v>Moderate</x:v>
      </x:c>
      <x:c r="AF1707" s="60" t="n">
        <x:v>40.68481</x:v>
      </x:c>
      <x:c r="AG1707" s="60" t="n">
        <x:v>-111.869752</x:v>
      </x:c>
      <x:c r="AH1707" s="44" t="str">
        <x:v>Undergraduate tuition-contribution proxy only; not an audited total institutional budget.</x:v>
      </x:c>
    </x:row>
    <x:row r="1708">
      <x:c r="A1708" s="16" t="n">
        <x:v>230807</x:v>
      </x:c>
      <x:c r="B1708" s="16" t="str">
        <x:v>Westminster College</x:v>
      </x:c>
      <x:c r="C1708" s="16" t="str">
        <x:v>UT</x:v>
      </x:c>
      <x:c r="D1708" s="16" t="str">
        <x:v>Private nonprofit</x:v>
      </x:c>
      <x:c r="E1708" s="34" t="n">
        <x:v>2135</x:v>
      </x:c>
      <x:c r="F1708" s="21" t="n">
        <x:v>0.7573</x:v>
      </x:c>
      <x:c r="G1708" s="16" t="str">
        <x:v>Regional</x:v>
      </x:c>
      <x:c r="H1708" s="36" t="n">
        <x:f>IF(G1708="National",Assumptions!$B$11,IF(G1708="Statewide",Assumptions!$B$12,Assumptions!$B$13))</x:f>
        <x:v>0.85</x:v>
      </x:c>
      <x:c r="I1708" s="21" t="n">
        <x:v>-0.03501922272464697</x:v>
      </x:c>
      <x:c r="J1708" s="21" t="n">
        <x:v>-0.03713073444752102</x:v>
      </x:c>
      <x:c r="K1708" s="21" t="n">
        <x:v>-0.10543614669030499</x:v>
      </x:c>
      <x:c r="L1708" s="36" t="n">
        <x:f>IF(Assumptions!$B$4=2030,I1708,IF(Assumptions!$B$4=2035,J1708,K1708))</x:f>
        <x:v>-0.03713073444752102</x:v>
      </x:c>
      <x:c r="M1708" s="36" t="n">
        <x:f>Assumptions!$B$19</x:f>
        <x:v>-0.04739891965741583</x:v>
      </x:c>
      <x:c r="N1708" s="52" t="n">
        <x:f>H1708*L1708+(1-H1708)*M1708+O1708</x:f>
        <x:v>-0.03867096222900524</x:v>
      </x:c>
      <x:c r="O1708" s="36" t="n">
        <x:f>Assumptions!$B$10</x:f>
        <x:v>0</x:v>
      </x:c>
      <x:c r="P1708" s="54" t="n">
        <x:f>E1708*(1+N1708)</x:f>
        <x:v>2052.437495641074</x:v>
      </x:c>
      <x:c r="Q1708" s="54" t="n">
        <x:f>P1708-E1708</x:f>
        <x:v>-82.56250435892616</x:v>
      </x:c>
      <x:c r="R1708" s="16" t="str">
        <x:v>Yes</x:v>
      </x:c>
      <x:c r="S1708" s="56" t="n">
        <x:v>17998</x:v>
      </x:c>
      <x:c r="T1708" s="56" t="n">
        <x:v>12953</x:v>
      </x:c>
      <x:c r="U1708" s="40" t="n">
        <x:f>E1708*Assumptions!$B$8</x:f>
        <x:v>1814.75</x:v>
      </x:c>
      <x:c r="V1708" s="40" t="n">
        <x:f>P1708*Assumptions!$B$8</x:f>
        <x:v>1744.5718712949126</x:v>
      </x:c>
      <x:c r="W1708" s="54" t="n">
        <x:f>V1708-U1708</x:f>
        <x:v>-70.17812870508737</x:v>
      </x:c>
      <x:c r="X1708" s="58" t="n">
        <x:f>IF(R1708="No","",W1708*S1708)</x:f>
        <x:v>-1263065.9604341625</x:v>
      </x:c>
      <x:c r="Y1708" s="58" t="n">
        <x:f>IF(R1708="No","",W1708*T1708*Assumptions!$B$9)</x:f>
        <x:v>-272705.190335099</x:v>
      </x:c>
      <x:c r="Z1708" s="58" t="n">
        <x:f>IF(R1708="No","",X1708-Y1708)</x:f>
        <x:v>-990360.7700990635</x:v>
      </x:c>
      <x:c r="AA1708" s="58" t="n">
        <x:f>IF(R1708="No","",MAX(0,-Z1708))</x:f>
        <x:v>990360.7700990635</x:v>
      </x:c>
      <x:c r="AB1708" s="52" t="n">
        <x:f>IF(OR(R1708="No",U1708*S1708=0),"",AA1708/(U1708*S1708))</x:f>
        <x:v>0.030321618294918643</x:v>
      </x:c>
      <x:c r="AC1708" s="54" t="n">
        <x:f>IF(OR(R1708="No",S1708-T1708*Assumptions!$B$9&lt;=0),"",AA1708/(Assumptions!$B$8*(S1708-T1708*Assumptions!$B$9)))</x:f>
        <x:v>82.56250435892632</x:v>
      </x:c>
      <x:c r="AD1708" s="52" t="n">
        <x:f>IF(OR(R1708="No",U1708*S1708=0),"",AA1708/(U1708*S1708))</x:f>
        <x:v>0.030321618294918643</x:v>
      </x:c>
      <x:c r="AE1708" s="50" t="str">
        <x:f>IF(R1708="No","No finance data",IF(AB1708&gt;=10%,"Severe",IF(AB1708&gt;=5%,"High",IF(AB1708&gt;=2%,"Moderate","Low"))))</x:f>
        <x:v>Moderate</x:v>
      </x:c>
      <x:c r="AF1708" s="60" t="n">
        <x:v>40.730779</x:v>
      </x:c>
      <x:c r="AG1708" s="60" t="n">
        <x:v>-111.855757</x:v>
      </x:c>
      <x:c r="AH1708" s="44" t="str">
        <x:v>Undergraduate tuition-contribution proxy only; not an audited total institutional budget.</x:v>
      </x:c>
    </x:row>
    <x:row r="1709">
      <x:c r="A1709" s="16" t="n">
        <x:v>231420</x:v>
      </x:c>
      <x:c r="B1709" s="16" t="str">
        <x:v>Averett University</x:v>
      </x:c>
      <x:c r="C1709" s="16" t="str">
        <x:v>VA</x:v>
      </x:c>
      <x:c r="D1709" s="16" t="str">
        <x:v>Private nonprofit</x:v>
      </x:c>
      <x:c r="E1709" s="34" t="n">
        <x:v>868</x:v>
      </x:c>
      <x:c r="F1709" s="21" t="n">
        <x:v>0.4772</x:v>
      </x:c>
      <x:c r="G1709" s="16" t="str">
        <x:v>Regional</x:v>
      </x:c>
      <x:c r="H1709" s="36" t="n">
        <x:f>IF(G1709="National",Assumptions!$B$11,IF(G1709="Statewide",Assumptions!$B$12,Assumptions!$B$13))</x:f>
        <x:v>0.85</x:v>
      </x:c>
      <x:c r="I1709" s="21" t="n">
        <x:v>-0.02712150785096279</x:v>
      </x:c>
      <x:c r="J1709" s="21" t="n">
        <x:v>-0.00693331779648676</x:v>
      </x:c>
      <x:c r="K1709" s="21" t="n">
        <x:v>-0.0873656305532089</x:v>
      </x:c>
      <x:c r="L1709" s="36" t="n">
        <x:f>IF(Assumptions!$B$4=2030,I1709,IF(Assumptions!$B$4=2035,J1709,K1709))</x:f>
        <x:v>-0.00693331779648676</x:v>
      </x:c>
      <x:c r="M1709" s="36" t="n">
        <x:f>Assumptions!$B$19</x:f>
        <x:v>-0.04739891965741583</x:v>
      </x:c>
      <x:c r="N1709" s="52" t="n">
        <x:f>H1709*L1709+(1-H1709)*M1709+O1709</x:f>
        <x:v>-0.01300315807562612</x:v>
      </x:c>
      <x:c r="O1709" s="36" t="n">
        <x:f>Assumptions!$B$10</x:f>
        <x:v>0</x:v>
      </x:c>
      <x:c r="P1709" s="54" t="n">
        <x:f>E1709*(1+N1709)</x:f>
        <x:v>856.7132587903565</x:v>
      </x:c>
      <x:c r="Q1709" s="54" t="n">
        <x:f>P1709-E1709</x:f>
        <x:v>-11.286741209643537</x:v>
      </x:c>
      <x:c r="R1709" s="16" t="str">
        <x:v>Yes</x:v>
      </x:c>
      <x:c r="S1709" s="56" t="n">
        <x:v>12788</x:v>
      </x:c>
      <x:c r="T1709" s="56" t="n">
        <x:v>8188</x:v>
      </x:c>
      <x:c r="U1709" s="40" t="n">
        <x:f>E1709*Assumptions!$B$8</x:f>
        <x:v>737.8</x:v>
      </x:c>
      <x:c r="V1709" s="40" t="n">
        <x:f>P1709*Assumptions!$B$8</x:f>
        <x:v>728.206269971803</x:v>
      </x:c>
      <x:c r="W1709" s="54" t="n">
        <x:f>V1709-U1709</x:f>
        <x:v>-9.593730028197001</x:v>
      </x:c>
      <x:c r="X1709" s="58" t="n">
        <x:f>IF(R1709="No","",W1709*S1709)</x:f>
        <x:v>-122684.61960058325</x:v>
      </x:c>
      <x:c r="Y1709" s="58" t="n">
        <x:f>IF(R1709="No","",W1709*T1709*Assumptions!$B$9)</x:f>
        <x:v>-23566.03844126311</x:v>
      </x:c>
      <x:c r="Z1709" s="58" t="n">
        <x:f>IF(R1709="No","",X1709-Y1709)</x:f>
        <x:v>-99118.58115932014</x:v>
      </x:c>
      <x:c r="AA1709" s="58" t="n">
        <x:f>IF(R1709="No","",MAX(0,-Z1709))</x:f>
        <x:v>99118.58115932014</x:v>
      </x:c>
      <x:c r="AB1709" s="52" t="n">
        <x:f>IF(OR(R1709="No",U1709*S1709=0),"",AA1709/(U1709*S1709))</x:f>
        <x:v>0.010505429150308065</x:v>
      </x:c>
      <x:c r="AC1709" s="54" t="n">
        <x:f>IF(OR(R1709="No",S1709-T1709*Assumptions!$B$9&lt;=0),"",AA1709/(Assumptions!$B$8*(S1709-T1709*Assumptions!$B$9)))</x:f>
        <x:v>11.28674120964353</x:v>
      </x:c>
      <x:c r="AD1709" s="52" t="n">
        <x:f>IF(OR(R1709="No",U1709*S1709=0),"",AA1709/(U1709*S1709))</x:f>
        <x:v>0.010505429150308065</x:v>
      </x:c>
      <x:c r="AE1709" s="50" t="str">
        <x:f>IF(R1709="No","No finance data",IF(AB1709&gt;=10%,"Severe",IF(AB1709&gt;=5%,"High",IF(AB1709&gt;=2%,"Moderate","Low"))))</x:f>
        <x:v>Low</x:v>
      </x:c>
      <x:c r="AF1709" s="60" t="n">
        <x:v>36.577287</x:v>
      </x:c>
      <x:c r="AG1709" s="60" t="n">
        <x:v>-79.413203</x:v>
      </x:c>
      <x:c r="AH1709" s="44" t="str">
        <x:v>Undergraduate tuition-contribution proxy only; not an audited total institutional budget.</x:v>
      </x:c>
    </x:row>
    <x:row r="1710">
      <x:c r="A1710" s="16" t="n">
        <x:v>449931</x:v>
      </x:c>
      <x:c r="B1710" s="16" t="str">
        <x:v>Averett University-Non-Traditional Programs</x:v>
      </x:c>
      <x:c r="C1710" s="16" t="str">
        <x:v>VA</x:v>
      </x:c>
      <x:c r="D1710" s="16" t="str">
        <x:v>Private nonprofit</x:v>
      </x:c>
      <x:c r="E1710" s="34" t="n">
        <x:v>609</x:v>
      </x:c>
      <x:c r="F1710" s="21"/>
      <x:c r="G1710" s="16" t="str">
        <x:v>Regional</x:v>
      </x:c>
      <x:c r="H1710" s="36" t="n">
        <x:f>IF(G1710="National",Assumptions!$B$11,IF(G1710="Statewide",Assumptions!$B$12,Assumptions!$B$13))</x:f>
        <x:v>0.85</x:v>
      </x:c>
      <x:c r="I1710" s="21" t="n">
        <x:v>-0.02712150785096279</x:v>
      </x:c>
      <x:c r="J1710" s="21" t="n">
        <x:v>-0.00693331779648676</x:v>
      </x:c>
      <x:c r="K1710" s="21" t="n">
        <x:v>-0.0873656305532089</x:v>
      </x:c>
      <x:c r="L1710" s="36" t="n">
        <x:f>IF(Assumptions!$B$4=2030,I1710,IF(Assumptions!$B$4=2035,J1710,K1710))</x:f>
        <x:v>-0.00693331779648676</x:v>
      </x:c>
      <x:c r="M1710" s="36" t="n">
        <x:f>Assumptions!$B$19</x:f>
        <x:v>-0.04739891965741583</x:v>
      </x:c>
      <x:c r="N1710" s="52" t="n">
        <x:f>H1710*L1710+(1-H1710)*M1710+O1710</x:f>
        <x:v>-0.01300315807562612</x:v>
      </x:c>
      <x:c r="O1710" s="36" t="n">
        <x:f>Assumptions!$B$10</x:f>
        <x:v>0</x:v>
      </x:c>
      <x:c r="P1710" s="54" t="n">
        <x:f>E1710*(1+N1710)</x:f>
        <x:v>601.0810767319437</x:v>
      </x:c>
      <x:c r="Q1710" s="54" t="n">
        <x:f>P1710-E1710</x:f>
        <x:v>-7.918923268056346</x:v>
      </x:c>
      <x:c r="R1710" s="16" t="str">
        <x:v>No</x:v>
      </x:c>
      <x:c r="S1710" s="56"/>
      <x:c r="T1710" s="56"/>
      <x:c r="U1710" s="40" t="n">
        <x:f>E1710*Assumptions!$B$8</x:f>
        <x:v>517.65</x:v>
      </x:c>
      <x:c r="V1710" s="40" t="n">
        <x:f>P1710*Assumptions!$B$8</x:f>
        <x:v>510.91891522215207</x:v>
      </x:c>
      <x:c r="W1710" s="54" t="n">
        <x:f>V1710-U1710</x:f>
        <x:v>-6.7310847778479115</x:v>
      </x:c>
      <x:c r="X1710" s="58" t="str">
        <x:f>IF(R1710="No","",W1710*S1710)</x:f>
      </x:c>
      <x:c r="Y1710" s="58" t="str">
        <x:f>IF(R1710="No","",W1710*T1710*Assumptions!$B$9)</x:f>
      </x:c>
      <x:c r="Z1710" s="58" t="str">
        <x:f>IF(R1710="No","",X1710-Y1710)</x:f>
      </x:c>
      <x:c r="AA1710" s="58" t="str">
        <x:f>IF(R1710="No","",MAX(0,-Z1710))</x:f>
      </x:c>
      <x:c r="AB1710" s="52" t="str">
        <x:f>IF(OR(R1710="No",U1710*S1710=0),"",AA1710/(U1710*S1710))</x:f>
      </x:c>
      <x:c r="AC1710" s="54" t="str">
        <x:f>IF(OR(R1710="No",S1710-T1710*Assumptions!$B$9&lt;=0),"",AA1710/(Assumptions!$B$8*(S1710-T1710*Assumptions!$B$9)))</x:f>
      </x:c>
      <x:c r="AD1710" s="52" t="str">
        <x:f>IF(OR(R1710="No",U1710*S1710=0),"",AA1710/(U1710*S1710))</x:f>
      </x:c>
      <x:c r="AE1710" s="50" t="str">
        <x:f>IF(R1710="No","No finance data",IF(AB1710&gt;=10%,"Severe",IF(AB1710&gt;=5%,"High",IF(AB1710&gt;=2%,"Moderate","Low"))))</x:f>
        <x:v>No finance data</x:v>
      </x:c>
      <x:c r="AF1710" s="60"/>
      <x:c r="AG1710" s="60"/>
      <x:c r="AH1710" s="44" t="str">
        <x:v>Undergraduate tuition-contribution proxy only; not an audited total institutional budget.</x:v>
      </x:c>
    </x:row>
    <x:row r="1711">
      <x:c r="A1711" s="16" t="n">
        <x:v>458113</x:v>
      </x:c>
      <x:c r="B1711" s="16" t="str">
        <x:v>Bethel College</x:v>
      </x:c>
      <x:c r="C1711" s="16" t="str">
        <x:v>VA</x:v>
      </x:c>
      <x:c r="D1711" s="16" t="str">
        <x:v>Private nonprofit</x:v>
      </x:c>
      <x:c r="E1711" s="34" t="n">
        <x:v>58</x:v>
      </x:c>
      <x:c r="F1711" s="21"/>
      <x:c r="G1711" s="16" t="str">
        <x:v>Regional</x:v>
      </x:c>
      <x:c r="H1711" s="36" t="n">
        <x:f>IF(G1711="National",Assumptions!$B$11,IF(G1711="Statewide",Assumptions!$B$12,Assumptions!$B$13))</x:f>
        <x:v>0.85</x:v>
      </x:c>
      <x:c r="I1711" s="21" t="n">
        <x:v>-0.02712150785096279</x:v>
      </x:c>
      <x:c r="J1711" s="21" t="n">
        <x:v>-0.00693331779648676</x:v>
      </x:c>
      <x:c r="K1711" s="21" t="n">
        <x:v>-0.0873656305532089</x:v>
      </x:c>
      <x:c r="L1711" s="36" t="n">
        <x:f>IF(Assumptions!$B$4=2030,I1711,IF(Assumptions!$B$4=2035,J1711,K1711))</x:f>
        <x:v>-0.00693331779648676</x:v>
      </x:c>
      <x:c r="M1711" s="36" t="n">
        <x:f>Assumptions!$B$19</x:f>
        <x:v>-0.04739891965741583</x:v>
      </x:c>
      <x:c r="N1711" s="52" t="n">
        <x:f>H1711*L1711+(1-H1711)*M1711+O1711</x:f>
        <x:v>-0.01300315807562612</x:v>
      </x:c>
      <x:c r="O1711" s="36" t="n">
        <x:f>Assumptions!$B$10</x:f>
        <x:v>0</x:v>
      </x:c>
      <x:c r="P1711" s="54" t="n">
        <x:f>E1711*(1+N1711)</x:f>
        <x:v>57.24581683161369</x:v>
      </x:c>
      <x:c r="Q1711" s="54" t="n">
        <x:f>P1711-E1711</x:f>
        <x:v>-0.7541831683863123</x:v>
      </x:c>
      <x:c r="R1711" s="16" t="str">
        <x:v>No</x:v>
      </x:c>
      <x:c r="S1711" s="56"/>
      <x:c r="T1711" s="56"/>
      <x:c r="U1711" s="40" t="n">
        <x:f>E1711*Assumptions!$B$8</x:f>
        <x:v>49.3</x:v>
      </x:c>
      <x:c r="V1711" s="40" t="n">
        <x:f>P1711*Assumptions!$B$8</x:f>
        <x:v>48.65894430687163</x:v>
      </x:c>
      <x:c r="W1711" s="54" t="n">
        <x:f>V1711-U1711</x:f>
        <x:v>-0.6410556931283651</x:v>
      </x:c>
      <x:c r="X1711" s="58" t="str">
        <x:f>IF(R1711="No","",W1711*S1711)</x:f>
      </x:c>
      <x:c r="Y1711" s="58" t="str">
        <x:f>IF(R1711="No","",W1711*T1711*Assumptions!$B$9)</x:f>
      </x:c>
      <x:c r="Z1711" s="58" t="str">
        <x:f>IF(R1711="No","",X1711-Y1711)</x:f>
      </x:c>
      <x:c r="AA1711" s="58" t="str">
        <x:f>IF(R1711="No","",MAX(0,-Z1711))</x:f>
      </x:c>
      <x:c r="AB1711" s="52" t="str">
        <x:f>IF(OR(R1711="No",U1711*S1711=0),"",AA1711/(U1711*S1711))</x:f>
      </x:c>
      <x:c r="AC1711" s="54" t="str">
        <x:f>IF(OR(R1711="No",S1711-T1711*Assumptions!$B$9&lt;=0),"",AA1711/(Assumptions!$B$8*(S1711-T1711*Assumptions!$B$9)))</x:f>
      </x:c>
      <x:c r="AD1711" s="52" t="str">
        <x:f>IF(OR(R1711="No",U1711*S1711=0),"",AA1711/(U1711*S1711))</x:f>
      </x:c>
      <x:c r="AE1711" s="50" t="str">
        <x:f>IF(R1711="No","No finance data",IF(AB1711&gt;=10%,"Severe",IF(AB1711&gt;=5%,"High",IF(AB1711&gt;=2%,"Moderate","Low"))))</x:f>
        <x:v>No finance data</x:v>
      </x:c>
      <x:c r="AF1711" s="60"/>
      <x:c r="AG1711" s="60"/>
      <x:c r="AH1711" s="44" t="str">
        <x:v>Undergraduate tuition-contribution proxy only; not an audited total institutional budget.</x:v>
      </x:c>
    </x:row>
    <x:row r="1712">
      <x:c r="A1712" s="16" t="n">
        <x:v>231554</x:v>
      </x:c>
      <x:c r="B1712" s="16" t="str">
        <x:v>Bluefield College</x:v>
      </x:c>
      <x:c r="C1712" s="16" t="str">
        <x:v>VA</x:v>
      </x:c>
      <x:c r="D1712" s="16" t="str">
        <x:v>Private nonprofit</x:v>
      </x:c>
      <x:c r="E1712" s="34" t="n">
        <x:v>884</x:v>
      </x:c>
      <x:c r="F1712" s="21" t="n">
        <x:v>0.7225</x:v>
      </x:c>
      <x:c r="G1712" s="16" t="str">
        <x:v>Regional</x:v>
      </x:c>
      <x:c r="H1712" s="36" t="n">
        <x:f>IF(G1712="National",Assumptions!$B$11,IF(G1712="Statewide",Assumptions!$B$12,Assumptions!$B$13))</x:f>
        <x:v>0.85</x:v>
      </x:c>
      <x:c r="I1712" s="21" t="n">
        <x:v>-0.02712150785096279</x:v>
      </x:c>
      <x:c r="J1712" s="21" t="n">
        <x:v>-0.00693331779648676</x:v>
      </x:c>
      <x:c r="K1712" s="21" t="n">
        <x:v>-0.0873656305532089</x:v>
      </x:c>
      <x:c r="L1712" s="36" t="n">
        <x:f>IF(Assumptions!$B$4=2030,I1712,IF(Assumptions!$B$4=2035,J1712,K1712))</x:f>
        <x:v>-0.00693331779648676</x:v>
      </x:c>
      <x:c r="M1712" s="36" t="n">
        <x:f>Assumptions!$B$19</x:f>
        <x:v>-0.04739891965741583</x:v>
      </x:c>
      <x:c r="N1712" s="52" t="n">
        <x:f>H1712*L1712+(1-H1712)*M1712+O1712</x:f>
        <x:v>-0.01300315807562612</x:v>
      </x:c>
      <x:c r="O1712" s="36" t="n">
        <x:f>Assumptions!$B$10</x:f>
        <x:v>0</x:v>
      </x:c>
      <x:c r="P1712" s="54" t="n">
        <x:f>E1712*(1+N1712)</x:f>
        <x:v>872.5052082611465</x:v>
      </x:c>
      <x:c r="Q1712" s="54" t="n">
        <x:f>P1712-E1712</x:f>
        <x:v>-11.49479173885345</x:v>
      </x:c>
      <x:c r="R1712" s="16" t="str">
        <x:v>Yes</x:v>
      </x:c>
      <x:c r="S1712" s="56" t="n">
        <x:v>10900</x:v>
      </x:c>
      <x:c r="T1712" s="56" t="n">
        <x:v>5007</x:v>
      </x:c>
      <x:c r="U1712" s="40" t="n">
        <x:f>E1712*Assumptions!$B$8</x:f>
        <x:v>751.4</x:v>
      </x:c>
      <x:c r="V1712" s="40" t="n">
        <x:f>P1712*Assumptions!$B$8</x:f>
        <x:v>741.6294270219745</x:v>
      </x:c>
      <x:c r="W1712" s="54" t="n">
        <x:f>V1712-U1712</x:f>
        <x:v>-9.770572978025484</x:v>
      </x:c>
      <x:c r="X1712" s="58" t="n">
        <x:f>IF(R1712="No","",W1712*S1712)</x:f>
        <x:v>-106499.24546047777</x:v>
      </x:c>
      <x:c r="Y1712" s="58" t="n">
        <x:f>IF(R1712="No","",W1712*T1712*Assumptions!$B$9)</x:f>
        <x:v>-14676.377670292079</x:v>
      </x:c>
      <x:c r="Z1712" s="58" t="n">
        <x:f>IF(R1712="No","",X1712-Y1712)</x:f>
        <x:v>-91822.8677901857</x:v>
      </x:c>
      <x:c r="AA1712" s="58" t="n">
        <x:f>IF(R1712="No","",MAX(0,-Z1712))</x:f>
        <x:v>91822.8677901857</x:v>
      </x:c>
      <x:c r="AB1712" s="52" t="n">
        <x:f>IF(OR(R1712="No",U1712*S1712=0),"",AA1712/(U1712*S1712))</x:f>
        <x:v>0.011211227456782288</x:v>
      </x:c>
      <x:c r="AC1712" s="54" t="n">
        <x:f>IF(OR(R1712="No",S1712-T1712*Assumptions!$B$9&lt;=0),"",AA1712/(Assumptions!$B$8*(S1712-T1712*Assumptions!$B$9)))</x:f>
        <x:v>11.494791738853513</x:v>
      </x:c>
      <x:c r="AD1712" s="52" t="n">
        <x:f>IF(OR(R1712="No",U1712*S1712=0),"",AA1712/(U1712*S1712))</x:f>
        <x:v>0.011211227456782288</x:v>
      </x:c>
      <x:c r="AE1712" s="50" t="str">
        <x:f>IF(R1712="No","No finance data",IF(AB1712&gt;=10%,"Severe",IF(AB1712&gt;=5%,"High",IF(AB1712&gt;=2%,"Moderate","Low"))))</x:f>
        <x:v>Low</x:v>
      </x:c>
      <x:c r="AF1712" s="60" t="n">
        <x:v>37.244557</x:v>
      </x:c>
      <x:c r="AG1712" s="60" t="n">
        <x:v>-81.246233</x:v>
      </x:c>
      <x:c r="AH1712" s="44" t="str">
        <x:v>Undergraduate tuition-contribution proxy only; not an audited total institutional budget.</x:v>
      </x:c>
    </x:row>
    <x:row r="1713">
      <x:c r="A1713" s="16" t="n">
        <x:v>233356</x:v>
      </x:c>
      <x:c r="B1713" s="16" t="str">
        <x:v>Bon Secours Memorial College of Nursing</x:v>
      </x:c>
      <x:c r="C1713" s="16" t="str">
        <x:v>VA</x:v>
      </x:c>
      <x:c r="D1713" s="16" t="str">
        <x:v>Private nonprofit</x:v>
      </x:c>
      <x:c r="E1713" s="34" t="n">
        <x:v>500</x:v>
      </x:c>
      <x:c r="F1713" s="21"/>
      <x:c r="G1713" s="16" t="str">
        <x:v>Regional</x:v>
      </x:c>
      <x:c r="H1713" s="36" t="n">
        <x:f>IF(G1713="National",Assumptions!$B$11,IF(G1713="Statewide",Assumptions!$B$12,Assumptions!$B$13))</x:f>
        <x:v>0.85</x:v>
      </x:c>
      <x:c r="I1713" s="21" t="n">
        <x:v>-0.02712150785096279</x:v>
      </x:c>
      <x:c r="J1713" s="21" t="n">
        <x:v>-0.00693331779648676</x:v>
      </x:c>
      <x:c r="K1713" s="21" t="n">
        <x:v>-0.0873656305532089</x:v>
      </x:c>
      <x:c r="L1713" s="36" t="n">
        <x:f>IF(Assumptions!$B$4=2030,I1713,IF(Assumptions!$B$4=2035,J1713,K1713))</x:f>
        <x:v>-0.00693331779648676</x:v>
      </x:c>
      <x:c r="M1713" s="36" t="n">
        <x:f>Assumptions!$B$19</x:f>
        <x:v>-0.04739891965741583</x:v>
      </x:c>
      <x:c r="N1713" s="52" t="n">
        <x:f>H1713*L1713+(1-H1713)*M1713+O1713</x:f>
        <x:v>-0.01300315807562612</x:v>
      </x:c>
      <x:c r="O1713" s="36" t="n">
        <x:f>Assumptions!$B$10</x:f>
        <x:v>0</x:v>
      </x:c>
      <x:c r="P1713" s="54" t="n">
        <x:f>E1713*(1+N1713)</x:f>
        <x:v>493.4984209621869</x:v>
      </x:c>
      <x:c r="Q1713" s="54" t="n">
        <x:f>P1713-E1713</x:f>
        <x:v>-6.501579037813087</x:v>
      </x:c>
      <x:c r="R1713" s="16" t="str">
        <x:v>No</x:v>
      </x:c>
      <x:c r="S1713" s="56"/>
      <x:c r="T1713" s="56"/>
      <x:c r="U1713" s="40" t="n">
        <x:f>E1713*Assumptions!$B$8</x:f>
        <x:v>425</x:v>
      </x:c>
      <x:c r="V1713" s="40" t="n">
        <x:f>P1713*Assumptions!$B$8</x:f>
        <x:v>419.47365781785885</x:v>
      </x:c>
      <x:c r="W1713" s="54" t="n">
        <x:f>V1713-U1713</x:f>
        <x:v>-5.52634218214115</x:v>
      </x:c>
      <x:c r="X1713" s="58" t="str">
        <x:f>IF(R1713="No","",W1713*S1713)</x:f>
      </x:c>
      <x:c r="Y1713" s="58" t="str">
        <x:f>IF(R1713="No","",W1713*T1713*Assumptions!$B$9)</x:f>
      </x:c>
      <x:c r="Z1713" s="58" t="str">
        <x:f>IF(R1713="No","",X1713-Y1713)</x:f>
      </x:c>
      <x:c r="AA1713" s="58" t="str">
        <x:f>IF(R1713="No","",MAX(0,-Z1713))</x:f>
      </x:c>
      <x:c r="AB1713" s="52" t="str">
        <x:f>IF(OR(R1713="No",U1713*S1713=0),"",AA1713/(U1713*S1713))</x:f>
      </x:c>
      <x:c r="AC1713" s="54" t="str">
        <x:f>IF(OR(R1713="No",S1713-T1713*Assumptions!$B$9&lt;=0),"",AA1713/(Assumptions!$B$8*(S1713-T1713*Assumptions!$B$9)))</x:f>
      </x:c>
      <x:c r="AD1713" s="52" t="str">
        <x:f>IF(OR(R1713="No",U1713*S1713=0),"",AA1713/(U1713*S1713))</x:f>
      </x:c>
      <x:c r="AE1713" s="50" t="str">
        <x:f>IF(R1713="No","No finance data",IF(AB1713&gt;=10%,"Severe",IF(AB1713&gt;=5%,"High",IF(AB1713&gt;=2%,"Moderate","Low"))))</x:f>
        <x:v>No finance data</x:v>
      </x:c>
      <x:c r="AF1713" s="60"/>
      <x:c r="AG1713" s="60"/>
      <x:c r="AH1713" s="44" t="str">
        <x:v>Undergraduate tuition-contribution proxy only; not an audited total institutional budget.</x:v>
      </x:c>
    </x:row>
    <x:row r="1714">
      <x:c r="A1714" s="16" t="n">
        <x:v>231581</x:v>
      </x:c>
      <x:c r="B1714" s="16" t="str">
        <x:v>Bridgewater College</x:v>
      </x:c>
      <x:c r="C1714" s="16" t="str">
        <x:v>VA</x:v>
      </x:c>
      <x:c r="D1714" s="16" t="str">
        <x:v>Private nonprofit</x:v>
      </x:c>
      <x:c r="E1714" s="34" t="n">
        <x:v>1823</x:v>
      </x:c>
      <x:c r="F1714" s="21" t="n">
        <x:v>0.7509</x:v>
      </x:c>
      <x:c r="G1714" s="16" t="str">
        <x:v>Regional</x:v>
      </x:c>
      <x:c r="H1714" s="36" t="n">
        <x:f>IF(G1714="National",Assumptions!$B$11,IF(G1714="Statewide",Assumptions!$B$12,Assumptions!$B$13))</x:f>
        <x:v>0.85</x:v>
      </x:c>
      <x:c r="I1714" s="21" t="n">
        <x:v>-0.02712150785096279</x:v>
      </x:c>
      <x:c r="J1714" s="21" t="n">
        <x:v>-0.00693331779648676</x:v>
      </x:c>
      <x:c r="K1714" s="21" t="n">
        <x:v>-0.0873656305532089</x:v>
      </x:c>
      <x:c r="L1714" s="36" t="n">
        <x:f>IF(Assumptions!$B$4=2030,I1714,IF(Assumptions!$B$4=2035,J1714,K1714))</x:f>
        <x:v>-0.00693331779648676</x:v>
      </x:c>
      <x:c r="M1714" s="36" t="n">
        <x:f>Assumptions!$B$19</x:f>
        <x:v>-0.04739891965741583</x:v>
      </x:c>
      <x:c r="N1714" s="52" t="n">
        <x:f>H1714*L1714+(1-H1714)*M1714+O1714</x:f>
        <x:v>-0.01300315807562612</x:v>
      </x:c>
      <x:c r="O1714" s="36" t="n">
        <x:f>Assumptions!$B$10</x:f>
        <x:v>0</x:v>
      </x:c>
      <x:c r="P1714" s="54" t="n">
        <x:f>E1714*(1+N1714)</x:f>
        <x:v>1799.2952428281335</x:v>
      </x:c>
      <x:c r="Q1714" s="54" t="n">
        <x:f>P1714-E1714</x:f>
        <x:v>-23.704757171866504</x:v>
      </x:c>
      <x:c r="R1714" s="16" t="str">
        <x:v>Yes</x:v>
      </x:c>
      <x:c r="S1714" s="56" t="n">
        <x:v>10721</x:v>
      </x:c>
      <x:c r="T1714" s="56" t="n">
        <x:v>7155</x:v>
      </x:c>
      <x:c r="U1714" s="40" t="n">
        <x:f>E1714*Assumptions!$B$8</x:f>
        <x:v>1549.55</x:v>
      </x:c>
      <x:c r="V1714" s="40" t="n">
        <x:f>P1714*Assumptions!$B$8</x:f>
        <x:v>1529.4009564039134</x:v>
      </x:c>
      <x:c r="W1714" s="54" t="n">
        <x:f>V1714-U1714</x:f>
        <x:v>-20.149043596086585</x:v>
      </x:c>
      <x:c r="X1714" s="58" t="n">
        <x:f>IF(R1714="No","",W1714*S1714)</x:f>
        <x:v>-216017.89639364427</x:v>
      </x:c>
      <x:c r="Y1714" s="58" t="n">
        <x:f>IF(R1714="No","",W1714*T1714*Assumptions!$B$9)</x:f>
        <x:v>-43249.92207899986</x:v>
      </x:c>
      <x:c r="Z1714" s="58" t="n">
        <x:f>IF(R1714="No","",X1714-Y1714)</x:f>
        <x:v>-172767.9743146444</x:v>
      </x:c>
      <x:c r="AA1714" s="58" t="n">
        <x:f>IF(R1714="No","",MAX(0,-Z1714))</x:f>
        <x:v>172767.9743146444</x:v>
      </x:c>
      <x:c r="AB1714" s="52" t="n">
        <x:f>IF(OR(R1714="No",U1714*S1714=0),"",AA1714/(U1714*S1714))</x:f>
        <x:v>0.01039973686404784</x:v>
      </x:c>
      <x:c r="AC1714" s="54" t="n">
        <x:f>IF(OR(R1714="No",S1714-T1714*Assumptions!$B$9&lt;=0),"",AA1714/(Assumptions!$B$8*(S1714-T1714*Assumptions!$B$9)))</x:f>
        <x:v>23.704757171866568</x:v>
      </x:c>
      <x:c r="AD1714" s="52" t="n">
        <x:f>IF(OR(R1714="No",U1714*S1714=0),"",AA1714/(U1714*S1714))</x:f>
        <x:v>0.01039973686404784</x:v>
      </x:c>
      <x:c r="AE1714" s="50" t="str">
        <x:f>IF(R1714="No","No finance data",IF(AB1714&gt;=10%,"Severe",IF(AB1714&gt;=5%,"High",IF(AB1714&gt;=2%,"Moderate","Low"))))</x:f>
        <x:v>Low</x:v>
      </x:c>
      <x:c r="AF1714" s="60" t="n">
        <x:v>38.378484</x:v>
      </x:c>
      <x:c r="AG1714" s="60" t="n">
        <x:v>-78.969007</x:v>
      </x:c>
      <x:c r="AH1714" s="44" t="str">
        <x:v>Undergraduate tuition-contribution proxy only; not an audited total institutional budget.</x:v>
      </x:c>
    </x:row>
    <x:row r="1715">
      <x:c r="A1715" s="16" t="n">
        <x:v>231712</x:v>
      </x:c>
      <x:c r="B1715" s="16" t="str">
        <x:v>Christopher Newport University</x:v>
      </x:c>
      <x:c r="C1715" s="16" t="str">
        <x:v>VA</x:v>
      </x:c>
      <x:c r="D1715" s="16" t="str">
        <x:v>Public</x:v>
      </x:c>
      <x:c r="E1715" s="34" t="n">
        <x:v>5040</x:v>
      </x:c>
      <x:c r="F1715" s="21" t="n">
        <x:v>0.8854</x:v>
      </x:c>
      <x:c r="G1715" s="16" t="str">
        <x:v>Statewide</x:v>
      </x:c>
      <x:c r="H1715" s="36" t="n">
        <x:f>IF(G1715="National",Assumptions!$B$11,IF(G1715="Statewide",Assumptions!$B$12,Assumptions!$B$13))</x:f>
        <x:v>0.6</x:v>
      </x:c>
      <x:c r="I1715" s="21" t="n">
        <x:v>-0.02712150785096279</x:v>
      </x:c>
      <x:c r="J1715" s="21" t="n">
        <x:v>-0.00693331779648676</x:v>
      </x:c>
      <x:c r="K1715" s="21" t="n">
        <x:v>-0.0873656305532089</x:v>
      </x:c>
      <x:c r="L1715" s="36" t="n">
        <x:f>IF(Assumptions!$B$4=2030,I1715,IF(Assumptions!$B$4=2035,J1715,K1715))</x:f>
        <x:v>-0.00693331779648676</x:v>
      </x:c>
      <x:c r="M1715" s="36" t="n">
        <x:f>Assumptions!$B$19</x:f>
        <x:v>-0.04739891965741583</x:v>
      </x:c>
      <x:c r="N1715" s="52" t="n">
        <x:f>H1715*L1715+(1-H1715)*M1715+O1715</x:f>
        <x:v>-0.02311955854085839</x:v>
      </x:c>
      <x:c r="O1715" s="36" t="n">
        <x:f>Assumptions!$B$10</x:f>
        <x:v>0</x:v>
      </x:c>
      <x:c r="P1715" s="54" t="n">
        <x:f>E1715*(1+N1715)</x:f>
        <x:v>4923.477424954074</x:v>
      </x:c>
      <x:c r="Q1715" s="54" t="n">
        <x:f>P1715-E1715</x:f>
        <x:v>-116.5225750459258</x:v>
      </x:c>
      <x:c r="R1715" s="16" t="str">
        <x:v>Yes</x:v>
      </x:c>
      <x:c r="S1715" s="56" t="n">
        <x:v>9019</x:v>
      </x:c>
      <x:c r="T1715" s="56" t="n">
        <x:v>10118</x:v>
      </x:c>
      <x:c r="U1715" s="40" t="n">
        <x:f>E1715*Assumptions!$B$8</x:f>
        <x:v>4284</x:v>
      </x:c>
      <x:c r="V1715" s="40" t="n">
        <x:f>P1715*Assumptions!$B$8</x:f>
        <x:v>4184.955811210963</x:v>
      </x:c>
      <x:c r="W1715" s="54" t="n">
        <x:f>V1715-U1715</x:f>
        <x:v>-99.04418878903743</x:v>
      </x:c>
      <x:c r="X1715" s="58" t="n">
        <x:f>IF(R1715="No","",W1715*S1715)</x:f>
        <x:v>-893279.5386883286</x:v>
      </x:c>
      <x:c r="Y1715" s="58" t="n">
        <x:f>IF(R1715="No","",W1715*T1715*Assumptions!$B$9)</x:f>
        <x:v>-300638.7306502442</x:v>
      </x:c>
      <x:c r="Z1715" s="58" t="n">
        <x:f>IF(R1715="No","",X1715-Y1715)</x:f>
        <x:v>-592640.8080380843</x:v>
      </x:c>
      <x:c r="AA1715" s="58" t="n">
        <x:f>IF(R1715="No","",MAX(0,-Z1715))</x:f>
        <x:v>592640.8080380843</x:v>
      </x:c>
      <x:c r="AB1715" s="52" t="n">
        <x:f>IF(OR(R1715="No",U1715*S1715=0),"",AA1715/(U1715*S1715))</x:f>
        <x:v>0.015338528715498434</x:v>
      </x:c>
      <x:c r="AC1715" s="54" t="n">
        <x:f>IF(OR(R1715="No",S1715-T1715*Assumptions!$B$9&lt;=0),"",AA1715/(Assumptions!$B$8*(S1715-T1715*Assumptions!$B$9)))</x:f>
        <x:v>116.52257504592636</x:v>
      </x:c>
      <x:c r="AD1715" s="52" t="n">
        <x:f>IF(OR(R1715="No",U1715*S1715=0),"",AA1715/(U1715*S1715))</x:f>
        <x:v>0.015338528715498434</x:v>
      </x:c>
      <x:c r="AE1715" s="50" t="str">
        <x:f>IF(R1715="No","No finance data",IF(AB1715&gt;=10%,"Severe",IF(AB1715&gt;=5%,"High",IF(AB1715&gt;=2%,"Moderate","Low"))))</x:f>
        <x:v>Low</x:v>
      </x:c>
      <x:c r="AF1715" s="60" t="n">
        <x:v>37.062495</x:v>
      </x:c>
      <x:c r="AG1715" s="60" t="n">
        <x:v>-76.494364</x:v>
      </x:c>
      <x:c r="AH1715" s="44" t="str">
        <x:v>Undergraduate tuition-contribution proxy only; not an audited total institutional budget.</x:v>
      </x:c>
    </x:row>
    <x:row r="1716">
      <x:c r="A1716" s="16" t="n">
        <x:v>231624</x:v>
      </x:c>
      <x:c r="B1716" s="16" t="str">
        <x:v>College of William and Mary</x:v>
      </x:c>
      <x:c r="C1716" s="16" t="str">
        <x:v>VA</x:v>
      </x:c>
      <x:c r="D1716" s="16" t="str">
        <x:v>Public</x:v>
      </x:c>
      <x:c r="E1716" s="34" t="n">
        <x:v>6260</x:v>
      </x:c>
      <x:c r="F1716" s="21" t="n">
        <x:v>0.3654</x:v>
      </x:c>
      <x:c r="G1716" s="16" t="str">
        <x:v>Statewide</x:v>
      </x:c>
      <x:c r="H1716" s="36" t="n">
        <x:f>IF(G1716="National",Assumptions!$B$11,IF(G1716="Statewide",Assumptions!$B$12,Assumptions!$B$13))</x:f>
        <x:v>0.6</x:v>
      </x:c>
      <x:c r="I1716" s="21" t="n">
        <x:v>-0.02712150785096279</x:v>
      </x:c>
      <x:c r="J1716" s="21" t="n">
        <x:v>-0.00693331779648676</x:v>
      </x:c>
      <x:c r="K1716" s="21" t="n">
        <x:v>-0.0873656305532089</x:v>
      </x:c>
      <x:c r="L1716" s="36" t="n">
        <x:f>IF(Assumptions!$B$4=2030,I1716,IF(Assumptions!$B$4=2035,J1716,K1716))</x:f>
        <x:v>-0.00693331779648676</x:v>
      </x:c>
      <x:c r="M1716" s="36" t="n">
        <x:f>Assumptions!$B$19</x:f>
        <x:v>-0.04739891965741583</x:v>
      </x:c>
      <x:c r="N1716" s="52" t="n">
        <x:f>H1716*L1716+(1-H1716)*M1716+O1716</x:f>
        <x:v>-0.02311955854085839</x:v>
      </x:c>
      <x:c r="O1716" s="36" t="n">
        <x:f>Assumptions!$B$10</x:f>
        <x:v>0</x:v>
      </x:c>
      <x:c r="P1716" s="54" t="n">
        <x:f>E1716*(1+N1716)</x:f>
        <x:v>6115.2715635342265</x:v>
      </x:c>
      <x:c r="Q1716" s="54" t="n">
        <x:f>P1716-E1716</x:f>
        <x:v>-144.72843646577348</x:v>
      </x:c>
      <x:c r="R1716" s="16" t="str">
        <x:v>Yes</x:v>
      </x:c>
      <x:c r="S1716" s="56" t="n">
        <x:v>21988</x:v>
      </x:c>
      <x:c r="T1716" s="56" t="n">
        <x:v>16109</x:v>
      </x:c>
      <x:c r="U1716" s="40" t="n">
        <x:f>E1716*Assumptions!$B$8</x:f>
        <x:v>5321</x:v>
      </x:c>
      <x:c r="V1716" s="40" t="n">
        <x:f>P1716*Assumptions!$B$8</x:f>
        <x:v>5197.980829004093</x:v>
      </x:c>
      <x:c r="W1716" s="54" t="n">
        <x:f>V1716-U1716</x:f>
        <x:v>-123.01917099590719</x:v>
      </x:c>
      <x:c r="X1716" s="58" t="n">
        <x:f>IF(R1716="No","",W1716*S1716)</x:f>
        <x:v>-2704945.5318580074</x:v>
      </x:c>
      <x:c r="Y1716" s="58" t="n">
        <x:f>IF(R1716="No","",W1716*T1716*Assumptions!$B$9)</x:f>
        <x:v>-594514.7476719206</x:v>
      </x:c>
      <x:c r="Z1716" s="58" t="n">
        <x:f>IF(R1716="No","",X1716-Y1716)</x:f>
        <x:v>-2110430.7841860866</x:v>
      </x:c>
      <x:c r="AA1716" s="58" t="n">
        <x:f>IF(R1716="No","",MAX(0,-Z1716))</x:f>
        <x:v>2110430.7841860866</x:v>
      </x:c>
      <x:c r="AB1716" s="52" t="n">
        <x:f>IF(OR(R1716="No",U1716*S1716=0),"",AA1716/(U1716*S1716))</x:f>
        <x:v>0.01803815547735069</x:v>
      </x:c>
      <x:c r="AC1716" s="54" t="n">
        <x:f>IF(OR(R1716="No",S1716-T1716*Assumptions!$B$9&lt;=0),"",AA1716/(Assumptions!$B$8*(S1716-T1716*Assumptions!$B$9)))</x:f>
        <x:v>144.72843646577317</x:v>
      </x:c>
      <x:c r="AD1716" s="52" t="n">
        <x:f>IF(OR(R1716="No",U1716*S1716=0),"",AA1716/(U1716*S1716))</x:f>
        <x:v>0.01803815547735069</x:v>
      </x:c>
      <x:c r="AE1716" s="50" t="str">
        <x:f>IF(R1716="No","No finance data",IF(AB1716&gt;=10%,"Severe",IF(AB1716&gt;=5%,"High",IF(AB1716&gt;=2%,"Moderate","Low"))))</x:f>
        <x:v>Low</x:v>
      </x:c>
      <x:c r="AF1716" s="60" t="n">
        <x:v>37.269489</x:v>
      </x:c>
      <x:c r="AG1716" s="60" t="n">
        <x:v>-76.708214</x:v>
      </x:c>
      <x:c r="AH1716" s="44" t="str">
        <x:v>Undergraduate tuition-contribution proxy only; not an audited total institutional budget.</x:v>
      </x:c>
    </x:row>
    <x:row r="1717">
      <x:c r="A1717" s="16" t="n">
        <x:v>232043</x:v>
      </x:c>
      <x:c r="B1717" s="16" t="str">
        <x:v>Eastern Mennonite University</x:v>
      </x:c>
      <x:c r="C1717" s="16" t="str">
        <x:v>VA</x:v>
      </x:c>
      <x:c r="D1717" s="16" t="str">
        <x:v>Private nonprofit</x:v>
      </x:c>
      <x:c r="E1717" s="34" t="n">
        <x:v>1194</x:v>
      </x:c>
      <x:c r="F1717" s="21" t="n">
        <x:v>0.9523</x:v>
      </x:c>
      <x:c r="G1717" s="16" t="str">
        <x:v>Regional</x:v>
      </x:c>
      <x:c r="H1717" s="36" t="n">
        <x:f>IF(G1717="National",Assumptions!$B$11,IF(G1717="Statewide",Assumptions!$B$12,Assumptions!$B$13))</x:f>
        <x:v>0.85</x:v>
      </x:c>
      <x:c r="I1717" s="21" t="n">
        <x:v>-0.02712150785096279</x:v>
      </x:c>
      <x:c r="J1717" s="21" t="n">
        <x:v>-0.00693331779648676</x:v>
      </x:c>
      <x:c r="K1717" s="21" t="n">
        <x:v>-0.0873656305532089</x:v>
      </x:c>
      <x:c r="L1717" s="36" t="n">
        <x:f>IF(Assumptions!$B$4=2030,I1717,IF(Assumptions!$B$4=2035,J1717,K1717))</x:f>
        <x:v>-0.00693331779648676</x:v>
      </x:c>
      <x:c r="M1717" s="36" t="n">
        <x:f>Assumptions!$B$19</x:f>
        <x:v>-0.04739891965741583</x:v>
      </x:c>
      <x:c r="N1717" s="52" t="n">
        <x:f>H1717*L1717+(1-H1717)*M1717+O1717</x:f>
        <x:v>-0.01300315807562612</x:v>
      </x:c>
      <x:c r="O1717" s="36" t="n">
        <x:f>Assumptions!$B$10</x:f>
        <x:v>0</x:v>
      </x:c>
      <x:c r="P1717" s="54" t="n">
        <x:f>E1717*(1+N1717)</x:f>
        <x:v>1178.4742292577023</x:v>
      </x:c>
      <x:c r="Q1717" s="54" t="n">
        <x:f>P1717-E1717</x:f>
        <x:v>-15.52577074229771</x:v>
      </x:c>
      <x:c r="R1717" s="16" t="str">
        <x:v>Yes</x:v>
      </x:c>
      <x:c r="S1717" s="56" t="n">
        <x:v>16420</x:v>
      </x:c>
      <x:c r="T1717" s="56" t="n">
        <x:v>12023</x:v>
      </x:c>
      <x:c r="U1717" s="40" t="n">
        <x:f>E1717*Assumptions!$B$8</x:f>
        <x:v>1014.9</x:v>
      </x:c>
      <x:c r="V1717" s="40" t="n">
        <x:f>P1717*Assumptions!$B$8</x:f>
        <x:v>1001.7030948690469</x:v>
      </x:c>
      <x:c r="W1717" s="54" t="n">
        <x:f>V1717-U1717</x:f>
        <x:v>-13.196905130953041</x:v>
      </x:c>
      <x:c r="X1717" s="58" t="n">
        <x:f>IF(R1717="No","",W1717*S1717)</x:f>
        <x:v>-216693.18225024894</x:v>
      </x:c>
      <x:c r="Y1717" s="58" t="n">
        <x:f>IF(R1717="No","",W1717*T1717*Assumptions!$B$9)</x:f>
        <x:v>-47599.91711683452</x:v>
      </x:c>
      <x:c r="Z1717" s="58" t="n">
        <x:f>IF(R1717="No","",X1717-Y1717)</x:f>
        <x:v>-169093.26513341442</x:v>
      </x:c>
      <x:c r="AA1717" s="58" t="n">
        <x:f>IF(R1717="No","",MAX(0,-Z1717))</x:f>
        <x:v>169093.26513341442</x:v>
      </x:c>
      <x:c r="AB1717" s="52" t="n">
        <x:f>IF(OR(R1717="No",U1717*S1717=0),"",AA1717/(U1717*S1717))</x:f>
        <x:v>0.010146818802606955</x:v>
      </x:c>
      <x:c r="AC1717" s="54" t="n">
        <x:f>IF(OR(R1717="No",S1717-T1717*Assumptions!$B$9&lt;=0),"",AA1717/(Assumptions!$B$8*(S1717-T1717*Assumptions!$B$9)))</x:f>
        <x:v>15.525770742297695</x:v>
      </x:c>
      <x:c r="AD1717" s="52" t="n">
        <x:f>IF(OR(R1717="No",U1717*S1717=0),"",AA1717/(U1717*S1717))</x:f>
        <x:v>0.010146818802606955</x:v>
      </x:c>
      <x:c r="AE1717" s="50" t="str">
        <x:f>IF(R1717="No","No finance data",IF(AB1717&gt;=10%,"Severe",IF(AB1717&gt;=5%,"High",IF(AB1717&gt;=2%,"Moderate","Low"))))</x:f>
        <x:v>Low</x:v>
      </x:c>
      <x:c r="AF1717" s="60" t="n">
        <x:v>38.471134</x:v>
      </x:c>
      <x:c r="AG1717" s="60" t="n">
        <x:v>-78.880326</x:v>
      </x:c>
      <x:c r="AH1717" s="44" t="str">
        <x:v>Undergraduate tuition-contribution proxy only; not an audited total institutional budget.</x:v>
      </x:c>
    </x:row>
    <x:row r="1718">
      <x:c r="A1718" s="16" t="n">
        <x:v>232025</x:v>
      </x:c>
      <x:c r="B1718" s="16" t="str">
        <x:v>Emory &amp; Henry College</x:v>
      </x:c>
      <x:c r="C1718" s="16" t="str">
        <x:v>VA</x:v>
      </x:c>
      <x:c r="D1718" s="16" t="str">
        <x:v>Private nonprofit</x:v>
      </x:c>
      <x:c r="E1718" s="34" t="n">
        <x:v>1010</x:v>
      </x:c>
      <x:c r="F1718" s="21" t="n">
        <x:v>0.8721</x:v>
      </x:c>
      <x:c r="G1718" s="16" t="str">
        <x:v>Regional</x:v>
      </x:c>
      <x:c r="H1718" s="36" t="n">
        <x:f>IF(G1718="National",Assumptions!$B$11,IF(G1718="Statewide",Assumptions!$B$12,Assumptions!$B$13))</x:f>
        <x:v>0.85</x:v>
      </x:c>
      <x:c r="I1718" s="21" t="n">
        <x:v>-0.02712150785096279</x:v>
      </x:c>
      <x:c r="J1718" s="21" t="n">
        <x:v>-0.00693331779648676</x:v>
      </x:c>
      <x:c r="K1718" s="21" t="n">
        <x:v>-0.0873656305532089</x:v>
      </x:c>
      <x:c r="L1718" s="36" t="n">
        <x:f>IF(Assumptions!$B$4=2030,I1718,IF(Assumptions!$B$4=2035,J1718,K1718))</x:f>
        <x:v>-0.00693331779648676</x:v>
      </x:c>
      <x:c r="M1718" s="36" t="n">
        <x:f>Assumptions!$B$19</x:f>
        <x:v>-0.04739891965741583</x:v>
      </x:c>
      <x:c r="N1718" s="52" t="n">
        <x:f>H1718*L1718+(1-H1718)*M1718+O1718</x:f>
        <x:v>-0.01300315807562612</x:v>
      </x:c>
      <x:c r="O1718" s="36" t="n">
        <x:f>Assumptions!$B$10</x:f>
        <x:v>0</x:v>
      </x:c>
      <x:c r="P1718" s="54" t="n">
        <x:f>E1718*(1+N1718)</x:f>
        <x:v>996.8668103436177</x:v>
      </x:c>
      <x:c r="Q1718" s="54" t="n">
        <x:f>P1718-E1718</x:f>
        <x:v>-13.133189656382342</x:v>
      </x:c>
      <x:c r="R1718" s="16" t="str">
        <x:v>Yes</x:v>
      </x:c>
      <x:c r="S1718" s="56" t="n">
        <x:v>15113</x:v>
      </x:c>
      <x:c r="T1718" s="56" t="n">
        <x:v>13339</x:v>
      </x:c>
      <x:c r="U1718" s="40" t="n">
        <x:f>E1718*Assumptions!$B$8</x:f>
        <x:v>858.5</x:v>
      </x:c>
      <x:c r="V1718" s="40" t="n">
        <x:f>P1718*Assumptions!$B$8</x:f>
        <x:v>847.336788792075</x:v>
      </x:c>
      <x:c r="W1718" s="54" t="n">
        <x:f>V1718-U1718</x:f>
        <x:v>-11.163211207924974</x:v>
      </x:c>
      <x:c r="X1718" s="58" t="n">
        <x:f>IF(R1718="No","",W1718*S1718)</x:f>
        <x:v>-168709.61098537012</x:v>
      </x:c>
      <x:c r="Y1718" s="58" t="n">
        <x:f>IF(R1718="No","",W1718*T1718*Assumptions!$B$9)</x:f>
        <x:v>-44671.82229075337</x:v>
      </x:c>
      <x:c r="Z1718" s="58" t="n">
        <x:f>IF(R1718="No","",X1718-Y1718)</x:f>
        <x:v>-124037.78869461676</x:v>
      </x:c>
      <x:c r="AA1718" s="58" t="n">
        <x:f>IF(R1718="No","",MAX(0,-Z1718))</x:f>
        <x:v>124037.78869461676</x:v>
      </x:c>
      <x:c r="AB1718" s="52" t="n">
        <x:f>IF(OR(R1718="No",U1718*S1718=0),"",AA1718/(U1718*S1718))</x:f>
        <x:v>0.00956011316917249</x:v>
      </x:c>
      <x:c r="AC1718" s="54" t="n">
        <x:f>IF(OR(R1718="No",S1718-T1718*Assumptions!$B$9&lt;=0),"",AA1718/(Assumptions!$B$8*(S1718-T1718*Assumptions!$B$9)))</x:f>
        <x:v>13.133189656382322</x:v>
      </x:c>
      <x:c r="AD1718" s="52" t="n">
        <x:f>IF(OR(R1718="No",U1718*S1718=0),"",AA1718/(U1718*S1718))</x:f>
        <x:v>0.00956011316917249</x:v>
      </x:c>
      <x:c r="AE1718" s="50" t="str">
        <x:f>IF(R1718="No","No finance data",IF(AB1718&gt;=10%,"Severe",IF(AB1718&gt;=5%,"High",IF(AB1718&gt;=2%,"Moderate","Low"))))</x:f>
        <x:v>Low</x:v>
      </x:c>
      <x:c r="AF1718" s="60" t="n">
        <x:v>36.772857</x:v>
      </x:c>
      <x:c r="AG1718" s="60" t="n">
        <x:v>-81.829142</x:v>
      </x:c>
      <x:c r="AH1718" s="44" t="str">
        <x:v>Undergraduate tuition-contribution proxy only; not an audited total institutional budget.</x:v>
      </x:c>
    </x:row>
    <x:row r="1719">
      <x:c r="A1719" s="16" t="n">
        <x:v>232089</x:v>
      </x:c>
      <x:c r="B1719" s="16" t="str">
        <x:v>Ferrum College</x:v>
      </x:c>
      <x:c r="C1719" s="16" t="str">
        <x:v>VA</x:v>
      </x:c>
      <x:c r="D1719" s="16" t="str">
        <x:v>Private nonprofit</x:v>
      </x:c>
      <x:c r="E1719" s="34" t="n">
        <x:v>1328</x:v>
      </x:c>
      <x:c r="F1719" s="21" t="n">
        <x:v>0.7642</x:v>
      </x:c>
      <x:c r="G1719" s="16" t="str">
        <x:v>Regional</x:v>
      </x:c>
      <x:c r="H1719" s="36" t="n">
        <x:f>IF(G1719="National",Assumptions!$B$11,IF(G1719="Statewide",Assumptions!$B$12,Assumptions!$B$13))</x:f>
        <x:v>0.85</x:v>
      </x:c>
      <x:c r="I1719" s="21" t="n">
        <x:v>-0.02712150785096279</x:v>
      </x:c>
      <x:c r="J1719" s="21" t="n">
        <x:v>-0.00693331779648676</x:v>
      </x:c>
      <x:c r="K1719" s="21" t="n">
        <x:v>-0.0873656305532089</x:v>
      </x:c>
      <x:c r="L1719" s="36" t="n">
        <x:f>IF(Assumptions!$B$4=2030,I1719,IF(Assumptions!$B$4=2035,J1719,K1719))</x:f>
        <x:v>-0.00693331779648676</x:v>
      </x:c>
      <x:c r="M1719" s="36" t="n">
        <x:f>Assumptions!$B$19</x:f>
        <x:v>-0.04739891965741583</x:v>
      </x:c>
      <x:c r="N1719" s="52" t="n">
        <x:f>H1719*L1719+(1-H1719)*M1719+O1719</x:f>
        <x:v>-0.01300315807562612</x:v>
      </x:c>
      <x:c r="O1719" s="36" t="n">
        <x:f>Assumptions!$B$10</x:f>
        <x:v>0</x:v>
      </x:c>
      <x:c r="P1719" s="54" t="n">
        <x:f>E1719*(1+N1719)</x:f>
        <x:v>1310.7318060755686</x:v>
      </x:c>
      <x:c r="Q1719" s="54" t="n">
        <x:f>P1719-E1719</x:f>
        <x:v>-17.268193924431444</x:v>
      </x:c>
      <x:c r="R1719" s="16" t="str">
        <x:v>Yes</x:v>
      </x:c>
      <x:c r="S1719" s="56" t="n">
        <x:v>14331</x:v>
      </x:c>
      <x:c r="T1719" s="56" t="n">
        <x:v>7692</x:v>
      </x:c>
      <x:c r="U1719" s="40" t="n">
        <x:f>E1719*Assumptions!$B$8</x:f>
        <x:v>1128.8</x:v>
      </x:c>
      <x:c r="V1719" s="40" t="n">
        <x:f>P1719*Assumptions!$B$8</x:f>
        <x:v>1114.1220351642332</x:v>
      </x:c>
      <x:c r="W1719" s="54" t="n">
        <x:f>V1719-U1719</x:f>
        <x:v>-14.677964835766716</x:v>
      </x:c>
      <x:c r="X1719" s="58" t="n">
        <x:f>IF(R1719="No","",W1719*S1719)</x:f>
        <x:v>-210349.9140613728</x:v>
      </x:c>
      <x:c r="Y1719" s="58" t="n">
        <x:f>IF(R1719="No","",W1719*T1719*Assumptions!$B$9)</x:f>
        <x:v>-33870.871655015275</x:v>
      </x:c>
      <x:c r="Z1719" s="58" t="n">
        <x:f>IF(R1719="No","",X1719-Y1719)</x:f>
        <x:v>-176479.04240635753</x:v>
      </x:c>
      <x:c r="AA1719" s="58" t="n">
        <x:f>IF(R1719="No","",MAX(0,-Z1719))</x:f>
        <x:v>176479.04240635753</x:v>
      </x:c>
      <x:c r="AB1719" s="52" t="n">
        <x:f>IF(OR(R1719="No",U1719*S1719=0),"",AA1719/(U1719*S1719))</x:f>
        <x:v>0.010909369255912538</x:v>
      </x:c>
      <x:c r="AC1719" s="54" t="n">
        <x:f>IF(OR(R1719="No",S1719-T1719*Assumptions!$B$9&lt;=0),"",AA1719/(Assumptions!$B$8*(S1719-T1719*Assumptions!$B$9)))</x:f>
        <x:v>17.268193924431433</x:v>
      </x:c>
      <x:c r="AD1719" s="52" t="n">
        <x:f>IF(OR(R1719="No",U1719*S1719=0),"",AA1719/(U1719*S1719))</x:f>
        <x:v>0.010909369255912538</x:v>
      </x:c>
      <x:c r="AE1719" s="50" t="str">
        <x:f>IF(R1719="No","No finance data",IF(AB1719&gt;=10%,"Severe",IF(AB1719&gt;=5%,"High",IF(AB1719&gt;=2%,"Moderate","Low"))))</x:f>
        <x:v>Low</x:v>
      </x:c>
      <x:c r="AF1719" s="60" t="n">
        <x:v>36.926431</x:v>
      </x:c>
      <x:c r="AG1719" s="60" t="n">
        <x:v>-80.020614</x:v>
      </x:c>
      <x:c r="AH1719" s="44" t="str">
        <x:v>Undergraduate tuition-contribution proxy only; not an audited total institutional budget.</x:v>
      </x:c>
    </x:row>
    <x:row r="1720">
      <x:c r="A1720" s="16" t="n">
        <x:v>232186</x:v>
      </x:c>
      <x:c r="B1720" s="16" t="str">
        <x:v>George Mason University</x:v>
      </x:c>
      <x:c r="C1720" s="16" t="str">
        <x:v>VA</x:v>
      </x:c>
      <x:c r="D1720" s="16" t="str">
        <x:v>Public</x:v>
      </x:c>
      <x:c r="E1720" s="34" t="n">
        <x:v>22308</x:v>
      </x:c>
      <x:c r="F1720" s="21" t="n">
        <x:v>0.913</x:v>
      </x:c>
      <x:c r="G1720" s="16" t="str">
        <x:v>Statewide</x:v>
      </x:c>
      <x:c r="H1720" s="36" t="n">
        <x:f>IF(G1720="National",Assumptions!$B$11,IF(G1720="Statewide",Assumptions!$B$12,Assumptions!$B$13))</x:f>
        <x:v>0.6</x:v>
      </x:c>
      <x:c r="I1720" s="21" t="n">
        <x:v>-0.02712150785096279</x:v>
      </x:c>
      <x:c r="J1720" s="21" t="n">
        <x:v>-0.00693331779648676</x:v>
      </x:c>
      <x:c r="K1720" s="21" t="n">
        <x:v>-0.0873656305532089</x:v>
      </x:c>
      <x:c r="L1720" s="36" t="n">
        <x:f>IF(Assumptions!$B$4=2030,I1720,IF(Assumptions!$B$4=2035,J1720,K1720))</x:f>
        <x:v>-0.00693331779648676</x:v>
      </x:c>
      <x:c r="M1720" s="36" t="n">
        <x:f>Assumptions!$B$19</x:f>
        <x:v>-0.04739891965741583</x:v>
      </x:c>
      <x:c r="N1720" s="52" t="n">
        <x:f>H1720*L1720+(1-H1720)*M1720+O1720</x:f>
        <x:v>-0.02311955854085839</x:v>
      </x:c>
      <x:c r="O1720" s="36" t="n">
        <x:f>Assumptions!$B$10</x:f>
        <x:v>0</x:v>
      </x:c>
      <x:c r="P1720" s="54" t="n">
        <x:f>E1720*(1+N1720)</x:f>
        <x:v>21792.24888807053</x:v>
      </x:c>
      <x:c r="Q1720" s="54" t="n">
        <x:f>P1720-E1720</x:f>
        <x:v>-515.7511119294686</x:v>
      </x:c>
      <x:c r="R1720" s="16" t="str">
        <x:v>Yes</x:v>
      </x:c>
      <x:c r="S1720" s="56" t="n">
        <x:v>12312</x:v>
      </x:c>
      <x:c r="T1720" s="56" t="n">
        <x:v>12967</x:v>
      </x:c>
      <x:c r="U1720" s="40" t="n">
        <x:f>E1720*Assumptions!$B$8</x:f>
        <x:v>18961.8</x:v>
      </x:c>
      <x:c r="V1720" s="40" t="n">
        <x:f>P1720*Assumptions!$B$8</x:f>
        <x:v>18523.41155485995</x:v>
      </x:c>
      <x:c r="W1720" s="54" t="n">
        <x:f>V1720-U1720</x:f>
        <x:v>-438.38844514004813</x:v>
      </x:c>
      <x:c r="X1720" s="58" t="n">
        <x:f>IF(R1720="No","",W1720*S1720)</x:f>
        <x:v>-5397438.536564273</x:v>
      </x:c>
      <x:c r="Y1720" s="58" t="n">
        <x:f>IF(R1720="No","",W1720*T1720*Assumptions!$B$9)</x:f>
        <x:v>-1705374.890439301</x:v>
      </x:c>
      <x:c r="Z1720" s="58" t="n">
        <x:f>IF(R1720="No","",X1720-Y1720)</x:f>
        <x:v>-3692063.646124972</x:v>
      </x:c>
      <x:c r="AA1720" s="58" t="n">
        <x:f>IF(R1720="No","",MAX(0,-Z1720))</x:f>
        <x:v>3692063.646124972</x:v>
      </x:c>
      <x:c r="AB1720" s="52" t="n">
        <x:f>IF(OR(R1720="No",U1720*S1720=0),"",AA1720/(U1720*S1720))</x:f>
        <x:v>0.015814701922941446</x:v>
      </x:c>
      <x:c r="AC1720" s="54" t="n">
        <x:f>IF(OR(R1720="No",S1720-T1720*Assumptions!$B$9&lt;=0),"",AA1720/(Assumptions!$B$8*(S1720-T1720*Assumptions!$B$9)))</x:f>
        <x:v>515.7511119294685</x:v>
      </x:c>
      <x:c r="AD1720" s="52" t="n">
        <x:f>IF(OR(R1720="No",U1720*S1720=0),"",AA1720/(U1720*S1720))</x:f>
        <x:v>0.015814701922941446</x:v>
      </x:c>
      <x:c r="AE1720" s="50" t="str">
        <x:f>IF(R1720="No","No finance data",IF(AB1720&gt;=10%,"Severe",IF(AB1720&gt;=5%,"High",IF(AB1720&gt;=2%,"Moderate","Low"))))</x:f>
        <x:v>Low</x:v>
      </x:c>
      <x:c r="AF1720" s="60" t="n">
        <x:v>38.83195</x:v>
      </x:c>
      <x:c r="AG1720" s="60" t="n">
        <x:v>-77.307063</x:v>
      </x:c>
      <x:c r="AH1720" s="44" t="str">
        <x:v>Undergraduate tuition-contribution proxy only; not an audited total institutional budget.</x:v>
      </x:c>
    </x:row>
    <x:row r="1721">
      <x:c r="A1721" s="16" t="n">
        <x:v>232256</x:v>
      </x:c>
      <x:c r="B1721" s="16" t="str">
        <x:v>Hampden-Sydney College</x:v>
      </x:c>
      <x:c r="C1721" s="16" t="str">
        <x:v>VA</x:v>
      </x:c>
      <x:c r="D1721" s="16" t="str">
        <x:v>Private nonprofit</x:v>
      </x:c>
      <x:c r="E1721" s="34" t="n">
        <x:v>1087</x:v>
      </x:c>
      <x:c r="F1721" s="21" t="n">
        <x:v>0.3681</x:v>
      </x:c>
      <x:c r="G1721" s="16" t="str">
        <x:v>Regional</x:v>
      </x:c>
      <x:c r="H1721" s="36" t="n">
        <x:f>IF(G1721="National",Assumptions!$B$11,IF(G1721="Statewide",Assumptions!$B$12,Assumptions!$B$13))</x:f>
        <x:v>0.85</x:v>
      </x:c>
      <x:c r="I1721" s="21" t="n">
        <x:v>-0.02712150785096279</x:v>
      </x:c>
      <x:c r="J1721" s="21" t="n">
        <x:v>-0.00693331779648676</x:v>
      </x:c>
      <x:c r="K1721" s="21" t="n">
        <x:v>-0.0873656305532089</x:v>
      </x:c>
      <x:c r="L1721" s="36" t="n">
        <x:f>IF(Assumptions!$B$4=2030,I1721,IF(Assumptions!$B$4=2035,J1721,K1721))</x:f>
        <x:v>-0.00693331779648676</x:v>
      </x:c>
      <x:c r="M1721" s="36" t="n">
        <x:f>Assumptions!$B$19</x:f>
        <x:v>-0.04739891965741583</x:v>
      </x:c>
      <x:c r="N1721" s="52" t="n">
        <x:f>H1721*L1721+(1-H1721)*M1721+O1721</x:f>
        <x:v>-0.01300315807562612</x:v>
      </x:c>
      <x:c r="O1721" s="36" t="n">
        <x:f>Assumptions!$B$10</x:f>
        <x:v>0</x:v>
      </x:c>
      <x:c r="P1721" s="54" t="n">
        <x:f>E1721*(1+N1721)</x:f>
        <x:v>1072.8655671717943</x:v>
      </x:c>
      <x:c r="Q1721" s="54" t="n">
        <x:f>P1721-E1721</x:f>
        <x:v>-14.134432828205718</x:v>
      </x:c>
      <x:c r="R1721" s="16" t="str">
        <x:v>Yes</x:v>
      </x:c>
      <x:c r="S1721" s="56" t="n">
        <x:v>17284</x:v>
      </x:c>
      <x:c r="T1721" s="56" t="n">
        <x:v>16701</x:v>
      </x:c>
      <x:c r="U1721" s="40" t="n">
        <x:f>E1721*Assumptions!$B$8</x:f>
        <x:v>923.9499999999999</x:v>
      </x:c>
      <x:c r="V1721" s="40" t="n">
        <x:f>P1721*Assumptions!$B$8</x:f>
        <x:v>911.9357320960252</x:v>
      </x:c>
      <x:c r="W1721" s="54" t="n">
        <x:f>V1721-U1721</x:f>
        <x:v>-12.014267903974769</x:v>
      </x:c>
      <x:c r="X1721" s="58" t="n">
        <x:f>IF(R1721="No","",W1721*S1721)</x:f>
        <x:v>-207654.60645229992</x:v>
      </x:c>
      <x:c r="Y1721" s="58" t="n">
        <x:f>IF(R1721="No","",W1721*T1721*Assumptions!$B$9)</x:f>
        <x:v>-60195.086479284786</x:v>
      </x:c>
      <x:c r="Z1721" s="58" t="n">
        <x:f>IF(R1721="No","",X1721-Y1721)</x:f>
        <x:v>-147459.51997301512</x:v>
      </x:c>
      <x:c r="AA1721" s="58" t="n">
        <x:f>IF(R1721="No","",MAX(0,-Z1721))</x:f>
        <x:v>147459.51997301512</x:v>
      </x:c>
      <x:c r="AB1721" s="52" t="n">
        <x:f>IF(OR(R1721="No",U1721*S1721=0),"",AA1721/(U1721*S1721))</x:f>
        <x:v>0.00923379201994981</x:v>
      </x:c>
      <x:c r="AC1721" s="54" t="n">
        <x:f>IF(OR(R1721="No",S1721-T1721*Assumptions!$B$9&lt;=0),"",AA1721/(Assumptions!$B$8*(S1721-T1721*Assumptions!$B$9)))</x:f>
        <x:v>14.13443282820561</x:v>
      </x:c>
      <x:c r="AD1721" s="52" t="n">
        <x:f>IF(OR(R1721="No",U1721*S1721=0),"",AA1721/(U1721*S1721))</x:f>
        <x:v>0.00923379201994981</x:v>
      </x:c>
      <x:c r="AE1721" s="50" t="str">
        <x:f>IF(R1721="No","No finance data",IF(AB1721&gt;=10%,"Severe",IF(AB1721&gt;=5%,"High",IF(AB1721&gt;=2%,"Moderate","Low"))))</x:f>
        <x:v>Low</x:v>
      </x:c>
      <x:c r="AF1721" s="60" t="n">
        <x:v>37.240615</x:v>
      </x:c>
      <x:c r="AG1721" s="60" t="n">
        <x:v>-78.464216</x:v>
      </x:c>
      <x:c r="AH1721" s="44" t="str">
        <x:v>Undergraduate tuition-contribution proxy only; not an audited total institutional budget.</x:v>
      </x:c>
    </x:row>
    <x:row r="1722">
      <x:c r="A1722" s="16" t="n">
        <x:v>232265</x:v>
      </x:c>
      <x:c r="B1722" s="16" t="str">
        <x:v>Hampton University</x:v>
      </x:c>
      <x:c r="C1722" s="16" t="str">
        <x:v>VA</x:v>
      </x:c>
      <x:c r="D1722" s="16" t="str">
        <x:v>Private nonprofit</x:v>
      </x:c>
      <x:c r="E1722" s="34" t="n">
        <x:v>3403</x:v>
      </x:c>
      <x:c r="F1722" s="21" t="n">
        <x:v>0.8012</x:v>
      </x:c>
      <x:c r="G1722" s="16" t="str">
        <x:v>Regional</x:v>
      </x:c>
      <x:c r="H1722" s="36" t="n">
        <x:f>IF(G1722="National",Assumptions!$B$11,IF(G1722="Statewide",Assumptions!$B$12,Assumptions!$B$13))</x:f>
        <x:v>0.85</x:v>
      </x:c>
      <x:c r="I1722" s="21" t="n">
        <x:v>-0.02712150785096279</x:v>
      </x:c>
      <x:c r="J1722" s="21" t="n">
        <x:v>-0.00693331779648676</x:v>
      </x:c>
      <x:c r="K1722" s="21" t="n">
        <x:v>-0.0873656305532089</x:v>
      </x:c>
      <x:c r="L1722" s="36" t="n">
        <x:f>IF(Assumptions!$B$4=2030,I1722,IF(Assumptions!$B$4=2035,J1722,K1722))</x:f>
        <x:v>-0.00693331779648676</x:v>
      </x:c>
      <x:c r="M1722" s="36" t="n">
        <x:f>Assumptions!$B$19</x:f>
        <x:v>-0.04739891965741583</x:v>
      </x:c>
      <x:c r="N1722" s="52" t="n">
        <x:f>H1722*L1722+(1-H1722)*M1722+O1722</x:f>
        <x:v>-0.01300315807562612</x:v>
      </x:c>
      <x:c r="O1722" s="36" t="n">
        <x:f>Assumptions!$B$10</x:f>
        <x:v>0</x:v>
      </x:c>
      <x:c r="P1722" s="54" t="n">
        <x:f>E1722*(1+N1722)</x:f>
        <x:v>3358.7502530686443</x:v>
      </x:c>
      <x:c r="Q1722" s="54" t="n">
        <x:f>P1722-E1722</x:f>
        <x:v>-44.24974693135573</x:v>
      </x:c>
      <x:c r="R1722" s="16" t="str">
        <x:v>Yes</x:v>
      </x:c>
      <x:c r="S1722" s="56" t="n">
        <x:v>17991</x:v>
      </x:c>
      <x:c r="T1722" s="56" t="n">
        <x:v>14522</x:v>
      </x:c>
      <x:c r="U1722" s="40" t="n">
        <x:f>E1722*Assumptions!$B$8</x:f>
        <x:v>2892.5499999999997</x:v>
      </x:c>
      <x:c r="V1722" s="40" t="n">
        <x:f>P1722*Assumptions!$B$8</x:f>
        <x:v>2854.9377151083477</x:v>
      </x:c>
      <x:c r="W1722" s="54" t="n">
        <x:f>V1722-U1722</x:f>
        <x:v>-37.61228489165205</x:v>
      </x:c>
      <x:c r="X1722" s="58" t="n">
        <x:f>IF(R1722="No","",W1722*S1722)</x:f>
        <x:v>-676682.617485712</x:v>
      </x:c>
      <x:c r="Y1722" s="58" t="n">
        <x:f>IF(R1722="No","",W1722*T1722*Assumptions!$B$9)</x:f>
        <x:v>-163861.68035897132</x:v>
      </x:c>
      <x:c r="Z1722" s="58" t="n">
        <x:f>IF(R1722="No","",X1722-Y1722)</x:f>
        <x:v>-512820.9371267407</x:v>
      </x:c>
      <x:c r="AA1722" s="58" t="n">
        <x:f>IF(R1722="No","",MAX(0,-Z1722))</x:f>
        <x:v>512820.9371267407</x:v>
      </x:c>
      <x:c r="AB1722" s="52" t="n">
        <x:f>IF(OR(R1722="No",U1722*S1722=0),"",AA1722/(U1722*S1722))</x:f>
        <x:v>0.009854385996682532</x:v>
      </x:c>
      <x:c r="AC1722" s="54" t="n">
        <x:f>IF(OR(R1722="No",S1722-T1722*Assumptions!$B$9&lt;=0),"",AA1722/(Assumptions!$B$8*(S1722-T1722*Assumptions!$B$9)))</x:f>
        <x:v>44.24974693135535</x:v>
      </x:c>
      <x:c r="AD1722" s="52" t="n">
        <x:f>IF(OR(R1722="No",U1722*S1722=0),"",AA1722/(U1722*S1722))</x:f>
        <x:v>0.009854385996682532</x:v>
      </x:c>
      <x:c r="AE1722" s="50" t="str">
        <x:f>IF(R1722="No","No finance data",IF(AB1722&gt;=10%,"Severe",IF(AB1722&gt;=5%,"High",IF(AB1722&gt;=2%,"Moderate","Low"))))</x:f>
        <x:v>Low</x:v>
      </x:c>
      <x:c r="AF1722" s="60" t="n">
        <x:v>37.019944</x:v>
      </x:c>
      <x:c r="AG1722" s="60" t="n">
        <x:v>-76.339161</x:v>
      </x:c>
      <x:c r="AH1722" s="44" t="str">
        <x:v>Undergraduate tuition-contribution proxy only; not an audited total institutional budget.</x:v>
      </x:c>
    </x:row>
    <x:row r="1723">
      <x:c r="A1723" s="16" t="n">
        <x:v>232308</x:v>
      </x:c>
      <x:c r="B1723" s="16" t="str">
        <x:v>Hollins University</x:v>
      </x:c>
      <x:c r="C1723" s="16" t="str">
        <x:v>VA</x:v>
      </x:c>
      <x:c r="D1723" s="16" t="str">
        <x:v>Private nonprofit</x:v>
      </x:c>
      <x:c r="E1723" s="34" t="n">
        <x:v>630</x:v>
      </x:c>
      <x:c r="F1723" s="21" t="n">
        <x:v>0.7472</x:v>
      </x:c>
      <x:c r="G1723" s="16" t="str">
        <x:v>Regional</x:v>
      </x:c>
      <x:c r="H1723" s="36" t="n">
        <x:f>IF(G1723="National",Assumptions!$B$11,IF(G1723="Statewide",Assumptions!$B$12,Assumptions!$B$13))</x:f>
        <x:v>0.85</x:v>
      </x:c>
      <x:c r="I1723" s="21" t="n">
        <x:v>-0.02712150785096279</x:v>
      </x:c>
      <x:c r="J1723" s="21" t="n">
        <x:v>-0.00693331779648676</x:v>
      </x:c>
      <x:c r="K1723" s="21" t="n">
        <x:v>-0.0873656305532089</x:v>
      </x:c>
      <x:c r="L1723" s="36" t="n">
        <x:f>IF(Assumptions!$B$4=2030,I1723,IF(Assumptions!$B$4=2035,J1723,K1723))</x:f>
        <x:v>-0.00693331779648676</x:v>
      </x:c>
      <x:c r="M1723" s="36" t="n">
        <x:f>Assumptions!$B$19</x:f>
        <x:v>-0.04739891965741583</x:v>
      </x:c>
      <x:c r="N1723" s="52" t="n">
        <x:f>H1723*L1723+(1-H1723)*M1723+O1723</x:f>
        <x:v>-0.01300315807562612</x:v>
      </x:c>
      <x:c r="O1723" s="36" t="n">
        <x:f>Assumptions!$B$10</x:f>
        <x:v>0</x:v>
      </x:c>
      <x:c r="P1723" s="54" t="n">
        <x:f>E1723*(1+N1723)</x:f>
        <x:v>621.8080104123555</x:v>
      </x:c>
      <x:c r="Q1723" s="54" t="n">
        <x:f>P1723-E1723</x:f>
        <x:v>-8.191989587644457</x:v>
      </x:c>
      <x:c r="R1723" s="16" t="str">
        <x:v>Yes</x:v>
      </x:c>
      <x:c r="S1723" s="56" t="n">
        <x:v>8722</x:v>
      </x:c>
      <x:c r="T1723" s="56" t="n">
        <x:v>13846</x:v>
      </x:c>
      <x:c r="U1723" s="40" t="n">
        <x:f>E1723*Assumptions!$B$8</x:f>
        <x:v>535.5</x:v>
      </x:c>
      <x:c r="V1723" s="40" t="n">
        <x:f>P1723*Assumptions!$B$8</x:f>
        <x:v>528.5368088505022</x:v>
      </x:c>
      <x:c r="W1723" s="54" t="n">
        <x:f>V1723-U1723</x:f>
        <x:v>-6.9631911494977885</x:v>
      </x:c>
      <x:c r="X1723" s="58" t="n">
        <x:f>IF(R1723="No","",W1723*S1723)</x:f>
        <x:v>-60732.95320591971</x:v>
      </x:c>
      <x:c r="Y1723" s="58" t="n">
        <x:f>IF(R1723="No","",W1723*T1723*Assumptions!$B$9)</x:f>
        <x:v>-28923.703396783912</x:v>
      </x:c>
      <x:c r="Z1723" s="58" t="n">
        <x:f>IF(R1723="No","",X1723-Y1723)</x:f>
        <x:v>-31809.249809135796</x:v>
      </x:c>
      <x:c r="AA1723" s="58" t="n">
        <x:f>IF(R1723="No","",MAX(0,-Z1723))</x:f>
        <x:v>31809.249809135796</x:v>
      </x:c>
      <x:c r="AB1723" s="52" t="n">
        <x:f>IF(OR(R1723="No",U1723*S1723=0),"",AA1723/(U1723*S1723))</x:f>
        <x:v>0.006810482311519749</x:v>
      </x:c>
      <x:c r="AC1723" s="54" t="n">
        <x:f>IF(OR(R1723="No",S1723-T1723*Assumptions!$B$9&lt;=0),"",AA1723/(Assumptions!$B$8*(S1723-T1723*Assumptions!$B$9)))</x:f>
        <x:v>8.191989587644457</x:v>
      </x:c>
      <x:c r="AD1723" s="52" t="n">
        <x:f>IF(OR(R1723="No",U1723*S1723=0),"",AA1723/(U1723*S1723))</x:f>
        <x:v>0.006810482311519749</x:v>
      </x:c>
      <x:c r="AE1723" s="50" t="str">
        <x:f>IF(R1723="No","No finance data",IF(AB1723&gt;=10%,"Severe",IF(AB1723&gt;=5%,"High",IF(AB1723&gt;=2%,"Moderate","Low"))))</x:f>
        <x:v>Low</x:v>
      </x:c>
      <x:c r="AF1723" s="60" t="n">
        <x:v>37.354201</x:v>
      </x:c>
      <x:c r="AG1723" s="60" t="n">
        <x:v>-79.943277</x:v>
      </x:c>
      <x:c r="AH1723" s="44" t="str">
        <x:v>Undergraduate tuition-contribution proxy only; not an audited total institutional budget.</x:v>
      </x:c>
    </x:row>
    <x:row r="1724">
      <x:c r="A1724" s="16" t="n">
        <x:v>232423</x:v>
      </x:c>
      <x:c r="B1724" s="16" t="str">
        <x:v>James Madison University</x:v>
      </x:c>
      <x:c r="C1724" s="16" t="str">
        <x:v>VA</x:v>
      </x:c>
      <x:c r="D1724" s="16" t="str">
        <x:v>Public</x:v>
      </x:c>
      <x:c r="E1724" s="34" t="n">
        <x:v>19019</x:v>
      </x:c>
      <x:c r="F1724" s="21" t="n">
        <x:v>0.8625</x:v>
      </x:c>
      <x:c r="G1724" s="16" t="str">
        <x:v>Statewide</x:v>
      </x:c>
      <x:c r="H1724" s="36" t="n">
        <x:f>IF(G1724="National",Assumptions!$B$11,IF(G1724="Statewide",Assumptions!$B$12,Assumptions!$B$13))</x:f>
        <x:v>0.6</x:v>
      </x:c>
      <x:c r="I1724" s="21" t="n">
        <x:v>-0.02712150785096279</x:v>
      </x:c>
      <x:c r="J1724" s="21" t="n">
        <x:v>-0.00693331779648676</x:v>
      </x:c>
      <x:c r="K1724" s="21" t="n">
        <x:v>-0.0873656305532089</x:v>
      </x:c>
      <x:c r="L1724" s="36" t="n">
        <x:f>IF(Assumptions!$B$4=2030,I1724,IF(Assumptions!$B$4=2035,J1724,K1724))</x:f>
        <x:v>-0.00693331779648676</x:v>
      </x:c>
      <x:c r="M1724" s="36" t="n">
        <x:f>Assumptions!$B$19</x:f>
        <x:v>-0.04739891965741583</x:v>
      </x:c>
      <x:c r="N1724" s="52" t="n">
        <x:f>H1724*L1724+(1-H1724)*M1724+O1724</x:f>
        <x:v>-0.02311955854085839</x:v>
      </x:c>
      <x:c r="O1724" s="36" t="n">
        <x:f>Assumptions!$B$10</x:f>
        <x:v>0</x:v>
      </x:c>
      <x:c r="P1724" s="54" t="n">
        <x:f>E1724*(1+N1724)</x:f>
        <x:v>18579.289116111417</x:v>
      </x:c>
      <x:c r="Q1724" s="54" t="n">
        <x:f>P1724-E1724</x:f>
        <x:v>-439.71088388858334</x:v>
      </x:c>
      <x:c r="R1724" s="16" t="str">
        <x:v>Yes</x:v>
      </x:c>
      <x:c r="S1724" s="56" t="n">
        <x:v>10561</x:v>
      </x:c>
      <x:c r="T1724" s="56" t="n">
        <x:v>9104</x:v>
      </x:c>
      <x:c r="U1724" s="40" t="n">
        <x:f>E1724*Assumptions!$B$8</x:f>
        <x:v>16166.15</x:v>
      </x:c>
      <x:c r="V1724" s="40" t="n">
        <x:f>P1724*Assumptions!$B$8</x:f>
        <x:v>15792.395748694704</x:v>
      </x:c>
      <x:c r="W1724" s="54" t="n">
        <x:f>V1724-U1724</x:f>
        <x:v>-373.75425130529584</x:v>
      </x:c>
      <x:c r="X1724" s="58" t="n">
        <x:f>IF(R1724="No","",W1724*S1724)</x:f>
        <x:v>-3947218.648035229</x:v>
      </x:c>
      <x:c r="Y1724" s="58" t="n">
        <x:f>IF(R1724="No","",W1724*T1724*Assumptions!$B$9)</x:f>
        <x:v>-1020797.6111650239</x:v>
      </x:c>
      <x:c r="Z1724" s="58" t="n">
        <x:f>IF(R1724="No","",X1724-Y1724)</x:f>
        <x:v>-2926421.0368702053</x:v>
      </x:c>
      <x:c r="AA1724" s="58" t="n">
        <x:f>IF(R1724="No","",MAX(0,-Z1724))</x:f>
        <x:v>2926421.0368702053</x:v>
      </x:c>
      <x:c r="AB1724" s="52" t="n">
        <x:f>IF(OR(R1724="No",U1724*S1724=0),"",AA1724/(U1724*S1724))</x:f>
        <x:v>0.01714056618343074</x:v>
      </x:c>
      <x:c r="AC1724" s="54" t="n">
        <x:f>IF(OR(R1724="No",S1724-T1724*Assumptions!$B$9&lt;=0),"",AA1724/(Assumptions!$B$8*(S1724-T1724*Assumptions!$B$9)))</x:f>
        <x:v>439.71088388858334</x:v>
      </x:c>
      <x:c r="AD1724" s="52" t="n">
        <x:f>IF(OR(R1724="No",U1724*S1724=0),"",AA1724/(U1724*S1724))</x:f>
        <x:v>0.01714056618343074</x:v>
      </x:c>
      <x:c r="AE1724" s="50" t="str">
        <x:f>IF(R1724="No","No finance data",IF(AB1724&gt;=10%,"Severe",IF(AB1724&gt;=5%,"High",IF(AB1724&gt;=2%,"Moderate","Low"))))</x:f>
        <x:v>Low</x:v>
      </x:c>
      <x:c r="AF1724" s="60" t="n">
        <x:v>38.436311</x:v>
      </x:c>
      <x:c r="AG1724" s="60" t="n">
        <x:v>-78.870484</x:v>
      </x:c>
      <x:c r="AH1724" s="44" t="str">
        <x:v>Undergraduate tuition-contribution proxy only; not an audited total institutional budget.</x:v>
      </x:c>
    </x:row>
    <x:row r="1725">
      <x:c r="A1725" s="16" t="n">
        <x:v>231837</x:v>
      </x:c>
      <x:c r="B1725" s="16" t="str">
        <x:v>Jefferson College of Health Sciences</x:v>
      </x:c>
      <x:c r="C1725" s="16" t="str">
        <x:v>VA</x:v>
      </x:c>
      <x:c r="D1725" s="16" t="str">
        <x:v>Private nonprofit</x:v>
      </x:c>
      <x:c r="E1725" s="34" t="n">
        <x:v>798</x:v>
      </x:c>
      <x:c r="F1725" s="21"/>
      <x:c r="G1725" s="16" t="str">
        <x:v>Regional</x:v>
      </x:c>
      <x:c r="H1725" s="36" t="n">
        <x:f>IF(G1725="National",Assumptions!$B$11,IF(G1725="Statewide",Assumptions!$B$12,Assumptions!$B$13))</x:f>
        <x:v>0.85</x:v>
      </x:c>
      <x:c r="I1725" s="21" t="n">
        <x:v>-0.02712150785096279</x:v>
      </x:c>
      <x:c r="J1725" s="21" t="n">
        <x:v>-0.00693331779648676</x:v>
      </x:c>
      <x:c r="K1725" s="21" t="n">
        <x:v>-0.0873656305532089</x:v>
      </x:c>
      <x:c r="L1725" s="36" t="n">
        <x:f>IF(Assumptions!$B$4=2030,I1725,IF(Assumptions!$B$4=2035,J1725,K1725))</x:f>
        <x:v>-0.00693331779648676</x:v>
      </x:c>
      <x:c r="M1725" s="36" t="n">
        <x:f>Assumptions!$B$19</x:f>
        <x:v>-0.04739891965741583</x:v>
      </x:c>
      <x:c r="N1725" s="52" t="n">
        <x:f>H1725*L1725+(1-H1725)*M1725+O1725</x:f>
        <x:v>-0.01300315807562612</x:v>
      </x:c>
      <x:c r="O1725" s="36" t="n">
        <x:f>Assumptions!$B$10</x:f>
        <x:v>0</x:v>
      </x:c>
      <x:c r="P1725" s="54" t="n">
        <x:f>E1725*(1+N1725)</x:f>
        <x:v>787.6234798556503</x:v>
      </x:c>
      <x:c r="Q1725" s="54" t="n">
        <x:f>P1725-E1725</x:f>
        <x:v>-10.376520144349684</x:v>
      </x:c>
      <x:c r="R1725" s="16" t="str">
        <x:v>No</x:v>
      </x:c>
      <x:c r="S1725" s="56"/>
      <x:c r="T1725" s="56"/>
      <x:c r="U1725" s="40" t="n">
        <x:f>E1725*Assumptions!$B$8</x:f>
        <x:v>678.3</x:v>
      </x:c>
      <x:c r="V1725" s="40" t="n">
        <x:f>P1725*Assumptions!$B$8</x:f>
        <x:v>669.4799578773027</x:v>
      </x:c>
      <x:c r="W1725" s="54" t="n">
        <x:f>V1725-U1725</x:f>
        <x:v>-8.82004212269726</x:v>
      </x:c>
      <x:c r="X1725" s="58" t="str">
        <x:f>IF(R1725="No","",W1725*S1725)</x:f>
      </x:c>
      <x:c r="Y1725" s="58" t="str">
        <x:f>IF(R1725="No","",W1725*T1725*Assumptions!$B$9)</x:f>
      </x:c>
      <x:c r="Z1725" s="58" t="str">
        <x:f>IF(R1725="No","",X1725-Y1725)</x:f>
      </x:c>
      <x:c r="AA1725" s="58" t="str">
        <x:f>IF(R1725="No","",MAX(0,-Z1725))</x:f>
      </x:c>
      <x:c r="AB1725" s="52" t="str">
        <x:f>IF(OR(R1725="No",U1725*S1725=0),"",AA1725/(U1725*S1725))</x:f>
      </x:c>
      <x:c r="AC1725" s="54" t="str">
        <x:f>IF(OR(R1725="No",S1725-T1725*Assumptions!$B$9&lt;=0),"",AA1725/(Assumptions!$B$8*(S1725-T1725*Assumptions!$B$9)))</x:f>
      </x:c>
      <x:c r="AD1725" s="52" t="str">
        <x:f>IF(OR(R1725="No",U1725*S1725=0),"",AA1725/(U1725*S1725))</x:f>
      </x:c>
      <x:c r="AE1725" s="50" t="str">
        <x:f>IF(R1725="No","No finance data",IF(AB1725&gt;=10%,"Severe",IF(AB1725&gt;=5%,"High",IF(AB1725&gt;=2%,"Moderate","Low"))))</x:f>
        <x:v>No finance data</x:v>
      </x:c>
      <x:c r="AF1725" s="60"/>
      <x:c r="AG1725" s="60"/>
      <x:c r="AH1725" s="44" t="str">
        <x:v>Undergraduate tuition-contribution proxy only; not an audited total institutional budget.</x:v>
      </x:c>
    </x:row>
    <x:row r="1726">
      <x:c r="A1726" s="16" t="n">
        <x:v>232557</x:v>
      </x:c>
      <x:c r="B1726" s="16" t="str">
        <x:v>Liberty University</x:v>
      </x:c>
      <x:c r="C1726" s="16" t="str">
        <x:v>VA</x:v>
      </x:c>
      <x:c r="D1726" s="16" t="str">
        <x:v>Private nonprofit</x:v>
      </x:c>
      <x:c r="E1726" s="34" t="n">
        <x:v>49542</x:v>
      </x:c>
      <x:c r="F1726" s="21" t="n">
        <x:v>0.9928</x:v>
      </x:c>
      <x:c r="G1726" s="16" t="str">
        <x:v>National</x:v>
      </x:c>
      <x:c r="H1726" s="36" t="n">
        <x:f>IF(G1726="National",Assumptions!$B$11,IF(G1726="Statewide",Assumptions!$B$12,Assumptions!$B$13))</x:f>
        <x:v>0.25</x:v>
      </x:c>
      <x:c r="I1726" s="21" t="n">
        <x:v>-0.02712150785096279</x:v>
      </x:c>
      <x:c r="J1726" s="21" t="n">
        <x:v>-0.00693331779648676</x:v>
      </x:c>
      <x:c r="K1726" s="21" t="n">
        <x:v>-0.0873656305532089</x:v>
      </x:c>
      <x:c r="L1726" s="36" t="n">
        <x:f>IF(Assumptions!$B$4=2030,I1726,IF(Assumptions!$B$4=2035,J1726,K1726))</x:f>
        <x:v>-0.00693331779648676</x:v>
      </x:c>
      <x:c r="M1726" s="36" t="n">
        <x:f>Assumptions!$B$19</x:f>
        <x:v>-0.04739891965741583</x:v>
      </x:c>
      <x:c r="N1726" s="52" t="n">
        <x:f>H1726*L1726+(1-H1726)*M1726+O1726</x:f>
        <x:v>-0.03728251919218356</x:v>
      </x:c>
      <x:c r="O1726" s="36" t="n">
        <x:f>Assumptions!$B$10</x:f>
        <x:v>0</x:v>
      </x:c>
      <x:c r="P1726" s="54" t="n">
        <x:f>E1726*(1+N1726)</x:f>
        <x:v>47694.949434180846</x:v>
      </x:c>
      <x:c r="Q1726" s="54" t="n">
        <x:f>P1726-E1726</x:f>
        <x:v>-1847.0505658191541</x:v>
      </x:c>
      <x:c r="R1726" s="16" t="str">
        <x:v>Yes</x:v>
      </x:c>
      <x:c r="S1726" s="56" t="n">
        <x:v>11801</x:v>
      </x:c>
      <x:c r="T1726" s="56" t="n">
        <x:v>3479</x:v>
      </x:c>
      <x:c r="U1726" s="40" t="n">
        <x:f>E1726*Assumptions!$B$8</x:f>
        <x:v>42110.7</x:v>
      </x:c>
      <x:c r="V1726" s="40" t="n">
        <x:f>P1726*Assumptions!$B$8</x:f>
        <x:v>40540.70701905372</x:v>
      </x:c>
      <x:c r="W1726" s="54" t="n">
        <x:f>V1726-U1726</x:f>
        <x:v>-1569.9929809462774</x:v>
      </x:c>
      <x:c r="X1726" s="58" t="n">
        <x:f>IF(R1726="No","",W1726*S1726)</x:f>
        <x:v>-18527487.16814702</x:v>
      </x:c>
      <x:c r="Y1726" s="58" t="n">
        <x:f>IF(R1726="No","",W1726*T1726*Assumptions!$B$9)</x:f>
        <x:v>-1638601.6742136294</x:v>
      </x:c>
      <x:c r="Z1726" s="58" t="n">
        <x:f>IF(R1726="No","",X1726-Y1726)</x:f>
        <x:v>-16888885.49393339</x:v>
      </x:c>
      <x:c r="AA1726" s="58" t="n">
        <x:f>IF(R1726="No","",MAX(0,-Z1726))</x:f>
        <x:v>16888885.49393339</x:v>
      </x:c>
      <x:c r="AB1726" s="52" t="n">
        <x:f>IF(OR(R1726="No",U1726*S1726=0),"",AA1726/(U1726*S1726))</x:f>
        <x:v>0.033985191399548725</x:v>
      </x:c>
      <x:c r="AC1726" s="54" t="n">
        <x:f>IF(OR(R1726="No",S1726-T1726*Assumptions!$B$9&lt;=0),"",AA1726/(Assumptions!$B$8*(S1726-T1726*Assumptions!$B$9)))</x:f>
        <x:v>1847.05056581915</x:v>
      </x:c>
      <x:c r="AD1726" s="52" t="n">
        <x:f>IF(OR(R1726="No",U1726*S1726=0),"",AA1726/(U1726*S1726))</x:f>
        <x:v>0.033985191399548725</x:v>
      </x:c>
      <x:c r="AE1726" s="50" t="str">
        <x:f>IF(R1726="No","No finance data",IF(AB1726&gt;=10%,"Severe",IF(AB1726&gt;=5%,"High",IF(AB1726&gt;=2%,"Moderate","Low"))))</x:f>
        <x:v>Moderate</x:v>
      </x:c>
      <x:c r="AF1726" s="60" t="n">
        <x:v>37.350232</x:v>
      </x:c>
      <x:c r="AG1726" s="60" t="n">
        <x:v>-79.18222</x:v>
      </x:c>
      <x:c r="AH1726" s="44" t="str">
        <x:v>Undergraduate tuition-contribution proxy only; not an audited total institutional budget.</x:v>
      </x:c>
    </x:row>
    <x:row r="1727">
      <x:c r="A1727" s="16" t="n">
        <x:v>232566</x:v>
      </x:c>
      <x:c r="B1727" s="16" t="str">
        <x:v>Longwood University</x:v>
      </x:c>
      <x:c r="C1727" s="16" t="str">
        <x:v>VA</x:v>
      </x:c>
      <x:c r="D1727" s="16" t="str">
        <x:v>Public</x:v>
      </x:c>
      <x:c r="E1727" s="34" t="n">
        <x:v>4399</x:v>
      </x:c>
      <x:c r="F1727" s="21" t="n">
        <x:v>0.8998</x:v>
      </x:c>
      <x:c r="G1727" s="16" t="str">
        <x:v>Regional</x:v>
      </x:c>
      <x:c r="H1727" s="36" t="n">
        <x:f>IF(G1727="National",Assumptions!$B$11,IF(G1727="Statewide",Assumptions!$B$12,Assumptions!$B$13))</x:f>
        <x:v>0.85</x:v>
      </x:c>
      <x:c r="I1727" s="21" t="n">
        <x:v>-0.02712150785096279</x:v>
      </x:c>
      <x:c r="J1727" s="21" t="n">
        <x:v>-0.00693331779648676</x:v>
      </x:c>
      <x:c r="K1727" s="21" t="n">
        <x:v>-0.0873656305532089</x:v>
      </x:c>
      <x:c r="L1727" s="36" t="n">
        <x:f>IF(Assumptions!$B$4=2030,I1727,IF(Assumptions!$B$4=2035,J1727,K1727))</x:f>
        <x:v>-0.00693331779648676</x:v>
      </x:c>
      <x:c r="M1727" s="36" t="n">
        <x:f>Assumptions!$B$19</x:f>
        <x:v>-0.04739891965741583</x:v>
      </x:c>
      <x:c r="N1727" s="52" t="n">
        <x:f>H1727*L1727+(1-H1727)*M1727+O1727</x:f>
        <x:v>-0.01300315807562612</x:v>
      </x:c>
      <x:c r="O1727" s="36" t="n">
        <x:f>Assumptions!$B$10</x:f>
        <x:v>0</x:v>
      </x:c>
      <x:c r="P1727" s="54" t="n">
        <x:f>E1727*(1+N1727)</x:f>
        <x:v>4341.799107625321</x:v>
      </x:c>
      <x:c r="Q1727" s="54" t="n">
        <x:f>P1727-E1727</x:f>
        <x:v>-57.200892374678915</x:v>
      </x:c>
      <x:c r="R1727" s="16" t="str">
        <x:v>Yes</x:v>
      </x:c>
      <x:c r="S1727" s="56" t="n">
        <x:v>6668</x:v>
      </x:c>
      <x:c r="T1727" s="56" t="n">
        <x:v>8003</x:v>
      </x:c>
      <x:c r="U1727" s="40" t="n">
        <x:f>E1727*Assumptions!$B$8</x:f>
        <x:v>3739.15</x:v>
      </x:c>
      <x:c r="V1727" s="40" t="n">
        <x:f>P1727*Assumptions!$B$8</x:f>
        <x:v>3690.5292414815226</x:v>
      </x:c>
      <x:c r="W1727" s="54" t="n">
        <x:f>V1727-U1727</x:f>
        <x:v>-48.62075851847749</x:v>
      </x:c>
      <x:c r="X1727" s="58" t="n">
        <x:f>IF(R1727="No","",W1727*S1727)</x:f>
        <x:v>-324203.2178012079</x:v>
      </x:c>
      <x:c r="Y1727" s="58" t="n">
        <x:f>IF(R1727="No","",W1727*T1727*Assumptions!$B$9)</x:f>
        <x:v>-116733.57912701259</x:v>
      </x:c>
      <x:c r="Z1727" s="58" t="n">
        <x:f>IF(R1727="No","",X1727-Y1727)</x:f>
        <x:v>-207469.63867419533</x:v>
      </x:c>
      <x:c r="AA1727" s="58" t="n">
        <x:f>IF(R1727="No","",MAX(0,-Z1727))</x:f>
        <x:v>207469.63867419533</x:v>
      </x:c>
      <x:c r="AB1727" s="52" t="n">
        <x:f>IF(OR(R1727="No",U1727*S1727=0),"",AA1727/(U1727*S1727))</x:f>
        <x:v>0.008321202133248998</x:v>
      </x:c>
      <x:c r="AC1727" s="54" t="n">
        <x:f>IF(OR(R1727="No",S1727-T1727*Assumptions!$B$9&lt;=0),"",AA1727/(Assumptions!$B$8*(S1727-T1727*Assumptions!$B$9)))</x:f>
        <x:v>57.200892374679405</x:v>
      </x:c>
      <x:c r="AD1727" s="52" t="n">
        <x:f>IF(OR(R1727="No",U1727*S1727=0),"",AA1727/(U1727*S1727))</x:f>
        <x:v>0.008321202133248998</x:v>
      </x:c>
      <x:c r="AE1727" s="50" t="str">
        <x:f>IF(R1727="No","No finance data",IF(AB1727&gt;=10%,"Severe",IF(AB1727&gt;=5%,"High",IF(AB1727&gt;=2%,"Moderate","Low"))))</x:f>
        <x:v>Low</x:v>
      </x:c>
      <x:c r="AF1727" s="60" t="n">
        <x:v>37.297975</x:v>
      </x:c>
      <x:c r="AG1727" s="60" t="n">
        <x:v>-78.396987</x:v>
      </x:c>
      <x:c r="AH1727" s="44" t="str">
        <x:v>Undergraduate tuition-contribution proxy only; not an audited total institutional budget.</x:v>
      </x:c>
    </x:row>
    <x:row r="1728">
      <x:c r="A1728" s="16" t="n">
        <x:v>232609</x:v>
      </x:c>
      <x:c r="B1728" s="16" t="str">
        <x:v>Lynchburg College</x:v>
      </x:c>
      <x:c r="C1728" s="16" t="str">
        <x:v>VA</x:v>
      </x:c>
      <x:c r="D1728" s="16" t="str">
        <x:v>Private nonprofit</x:v>
      </x:c>
      <x:c r="E1728" s="34" t="n">
        <x:v>2064</x:v>
      </x:c>
      <x:c r="F1728" s="21" t="n">
        <x:v>0.9687</x:v>
      </x:c>
      <x:c r="G1728" s="16" t="str">
        <x:v>Regional</x:v>
      </x:c>
      <x:c r="H1728" s="36" t="n">
        <x:f>IF(G1728="National",Assumptions!$B$11,IF(G1728="Statewide",Assumptions!$B$12,Assumptions!$B$13))</x:f>
        <x:v>0.85</x:v>
      </x:c>
      <x:c r="I1728" s="21" t="n">
        <x:v>-0.02712150785096279</x:v>
      </x:c>
      <x:c r="J1728" s="21" t="n">
        <x:v>-0.00693331779648676</x:v>
      </x:c>
      <x:c r="K1728" s="21" t="n">
        <x:v>-0.0873656305532089</x:v>
      </x:c>
      <x:c r="L1728" s="36" t="n">
        <x:f>IF(Assumptions!$B$4=2030,I1728,IF(Assumptions!$B$4=2035,J1728,K1728))</x:f>
        <x:v>-0.00693331779648676</x:v>
      </x:c>
      <x:c r="M1728" s="36" t="n">
        <x:f>Assumptions!$B$19</x:f>
        <x:v>-0.04739891965741583</x:v>
      </x:c>
      <x:c r="N1728" s="52" t="n">
        <x:f>H1728*L1728+(1-H1728)*M1728+O1728</x:f>
        <x:v>-0.01300315807562612</x:v>
      </x:c>
      <x:c r="O1728" s="36" t="n">
        <x:f>Assumptions!$B$10</x:f>
        <x:v>0</x:v>
      </x:c>
      <x:c r="P1728" s="54" t="n">
        <x:f>E1728*(1+N1728)</x:f>
        <x:v>2037.1614817319078</x:v>
      </x:c>
      <x:c r="Q1728" s="54" t="n">
        <x:f>P1728-E1728</x:f>
        <x:v>-26.83851826809223</x:v>
      </x:c>
      <x:c r="R1728" s="16" t="str">
        <x:v>Yes</x:v>
      </x:c>
      <x:c r="S1728" s="56" t="n">
        <x:v>16675</x:v>
      </x:c>
      <x:c r="T1728" s="56" t="n">
        <x:v>10948</x:v>
      </x:c>
      <x:c r="U1728" s="40" t="n">
        <x:f>E1728*Assumptions!$B$8</x:f>
        <x:v>1754.3999999999999</x:v>
      </x:c>
      <x:c r="V1728" s="40" t="n">
        <x:f>P1728*Assumptions!$B$8</x:f>
        <x:v>1731.5872594721216</x:v>
      </x:c>
      <x:c r="W1728" s="54" t="n">
        <x:f>V1728-U1728</x:f>
        <x:v>-22.812740527878304</x:v>
      </x:c>
      <x:c r="X1728" s="58" t="n">
        <x:f>IF(R1728="No","",W1728*S1728)</x:f>
        <x:v>-380402.4483023707</x:v>
      </x:c>
      <x:c r="Y1728" s="58" t="n">
        <x:f>IF(R1728="No","",W1728*T1728*Assumptions!$B$9)</x:f>
        <x:v>-74926.1649897635</x:v>
      </x:c>
      <x:c r="Z1728" s="58" t="n">
        <x:f>IF(R1728="No","",X1728-Y1728)</x:f>
        <x:v>-305476.2833126072</x:v>
      </x:c>
      <x:c r="AA1728" s="58" t="n">
        <x:f>IF(R1728="No","",MAX(0,-Z1728))</x:f>
        <x:v>305476.2833126072</x:v>
      </x:c>
      <x:c r="AB1728" s="52" t="n">
        <x:f>IF(OR(R1728="No",U1728*S1728=0),"",AA1728/(U1728*S1728))</x:f>
        <x:v>0.01044198431948893</x:v>
      </x:c>
      <x:c r="AC1728" s="54" t="n">
        <x:f>IF(OR(R1728="No",S1728-T1728*Assumptions!$B$9&lt;=0),"",AA1728/(Assumptions!$B$8*(S1728-T1728*Assumptions!$B$9)))</x:f>
        <x:v>26.83851826809212</x:v>
      </x:c>
      <x:c r="AD1728" s="52" t="n">
        <x:f>IF(OR(R1728="No",U1728*S1728=0),"",AA1728/(U1728*S1728))</x:f>
        <x:v>0.01044198431948893</x:v>
      </x:c>
      <x:c r="AE1728" s="50" t="str">
        <x:f>IF(R1728="No","No finance data",IF(AB1728&gt;=10%,"Severe",IF(AB1728&gt;=5%,"High",IF(AB1728&gt;=2%,"Moderate","Low"))))</x:f>
        <x:v>Low</x:v>
      </x:c>
      <x:c r="AF1728" s="60" t="n">
        <x:v>37.399774</x:v>
      </x:c>
      <x:c r="AG1728" s="60" t="n">
        <x:v>-79.181653</x:v>
      </x:c>
      <x:c r="AH1728" s="44" t="str">
        <x:v>Undergraduate tuition-contribution proxy only; not an audited total institutional budget.</x:v>
      </x:c>
    </x:row>
    <x:row r="1729">
      <x:c r="A1729" s="16" t="n">
        <x:v>232672</x:v>
      </x:c>
      <x:c r="B1729" s="16" t="str">
        <x:v>Mary Baldwin University</x:v>
      </x:c>
      <x:c r="C1729" s="16" t="str">
        <x:v>VA</x:v>
      </x:c>
      <x:c r="D1729" s="16" t="str">
        <x:v>Private nonprofit</x:v>
      </x:c>
      <x:c r="E1729" s="34" t="n">
        <x:v>1265</x:v>
      </x:c>
      <x:c r="F1729" s="21"/>
      <x:c r="G1729" s="16" t="str">
        <x:v>Regional</x:v>
      </x:c>
      <x:c r="H1729" s="36" t="n">
        <x:f>IF(G1729="National",Assumptions!$B$11,IF(G1729="Statewide",Assumptions!$B$12,Assumptions!$B$13))</x:f>
        <x:v>0.85</x:v>
      </x:c>
      <x:c r="I1729" s="21" t="n">
        <x:v>-0.02712150785096279</x:v>
      </x:c>
      <x:c r="J1729" s="21" t="n">
        <x:v>-0.00693331779648676</x:v>
      </x:c>
      <x:c r="K1729" s="21" t="n">
        <x:v>-0.0873656305532089</x:v>
      </x:c>
      <x:c r="L1729" s="36" t="n">
        <x:f>IF(Assumptions!$B$4=2030,I1729,IF(Assumptions!$B$4=2035,J1729,K1729))</x:f>
        <x:v>-0.00693331779648676</x:v>
      </x:c>
      <x:c r="M1729" s="36" t="n">
        <x:f>Assumptions!$B$19</x:f>
        <x:v>-0.04739891965741583</x:v>
      </x:c>
      <x:c r="N1729" s="52" t="n">
        <x:f>H1729*L1729+(1-H1729)*M1729+O1729</x:f>
        <x:v>-0.01300315807562612</x:v>
      </x:c>
      <x:c r="O1729" s="36" t="n">
        <x:f>Assumptions!$B$10</x:f>
        <x:v>0</x:v>
      </x:c>
      <x:c r="P1729" s="54" t="n">
        <x:f>E1729*(1+N1729)</x:f>
        <x:v>1248.551005034333</x:v>
      </x:c>
      <x:c r="Q1729" s="54" t="n">
        <x:f>P1729-E1729</x:f>
        <x:v>-16.448994965666998</x:v>
      </x:c>
      <x:c r="R1729" s="16" t="str">
        <x:v>Yes</x:v>
      </x:c>
      <x:c r="S1729" s="56" t="n">
        <x:v>12679</x:v>
      </x:c>
      <x:c r="T1729" s="56" t="n">
        <x:v>7672</x:v>
      </x:c>
      <x:c r="U1729" s="40" t="n">
        <x:f>E1729*Assumptions!$B$8</x:f>
        <x:v>1075.25</x:v>
      </x:c>
      <x:c r="V1729" s="40" t="n">
        <x:f>P1729*Assumptions!$B$8</x:f>
        <x:v>1061.268354279183</x:v>
      </x:c>
      <x:c r="W1729" s="54" t="n">
        <x:f>V1729-U1729</x:f>
        <x:v>-13.981645720816914</x:v>
      </x:c>
      <x:c r="X1729" s="58" t="n">
        <x:f>IF(R1729="No","",W1729*S1729)</x:f>
        <x:v>-177273.28609423764</x:v>
      </x:c>
      <x:c r="Y1729" s="58" t="n">
        <x:f>IF(R1729="No","",W1729*T1729*Assumptions!$B$9)</x:f>
        <x:v>-32180.155791032208</x:v>
      </x:c>
      <x:c r="Z1729" s="58" t="n">
        <x:f>IF(R1729="No","",X1729-Y1729)</x:f>
        <x:v>-145093.13030320543</x:v>
      </x:c>
      <x:c r="AA1729" s="58" t="n">
        <x:f>IF(R1729="No","",MAX(0,-Z1729))</x:f>
        <x:v>145093.13030320543</x:v>
      </x:c>
      <x:c r="AB1729" s="52" t="n">
        <x:f>IF(OR(R1729="No",U1729*S1729=0),"",AA1729/(U1729*S1729))</x:f>
        <x:v>0.010642714142598137</x:v>
      </x:c>
      <x:c r="AC1729" s="54" t="n">
        <x:f>IF(OR(R1729="No",S1729-T1729*Assumptions!$B$9&lt;=0),"",AA1729/(Assumptions!$B$8*(S1729-T1729*Assumptions!$B$9)))</x:f>
        <x:v>16.44899496566696</x:v>
      </x:c>
      <x:c r="AD1729" s="52" t="n">
        <x:f>IF(OR(R1729="No",U1729*S1729=0),"",AA1729/(U1729*S1729))</x:f>
        <x:v>0.010642714142598137</x:v>
      </x:c>
      <x:c r="AE1729" s="50" t="str">
        <x:f>IF(R1729="No","No finance data",IF(AB1729&gt;=10%,"Severe",IF(AB1729&gt;=5%,"High",IF(AB1729&gt;=2%,"Moderate","Low"))))</x:f>
        <x:v>Low</x:v>
      </x:c>
      <x:c r="AF1729" s="60" t="n">
        <x:v>38.153884</x:v>
      </x:c>
      <x:c r="AG1729" s="60" t="n">
        <x:v>-79.069273</x:v>
      </x:c>
      <x:c r="AH1729" s="44" t="str">
        <x:v>Undergraduate tuition-contribution proxy only; not an audited total institutional budget.</x:v>
      </x:c>
    </x:row>
    <x:row r="1730">
      <x:c r="A1730" s="16" t="n">
        <x:v>232706</x:v>
      </x:c>
      <x:c r="B1730" s="16" t="str">
        <x:v>Marymount University</x:v>
      </x:c>
      <x:c r="C1730" s="16" t="str">
        <x:v>VA</x:v>
      </x:c>
      <x:c r="D1730" s="16" t="str">
        <x:v>Private nonprofit</x:v>
      </x:c>
      <x:c r="E1730" s="34" t="n">
        <x:v>2305</x:v>
      </x:c>
      <x:c r="F1730" s="21" t="n">
        <x:v>0.8366</x:v>
      </x:c>
      <x:c r="G1730" s="16" t="str">
        <x:v>Regional</x:v>
      </x:c>
      <x:c r="H1730" s="36" t="n">
        <x:f>IF(G1730="National",Assumptions!$B$11,IF(G1730="Statewide",Assumptions!$B$12,Assumptions!$B$13))</x:f>
        <x:v>0.85</x:v>
      </x:c>
      <x:c r="I1730" s="21" t="n">
        <x:v>-0.02712150785096279</x:v>
      </x:c>
      <x:c r="J1730" s="21" t="n">
        <x:v>-0.00693331779648676</x:v>
      </x:c>
      <x:c r="K1730" s="21" t="n">
        <x:v>-0.0873656305532089</x:v>
      </x:c>
      <x:c r="L1730" s="36" t="n">
        <x:f>IF(Assumptions!$B$4=2030,I1730,IF(Assumptions!$B$4=2035,J1730,K1730))</x:f>
        <x:v>-0.00693331779648676</x:v>
      </x:c>
      <x:c r="M1730" s="36" t="n">
        <x:f>Assumptions!$B$19</x:f>
        <x:v>-0.04739891965741583</x:v>
      </x:c>
      <x:c r="N1730" s="52" t="n">
        <x:f>H1730*L1730+(1-H1730)*M1730+O1730</x:f>
        <x:v>-0.01300315807562612</x:v>
      </x:c>
      <x:c r="O1730" s="36" t="n">
        <x:f>Assumptions!$B$10</x:f>
        <x:v>0</x:v>
      </x:c>
      <x:c r="P1730" s="54" t="n">
        <x:f>E1730*(1+N1730)</x:f>
        <x:v>2275.027720635682</x:v>
      </x:c>
      <x:c r="Q1730" s="54" t="n">
        <x:f>P1730-E1730</x:f>
        <x:v>-29.972279364318183</x:v>
      </x:c>
      <x:c r="R1730" s="16" t="str">
        <x:v>Yes</x:v>
      </x:c>
      <x:c r="S1730" s="56" t="n">
        <x:v>22309</x:v>
      </x:c>
      <x:c r="T1730" s="56" t="n">
        <x:v>9461</x:v>
      </x:c>
      <x:c r="U1730" s="40" t="n">
        <x:f>E1730*Assumptions!$B$8</x:f>
        <x:v>1959.25</x:v>
      </x:c>
      <x:c r="V1730" s="40" t="n">
        <x:f>P1730*Assumptions!$B$8</x:f>
        <x:v>1933.7735625403295</x:v>
      </x:c>
      <x:c r="W1730" s="54" t="n">
        <x:f>V1730-U1730</x:f>
        <x:v>-25.47643745967048</x:v>
      </x:c>
      <x:c r="X1730" s="58" t="n">
        <x:f>IF(R1730="No","",W1730*S1730)</x:f>
        <x:v>-568353.8432877887</x:v>
      </x:c>
      <x:c r="Y1730" s="58" t="n">
        <x:f>IF(R1730="No","",W1730*T1730*Assumptions!$B$9)</x:f>
        <x:v>-72309.77244178271</x:v>
      </x:c>
      <x:c r="Z1730" s="58" t="n">
        <x:f>IF(R1730="No","",X1730-Y1730)</x:f>
        <x:v>-496044.070846006</x:v>
      </x:c>
      <x:c r="AA1730" s="58" t="n">
        <x:f>IF(R1730="No","",MAX(0,-Z1730))</x:f>
        <x:v>496044.070846006</x:v>
      </x:c>
      <x:c r="AB1730" s="52" t="n">
        <x:f>IF(OR(R1730="No",U1730*S1730=0),"",AA1730/(U1730*S1730))</x:f>
        <x:v>0.011348809446550428</x:v>
      </x:c>
      <x:c r="AC1730" s="54" t="n">
        <x:f>IF(OR(R1730="No",S1730-T1730*Assumptions!$B$9&lt;=0),"",AA1730/(Assumptions!$B$8*(S1730-T1730*Assumptions!$B$9)))</x:f>
        <x:v>29.972279364318208</x:v>
      </x:c>
      <x:c r="AD1730" s="52" t="n">
        <x:f>IF(OR(R1730="No",U1730*S1730=0),"",AA1730/(U1730*S1730))</x:f>
        <x:v>0.011348809446550428</x:v>
      </x:c>
      <x:c r="AE1730" s="50" t="str">
        <x:f>IF(R1730="No","No finance data",IF(AB1730&gt;=10%,"Severe",IF(AB1730&gt;=5%,"High",IF(AB1730&gt;=2%,"Moderate","Low"))))</x:f>
        <x:v>Low</x:v>
      </x:c>
      <x:c r="AF1730" s="60" t="n">
        <x:v>38.905562</x:v>
      </x:c>
      <x:c r="AG1730" s="60" t="n">
        <x:v>-77.128785</x:v>
      </x:c>
      <x:c r="AH1730" s="44" t="str">
        <x:v>Undergraduate tuition-contribution proxy only; not an audited total institutional budget.</x:v>
      </x:c>
    </x:row>
    <x:row r="1731">
      <x:c r="A1731" s="16" t="n">
        <x:v>232937</x:v>
      </x:c>
      <x:c r="B1731" s="16" t="str">
        <x:v>Norfolk State University</x:v>
      </x:c>
      <x:c r="C1731" s="16" t="str">
        <x:v>VA</x:v>
      </x:c>
      <x:c r="D1731" s="16" t="str">
        <x:v>Public</x:v>
      </x:c>
      <x:c r="E1731" s="34" t="n">
        <x:v>4477</x:v>
      </x:c>
      <x:c r="F1731" s="21" t="n">
        <x:v>0.8864</x:v>
      </x:c>
      <x:c r="G1731" s="16" t="str">
        <x:v>Regional</x:v>
      </x:c>
      <x:c r="H1731" s="36" t="n">
        <x:f>IF(G1731="National",Assumptions!$B$11,IF(G1731="Statewide",Assumptions!$B$12,Assumptions!$B$13))</x:f>
        <x:v>0.85</x:v>
      </x:c>
      <x:c r="I1731" s="21" t="n">
        <x:v>-0.02712150785096279</x:v>
      </x:c>
      <x:c r="J1731" s="21" t="n">
        <x:v>-0.00693331779648676</x:v>
      </x:c>
      <x:c r="K1731" s="21" t="n">
        <x:v>-0.0873656305532089</x:v>
      </x:c>
      <x:c r="L1731" s="36" t="n">
        <x:f>IF(Assumptions!$B$4=2030,I1731,IF(Assumptions!$B$4=2035,J1731,K1731))</x:f>
        <x:v>-0.00693331779648676</x:v>
      </x:c>
      <x:c r="M1731" s="36" t="n">
        <x:f>Assumptions!$B$19</x:f>
        <x:v>-0.04739891965741583</x:v>
      </x:c>
      <x:c r="N1731" s="52" t="n">
        <x:f>H1731*L1731+(1-H1731)*M1731+O1731</x:f>
        <x:v>-0.01300315807562612</x:v>
      </x:c>
      <x:c r="O1731" s="36" t="n">
        <x:f>Assumptions!$B$10</x:f>
        <x:v>0</x:v>
      </x:c>
      <x:c r="P1731" s="54" t="n">
        <x:f>E1731*(1+N1731)</x:f>
        <x:v>4418.784861295422</x:v>
      </x:c>
      <x:c r="Q1731" s="54" t="n">
        <x:f>P1731-E1731</x:f>
        <x:v>-58.21513870457784</x:v>
      </x:c>
      <x:c r="R1731" s="16" t="str">
        <x:v>Yes</x:v>
      </x:c>
      <x:c r="S1731" s="56" t="n">
        <x:v>5508</x:v>
      </x:c>
      <x:c r="T1731" s="56" t="n">
        <x:v>11280</x:v>
      </x:c>
      <x:c r="U1731" s="40" t="n">
        <x:f>E1731*Assumptions!$B$8</x:f>
        <x:v>3805.45</x:v>
      </x:c>
      <x:c r="V1731" s="40" t="n">
        <x:f>P1731*Assumptions!$B$8</x:f>
        <x:v>3755.9671321011087</x:v>
      </x:c>
      <x:c r="W1731" s="54" t="n">
        <x:f>V1731-U1731</x:f>
        <x:v>-49.48286789889107</x:v>
      </x:c>
      <x:c r="X1731" s="58" t="n">
        <x:f>IF(R1731="No","",W1731*S1731)</x:f>
        <x:v>-272551.636387092</x:v>
      </x:c>
      <x:c r="Y1731" s="58" t="n">
        <x:f>IF(R1731="No","",W1731*T1731*Assumptions!$B$9)</x:f>
        <x:v>-167450.02496984738</x:v>
      </x:c>
      <x:c r="Z1731" s="58" t="n">
        <x:f>IF(R1731="No","",X1731-Y1731)</x:f>
        <x:v>-105101.61141724463</x:v>
      </x:c>
      <x:c r="AA1731" s="58" t="n">
        <x:f>IF(R1731="No","",MAX(0,-Z1731))</x:f>
        <x:v>105101.61141724463</x:v>
      </x:c>
      <x:c r="AB1731" s="52" t="n">
        <x:f>IF(OR(R1731="No",U1731*S1731=0),"",AA1731/(U1731*S1731))</x:f>
        <x:v>0.005014289715437489</x:v>
      </x:c>
      <x:c r="AC1731" s="54" t="n">
        <x:f>IF(OR(R1731="No",S1731-T1731*Assumptions!$B$9&lt;=0),"",AA1731/(Assumptions!$B$8*(S1731-T1731*Assumptions!$B$9)))</x:f>
        <x:v>58.21513870457773</x:v>
      </x:c>
      <x:c r="AD1731" s="52" t="n">
        <x:f>IF(OR(R1731="No",U1731*S1731=0),"",AA1731/(U1731*S1731))</x:f>
        <x:v>0.005014289715437489</x:v>
      </x:c>
      <x:c r="AE1731" s="50" t="str">
        <x:f>IF(R1731="No","No finance data",IF(AB1731&gt;=10%,"Severe",IF(AB1731&gt;=5%,"High",IF(AB1731&gt;=2%,"Moderate","Low"))))</x:f>
        <x:v>Low</x:v>
      </x:c>
      <x:c r="AF1731" s="60" t="n">
        <x:v>36.848429</x:v>
      </x:c>
      <x:c r="AG1731" s="60" t="n">
        <x:v>-76.261375</x:v>
      </x:c>
      <x:c r="AH1731" s="44" t="str">
        <x:v>Undergraduate tuition-contribution proxy only; not an audited total institutional budget.</x:v>
      </x:c>
    </x:row>
    <x:row r="1732">
      <x:c r="A1732" s="16" t="n">
        <x:v>232982</x:v>
      </x:c>
      <x:c r="B1732" s="16" t="str">
        <x:v>Old Dominion University</x:v>
      </x:c>
      <x:c r="C1732" s="16" t="str">
        <x:v>VA</x:v>
      </x:c>
      <x:c r="D1732" s="16" t="str">
        <x:v>Public</x:v>
      </x:c>
      <x:c r="E1732" s="34" t="n">
        <x:v>19870</x:v>
      </x:c>
      <x:c r="F1732" s="21" t="n">
        <x:v>0.9623</x:v>
      </x:c>
      <x:c r="G1732" s="16" t="str">
        <x:v>Statewide</x:v>
      </x:c>
      <x:c r="H1732" s="36" t="n">
        <x:f>IF(G1732="National",Assumptions!$B$11,IF(G1732="Statewide",Assumptions!$B$12,Assumptions!$B$13))</x:f>
        <x:v>0.6</x:v>
      </x:c>
      <x:c r="I1732" s="21" t="n">
        <x:v>-0.02712150785096279</x:v>
      </x:c>
      <x:c r="J1732" s="21" t="n">
        <x:v>-0.00693331779648676</x:v>
      </x:c>
      <x:c r="K1732" s="21" t="n">
        <x:v>-0.0873656305532089</x:v>
      </x:c>
      <x:c r="L1732" s="36" t="n">
        <x:f>IF(Assumptions!$B$4=2030,I1732,IF(Assumptions!$B$4=2035,J1732,K1732))</x:f>
        <x:v>-0.00693331779648676</x:v>
      </x:c>
      <x:c r="M1732" s="36" t="n">
        <x:f>Assumptions!$B$19</x:f>
        <x:v>-0.04739891965741583</x:v>
      </x:c>
      <x:c r="N1732" s="52" t="n">
        <x:f>H1732*L1732+(1-H1732)*M1732+O1732</x:f>
        <x:v>-0.02311955854085839</x:v>
      </x:c>
      <x:c r="O1732" s="36" t="n">
        <x:f>Assumptions!$B$10</x:f>
        <x:v>0</x:v>
      </x:c>
      <x:c r="P1732" s="54" t="n">
        <x:f>E1732*(1+N1732)</x:f>
        <x:v>19410.614371793145</x:v>
      </x:c>
      <x:c r="Q1732" s="54" t="n">
        <x:f>P1732-E1732</x:f>
        <x:v>-459.3856282068555</x:v>
      </x:c>
      <x:c r="R1732" s="16" t="str">
        <x:v>Yes</x:v>
      </x:c>
      <x:c r="S1732" s="56" t="n">
        <x:v>7821</x:v>
      </x:c>
      <x:c r="T1732" s="56" t="n">
        <x:v>11212</x:v>
      </x:c>
      <x:c r="U1732" s="40" t="n">
        <x:f>E1732*Assumptions!$B$8</x:f>
        <x:v>16889.5</x:v>
      </x:c>
      <x:c r="V1732" s="40" t="n">
        <x:f>P1732*Assumptions!$B$8</x:f>
        <x:v>16499.022216024172</x:v>
      </x:c>
      <x:c r="W1732" s="54" t="n">
        <x:f>V1732-U1732</x:f>
        <x:v>-390.47778397582806</x:v>
      </x:c>
      <x:c r="X1732" s="58" t="n">
        <x:f>IF(R1732="No","",W1732*S1732)</x:f>
        <x:v>-3053926.7484749514</x:v>
      </x:c>
      <x:c r="Y1732" s="58" t="n">
        <x:f>IF(R1732="No","",W1732*T1732*Assumptions!$B$9)</x:f>
        <x:v>-1313411.074181095</x:v>
      </x:c>
      <x:c r="Z1732" s="58" t="n">
        <x:f>IF(R1732="No","",X1732-Y1732)</x:f>
        <x:v>-1740515.6742938564</x:v>
      </x:c>
      <x:c r="AA1732" s="58" t="n">
        <x:f>IF(R1732="No","",MAX(0,-Z1732))</x:f>
        <x:v>1740515.6742938564</x:v>
      </x:c>
      <x:c r="AB1732" s="52" t="n">
        <x:f>IF(OR(R1732="No",U1732*S1732=0),"",AA1732/(U1732*S1732))</x:f>
        <x:v>0.013176463398545234</x:v>
      </x:c>
      <x:c r="AC1732" s="54" t="n">
        <x:f>IF(OR(R1732="No",S1732-T1732*Assumptions!$B$9&lt;=0),"",AA1732/(Assumptions!$B$8*(S1732-T1732*Assumptions!$B$9)))</x:f>
        <x:v>459.3856282068567</x:v>
      </x:c>
      <x:c r="AD1732" s="52" t="n">
        <x:f>IF(OR(R1732="No",U1732*S1732=0),"",AA1732/(U1732*S1732))</x:f>
        <x:v>0.013176463398545234</x:v>
      </x:c>
      <x:c r="AE1732" s="50" t="str">
        <x:f>IF(R1732="No","No finance data",IF(AB1732&gt;=10%,"Severe",IF(AB1732&gt;=5%,"High",IF(AB1732&gt;=2%,"Moderate","Low"))))</x:f>
        <x:v>Low</x:v>
      </x:c>
      <x:c r="AF1732" s="60" t="n">
        <x:v>36.886418</x:v>
      </x:c>
      <x:c r="AG1732" s="60" t="n">
        <x:v>-76.30666</x:v>
      </x:c>
      <x:c r="AH1732" s="44" t="str">
        <x:v>Undergraduate tuition-contribution proxy only; not an audited total institutional budget.</x:v>
      </x:c>
    </x:row>
    <x:row r="1733">
      <x:c r="A1733" s="16" t="n">
        <x:v>233277</x:v>
      </x:c>
      <x:c r="B1733" s="16" t="str">
        <x:v>Radford University</x:v>
      </x:c>
      <x:c r="C1733" s="16" t="str">
        <x:v>VA</x:v>
      </x:c>
      <x:c r="D1733" s="16" t="str">
        <x:v>Public</x:v>
      </x:c>
      <x:c r="E1733" s="34" t="n">
        <x:v>8839</x:v>
      </x:c>
      <x:c r="F1733" s="21" t="n">
        <x:v>0.9531</x:v>
      </x:c>
      <x:c r="G1733" s="16" t="str">
        <x:v>Statewide</x:v>
      </x:c>
      <x:c r="H1733" s="36" t="n">
        <x:f>IF(G1733="National",Assumptions!$B$11,IF(G1733="Statewide",Assumptions!$B$12,Assumptions!$B$13))</x:f>
        <x:v>0.6</x:v>
      </x:c>
      <x:c r="I1733" s="21" t="n">
        <x:v>-0.02712150785096279</x:v>
      </x:c>
      <x:c r="J1733" s="21" t="n">
        <x:v>-0.00693331779648676</x:v>
      </x:c>
      <x:c r="K1733" s="21" t="n">
        <x:v>-0.0873656305532089</x:v>
      </x:c>
      <x:c r="L1733" s="36" t="n">
        <x:f>IF(Assumptions!$B$4=2030,I1733,IF(Assumptions!$B$4=2035,J1733,K1733))</x:f>
        <x:v>-0.00693331779648676</x:v>
      </x:c>
      <x:c r="M1733" s="36" t="n">
        <x:f>Assumptions!$B$19</x:f>
        <x:v>-0.04739891965741583</x:v>
      </x:c>
      <x:c r="N1733" s="52" t="n">
        <x:f>H1733*L1733+(1-H1733)*M1733+O1733</x:f>
        <x:v>-0.02311955854085839</x:v>
      </x:c>
      <x:c r="O1733" s="36" t="n">
        <x:f>Assumptions!$B$10</x:f>
        <x:v>0</x:v>
      </x:c>
      <x:c r="P1733" s="54" t="n">
        <x:f>E1733*(1+N1733)</x:f>
        <x:v>8634.646222057354</x:v>
      </x:c>
      <x:c r="Q1733" s="54" t="n">
        <x:f>P1733-E1733</x:f>
        <x:v>-204.35377794264605</x:v>
      </x:c>
      <x:c r="R1733" s="16" t="str">
        <x:v>Yes</x:v>
      </x:c>
      <x:c r="S1733" s="56" t="n">
        <x:v>8196</x:v>
      </x:c>
      <x:c r="T1733" s="56" t="n">
        <x:v>11883</x:v>
      </x:c>
      <x:c r="U1733" s="40" t="n">
        <x:f>E1733*Assumptions!$B$8</x:f>
        <x:v>7513.15</x:v>
      </x:c>
      <x:c r="V1733" s="40" t="n">
        <x:f>P1733*Assumptions!$B$8</x:f>
        <x:v>7339.44928874875</x:v>
      </x:c>
      <x:c r="W1733" s="54" t="n">
        <x:f>V1733-U1733</x:f>
        <x:v>-173.70071125124923</x:v>
      </x:c>
      <x:c r="X1733" s="58" t="n">
        <x:f>IF(R1733="No","",W1733*S1733)</x:f>
        <x:v>-1423651.0294152386</x:v>
      </x:c>
      <x:c r="Y1733" s="58" t="n">
        <x:f>IF(R1733="No","",W1733*T1733*Assumptions!$B$9)</x:f>
        <x:v>-619225.6655395784</x:v>
      </x:c>
      <x:c r="Z1733" s="58" t="n">
        <x:f>IF(R1733="No","",X1733-Y1733)</x:f>
        <x:v>-804425.3638756602</x:v>
      </x:c>
      <x:c r="AA1733" s="58" t="n">
        <x:f>IF(R1733="No","",MAX(0,-Z1733))</x:f>
        <x:v>804425.3638756602</x:v>
      </x:c>
      <x:c r="AB1733" s="52" t="n">
        <x:f>IF(OR(R1733="No",U1733*S1733=0),"",AA1733/(U1733*S1733))</x:f>
        <x:v>0.013063566075960063</x:v>
      </x:c>
      <x:c r="AC1733" s="54" t="n">
        <x:f>IF(OR(R1733="No",S1733-T1733*Assumptions!$B$9&lt;=0),"",AA1733/(Assumptions!$B$8*(S1733-T1733*Assumptions!$B$9)))</x:f>
        <x:v>204.3537779426461</x:v>
      </x:c>
      <x:c r="AD1733" s="52" t="n">
        <x:f>IF(OR(R1733="No",U1733*S1733=0),"",AA1733/(U1733*S1733))</x:f>
        <x:v>0.013063566075960063</x:v>
      </x:c>
      <x:c r="AE1733" s="50" t="str">
        <x:f>IF(R1733="No","No finance data",IF(AB1733&gt;=10%,"Severe",IF(AB1733&gt;=5%,"High",IF(AB1733&gt;=2%,"Moderate","Low"))))</x:f>
        <x:v>Low</x:v>
      </x:c>
      <x:c r="AF1733" s="60" t="n">
        <x:v>37.136907</x:v>
      </x:c>
      <x:c r="AG1733" s="60" t="n">
        <x:v>-80.549728</x:v>
      </x:c>
      <x:c r="AH1733" s="44" t="str">
        <x:v>Undergraduate tuition-contribution proxy only; not an audited total institutional budget.</x:v>
      </x:c>
    </x:row>
    <x:row r="1734">
      <x:c r="A1734" s="16" t="n">
        <x:v>233301</x:v>
      </x:c>
      <x:c r="B1734" s="16" t="str">
        <x:v>Randolph College</x:v>
      </x:c>
      <x:c r="C1734" s="16" t="str">
        <x:v>VA</x:v>
      </x:c>
      <x:c r="D1734" s="16" t="str">
        <x:v>Private nonprofit</x:v>
      </x:c>
      <x:c r="E1734" s="34" t="n">
        <x:v>665</x:v>
      </x:c>
      <x:c r="F1734" s="21"/>
      <x:c r="G1734" s="16" t="str">
        <x:v>Regional</x:v>
      </x:c>
      <x:c r="H1734" s="36" t="n">
        <x:f>IF(G1734="National",Assumptions!$B$11,IF(G1734="Statewide",Assumptions!$B$12,Assumptions!$B$13))</x:f>
        <x:v>0.85</x:v>
      </x:c>
      <x:c r="I1734" s="21" t="n">
        <x:v>-0.02712150785096279</x:v>
      </x:c>
      <x:c r="J1734" s="21" t="n">
        <x:v>-0.00693331779648676</x:v>
      </x:c>
      <x:c r="K1734" s="21" t="n">
        <x:v>-0.0873656305532089</x:v>
      </x:c>
      <x:c r="L1734" s="36" t="n">
        <x:f>IF(Assumptions!$B$4=2030,I1734,IF(Assumptions!$B$4=2035,J1734,K1734))</x:f>
        <x:v>-0.00693331779648676</x:v>
      </x:c>
      <x:c r="M1734" s="36" t="n">
        <x:f>Assumptions!$B$19</x:f>
        <x:v>-0.04739891965741583</x:v>
      </x:c>
      <x:c r="N1734" s="52" t="n">
        <x:f>H1734*L1734+(1-H1734)*M1734+O1734</x:f>
        <x:v>-0.01300315807562612</x:v>
      </x:c>
      <x:c r="O1734" s="36" t="n">
        <x:f>Assumptions!$B$10</x:f>
        <x:v>0</x:v>
      </x:c>
      <x:c r="P1734" s="54" t="n">
        <x:f>E1734*(1+N1734)</x:f>
        <x:v>656.3528998797086</x:v>
      </x:c>
      <x:c r="Q1734" s="54" t="n">
        <x:f>P1734-E1734</x:f>
        <x:v>-8.647100120291384</x:v>
      </x:c>
      <x:c r="R1734" s="16" t="str">
        <x:v>No</x:v>
      </x:c>
      <x:c r="S1734" s="56"/>
      <x:c r="T1734" s="56"/>
      <x:c r="U1734" s="40" t="n">
        <x:f>E1734*Assumptions!$B$8</x:f>
        <x:v>565.25</x:v>
      </x:c>
      <x:c r="V1734" s="40" t="n">
        <x:f>P1734*Assumptions!$B$8</x:f>
        <x:v>557.8999648977523</x:v>
      </x:c>
      <x:c r="W1734" s="54" t="n">
        <x:f>V1734-U1734</x:f>
        <x:v>-7.350035102247716</x:v>
      </x:c>
      <x:c r="X1734" s="58" t="str">
        <x:f>IF(R1734="No","",W1734*S1734)</x:f>
      </x:c>
      <x:c r="Y1734" s="58" t="str">
        <x:f>IF(R1734="No","",W1734*T1734*Assumptions!$B$9)</x:f>
      </x:c>
      <x:c r="Z1734" s="58" t="str">
        <x:f>IF(R1734="No","",X1734-Y1734)</x:f>
      </x:c>
      <x:c r="AA1734" s="58" t="str">
        <x:f>IF(R1734="No","",MAX(0,-Z1734))</x:f>
      </x:c>
      <x:c r="AB1734" s="52" t="str">
        <x:f>IF(OR(R1734="No",U1734*S1734=0),"",AA1734/(U1734*S1734))</x:f>
      </x:c>
      <x:c r="AC1734" s="54" t="str">
        <x:f>IF(OR(R1734="No",S1734-T1734*Assumptions!$B$9&lt;=0),"",AA1734/(Assumptions!$B$8*(S1734-T1734*Assumptions!$B$9)))</x:f>
      </x:c>
      <x:c r="AD1734" s="52" t="str">
        <x:f>IF(OR(R1734="No",U1734*S1734=0),"",AA1734/(U1734*S1734))</x:f>
      </x:c>
      <x:c r="AE1734" s="50" t="str">
        <x:f>IF(R1734="No","No finance data",IF(AB1734&gt;=10%,"Severe",IF(AB1734&gt;=5%,"High",IF(AB1734&gt;=2%,"Moderate","Low"))))</x:f>
        <x:v>No finance data</x:v>
      </x:c>
      <x:c r="AF1734" s="60"/>
      <x:c r="AG1734" s="60"/>
      <x:c r="AH1734" s="44" t="str">
        <x:v>Undergraduate tuition-contribution proxy only; not an audited total institutional budget.</x:v>
      </x:c>
    </x:row>
    <x:row r="1735">
      <x:c r="A1735" s="16" t="n">
        <x:v>233295</x:v>
      </x:c>
      <x:c r="B1735" s="16" t="str">
        <x:v>Randolph-Macon College</x:v>
      </x:c>
      <x:c r="C1735" s="16" t="str">
        <x:v>VA</x:v>
      </x:c>
      <x:c r="D1735" s="16" t="str">
        <x:v>Private nonprofit</x:v>
      </x:c>
      <x:c r="E1735" s="34" t="n">
        <x:v>1405</x:v>
      </x:c>
      <x:c r="F1735" s="21" t="n">
        <x:v>0.8382</x:v>
      </x:c>
      <x:c r="G1735" s="16" t="str">
        <x:v>Regional</x:v>
      </x:c>
      <x:c r="H1735" s="36" t="n">
        <x:f>IF(G1735="National",Assumptions!$B$11,IF(G1735="Statewide",Assumptions!$B$12,Assumptions!$B$13))</x:f>
        <x:v>0.85</x:v>
      </x:c>
      <x:c r="I1735" s="21" t="n">
        <x:v>-0.02712150785096279</x:v>
      </x:c>
      <x:c r="J1735" s="21" t="n">
        <x:v>-0.00693331779648676</x:v>
      </x:c>
      <x:c r="K1735" s="21" t="n">
        <x:v>-0.0873656305532089</x:v>
      </x:c>
      <x:c r="L1735" s="36" t="n">
        <x:f>IF(Assumptions!$B$4=2030,I1735,IF(Assumptions!$B$4=2035,J1735,K1735))</x:f>
        <x:v>-0.00693331779648676</x:v>
      </x:c>
      <x:c r="M1735" s="36" t="n">
        <x:f>Assumptions!$B$19</x:f>
        <x:v>-0.04739891965741583</x:v>
      </x:c>
      <x:c r="N1735" s="52" t="n">
        <x:f>H1735*L1735+(1-H1735)*M1735+O1735</x:f>
        <x:v>-0.01300315807562612</x:v>
      </x:c>
      <x:c r="O1735" s="36" t="n">
        <x:f>Assumptions!$B$10</x:f>
        <x:v>0</x:v>
      </x:c>
      <x:c r="P1735" s="54" t="n">
        <x:f>E1735*(1+N1735)</x:f>
        <x:v>1386.7305629037453</x:v>
      </x:c>
      <x:c r="Q1735" s="54" t="n">
        <x:f>P1735-E1735</x:f>
        <x:v>-18.269437096254705</x:v>
      </x:c>
      <x:c r="R1735" s="16" t="str">
        <x:v>Yes</x:v>
      </x:c>
      <x:c r="S1735" s="56" t="n">
        <x:v>18056</x:v>
      </x:c>
      <x:c r="T1735" s="56" t="n">
        <x:v>11100</x:v>
      </x:c>
      <x:c r="U1735" s="40" t="n">
        <x:f>E1735*Assumptions!$B$8</x:f>
        <x:v>1194.25</x:v>
      </x:c>
      <x:c r="V1735" s="40" t="n">
        <x:f>P1735*Assumptions!$B$8</x:f>
        <x:v>1178.7209784681834</x:v>
      </x:c>
      <x:c r="W1735" s="54" t="n">
        <x:f>V1735-U1735</x:f>
        <x:v>-15.529021531816625</x:v>
      </x:c>
      <x:c r="X1735" s="58" t="n">
        <x:f>IF(R1735="No","",W1735*S1735)</x:f>
        <x:v>-280392.012778481</x:v>
      </x:c>
      <x:c r="Y1735" s="58" t="n">
        <x:f>IF(R1735="No","",W1735*T1735*Assumptions!$B$9)</x:f>
        <x:v>-51711.64170094936</x:v>
      </x:c>
      <x:c r="Z1735" s="58" t="n">
        <x:f>IF(R1735="No","",X1735-Y1735)</x:f>
        <x:v>-228680.37107753166</x:v>
      </x:c>
      <x:c r="AA1735" s="58" t="n">
        <x:f>IF(R1735="No","",MAX(0,-Z1735))</x:f>
        <x:v>228680.37107753166</x:v>
      </x:c>
      <x:c r="AB1735" s="52" t="n">
        <x:f>IF(OR(R1735="No",U1735*S1735=0),"",AA1735/(U1735*S1735))</x:f>
        <x:v>0.010605034660039427</x:v>
      </x:c>
      <x:c r="AC1735" s="54" t="n">
        <x:f>IF(OR(R1735="No",S1735-T1735*Assumptions!$B$9&lt;=0),"",AA1735/(Assumptions!$B$8*(S1735-T1735*Assumptions!$B$9)))</x:f>
        <x:v>18.269437096254855</x:v>
      </x:c>
      <x:c r="AD1735" s="52" t="n">
        <x:f>IF(OR(R1735="No",U1735*S1735=0),"",AA1735/(U1735*S1735))</x:f>
        <x:v>0.010605034660039427</x:v>
      </x:c>
      <x:c r="AE1735" s="50" t="str">
        <x:f>IF(R1735="No","No finance data",IF(AB1735&gt;=10%,"Severe",IF(AB1735&gt;=5%,"High",IF(AB1735&gt;=2%,"Moderate","Low"))))</x:f>
        <x:v>Low</x:v>
      </x:c>
      <x:c r="AF1735" s="60" t="n">
        <x:v>37.76043</x:v>
      </x:c>
      <x:c r="AG1735" s="60" t="n">
        <x:v>-77.478416</x:v>
      </x:c>
      <x:c r="AH1735" s="44" t="str">
        <x:v>Undergraduate tuition-contribution proxy only; not an audited total institutional budget.</x:v>
      </x:c>
    </x:row>
    <x:row r="1736">
      <x:c r="A1736" s="16" t="n">
        <x:v>231651</x:v>
      </x:c>
      <x:c r="B1736" s="16" t="str">
        <x:v>Regent University</x:v>
      </x:c>
      <x:c r="C1736" s="16" t="str">
        <x:v>VA</x:v>
      </x:c>
      <x:c r="D1736" s="16" t="str">
        <x:v>Private nonprofit</x:v>
      </x:c>
      <x:c r="E1736" s="34" t="n">
        <x:v>2736</x:v>
      </x:c>
      <x:c r="F1736" s="21" t="n">
        <x:v>0.4071</x:v>
      </x:c>
      <x:c r="G1736" s="16" t="str">
        <x:v>Regional</x:v>
      </x:c>
      <x:c r="H1736" s="36" t="n">
        <x:f>IF(G1736="National",Assumptions!$B$11,IF(G1736="Statewide",Assumptions!$B$12,Assumptions!$B$13))</x:f>
        <x:v>0.85</x:v>
      </x:c>
      <x:c r="I1736" s="21" t="n">
        <x:v>-0.02712150785096279</x:v>
      </x:c>
      <x:c r="J1736" s="21" t="n">
        <x:v>-0.00693331779648676</x:v>
      </x:c>
      <x:c r="K1736" s="21" t="n">
        <x:v>-0.0873656305532089</x:v>
      </x:c>
      <x:c r="L1736" s="36" t="n">
        <x:f>IF(Assumptions!$B$4=2030,I1736,IF(Assumptions!$B$4=2035,J1736,K1736))</x:f>
        <x:v>-0.00693331779648676</x:v>
      </x:c>
      <x:c r="M1736" s="36" t="n">
        <x:f>Assumptions!$B$19</x:f>
        <x:v>-0.04739891965741583</x:v>
      </x:c>
      <x:c r="N1736" s="52" t="n">
        <x:f>H1736*L1736+(1-H1736)*M1736+O1736</x:f>
        <x:v>-0.01300315807562612</x:v>
      </x:c>
      <x:c r="O1736" s="36" t="n">
        <x:f>Assumptions!$B$10</x:f>
        <x:v>0</x:v>
      </x:c>
      <x:c r="P1736" s="54" t="n">
        <x:f>E1736*(1+N1736)</x:f>
        <x:v>2700.423359505087</x:v>
      </x:c>
      <x:c r="Q1736" s="54" t="n">
        <x:f>P1736-E1736</x:f>
        <x:v>-35.576640494913136</x:v>
      </x:c>
      <x:c r="R1736" s="16" t="str">
        <x:v>Yes</x:v>
      </x:c>
      <x:c r="S1736" s="56" t="n">
        <x:v>14205</x:v>
      </x:c>
      <x:c r="T1736" s="56" t="n">
        <x:v>3606</x:v>
      </x:c>
      <x:c r="U1736" s="40" t="n">
        <x:f>E1736*Assumptions!$B$8</x:f>
        <x:v>2325.6</x:v>
      </x:c>
      <x:c r="V1736" s="40" t="n">
        <x:f>P1736*Assumptions!$B$8</x:f>
        <x:v>2295.3598555793237</x:v>
      </x:c>
      <x:c r="W1736" s="54" t="n">
        <x:f>V1736-U1736</x:f>
        <x:v>-30.240144420676188</x:v>
      </x:c>
      <x:c r="X1736" s="58" t="n">
        <x:f>IF(R1736="No","",W1736*S1736)</x:f>
        <x:v>-429561.2514957053</x:v>
      </x:c>
      <x:c r="Y1736" s="58" t="n">
        <x:f>IF(R1736="No","",W1736*T1736*Assumptions!$B$9)</x:f>
        <x:v>-32713.788234287502</x:v>
      </x:c>
      <x:c r="Z1736" s="58" t="n">
        <x:f>IF(R1736="No","",X1736-Y1736)</x:f>
        <x:v>-396847.46326141775</x:v>
      </x:c>
      <x:c r="AA1736" s="58" t="n">
        <x:f>IF(R1736="No","",MAX(0,-Z1736))</x:f>
        <x:v>396847.46326141775</x:v>
      </x:c>
      <x:c r="AB1736" s="52" t="n">
        <x:f>IF(OR(R1736="No",U1736*S1736=0),"",AA1736/(U1736*S1736))</x:f>
        <x:v>0.012012885889338767</x:v>
      </x:c>
      <x:c r="AC1736" s="54" t="n">
        <x:f>IF(OR(R1736="No",S1736-T1736*Assumptions!$B$9&lt;=0),"",AA1736/(Assumptions!$B$8*(S1736-T1736*Assumptions!$B$9)))</x:f>
        <x:v>35.57664049491316</x:v>
      </x:c>
      <x:c r="AD1736" s="52" t="n">
        <x:f>IF(OR(R1736="No",U1736*S1736=0),"",AA1736/(U1736*S1736))</x:f>
        <x:v>0.012012885889338767</x:v>
      </x:c>
      <x:c r="AE1736" s="50" t="str">
        <x:f>IF(R1736="No","No finance data",IF(AB1736&gt;=10%,"Severe",IF(AB1736&gt;=5%,"High",IF(AB1736&gt;=2%,"Moderate","Low"))))</x:f>
        <x:v>Low</x:v>
      </x:c>
      <x:c r="AF1736" s="60" t="n">
        <x:v>36.801173</x:v>
      </x:c>
      <x:c r="AG1736" s="60" t="n">
        <x:v>-76.194627</x:v>
      </x:c>
      <x:c r="AH1736" s="44" t="str">
        <x:v>Undergraduate tuition-contribution proxy only; not an audited total institutional budget.</x:v>
      </x:c>
    </x:row>
    <x:row r="1737">
      <x:c r="A1737" s="16" t="n">
        <x:v>233426</x:v>
      </x:c>
      <x:c r="B1737" s="16" t="str">
        <x:v>Roanoke College</x:v>
      </x:c>
      <x:c r="C1737" s="16" t="str">
        <x:v>VA</x:v>
      </x:c>
      <x:c r="D1737" s="16" t="str">
        <x:v>Private nonprofit</x:v>
      </x:c>
      <x:c r="E1737" s="34" t="n">
        <x:v>1961</x:v>
      </x:c>
      <x:c r="F1737" s="21" t="n">
        <x:v>0.8038</x:v>
      </x:c>
      <x:c r="G1737" s="16" t="str">
        <x:v>Regional</x:v>
      </x:c>
      <x:c r="H1737" s="36" t="n">
        <x:f>IF(G1737="National",Assumptions!$B$11,IF(G1737="Statewide",Assumptions!$B$12,Assumptions!$B$13))</x:f>
        <x:v>0.85</x:v>
      </x:c>
      <x:c r="I1737" s="21" t="n">
        <x:v>-0.02712150785096279</x:v>
      </x:c>
      <x:c r="J1737" s="21" t="n">
        <x:v>-0.00693331779648676</x:v>
      </x:c>
      <x:c r="K1737" s="21" t="n">
        <x:v>-0.0873656305532089</x:v>
      </x:c>
      <x:c r="L1737" s="36" t="n">
        <x:f>IF(Assumptions!$B$4=2030,I1737,IF(Assumptions!$B$4=2035,J1737,K1737))</x:f>
        <x:v>-0.00693331779648676</x:v>
      </x:c>
      <x:c r="M1737" s="36" t="n">
        <x:f>Assumptions!$B$19</x:f>
        <x:v>-0.04739891965741583</x:v>
      </x:c>
      <x:c r="N1737" s="52" t="n">
        <x:f>H1737*L1737+(1-H1737)*M1737+O1737</x:f>
        <x:v>-0.01300315807562612</x:v>
      </x:c>
      <x:c r="O1737" s="36" t="n">
        <x:f>Assumptions!$B$10</x:f>
        <x:v>0</x:v>
      </x:c>
      <x:c r="P1737" s="54" t="n">
        <x:f>E1737*(1+N1737)</x:f>
        <x:v>1935.500807013697</x:v>
      </x:c>
      <x:c r="Q1737" s="54" t="n">
        <x:f>P1737-E1737</x:f>
        <x:v>-25.499192986302887</x:v>
      </x:c>
      <x:c r="R1737" s="16" t="str">
        <x:v>Yes</x:v>
      </x:c>
      <x:c r="S1737" s="56" t="n">
        <x:v>15762</x:v>
      </x:c>
      <x:c r="T1737" s="56" t="n">
        <x:v>9592</x:v>
      </x:c>
      <x:c r="U1737" s="40" t="n">
        <x:f>E1737*Assumptions!$B$8</x:f>
        <x:v>1666.85</x:v>
      </x:c>
      <x:c r="V1737" s="40" t="n">
        <x:f>P1737*Assumptions!$B$8</x:f>
        <x:v>1645.1756859616426</x:v>
      </x:c>
      <x:c r="W1737" s="54" t="n">
        <x:f>V1737-U1737</x:f>
        <x:v>-21.674314038357352</x:v>
      </x:c>
      <x:c r="X1737" s="58" t="n">
        <x:f>IF(R1737="No","",W1737*S1737)</x:f>
        <x:v>-341630.53787258855</x:v>
      </x:c>
      <x:c r="Y1737" s="58" t="n">
        <x:f>IF(R1737="No","",W1737*T1737*Assumptions!$B$9)</x:f>
        <x:v>-62370.00607677711</x:v>
      </x:c>
      <x:c r="Z1737" s="58" t="n">
        <x:f>IF(R1737="No","",X1737-Y1737)</x:f>
        <x:v>-279260.53179581143</x:v>
      </x:c>
      <x:c r="AA1737" s="58" t="n">
        <x:f>IF(R1737="No","",MAX(0,-Z1737))</x:f>
        <x:v>279260.53179581143</x:v>
      </x:c>
      <x:c r="AB1737" s="52" t="n">
        <x:f>IF(OR(R1737="No",U1737*S1737=0),"",AA1737/(U1737*S1737))</x:f>
        <x:v>0.010629227884126177</x:v>
      </x:c>
      <x:c r="AC1737" s="54" t="n">
        <x:f>IF(OR(R1737="No",S1737-T1737*Assumptions!$B$9&lt;=0),"",AA1737/(Assumptions!$B$8*(S1737-T1737*Assumptions!$B$9)))</x:f>
        <x:v>25.499192986302763</x:v>
      </x:c>
      <x:c r="AD1737" s="52" t="n">
        <x:f>IF(OR(R1737="No",U1737*S1737=0),"",AA1737/(U1737*S1737))</x:f>
        <x:v>0.010629227884126177</x:v>
      </x:c>
      <x:c r="AE1737" s="50" t="str">
        <x:f>IF(R1737="No","No finance data",IF(AB1737&gt;=10%,"Severe",IF(AB1737&gt;=5%,"High",IF(AB1737&gt;=2%,"Moderate","Low"))))</x:f>
        <x:v>Low</x:v>
      </x:c>
      <x:c r="AF1737" s="60" t="n">
        <x:v>37.294861</x:v>
      </x:c>
      <x:c r="AG1737" s="60" t="n">
        <x:v>-80.055467</x:v>
      </x:c>
      <x:c r="AH1737" s="44" t="str">
        <x:v>Undergraduate tuition-contribution proxy only; not an audited total institutional budget.</x:v>
      </x:c>
    </x:row>
    <x:row r="1738">
      <x:c r="A1738" s="16" t="n">
        <x:v>232885</x:v>
      </x:c>
      <x:c r="B1738" s="16" t="str">
        <x:v>Sentara College of Health Sciences</x:v>
      </x:c>
      <x:c r="C1738" s="16" t="str">
        <x:v>VA</x:v>
      </x:c>
      <x:c r="D1738" s="16" t="str">
        <x:v>Private nonprofit</x:v>
      </x:c>
      <x:c r="E1738" s="34" t="n">
        <x:v>445</x:v>
      </x:c>
      <x:c r="F1738" s="21"/>
      <x:c r="G1738" s="16" t="str">
        <x:v>Regional</x:v>
      </x:c>
      <x:c r="H1738" s="36" t="n">
        <x:f>IF(G1738="National",Assumptions!$B$11,IF(G1738="Statewide",Assumptions!$B$12,Assumptions!$B$13))</x:f>
        <x:v>0.85</x:v>
      </x:c>
      <x:c r="I1738" s="21" t="n">
        <x:v>-0.02712150785096279</x:v>
      </x:c>
      <x:c r="J1738" s="21" t="n">
        <x:v>-0.00693331779648676</x:v>
      </x:c>
      <x:c r="K1738" s="21" t="n">
        <x:v>-0.0873656305532089</x:v>
      </x:c>
      <x:c r="L1738" s="36" t="n">
        <x:f>IF(Assumptions!$B$4=2030,I1738,IF(Assumptions!$B$4=2035,J1738,K1738))</x:f>
        <x:v>-0.00693331779648676</x:v>
      </x:c>
      <x:c r="M1738" s="36" t="n">
        <x:f>Assumptions!$B$19</x:f>
        <x:v>-0.04739891965741583</x:v>
      </x:c>
      <x:c r="N1738" s="52" t="n">
        <x:f>H1738*L1738+(1-H1738)*M1738+O1738</x:f>
        <x:v>-0.01300315807562612</x:v>
      </x:c>
      <x:c r="O1738" s="36" t="n">
        <x:f>Assumptions!$B$10</x:f>
        <x:v>0</x:v>
      </x:c>
      <x:c r="P1738" s="54" t="n">
        <x:f>E1738*(1+N1738)</x:f>
        <x:v>439.21359465634634</x:v>
      </x:c>
      <x:c r="Q1738" s="54" t="n">
        <x:f>P1738-E1738</x:f>
        <x:v>-5.786405343653655</x:v>
      </x:c>
      <x:c r="R1738" s="16" t="str">
        <x:v>No</x:v>
      </x:c>
      <x:c r="S1738" s="56"/>
      <x:c r="T1738" s="56"/>
      <x:c r="U1738" s="40" t="n">
        <x:f>E1738*Assumptions!$B$8</x:f>
        <x:v>378.25</x:v>
      </x:c>
      <x:c r="V1738" s="40" t="n">
        <x:f>P1738*Assumptions!$B$8</x:f>
        <x:v>373.3315554578944</x:v>
      </x:c>
      <x:c r="W1738" s="54" t="n">
        <x:f>V1738-U1738</x:f>
        <x:v>-4.91844454210559</x:v>
      </x:c>
      <x:c r="X1738" s="58" t="str">
        <x:f>IF(R1738="No","",W1738*S1738)</x:f>
      </x:c>
      <x:c r="Y1738" s="58" t="str">
        <x:f>IF(R1738="No","",W1738*T1738*Assumptions!$B$9)</x:f>
      </x:c>
      <x:c r="Z1738" s="58" t="str">
        <x:f>IF(R1738="No","",X1738-Y1738)</x:f>
      </x:c>
      <x:c r="AA1738" s="58" t="str">
        <x:f>IF(R1738="No","",MAX(0,-Z1738))</x:f>
      </x:c>
      <x:c r="AB1738" s="52" t="str">
        <x:f>IF(OR(R1738="No",U1738*S1738=0),"",AA1738/(U1738*S1738))</x:f>
      </x:c>
      <x:c r="AC1738" s="54" t="str">
        <x:f>IF(OR(R1738="No",S1738-T1738*Assumptions!$B$9&lt;=0),"",AA1738/(Assumptions!$B$8*(S1738-T1738*Assumptions!$B$9)))</x:f>
      </x:c>
      <x:c r="AD1738" s="52" t="str">
        <x:f>IF(OR(R1738="No",U1738*S1738=0),"",AA1738/(U1738*S1738))</x:f>
      </x:c>
      <x:c r="AE1738" s="50" t="str">
        <x:f>IF(R1738="No","No finance data",IF(AB1738&gt;=10%,"Severe",IF(AB1738&gt;=5%,"High",IF(AB1738&gt;=2%,"Moderate","Low"))))</x:f>
        <x:v>No finance data</x:v>
      </x:c>
      <x:c r="AF1738" s="60"/>
      <x:c r="AG1738" s="60"/>
      <x:c r="AH1738" s="44" t="str">
        <x:v>Undergraduate tuition-contribution proxy only; not an audited total institutional budget.</x:v>
      </x:c>
    </x:row>
    <x:row r="1739">
      <x:c r="A1739" s="16" t="n">
        <x:v>233541</x:v>
      </x:c>
      <x:c r="B1739" s="16" t="str">
        <x:v>Shenandoah University</x:v>
      </x:c>
      <x:c r="C1739" s="16" t="str">
        <x:v>VA</x:v>
      </x:c>
      <x:c r="D1739" s="16" t="str">
        <x:v>Private nonprofit</x:v>
      </x:c>
      <x:c r="E1739" s="34" t="n">
        <x:v>1991</x:v>
      </x:c>
      <x:c r="F1739" s="21" t="n">
        <x:v>0.7435</x:v>
      </x:c>
      <x:c r="G1739" s="16" t="str">
        <x:v>Regional</x:v>
      </x:c>
      <x:c r="H1739" s="36" t="n">
        <x:f>IF(G1739="National",Assumptions!$B$11,IF(G1739="Statewide",Assumptions!$B$12,Assumptions!$B$13))</x:f>
        <x:v>0.85</x:v>
      </x:c>
      <x:c r="I1739" s="21" t="n">
        <x:v>-0.02712150785096279</x:v>
      </x:c>
      <x:c r="J1739" s="21" t="n">
        <x:v>-0.00693331779648676</x:v>
      </x:c>
      <x:c r="K1739" s="21" t="n">
        <x:v>-0.0873656305532089</x:v>
      </x:c>
      <x:c r="L1739" s="36" t="n">
        <x:f>IF(Assumptions!$B$4=2030,I1739,IF(Assumptions!$B$4=2035,J1739,K1739))</x:f>
        <x:v>-0.00693331779648676</x:v>
      </x:c>
      <x:c r="M1739" s="36" t="n">
        <x:f>Assumptions!$B$19</x:f>
        <x:v>-0.04739891965741583</x:v>
      </x:c>
      <x:c r="N1739" s="52" t="n">
        <x:f>H1739*L1739+(1-H1739)*M1739+O1739</x:f>
        <x:v>-0.01300315807562612</x:v>
      </x:c>
      <x:c r="O1739" s="36" t="n">
        <x:f>Assumptions!$B$10</x:f>
        <x:v>0</x:v>
      </x:c>
      <x:c r="P1739" s="54" t="n">
        <x:f>E1739*(1+N1739)</x:f>
        <x:v>1965.1107122714284</x:v>
      </x:c>
      <x:c r="Q1739" s="54" t="n">
        <x:f>P1739-E1739</x:f>
        <x:v>-25.889287728571617</x:v>
      </x:c>
      <x:c r="R1739" s="16" t="str">
        <x:v>Yes</x:v>
      </x:c>
      <x:c r="S1739" s="56" t="n">
        <x:v>18502</x:v>
      </x:c>
      <x:c r="T1739" s="56" t="n">
        <x:v>9516</x:v>
      </x:c>
      <x:c r="U1739" s="40" t="n">
        <x:f>E1739*Assumptions!$B$8</x:f>
        <x:v>1692.35</x:v>
      </x:c>
      <x:c r="V1739" s="40" t="n">
        <x:f>P1739*Assumptions!$B$8</x:f>
        <x:v>1670.344105430714</x:v>
      </x:c>
      <x:c r="W1739" s="54" t="n">
        <x:f>V1739-U1739</x:f>
        <x:v>-22.00589456928583</x:v>
      </x:c>
      <x:c r="X1739" s="58" t="n">
        <x:f>IF(R1739="No","",W1739*S1739)</x:f>
        <x:v>-407153.0613209264</x:v>
      </x:c>
      <x:c r="Y1739" s="58" t="n">
        <x:f>IF(R1739="No","",W1739*T1739*Assumptions!$B$9)</x:f>
        <x:v>-62822.42781639718</x:v>
      </x:c>
      <x:c r="Z1739" s="58" t="n">
        <x:f>IF(R1739="No","",X1739-Y1739)</x:f>
        <x:v>-344330.63350452925</x:v>
      </x:c>
      <x:c r="AA1739" s="58" t="n">
        <x:f>IF(R1739="No","",MAX(0,-Z1739))</x:f>
        <x:v>344330.63350452925</x:v>
      </x:c>
      <x:c r="AB1739" s="52" t="n">
        <x:f>IF(OR(R1739="No",U1739*S1739=0),"",AA1739/(U1739*S1739))</x:f>
        <x:v>0.010996811968486472</x:v>
      </x:c>
      <x:c r="AC1739" s="54" t="n">
        <x:f>IF(OR(R1739="No",S1739-T1739*Assumptions!$B$9&lt;=0),"",AA1739/(Assumptions!$B$8*(S1739-T1739*Assumptions!$B$9)))</x:f>
        <x:v>25.889287728571563</x:v>
      </x:c>
      <x:c r="AD1739" s="52" t="n">
        <x:f>IF(OR(R1739="No",U1739*S1739=0),"",AA1739/(U1739*S1739))</x:f>
        <x:v>0.010996811968486472</x:v>
      </x:c>
      <x:c r="AE1739" s="50" t="str">
        <x:f>IF(R1739="No","No finance data",IF(AB1739&gt;=10%,"Severe",IF(AB1739&gt;=5%,"High",IF(AB1739&gt;=2%,"Moderate","Low"))))</x:f>
        <x:v>Low</x:v>
      </x:c>
      <x:c r="AF1739" s="60" t="n">
        <x:v>39.167355</x:v>
      </x:c>
      <x:c r="AG1739" s="60" t="n">
        <x:v>-78.157433</x:v>
      </x:c>
      <x:c r="AH1739" s="44" t="str">
        <x:v>Undergraduate tuition-contribution proxy only; not an audited total institutional budget.</x:v>
      </x:c>
    </x:row>
    <x:row r="1740">
      <x:c r="A1740" s="16" t="n">
        <x:v>233611</x:v>
      </x:c>
      <x:c r="B1740" s="16" t="str">
        <x:v>Southern Virginia University</x:v>
      </x:c>
      <x:c r="C1740" s="16" t="str">
        <x:v>VA</x:v>
      </x:c>
      <x:c r="D1740" s="16" t="str">
        <x:v>Private nonprofit</x:v>
      </x:c>
      <x:c r="E1740" s="34" t="n">
        <x:v>728</x:v>
      </x:c>
      <x:c r="F1740" s="21" t="n">
        <x:v>0.9951</x:v>
      </x:c>
      <x:c r="G1740" s="16" t="str">
        <x:v>Regional</x:v>
      </x:c>
      <x:c r="H1740" s="36" t="n">
        <x:f>IF(G1740="National",Assumptions!$B$11,IF(G1740="Statewide",Assumptions!$B$12,Assumptions!$B$13))</x:f>
        <x:v>0.85</x:v>
      </x:c>
      <x:c r="I1740" s="21" t="n">
        <x:v>-0.02712150785096279</x:v>
      </x:c>
      <x:c r="J1740" s="21" t="n">
        <x:v>-0.00693331779648676</x:v>
      </x:c>
      <x:c r="K1740" s="21" t="n">
        <x:v>-0.0873656305532089</x:v>
      </x:c>
      <x:c r="L1740" s="36" t="n">
        <x:f>IF(Assumptions!$B$4=2030,I1740,IF(Assumptions!$B$4=2035,J1740,K1740))</x:f>
        <x:v>-0.00693331779648676</x:v>
      </x:c>
      <x:c r="M1740" s="36" t="n">
        <x:f>Assumptions!$B$19</x:f>
        <x:v>-0.04739891965741583</x:v>
      </x:c>
      <x:c r="N1740" s="52" t="n">
        <x:f>H1740*L1740+(1-H1740)*M1740+O1740</x:f>
        <x:v>-0.01300315807562612</x:v>
      </x:c>
      <x:c r="O1740" s="36" t="n">
        <x:f>Assumptions!$B$10</x:f>
        <x:v>0</x:v>
      </x:c>
      <x:c r="P1740" s="54" t="n">
        <x:f>E1740*(1+N1740)</x:f>
        <x:v>718.5337009209442</x:v>
      </x:c>
      <x:c r="Q1740" s="54" t="n">
        <x:f>P1740-E1740</x:f>
        <x:v>-9.46629907905583</x:v>
      </x:c>
      <x:c r="R1740" s="16" t="str">
        <x:v>Yes</x:v>
      </x:c>
      <x:c r="S1740" s="56" t="n">
        <x:v>12657</x:v>
      </x:c>
      <x:c r="T1740" s="56" t="n">
        <x:v>6206</x:v>
      </x:c>
      <x:c r="U1740" s="40" t="n">
        <x:f>E1740*Assumptions!$B$8</x:f>
        <x:v>618.8</x:v>
      </x:c>
      <x:c r="V1740" s="40" t="n">
        <x:f>P1740*Assumptions!$B$8</x:f>
        <x:v>610.7536457828026</x:v>
      </x:c>
      <x:c r="W1740" s="54" t="n">
        <x:f>V1740-U1740</x:f>
        <x:v>-8.046354217197404</x:v>
      </x:c>
      <x:c r="X1740" s="58" t="n">
        <x:f>IF(R1740="No","",W1740*S1740)</x:f>
        <x:v>-101842.70532706754</x:v>
      </x:c>
      <x:c r="Y1740" s="58" t="n">
        <x:f>IF(R1740="No","",W1740*T1740*Assumptions!$B$9)</x:f>
        <x:v>-14980.702281578127</x:v>
      </x:c>
      <x:c r="Z1740" s="58" t="n">
        <x:f>IF(R1740="No","",X1740-Y1740)</x:f>
        <x:v>-86862.00304548941</x:v>
      </x:c>
      <x:c r="AA1740" s="58" t="n">
        <x:f>IF(R1740="No","",MAX(0,-Z1740))</x:f>
        <x:v>86862.00304548941</x:v>
      </x:c>
      <x:c r="AB1740" s="52" t="n">
        <x:f>IF(OR(R1740="No",U1740*S1740=0),"",AA1740/(U1740*S1740))</x:f>
        <x:v>0.01109043944520806</x:v>
      </x:c>
      <x:c r="AC1740" s="54" t="n">
        <x:f>IF(OR(R1740="No",S1740-T1740*Assumptions!$B$9&lt;=0),"",AA1740/(Assumptions!$B$8*(S1740-T1740*Assumptions!$B$9)))</x:f>
        <x:v>9.46629907905577</x:v>
      </x:c>
      <x:c r="AD1740" s="52" t="n">
        <x:f>IF(OR(R1740="No",U1740*S1740=0),"",AA1740/(U1740*S1740))</x:f>
        <x:v>0.01109043944520806</x:v>
      </x:c>
      <x:c r="AE1740" s="50" t="str">
        <x:f>IF(R1740="No","No finance data",IF(AB1740&gt;=10%,"Severe",IF(AB1740&gt;=5%,"High",IF(AB1740&gt;=2%,"Moderate","Low"))))</x:f>
        <x:v>Low</x:v>
      </x:c>
      <x:c r="AF1740" s="60" t="n">
        <x:v>37.740368</x:v>
      </x:c>
      <x:c r="AG1740" s="60" t="n">
        <x:v>-79.35037</x:v>
      </x:c>
      <x:c r="AH1740" s="44" t="str">
        <x:v>Undergraduate tuition-contribution proxy only; not an audited total institutional budget.</x:v>
      </x:c>
    </x:row>
    <x:row r="1741">
      <x:c r="A1741" s="16" t="n">
        <x:v>233718</x:v>
      </x:c>
      <x:c r="B1741" s="16" t="str">
        <x:v>Sweet Briar College</x:v>
      </x:c>
      <x:c r="C1741" s="16" t="str">
        <x:v>VA</x:v>
      </x:c>
      <x:c r="D1741" s="16" t="str">
        <x:v>Private nonprofit</x:v>
      </x:c>
      <x:c r="E1741" s="34" t="n">
        <x:v>236</x:v>
      </x:c>
      <x:c r="F1741" s="21"/>
      <x:c r="G1741" s="16" t="str">
        <x:v>Regional</x:v>
      </x:c>
      <x:c r="H1741" s="36" t="n">
        <x:f>IF(G1741="National",Assumptions!$B$11,IF(G1741="Statewide",Assumptions!$B$12,Assumptions!$B$13))</x:f>
        <x:v>0.85</x:v>
      </x:c>
      <x:c r="I1741" s="21" t="n">
        <x:v>-0.02712150785096279</x:v>
      </x:c>
      <x:c r="J1741" s="21" t="n">
        <x:v>-0.00693331779648676</x:v>
      </x:c>
      <x:c r="K1741" s="21" t="n">
        <x:v>-0.0873656305532089</x:v>
      </x:c>
      <x:c r="L1741" s="36" t="n">
        <x:f>IF(Assumptions!$B$4=2030,I1741,IF(Assumptions!$B$4=2035,J1741,K1741))</x:f>
        <x:v>-0.00693331779648676</x:v>
      </x:c>
      <x:c r="M1741" s="36" t="n">
        <x:f>Assumptions!$B$19</x:f>
        <x:v>-0.04739891965741583</x:v>
      </x:c>
      <x:c r="N1741" s="52" t="n">
        <x:f>H1741*L1741+(1-H1741)*M1741+O1741</x:f>
        <x:v>-0.01300315807562612</x:v>
      </x:c>
      <x:c r="O1741" s="36" t="n">
        <x:f>Assumptions!$B$10</x:f>
        <x:v>0</x:v>
      </x:c>
      <x:c r="P1741" s="54" t="n">
        <x:f>E1741*(1+N1741)</x:f>
        <x:v>232.93125469415224</x:v>
      </x:c>
      <x:c r="Q1741" s="54" t="n">
        <x:f>P1741-E1741</x:f>
        <x:v>-3.068745305847756</x:v>
      </x:c>
      <x:c r="R1741" s="16" t="str">
        <x:v>No</x:v>
      </x:c>
      <x:c r="S1741" s="56"/>
      <x:c r="T1741" s="56"/>
      <x:c r="U1741" s="40" t="n">
        <x:f>E1741*Assumptions!$B$8</x:f>
        <x:v>200.6</x:v>
      </x:c>
      <x:c r="V1741" s="40" t="n">
        <x:f>P1741*Assumptions!$B$8</x:f>
        <x:v>197.9915664900294</x:v>
      </x:c>
      <x:c r="W1741" s="54" t="n">
        <x:f>V1741-U1741</x:f>
        <x:v>-2.608433509970581</x:v>
      </x:c>
      <x:c r="X1741" s="58" t="str">
        <x:f>IF(R1741="No","",W1741*S1741)</x:f>
      </x:c>
      <x:c r="Y1741" s="58" t="str">
        <x:f>IF(R1741="No","",W1741*T1741*Assumptions!$B$9)</x:f>
      </x:c>
      <x:c r="Z1741" s="58" t="str">
        <x:f>IF(R1741="No","",X1741-Y1741)</x:f>
      </x:c>
      <x:c r="AA1741" s="58" t="str">
        <x:f>IF(R1741="No","",MAX(0,-Z1741))</x:f>
      </x:c>
      <x:c r="AB1741" s="52" t="str">
        <x:f>IF(OR(R1741="No",U1741*S1741=0),"",AA1741/(U1741*S1741))</x:f>
      </x:c>
      <x:c r="AC1741" s="54" t="str">
        <x:f>IF(OR(R1741="No",S1741-T1741*Assumptions!$B$9&lt;=0),"",AA1741/(Assumptions!$B$8*(S1741-T1741*Assumptions!$B$9)))</x:f>
      </x:c>
      <x:c r="AD1741" s="52" t="str">
        <x:f>IF(OR(R1741="No",U1741*S1741=0),"",AA1741/(U1741*S1741))</x:f>
      </x:c>
      <x:c r="AE1741" s="50" t="str">
        <x:f>IF(R1741="No","No finance data",IF(AB1741&gt;=10%,"Severe",IF(AB1741&gt;=5%,"High",IF(AB1741&gt;=2%,"Moderate","Low"))))</x:f>
        <x:v>No finance data</x:v>
      </x:c>
      <x:c r="AF1741" s="60"/>
      <x:c r="AG1741" s="60"/>
      <x:c r="AH1741" s="44" t="str">
        <x:v>Undergraduate tuition-contribution proxy only; not an audited total institutional budget.</x:v>
      </x:c>
    </x:row>
    <x:row r="1742">
      <x:c r="A1742" s="16" t="n">
        <x:v>233897</x:v>
      </x:c>
      <x:c r="B1742" s="16" t="str">
        <x:v>The University of Virginia's College at Wise</x:v>
      </x:c>
      <x:c r="C1742" s="16" t="str">
        <x:v>VA</x:v>
      </x:c>
      <x:c r="D1742" s="16" t="str">
        <x:v>Public</x:v>
      </x:c>
      <x:c r="E1742" s="34" t="n">
        <x:v>1393</x:v>
      </x:c>
      <x:c r="F1742" s="21" t="n">
        <x:v>0.8337</x:v>
      </x:c>
      <x:c r="G1742" s="16" t="str">
        <x:v>Regional</x:v>
      </x:c>
      <x:c r="H1742" s="36" t="n">
        <x:f>IF(G1742="National",Assumptions!$B$11,IF(G1742="Statewide",Assumptions!$B$12,Assumptions!$B$13))</x:f>
        <x:v>0.85</x:v>
      </x:c>
      <x:c r="I1742" s="21" t="n">
        <x:v>-0.02712150785096279</x:v>
      </x:c>
      <x:c r="J1742" s="21" t="n">
        <x:v>-0.00693331779648676</x:v>
      </x:c>
      <x:c r="K1742" s="21" t="n">
        <x:v>-0.0873656305532089</x:v>
      </x:c>
      <x:c r="L1742" s="36" t="n">
        <x:f>IF(Assumptions!$B$4=2030,I1742,IF(Assumptions!$B$4=2035,J1742,K1742))</x:f>
        <x:v>-0.00693331779648676</x:v>
      </x:c>
      <x:c r="M1742" s="36" t="n">
        <x:f>Assumptions!$B$19</x:f>
        <x:v>-0.04739891965741583</x:v>
      </x:c>
      <x:c r="N1742" s="52" t="n">
        <x:f>H1742*L1742+(1-H1742)*M1742+O1742</x:f>
        <x:v>-0.01300315807562612</x:v>
      </x:c>
      <x:c r="O1742" s="36" t="n">
        <x:f>Assumptions!$B$10</x:f>
        <x:v>0</x:v>
      </x:c>
      <x:c r="P1742" s="54" t="n">
        <x:f>E1742*(1+N1742)</x:f>
        <x:v>1374.8866008006528</x:v>
      </x:c>
      <x:c r="Q1742" s="54" t="n">
        <x:f>P1742-E1742</x:f>
        <x:v>-18.113399199347214</x:v>
      </x:c>
      <x:c r="R1742" s="16" t="str">
        <x:v>Yes</x:v>
      </x:c>
      <x:c r="S1742" s="56" t="n">
        <x:v>5824</x:v>
      </x:c>
      <x:c r="T1742" s="56" t="n">
        <x:v>9752</x:v>
      </x:c>
      <x:c r="U1742" s="40" t="n">
        <x:f>E1742*Assumptions!$B$8</x:f>
        <x:v>1184.05</x:v>
      </x:c>
      <x:c r="V1742" s="40" t="n">
        <x:f>P1742*Assumptions!$B$8</x:f>
        <x:v>1168.653610680555</x:v>
      </x:c>
      <x:c r="W1742" s="54" t="n">
        <x:f>V1742-U1742</x:f>
        <x:v>-15.396389319445007</x:v>
      </x:c>
      <x:c r="X1742" s="58" t="n">
        <x:f>IF(R1742="No","",W1742*S1742)</x:f>
        <x:v>-89668.57139644772</x:v>
      </x:c>
      <x:c r="Y1742" s="58" t="n">
        <x:f>IF(R1742="No","",W1742*T1742*Assumptions!$B$9)</x:f>
        <x:v>-45043.67659296831</x:v>
      </x:c>
      <x:c r="Z1742" s="58" t="n">
        <x:f>IF(R1742="No","",X1742-Y1742)</x:f>
        <x:v>-44624.89480347941</x:v>
      </x:c>
      <x:c r="AA1742" s="58" t="n">
        <x:f>IF(R1742="No","",MAX(0,-Z1742))</x:f>
        <x:v>44624.89480347941</x:v>
      </x:c>
      <x:c r="AB1742" s="52" t="n">
        <x:f>IF(OR(R1742="No",U1742*S1742=0),"",AA1742/(U1742*S1742))</x:f>
        <x:v>0.006471214520328726</x:v>
      </x:c>
      <x:c r="AC1742" s="54" t="n">
        <x:f>IF(OR(R1742="No",S1742-T1742*Assumptions!$B$9&lt;=0),"",AA1742/(Assumptions!$B$8*(S1742-T1742*Assumptions!$B$9)))</x:f>
        <x:v>18.113399199347068</x:v>
      </x:c>
      <x:c r="AD1742" s="52" t="n">
        <x:f>IF(OR(R1742="No",U1742*S1742=0),"",AA1742/(U1742*S1742))</x:f>
        <x:v>0.006471214520328726</x:v>
      </x:c>
      <x:c r="AE1742" s="50" t="str">
        <x:f>IF(R1742="No","No finance data",IF(AB1742&gt;=10%,"Severe",IF(AB1742&gt;=5%,"High",IF(AB1742&gt;=2%,"Moderate","Low"))))</x:f>
        <x:v>Low</x:v>
      </x:c>
      <x:c r="AF1742" s="60" t="n">
        <x:v>36.970602</x:v>
      </x:c>
      <x:c r="AG1742" s="60" t="n">
        <x:v>-82.559656</x:v>
      </x:c>
      <x:c r="AH1742" s="44" t="str">
        <x:v>Undergraduate tuition-contribution proxy only; not an audited total institutional budget.</x:v>
      </x:c>
    </x:row>
    <x:row r="1743">
      <x:c r="A1743" s="16" t="n">
        <x:v>232681</x:v>
      </x:c>
      <x:c r="B1743" s="16" t="str">
        <x:v>University of Mary Washington</x:v>
      </x:c>
      <x:c r="C1743" s="16" t="str">
        <x:v>VA</x:v>
      </x:c>
      <x:c r="D1743" s="16" t="str">
        <x:v>Public</x:v>
      </x:c>
      <x:c r="E1743" s="34" t="n">
        <x:v>4262</x:v>
      </x:c>
      <x:c r="F1743" s="21" t="n">
        <x:v>0.8192</x:v>
      </x:c>
      <x:c r="G1743" s="16" t="str">
        <x:v>Regional</x:v>
      </x:c>
      <x:c r="H1743" s="36" t="n">
        <x:f>IF(G1743="National",Assumptions!$B$11,IF(G1743="Statewide",Assumptions!$B$12,Assumptions!$B$13))</x:f>
        <x:v>0.85</x:v>
      </x:c>
      <x:c r="I1743" s="21" t="n">
        <x:v>-0.02712150785096279</x:v>
      </x:c>
      <x:c r="J1743" s="21" t="n">
        <x:v>-0.00693331779648676</x:v>
      </x:c>
      <x:c r="K1743" s="21" t="n">
        <x:v>-0.0873656305532089</x:v>
      </x:c>
      <x:c r="L1743" s="36" t="n">
        <x:f>IF(Assumptions!$B$4=2030,I1743,IF(Assumptions!$B$4=2035,J1743,K1743))</x:f>
        <x:v>-0.00693331779648676</x:v>
      </x:c>
      <x:c r="M1743" s="36" t="n">
        <x:f>Assumptions!$B$19</x:f>
        <x:v>-0.04739891965741583</x:v>
      </x:c>
      <x:c r="N1743" s="52" t="n">
        <x:f>H1743*L1743+(1-H1743)*M1743+O1743</x:f>
        <x:v>-0.01300315807562612</x:v>
      </x:c>
      <x:c r="O1743" s="36" t="n">
        <x:f>Assumptions!$B$10</x:f>
        <x:v>0</x:v>
      </x:c>
      <x:c r="P1743" s="54" t="n">
        <x:f>E1743*(1+N1743)</x:f>
        <x:v>4206.580540281681</x:v>
      </x:c>
      <x:c r="Q1743" s="54" t="n">
        <x:f>P1743-E1743</x:f>
        <x:v>-55.41945971831865</x:v>
      </x:c>
      <x:c r="R1743" s="16" t="str">
        <x:v>Yes</x:v>
      </x:c>
      <x:c r="S1743" s="56" t="n">
        <x:v>6244</x:v>
      </x:c>
      <x:c r="T1743" s="56" t="n">
        <x:v>8508</x:v>
      </x:c>
      <x:c r="U1743" s="40" t="n">
        <x:f>E1743*Assumptions!$B$8</x:f>
        <x:v>3622.7</x:v>
      </x:c>
      <x:c r="V1743" s="40" t="n">
        <x:f>P1743*Assumptions!$B$8</x:f>
        <x:v>3575.593459239429</x:v>
      </x:c>
      <x:c r="W1743" s="54" t="n">
        <x:f>V1743-U1743</x:f>
        <x:v>-47.106540760570624</x:v>
      </x:c>
      <x:c r="X1743" s="58" t="n">
        <x:f>IF(R1743="No","",W1743*S1743)</x:f>
        <x:v>-294133.240509003</x:v>
      </x:c>
      <x:c r="Y1743" s="58" t="n">
        <x:f>IF(R1743="No","",W1743*T1743*Assumptions!$B$9)</x:f>
        <x:v>-120234.73463728046</x:v>
      </x:c>
      <x:c r="Z1743" s="58" t="n">
        <x:f>IF(R1743="No","",X1743-Y1743)</x:f>
        <x:v>-173898.50587172253</x:v>
      </x:c>
      <x:c r="AA1743" s="58" t="n">
        <x:f>IF(R1743="No","",MAX(0,-Z1743))</x:f>
        <x:v>173898.50587172253</x:v>
      </x:c>
      <x:c r="AB1743" s="52" t="n">
        <x:f>IF(OR(R1743="No",U1743*S1743=0),"",AA1743/(U1743*S1743))</x:f>
        <x:v>0.007687773598972017</x:v>
      </x:c>
      <x:c r="AC1743" s="54" t="n">
        <x:f>IF(OR(R1743="No",S1743-T1743*Assumptions!$B$9&lt;=0),"",AA1743/(Assumptions!$B$8*(S1743-T1743*Assumptions!$B$9)))</x:f>
        <x:v>55.41945971831839</x:v>
      </x:c>
      <x:c r="AD1743" s="52" t="n">
        <x:f>IF(OR(R1743="No",U1743*S1743=0),"",AA1743/(U1743*S1743))</x:f>
        <x:v>0.007687773598972017</x:v>
      </x:c>
      <x:c r="AE1743" s="50" t="str">
        <x:f>IF(R1743="No","No finance data",IF(AB1743&gt;=10%,"Severe",IF(AB1743&gt;=5%,"High",IF(AB1743&gt;=2%,"Moderate","Low"))))</x:f>
        <x:v>Low</x:v>
      </x:c>
      <x:c r="AF1743" s="60" t="n">
        <x:v>38.302492</x:v>
      </x:c>
      <x:c r="AG1743" s="60" t="n">
        <x:v>-77.476055</x:v>
      </x:c>
      <x:c r="AH1743" s="44" t="str">
        <x:v>Undergraduate tuition-contribution proxy only; not an audited total institutional budget.</x:v>
      </x:c>
    </x:row>
    <x:row r="1744">
      <x:c r="A1744" s="16" t="n">
        <x:v>233374</x:v>
      </x:c>
      <x:c r="B1744" s="16" t="str">
        <x:v>University of Richmond</x:v>
      </x:c>
      <x:c r="C1744" s="16" t="str">
        <x:v>VA</x:v>
      </x:c>
      <x:c r="D1744" s="16" t="str">
        <x:v>Private nonprofit</x:v>
      </x:c>
      <x:c r="E1744" s="34" t="n">
        <x:v>3210</x:v>
      </x:c>
      <x:c r="F1744" s="21" t="n">
        <x:v>0.2877</x:v>
      </x:c>
      <x:c r="G1744" s="16" t="str">
        <x:v>National</x:v>
      </x:c>
      <x:c r="H1744" s="36" t="n">
        <x:f>IF(G1744="National",Assumptions!$B$11,IF(G1744="Statewide",Assumptions!$B$12,Assumptions!$B$13))</x:f>
        <x:v>0.25</x:v>
      </x:c>
      <x:c r="I1744" s="21" t="n">
        <x:v>-0.02712150785096279</x:v>
      </x:c>
      <x:c r="J1744" s="21" t="n">
        <x:v>-0.00693331779648676</x:v>
      </x:c>
      <x:c r="K1744" s="21" t="n">
        <x:v>-0.0873656305532089</x:v>
      </x:c>
      <x:c r="L1744" s="36" t="n">
        <x:f>IF(Assumptions!$B$4=2030,I1744,IF(Assumptions!$B$4=2035,J1744,K1744))</x:f>
        <x:v>-0.00693331779648676</x:v>
      </x:c>
      <x:c r="M1744" s="36" t="n">
        <x:f>Assumptions!$B$19</x:f>
        <x:v>-0.04739891965741583</x:v>
      </x:c>
      <x:c r="N1744" s="52" t="n">
        <x:f>H1744*L1744+(1-H1744)*M1744+O1744</x:f>
        <x:v>-0.03728251919218356</x:v>
      </x:c>
      <x:c r="O1744" s="36" t="n">
        <x:f>Assumptions!$B$10</x:f>
        <x:v>0</x:v>
      </x:c>
      <x:c r="P1744" s="54" t="n">
        <x:f>E1744*(1+N1744)</x:f>
        <x:v>3090.323113393091</x:v>
      </x:c>
      <x:c r="Q1744" s="54" t="n">
        <x:f>P1744-E1744</x:f>
        <x:v>-119.67688660690919</x:v>
      </x:c>
      <x:c r="R1744" s="16" t="str">
        <x:v>Yes</x:v>
      </x:c>
      <x:c r="S1744" s="56" t="n">
        <x:v>29473</x:v>
      </x:c>
      <x:c r="T1744" s="56" t="n">
        <x:v>23001</x:v>
      </x:c>
      <x:c r="U1744" s="40" t="n">
        <x:f>E1744*Assumptions!$B$8</x:f>
        <x:v>2728.5</x:v>
      </x:c>
      <x:c r="V1744" s="40" t="n">
        <x:f>P1744*Assumptions!$B$8</x:f>
        <x:v>2626.774646384127</x:v>
      </x:c>
      <x:c r="W1744" s="54" t="n">
        <x:f>V1744-U1744</x:f>
        <x:v>-101.72535361587279</x:v>
      </x:c>
      <x:c r="X1744" s="58" t="n">
        <x:f>IF(R1744="No","",W1744*S1744)</x:f>
        <x:v>-2998151.347120619</x:v>
      </x:c>
      <x:c r="Y1744" s="58" t="n">
        <x:f>IF(R1744="No","",W1744*T1744*Assumptions!$B$9)</x:f>
        <x:v>-701935.457555607</x:v>
      </x:c>
      <x:c r="Z1744" s="58" t="n">
        <x:f>IF(R1744="No","",X1744-Y1744)</x:f>
        <x:v>-2296215.889565012</x:v>
      </x:c>
      <x:c r="AA1744" s="58" t="n">
        <x:f>IF(R1744="No","",MAX(0,-Z1744))</x:f>
        <x:v>2296215.889565012</x:v>
      </x:c>
      <x:c r="AB1744" s="52" t="n">
        <x:f>IF(OR(R1744="No",U1744*S1744=0),"",AA1744/(U1744*S1744))</x:f>
        <x:v>0.028553833032585806</x:v>
      </x:c>
      <x:c r="AC1744" s="54" t="n">
        <x:f>IF(OR(R1744="No",S1744-T1744*Assumptions!$B$9&lt;=0),"",AA1744/(Assumptions!$B$8*(S1744-T1744*Assumptions!$B$9)))</x:f>
        <x:v>119.67688660690916</x:v>
      </x:c>
      <x:c r="AD1744" s="52" t="n">
        <x:f>IF(OR(R1744="No",U1744*S1744=0),"",AA1744/(U1744*S1744))</x:f>
        <x:v>0.028553833032585806</x:v>
      </x:c>
      <x:c r="AE1744" s="50" t="str">
        <x:f>IF(R1744="No","No finance data",IF(AB1744&gt;=10%,"Severe",IF(AB1744&gt;=5%,"High",IF(AB1744&gt;=2%,"Moderate","Low"))))</x:f>
        <x:v>Moderate</x:v>
      </x:c>
      <x:c r="AF1744" s="60" t="n">
        <x:v>37.577393</x:v>
      </x:c>
      <x:c r="AG1744" s="60" t="n">
        <x:v>-77.538806</x:v>
      </x:c>
      <x:c r="AH1744" s="44" t="str">
        <x:v>Undergraduate tuition-contribution proxy only; not an audited total institutional budget.</x:v>
      </x:c>
    </x:row>
    <x:row r="1745">
      <x:c r="A1745" s="16" t="n">
        <x:v>234076</x:v>
      </x:c>
      <x:c r="B1745" s="16" t="str">
        <x:v>University of Virginia-Main Campus</x:v>
      </x:c>
      <x:c r="C1745" s="16" t="str">
        <x:v>VA</x:v>
      </x:c>
      <x:c r="D1745" s="16" t="str">
        <x:v>Public</x:v>
      </x:c>
      <x:c r="E1745" s="34" t="n">
        <x:v>15788</x:v>
      </x:c>
      <x:c r="F1745" s="21" t="n">
        <x:v>0.2074</x:v>
      </x:c>
      <x:c r="G1745" s="16" t="str">
        <x:v>National</x:v>
      </x:c>
      <x:c r="H1745" s="36" t="n">
        <x:f>IF(G1745="National",Assumptions!$B$11,IF(G1745="Statewide",Assumptions!$B$12,Assumptions!$B$13))</x:f>
        <x:v>0.25</x:v>
      </x:c>
      <x:c r="I1745" s="21" t="n">
        <x:v>-0.02712150785096279</x:v>
      </x:c>
      <x:c r="J1745" s="21" t="n">
        <x:v>-0.00693331779648676</x:v>
      </x:c>
      <x:c r="K1745" s="21" t="n">
        <x:v>-0.0873656305532089</x:v>
      </x:c>
      <x:c r="L1745" s="36" t="n">
        <x:f>IF(Assumptions!$B$4=2030,I1745,IF(Assumptions!$B$4=2035,J1745,K1745))</x:f>
        <x:v>-0.00693331779648676</x:v>
      </x:c>
      <x:c r="M1745" s="36" t="n">
        <x:f>Assumptions!$B$19</x:f>
        <x:v>-0.04739891965741583</x:v>
      </x:c>
      <x:c r="N1745" s="52" t="n">
        <x:f>H1745*L1745+(1-H1745)*M1745+O1745</x:f>
        <x:v>-0.03728251919218356</x:v>
      </x:c>
      <x:c r="O1745" s="36" t="n">
        <x:f>Assumptions!$B$10</x:f>
        <x:v>0</x:v>
      </x:c>
      <x:c r="P1745" s="54" t="n">
        <x:f>E1745*(1+N1745)</x:f>
        <x:v>15199.383586993807</x:v>
      </x:c>
      <x:c r="Q1745" s="54" t="n">
        <x:f>P1745-E1745</x:f>
        <x:v>-588.6164130061934</x:v>
      </x:c>
      <x:c r="R1745" s="16" t="str">
        <x:v>Yes</x:v>
      </x:c>
      <x:c r="S1745" s="56" t="n">
        <x:v>23742</x:v>
      </x:c>
      <x:c r="T1745" s="56" t="n">
        <x:v>19459</x:v>
      </x:c>
      <x:c r="U1745" s="40" t="n">
        <x:f>E1745*Assumptions!$B$8</x:f>
        <x:v>13419.8</x:v>
      </x:c>
      <x:c r="V1745" s="40" t="n">
        <x:f>P1745*Assumptions!$B$8</x:f>
        <x:v>12919.476048944734</x:v>
      </x:c>
      <x:c r="W1745" s="54" t="n">
        <x:f>V1745-U1745</x:f>
        <x:v>-500.32395105526484</x:v>
      </x:c>
      <x:c r="X1745" s="58" t="n">
        <x:f>IF(R1745="No","",W1745*S1745)</x:f>
        <x:v>-11878691.245954098</x:v>
      </x:c>
      <x:c r="Y1745" s="58" t="n">
        <x:f>IF(R1745="No","",W1745*T1745*Assumptions!$B$9)</x:f>
        <x:v>-2920741.129075319</x:v>
      </x:c>
      <x:c r="Z1745" s="58" t="n">
        <x:f>IF(R1745="No","",X1745-Y1745)</x:f>
        <x:v>-8957950.11687878</x:v>
      </x:c>
      <x:c r="AA1745" s="58" t="n">
        <x:f>IF(R1745="No","",MAX(0,-Z1745))</x:f>
        <x:v>8957950.11687878</x:v>
      </x:c>
      <x:c r="AB1745" s="52" t="n">
        <x:f>IF(OR(R1745="No",U1745*S1745=0),"",AA1745/(U1745*S1745))</x:f>
        <x:v>0.028115466614969765</x:v>
      </x:c>
      <x:c r="AC1745" s="54" t="n">
        <x:f>IF(OR(R1745="No",S1745-T1745*Assumptions!$B$9&lt;=0),"",AA1745/(Assumptions!$B$8*(S1745-T1745*Assumptions!$B$9)))</x:f>
        <x:v>588.6164130061941</x:v>
      </x:c>
      <x:c r="AD1745" s="52" t="n">
        <x:f>IF(OR(R1745="No",U1745*S1745=0),"",AA1745/(U1745*S1745))</x:f>
        <x:v>0.028115466614969765</x:v>
      </x:c>
      <x:c r="AE1745" s="50" t="str">
        <x:f>IF(R1745="No","No finance data",IF(AB1745&gt;=10%,"Severe",IF(AB1745&gt;=5%,"High",IF(AB1745&gt;=2%,"Moderate","Low"))))</x:f>
        <x:v>Moderate</x:v>
      </x:c>
      <x:c r="AF1745" s="60" t="n">
        <x:v>38.035665</x:v>
      </x:c>
      <x:c r="AG1745" s="60" t="n">
        <x:v>-78.503428</x:v>
      </x:c>
      <x:c r="AH1745" s="44" t="str">
        <x:v>Undergraduate tuition-contribution proxy only; not an audited total institutional budget.</x:v>
      </x:c>
    </x:row>
    <x:row r="1746">
      <x:c r="A1746" s="16" t="n">
        <x:v>234030</x:v>
      </x:c>
      <x:c r="B1746" s="16" t="str">
        <x:v>Virginia Commonwealth University</x:v>
      </x:c>
      <x:c r="C1746" s="16" t="str">
        <x:v>VA</x:v>
      </x:c>
      <x:c r="D1746" s="16" t="str">
        <x:v>Public</x:v>
      </x:c>
      <x:c r="E1746" s="34" t="n">
        <x:v>22389</x:v>
      </x:c>
      <x:c r="F1746" s="21" t="n">
        <x:v>0.9277</x:v>
      </x:c>
      <x:c r="G1746" s="16" t="str">
        <x:v>Statewide</x:v>
      </x:c>
      <x:c r="H1746" s="36" t="n">
        <x:f>IF(G1746="National",Assumptions!$B$11,IF(G1746="Statewide",Assumptions!$B$12,Assumptions!$B$13))</x:f>
        <x:v>0.6</x:v>
      </x:c>
      <x:c r="I1746" s="21" t="n">
        <x:v>-0.02712150785096279</x:v>
      </x:c>
      <x:c r="J1746" s="21" t="n">
        <x:v>-0.00693331779648676</x:v>
      </x:c>
      <x:c r="K1746" s="21" t="n">
        <x:v>-0.0873656305532089</x:v>
      </x:c>
      <x:c r="L1746" s="36" t="n">
        <x:f>IF(Assumptions!$B$4=2030,I1746,IF(Assumptions!$B$4=2035,J1746,K1746))</x:f>
        <x:v>-0.00693331779648676</x:v>
      </x:c>
      <x:c r="M1746" s="36" t="n">
        <x:f>Assumptions!$B$19</x:f>
        <x:v>-0.04739891965741583</x:v>
      </x:c>
      <x:c r="N1746" s="52" t="n">
        <x:f>H1746*L1746+(1-H1746)*M1746+O1746</x:f>
        <x:v>-0.02311955854085839</x:v>
      </x:c>
      <x:c r="O1746" s="36" t="n">
        <x:f>Assumptions!$B$10</x:f>
        <x:v>0</x:v>
      </x:c>
      <x:c r="P1746" s="54" t="n">
        <x:f>E1746*(1+N1746)</x:f>
        <x:v>21871.376203828724</x:v>
      </x:c>
      <x:c r="Q1746" s="54" t="n">
        <x:f>P1746-E1746</x:f>
        <x:v>-517.6237961712759</x:v>
      </x:c>
      <x:c r="R1746" s="16" t="str">
        <x:v>Yes</x:v>
      </x:c>
      <x:c r="S1746" s="56" t="n">
        <x:v>12520</x:v>
      </x:c>
      <x:c r="T1746" s="56" t="n">
        <x:v>14979</x:v>
      </x:c>
      <x:c r="U1746" s="40" t="n">
        <x:f>E1746*Assumptions!$B$8</x:f>
        <x:v>19030.649999999998</x:v>
      </x:c>
      <x:c r="V1746" s="40" t="n">
        <x:f>P1746*Assumptions!$B$8</x:f>
        <x:v>18590.669773254416</x:v>
      </x:c>
      <x:c r="W1746" s="54" t="n">
        <x:f>V1746-U1746</x:f>
        <x:v>-439.9802267455816</x:v>
      </x:c>
      <x:c r="X1746" s="58" t="n">
        <x:f>IF(R1746="No","",W1746*S1746)</x:f>
        <x:v>-5508552.438854681</x:v>
      </x:c>
      <x:c r="Y1746" s="58" t="n">
        <x:f>IF(R1746="No","",W1746*T1746*Assumptions!$B$9)</x:f>
        <x:v>-1977139.14492662</x:v>
      </x:c>
      <x:c r="Z1746" s="58" t="n">
        <x:f>IF(R1746="No","",X1746-Y1746)</x:f>
        <x:v>-3531413.2939280616</x:v>
      </x:c>
      <x:c r="AA1746" s="58" t="n">
        <x:f>IF(R1746="No","",MAX(0,-Z1746))</x:f>
        <x:v>3531413.2939280616</x:v>
      </x:c>
      <x:c r="AB1746" s="52" t="n">
        <x:f>IF(OR(R1746="No",U1746*S1746=0),"",AA1746/(U1746*S1746))</x:f>
        <x:v>0.014821446702595012</x:v>
      </x:c>
      <x:c r="AC1746" s="54" t="n">
        <x:f>IF(OR(R1746="No",S1746-T1746*Assumptions!$B$9&lt;=0),"",AA1746/(Assumptions!$B$8*(S1746-T1746*Assumptions!$B$9)))</x:f>
        <x:v>517.6237961712725</x:v>
      </x:c>
      <x:c r="AD1746" s="52" t="n">
        <x:f>IF(OR(R1746="No",U1746*S1746=0),"",AA1746/(U1746*S1746))</x:f>
        <x:v>0.014821446702595012</x:v>
      </x:c>
      <x:c r="AE1746" s="50" t="str">
        <x:f>IF(R1746="No","No finance data",IF(AB1746&gt;=10%,"Severe",IF(AB1746&gt;=5%,"High",IF(AB1746&gt;=2%,"Moderate","Low"))))</x:f>
        <x:v>Low</x:v>
      </x:c>
      <x:c r="AF1746" s="60" t="n">
        <x:v>37.54962</x:v>
      </x:c>
      <x:c r="AG1746" s="60" t="n">
        <x:v>-77.452697</x:v>
      </x:c>
      <x:c r="AH1746" s="44" t="str">
        <x:v>Undergraduate tuition-contribution proxy only; not an audited total institutional budget.</x:v>
      </x:c>
    </x:row>
    <x:row r="1747">
      <x:c r="A1747" s="16" t="n">
        <x:v>234085</x:v>
      </x:c>
      <x:c r="B1747" s="16" t="str">
        <x:v>Virginia Military Institute</x:v>
      </x:c>
      <x:c r="C1747" s="16" t="str">
        <x:v>VA</x:v>
      </x:c>
      <x:c r="D1747" s="16" t="str">
        <x:v>Public</x:v>
      </x:c>
      <x:c r="E1747" s="34" t="n">
        <x:v>1717</x:v>
      </x:c>
      <x:c r="F1747" s="21" t="n">
        <x:v>0.6391</x:v>
      </x:c>
      <x:c r="G1747" s="16" t="str">
        <x:v>Regional</x:v>
      </x:c>
      <x:c r="H1747" s="36" t="n">
        <x:f>IF(G1747="National",Assumptions!$B$11,IF(G1747="Statewide",Assumptions!$B$12,Assumptions!$B$13))</x:f>
        <x:v>0.85</x:v>
      </x:c>
      <x:c r="I1747" s="21" t="n">
        <x:v>-0.02712150785096279</x:v>
      </x:c>
      <x:c r="J1747" s="21" t="n">
        <x:v>-0.00693331779648676</x:v>
      </x:c>
      <x:c r="K1747" s="21" t="n">
        <x:v>-0.0873656305532089</x:v>
      </x:c>
      <x:c r="L1747" s="36" t="n">
        <x:f>IF(Assumptions!$B$4=2030,I1747,IF(Assumptions!$B$4=2035,J1747,K1747))</x:f>
        <x:v>-0.00693331779648676</x:v>
      </x:c>
      <x:c r="M1747" s="36" t="n">
        <x:f>Assumptions!$B$19</x:f>
        <x:v>-0.04739891965741583</x:v>
      </x:c>
      <x:c r="N1747" s="52" t="n">
        <x:f>H1747*L1747+(1-H1747)*M1747+O1747</x:f>
        <x:v>-0.01300315807562612</x:v>
      </x:c>
      <x:c r="O1747" s="36" t="n">
        <x:f>Assumptions!$B$10</x:f>
        <x:v>0</x:v>
      </x:c>
      <x:c r="P1747" s="54" t="n">
        <x:f>E1747*(1+N1747)</x:f>
        <x:v>1694.6735775841498</x:v>
      </x:c>
      <x:c r="Q1747" s="54" t="n">
        <x:f>P1747-E1747</x:f>
        <x:v>-22.326422415850175</x:v>
      </x:c>
      <x:c r="R1747" s="16" t="str">
        <x:v>Yes</x:v>
      </x:c>
      <x:c r="S1747" s="56" t="n">
        <x:v>16136</x:v>
      </x:c>
      <x:c r="T1747" s="56" t="n">
        <x:v>16708</x:v>
      </x:c>
      <x:c r="U1747" s="40" t="n">
        <x:f>E1747*Assumptions!$B$8</x:f>
        <x:v>1459.45</x:v>
      </x:c>
      <x:c r="V1747" s="40" t="n">
        <x:f>P1747*Assumptions!$B$8</x:f>
        <x:v>1440.4725409465273</x:v>
      </x:c>
      <x:c r="W1747" s="54" t="n">
        <x:f>V1747-U1747</x:f>
        <x:v>-18.977459053472785</x:v>
      </x:c>
      <x:c r="X1747" s="58" t="n">
        <x:f>IF(R1747="No","",W1747*S1747)</x:f>
        <x:v>-306220.27928683686</x:v>
      </x:c>
      <x:c r="Y1747" s="58" t="n">
        <x:f>IF(R1747="No","",W1747*T1747*Assumptions!$B$9)</x:f>
        <x:v>-95122.61575962699</x:v>
      </x:c>
      <x:c r="Z1747" s="58" t="n">
        <x:f>IF(R1747="No","",X1747-Y1747)</x:f>
        <x:v>-211097.66352720986</x:v>
      </x:c>
      <x:c r="AA1747" s="58" t="n">
        <x:f>IF(R1747="No","",MAX(0,-Z1747))</x:f>
        <x:v>211097.66352720986</x:v>
      </x:c>
      <x:c r="AB1747" s="52" t="n">
        <x:f>IF(OR(R1747="No",U1747*S1747=0),"",AA1747/(U1747*S1747))</x:f>
        <x:v>0.008963927191995326</x:v>
      </x:c>
      <x:c r="AC1747" s="54" t="n">
        <x:f>IF(OR(R1747="No",S1747-T1747*Assumptions!$B$9&lt;=0),"",AA1747/(Assumptions!$B$8*(S1747-T1747*Assumptions!$B$9)))</x:f>
        <x:v>22.326422415850335</x:v>
      </x:c>
      <x:c r="AD1747" s="52" t="n">
        <x:f>IF(OR(R1747="No",U1747*S1747=0),"",AA1747/(U1747*S1747))</x:f>
        <x:v>0.008963927191995326</x:v>
      </x:c>
      <x:c r="AE1747" s="50" t="str">
        <x:f>IF(R1747="No","No finance data",IF(AB1747&gt;=10%,"Severe",IF(AB1747&gt;=5%,"High",IF(AB1747&gt;=2%,"Moderate","Low"))))</x:f>
        <x:v>Low</x:v>
      </x:c>
      <x:c r="AF1747" s="60" t="n">
        <x:v>37.7896</x:v>
      </x:c>
      <x:c r="AG1747" s="60" t="n">
        <x:v>-79.437067</x:v>
      </x:c>
      <x:c r="AH1747" s="44" t="str">
        <x:v>Undergraduate tuition-contribution proxy only; not an audited total institutional budget.</x:v>
      </x:c>
    </x:row>
    <x:row r="1748">
      <x:c r="A1748" s="16" t="n">
        <x:v>233921</x:v>
      </x:c>
      <x:c r="B1748" s="16" t="str">
        <x:v>Virginia Polytechnic Institute and State University</x:v>
      </x:c>
      <x:c r="C1748" s="16" t="str">
        <x:v>VA</x:v>
      </x:c>
      <x:c r="D1748" s="16" t="str">
        <x:v>Public</x:v>
      </x:c>
      <x:c r="E1748" s="34" t="n">
        <x:v>25327</x:v>
      </x:c>
      <x:c r="F1748" s="21" t="n">
        <x:v>0.5647</x:v>
      </x:c>
      <x:c r="G1748" s="16" t="str">
        <x:v>National</x:v>
      </x:c>
      <x:c r="H1748" s="36" t="n">
        <x:f>IF(G1748="National",Assumptions!$B$11,IF(G1748="Statewide",Assumptions!$B$12,Assumptions!$B$13))</x:f>
        <x:v>0.25</x:v>
      </x:c>
      <x:c r="I1748" s="21" t="n">
        <x:v>-0.02712150785096279</x:v>
      </x:c>
      <x:c r="J1748" s="21" t="n">
        <x:v>-0.00693331779648676</x:v>
      </x:c>
      <x:c r="K1748" s="21" t="n">
        <x:v>-0.0873656305532089</x:v>
      </x:c>
      <x:c r="L1748" s="36" t="n">
        <x:f>IF(Assumptions!$B$4=2030,I1748,IF(Assumptions!$B$4=2035,J1748,K1748))</x:f>
        <x:v>-0.00693331779648676</x:v>
      </x:c>
      <x:c r="M1748" s="36" t="n">
        <x:f>Assumptions!$B$19</x:f>
        <x:v>-0.04739891965741583</x:v>
      </x:c>
      <x:c r="N1748" s="52" t="n">
        <x:f>H1748*L1748+(1-H1748)*M1748+O1748</x:f>
        <x:v>-0.03728251919218356</x:v>
      </x:c>
      <x:c r="O1748" s="36" t="n">
        <x:f>Assumptions!$B$10</x:f>
        <x:v>0</x:v>
      </x:c>
      <x:c r="P1748" s="54" t="n">
        <x:f>E1748*(1+N1748)</x:f>
        <x:v>24382.745636419568</x:v>
      </x:c>
      <x:c r="Q1748" s="54" t="n">
        <x:f>P1748-E1748</x:f>
        <x:v>-944.2543635804323</x:v>
      </x:c>
      <x:c r="R1748" s="16" t="str">
        <x:v>Yes</x:v>
      </x:c>
      <x:c r="S1748" s="56" t="n">
        <x:v>15314</x:v>
      </x:c>
      <x:c r="T1748" s="56" t="n">
        <x:v>12801</x:v>
      </x:c>
      <x:c r="U1748" s="40" t="n">
        <x:f>E1748*Assumptions!$B$8</x:f>
        <x:v>21527.95</x:v>
      </x:c>
      <x:c r="V1748" s="40" t="n">
        <x:f>P1748*Assumptions!$B$8</x:f>
        <x:v>20725.333790956633</x:v>
      </x:c>
      <x:c r="W1748" s="54" t="n">
        <x:f>V1748-U1748</x:f>
        <x:v>-802.6162090433681</x:v>
      </x:c>
      <x:c r="X1748" s="58" t="n">
        <x:f>IF(R1748="No","",W1748*S1748)</x:f>
        <x:v>-12291264.62529014</x:v>
      </x:c>
      <x:c r="Y1748" s="58" t="n">
        <x:f>IF(R1748="No","",W1748*T1748*Assumptions!$B$9)</x:f>
        <x:v>-3082287.0275892466</x:v>
      </x:c>
      <x:c r="Z1748" s="58" t="n">
        <x:f>IF(R1748="No","",X1748-Y1748)</x:f>
        <x:v>-9208977.597700894</x:v>
      </x:c>
      <x:c r="AA1748" s="58" t="n">
        <x:f>IF(R1748="No","",MAX(0,-Z1748))</x:f>
        <x:v>9208977.597700894</x:v>
      </x:c>
      <x:c r="AB1748" s="52" t="n">
        <x:f>IF(OR(R1748="No",U1748*S1748=0),"",AA1748/(U1748*S1748))</x:f>
        <x:v>0.027933161842455045</x:v>
      </x:c>
      <x:c r="AC1748" s="54" t="n">
        <x:f>IF(OR(R1748="No",S1748-T1748*Assumptions!$B$9&lt;=0),"",AA1748/(Assumptions!$B$8*(S1748-T1748*Assumptions!$B$9)))</x:f>
        <x:v>944.2543635804332</x:v>
      </x:c>
      <x:c r="AD1748" s="52" t="n">
        <x:f>IF(OR(R1748="No",U1748*S1748=0),"",AA1748/(U1748*S1748))</x:f>
        <x:v>0.027933161842455045</x:v>
      </x:c>
      <x:c r="AE1748" s="50" t="str">
        <x:f>IF(R1748="No","No finance data",IF(AB1748&gt;=10%,"Severe",IF(AB1748&gt;=5%,"High",IF(AB1748&gt;=2%,"Moderate","Low"))))</x:f>
        <x:v>Moderate</x:v>
      </x:c>
      <x:c r="AF1748" s="60" t="n">
        <x:v>37.229012</x:v>
      </x:c>
      <x:c r="AG1748" s="60" t="n">
        <x:v>-80.423675</x:v>
      </x:c>
      <x:c r="AH1748" s="44" t="str">
        <x:v>Undergraduate tuition-contribution proxy only; not an audited total institutional budget.</x:v>
      </x:c>
    </x:row>
    <x:row r="1749">
      <x:c r="A1749" s="16" t="n">
        <x:v>234155</x:v>
      </x:c>
      <x:c r="B1749" s="16" t="str">
        <x:v>Virginia State University</x:v>
      </x:c>
      <x:c r="C1749" s="16" t="str">
        <x:v>VA</x:v>
      </x:c>
      <x:c r="D1749" s="16" t="str">
        <x:v>Public</x:v>
      </x:c>
      <x:c r="E1749" s="34" t="n">
        <x:v>4176</x:v>
      </x:c>
      <x:c r="F1749" s="21" t="n">
        <x:v>0.9608</x:v>
      </x:c>
      <x:c r="G1749" s="16" t="str">
        <x:v>Regional</x:v>
      </x:c>
      <x:c r="H1749" s="36" t="n">
        <x:f>IF(G1749="National",Assumptions!$B$11,IF(G1749="Statewide",Assumptions!$B$12,Assumptions!$B$13))</x:f>
        <x:v>0.85</x:v>
      </x:c>
      <x:c r="I1749" s="21" t="n">
        <x:v>-0.02712150785096279</x:v>
      </x:c>
      <x:c r="J1749" s="21" t="n">
        <x:v>-0.00693331779648676</x:v>
      </x:c>
      <x:c r="K1749" s="21" t="n">
        <x:v>-0.0873656305532089</x:v>
      </x:c>
      <x:c r="L1749" s="36" t="n">
        <x:f>IF(Assumptions!$B$4=2030,I1749,IF(Assumptions!$B$4=2035,J1749,K1749))</x:f>
        <x:v>-0.00693331779648676</x:v>
      </x:c>
      <x:c r="M1749" s="36" t="n">
        <x:f>Assumptions!$B$19</x:f>
        <x:v>-0.04739891965741583</x:v>
      </x:c>
      <x:c r="N1749" s="52" t="n">
        <x:f>H1749*L1749+(1-H1749)*M1749+O1749</x:f>
        <x:v>-0.01300315807562612</x:v>
      </x:c>
      <x:c r="O1749" s="36" t="n">
        <x:f>Assumptions!$B$10</x:f>
        <x:v>0</x:v>
      </x:c>
      <x:c r="P1749" s="54" t="n">
        <x:f>E1749*(1+N1749)</x:f>
        <x:v>4121.698811876186</x:v>
      </x:c>
      <x:c r="Q1749" s="54" t="n">
        <x:f>P1749-E1749</x:f>
        <x:v>-54.30118812381443</x:v>
      </x:c>
      <x:c r="R1749" s="16" t="str">
        <x:v>Yes</x:v>
      </x:c>
      <x:c r="S1749" s="56" t="n">
        <x:v>6286</x:v>
      </x:c>
      <x:c r="T1749" s="56" t="n">
        <x:v>10428</x:v>
      </x:c>
      <x:c r="U1749" s="40" t="n">
        <x:f>E1749*Assumptions!$B$8</x:f>
        <x:v>3549.6</x:v>
      </x:c>
      <x:c r="V1749" s="40" t="n">
        <x:f>P1749*Assumptions!$B$8</x:f>
        <x:v>3503.4439900947577</x:v>
      </x:c>
      <x:c r="W1749" s="54" t="n">
        <x:f>V1749-U1749</x:f>
        <x:v>-46.15600990524217</x:v>
      </x:c>
      <x:c r="X1749" s="58" t="n">
        <x:f>IF(R1749="No","",W1749*S1749)</x:f>
        <x:v>-290136.6782643523</x:v>
      </x:c>
      <x:c r="Y1749" s="58" t="n">
        <x:f>IF(R1749="No","",W1749*T1749*Assumptions!$B$9)</x:f>
        <x:v>-144394.4613875596</x:v>
      </x:c>
      <x:c r="Z1749" s="58" t="n">
        <x:f>IF(R1749="No","",X1749-Y1749)</x:f>
        <x:v>-145742.21687679272</x:v>
      </x:c>
      <x:c r="AA1749" s="58" t="n">
        <x:f>IF(R1749="No","",MAX(0,-Z1749))</x:f>
        <x:v>145742.21687679272</x:v>
      </x:c>
      <x:c r="AB1749" s="52" t="n">
        <x:f>IF(OR(R1749="No",U1749*S1749=0),"",AA1749/(U1749*S1749))</x:f>
        <x:v>0.006531780454915173</x:v>
      </x:c>
      <x:c r="AC1749" s="54" t="n">
        <x:f>IF(OR(R1749="No",S1749-T1749*Assumptions!$B$9&lt;=0),"",AA1749/(Assumptions!$B$8*(S1749-T1749*Assumptions!$B$9)))</x:f>
        <x:v>54.301188123814335</x:v>
      </x:c>
      <x:c r="AD1749" s="52" t="n">
        <x:f>IF(OR(R1749="No",U1749*S1749=0),"",AA1749/(U1749*S1749))</x:f>
        <x:v>0.006531780454915173</x:v>
      </x:c>
      <x:c r="AE1749" s="50" t="str">
        <x:f>IF(R1749="No","No finance data",IF(AB1749&gt;=10%,"Severe",IF(AB1749&gt;=5%,"High",IF(AB1749&gt;=2%,"Moderate","Low"))))</x:f>
        <x:v>Low</x:v>
      </x:c>
      <x:c r="AF1749" s="60" t="n">
        <x:v>37.234692</x:v>
      </x:c>
      <x:c r="AG1749" s="60" t="n">
        <x:v>-77.419026</x:v>
      </x:c>
      <x:c r="AH1749" s="44" t="str">
        <x:v>Undergraduate tuition-contribution proxy only; not an audited total institutional budget.</x:v>
      </x:c>
    </x:row>
    <x:row r="1750">
      <x:c r="A1750" s="16" t="n">
        <x:v>234164</x:v>
      </x:c>
      <x:c r="B1750" s="16" t="str">
        <x:v>Virginia Union University</x:v>
      </x:c>
      <x:c r="C1750" s="16" t="str">
        <x:v>VA</x:v>
      </x:c>
      <x:c r="D1750" s="16" t="str">
        <x:v>Private nonprofit</x:v>
      </x:c>
      <x:c r="E1750" s="34" t="n">
        <x:v>1435</x:v>
      </x:c>
      <x:c r="F1750" s="21" t="n">
        <x:v>0.9378</x:v>
      </x:c>
      <x:c r="G1750" s="16" t="str">
        <x:v>Regional</x:v>
      </x:c>
      <x:c r="H1750" s="36" t="n">
        <x:f>IF(G1750="National",Assumptions!$B$11,IF(G1750="Statewide",Assumptions!$B$12,Assumptions!$B$13))</x:f>
        <x:v>0.85</x:v>
      </x:c>
      <x:c r="I1750" s="21" t="n">
        <x:v>-0.02712150785096279</x:v>
      </x:c>
      <x:c r="J1750" s="21" t="n">
        <x:v>-0.00693331779648676</x:v>
      </x:c>
      <x:c r="K1750" s="21" t="n">
        <x:v>-0.0873656305532089</x:v>
      </x:c>
      <x:c r="L1750" s="36" t="n">
        <x:f>IF(Assumptions!$B$4=2030,I1750,IF(Assumptions!$B$4=2035,J1750,K1750))</x:f>
        <x:v>-0.00693331779648676</x:v>
      </x:c>
      <x:c r="M1750" s="36" t="n">
        <x:f>Assumptions!$B$19</x:f>
        <x:v>-0.04739891965741583</x:v>
      </x:c>
      <x:c r="N1750" s="52" t="n">
        <x:f>H1750*L1750+(1-H1750)*M1750+O1750</x:f>
        <x:v>-0.01300315807562612</x:v>
      </x:c>
      <x:c r="O1750" s="36" t="n">
        <x:f>Assumptions!$B$10</x:f>
        <x:v>0</x:v>
      </x:c>
      <x:c r="P1750" s="54" t="n">
        <x:f>E1750*(1+N1750)</x:f>
        <x:v>1416.3404681614766</x:v>
      </x:c>
      <x:c r="Q1750" s="54" t="n">
        <x:f>P1750-E1750</x:f>
        <x:v>-18.659531838523435</x:v>
      </x:c>
      <x:c r="R1750" s="16" t="str">
        <x:v>Yes</x:v>
      </x:c>
      <x:c r="S1750" s="56" t="n">
        <x:v>12914</x:v>
      </x:c>
      <x:c r="T1750" s="56" t="n">
        <x:v>9614</x:v>
      </x:c>
      <x:c r="U1750" s="40" t="n">
        <x:f>E1750*Assumptions!$B$8</x:f>
        <x:v>1219.75</x:v>
      </x:c>
      <x:c r="V1750" s="40" t="n">
        <x:f>P1750*Assumptions!$B$8</x:f>
        <x:v>1203.8893979372551</x:v>
      </x:c>
      <x:c r="W1750" s="54" t="n">
        <x:f>V1750-U1750</x:f>
        <x:v>-15.860602062744874</x:v>
      </x:c>
      <x:c r="X1750" s="58" t="n">
        <x:f>IF(R1750="No","",W1750*S1750)</x:f>
        <x:v>-204823.8150382873</x:v>
      </x:c>
      <x:c r="Y1750" s="58" t="n">
        <x:f>IF(R1750="No","",W1750*T1750*Assumptions!$B$9)</x:f>
        <x:v>-45745.14846936876</x:v>
      </x:c>
      <x:c r="Z1750" s="58" t="n">
        <x:f>IF(R1750="No","",X1750-Y1750)</x:f>
        <x:v>-159078.66656891856</x:v>
      </x:c>
      <x:c r="AA1750" s="58" t="n">
        <x:f>IF(R1750="No","",MAX(0,-Z1750))</x:f>
        <x:v>159078.66656891856</x:v>
      </x:c>
      <x:c r="AB1750" s="52" t="n">
        <x:f>IF(OR(R1750="No",U1750*S1750=0),"",AA1750/(U1750*S1750))</x:f>
        <x:v>0.01009904559911059</x:v>
      </x:c>
      <x:c r="AC1750" s="54" t="n">
        <x:f>IF(OR(R1750="No",S1750-T1750*Assumptions!$B$9&lt;=0),"",AA1750/(Assumptions!$B$8*(S1750-T1750*Assumptions!$B$9)))</x:f>
        <x:v>18.659531838523385</x:v>
      </x:c>
      <x:c r="AD1750" s="52" t="n">
        <x:f>IF(OR(R1750="No",U1750*S1750=0),"",AA1750/(U1750*S1750))</x:f>
        <x:v>0.01009904559911059</x:v>
      </x:c>
      <x:c r="AE1750" s="50" t="str">
        <x:f>IF(R1750="No","No finance data",IF(AB1750&gt;=10%,"Severe",IF(AB1750&gt;=5%,"High",IF(AB1750&gt;=2%,"Moderate","Low"))))</x:f>
        <x:v>Low</x:v>
      </x:c>
      <x:c r="AF1750" s="60" t="n">
        <x:v>37.562405</x:v>
      </x:c>
      <x:c r="AG1750" s="60" t="n">
        <x:v>-77.450903</x:v>
      </x:c>
      <x:c r="AH1750" s="44" t="str">
        <x:v>Undergraduate tuition-contribution proxy only; not an audited total institutional budget.</x:v>
      </x:c>
    </x:row>
    <x:row r="1751">
      <x:c r="A1751" s="16" t="n">
        <x:v>234173</x:v>
      </x:c>
      <x:c r="B1751" s="16" t="str">
        <x:v>Virginia Wesleyan College</x:v>
      </x:c>
      <x:c r="C1751" s="16" t="str">
        <x:v>VA</x:v>
      </x:c>
      <x:c r="D1751" s="16" t="str">
        <x:v>Private nonprofit</x:v>
      </x:c>
      <x:c r="E1751" s="34" t="n">
        <x:v>1402</x:v>
      </x:c>
      <x:c r="F1751" s="21" t="n">
        <x:v>0.8637</x:v>
      </x:c>
      <x:c r="G1751" s="16" t="str">
        <x:v>Regional</x:v>
      </x:c>
      <x:c r="H1751" s="36" t="n">
        <x:f>IF(G1751="National",Assumptions!$B$11,IF(G1751="Statewide",Assumptions!$B$12,Assumptions!$B$13))</x:f>
        <x:v>0.85</x:v>
      </x:c>
      <x:c r="I1751" s="21" t="n">
        <x:v>-0.02712150785096279</x:v>
      </x:c>
      <x:c r="J1751" s="21" t="n">
        <x:v>-0.00693331779648676</x:v>
      </x:c>
      <x:c r="K1751" s="21" t="n">
        <x:v>-0.0873656305532089</x:v>
      </x:c>
      <x:c r="L1751" s="36" t="n">
        <x:f>IF(Assumptions!$B$4=2030,I1751,IF(Assumptions!$B$4=2035,J1751,K1751))</x:f>
        <x:v>-0.00693331779648676</x:v>
      </x:c>
      <x:c r="M1751" s="36" t="n">
        <x:f>Assumptions!$B$19</x:f>
        <x:v>-0.04739891965741583</x:v>
      </x:c>
      <x:c r="N1751" s="52" t="n">
        <x:f>H1751*L1751+(1-H1751)*M1751+O1751</x:f>
        <x:v>-0.01300315807562612</x:v>
      </x:c>
      <x:c r="O1751" s="36" t="n">
        <x:f>Assumptions!$B$10</x:f>
        <x:v>0</x:v>
      </x:c>
      <x:c r="P1751" s="54" t="n">
        <x:f>E1751*(1+N1751)</x:f>
        <x:v>1383.769572377972</x:v>
      </x:c>
      <x:c r="Q1751" s="54" t="n">
        <x:f>P1751-E1751</x:f>
        <x:v>-18.230427622027946</x:v>
      </x:c>
      <x:c r="R1751" s="16" t="str">
        <x:v>Yes</x:v>
      </x:c>
      <x:c r="S1751" s="56" t="n">
        <x:v>13790</x:v>
      </x:c>
      <x:c r="T1751" s="56" t="n">
        <x:v>10254</x:v>
      </x:c>
      <x:c r="U1751" s="40" t="n">
        <x:f>E1751*Assumptions!$B$8</x:f>
        <x:v>1191.7</x:v>
      </x:c>
      <x:c r="V1751" s="40" t="n">
        <x:f>P1751*Assumptions!$B$8</x:f>
        <x:v>1176.2041365212763</x:v>
      </x:c>
      <x:c r="W1751" s="54" t="n">
        <x:f>V1751-U1751</x:f>
        <x:v>-15.495863478723777</x:v>
      </x:c>
      <x:c r="X1751" s="58" t="n">
        <x:f>IF(R1751="No","",W1751*S1751)</x:f>
        <x:v>-213687.95737160087</x:v>
      </x:c>
      <x:c r="Y1751" s="58" t="n">
        <x:f>IF(R1751="No","",W1751*T1751*Assumptions!$B$9)</x:f>
        <x:v>-47668.37523325008</x:v>
      </x:c>
      <x:c r="Z1751" s="58" t="n">
        <x:f>IF(R1751="No","",X1751-Y1751)</x:f>
        <x:v>-166019.5821383508</x:v>
      </x:c>
      <x:c r="AA1751" s="58" t="n">
        <x:f>IF(R1751="No","",MAX(0,-Z1751))</x:f>
        <x:v>166019.5821383508</x:v>
      </x:c>
      <x:c r="AB1751" s="52" t="n">
        <x:f>IF(OR(R1751="No",U1751*S1751=0),"",AA1751/(U1751*S1751))</x:f>
        <x:v>0.010102482595405676</x:v>
      </x:c>
      <x:c r="AC1751" s="54" t="n">
        <x:f>IF(OR(R1751="No",S1751-T1751*Assumptions!$B$9&lt;=0),"",AA1751/(Assumptions!$B$8*(S1751-T1751*Assumptions!$B$9)))</x:f>
        <x:v>18.23042762202797</x:v>
      </x:c>
      <x:c r="AD1751" s="52" t="n">
        <x:f>IF(OR(R1751="No",U1751*S1751=0),"",AA1751/(U1751*S1751))</x:f>
        <x:v>0.010102482595405676</x:v>
      </x:c>
      <x:c r="AE1751" s="50" t="str">
        <x:f>IF(R1751="No","No finance data",IF(AB1751&gt;=10%,"Severe",IF(AB1751&gt;=5%,"High",IF(AB1751&gt;=2%,"Moderate","Low"))))</x:f>
        <x:v>Low</x:v>
      </x:c>
      <x:c r="AF1751" s="60" t="n">
        <x:v>36.868417</x:v>
      </x:c>
      <x:c r="AG1751" s="60" t="n">
        <x:v>-76.18606</x:v>
      </x:c>
      <x:c r="AH1751" s="44" t="str">
        <x:v>Undergraduate tuition-contribution proxy only; not an audited total institutional budget.</x:v>
      </x:c>
    </x:row>
    <x:row r="1752">
      <x:c r="A1752" s="16" t="n">
        <x:v>234207</x:v>
      </x:c>
      <x:c r="B1752" s="16" t="str">
        <x:v>Washington and Lee University</x:v>
      </x:c>
      <x:c r="C1752" s="16" t="str">
        <x:v>VA</x:v>
      </x:c>
      <x:c r="D1752" s="16" t="str">
        <x:v>Private nonprofit</x:v>
      </x:c>
      <x:c r="E1752" s="34" t="n">
        <x:v>1844</x:v>
      </x:c>
      <x:c r="F1752" s="21" t="n">
        <x:v>0.1885</x:v>
      </x:c>
      <x:c r="G1752" s="16" t="str">
        <x:v>National</x:v>
      </x:c>
      <x:c r="H1752" s="36" t="n">
        <x:f>IF(G1752="National",Assumptions!$B$11,IF(G1752="Statewide",Assumptions!$B$12,Assumptions!$B$13))</x:f>
        <x:v>0.25</x:v>
      </x:c>
      <x:c r="I1752" s="21" t="n">
        <x:v>-0.02712150785096279</x:v>
      </x:c>
      <x:c r="J1752" s="21" t="n">
        <x:v>-0.00693331779648676</x:v>
      </x:c>
      <x:c r="K1752" s="21" t="n">
        <x:v>-0.0873656305532089</x:v>
      </x:c>
      <x:c r="L1752" s="36" t="n">
        <x:f>IF(Assumptions!$B$4=2030,I1752,IF(Assumptions!$B$4=2035,J1752,K1752))</x:f>
        <x:v>-0.00693331779648676</x:v>
      </x:c>
      <x:c r="M1752" s="36" t="n">
        <x:f>Assumptions!$B$19</x:f>
        <x:v>-0.04739891965741583</x:v>
      </x:c>
      <x:c r="N1752" s="52" t="n">
        <x:f>H1752*L1752+(1-H1752)*M1752+O1752</x:f>
        <x:v>-0.03728251919218356</x:v>
      </x:c>
      <x:c r="O1752" s="36" t="n">
        <x:f>Assumptions!$B$10</x:f>
        <x:v>0</x:v>
      </x:c>
      <x:c r="P1752" s="54" t="n">
        <x:f>E1752*(1+N1752)</x:f>
        <x:v>1775.2510346096137</x:v>
      </x:c>
      <x:c r="Q1752" s="54" t="n">
        <x:f>P1752-E1752</x:f>
        <x:v>-68.74896539038627</x:v>
      </x:c>
      <x:c r="R1752" s="16" t="str">
        <x:v>Yes</x:v>
      </x:c>
      <x:c r="S1752" s="56" t="n">
        <x:v>31400</x:v>
      </x:c>
      <x:c r="T1752" s="56" t="n">
        <x:v>35421</x:v>
      </x:c>
      <x:c r="U1752" s="40" t="n">
        <x:f>E1752*Assumptions!$B$8</x:f>
        <x:v>1567.3999999999999</x:v>
      </x:c>
      <x:c r="V1752" s="40" t="n">
        <x:f>P1752*Assumptions!$B$8</x:f>
        <x:v>1508.9633794181716</x:v>
      </x:c>
      <x:c r="W1752" s="54" t="n">
        <x:f>V1752-U1752</x:f>
        <x:v>-58.436620581828265</x:v>
      </x:c>
      <x:c r="X1752" s="58" t="n">
        <x:f>IF(R1752="No","",W1752*S1752)</x:f>
        <x:v>-1834909.8862694076</x:v>
      </x:c>
      <x:c r="Y1752" s="58" t="n">
        <x:f>IF(R1752="No","",W1752*T1752*Assumptions!$B$9)</x:f>
        <x:v>-620965.0612886817</x:v>
      </x:c>
      <x:c r="Z1752" s="58" t="n">
        <x:f>IF(R1752="No","",X1752-Y1752)</x:f>
        <x:v>-1213944.824980726</x:v>
      </x:c>
      <x:c r="AA1752" s="58" t="n">
        <x:f>IF(R1752="No","",MAX(0,-Z1752))</x:f>
        <x:v>1213944.824980726</x:v>
      </x:c>
      <x:c r="AB1752" s="52" t="n">
        <x:f>IF(OR(R1752="No",U1752*S1752=0),"",AA1752/(U1752*S1752))</x:f>
        <x:v>0.02466547353320575</x:v>
      </x:c>
      <x:c r="AC1752" s="54" t="n">
        <x:f>IF(OR(R1752="No",S1752-T1752*Assumptions!$B$9&lt;=0),"",AA1752/(Assumptions!$B$8*(S1752-T1752*Assumptions!$B$9)))</x:f>
        <x:v>68.7489653903862</x:v>
      </x:c>
      <x:c r="AD1752" s="52" t="n">
        <x:f>IF(OR(R1752="No",U1752*S1752=0),"",AA1752/(U1752*S1752))</x:f>
        <x:v>0.02466547353320575</x:v>
      </x:c>
      <x:c r="AE1752" s="50" t="str">
        <x:f>IF(R1752="No","No finance data",IF(AB1752&gt;=10%,"Severe",IF(AB1752&gt;=5%,"High",IF(AB1752&gt;=2%,"Moderate","Low"))))</x:f>
        <x:v>Moderate</x:v>
      </x:c>
      <x:c r="AF1752" s="60" t="n">
        <x:v>37.788939</x:v>
      </x:c>
      <x:c r="AG1752" s="60" t="n">
        <x:v>-79.443018</x:v>
      </x:c>
      <x:c r="AH1752" s="44" t="str">
        <x:v>Undergraduate tuition-contribution proxy only; not an audited total institutional budget.</x:v>
      </x:c>
    </x:row>
    <x:row r="1753">
      <x:c r="A1753" s="16" t="n">
        <x:v>243665</x:v>
      </x:c>
      <x:c r="B1753" s="16" t="str">
        <x:v>University of the Virgin Islands</x:v>
      </x:c>
      <x:c r="C1753" s="16" t="str">
        <x:v>VI</x:v>
      </x:c>
      <x:c r="D1753" s="16" t="str">
        <x:v>Public</x:v>
      </x:c>
      <x:c r="E1753" s="34" t="n">
        <x:v>2022</x:v>
      </x:c>
      <x:c r="F1753" s="21" t="n">
        <x:v>0.9841</x:v>
      </x:c>
      <x:c r="G1753" s="16" t="str">
        <x:v>Regional</x:v>
      </x:c>
      <x:c r="H1753" s="36" t="n">
        <x:f>IF(G1753="National",Assumptions!$B$11,IF(G1753="Statewide",Assumptions!$B$12,Assumptions!$B$13))</x:f>
        <x:v>0.85</x:v>
      </x:c>
      <x:c r="I1753" s="21" t="n">
        <x:v>-0.048361979489554896</x:v>
      </x:c>
      <x:c r="J1753" s="21" t="n">
        <x:v>-0.04739891965741583</x:v>
      </x:c>
      <x:c r="K1753" s="21" t="n">
        <x:v>-0.11013505452010375</x:v>
      </x:c>
      <x:c r="L1753" s="36" t="n">
        <x:f>IF(Assumptions!$B$4=2030,I1753,IF(Assumptions!$B$4=2035,J1753,K1753))</x:f>
        <x:v>-0.04739891965741583</x:v>
      </x:c>
      <x:c r="M1753" s="36" t="n">
        <x:f>Assumptions!$B$19</x:f>
        <x:v>-0.04739891965741583</x:v>
      </x:c>
      <x:c r="N1753" s="52" t="n">
        <x:f>H1753*L1753+(1-H1753)*M1753+O1753</x:f>
        <x:v>-0.04739891965741583</x:v>
      </x:c>
      <x:c r="O1753" s="36" t="n">
        <x:f>Assumptions!$B$10</x:f>
        <x:v>0</x:v>
      </x:c>
      <x:c r="P1753" s="54" t="n">
        <x:f>E1753*(1+N1753)</x:f>
        <x:v>1926.1593844527051</x:v>
      </x:c>
      <x:c r="Q1753" s="54" t="n">
        <x:f>P1753-E1753</x:f>
        <x:v>-95.84061554729487</x:v>
      </x:c>
      <x:c r="R1753" s="16" t="str">
        <x:v>Yes</x:v>
      </x:c>
      <x:c r="S1753" s="56" t="n">
        <x:v>6402</x:v>
      </x:c>
      <x:c r="T1753" s="56" t="n">
        <x:v>9030</x:v>
      </x:c>
      <x:c r="U1753" s="40" t="n">
        <x:f>E1753*Assumptions!$B$8</x:f>
        <x:v>1718.7</x:v>
      </x:c>
      <x:c r="V1753" s="40" t="n">
        <x:f>P1753*Assumptions!$B$8</x:f>
        <x:v>1637.2354767847994</x:v>
      </x:c>
      <x:c r="W1753" s="54" t="n">
        <x:f>V1753-U1753</x:f>
        <x:v>-81.46452321520064</x:v>
      </x:c>
      <x:c r="X1753" s="58" t="n">
        <x:f>IF(R1753="No","",W1753*S1753)</x:f>
        <x:v>-521535.8776237145</x:v>
      </x:c>
      <x:c r="Y1753" s="58" t="n">
        <x:f>IF(R1753="No","",W1753*T1753*Assumptions!$B$9)</x:f>
        <x:v>-220687.39338997853</x:v>
      </x:c>
      <x:c r="Z1753" s="58" t="n">
        <x:f>IF(R1753="No","",X1753-Y1753)</x:f>
        <x:v>-300848.48423373594</x:v>
      </x:c>
      <x:c r="AA1753" s="58" t="n">
        <x:f>IF(R1753="No","",MAX(0,-Z1753))</x:f>
        <x:v>300848.48423373594</x:v>
      </x:c>
      <x:c r="AB1753" s="52" t="n">
        <x:f>IF(OR(R1753="No",U1753*S1753=0),"",AA1753/(U1753*S1753))</x:f>
        <x:v>0.027342113448115705</x:v>
      </x:c>
      <x:c r="AC1753" s="54" t="n">
        <x:f>IF(OR(R1753="No",S1753-T1753*Assumptions!$B$9&lt;=0),"",AA1753/(Assumptions!$B$8*(S1753-T1753*Assumptions!$B$9)))</x:f>
        <x:v>95.84061554729487</x:v>
      </x:c>
      <x:c r="AD1753" s="52" t="n">
        <x:f>IF(OR(R1753="No",U1753*S1753=0),"",AA1753/(U1753*S1753))</x:f>
        <x:v>0.027342113448115705</x:v>
      </x:c>
      <x:c r="AE1753" s="50" t="str">
        <x:f>IF(R1753="No","No finance data",IF(AB1753&gt;=10%,"Severe",IF(AB1753&gt;=5%,"High",IF(AB1753&gt;=2%,"Moderate","Low"))))</x:f>
        <x:v>Moderate</x:v>
      </x:c>
      <x:c r="AF1753" s="60" t="n">
        <x:v>18.344193</x:v>
      </x:c>
      <x:c r="AG1753" s="60" t="n">
        <x:v>-64.972866</x:v>
      </x:c>
      <x:c r="AH1753" s="44" t="str">
        <x:v>Undergraduate tuition-contribution proxy only; not an audited total institutional budget.</x:v>
      </x:c>
    </x:row>
    <x:row r="1754">
      <x:c r="A1754" s="16" t="n">
        <x:v>230816</x:v>
      </x:c>
      <x:c r="B1754" s="16" t="str">
        <x:v>Bennington College</x:v>
      </x:c>
      <x:c r="C1754" s="16" t="str">
        <x:v>VT</x:v>
      </x:c>
      <x:c r="D1754" s="16" t="str">
        <x:v>Private nonprofit</x:v>
      </x:c>
      <x:c r="E1754" s="34" t="n">
        <x:v>683</x:v>
      </x:c>
      <x:c r="F1754" s="21" t="n">
        <x:v>0.6692</x:v>
      </x:c>
      <x:c r="G1754" s="16" t="str">
        <x:v>Regional</x:v>
      </x:c>
      <x:c r="H1754" s="36" t="n">
        <x:f>IF(G1754="National",Assumptions!$B$11,IF(G1754="Statewide",Assumptions!$B$12,Assumptions!$B$13))</x:f>
        <x:v>0.85</x:v>
      </x:c>
      <x:c r="I1754" s="21" t="n">
        <x:v>-0.056913348145616105</x:v>
      </x:c>
      <x:c r="J1754" s="21" t="n">
        <x:v>-0.05930610152110749</x:v>
      </x:c>
      <x:c r="K1754" s="21" t="n">
        <x:v>-0.15894718851478384</x:v>
      </x:c>
      <x:c r="L1754" s="36" t="n">
        <x:f>IF(Assumptions!$B$4=2030,I1754,IF(Assumptions!$B$4=2035,J1754,K1754))</x:f>
        <x:v>-0.05930610152110749</x:v>
      </x:c>
      <x:c r="M1754" s="36" t="n">
        <x:f>Assumptions!$B$19</x:f>
        <x:v>-0.04739891965741583</x:v>
      </x:c>
      <x:c r="N1754" s="52" t="n">
        <x:f>H1754*L1754+(1-H1754)*M1754+O1754</x:f>
        <x:v>-0.057520024241553745</x:v>
      </x:c>
      <x:c r="O1754" s="36" t="n">
        <x:f>Assumptions!$B$10</x:f>
        <x:v>0</x:v>
      </x:c>
      <x:c r="P1754" s="54" t="n">
        <x:f>E1754*(1+N1754)</x:f>
        <x:v>643.7138234430188</x:v>
      </x:c>
      <x:c r="Q1754" s="54" t="n">
        <x:f>P1754-E1754</x:f>
        <x:v>-39.28617655698122</x:v>
      </x:c>
      <x:c r="R1754" s="16" t="str">
        <x:v>Yes</x:v>
      </x:c>
      <x:c r="S1754" s="56" t="n">
        <x:v>25625</x:v>
      </x:c>
      <x:c r="T1754" s="56" t="n">
        <x:v>19869</x:v>
      </x:c>
      <x:c r="U1754" s="40" t="n">
        <x:f>E1754*Assumptions!$B$8</x:f>
        <x:v>580.55</x:v>
      </x:c>
      <x:c r="V1754" s="40" t="n">
        <x:f>P1754*Assumptions!$B$8</x:f>
        <x:v>547.1567499265659</x:v>
      </x:c>
      <x:c r="W1754" s="54" t="n">
        <x:f>V1754-U1754</x:f>
        <x:v>-33.39325007343405</x:v>
      </x:c>
      <x:c r="X1754" s="58" t="n">
        <x:f>IF(R1754="No","",W1754*S1754)</x:f>
        <x:v>-855702.0331317474</x:v>
      </x:c>
      <x:c r="Y1754" s="58" t="n">
        <x:f>IF(R1754="No","",W1754*T1754*Assumptions!$B$9)</x:f>
        <x:v>-199047.1457127183</x:v>
      </x:c>
      <x:c r="Z1754" s="58" t="n">
        <x:f>IF(R1754="No","",X1754-Y1754)</x:f>
        <x:v>-656654.8874190291</x:v>
      </x:c>
      <x:c r="AA1754" s="58" t="n">
        <x:f>IF(R1754="No","",MAX(0,-Z1754))</x:f>
        <x:v>656654.8874190291</x:v>
      </x:c>
      <x:c r="AB1754" s="52" t="n">
        <x:f>IF(OR(R1754="No",U1754*S1754=0),"",AA1754/(U1754*S1754))</x:f>
        <x:v>0.044140137080709706</x:v>
      </x:c>
      <x:c r="AC1754" s="54" t="n">
        <x:f>IF(OR(R1754="No",S1754-T1754*Assumptions!$B$9&lt;=0),"",AA1754/(Assumptions!$B$8*(S1754-T1754*Assumptions!$B$9)))</x:f>
        <x:v>39.28617655698123</x:v>
      </x:c>
      <x:c r="AD1754" s="52" t="n">
        <x:f>IF(OR(R1754="No",U1754*S1754=0),"",AA1754/(U1754*S1754))</x:f>
        <x:v>0.044140137080709706</x:v>
      </x:c>
      <x:c r="AE1754" s="50" t="str">
        <x:f>IF(R1754="No","No finance data",IF(AB1754&gt;=10%,"Severe",IF(AB1754&gt;=5%,"High",IF(AB1754&gt;=2%,"Moderate","Low"))))</x:f>
        <x:v>Moderate</x:v>
      </x:c>
      <x:c r="AF1754" s="60" t="n">
        <x:v>42.919547</x:v>
      </x:c>
      <x:c r="AG1754" s="60" t="n">
        <x:v>-73.237799</x:v>
      </x:c>
      <x:c r="AH1754" s="44" t="str">
        <x:v>Undergraduate tuition-contribution proxy only; not an audited total institutional budget.</x:v>
      </x:c>
    </x:row>
    <x:row r="1755">
      <x:c r="A1755" s="16" t="n">
        <x:v>230834</x:v>
      </x:c>
      <x:c r="B1755" s="16" t="str">
        <x:v>Castleton University</x:v>
      </x:c>
      <x:c r="C1755" s="16" t="str">
        <x:v>VT</x:v>
      </x:c>
      <x:c r="D1755" s="16" t="str">
        <x:v>Public</x:v>
      </x:c>
      <x:c r="E1755" s="34" t="n">
        <x:v>1878</x:v>
      </x:c>
      <x:c r="F1755" s="21" t="n">
        <x:v>0.8729</x:v>
      </x:c>
      <x:c r="G1755" s="16" t="str">
        <x:v>Regional</x:v>
      </x:c>
      <x:c r="H1755" s="36" t="n">
        <x:f>IF(G1755="National",Assumptions!$B$11,IF(G1755="Statewide",Assumptions!$B$12,Assumptions!$B$13))</x:f>
        <x:v>0.85</x:v>
      </x:c>
      <x:c r="I1755" s="21" t="n">
        <x:v>-0.056913348145616105</x:v>
      </x:c>
      <x:c r="J1755" s="21" t="n">
        <x:v>-0.05930610152110749</x:v>
      </x:c>
      <x:c r="K1755" s="21" t="n">
        <x:v>-0.15894718851478384</x:v>
      </x:c>
      <x:c r="L1755" s="36" t="n">
        <x:f>IF(Assumptions!$B$4=2030,I1755,IF(Assumptions!$B$4=2035,J1755,K1755))</x:f>
        <x:v>-0.05930610152110749</x:v>
      </x:c>
      <x:c r="M1755" s="36" t="n">
        <x:f>Assumptions!$B$19</x:f>
        <x:v>-0.04739891965741583</x:v>
      </x:c>
      <x:c r="N1755" s="52" t="n">
        <x:f>H1755*L1755+(1-H1755)*M1755+O1755</x:f>
        <x:v>-0.057520024241553745</x:v>
      </x:c>
      <x:c r="O1755" s="36" t="n">
        <x:f>Assumptions!$B$10</x:f>
        <x:v>0</x:v>
      </x:c>
      <x:c r="P1755" s="54" t="n">
        <x:f>E1755*(1+N1755)</x:f>
        <x:v>1769.977394474362</x:v>
      </x:c>
      <x:c r="Q1755" s="54" t="n">
        <x:f>P1755-E1755</x:f>
        <x:v>-108.02260552563803</x:v>
      </x:c>
      <x:c r="R1755" s="16" t="str">
        <x:v>Yes</x:v>
      </x:c>
      <x:c r="S1755" s="56" t="n">
        <x:v>12811</x:v>
      </x:c>
      <x:c r="T1755" s="56" t="n">
        <x:v>8413</x:v>
      </x:c>
      <x:c r="U1755" s="40" t="n">
        <x:f>E1755*Assumptions!$B$8</x:f>
        <x:v>1596.3</x:v>
      </x:c>
      <x:c r="V1755" s="40" t="n">
        <x:f>P1755*Assumptions!$B$8</x:f>
        <x:v>1504.4807853032075</x:v>
      </x:c>
      <x:c r="W1755" s="54" t="n">
        <x:f>V1755-U1755</x:f>
        <x:v>-91.81921469679241</x:v>
      </x:c>
      <x:c r="X1755" s="58" t="n">
        <x:f>IF(R1755="No","",W1755*S1755)</x:f>
        <x:v>-1176295.9594806076</x:v>
      </x:c>
      <x:c r="Y1755" s="58" t="n">
        <x:f>IF(R1755="No","",W1755*T1755*Assumptions!$B$9)</x:f>
        <x:v>-231742.51597323437</x:v>
      </x:c>
      <x:c r="Z1755" s="58" t="n">
        <x:f>IF(R1755="No","",X1755-Y1755)</x:f>
        <x:v>-944553.4435073733</x:v>
      </x:c>
      <x:c r="AA1755" s="58" t="n">
        <x:f>IF(R1755="No","",MAX(0,-Z1755))</x:f>
        <x:v>944553.4435073733</x:v>
      </x:c>
      <x:c r="AB1755" s="52" t="n">
        <x:f>IF(OR(R1755="No",U1755*S1755=0),"",AA1755/(U1755*S1755))</x:f>
        <x:v>0.04618798231014665</x:v>
      </x:c>
      <x:c r="AC1755" s="54" t="n">
        <x:f>IF(OR(R1755="No",S1755-T1755*Assumptions!$B$9&lt;=0),"",AA1755/(Assumptions!$B$8*(S1755-T1755*Assumptions!$B$9)))</x:f>
        <x:v>108.02260552563814</x:v>
      </x:c>
      <x:c r="AD1755" s="52" t="n">
        <x:f>IF(OR(R1755="No",U1755*S1755=0),"",AA1755/(U1755*S1755))</x:f>
        <x:v>0.04618798231014665</x:v>
      </x:c>
      <x:c r="AE1755" s="50" t="str">
        <x:f>IF(R1755="No","No finance data",IF(AB1755&gt;=10%,"Severe",IF(AB1755&gt;=5%,"High",IF(AB1755&gt;=2%,"Moderate","Low"))))</x:f>
        <x:v>Moderate</x:v>
      </x:c>
      <x:c r="AF1755" s="60" t="n">
        <x:v>43.608397</x:v>
      </x:c>
      <x:c r="AG1755" s="60" t="n">
        <x:v>-73.180842</x:v>
      </x:c>
      <x:c r="AH1755" s="44" t="str">
        <x:v>Undergraduate tuition-contribution proxy only; not an audited total institutional budget.</x:v>
      </x:c>
    </x:row>
    <x:row r="1756">
      <x:c r="A1756" s="16" t="n">
        <x:v>230852</x:v>
      </x:c>
      <x:c r="B1756" s="16" t="str">
        <x:v>Champlain College</x:v>
      </x:c>
      <x:c r="C1756" s="16" t="str">
        <x:v>VT</x:v>
      </x:c>
      <x:c r="D1756" s="16" t="str">
        <x:v>Private nonprofit</x:v>
      </x:c>
      <x:c r="E1756" s="34" t="n">
        <x:v>3249</x:v>
      </x:c>
      <x:c r="F1756" s="21" t="n">
        <x:v>0.6243</x:v>
      </x:c>
      <x:c r="G1756" s="16" t="str">
        <x:v>Regional</x:v>
      </x:c>
      <x:c r="H1756" s="36" t="n">
        <x:f>IF(G1756="National",Assumptions!$B$11,IF(G1756="Statewide",Assumptions!$B$12,Assumptions!$B$13))</x:f>
        <x:v>0.85</x:v>
      </x:c>
      <x:c r="I1756" s="21" t="n">
        <x:v>-0.056913348145616105</x:v>
      </x:c>
      <x:c r="J1756" s="21" t="n">
        <x:v>-0.05930610152110749</x:v>
      </x:c>
      <x:c r="K1756" s="21" t="n">
        <x:v>-0.15894718851478384</x:v>
      </x:c>
      <x:c r="L1756" s="36" t="n">
        <x:f>IF(Assumptions!$B$4=2030,I1756,IF(Assumptions!$B$4=2035,J1756,K1756))</x:f>
        <x:v>-0.05930610152110749</x:v>
      </x:c>
      <x:c r="M1756" s="36" t="n">
        <x:f>Assumptions!$B$19</x:f>
        <x:v>-0.04739891965741583</x:v>
      </x:c>
      <x:c r="N1756" s="52" t="n">
        <x:f>H1756*L1756+(1-H1756)*M1756+O1756</x:f>
        <x:v>-0.057520024241553745</x:v>
      </x:c>
      <x:c r="O1756" s="36" t="n">
        <x:f>Assumptions!$B$10</x:f>
        <x:v>0</x:v>
      </x:c>
      <x:c r="P1756" s="54" t="n">
        <x:f>E1756*(1+N1756)</x:f>
        <x:v>3062.117441239192</x:v>
      </x:c>
      <x:c r="Q1756" s="54" t="n">
        <x:f>P1756-E1756</x:f>
        <x:v>-186.88255876080802</x:v>
      </x:c>
      <x:c r="R1756" s="16" t="str">
        <x:v>Yes</x:v>
      </x:c>
      <x:c r="S1756" s="56" t="n">
        <x:v>17136</x:v>
      </x:c>
      <x:c r="T1756" s="56" t="n">
        <x:v>9033</x:v>
      </x:c>
      <x:c r="U1756" s="40" t="n">
        <x:f>E1756*Assumptions!$B$8</x:f>
        <x:v>2761.65</x:v>
      </x:c>
      <x:c r="V1756" s="40" t="n">
        <x:f>P1756*Assumptions!$B$8</x:f>
        <x:v>2602.7998250533133</x:v>
      </x:c>
      <x:c r="W1756" s="54" t="n">
        <x:f>V1756-U1756</x:f>
        <x:v>-158.85017494668682</x:v>
      </x:c>
      <x:c r="X1756" s="58" t="n">
        <x:f>IF(R1756="No","",W1756*S1756)</x:f>
        <x:v>-2722056.5978864254</x:v>
      </x:c>
      <x:c r="Y1756" s="58" t="n">
        <x:f>IF(R1756="No","",W1756*T1756*Assumptions!$B$9)</x:f>
        <x:v>-430468.0890880266</x:v>
      </x:c>
      <x:c r="Z1756" s="58" t="n">
        <x:f>IF(R1756="No","",X1756-Y1756)</x:f>
        <x:v>-2291588.508798399</x:v>
      </x:c>
      <x:c r="AA1756" s="58" t="n">
        <x:f>IF(R1756="No","",MAX(0,-Z1756))</x:f>
        <x:v>2291588.508798399</x:v>
      </x:c>
      <x:c r="AB1756" s="52" t="n">
        <x:f>IF(OR(R1756="No",U1756*S1756=0),"",AA1756/(U1756*S1756))</x:f>
        <x:v>0.048423764105455076</x:v>
      </x:c>
      <x:c r="AC1756" s="54" t="n">
        <x:f>IF(OR(R1756="No",S1756-T1756*Assumptions!$B$9&lt;=0),"",AA1756/(Assumptions!$B$8*(S1756-T1756*Assumptions!$B$9)))</x:f>
        <x:v>186.88255876080805</x:v>
      </x:c>
      <x:c r="AD1756" s="52" t="n">
        <x:f>IF(OR(R1756="No",U1756*S1756=0),"",AA1756/(U1756*S1756))</x:f>
        <x:v>0.048423764105455076</x:v>
      </x:c>
      <x:c r="AE1756" s="50" t="str">
        <x:f>IF(R1756="No","No finance data",IF(AB1756&gt;=10%,"Severe",IF(AB1756&gt;=5%,"High",IF(AB1756&gt;=2%,"Moderate","Low"))))</x:f>
        <x:v>Moderate</x:v>
      </x:c>
      <x:c r="AF1756" s="60" t="n">
        <x:v>44.473287</x:v>
      </x:c>
      <x:c r="AG1756" s="60" t="n">
        <x:v>-73.202746</x:v>
      </x:c>
      <x:c r="AH1756" s="44" t="str">
        <x:v>Undergraduate tuition-contribution proxy only; not an audited total institutional budget.</x:v>
      </x:c>
    </x:row>
    <x:row r="1757">
      <x:c r="A1757" s="16" t="n">
        <x:v>231077</x:v>
      </x:c>
      <x:c r="B1757" s="16" t="str">
        <x:v>College of St Joseph</x:v>
      </x:c>
      <x:c r="C1757" s="16" t="str">
        <x:v>VT</x:v>
      </x:c>
      <x:c r="D1757" s="16" t="str">
        <x:v>Private nonprofit</x:v>
      </x:c>
      <x:c r="E1757" s="34" t="n">
        <x:v>228</x:v>
      </x:c>
      <x:c r="F1757" s="21"/>
      <x:c r="G1757" s="16" t="str">
        <x:v>Regional</x:v>
      </x:c>
      <x:c r="H1757" s="36" t="n">
        <x:f>IF(G1757="National",Assumptions!$B$11,IF(G1757="Statewide",Assumptions!$B$12,Assumptions!$B$13))</x:f>
        <x:v>0.85</x:v>
      </x:c>
      <x:c r="I1757" s="21" t="n">
        <x:v>-0.056913348145616105</x:v>
      </x:c>
      <x:c r="J1757" s="21" t="n">
        <x:v>-0.05930610152110749</x:v>
      </x:c>
      <x:c r="K1757" s="21" t="n">
        <x:v>-0.15894718851478384</x:v>
      </x:c>
      <x:c r="L1757" s="36" t="n">
        <x:f>IF(Assumptions!$B$4=2030,I1757,IF(Assumptions!$B$4=2035,J1757,K1757))</x:f>
        <x:v>-0.05930610152110749</x:v>
      </x:c>
      <x:c r="M1757" s="36" t="n">
        <x:f>Assumptions!$B$19</x:f>
        <x:v>-0.04739891965741583</x:v>
      </x:c>
      <x:c r="N1757" s="52" t="n">
        <x:f>H1757*L1757+(1-H1757)*M1757+O1757</x:f>
        <x:v>-0.057520024241553745</x:v>
      </x:c>
      <x:c r="O1757" s="36" t="n">
        <x:f>Assumptions!$B$10</x:f>
        <x:v>0</x:v>
      </x:c>
      <x:c r="P1757" s="54" t="n">
        <x:f>E1757*(1+N1757)</x:f>
        <x:v>214.88543447292574</x:v>
      </x:c>
      <x:c r="Q1757" s="54" t="n">
        <x:f>P1757-E1757</x:f>
        <x:v>-13.114565527074262</x:v>
      </x:c>
      <x:c r="R1757" s="16" t="str">
        <x:v>No</x:v>
      </x:c>
      <x:c r="S1757" s="56"/>
      <x:c r="T1757" s="56"/>
      <x:c r="U1757" s="40" t="n">
        <x:f>E1757*Assumptions!$B$8</x:f>
        <x:v>193.79999999999998</x:v>
      </x:c>
      <x:c r="V1757" s="40" t="n">
        <x:f>P1757*Assumptions!$B$8</x:f>
        <x:v>182.65261930198687</x:v>
      </x:c>
      <x:c r="W1757" s="54" t="n">
        <x:f>V1757-U1757</x:f>
        <x:v>-11.147380698013109</x:v>
      </x:c>
      <x:c r="X1757" s="58" t="str">
        <x:f>IF(R1757="No","",W1757*S1757)</x:f>
      </x:c>
      <x:c r="Y1757" s="58" t="str">
        <x:f>IF(R1757="No","",W1757*T1757*Assumptions!$B$9)</x:f>
      </x:c>
      <x:c r="Z1757" s="58" t="str">
        <x:f>IF(R1757="No","",X1757-Y1757)</x:f>
      </x:c>
      <x:c r="AA1757" s="58" t="str">
        <x:f>IF(R1757="No","",MAX(0,-Z1757))</x:f>
      </x:c>
      <x:c r="AB1757" s="52" t="str">
        <x:f>IF(OR(R1757="No",U1757*S1757=0),"",AA1757/(U1757*S1757))</x:f>
      </x:c>
      <x:c r="AC1757" s="54" t="str">
        <x:f>IF(OR(R1757="No",S1757-T1757*Assumptions!$B$9&lt;=0),"",AA1757/(Assumptions!$B$8*(S1757-T1757*Assumptions!$B$9)))</x:f>
      </x:c>
      <x:c r="AD1757" s="52" t="str">
        <x:f>IF(OR(R1757="No",U1757*S1757=0),"",AA1757/(U1757*S1757))</x:f>
      </x:c>
      <x:c r="AE1757" s="50" t="str">
        <x:f>IF(R1757="No","No finance data",IF(AB1757&gt;=10%,"Severe",IF(AB1757&gt;=5%,"High",IF(AB1757&gt;=2%,"Moderate","Low"))))</x:f>
        <x:v>No finance data</x:v>
      </x:c>
      <x:c r="AF1757" s="60"/>
      <x:c r="AG1757" s="60"/>
      <x:c r="AH1757" s="44" t="str">
        <x:v>Undergraduate tuition-contribution proxy only; not an audited total institutional budget.</x:v>
      </x:c>
    </x:row>
    <x:row r="1758">
      <x:c r="A1758" s="16" t="n">
        <x:v>230889</x:v>
      </x:c>
      <x:c r="B1758" s="16" t="str">
        <x:v>Goddard College</x:v>
      </x:c>
      <x:c r="C1758" s="16" t="str">
        <x:v>VT</x:v>
      </x:c>
      <x:c r="D1758" s="16" t="str">
        <x:v>Private nonprofit</x:v>
      </x:c>
      <x:c r="E1758" s="34" t="n">
        <x:v>179</x:v>
      </x:c>
      <x:c r="F1758" s="21"/>
      <x:c r="G1758" s="16" t="str">
        <x:v>Regional</x:v>
      </x:c>
      <x:c r="H1758" s="36" t="n">
        <x:f>IF(G1758="National",Assumptions!$B$11,IF(G1758="Statewide",Assumptions!$B$12,Assumptions!$B$13))</x:f>
        <x:v>0.85</x:v>
      </x:c>
      <x:c r="I1758" s="21" t="n">
        <x:v>-0.056913348145616105</x:v>
      </x:c>
      <x:c r="J1758" s="21" t="n">
        <x:v>-0.05930610152110749</x:v>
      </x:c>
      <x:c r="K1758" s="21" t="n">
        <x:v>-0.15894718851478384</x:v>
      </x:c>
      <x:c r="L1758" s="36" t="n">
        <x:f>IF(Assumptions!$B$4=2030,I1758,IF(Assumptions!$B$4=2035,J1758,K1758))</x:f>
        <x:v>-0.05930610152110749</x:v>
      </x:c>
      <x:c r="M1758" s="36" t="n">
        <x:f>Assumptions!$B$19</x:f>
        <x:v>-0.04739891965741583</x:v>
      </x:c>
      <x:c r="N1758" s="52" t="n">
        <x:f>H1758*L1758+(1-H1758)*M1758+O1758</x:f>
        <x:v>-0.057520024241553745</x:v>
      </x:c>
      <x:c r="O1758" s="36" t="n">
        <x:f>Assumptions!$B$10</x:f>
        <x:v>0</x:v>
      </x:c>
      <x:c r="P1758" s="54" t="n">
        <x:f>E1758*(1+N1758)</x:f>
        <x:v>168.70391566076188</x:v>
      </x:c>
      <x:c r="Q1758" s="54" t="n">
        <x:f>P1758-E1758</x:f>
        <x:v>-10.29608433923812</x:v>
      </x:c>
      <x:c r="R1758" s="16" t="str">
        <x:v>No</x:v>
      </x:c>
      <x:c r="S1758" s="56"/>
      <x:c r="T1758" s="56"/>
      <x:c r="U1758" s="40" t="n">
        <x:f>E1758*Assumptions!$B$8</x:f>
        <x:v>152.15</x:v>
      </x:c>
      <x:c r="V1758" s="40" t="n">
        <x:f>P1758*Assumptions!$B$8</x:f>
        <x:v>143.3983283116476</x:v>
      </x:c>
      <x:c r="W1758" s="54" t="n">
        <x:f>V1758-U1758</x:f>
        <x:v>-8.751671688352417</x:v>
      </x:c>
      <x:c r="X1758" s="58" t="str">
        <x:f>IF(R1758="No","",W1758*S1758)</x:f>
      </x:c>
      <x:c r="Y1758" s="58" t="str">
        <x:f>IF(R1758="No","",W1758*T1758*Assumptions!$B$9)</x:f>
      </x:c>
      <x:c r="Z1758" s="58" t="str">
        <x:f>IF(R1758="No","",X1758-Y1758)</x:f>
      </x:c>
      <x:c r="AA1758" s="58" t="str">
        <x:f>IF(R1758="No","",MAX(0,-Z1758))</x:f>
      </x:c>
      <x:c r="AB1758" s="52" t="str">
        <x:f>IF(OR(R1758="No",U1758*S1758=0),"",AA1758/(U1758*S1758))</x:f>
      </x:c>
      <x:c r="AC1758" s="54" t="str">
        <x:f>IF(OR(R1758="No",S1758-T1758*Assumptions!$B$9&lt;=0),"",AA1758/(Assumptions!$B$8*(S1758-T1758*Assumptions!$B$9)))</x:f>
      </x:c>
      <x:c r="AD1758" s="52" t="str">
        <x:f>IF(OR(R1758="No",U1758*S1758=0),"",AA1758/(U1758*S1758))</x:f>
      </x:c>
      <x:c r="AE1758" s="50" t="str">
        <x:f>IF(R1758="No","No finance data",IF(AB1758&gt;=10%,"Severe",IF(AB1758&gt;=5%,"High",IF(AB1758&gt;=2%,"Moderate","Low"))))</x:f>
        <x:v>No finance data</x:v>
      </x:c>
      <x:c r="AF1758" s="60"/>
      <x:c r="AG1758" s="60"/>
      <x:c r="AH1758" s="44" t="str">
        <x:v>Undergraduate tuition-contribution proxy only; not an audited total institutional budget.</x:v>
      </x:c>
    </x:row>
    <x:row r="1759">
      <x:c r="A1759" s="16" t="n">
        <x:v>230898</x:v>
      </x:c>
      <x:c r="B1759" s="16" t="str">
        <x:v>Green Mountain College</x:v>
      </x:c>
      <x:c r="C1759" s="16" t="str">
        <x:v>VT</x:v>
      </x:c>
      <x:c r="D1759" s="16" t="str">
        <x:v>Private nonprofit</x:v>
      </x:c>
      <x:c r="E1759" s="34" t="n">
        <x:v>581</x:v>
      </x:c>
      <x:c r="F1759" s="21"/>
      <x:c r="G1759" s="16" t="str">
        <x:v>Regional</x:v>
      </x:c>
      <x:c r="H1759" s="36" t="n">
        <x:f>IF(G1759="National",Assumptions!$B$11,IF(G1759="Statewide",Assumptions!$B$12,Assumptions!$B$13))</x:f>
        <x:v>0.85</x:v>
      </x:c>
      <x:c r="I1759" s="21" t="n">
        <x:v>-0.056913348145616105</x:v>
      </x:c>
      <x:c r="J1759" s="21" t="n">
        <x:v>-0.05930610152110749</x:v>
      </x:c>
      <x:c r="K1759" s="21" t="n">
        <x:v>-0.15894718851478384</x:v>
      </x:c>
      <x:c r="L1759" s="36" t="n">
        <x:f>IF(Assumptions!$B$4=2030,I1759,IF(Assumptions!$B$4=2035,J1759,K1759))</x:f>
        <x:v>-0.05930610152110749</x:v>
      </x:c>
      <x:c r="M1759" s="36" t="n">
        <x:f>Assumptions!$B$19</x:f>
        <x:v>-0.04739891965741583</x:v>
      </x:c>
      <x:c r="N1759" s="52" t="n">
        <x:f>H1759*L1759+(1-H1759)*M1759+O1759</x:f>
        <x:v>-0.057520024241553745</x:v>
      </x:c>
      <x:c r="O1759" s="36" t="n">
        <x:f>Assumptions!$B$10</x:f>
        <x:v>0</x:v>
      </x:c>
      <x:c r="P1759" s="54" t="n">
        <x:f>E1759*(1+N1759)</x:f>
        <x:v>547.5808659156572</x:v>
      </x:c>
      <x:c r="Q1759" s="54" t="n">
        <x:f>P1759-E1759</x:f>
        <x:v>-33.41913408434277</x:v>
      </x:c>
      <x:c r="R1759" s="16" t="str">
        <x:v>No</x:v>
      </x:c>
      <x:c r="S1759" s="56"/>
      <x:c r="T1759" s="56"/>
      <x:c r="U1759" s="40" t="n">
        <x:f>E1759*Assumptions!$B$8</x:f>
        <x:v>493.84999999999997</x:v>
      </x:c>
      <x:c r="V1759" s="40" t="n">
        <x:f>P1759*Assumptions!$B$8</x:f>
        <x:v>465.44373602830865</x:v>
      </x:c>
      <x:c r="W1759" s="54" t="n">
        <x:f>V1759-U1759</x:f>
        <x:v>-28.406263971691317</x:v>
      </x:c>
      <x:c r="X1759" s="58" t="str">
        <x:f>IF(R1759="No","",W1759*S1759)</x:f>
      </x:c>
      <x:c r="Y1759" s="58" t="str">
        <x:f>IF(R1759="No","",W1759*T1759*Assumptions!$B$9)</x:f>
      </x:c>
      <x:c r="Z1759" s="58" t="str">
        <x:f>IF(R1759="No","",X1759-Y1759)</x:f>
      </x:c>
      <x:c r="AA1759" s="58" t="str">
        <x:f>IF(R1759="No","",MAX(0,-Z1759))</x:f>
      </x:c>
      <x:c r="AB1759" s="52" t="str">
        <x:f>IF(OR(R1759="No",U1759*S1759=0),"",AA1759/(U1759*S1759))</x:f>
      </x:c>
      <x:c r="AC1759" s="54" t="str">
        <x:f>IF(OR(R1759="No",S1759-T1759*Assumptions!$B$9&lt;=0),"",AA1759/(Assumptions!$B$8*(S1759-T1759*Assumptions!$B$9)))</x:f>
      </x:c>
      <x:c r="AD1759" s="52" t="str">
        <x:f>IF(OR(R1759="No",U1759*S1759=0),"",AA1759/(U1759*S1759))</x:f>
      </x:c>
      <x:c r="AE1759" s="50" t="str">
        <x:f>IF(R1759="No","No finance data",IF(AB1759&gt;=10%,"Severe",IF(AB1759&gt;=5%,"High",IF(AB1759&gt;=2%,"Moderate","Low"))))</x:f>
        <x:v>No finance data</x:v>
      </x:c>
      <x:c r="AF1759" s="60"/>
      <x:c r="AG1759" s="60"/>
      <x:c r="AH1759" s="44" t="str">
        <x:v>Undergraduate tuition-contribution proxy only; not an audited total institutional budget.</x:v>
      </x:c>
    </x:row>
    <x:row r="1760">
      <x:c r="A1760" s="16" t="n">
        <x:v>230913</x:v>
      </x:c>
      <x:c r="B1760" s="16" t="str">
        <x:v>Johnson State College</x:v>
      </x:c>
      <x:c r="C1760" s="16" t="str">
        <x:v>VT</x:v>
      </x:c>
      <x:c r="D1760" s="16" t="str">
        <x:v>Public</x:v>
      </x:c>
      <x:c r="E1760" s="34" t="n">
        <x:v>1285</x:v>
      </x:c>
      <x:c r="F1760" s="21" t="n">
        <x:v>0.7539</x:v>
      </x:c>
      <x:c r="G1760" s="16" t="str">
        <x:v>Regional</x:v>
      </x:c>
      <x:c r="H1760" s="36" t="n">
        <x:f>IF(G1760="National",Assumptions!$B$11,IF(G1760="Statewide",Assumptions!$B$12,Assumptions!$B$13))</x:f>
        <x:v>0.85</x:v>
      </x:c>
      <x:c r="I1760" s="21" t="n">
        <x:v>-0.056913348145616105</x:v>
      </x:c>
      <x:c r="J1760" s="21" t="n">
        <x:v>-0.05930610152110749</x:v>
      </x:c>
      <x:c r="K1760" s="21" t="n">
        <x:v>-0.15894718851478384</x:v>
      </x:c>
      <x:c r="L1760" s="36" t="n">
        <x:f>IF(Assumptions!$B$4=2030,I1760,IF(Assumptions!$B$4=2035,J1760,K1760))</x:f>
        <x:v>-0.05930610152110749</x:v>
      </x:c>
      <x:c r="M1760" s="36" t="n">
        <x:f>Assumptions!$B$19</x:f>
        <x:v>-0.04739891965741583</x:v>
      </x:c>
      <x:c r="N1760" s="52" t="n">
        <x:f>H1760*L1760+(1-H1760)*M1760+O1760</x:f>
        <x:v>-0.057520024241553745</x:v>
      </x:c>
      <x:c r="O1760" s="36" t="n">
        <x:f>Assumptions!$B$10</x:f>
        <x:v>0</x:v>
      </x:c>
      <x:c r="P1760" s="54" t="n">
        <x:f>E1760*(1+N1760)</x:f>
        <x:v>1211.0867688496035</x:v>
      </x:c>
      <x:c r="Q1760" s="54" t="n">
        <x:f>P1760-E1760</x:f>
        <x:v>-73.91323115039654</x:v>
      </x:c>
      <x:c r="R1760" s="16" t="str">
        <x:v>Yes</x:v>
      </x:c>
      <x:c r="S1760" s="56" t="n">
        <x:v>11475</x:v>
      </x:c>
      <x:c r="T1760" s="56" t="n">
        <x:v>10370</x:v>
      </x:c>
      <x:c r="U1760" s="40" t="n">
        <x:f>E1760*Assumptions!$B$8</x:f>
        <x:v>1092.25</x:v>
      </x:c>
      <x:c r="V1760" s="40" t="n">
        <x:f>P1760*Assumptions!$B$8</x:f>
        <x:v>1029.423753522163</x:v>
      </x:c>
      <x:c r="W1760" s="54" t="n">
        <x:f>V1760-U1760</x:f>
        <x:v>-62.826246477837</x:v>
      </x:c>
      <x:c r="X1760" s="58" t="n">
        <x:f>IF(R1760="No","",W1760*S1760)</x:f>
        <x:v>-720931.1783331796</x:v>
      </x:c>
      <x:c r="Y1760" s="58" t="n">
        <x:f>IF(R1760="No","",W1760*T1760*Assumptions!$B$9)</x:f>
        <x:v>-195452.45279255093</x:v>
      </x:c>
      <x:c r="Z1760" s="58" t="n">
        <x:f>IF(R1760="No","",X1760-Y1760)</x:f>
        <x:v>-525478.7255406287</x:v>
      </x:c>
      <x:c r="AA1760" s="58" t="n">
        <x:f>IF(R1760="No","",MAX(0,-Z1760))</x:f>
        <x:v>525478.7255406287</x:v>
      </x:c>
      <x:c r="AB1760" s="52" t="n">
        <x:f>IF(OR(R1760="No",U1760*S1760=0),"",AA1760/(U1760*S1760))</x:f>
        <x:v>0.04192570655828801</x:v>
      </x:c>
      <x:c r="AC1760" s="54" t="n">
        <x:f>IF(OR(R1760="No",S1760-T1760*Assumptions!$B$9&lt;=0),"",AA1760/(Assumptions!$B$8*(S1760-T1760*Assumptions!$B$9)))</x:f>
        <x:v>73.91323115039647</x:v>
      </x:c>
      <x:c r="AD1760" s="52" t="n">
        <x:f>IF(OR(R1760="No",U1760*S1760=0),"",AA1760/(U1760*S1760))</x:f>
        <x:v>0.04192570655828801</x:v>
      </x:c>
      <x:c r="AE1760" s="50" t="str">
        <x:f>IF(R1760="No","No finance data",IF(AB1760&gt;=10%,"Severe",IF(AB1760&gt;=5%,"High",IF(AB1760&gt;=2%,"Moderate","Low"))))</x:f>
        <x:v>Moderate</x:v>
      </x:c>
      <x:c r="AF1760" s="60" t="n">
        <x:v>44.641736</x:v>
      </x:c>
      <x:c r="AG1760" s="60" t="n">
        <x:v>-72.671154</x:v>
      </x:c>
      <x:c r="AH1760" s="44" t="str">
        <x:v>Undergraduate tuition-contribution proxy only; not an audited total institutional budget.</x:v>
      </x:c>
    </x:row>
    <x:row r="1761">
      <x:c r="A1761" s="16" t="n">
        <x:v>230931</x:v>
      </x:c>
      <x:c r="B1761" s="16" t="str">
        <x:v>Lyndon State College</x:v>
      </x:c>
      <x:c r="C1761" s="16" t="str">
        <x:v>VT</x:v>
      </x:c>
      <x:c r="D1761" s="16" t="str">
        <x:v>Public</x:v>
      </x:c>
      <x:c r="E1761" s="34" t="n">
        <x:v>1160</x:v>
      </x:c>
      <x:c r="F1761" s="21"/>
      <x:c r="G1761" s="16" t="str">
        <x:v>Regional</x:v>
      </x:c>
      <x:c r="H1761" s="36" t="n">
        <x:f>IF(G1761="National",Assumptions!$B$11,IF(G1761="Statewide",Assumptions!$B$12,Assumptions!$B$13))</x:f>
        <x:v>0.85</x:v>
      </x:c>
      <x:c r="I1761" s="21" t="n">
        <x:v>-0.056913348145616105</x:v>
      </x:c>
      <x:c r="J1761" s="21" t="n">
        <x:v>-0.05930610152110749</x:v>
      </x:c>
      <x:c r="K1761" s="21" t="n">
        <x:v>-0.15894718851478384</x:v>
      </x:c>
      <x:c r="L1761" s="36" t="n">
        <x:f>IF(Assumptions!$B$4=2030,I1761,IF(Assumptions!$B$4=2035,J1761,K1761))</x:f>
        <x:v>-0.05930610152110749</x:v>
      </x:c>
      <x:c r="M1761" s="36" t="n">
        <x:f>Assumptions!$B$19</x:f>
        <x:v>-0.04739891965741583</x:v>
      </x:c>
      <x:c r="N1761" s="52" t="n">
        <x:f>H1761*L1761+(1-H1761)*M1761+O1761</x:f>
        <x:v>-0.057520024241553745</x:v>
      </x:c>
      <x:c r="O1761" s="36" t="n">
        <x:f>Assumptions!$B$10</x:f>
        <x:v>0</x:v>
      </x:c>
      <x:c r="P1761" s="54" t="n">
        <x:f>E1761*(1+N1761)</x:f>
        <x:v>1093.2767718797977</x:v>
      </x:c>
      <x:c r="Q1761" s="54" t="n">
        <x:f>P1761-E1761</x:f>
        <x:v>-66.7232281202023</x:v>
      </x:c>
      <x:c r="R1761" s="16" t="str">
        <x:v>No</x:v>
      </x:c>
      <x:c r="S1761" s="56"/>
      <x:c r="T1761" s="56"/>
      <x:c r="U1761" s="40" t="n">
        <x:f>E1761*Assumptions!$B$8</x:f>
        <x:v>986</x:v>
      </x:c>
      <x:c r="V1761" s="40" t="n">
        <x:f>P1761*Assumptions!$B$8</x:f>
        <x:v>929.285256097828</x:v>
      </x:c>
      <x:c r="W1761" s="54" t="n">
        <x:f>V1761-U1761</x:f>
        <x:v>-56.71474390217202</x:v>
      </x:c>
      <x:c r="X1761" s="58" t="str">
        <x:f>IF(R1761="No","",W1761*S1761)</x:f>
      </x:c>
      <x:c r="Y1761" s="58" t="str">
        <x:f>IF(R1761="No","",W1761*T1761*Assumptions!$B$9)</x:f>
      </x:c>
      <x:c r="Z1761" s="58" t="str">
        <x:f>IF(R1761="No","",X1761-Y1761)</x:f>
      </x:c>
      <x:c r="AA1761" s="58" t="str">
        <x:f>IF(R1761="No","",MAX(0,-Z1761))</x:f>
      </x:c>
      <x:c r="AB1761" s="52" t="str">
        <x:f>IF(OR(R1761="No",U1761*S1761=0),"",AA1761/(U1761*S1761))</x:f>
      </x:c>
      <x:c r="AC1761" s="54" t="str">
        <x:f>IF(OR(R1761="No",S1761-T1761*Assumptions!$B$9&lt;=0),"",AA1761/(Assumptions!$B$8*(S1761-T1761*Assumptions!$B$9)))</x:f>
      </x:c>
      <x:c r="AD1761" s="52" t="str">
        <x:f>IF(OR(R1761="No",U1761*S1761=0),"",AA1761/(U1761*S1761))</x:f>
      </x:c>
      <x:c r="AE1761" s="50" t="str">
        <x:f>IF(R1761="No","No finance data",IF(AB1761&gt;=10%,"Severe",IF(AB1761&gt;=5%,"High",IF(AB1761&gt;=2%,"Moderate","Low"))))</x:f>
        <x:v>No finance data</x:v>
      </x:c>
      <x:c r="AF1761" s="60"/>
      <x:c r="AG1761" s="60"/>
      <x:c r="AH1761" s="44" t="str">
        <x:v>Undergraduate tuition-contribution proxy only; not an audited total institutional budget.</x:v>
      </x:c>
    </x:row>
    <x:row r="1762">
      <x:c r="A1762" s="16" t="n">
        <x:v>230940</x:v>
      </x:c>
      <x:c r="B1762" s="16" t="str">
        <x:v>Marlboro College</x:v>
      </x:c>
      <x:c r="C1762" s="16" t="str">
        <x:v>VT</x:v>
      </x:c>
      <x:c r="D1762" s="16" t="str">
        <x:v>Private nonprofit</x:v>
      </x:c>
      <x:c r="E1762" s="34" t="n">
        <x:v>179</x:v>
      </x:c>
      <x:c r="F1762" s="21"/>
      <x:c r="G1762" s="16" t="str">
        <x:v>Regional</x:v>
      </x:c>
      <x:c r="H1762" s="36" t="n">
        <x:f>IF(G1762="National",Assumptions!$B$11,IF(G1762="Statewide",Assumptions!$B$12,Assumptions!$B$13))</x:f>
        <x:v>0.85</x:v>
      </x:c>
      <x:c r="I1762" s="21" t="n">
        <x:v>-0.056913348145616105</x:v>
      </x:c>
      <x:c r="J1762" s="21" t="n">
        <x:v>-0.05930610152110749</x:v>
      </x:c>
      <x:c r="K1762" s="21" t="n">
        <x:v>-0.15894718851478384</x:v>
      </x:c>
      <x:c r="L1762" s="36" t="n">
        <x:f>IF(Assumptions!$B$4=2030,I1762,IF(Assumptions!$B$4=2035,J1762,K1762))</x:f>
        <x:v>-0.05930610152110749</x:v>
      </x:c>
      <x:c r="M1762" s="36" t="n">
        <x:f>Assumptions!$B$19</x:f>
        <x:v>-0.04739891965741583</x:v>
      </x:c>
      <x:c r="N1762" s="52" t="n">
        <x:f>H1762*L1762+(1-H1762)*M1762+O1762</x:f>
        <x:v>-0.057520024241553745</x:v>
      </x:c>
      <x:c r="O1762" s="36" t="n">
        <x:f>Assumptions!$B$10</x:f>
        <x:v>0</x:v>
      </x:c>
      <x:c r="P1762" s="54" t="n">
        <x:f>E1762*(1+N1762)</x:f>
        <x:v>168.70391566076188</x:v>
      </x:c>
      <x:c r="Q1762" s="54" t="n">
        <x:f>P1762-E1762</x:f>
        <x:v>-10.29608433923812</x:v>
      </x:c>
      <x:c r="R1762" s="16" t="str">
        <x:v>No</x:v>
      </x:c>
      <x:c r="S1762" s="56"/>
      <x:c r="T1762" s="56"/>
      <x:c r="U1762" s="40" t="n">
        <x:f>E1762*Assumptions!$B$8</x:f>
        <x:v>152.15</x:v>
      </x:c>
      <x:c r="V1762" s="40" t="n">
        <x:f>P1762*Assumptions!$B$8</x:f>
        <x:v>143.3983283116476</x:v>
      </x:c>
      <x:c r="W1762" s="54" t="n">
        <x:f>V1762-U1762</x:f>
        <x:v>-8.751671688352417</x:v>
      </x:c>
      <x:c r="X1762" s="58" t="str">
        <x:f>IF(R1762="No","",W1762*S1762)</x:f>
      </x:c>
      <x:c r="Y1762" s="58" t="str">
        <x:f>IF(R1762="No","",W1762*T1762*Assumptions!$B$9)</x:f>
      </x:c>
      <x:c r="Z1762" s="58" t="str">
        <x:f>IF(R1762="No","",X1762-Y1762)</x:f>
      </x:c>
      <x:c r="AA1762" s="58" t="str">
        <x:f>IF(R1762="No","",MAX(0,-Z1762))</x:f>
      </x:c>
      <x:c r="AB1762" s="52" t="str">
        <x:f>IF(OR(R1762="No",U1762*S1762=0),"",AA1762/(U1762*S1762))</x:f>
      </x:c>
      <x:c r="AC1762" s="54" t="str">
        <x:f>IF(OR(R1762="No",S1762-T1762*Assumptions!$B$9&lt;=0),"",AA1762/(Assumptions!$B$8*(S1762-T1762*Assumptions!$B$9)))</x:f>
      </x:c>
      <x:c r="AD1762" s="52" t="str">
        <x:f>IF(OR(R1762="No",U1762*S1762=0),"",AA1762/(U1762*S1762))</x:f>
      </x:c>
      <x:c r="AE1762" s="50" t="str">
        <x:f>IF(R1762="No","No finance data",IF(AB1762&gt;=10%,"Severe",IF(AB1762&gt;=5%,"High",IF(AB1762&gt;=2%,"Moderate","Low"))))</x:f>
        <x:v>No finance data</x:v>
      </x:c>
      <x:c r="AF1762" s="60"/>
      <x:c r="AG1762" s="60"/>
      <x:c r="AH1762" s="44" t="str">
        <x:v>Undergraduate tuition-contribution proxy only; not an audited total institutional budget.</x:v>
      </x:c>
    </x:row>
    <x:row r="1763">
      <x:c r="A1763" s="16" t="n">
        <x:v>440411</x:v>
      </x:c>
      <x:c r="B1763" s="16" t="str">
        <x:v>Marlboro College Graduate &amp; Professional Studies</x:v>
      </x:c>
      <x:c r="C1763" s="16" t="str">
        <x:v>VT</x:v>
      </x:c>
      <x:c r="D1763" s="16" t="str">
        <x:v>Private nonprofit</x:v>
      </x:c>
      <x:c r="E1763" s="34" t="n">
        <x:v>3</x:v>
      </x:c>
      <x:c r="F1763" s="21"/>
      <x:c r="G1763" s="16" t="str">
        <x:v>Regional</x:v>
      </x:c>
      <x:c r="H1763" s="36" t="n">
        <x:f>IF(G1763="National",Assumptions!$B$11,IF(G1763="Statewide",Assumptions!$B$12,Assumptions!$B$13))</x:f>
        <x:v>0.85</x:v>
      </x:c>
      <x:c r="I1763" s="21" t="n">
        <x:v>-0.056913348145616105</x:v>
      </x:c>
      <x:c r="J1763" s="21" t="n">
        <x:v>-0.05930610152110749</x:v>
      </x:c>
      <x:c r="K1763" s="21" t="n">
        <x:v>-0.15894718851478384</x:v>
      </x:c>
      <x:c r="L1763" s="36" t="n">
        <x:f>IF(Assumptions!$B$4=2030,I1763,IF(Assumptions!$B$4=2035,J1763,K1763))</x:f>
        <x:v>-0.05930610152110749</x:v>
      </x:c>
      <x:c r="M1763" s="36" t="n">
        <x:f>Assumptions!$B$19</x:f>
        <x:v>-0.04739891965741583</x:v>
      </x:c>
      <x:c r="N1763" s="52" t="n">
        <x:f>H1763*L1763+(1-H1763)*M1763+O1763</x:f>
        <x:v>-0.057520024241553745</x:v>
      </x:c>
      <x:c r="O1763" s="36" t="n">
        <x:f>Assumptions!$B$10</x:f>
        <x:v>0</x:v>
      </x:c>
      <x:c r="P1763" s="54" t="n">
        <x:f>E1763*(1+N1763)</x:f>
        <x:v>2.8274399272753388</x:v>
      </x:c>
      <x:c r="Q1763" s="54" t="n">
        <x:f>P1763-E1763</x:f>
        <x:v>-0.17256007272466123</x:v>
      </x:c>
      <x:c r="R1763" s="16" t="str">
        <x:v>No</x:v>
      </x:c>
      <x:c r="S1763" s="56"/>
      <x:c r="T1763" s="56"/>
      <x:c r="U1763" s="40" t="n">
        <x:f>E1763*Assumptions!$B$8</x:f>
        <x:v>2.55</x:v>
      </x:c>
      <x:c r="V1763" s="40" t="n">
        <x:f>P1763*Assumptions!$B$8</x:f>
        <x:v>2.403323938184038</x:v>
      </x:c>
      <x:c r="W1763" s="54" t="n">
        <x:f>V1763-U1763</x:f>
        <x:v>-0.14667606181596193</x:v>
      </x:c>
      <x:c r="X1763" s="58" t="str">
        <x:f>IF(R1763="No","",W1763*S1763)</x:f>
      </x:c>
      <x:c r="Y1763" s="58" t="str">
        <x:f>IF(R1763="No","",W1763*T1763*Assumptions!$B$9)</x:f>
      </x:c>
      <x:c r="Z1763" s="58" t="str">
        <x:f>IF(R1763="No","",X1763-Y1763)</x:f>
      </x:c>
      <x:c r="AA1763" s="58" t="str">
        <x:f>IF(R1763="No","",MAX(0,-Z1763))</x:f>
      </x:c>
      <x:c r="AB1763" s="52" t="str">
        <x:f>IF(OR(R1763="No",U1763*S1763=0),"",AA1763/(U1763*S1763))</x:f>
      </x:c>
      <x:c r="AC1763" s="54" t="str">
        <x:f>IF(OR(R1763="No",S1763-T1763*Assumptions!$B$9&lt;=0),"",AA1763/(Assumptions!$B$8*(S1763-T1763*Assumptions!$B$9)))</x:f>
      </x:c>
      <x:c r="AD1763" s="52" t="str">
        <x:f>IF(OR(R1763="No",U1763*S1763=0),"",AA1763/(U1763*S1763))</x:f>
      </x:c>
      <x:c r="AE1763" s="50" t="str">
        <x:f>IF(R1763="No","No finance data",IF(AB1763&gt;=10%,"Severe",IF(AB1763&gt;=5%,"High",IF(AB1763&gt;=2%,"Moderate","Low"))))</x:f>
        <x:v>No finance data</x:v>
      </x:c>
      <x:c r="AF1763" s="60"/>
      <x:c r="AG1763" s="60"/>
      <x:c r="AH1763" s="44" t="str">
        <x:v>Undergraduate tuition-contribution proxy only; not an audited total institutional budget.</x:v>
      </x:c>
    </x:row>
    <x:row r="1764">
      <x:c r="A1764" s="16" t="n">
        <x:v>230959</x:v>
      </x:c>
      <x:c r="B1764" s="16" t="str">
        <x:v>Middlebury College</x:v>
      </x:c>
      <x:c r="C1764" s="16" t="str">
        <x:v>VT</x:v>
      </x:c>
      <x:c r="D1764" s="16" t="str">
        <x:v>Private nonprofit</x:v>
      </x:c>
      <x:c r="E1764" s="34" t="n">
        <x:v>2516</x:v>
      </x:c>
      <x:c r="F1764" s="21" t="n">
        <x:v>0.1345</x:v>
      </x:c>
      <x:c r="G1764" s="16" t="str">
        <x:v>National</x:v>
      </x:c>
      <x:c r="H1764" s="36" t="n">
        <x:f>IF(G1764="National",Assumptions!$B$11,IF(G1764="Statewide",Assumptions!$B$12,Assumptions!$B$13))</x:f>
        <x:v>0.25</x:v>
      </x:c>
      <x:c r="I1764" s="21" t="n">
        <x:v>-0.056913348145616105</x:v>
      </x:c>
      <x:c r="J1764" s="21" t="n">
        <x:v>-0.05930610152110749</x:v>
      </x:c>
      <x:c r="K1764" s="21" t="n">
        <x:v>-0.15894718851478384</x:v>
      </x:c>
      <x:c r="L1764" s="36" t="n">
        <x:f>IF(Assumptions!$B$4=2030,I1764,IF(Assumptions!$B$4=2035,J1764,K1764))</x:f>
        <x:v>-0.05930610152110749</x:v>
      </x:c>
      <x:c r="M1764" s="36" t="n">
        <x:f>Assumptions!$B$19</x:f>
        <x:v>-0.04739891965741583</x:v>
      </x:c>
      <x:c r="N1764" s="52" t="n">
        <x:f>H1764*L1764+(1-H1764)*M1764+O1764</x:f>
        <x:v>-0.05037571512333874</x:v>
      </x:c>
      <x:c r="O1764" s="36" t="n">
        <x:f>Assumptions!$B$10</x:f>
        <x:v>0</x:v>
      </x:c>
      <x:c r="P1764" s="54" t="n">
        <x:f>E1764*(1+N1764)</x:f>
        <x:v>2389.2547007496796</x:v>
      </x:c>
      <x:c r="Q1764" s="54" t="n">
        <x:f>P1764-E1764</x:f>
        <x:v>-126.74529925032039</x:v>
      </x:c>
      <x:c r="R1764" s="16" t="str">
        <x:v>Yes</x:v>
      </x:c>
      <x:c r="S1764" s="56" t="n">
        <x:v>42533</x:v>
      </x:c>
      <x:c r="T1764" s="56" t="n">
        <x:v>27275</x:v>
      </x:c>
      <x:c r="U1764" s="40" t="n">
        <x:f>E1764*Assumptions!$B$8</x:f>
        <x:v>2138.6</x:v>
      </x:c>
      <x:c r="V1764" s="40" t="n">
        <x:f>P1764*Assumptions!$B$8</x:f>
        <x:v>2030.8664956372277</x:v>
      </x:c>
      <x:c r="W1764" s="54" t="n">
        <x:f>V1764-U1764</x:f>
        <x:v>-107.73350436277224</x:v>
      </x:c>
      <x:c r="X1764" s="58" t="n">
        <x:f>IF(R1764="No","",W1764*S1764)</x:f>
        <x:v>-4582229.141061791</x:v>
      </x:c>
      <x:c r="Y1764" s="58" t="n">
        <x:f>IF(R1764="No","",W1764*T1764*Assumptions!$B$9)</x:f>
        <x:v>-881529.3994483837</x:v>
      </x:c>
      <x:c r="Z1764" s="58" t="n">
        <x:f>IF(R1764="No","",X1764-Y1764)</x:f>
        <x:v>-3700699.7416134076</x:v>
      </x:c>
      <x:c r="AA1764" s="58" t="n">
        <x:f>IF(R1764="No","",MAX(0,-Z1764))</x:f>
        <x:v>3700699.7416134076</x:v>
      </x:c>
      <x:c r="AB1764" s="52" t="n">
        <x:f>IF(OR(R1764="No",U1764*S1764=0),"",AA1764/(U1764*S1764))</x:f>
        <x:v>0.04068443331869954</x:v>
      </x:c>
      <x:c r="AC1764" s="54" t="n">
        <x:f>IF(OR(R1764="No",S1764-T1764*Assumptions!$B$9&lt;=0),"",AA1764/(Assumptions!$B$8*(S1764-T1764*Assumptions!$B$9)))</x:f>
        <x:v>126.74529925032027</x:v>
      </x:c>
      <x:c r="AD1764" s="52" t="n">
        <x:f>IF(OR(R1764="No",U1764*S1764=0),"",AA1764/(U1764*S1764))</x:f>
        <x:v>0.04068443331869954</x:v>
      </x:c>
      <x:c r="AE1764" s="50" t="str">
        <x:f>IF(R1764="No","No finance data",IF(AB1764&gt;=10%,"Severe",IF(AB1764&gt;=5%,"High",IF(AB1764&gt;=2%,"Moderate","Low"))))</x:f>
        <x:v>Moderate</x:v>
      </x:c>
      <x:c r="AF1764" s="60" t="n">
        <x:v>44.009117</x:v>
      </x:c>
      <x:c r="AG1764" s="60" t="n">
        <x:v>-73.176068</x:v>
      </x:c>
      <x:c r="AH1764" s="44" t="str">
        <x:v>Undergraduate tuition-contribution proxy only; not an audited total institutional budget.</x:v>
      </x:c>
    </x:row>
    <x:row r="1765">
      <x:c r="A1765" s="16" t="n">
        <x:v>230995</x:v>
      </x:c>
      <x:c r="B1765" s="16" t="str">
        <x:v>Norwich University</x:v>
      </x:c>
      <x:c r="C1765" s="16" t="str">
        <x:v>VT</x:v>
      </x:c>
      <x:c r="D1765" s="16" t="str">
        <x:v>Private nonprofit</x:v>
      </x:c>
      <x:c r="E1765" s="34" t="n">
        <x:v>2805</x:v>
      </x:c>
      <x:c r="F1765" s="21" t="n">
        <x:v>0.8677</x:v>
      </x:c>
      <x:c r="G1765" s="16" t="str">
        <x:v>Regional</x:v>
      </x:c>
      <x:c r="H1765" s="36" t="n">
        <x:f>IF(G1765="National",Assumptions!$B$11,IF(G1765="Statewide",Assumptions!$B$12,Assumptions!$B$13))</x:f>
        <x:v>0.85</x:v>
      </x:c>
      <x:c r="I1765" s="21" t="n">
        <x:v>-0.056913348145616105</x:v>
      </x:c>
      <x:c r="J1765" s="21" t="n">
        <x:v>-0.05930610152110749</x:v>
      </x:c>
      <x:c r="K1765" s="21" t="n">
        <x:v>-0.15894718851478384</x:v>
      </x:c>
      <x:c r="L1765" s="36" t="n">
        <x:f>IF(Assumptions!$B$4=2030,I1765,IF(Assumptions!$B$4=2035,J1765,K1765))</x:f>
        <x:v>-0.05930610152110749</x:v>
      </x:c>
      <x:c r="M1765" s="36" t="n">
        <x:f>Assumptions!$B$19</x:f>
        <x:v>-0.04739891965741583</x:v>
      </x:c>
      <x:c r="N1765" s="52" t="n">
        <x:f>H1765*L1765+(1-H1765)*M1765+O1765</x:f>
        <x:v>-0.057520024241553745</x:v>
      </x:c>
      <x:c r="O1765" s="36" t="n">
        <x:f>Assumptions!$B$10</x:f>
        <x:v>0</x:v>
      </x:c>
      <x:c r="P1765" s="54" t="n">
        <x:f>E1765*(1+N1765)</x:f>
        <x:v>2643.6563320024416</x:v>
      </x:c>
      <x:c r="Q1765" s="54" t="n">
        <x:f>P1765-E1765</x:f>
        <x:v>-161.34366799755844</x:v>
      </x:c>
      <x:c r="R1765" s="16" t="str">
        <x:v>Yes</x:v>
      </x:c>
      <x:c r="S1765" s="56" t="n">
        <x:v>14827</x:v>
      </x:c>
      <x:c r="T1765" s="56" t="n">
        <x:v>7935</x:v>
      </x:c>
      <x:c r="U1765" s="40" t="n">
        <x:f>E1765*Assumptions!$B$8</x:f>
        <x:v>2384.25</x:v>
      </x:c>
      <x:c r="V1765" s="40" t="n">
        <x:f>P1765*Assumptions!$B$8</x:f>
        <x:v>2247.1078822020754</x:v>
      </x:c>
      <x:c r="W1765" s="54" t="n">
        <x:f>V1765-U1765</x:f>
        <x:v>-137.14211779792458</x:v>
      </x:c>
      <x:c r="X1765" s="58" t="n">
        <x:f>IF(R1765="No","",W1765*S1765)</x:f>
        <x:v>-2033406.1805898277</x:v>
      </x:c>
      <x:c r="Y1765" s="58" t="n">
        <x:f>IF(R1765="No","",W1765*T1765*Assumptions!$B$9)</x:f>
        <x:v>-326466.81141795946</x:v>
      </x:c>
      <x:c r="Z1765" s="58" t="n">
        <x:f>IF(R1765="No","",X1765-Y1765)</x:f>
        <x:v>-1706939.3691718683</x:v>
      </x:c>
      <x:c r="AA1765" s="58" t="n">
        <x:f>IF(R1765="No","",MAX(0,-Z1765))</x:f>
        <x:v>1706939.3691718683</x:v>
      </x:c>
      <x:c r="AB1765" s="52" t="n">
        <x:f>IF(OR(R1765="No",U1765*S1765=0),"",AA1765/(U1765*S1765))</x:f>
        <x:v>0.04828508678239017</x:v>
      </x:c>
      <x:c r="AC1765" s="54" t="n">
        <x:f>IF(OR(R1765="No",S1765-T1765*Assumptions!$B$9&lt;=0),"",AA1765/(Assumptions!$B$8*(S1765-T1765*Assumptions!$B$9)))</x:f>
        <x:v>161.34366799755833</x:v>
      </x:c>
      <x:c r="AD1765" s="52" t="n">
        <x:f>IF(OR(R1765="No",U1765*S1765=0),"",AA1765/(U1765*S1765))</x:f>
        <x:v>0.04828508678239017</x:v>
      </x:c>
      <x:c r="AE1765" s="50" t="str">
        <x:f>IF(R1765="No","No finance data",IF(AB1765&gt;=10%,"Severe",IF(AB1765&gt;=5%,"High",IF(AB1765&gt;=2%,"Moderate","Low"))))</x:f>
        <x:v>Moderate</x:v>
      </x:c>
      <x:c r="AF1765" s="60" t="n">
        <x:v>44.140237</x:v>
      </x:c>
      <x:c r="AG1765" s="60" t="n">
        <x:v>-72.659783</x:v>
      </x:c>
      <x:c r="AH1765" s="44" t="str">
        <x:v>Undergraduate tuition-contribution proxy only; not an audited total institutional budget.</x:v>
      </x:c>
    </x:row>
    <x:row r="1766">
      <x:c r="A1766" s="16" t="n">
        <x:v>231059</x:v>
      </x:c>
      <x:c r="B1766" s="16" t="str">
        <x:v>Saint Michael's College</x:v>
      </x:c>
      <x:c r="C1766" s="16" t="str">
        <x:v>VT</x:v>
      </x:c>
      <x:c r="D1766" s="16" t="str">
        <x:v>Private nonprofit</x:v>
      </x:c>
      <x:c r="E1766" s="34" t="n">
        <x:v>1941</x:v>
      </x:c>
      <x:c r="F1766" s="21" t="n">
        <x:v>0.8588</x:v>
      </x:c>
      <x:c r="G1766" s="16" t="str">
        <x:v>Regional</x:v>
      </x:c>
      <x:c r="H1766" s="36" t="n">
        <x:f>IF(G1766="National",Assumptions!$B$11,IF(G1766="Statewide",Assumptions!$B$12,Assumptions!$B$13))</x:f>
        <x:v>0.85</x:v>
      </x:c>
      <x:c r="I1766" s="21" t="n">
        <x:v>-0.056913348145616105</x:v>
      </x:c>
      <x:c r="J1766" s="21" t="n">
        <x:v>-0.05930610152110749</x:v>
      </x:c>
      <x:c r="K1766" s="21" t="n">
        <x:v>-0.15894718851478384</x:v>
      </x:c>
      <x:c r="L1766" s="36" t="n">
        <x:f>IF(Assumptions!$B$4=2030,I1766,IF(Assumptions!$B$4=2035,J1766,K1766))</x:f>
        <x:v>-0.05930610152110749</x:v>
      </x:c>
      <x:c r="M1766" s="36" t="n">
        <x:f>Assumptions!$B$19</x:f>
        <x:v>-0.04739891965741583</x:v>
      </x:c>
      <x:c r="N1766" s="52" t="n">
        <x:f>H1766*L1766+(1-H1766)*M1766+O1766</x:f>
        <x:v>-0.057520024241553745</x:v>
      </x:c>
      <x:c r="O1766" s="36" t="n">
        <x:f>Assumptions!$B$10</x:f>
        <x:v>0</x:v>
      </x:c>
      <x:c r="P1766" s="54" t="n">
        <x:f>E1766*(1+N1766)</x:f>
        <x:v>1829.3536329471442</x:v>
      </x:c>
      <x:c r="Q1766" s="54" t="n">
        <x:f>P1766-E1766</x:f>
        <x:v>-111.6463670528558</x:v>
      </x:c>
      <x:c r="R1766" s="16" t="str">
        <x:v>Yes</x:v>
      </x:c>
      <x:c r="S1766" s="56" t="n">
        <x:v>22725</x:v>
      </x:c>
      <x:c r="T1766" s="56" t="n">
        <x:v>8459</x:v>
      </x:c>
      <x:c r="U1766" s="40" t="n">
        <x:f>E1766*Assumptions!$B$8</x:f>
        <x:v>1649.85</x:v>
      </x:c>
      <x:c r="V1766" s="40" t="n">
        <x:f>P1766*Assumptions!$B$8</x:f>
        <x:v>1554.9505880050726</x:v>
      </x:c>
      <x:c r="W1766" s="54" t="n">
        <x:f>V1766-U1766</x:f>
        <x:v>-94.89941199492728</x:v>
      </x:c>
      <x:c r="X1766" s="58" t="n">
        <x:f>IF(R1766="No","",W1766*S1766)</x:f>
        <x:v>-2156589.1375847226</x:v>
      </x:c>
      <x:c r="Y1766" s="58" t="n">
        <x:f>IF(R1766="No","",W1766*T1766*Assumptions!$B$9)</x:f>
        <x:v>-240826.23781952693</x:v>
      </x:c>
      <x:c r="Z1766" s="58" t="n">
        <x:f>IF(R1766="No","",X1766-Y1766)</x:f>
        <x:v>-1915762.8997651958</x:v>
      </x:c>
      <x:c r="AA1766" s="58" t="n">
        <x:f>IF(R1766="No","",MAX(0,-Z1766))</x:f>
        <x:v>1915762.8997651958</x:v>
      </x:c>
      <x:c r="AB1766" s="52" t="n">
        <x:f>IF(OR(R1766="No",U1766*S1766=0),"",AA1766/(U1766*S1766))</x:f>
        <x:v>0.05109676503284999</x:v>
      </x:c>
      <x:c r="AC1766" s="54" t="n">
        <x:f>IF(OR(R1766="No",S1766-T1766*Assumptions!$B$9&lt;=0),"",AA1766/(Assumptions!$B$8*(S1766-T1766*Assumptions!$B$9)))</x:f>
        <x:v>111.64636705285565</x:v>
      </x:c>
      <x:c r="AD1766" s="52" t="n">
        <x:f>IF(OR(R1766="No",U1766*S1766=0),"",AA1766/(U1766*S1766))</x:f>
        <x:v>0.05109676503284999</x:v>
      </x:c>
      <x:c r="AE1766" s="50" t="str">
        <x:f>IF(R1766="No","No finance data",IF(AB1766&gt;=10%,"Severe",IF(AB1766&gt;=5%,"High",IF(AB1766&gt;=2%,"Moderate","Low"))))</x:f>
        <x:v>High</x:v>
      </x:c>
      <x:c r="AF1766" s="60" t="n">
        <x:v>44.494558</x:v>
      </x:c>
      <x:c r="AG1766" s="60" t="n">
        <x:v>-73.167069</x:v>
      </x:c>
      <x:c r="AH1766" s="44" t="str">
        <x:v>Undergraduate tuition-contribution proxy only; not an audited total institutional budget.</x:v>
      </x:c>
    </x:row>
    <x:row r="1767">
      <x:c r="A1767" s="16" t="n">
        <x:v>231086</x:v>
      </x:c>
      <x:c r="B1767" s="16" t="str">
        <x:v>Southern Vermont College</x:v>
      </x:c>
      <x:c r="C1767" s="16" t="str">
        <x:v>VT</x:v>
      </x:c>
      <x:c r="D1767" s="16" t="str">
        <x:v>Private nonprofit</x:v>
      </x:c>
      <x:c r="E1767" s="34" t="n">
        <x:v>431</x:v>
      </x:c>
      <x:c r="F1767" s="21"/>
      <x:c r="G1767" s="16" t="str">
        <x:v>Regional</x:v>
      </x:c>
      <x:c r="H1767" s="36" t="n">
        <x:f>IF(G1767="National",Assumptions!$B$11,IF(G1767="Statewide",Assumptions!$B$12,Assumptions!$B$13))</x:f>
        <x:v>0.85</x:v>
      </x:c>
      <x:c r="I1767" s="21" t="n">
        <x:v>-0.056913348145616105</x:v>
      </x:c>
      <x:c r="J1767" s="21" t="n">
        <x:v>-0.05930610152110749</x:v>
      </x:c>
      <x:c r="K1767" s="21" t="n">
        <x:v>-0.15894718851478384</x:v>
      </x:c>
      <x:c r="L1767" s="36" t="n">
        <x:f>IF(Assumptions!$B$4=2030,I1767,IF(Assumptions!$B$4=2035,J1767,K1767))</x:f>
        <x:v>-0.05930610152110749</x:v>
      </x:c>
      <x:c r="M1767" s="36" t="n">
        <x:f>Assumptions!$B$19</x:f>
        <x:v>-0.04739891965741583</x:v>
      </x:c>
      <x:c r="N1767" s="52" t="n">
        <x:f>H1767*L1767+(1-H1767)*M1767+O1767</x:f>
        <x:v>-0.057520024241553745</x:v>
      </x:c>
      <x:c r="O1767" s="36" t="n">
        <x:f>Assumptions!$B$10</x:f>
        <x:v>0</x:v>
      </x:c>
      <x:c r="P1767" s="54" t="n">
        <x:f>E1767*(1+N1767)</x:f>
        <x:v>406.2088695518903</x:v>
      </x:c>
      <x:c r="Q1767" s="54" t="n">
        <x:f>P1767-E1767</x:f>
        <x:v>-24.791130448109698</x:v>
      </x:c>
      <x:c r="R1767" s="16" t="str">
        <x:v>No</x:v>
      </x:c>
      <x:c r="S1767" s="56"/>
      <x:c r="T1767" s="56"/>
      <x:c r="U1767" s="40" t="n">
        <x:f>E1767*Assumptions!$B$8</x:f>
        <x:v>366.34999999999997</x:v>
      </x:c>
      <x:c r="V1767" s="40" t="n">
        <x:f>P1767*Assumptions!$B$8</x:f>
        <x:v>345.27753911910673</x:v>
      </x:c>
      <x:c r="W1767" s="54" t="n">
        <x:f>V1767-U1767</x:f>
        <x:v>-21.07246088089323</x:v>
      </x:c>
      <x:c r="X1767" s="58" t="str">
        <x:f>IF(R1767="No","",W1767*S1767)</x:f>
      </x:c>
      <x:c r="Y1767" s="58" t="str">
        <x:f>IF(R1767="No","",W1767*T1767*Assumptions!$B$9)</x:f>
      </x:c>
      <x:c r="Z1767" s="58" t="str">
        <x:f>IF(R1767="No","",X1767-Y1767)</x:f>
      </x:c>
      <x:c r="AA1767" s="58" t="str">
        <x:f>IF(R1767="No","",MAX(0,-Z1767))</x:f>
      </x:c>
      <x:c r="AB1767" s="52" t="str">
        <x:f>IF(OR(R1767="No",U1767*S1767=0),"",AA1767/(U1767*S1767))</x:f>
      </x:c>
      <x:c r="AC1767" s="54" t="str">
        <x:f>IF(OR(R1767="No",S1767-T1767*Assumptions!$B$9&lt;=0),"",AA1767/(Assumptions!$B$8*(S1767-T1767*Assumptions!$B$9)))</x:f>
      </x:c>
      <x:c r="AD1767" s="52" t="str">
        <x:f>IF(OR(R1767="No",U1767*S1767=0),"",AA1767/(U1767*S1767))</x:f>
      </x:c>
      <x:c r="AE1767" s="50" t="str">
        <x:f>IF(R1767="No","No finance data",IF(AB1767&gt;=10%,"Severe",IF(AB1767&gt;=5%,"High",IF(AB1767&gt;=2%,"Moderate","Low"))))</x:f>
        <x:v>No finance data</x:v>
      </x:c>
      <x:c r="AF1767" s="60"/>
      <x:c r="AG1767" s="60"/>
      <x:c r="AH1767" s="44" t="str">
        <x:v>Undergraduate tuition-contribution proxy only; not an audited total institutional budget.</x:v>
      </x:c>
    </x:row>
    <x:row r="1768">
      <x:c r="A1768" s="16" t="n">
        <x:v>231095</x:v>
      </x:c>
      <x:c r="B1768" s="16" t="str">
        <x:v>Sterling College</x:v>
      </x:c>
      <x:c r="C1768" s="16" t="str">
        <x:v>VT</x:v>
      </x:c>
      <x:c r="D1768" s="16" t="str">
        <x:v>Private nonprofit</x:v>
      </x:c>
      <x:c r="E1768" s="34" t="n">
        <x:v>115</x:v>
      </x:c>
      <x:c r="F1768" s="21"/>
      <x:c r="G1768" s="16" t="str">
        <x:v>Regional</x:v>
      </x:c>
      <x:c r="H1768" s="36" t="n">
        <x:f>IF(G1768="National",Assumptions!$B$11,IF(G1768="Statewide",Assumptions!$B$12,Assumptions!$B$13))</x:f>
        <x:v>0.85</x:v>
      </x:c>
      <x:c r="I1768" s="21" t="n">
        <x:v>-0.056913348145616105</x:v>
      </x:c>
      <x:c r="J1768" s="21" t="n">
        <x:v>-0.05930610152110749</x:v>
      </x:c>
      <x:c r="K1768" s="21" t="n">
        <x:v>-0.15894718851478384</x:v>
      </x:c>
      <x:c r="L1768" s="36" t="n">
        <x:f>IF(Assumptions!$B$4=2030,I1768,IF(Assumptions!$B$4=2035,J1768,K1768))</x:f>
        <x:v>-0.05930610152110749</x:v>
      </x:c>
      <x:c r="M1768" s="36" t="n">
        <x:f>Assumptions!$B$19</x:f>
        <x:v>-0.04739891965741583</x:v>
      </x:c>
      <x:c r="N1768" s="52" t="n">
        <x:f>H1768*L1768+(1-H1768)*M1768+O1768</x:f>
        <x:v>-0.057520024241553745</x:v>
      </x:c>
      <x:c r="O1768" s="36" t="n">
        <x:f>Assumptions!$B$10</x:f>
        <x:v>0</x:v>
      </x:c>
      <x:c r="P1768" s="54" t="n">
        <x:f>E1768*(1+N1768)</x:f>
        <x:v>108.38519721222131</x:v>
      </x:c>
      <x:c r="Q1768" s="54" t="n">
        <x:f>P1768-E1768</x:f>
        <x:v>-6.614802787778686</x:v>
      </x:c>
      <x:c r="R1768" s="16" t="str">
        <x:v>No</x:v>
      </x:c>
      <x:c r="S1768" s="56"/>
      <x:c r="T1768" s="56"/>
      <x:c r="U1768" s="40" t="n">
        <x:f>E1768*Assumptions!$B$8</x:f>
        <x:v>97.75</x:v>
      </x:c>
      <x:c r="V1768" s="40" t="n">
        <x:f>P1768*Assumptions!$B$8</x:f>
        <x:v>92.12741763038811</x:v>
      </x:c>
      <x:c r="W1768" s="54" t="n">
        <x:f>V1768-U1768</x:f>
        <x:v>-5.622582369611891</x:v>
      </x:c>
      <x:c r="X1768" s="58" t="str">
        <x:f>IF(R1768="No","",W1768*S1768)</x:f>
      </x:c>
      <x:c r="Y1768" s="58" t="str">
        <x:f>IF(R1768="No","",W1768*T1768*Assumptions!$B$9)</x:f>
      </x:c>
      <x:c r="Z1768" s="58" t="str">
        <x:f>IF(R1768="No","",X1768-Y1768)</x:f>
      </x:c>
      <x:c r="AA1768" s="58" t="str">
        <x:f>IF(R1768="No","",MAX(0,-Z1768))</x:f>
      </x:c>
      <x:c r="AB1768" s="52" t="str">
        <x:f>IF(OR(R1768="No",U1768*S1768=0),"",AA1768/(U1768*S1768))</x:f>
      </x:c>
      <x:c r="AC1768" s="54" t="str">
        <x:f>IF(OR(R1768="No",S1768-T1768*Assumptions!$B$9&lt;=0),"",AA1768/(Assumptions!$B$8*(S1768-T1768*Assumptions!$B$9)))</x:f>
      </x:c>
      <x:c r="AD1768" s="52" t="str">
        <x:f>IF(OR(R1768="No",U1768*S1768=0),"",AA1768/(U1768*S1768))</x:f>
      </x:c>
      <x:c r="AE1768" s="50" t="str">
        <x:f>IF(R1768="No","No finance data",IF(AB1768&gt;=10%,"Severe",IF(AB1768&gt;=5%,"High",IF(AB1768&gt;=2%,"Moderate","Low"))))</x:f>
        <x:v>No finance data</x:v>
      </x:c>
      <x:c r="AF1768" s="60"/>
      <x:c r="AG1768" s="60"/>
      <x:c r="AH1768" s="44" t="str">
        <x:v>Undergraduate tuition-contribution proxy only; not an audited total institutional budget.</x:v>
      </x:c>
    </x:row>
    <x:row r="1769">
      <x:c r="A1769" s="16" t="n">
        <x:v>231174</x:v>
      </x:c>
      <x:c r="B1769" s="16" t="str">
        <x:v>University of Vermont</x:v>
      </x:c>
      <x:c r="C1769" s="16" t="str">
        <x:v>VT</x:v>
      </x:c>
      <x:c r="D1769" s="16" t="str">
        <x:v>Public</x:v>
      </x:c>
      <x:c r="E1769" s="34" t="n">
        <x:v>10081</x:v>
      </x:c>
      <x:c r="F1769" s="21" t="n">
        <x:v>0.6351</x:v>
      </x:c>
      <x:c r="G1769" s="16" t="str">
        <x:v>Statewide</x:v>
      </x:c>
      <x:c r="H1769" s="36" t="n">
        <x:f>IF(G1769="National",Assumptions!$B$11,IF(G1769="Statewide",Assumptions!$B$12,Assumptions!$B$13))</x:f>
        <x:v>0.6</x:v>
      </x:c>
      <x:c r="I1769" s="21" t="n">
        <x:v>-0.056913348145616105</x:v>
      </x:c>
      <x:c r="J1769" s="21" t="n">
        <x:v>-0.05930610152110749</x:v>
      </x:c>
      <x:c r="K1769" s="21" t="n">
        <x:v>-0.15894718851478384</x:v>
      </x:c>
      <x:c r="L1769" s="36" t="n">
        <x:f>IF(Assumptions!$B$4=2030,I1769,IF(Assumptions!$B$4=2035,J1769,K1769))</x:f>
        <x:v>-0.05930610152110749</x:v>
      </x:c>
      <x:c r="M1769" s="36" t="n">
        <x:f>Assumptions!$B$19</x:f>
        <x:v>-0.04739891965741583</x:v>
      </x:c>
      <x:c r="N1769" s="52" t="n">
        <x:f>H1769*L1769+(1-H1769)*M1769+O1769</x:f>
        <x:v>-0.05454322877563083</x:v>
      </x:c>
      <x:c r="O1769" s="36" t="n">
        <x:f>Assumptions!$B$10</x:f>
        <x:v>0</x:v>
      </x:c>
      <x:c r="P1769" s="54" t="n">
        <x:f>E1769*(1+N1769)</x:f>
        <x:v>9531.149710712865</x:v>
      </x:c>
      <x:c r="Q1769" s="54" t="n">
        <x:f>P1769-E1769</x:f>
        <x:v>-549.8502892871347</x:v>
      </x:c>
      <x:c r="R1769" s="16" t="str">
        <x:v>Yes</x:v>
      </x:c>
      <x:c r="S1769" s="56" t="n">
        <x:v>25444</x:v>
      </x:c>
      <x:c r="T1769" s="56" t="n">
        <x:v>13248</x:v>
      </x:c>
      <x:c r="U1769" s="40" t="n">
        <x:f>E1769*Assumptions!$B$8</x:f>
        <x:v>8568.85</x:v>
      </x:c>
      <x:c r="V1769" s="40" t="n">
        <x:f>P1769*Assumptions!$B$8</x:f>
        <x:v>8101.477254105936</x:v>
      </x:c>
      <x:c r="W1769" s="54" t="n">
        <x:f>V1769-U1769</x:f>
        <x:v>-467.3727458940648</x:v>
      </x:c>
      <x:c r="X1769" s="58" t="n">
        <x:f>IF(R1769="No","",W1769*S1769)</x:f>
        <x:v>-11891832.146528585</x:v>
      </x:c>
      <x:c r="Y1769" s="58" t="n">
        <x:f>IF(R1769="No","",W1769*T1769*Assumptions!$B$9)</x:f>
        <x:v>-1857526.2412813709</x:v>
      </x:c>
      <x:c r="Z1769" s="58" t="n">
        <x:f>IF(R1769="No","",X1769-Y1769)</x:f>
        <x:v>-10034305.905247213</x:v>
      </x:c>
      <x:c r="AA1769" s="58" t="n">
        <x:f>IF(R1769="No","",MAX(0,-Z1769))</x:f>
        <x:v>10034305.905247213</x:v>
      </x:c>
      <x:c r="AB1769" s="52" t="n">
        <x:f>IF(OR(R1769="No",U1769*S1769=0),"",AA1769/(U1769*S1769))</x:f>
        <x:v>0.04602347526022972</x:v>
      </x:c>
      <x:c r="AC1769" s="54" t="n">
        <x:f>IF(OR(R1769="No",S1769-T1769*Assumptions!$B$9&lt;=0),"",AA1769/(Assumptions!$B$8*(S1769-T1769*Assumptions!$B$9)))</x:f>
        <x:v>549.8502892871351</x:v>
      </x:c>
      <x:c r="AD1769" s="52" t="n">
        <x:f>IF(OR(R1769="No",U1769*S1769=0),"",AA1769/(U1769*S1769))</x:f>
        <x:v>0.04602347526022972</x:v>
      </x:c>
      <x:c r="AE1769" s="50" t="str">
        <x:f>IF(R1769="No","No finance data",IF(AB1769&gt;=10%,"Severe",IF(AB1769&gt;=5%,"High",IF(AB1769&gt;=2%,"Moderate","Low"))))</x:f>
        <x:v>Moderate</x:v>
      </x:c>
      <x:c r="AF1769" s="60" t="n">
        <x:v>44.477325</x:v>
      </x:c>
      <x:c r="AG1769" s="60" t="n">
        <x:v>-73.196646</x:v>
      </x:c>
      <x:c r="AH1769" s="44" t="str">
        <x:v>Undergraduate tuition-contribution proxy only; not an audited total institutional budget.</x:v>
      </x:c>
    </x:row>
    <x:row r="1770">
      <x:c r="A1770" s="16" t="n">
        <x:v>245883</x:v>
      </x:c>
      <x:c r="B1770" s="16" t="str">
        <x:v>Antioch University-Seattle</x:v>
      </x:c>
      <x:c r="C1770" s="16" t="str">
        <x:v>WA</x:v>
      </x:c>
      <x:c r="D1770" s="16" t="str">
        <x:v>Private nonprofit</x:v>
      </x:c>
      <x:c r="E1770" s="34" t="n">
        <x:v>105</x:v>
      </x:c>
      <x:c r="F1770" s="21"/>
      <x:c r="G1770" s="16" t="str">
        <x:v>Regional</x:v>
      </x:c>
      <x:c r="H1770" s="36" t="n">
        <x:f>IF(G1770="National",Assumptions!$B$11,IF(G1770="Statewide",Assumptions!$B$12,Assumptions!$B$13))</x:f>
        <x:v>0.85</x:v>
      </x:c>
      <x:c r="I1770" s="21" t="n">
        <x:v>-0.05140388251908945</x:v>
      </x:c>
      <x:c r="J1770" s="21" t="n">
        <x:v>-0.033235991095578954</x:v>
      </x:c>
      <x:c r="K1770" s="21" t="n">
        <x:v>-0.11512315388850325</x:v>
      </x:c>
      <x:c r="L1770" s="36" t="n">
        <x:f>IF(Assumptions!$B$4=2030,I1770,IF(Assumptions!$B$4=2035,J1770,K1770))</x:f>
        <x:v>-0.033235991095578954</x:v>
      </x:c>
      <x:c r="M1770" s="36" t="n">
        <x:f>Assumptions!$B$19</x:f>
        <x:v>-0.04739891965741583</x:v>
      </x:c>
      <x:c r="N1770" s="52" t="n">
        <x:f>H1770*L1770+(1-H1770)*M1770+O1770</x:f>
        <x:v>-0.035360430379854486</x:v>
      </x:c>
      <x:c r="O1770" s="36" t="n">
        <x:f>Assumptions!$B$10</x:f>
        <x:v>0</x:v>
      </x:c>
      <x:c r="P1770" s="54" t="n">
        <x:f>E1770*(1+N1770)</x:f>
        <x:v>101.28715481011528</x:v>
      </x:c>
      <x:c r="Q1770" s="54" t="n">
        <x:f>P1770-E1770</x:f>
        <x:v>-3.7128451898847175</x:v>
      </x:c>
      <x:c r="R1770" s="16" t="str">
        <x:v>No</x:v>
      </x:c>
      <x:c r="S1770" s="56"/>
      <x:c r="T1770" s="56"/>
      <x:c r="U1770" s="40" t="n">
        <x:f>E1770*Assumptions!$B$8</x:f>
        <x:v>89.25</x:v>
      </x:c>
      <x:c r="V1770" s="40" t="n">
        <x:f>P1770*Assumptions!$B$8</x:f>
        <x:v>86.09408158859799</x:v>
      </x:c>
      <x:c r="W1770" s="54" t="n">
        <x:f>V1770-U1770</x:f>
        <x:v>-3.1559184114020127</x:v>
      </x:c>
      <x:c r="X1770" s="58" t="str">
        <x:f>IF(R1770="No","",W1770*S1770)</x:f>
      </x:c>
      <x:c r="Y1770" s="58" t="str">
        <x:f>IF(R1770="No","",W1770*T1770*Assumptions!$B$9)</x:f>
      </x:c>
      <x:c r="Z1770" s="58" t="str">
        <x:f>IF(R1770="No","",X1770-Y1770)</x:f>
      </x:c>
      <x:c r="AA1770" s="58" t="str">
        <x:f>IF(R1770="No","",MAX(0,-Z1770))</x:f>
      </x:c>
      <x:c r="AB1770" s="52" t="str">
        <x:f>IF(OR(R1770="No",U1770*S1770=0),"",AA1770/(U1770*S1770))</x:f>
      </x:c>
      <x:c r="AC1770" s="54" t="str">
        <x:f>IF(OR(R1770="No",S1770-T1770*Assumptions!$B$9&lt;=0),"",AA1770/(Assumptions!$B$8*(S1770-T1770*Assumptions!$B$9)))</x:f>
      </x:c>
      <x:c r="AD1770" s="52" t="str">
        <x:f>IF(OR(R1770="No",U1770*S1770=0),"",AA1770/(U1770*S1770))</x:f>
      </x:c>
      <x:c r="AE1770" s="50" t="str">
        <x:f>IF(R1770="No","No finance data",IF(AB1770&gt;=10%,"Severe",IF(AB1770&gt;=5%,"High",IF(AB1770&gt;=2%,"Moderate","Low"))))</x:f>
        <x:v>No finance data</x:v>
      </x:c>
      <x:c r="AF1770" s="60"/>
      <x:c r="AG1770" s="60"/>
      <x:c r="AH1770" s="44" t="str">
        <x:v>Undergraduate tuition-contribution proxy only; not an audited total institutional budget.</x:v>
      </x:c>
    </x:row>
    <x:row r="1771">
      <x:c r="A1771" s="16" t="n">
        <x:v>235547</x:v>
      </x:c>
      <x:c r="B1771" s="16" t="str">
        <x:v>Bastyr University</x:v>
      </x:c>
      <x:c r="C1771" s="16" t="str">
        <x:v>WA</x:v>
      </x:c>
      <x:c r="D1771" s="16" t="str">
        <x:v>Private nonprofit</x:v>
      </x:c>
      <x:c r="E1771" s="34" t="n">
        <x:v>227</x:v>
      </x:c>
      <x:c r="F1771" s="21"/>
      <x:c r="G1771" s="16" t="str">
        <x:v>Regional</x:v>
      </x:c>
      <x:c r="H1771" s="36" t="n">
        <x:f>IF(G1771="National",Assumptions!$B$11,IF(G1771="Statewide",Assumptions!$B$12,Assumptions!$B$13))</x:f>
        <x:v>0.85</x:v>
      </x:c>
      <x:c r="I1771" s="21" t="n">
        <x:v>-0.05140388251908945</x:v>
      </x:c>
      <x:c r="J1771" s="21" t="n">
        <x:v>-0.033235991095578954</x:v>
      </x:c>
      <x:c r="K1771" s="21" t="n">
        <x:v>-0.11512315388850325</x:v>
      </x:c>
      <x:c r="L1771" s="36" t="n">
        <x:f>IF(Assumptions!$B$4=2030,I1771,IF(Assumptions!$B$4=2035,J1771,K1771))</x:f>
        <x:v>-0.033235991095578954</x:v>
      </x:c>
      <x:c r="M1771" s="36" t="n">
        <x:f>Assumptions!$B$19</x:f>
        <x:v>-0.04739891965741583</x:v>
      </x:c>
      <x:c r="N1771" s="52" t="n">
        <x:f>H1771*L1771+(1-H1771)*M1771+O1771</x:f>
        <x:v>-0.035360430379854486</x:v>
      </x:c>
      <x:c r="O1771" s="36" t="n">
        <x:f>Assumptions!$B$10</x:f>
        <x:v>0</x:v>
      </x:c>
      <x:c r="P1771" s="54" t="n">
        <x:f>E1771*(1+N1771)</x:f>
        <x:v>218.97318230377303</x:v>
      </x:c>
      <x:c r="Q1771" s="54" t="n">
        <x:f>P1771-E1771</x:f>
        <x:v>-8.02681769622697</x:v>
      </x:c>
      <x:c r="R1771" s="16" t="str">
        <x:v>No</x:v>
      </x:c>
      <x:c r="S1771" s="56"/>
      <x:c r="T1771" s="56"/>
      <x:c r="U1771" s="40" t="n">
        <x:f>E1771*Assumptions!$B$8</x:f>
        <x:v>192.95</x:v>
      </x:c>
      <x:c r="V1771" s="40" t="n">
        <x:f>P1771*Assumptions!$B$8</x:f>
        <x:v>186.12720495820707</x:v>
      </x:c>
      <x:c r="W1771" s="54" t="n">
        <x:f>V1771-U1771</x:f>
        <x:v>-6.822795041792915</x:v>
      </x:c>
      <x:c r="X1771" s="58" t="str">
        <x:f>IF(R1771="No","",W1771*S1771)</x:f>
      </x:c>
      <x:c r="Y1771" s="58" t="str">
        <x:f>IF(R1771="No","",W1771*T1771*Assumptions!$B$9)</x:f>
      </x:c>
      <x:c r="Z1771" s="58" t="str">
        <x:f>IF(R1771="No","",X1771-Y1771)</x:f>
      </x:c>
      <x:c r="AA1771" s="58" t="str">
        <x:f>IF(R1771="No","",MAX(0,-Z1771))</x:f>
      </x:c>
      <x:c r="AB1771" s="52" t="str">
        <x:f>IF(OR(R1771="No",U1771*S1771=0),"",AA1771/(U1771*S1771))</x:f>
      </x:c>
      <x:c r="AC1771" s="54" t="str">
        <x:f>IF(OR(R1771="No",S1771-T1771*Assumptions!$B$9&lt;=0),"",AA1771/(Assumptions!$B$8*(S1771-T1771*Assumptions!$B$9)))</x:f>
      </x:c>
      <x:c r="AD1771" s="52" t="str">
        <x:f>IF(OR(R1771="No",U1771*S1771=0),"",AA1771/(U1771*S1771))</x:f>
      </x:c>
      <x:c r="AE1771" s="50" t="str">
        <x:f>IF(R1771="No","No finance data",IF(AB1771&gt;=10%,"Severe",IF(AB1771&gt;=5%,"High",IF(AB1771&gt;=2%,"Moderate","Low"))))</x:f>
        <x:v>No finance data</x:v>
      </x:c>
      <x:c r="AF1771" s="60"/>
      <x:c r="AG1771" s="60"/>
      <x:c r="AH1771" s="44" t="str">
        <x:v>Undergraduate tuition-contribution proxy only; not an audited total institutional budget.</x:v>
      </x:c>
    </x:row>
    <x:row r="1772">
      <x:c r="A1772" s="16" t="n">
        <x:v>234827</x:v>
      </x:c>
      <x:c r="B1772" s="16" t="str">
        <x:v>Central Washington University</x:v>
      </x:c>
      <x:c r="C1772" s="16" t="str">
        <x:v>WA</x:v>
      </x:c>
      <x:c r="D1772" s="16" t="str">
        <x:v>Public</x:v>
      </x:c>
      <x:c r="E1772" s="34" t="n">
        <x:v>10101</x:v>
      </x:c>
      <x:c r="F1772" s="21" t="n">
        <x:v>0.8845</x:v>
      </x:c>
      <x:c r="G1772" s="16" t="str">
        <x:v>Statewide</x:v>
      </x:c>
      <x:c r="H1772" s="36" t="n">
        <x:f>IF(G1772="National",Assumptions!$B$11,IF(G1772="Statewide",Assumptions!$B$12,Assumptions!$B$13))</x:f>
        <x:v>0.6</x:v>
      </x:c>
      <x:c r="I1772" s="21" t="n">
        <x:v>-0.05140388251908945</x:v>
      </x:c>
      <x:c r="J1772" s="21" t="n">
        <x:v>-0.033235991095578954</x:v>
      </x:c>
      <x:c r="K1772" s="21" t="n">
        <x:v>-0.11512315388850325</x:v>
      </x:c>
      <x:c r="L1772" s="36" t="n">
        <x:f>IF(Assumptions!$B$4=2030,I1772,IF(Assumptions!$B$4=2035,J1772,K1772))</x:f>
        <x:v>-0.033235991095578954</x:v>
      </x:c>
      <x:c r="M1772" s="36" t="n">
        <x:f>Assumptions!$B$19</x:f>
        <x:v>-0.04739891965741583</x:v>
      </x:c>
      <x:c r="N1772" s="52" t="n">
        <x:f>H1772*L1772+(1-H1772)*M1772+O1772</x:f>
        <x:v>-0.038901162520313705</x:v>
      </x:c>
      <x:c r="O1772" s="36" t="n">
        <x:f>Assumptions!$B$10</x:f>
        <x:v>0</x:v>
      </x:c>
      <x:c r="P1772" s="54" t="n">
        <x:f>E1772*(1+N1772)</x:f>
        <x:v>9708.059357382312</x:v>
      </x:c>
      <x:c r="Q1772" s="54" t="n">
        <x:f>P1772-E1772</x:f>
        <x:v>-392.94064261768835</x:v>
      </x:c>
      <x:c r="R1772" s="16" t="str">
        <x:v>Yes</x:v>
      </x:c>
      <x:c r="S1772" s="56" t="n">
        <x:v>7032</x:v>
      </x:c>
      <x:c r="T1772" s="56" t="n">
        <x:v>9174</x:v>
      </x:c>
      <x:c r="U1772" s="40" t="n">
        <x:f>E1772*Assumptions!$B$8</x:f>
        <x:v>8585.85</x:v>
      </x:c>
      <x:c r="V1772" s="40" t="n">
        <x:f>P1772*Assumptions!$B$8</x:f>
        <x:v>8251.850453774965</x:v>
      </x:c>
      <x:c r="W1772" s="54" t="n">
        <x:f>V1772-U1772</x:f>
        <x:v>-333.9995462250354</x:v>
      </x:c>
      <x:c r="X1772" s="58" t="n">
        <x:f>IF(R1772="No","",W1772*S1772)</x:f>
        <x:v>-2348684.8090544487</x:v>
      </x:c>
      <x:c r="Y1772" s="58" t="n">
        <x:f>IF(R1772="No","",W1772*T1772*Assumptions!$B$9)</x:f>
        <x:v>-919233.5511205423</x:v>
      </x:c>
      <x:c r="Z1772" s="58" t="n">
        <x:f>IF(R1772="No","",X1772-Y1772)</x:f>
        <x:v>-1429451.2579339063</x:v>
      </x:c>
      <x:c r="AA1772" s="58" t="n">
        <x:f>IF(R1772="No","",MAX(0,-Z1772))</x:f>
        <x:v>1429451.2579339063</x:v>
      </x:c>
      <x:c r="AB1772" s="52" t="n">
        <x:f>IF(OR(R1772="No",U1772*S1772=0),"",AA1772/(U1772*S1772))</x:f>
        <x:v>0.023675937905921294</x:v>
      </x:c>
      <x:c r="AC1772" s="54" t="n">
        <x:f>IF(OR(R1772="No",S1772-T1772*Assumptions!$B$9&lt;=0),"",AA1772/(Assumptions!$B$8*(S1772-T1772*Assumptions!$B$9)))</x:f>
        <x:v>392.94064261768864</x:v>
      </x:c>
      <x:c r="AD1772" s="52" t="n">
        <x:f>IF(OR(R1772="No",U1772*S1772=0),"",AA1772/(U1772*S1772))</x:f>
        <x:v>0.023675937905921294</x:v>
      </x:c>
      <x:c r="AE1772" s="50" t="str">
        <x:f>IF(R1772="No","No finance data",IF(AB1772&gt;=10%,"Severe",IF(AB1772&gt;=5%,"High",IF(AB1772&gt;=2%,"Moderate","Low"))))</x:f>
        <x:v>Moderate</x:v>
      </x:c>
      <x:c r="AF1772" s="60" t="n">
        <x:v>47.002687</x:v>
      </x:c>
      <x:c r="AG1772" s="60" t="n">
        <x:v>-120.538368</x:v>
      </x:c>
      <x:c r="AH1772" s="44" t="str">
        <x:v>Undergraduate tuition-contribution proxy only; not an audited total institutional budget.</x:v>
      </x:c>
    </x:row>
    <x:row r="1773">
      <x:c r="A1773" s="16" t="n">
        <x:v>234915</x:v>
      </x:c>
      <x:c r="B1773" s="16" t="str">
        <x:v>City University of Seattle</x:v>
      </x:c>
      <x:c r="C1773" s="16" t="str">
        <x:v>WA</x:v>
      </x:c>
      <x:c r="D1773" s="16" t="str">
        <x:v>Private nonprofit</x:v>
      </x:c>
      <x:c r="E1773" s="34" t="n">
        <x:v>1003</x:v>
      </x:c>
      <x:c r="F1773" s="21"/>
      <x:c r="G1773" s="16" t="str">
        <x:v>Regional</x:v>
      </x:c>
      <x:c r="H1773" s="36" t="n">
        <x:f>IF(G1773="National",Assumptions!$B$11,IF(G1773="Statewide",Assumptions!$B$12,Assumptions!$B$13))</x:f>
        <x:v>0.85</x:v>
      </x:c>
      <x:c r="I1773" s="21" t="n">
        <x:v>-0.05140388251908945</x:v>
      </x:c>
      <x:c r="J1773" s="21" t="n">
        <x:v>-0.033235991095578954</x:v>
      </x:c>
      <x:c r="K1773" s="21" t="n">
        <x:v>-0.11512315388850325</x:v>
      </x:c>
      <x:c r="L1773" s="36" t="n">
        <x:f>IF(Assumptions!$B$4=2030,I1773,IF(Assumptions!$B$4=2035,J1773,K1773))</x:f>
        <x:v>-0.033235991095578954</x:v>
      </x:c>
      <x:c r="M1773" s="36" t="n">
        <x:f>Assumptions!$B$19</x:f>
        <x:v>-0.04739891965741583</x:v>
      </x:c>
      <x:c r="N1773" s="52" t="n">
        <x:f>H1773*L1773+(1-H1773)*M1773+O1773</x:f>
        <x:v>-0.035360430379854486</x:v>
      </x:c>
      <x:c r="O1773" s="36" t="n">
        <x:f>Assumptions!$B$10</x:f>
        <x:v>0</x:v>
      </x:c>
      <x:c r="P1773" s="54" t="n">
        <x:f>E1773*(1+N1773)</x:f>
        <x:v>967.533488329006</x:v>
      </x:c>
      <x:c r="Q1773" s="54" t="n">
        <x:f>P1773-E1773</x:f>
        <x:v>-35.46651167099401</x:v>
      </x:c>
      <x:c r="R1773" s="16" t="str">
        <x:v>Yes</x:v>
      </x:c>
      <x:c r="S1773" s="56" t="n">
        <x:v>22738</x:v>
      </x:c>
      <x:c r="T1773" s="56" t="n">
        <x:v>8983</x:v>
      </x:c>
      <x:c r="U1773" s="40" t="n">
        <x:f>E1773*Assumptions!$B$8</x:f>
        <x:v>852.55</x:v>
      </x:c>
      <x:c r="V1773" s="40" t="n">
        <x:f>P1773*Assumptions!$B$8</x:f>
        <x:v>822.4034650796551</x:v>
      </x:c>
      <x:c r="W1773" s="54" t="n">
        <x:f>V1773-U1773</x:f>
        <x:v>-30.146534920344834</x:v>
      </x:c>
      <x:c r="X1773" s="58" t="n">
        <x:f>IF(R1773="No","",W1773*S1773)</x:f>
        <x:v>-685471.9110188008</x:v>
      </x:c>
      <x:c r="Y1773" s="58" t="n">
        <x:f>IF(R1773="No","",W1773*T1773*Assumptions!$B$9)</x:f>
        <x:v>-81241.89695683728</x:v>
      </x:c>
      <x:c r="Z1773" s="58" t="n">
        <x:f>IF(R1773="No","",X1773-Y1773)</x:f>
        <x:v>-604230.0140619635</x:v>
      </x:c>
      <x:c r="AA1773" s="58" t="n">
        <x:f>IF(R1773="No","",MAX(0,-Z1773))</x:f>
        <x:v>604230.0140619635</x:v>
      </x:c>
      <x:c r="AB1773" s="52" t="n">
        <x:f>IF(OR(R1773="No",U1773*S1773=0),"",AA1773/(U1773*S1773))</x:f>
        <x:v>0.031169524239003384</x:v>
      </x:c>
      <x:c r="AC1773" s="54" t="n">
        <x:f>IF(OR(R1773="No",S1773-T1773*Assumptions!$B$9&lt;=0),"",AA1773/(Assumptions!$B$8*(S1773-T1773*Assumptions!$B$9)))</x:f>
        <x:v>35.466511670993924</x:v>
      </x:c>
      <x:c r="AD1773" s="52" t="n">
        <x:f>IF(OR(R1773="No",U1773*S1773=0),"",AA1773/(U1773*S1773))</x:f>
        <x:v>0.031169524239003384</x:v>
      </x:c>
      <x:c r="AE1773" s="50" t="str">
        <x:f>IF(R1773="No","No finance data",IF(AB1773&gt;=10%,"Severe",IF(AB1773&gt;=5%,"High",IF(AB1773&gt;=2%,"Moderate","Low"))))</x:f>
        <x:v>Moderate</x:v>
      </x:c>
      <x:c r="AF1773" s="60" t="n">
        <x:v>47.617381</x:v>
      </x:c>
      <x:c r="AG1773" s="60" t="n">
        <x:v>-122.344594</x:v>
      </x:c>
      <x:c r="AH1773" s="44" t="str">
        <x:v>Undergraduate tuition-contribution proxy only; not an audited total institutional budget.</x:v>
      </x:c>
    </x:row>
    <x:row r="1774">
      <x:c r="A1774" s="16" t="n">
        <x:v>235024</x:v>
      </x:c>
      <x:c r="B1774" s="16" t="str">
        <x:v>Cornish College of the Arts</x:v>
      </x:c>
      <x:c r="C1774" s="16" t="str">
        <x:v>WA</x:v>
      </x:c>
      <x:c r="D1774" s="16" t="str">
        <x:v>Private nonprofit</x:v>
      </x:c>
      <x:c r="E1774" s="34" t="n">
        <x:v>720</x:v>
      </x:c>
      <x:c r="F1774" s="21"/>
      <x:c r="G1774" s="16" t="str">
        <x:v>Regional</x:v>
      </x:c>
      <x:c r="H1774" s="36" t="n">
        <x:f>IF(G1774="National",Assumptions!$B$11,IF(G1774="Statewide",Assumptions!$B$12,Assumptions!$B$13))</x:f>
        <x:v>0.85</x:v>
      </x:c>
      <x:c r="I1774" s="21" t="n">
        <x:v>-0.05140388251908945</x:v>
      </x:c>
      <x:c r="J1774" s="21" t="n">
        <x:v>-0.033235991095578954</x:v>
      </x:c>
      <x:c r="K1774" s="21" t="n">
        <x:v>-0.11512315388850325</x:v>
      </x:c>
      <x:c r="L1774" s="36" t="n">
        <x:f>IF(Assumptions!$B$4=2030,I1774,IF(Assumptions!$B$4=2035,J1774,K1774))</x:f>
        <x:v>-0.033235991095578954</x:v>
      </x:c>
      <x:c r="M1774" s="36" t="n">
        <x:f>Assumptions!$B$19</x:f>
        <x:v>-0.04739891965741583</x:v>
      </x:c>
      <x:c r="N1774" s="52" t="n">
        <x:f>H1774*L1774+(1-H1774)*M1774+O1774</x:f>
        <x:v>-0.035360430379854486</x:v>
      </x:c>
      <x:c r="O1774" s="36" t="n">
        <x:f>Assumptions!$B$10</x:f>
        <x:v>0</x:v>
      </x:c>
      <x:c r="P1774" s="54" t="n">
        <x:f>E1774*(1+N1774)</x:f>
        <x:v>694.5404901265048</x:v>
      </x:c>
      <x:c r="Q1774" s="54" t="n">
        <x:f>P1774-E1774</x:f>
        <x:v>-25.45950987349522</x:v>
      </x:c>
      <x:c r="R1774" s="16" t="str">
        <x:v>No</x:v>
      </x:c>
      <x:c r="S1774" s="56"/>
      <x:c r="T1774" s="56"/>
      <x:c r="U1774" s="40" t="n">
        <x:f>E1774*Assumptions!$B$8</x:f>
        <x:v>612</x:v>
      </x:c>
      <x:c r="V1774" s="40" t="n">
        <x:f>P1774*Assumptions!$B$8</x:f>
        <x:v>590.359416607529</x:v>
      </x:c>
      <x:c r="W1774" s="54" t="n">
        <x:f>V1774-U1774</x:f>
        <x:v>-21.640583392470944</x:v>
      </x:c>
      <x:c r="X1774" s="58" t="str">
        <x:f>IF(R1774="No","",W1774*S1774)</x:f>
      </x:c>
      <x:c r="Y1774" s="58" t="str">
        <x:f>IF(R1774="No","",W1774*T1774*Assumptions!$B$9)</x:f>
      </x:c>
      <x:c r="Z1774" s="58" t="str">
        <x:f>IF(R1774="No","",X1774-Y1774)</x:f>
      </x:c>
      <x:c r="AA1774" s="58" t="str">
        <x:f>IF(R1774="No","",MAX(0,-Z1774))</x:f>
      </x:c>
      <x:c r="AB1774" s="52" t="str">
        <x:f>IF(OR(R1774="No",U1774*S1774=0),"",AA1774/(U1774*S1774))</x:f>
      </x:c>
      <x:c r="AC1774" s="54" t="str">
        <x:f>IF(OR(R1774="No",S1774-T1774*Assumptions!$B$9&lt;=0),"",AA1774/(Assumptions!$B$8*(S1774-T1774*Assumptions!$B$9)))</x:f>
      </x:c>
      <x:c r="AD1774" s="52" t="str">
        <x:f>IF(OR(R1774="No",U1774*S1774=0),"",AA1774/(U1774*S1774))</x:f>
      </x:c>
      <x:c r="AE1774" s="50" t="str">
        <x:f>IF(R1774="No","No finance data",IF(AB1774&gt;=10%,"Severe",IF(AB1774&gt;=5%,"High",IF(AB1774&gt;=2%,"Moderate","Low"))))</x:f>
        <x:v>No finance data</x:v>
      </x:c>
      <x:c r="AF1774" s="60"/>
      <x:c r="AG1774" s="60"/>
      <x:c r="AH1774" s="44" t="str">
        <x:v>Undergraduate tuition-contribution proxy only; not an audited total institutional budget.</x:v>
      </x:c>
    </x:row>
    <x:row r="1775">
      <x:c r="A1775" s="16" t="n">
        <x:v>235097</x:v>
      </x:c>
      <x:c r="B1775" s="16" t="str">
        <x:v>Eastern Washington University</x:v>
      </x:c>
      <x:c r="C1775" s="16" t="str">
        <x:v>WA</x:v>
      </x:c>
      <x:c r="D1775" s="16" t="str">
        <x:v>Public</x:v>
      </x:c>
      <x:c r="E1775" s="34" t="n">
        <x:v>10761</x:v>
      </x:c>
      <x:c r="F1775" s="21" t="n">
        <x:v>0.9707</x:v>
      </x:c>
      <x:c r="G1775" s="16" t="str">
        <x:v>Statewide</x:v>
      </x:c>
      <x:c r="H1775" s="36" t="n">
        <x:f>IF(G1775="National",Assumptions!$B$11,IF(G1775="Statewide",Assumptions!$B$12,Assumptions!$B$13))</x:f>
        <x:v>0.6</x:v>
      </x:c>
      <x:c r="I1775" s="21" t="n">
        <x:v>-0.05140388251908945</x:v>
      </x:c>
      <x:c r="J1775" s="21" t="n">
        <x:v>-0.033235991095578954</x:v>
      </x:c>
      <x:c r="K1775" s="21" t="n">
        <x:v>-0.11512315388850325</x:v>
      </x:c>
      <x:c r="L1775" s="36" t="n">
        <x:f>IF(Assumptions!$B$4=2030,I1775,IF(Assumptions!$B$4=2035,J1775,K1775))</x:f>
        <x:v>-0.033235991095578954</x:v>
      </x:c>
      <x:c r="M1775" s="36" t="n">
        <x:f>Assumptions!$B$19</x:f>
        <x:v>-0.04739891965741583</x:v>
      </x:c>
      <x:c r="N1775" s="52" t="n">
        <x:f>H1775*L1775+(1-H1775)*M1775+O1775</x:f>
        <x:v>-0.038901162520313705</x:v>
      </x:c>
      <x:c r="O1775" s="36" t="n">
        <x:f>Assumptions!$B$10</x:f>
        <x:v>0</x:v>
      </x:c>
      <x:c r="P1775" s="54" t="n">
        <x:f>E1775*(1+N1775)</x:f>
        <x:v>10342.384590118903</x:v>
      </x:c>
      <x:c r="Q1775" s="54" t="n">
        <x:f>P1775-E1775</x:f>
        <x:v>-418.61540988109664</x:v>
      </x:c>
      <x:c r="R1775" s="16" t="str">
        <x:v>Yes</x:v>
      </x:c>
      <x:c r="S1775" s="56" t="n">
        <x:v>7398</x:v>
      </x:c>
      <x:c r="T1775" s="56" t="n">
        <x:v>7844</x:v>
      </x:c>
      <x:c r="U1775" s="40" t="n">
        <x:f>E1775*Assumptions!$B$8</x:f>
        <x:v>9146.85</x:v>
      </x:c>
      <x:c r="V1775" s="40" t="n">
        <x:f>P1775*Assumptions!$B$8</x:f>
        <x:v>8791.026901601068</x:v>
      </x:c>
      <x:c r="W1775" s="54" t="n">
        <x:f>V1775-U1775</x:f>
        <x:v>-355.8230983989324</x:v>
      </x:c>
      <x:c r="X1775" s="58" t="n">
        <x:f>IF(R1775="No","",W1775*S1775)</x:f>
        <x:v>-2632379.281955302</x:v>
      </x:c>
      <x:c r="Y1775" s="58" t="n">
        <x:f>IF(R1775="No","",W1775*T1775*Assumptions!$B$9)</x:f>
        <x:v>-837322.9151523678</x:v>
      </x:c>
      <x:c r="Z1775" s="58" t="n">
        <x:f>IF(R1775="No","",X1775-Y1775)</x:f>
        <x:v>-1795056.3668029346</x:v>
      </x:c>
      <x:c r="AA1775" s="58" t="n">
        <x:f>IF(R1775="No","",MAX(0,-Z1775))</x:f>
        <x:v>1795056.3668029346</x:v>
      </x:c>
      <x:c r="AB1775" s="52" t="n">
        <x:f>IF(OR(R1775="No",U1775*S1775=0),"",AA1775/(U1775*S1775))</x:f>
        <x:v>0.026527248537777666</x:v>
      </x:c>
      <x:c r="AC1775" s="54" t="n">
        <x:f>IF(OR(R1775="No",S1775-T1775*Assumptions!$B$9&lt;=0),"",AA1775/(Assumptions!$B$8*(S1775-T1775*Assumptions!$B$9)))</x:f>
        <x:v>418.61540988109704</x:v>
      </x:c>
      <x:c r="AD1775" s="52" t="n">
        <x:f>IF(OR(R1775="No",U1775*S1775=0),"",AA1775/(U1775*S1775))</x:f>
        <x:v>0.026527248537777666</x:v>
      </x:c>
      <x:c r="AE1775" s="50" t="str">
        <x:f>IF(R1775="No","No finance data",IF(AB1775&gt;=10%,"Severe",IF(AB1775&gt;=5%,"High",IF(AB1775&gt;=2%,"Moderate","Low"))))</x:f>
        <x:v>Moderate</x:v>
      </x:c>
      <x:c r="AF1775" s="60" t="n">
        <x:v>47.490667</x:v>
      </x:c>
      <x:c r="AG1775" s="60" t="n">
        <x:v>-117.583808</x:v>
      </x:c>
      <x:c r="AH1775" s="44" t="str">
        <x:v>Undergraduate tuition-contribution proxy only; not an audited total institutional budget.</x:v>
      </x:c>
    </x:row>
    <x:row r="1776">
      <x:c r="A1776" s="16" t="n">
        <x:v>443049</x:v>
      </x:c>
      <x:c r="B1776" s="16" t="str">
        <x:v>Faith International University</x:v>
      </x:c>
      <x:c r="C1776" s="16" t="str">
        <x:v>WA</x:v>
      </x:c>
      <x:c r="D1776" s="16" t="str">
        <x:v>Private nonprofit</x:v>
      </x:c>
      <x:c r="E1776" s="34" t="n">
        <x:v>178</x:v>
      </x:c>
      <x:c r="F1776" s="21"/>
      <x:c r="G1776" s="16" t="str">
        <x:v>Regional</x:v>
      </x:c>
      <x:c r="H1776" s="36" t="n">
        <x:f>IF(G1776="National",Assumptions!$B$11,IF(G1776="Statewide",Assumptions!$B$12,Assumptions!$B$13))</x:f>
        <x:v>0.85</x:v>
      </x:c>
      <x:c r="I1776" s="21" t="n">
        <x:v>-0.05140388251908945</x:v>
      </x:c>
      <x:c r="J1776" s="21" t="n">
        <x:v>-0.033235991095578954</x:v>
      </x:c>
      <x:c r="K1776" s="21" t="n">
        <x:v>-0.11512315388850325</x:v>
      </x:c>
      <x:c r="L1776" s="36" t="n">
        <x:f>IF(Assumptions!$B$4=2030,I1776,IF(Assumptions!$B$4=2035,J1776,K1776))</x:f>
        <x:v>-0.033235991095578954</x:v>
      </x:c>
      <x:c r="M1776" s="36" t="n">
        <x:f>Assumptions!$B$19</x:f>
        <x:v>-0.04739891965741583</x:v>
      </x:c>
      <x:c r="N1776" s="52" t="n">
        <x:f>H1776*L1776+(1-H1776)*M1776+O1776</x:f>
        <x:v>-0.035360430379854486</x:v>
      </x:c>
      <x:c r="O1776" s="36" t="n">
        <x:f>Assumptions!$B$10</x:f>
        <x:v>0</x:v>
      </x:c>
      <x:c r="P1776" s="54" t="n">
        <x:f>E1776*(1+N1776)</x:f>
        <x:v>171.7058433923859</x:v>
      </x:c>
      <x:c r="Q1776" s="54" t="n">
        <x:f>P1776-E1776</x:f>
        <x:v>-6.294156607614099</x:v>
      </x:c>
      <x:c r="R1776" s="16" t="str">
        <x:v>No</x:v>
      </x:c>
      <x:c r="S1776" s="56"/>
      <x:c r="T1776" s="56"/>
      <x:c r="U1776" s="40" t="n">
        <x:f>E1776*Assumptions!$B$8</x:f>
        <x:v>151.29999999999998</x:v>
      </x:c>
      <x:c r="V1776" s="40" t="n">
        <x:f>P1776*Assumptions!$B$8</x:f>
        <x:v>145.94996688352802</x:v>
      </x:c>
      <x:c r="W1776" s="54" t="n">
        <x:f>V1776-U1776</x:f>
        <x:v>-5.350033116471963</x:v>
      </x:c>
      <x:c r="X1776" s="58" t="str">
        <x:f>IF(R1776="No","",W1776*S1776)</x:f>
      </x:c>
      <x:c r="Y1776" s="58" t="str">
        <x:f>IF(R1776="No","",W1776*T1776*Assumptions!$B$9)</x:f>
      </x:c>
      <x:c r="Z1776" s="58" t="str">
        <x:f>IF(R1776="No","",X1776-Y1776)</x:f>
      </x:c>
      <x:c r="AA1776" s="58" t="str">
        <x:f>IF(R1776="No","",MAX(0,-Z1776))</x:f>
      </x:c>
      <x:c r="AB1776" s="52" t="str">
        <x:f>IF(OR(R1776="No",U1776*S1776=0),"",AA1776/(U1776*S1776))</x:f>
      </x:c>
      <x:c r="AC1776" s="54" t="str">
        <x:f>IF(OR(R1776="No",S1776-T1776*Assumptions!$B$9&lt;=0),"",AA1776/(Assumptions!$B$8*(S1776-T1776*Assumptions!$B$9)))</x:f>
      </x:c>
      <x:c r="AD1776" s="52" t="str">
        <x:f>IF(OR(R1776="No",U1776*S1776=0),"",AA1776/(U1776*S1776))</x:f>
      </x:c>
      <x:c r="AE1776" s="50" t="str">
        <x:f>IF(R1776="No","No finance data",IF(AB1776&gt;=10%,"Severe",IF(AB1776&gt;=5%,"High",IF(AB1776&gt;=2%,"Moderate","Low"))))</x:f>
        <x:v>No finance data</x:v>
      </x:c>
      <x:c r="AF1776" s="60"/>
      <x:c r="AG1776" s="60"/>
      <x:c r="AH1776" s="44" t="str">
        <x:v>Undergraduate tuition-contribution proxy only; not an audited total institutional budget.</x:v>
      </x:c>
    </x:row>
    <x:row r="1777">
      <x:c r="A1777" s="16" t="n">
        <x:v>235316</x:v>
      </x:c>
      <x:c r="B1777" s="16" t="str">
        <x:v>Gonzaga University</x:v>
      </x:c>
      <x:c r="C1777" s="16" t="str">
        <x:v>WA</x:v>
      </x:c>
      <x:c r="D1777" s="16" t="str">
        <x:v>Private nonprofit</x:v>
      </x:c>
      <x:c r="E1777" s="34" t="n">
        <x:v>4965</x:v>
      </x:c>
      <x:c r="F1777" s="21" t="n">
        <x:v>0.7615</x:v>
      </x:c>
      <x:c r="G1777" s="16" t="str">
        <x:v>Regional</x:v>
      </x:c>
      <x:c r="H1777" s="36" t="n">
        <x:f>IF(G1777="National",Assumptions!$B$11,IF(G1777="Statewide",Assumptions!$B$12,Assumptions!$B$13))</x:f>
        <x:v>0.85</x:v>
      </x:c>
      <x:c r="I1777" s="21" t="n">
        <x:v>-0.05140388251908945</x:v>
      </x:c>
      <x:c r="J1777" s="21" t="n">
        <x:v>-0.033235991095578954</x:v>
      </x:c>
      <x:c r="K1777" s="21" t="n">
        <x:v>-0.11512315388850325</x:v>
      </x:c>
      <x:c r="L1777" s="36" t="n">
        <x:f>IF(Assumptions!$B$4=2030,I1777,IF(Assumptions!$B$4=2035,J1777,K1777))</x:f>
        <x:v>-0.033235991095578954</x:v>
      </x:c>
      <x:c r="M1777" s="36" t="n">
        <x:f>Assumptions!$B$19</x:f>
        <x:v>-0.04739891965741583</x:v>
      </x:c>
      <x:c r="N1777" s="52" t="n">
        <x:f>H1777*L1777+(1-H1777)*M1777+O1777</x:f>
        <x:v>-0.035360430379854486</x:v>
      </x:c>
      <x:c r="O1777" s="36" t="n">
        <x:f>Assumptions!$B$10</x:f>
        <x:v>0</x:v>
      </x:c>
      <x:c r="P1777" s="54" t="n">
        <x:f>E1777*(1+N1777)</x:f>
        <x:v>4789.435463164023</x:v>
      </x:c>
      <x:c r="Q1777" s="54" t="n">
        <x:f>P1777-E1777</x:f>
        <x:v>-175.56453683597738</x:v>
      </x:c>
      <x:c r="R1777" s="16" t="str">
        <x:v>Yes</x:v>
      </x:c>
      <x:c r="S1777" s="56" t="n">
        <x:v>22492</x:v>
      </x:c>
      <x:c r="T1777" s="56" t="n">
        <x:v>11286</x:v>
      </x:c>
      <x:c r="U1777" s="40" t="n">
        <x:f>E1777*Assumptions!$B$8</x:f>
        <x:v>4220.25</x:v>
      </x:c>
      <x:c r="V1777" s="40" t="n">
        <x:f>P1777*Assumptions!$B$8</x:f>
        <x:v>4071.020143689419</x:v>
      </x:c>
      <x:c r="W1777" s="54" t="n">
        <x:f>V1777-U1777</x:f>
        <x:v>-149.229856310581</x:v>
      </x:c>
      <x:c r="X1777" s="58" t="n">
        <x:f>IF(R1777="No","",W1777*S1777)</x:f>
        <x:v>-3356477.928137588</x:v>
      </x:c>
      <x:c r="Y1777" s="58" t="n">
        <x:f>IF(R1777="No","",W1777*T1777*Assumptions!$B$9)</x:f>
        <x:v>-505262.4474963651</x:v>
      </x:c>
      <x:c r="Z1777" s="58" t="n">
        <x:f>IF(R1777="No","",X1777-Y1777)</x:f>
        <x:v>-2851215.4806412226</x:v>
      </x:c>
      <x:c r="AA1777" s="58" t="n">
        <x:f>IF(R1777="No","",MAX(0,-Z1777))</x:f>
        <x:v>2851215.4806412226</x:v>
      </x:c>
      <x:c r="AB1777" s="52" t="n">
        <x:f>IF(OR(R1777="No",U1777*S1777=0),"",AA1777/(U1777*S1777))</x:f>
        <x:v>0.030037500218903442</x:v>
      </x:c>
      <x:c r="AC1777" s="54" t="n">
        <x:f>IF(OR(R1777="No",S1777-T1777*Assumptions!$B$9&lt;=0),"",AA1777/(Assumptions!$B$8*(S1777-T1777*Assumptions!$B$9)))</x:f>
        <x:v>175.56453683597763</x:v>
      </x:c>
      <x:c r="AD1777" s="52" t="n">
        <x:f>IF(OR(R1777="No",U1777*S1777=0),"",AA1777/(U1777*S1777))</x:f>
        <x:v>0.030037500218903442</x:v>
      </x:c>
      <x:c r="AE1777" s="50" t="str">
        <x:f>IF(R1777="No","No finance data",IF(AB1777&gt;=10%,"Severe",IF(AB1777&gt;=5%,"High",IF(AB1777&gt;=2%,"Moderate","Low"))))</x:f>
        <x:v>Moderate</x:v>
      </x:c>
      <x:c r="AF1777" s="60" t="n">
        <x:v>47.666531</x:v>
      </x:c>
      <x:c r="AG1777" s="60" t="n">
        <x:v>-117.400625</x:v>
      </x:c>
      <x:c r="AH1777" s="44" t="str">
        <x:v>Undergraduate tuition-contribution proxy only; not an audited total institutional budget.</x:v>
      </x:c>
    </x:row>
    <x:row r="1778">
      <x:c r="A1778" s="16" t="n">
        <x:v>235422</x:v>
      </x:c>
      <x:c r="B1778" s="16" t="str">
        <x:v>Heritage University</x:v>
      </x:c>
      <x:c r="C1778" s="16" t="str">
        <x:v>WA</x:v>
      </x:c>
      <x:c r="D1778" s="16" t="str">
        <x:v>Private nonprofit</x:v>
      </x:c>
      <x:c r="E1778" s="34" t="n">
        <x:v>819</x:v>
      </x:c>
      <x:c r="F1778" s="21"/>
      <x:c r="G1778" s="16" t="str">
        <x:v>Regional</x:v>
      </x:c>
      <x:c r="H1778" s="36" t="n">
        <x:f>IF(G1778="National",Assumptions!$B$11,IF(G1778="Statewide",Assumptions!$B$12,Assumptions!$B$13))</x:f>
        <x:v>0.85</x:v>
      </x:c>
      <x:c r="I1778" s="21" t="n">
        <x:v>-0.05140388251908945</x:v>
      </x:c>
      <x:c r="J1778" s="21" t="n">
        <x:v>-0.033235991095578954</x:v>
      </x:c>
      <x:c r="K1778" s="21" t="n">
        <x:v>-0.11512315388850325</x:v>
      </x:c>
      <x:c r="L1778" s="36" t="n">
        <x:f>IF(Assumptions!$B$4=2030,I1778,IF(Assumptions!$B$4=2035,J1778,K1778))</x:f>
        <x:v>-0.033235991095578954</x:v>
      </x:c>
      <x:c r="M1778" s="36" t="n">
        <x:f>Assumptions!$B$19</x:f>
        <x:v>-0.04739891965741583</x:v>
      </x:c>
      <x:c r="N1778" s="52" t="n">
        <x:f>H1778*L1778+(1-H1778)*M1778+O1778</x:f>
        <x:v>-0.035360430379854486</x:v>
      </x:c>
      <x:c r="O1778" s="36" t="n">
        <x:f>Assumptions!$B$10</x:f>
        <x:v>0</x:v>
      </x:c>
      <x:c r="P1778" s="54" t="n">
        <x:f>E1778*(1+N1778)</x:f>
        <x:v>790.0398075188992</x:v>
      </x:c>
      <x:c r="Q1778" s="54" t="n">
        <x:f>P1778-E1778</x:f>
        <x:v>-28.960192481100762</x:v>
      </x:c>
      <x:c r="R1778" s="16" t="str">
        <x:v>Yes</x:v>
      </x:c>
      <x:c r="S1778" s="56" t="n">
        <x:v>16154</x:v>
      </x:c>
      <x:c r="T1778" s="56" t="n">
        <x:v>11487</x:v>
      </x:c>
      <x:c r="U1778" s="40" t="n">
        <x:f>E1778*Assumptions!$B$8</x:f>
        <x:v>696.15</x:v>
      </x:c>
      <x:c r="V1778" s="40" t="n">
        <x:f>P1778*Assumptions!$B$8</x:f>
        <x:v>671.5338363910644</x:v>
      </x:c>
      <x:c r="W1778" s="54" t="n">
        <x:f>V1778-U1778</x:f>
        <x:v>-24.616163608935608</x:v>
      </x:c>
      <x:c r="X1778" s="58" t="n">
        <x:f>IF(R1778="No","",W1778*S1778)</x:f>
        <x:v>-397649.5069387458</x:v>
      </x:c>
      <x:c r="Y1778" s="58" t="n">
        <x:f>IF(R1778="No","",W1778*T1778*Assumptions!$B$9)</x:f>
        <x:v>-84829.76141275298</x:v>
      </x:c>
      <x:c r="Z1778" s="58" t="n">
        <x:f>IF(R1778="No","",X1778-Y1778)</x:f>
        <x:v>-312819.7455259928</x:v>
      </x:c>
      <x:c r="AA1778" s="58" t="n">
        <x:f>IF(R1778="No","",MAX(0,-Z1778))</x:f>
        <x:v>312819.7455259928</x:v>
      </x:c>
      <x:c r="AB1778" s="52" t="n">
        <x:f>IF(OR(R1778="No",U1778*S1778=0),"",AA1778/(U1778*S1778))</x:f>
        <x:v>0.02781706160852737</x:v>
      </x:c>
      <x:c r="AC1778" s="54" t="n">
        <x:f>IF(OR(R1778="No",S1778-T1778*Assumptions!$B$9&lt;=0),"",AA1778/(Assumptions!$B$8*(S1778-T1778*Assumptions!$B$9)))</x:f>
        <x:v>28.960192481100716</x:v>
      </x:c>
      <x:c r="AD1778" s="52" t="n">
        <x:f>IF(OR(R1778="No",U1778*S1778=0),"",AA1778/(U1778*S1778))</x:f>
        <x:v>0.02781706160852737</x:v>
      </x:c>
      <x:c r="AE1778" s="50" t="str">
        <x:f>IF(R1778="No","No finance data",IF(AB1778&gt;=10%,"Severe",IF(AB1778&gt;=5%,"High",IF(AB1778&gt;=2%,"Moderate","Low"))))</x:f>
        <x:v>Moderate</x:v>
      </x:c>
      <x:c r="AF1778" s="60" t="n">
        <x:v>46.3748</x:v>
      </x:c>
      <x:c r="AG1778" s="60" t="n">
        <x:v>-120.394972</x:v>
      </x:c>
      <x:c r="AH1778" s="44" t="str">
        <x:v>Undergraduate tuition-contribution proxy only; not an audited total institutional budget.</x:v>
      </x:c>
    </x:row>
    <x:row r="1779">
      <x:c r="A1779" s="16" t="n">
        <x:v>236133</x:v>
      </x:c>
      <x:c r="B1779" s="16" t="str">
        <x:v>Northwest University</x:v>
      </x:c>
      <x:c r="C1779" s="16" t="str">
        <x:v>WA</x:v>
      </x:c>
      <x:c r="D1779" s="16" t="str">
        <x:v>Private nonprofit</x:v>
      </x:c>
      <x:c r="E1779" s="34" t="n">
        <x:v>912</x:v>
      </x:c>
      <x:c r="F1779" s="21" t="n">
        <x:v>0.9598</x:v>
      </x:c>
      <x:c r="G1779" s="16" t="str">
        <x:v>Regional</x:v>
      </x:c>
      <x:c r="H1779" s="36" t="n">
        <x:f>IF(G1779="National",Assumptions!$B$11,IF(G1779="Statewide",Assumptions!$B$12,Assumptions!$B$13))</x:f>
        <x:v>0.85</x:v>
      </x:c>
      <x:c r="I1779" s="21" t="n">
        <x:v>-0.05140388251908945</x:v>
      </x:c>
      <x:c r="J1779" s="21" t="n">
        <x:v>-0.033235991095578954</x:v>
      </x:c>
      <x:c r="K1779" s="21" t="n">
        <x:v>-0.11512315388850325</x:v>
      </x:c>
      <x:c r="L1779" s="36" t="n">
        <x:f>IF(Assumptions!$B$4=2030,I1779,IF(Assumptions!$B$4=2035,J1779,K1779))</x:f>
        <x:v>-0.033235991095578954</x:v>
      </x:c>
      <x:c r="M1779" s="36" t="n">
        <x:f>Assumptions!$B$19</x:f>
        <x:v>-0.04739891965741583</x:v>
      </x:c>
      <x:c r="N1779" s="52" t="n">
        <x:f>H1779*L1779+(1-H1779)*M1779+O1779</x:f>
        <x:v>-0.035360430379854486</x:v>
      </x:c>
      <x:c r="O1779" s="36" t="n">
        <x:f>Assumptions!$B$10</x:f>
        <x:v>0</x:v>
      </x:c>
      <x:c r="P1779" s="54" t="n">
        <x:f>E1779*(1+N1779)</x:f>
        <x:v>879.7512874935727</x:v>
      </x:c>
      <x:c r="Q1779" s="54" t="n">
        <x:f>P1779-E1779</x:f>
        <x:v>-32.248712506427296</x:v>
      </x:c>
      <x:c r="R1779" s="16" t="str">
        <x:v>Yes</x:v>
      </x:c>
      <x:c r="S1779" s="56" t="n">
        <x:v>19300</x:v>
      </x:c>
      <x:c r="T1779" s="56" t="n">
        <x:v>12322</x:v>
      </x:c>
      <x:c r="U1779" s="40" t="n">
        <x:f>E1779*Assumptions!$B$8</x:f>
        <x:v>775.1999999999999</x:v>
      </x:c>
      <x:c r="V1779" s="40" t="n">
        <x:f>P1779*Assumptions!$B$8</x:f>
        <x:v>747.7885943695368</x:v>
      </x:c>
      <x:c r="W1779" s="54" t="n">
        <x:f>V1779-U1779</x:f>
        <x:v>-27.41140563046315</x:v>
      </x:c>
      <x:c r="X1779" s="58" t="n">
        <x:f>IF(R1779="No","",W1779*S1779)</x:f>
        <x:v>-529040.1286679388</x:v>
      </x:c>
      <x:c r="Y1779" s="58" t="n">
        <x:f>IF(R1779="No","",W1779*T1779*Assumptions!$B$9)</x:f>
        <x:v>-101329.00205357008</x:v>
      </x:c>
      <x:c r="Z1779" s="58" t="n">
        <x:f>IF(R1779="No","",X1779-Y1779)</x:f>
        <x:v>-427711.1266143687</x:v>
      </x:c>
      <x:c r="AA1779" s="58" t="n">
        <x:f>IF(R1779="No","",MAX(0,-Z1779))</x:f>
        <x:v>427711.1266143687</x:v>
      </x:c>
      <x:c r="AB1779" s="52" t="n">
        <x:f>IF(OR(R1779="No",U1779*S1779=0),"",AA1779/(U1779*S1779))</x:f>
        <x:v>0.028587717066788632</x:v>
      </x:c>
      <x:c r="AC1779" s="54" t="n">
        <x:f>IF(OR(R1779="No",S1779-T1779*Assumptions!$B$9&lt;=0),"",AA1779/(Assumptions!$B$8*(S1779-T1779*Assumptions!$B$9)))</x:f>
        <x:v>32.24871250642723</x:v>
      </x:c>
      <x:c r="AD1779" s="52" t="n">
        <x:f>IF(OR(R1779="No",U1779*S1779=0),"",AA1779/(U1779*S1779))</x:f>
        <x:v>0.028587717066788632</x:v>
      </x:c>
      <x:c r="AE1779" s="50" t="str">
        <x:f>IF(R1779="No","No finance data",IF(AB1779&gt;=10%,"Severe",IF(AB1779&gt;=5%,"High",IF(AB1779&gt;=2%,"Moderate","Low"))))</x:f>
        <x:v>Moderate</x:v>
      </x:c>
      <x:c r="AF1779" s="60" t="n">
        <x:v>47.657945</x:v>
      </x:c>
      <x:c r="AG1779" s="60" t="n">
        <x:v>-122.192763</x:v>
      </x:c>
      <x:c r="AH1779" s="44" t="str">
        <x:v>Undergraduate tuition-contribution proxy only; not an audited total institutional budget.</x:v>
      </x:c>
    </x:row>
    <x:row r="1780">
      <x:c r="A1780" s="16" t="n">
        <x:v>487603</x:v>
      </x:c>
      <x:c r="B1780" s="16" t="str">
        <x:v>Northwest University-College of Adult and Professional Studies</x:v>
      </x:c>
      <x:c r="C1780" s="16" t="str">
        <x:v>WA</x:v>
      </x:c>
      <x:c r="D1780" s="16" t="str">
        <x:v>Private nonprofit</x:v>
      </x:c>
      <x:c r="E1780" s="34" t="n">
        <x:v>579</x:v>
      </x:c>
      <x:c r="F1780" s="21"/>
      <x:c r="G1780" s="16" t="str">
        <x:v>Regional</x:v>
      </x:c>
      <x:c r="H1780" s="36" t="n">
        <x:f>IF(G1780="National",Assumptions!$B$11,IF(G1780="Statewide",Assumptions!$B$12,Assumptions!$B$13))</x:f>
        <x:v>0.85</x:v>
      </x:c>
      <x:c r="I1780" s="21" t="n">
        <x:v>-0.05140388251908945</x:v>
      </x:c>
      <x:c r="J1780" s="21" t="n">
        <x:v>-0.033235991095578954</x:v>
      </x:c>
      <x:c r="K1780" s="21" t="n">
        <x:v>-0.11512315388850325</x:v>
      </x:c>
      <x:c r="L1780" s="36" t="n">
        <x:f>IF(Assumptions!$B$4=2030,I1780,IF(Assumptions!$B$4=2035,J1780,K1780))</x:f>
        <x:v>-0.033235991095578954</x:v>
      </x:c>
      <x:c r="M1780" s="36" t="n">
        <x:f>Assumptions!$B$19</x:f>
        <x:v>-0.04739891965741583</x:v>
      </x:c>
      <x:c r="N1780" s="52" t="n">
        <x:f>H1780*L1780+(1-H1780)*M1780+O1780</x:f>
        <x:v>-0.035360430379854486</x:v>
      </x:c>
      <x:c r="O1780" s="36" t="n">
        <x:f>Assumptions!$B$10</x:f>
        <x:v>0</x:v>
      </x:c>
      <x:c r="P1780" s="54" t="n">
        <x:f>E1780*(1+N1780)</x:f>
        <x:v>558.5263108100643</x:v>
      </x:c>
      <x:c r="Q1780" s="54" t="n">
        <x:f>P1780-E1780</x:f>
        <x:v>-20.473689189935726</x:v>
      </x:c>
      <x:c r="R1780" s="16" t="str">
        <x:v>Yes</x:v>
      </x:c>
      <x:c r="S1780" s="56" t="n">
        <x:v>7711</x:v>
      </x:c>
      <x:c r="T1780" s="56" t="n">
        <x:v>3858</x:v>
      </x:c>
      <x:c r="U1780" s="40" t="n">
        <x:f>E1780*Assumptions!$B$8</x:f>
        <x:v>492.15</x:v>
      </x:c>
      <x:c r="V1780" s="40" t="n">
        <x:f>P1780*Assumptions!$B$8</x:f>
        <x:v>474.7473641885546</x:v>
      </x:c>
      <x:c r="W1780" s="54" t="n">
        <x:f>V1780-U1780</x:f>
        <x:v>-17.40263581144535</x:v>
      </x:c>
      <x:c r="X1780" s="58" t="n">
        <x:f>IF(R1780="No","",W1780*S1780)</x:f>
        <x:v>-134191.72474205508</x:v>
      </x:c>
      <x:c r="Y1780" s="58" t="n">
        <x:f>IF(R1780="No","",W1780*T1780*Assumptions!$B$9)</x:f>
        <x:v>-20141.81068816685</x:v>
      </x:c>
      <x:c r="Z1780" s="58" t="n">
        <x:f>IF(R1780="No","",X1780-Y1780)</x:f>
        <x:v>-114049.91405388823</x:v>
      </x:c>
      <x:c r="AA1780" s="58" t="n">
        <x:f>IF(R1780="No","",MAX(0,-Z1780))</x:f>
        <x:v>114049.91405388823</x:v>
      </x:c>
      <x:c r="AB1780" s="52" t="n">
        <x:f>IF(OR(R1780="No",U1780*S1780=0),"",AA1780/(U1780*S1780))</x:f>
        <x:v>0.03005292653837555</x:v>
      </x:c>
      <x:c r="AC1780" s="54" t="n">
        <x:f>IF(OR(R1780="No",S1780-T1780*Assumptions!$B$9&lt;=0),"",AA1780/(Assumptions!$B$8*(S1780-T1780*Assumptions!$B$9)))</x:f>
        <x:v>20.4736891899357</x:v>
      </x:c>
      <x:c r="AD1780" s="52" t="n">
        <x:f>IF(OR(R1780="No",U1780*S1780=0),"",AA1780/(U1780*S1780))</x:f>
        <x:v>0.03005292653837555</x:v>
      </x:c>
      <x:c r="AE1780" s="50" t="str">
        <x:f>IF(R1780="No","No finance data",IF(AB1780&gt;=10%,"Severe",IF(AB1780&gt;=5%,"High",IF(AB1780&gt;=2%,"Moderate","Low"))))</x:f>
        <x:v>Moderate</x:v>
      </x:c>
      <x:c r="AF1780" s="60" t="n">
        <x:v>47.657502</x:v>
      </x:c>
      <x:c r="AG1780" s="60" t="n">
        <x:v>-122.195774</x:v>
      </x:c>
      <x:c r="AH1780" s="44" t="str">
        <x:v>Undergraduate tuition-contribution proxy only; not an audited total institutional budget.</x:v>
      </x:c>
    </x:row>
    <x:row r="1781">
      <x:c r="A1781" s="16" t="n">
        <x:v>236230</x:v>
      </x:c>
      <x:c r="B1781" s="16" t="str">
        <x:v>Pacific Lutheran University</x:v>
      </x:c>
      <x:c r="C1781" s="16" t="str">
        <x:v>WA</x:v>
      </x:c>
      <x:c r="D1781" s="16" t="str">
        <x:v>Private nonprofit</x:v>
      </x:c>
      <x:c r="E1781" s="34" t="n">
        <x:v>2809</x:v>
      </x:c>
      <x:c r="F1781" s="21" t="n">
        <x:v>0.8839</x:v>
      </x:c>
      <x:c r="G1781" s="16" t="str">
        <x:v>Regional</x:v>
      </x:c>
      <x:c r="H1781" s="36" t="n">
        <x:f>IF(G1781="National",Assumptions!$B$11,IF(G1781="Statewide",Assumptions!$B$12,Assumptions!$B$13))</x:f>
        <x:v>0.85</x:v>
      </x:c>
      <x:c r="I1781" s="21" t="n">
        <x:v>-0.05140388251908945</x:v>
      </x:c>
      <x:c r="J1781" s="21" t="n">
        <x:v>-0.033235991095578954</x:v>
      </x:c>
      <x:c r="K1781" s="21" t="n">
        <x:v>-0.11512315388850325</x:v>
      </x:c>
      <x:c r="L1781" s="36" t="n">
        <x:f>IF(Assumptions!$B$4=2030,I1781,IF(Assumptions!$B$4=2035,J1781,K1781))</x:f>
        <x:v>-0.033235991095578954</x:v>
      </x:c>
      <x:c r="M1781" s="36" t="n">
        <x:f>Assumptions!$B$19</x:f>
        <x:v>-0.04739891965741583</x:v>
      </x:c>
      <x:c r="N1781" s="52" t="n">
        <x:f>H1781*L1781+(1-H1781)*M1781+O1781</x:f>
        <x:v>-0.035360430379854486</x:v>
      </x:c>
      <x:c r="O1781" s="36" t="n">
        <x:f>Assumptions!$B$10</x:f>
        <x:v>0</x:v>
      </x:c>
      <x:c r="P1781" s="54" t="n">
        <x:f>E1781*(1+N1781)</x:f>
        <x:v>2709.672551062989</x:v>
      </x:c>
      <x:c r="Q1781" s="54" t="n">
        <x:f>P1781-E1781</x:f>
        <x:v>-99.32744893701101</x:v>
      </x:c>
      <x:c r="R1781" s="16" t="str">
        <x:v>Yes</x:v>
      </x:c>
      <x:c r="S1781" s="56" t="n">
        <x:v>19645</x:v>
      </x:c>
      <x:c r="T1781" s="56" t="n">
        <x:v>9074</x:v>
      </x:c>
      <x:c r="U1781" s="40" t="n">
        <x:f>E1781*Assumptions!$B$8</x:f>
        <x:v>2387.65</x:v>
      </x:c>
      <x:c r="V1781" s="40" t="n">
        <x:f>P1781*Assumptions!$B$8</x:f>
        <x:v>2303.2216684035407</x:v>
      </x:c>
      <x:c r="W1781" s="54" t="n">
        <x:f>V1781-U1781</x:f>
        <x:v>-84.42833159645943</x:v>
      </x:c>
      <x:c r="X1781" s="58" t="n">
        <x:f>IF(R1781="No","",W1781*S1781)</x:f>
        <x:v>-1658594.5742124454</x:v>
      </x:c>
      <x:c r="Y1781" s="58" t="n">
        <x:f>IF(R1781="No","",W1781*T1781*Assumptions!$B$9)</x:f>
        <x:v>-229830.80427188185</x:v>
      </x:c>
      <x:c r="Z1781" s="58" t="n">
        <x:f>IF(R1781="No","",X1781-Y1781)</x:f>
        <x:v>-1428763.7699405635</x:v>
      </x:c>
      <x:c r="AA1781" s="58" t="n">
        <x:f>IF(R1781="No","",MAX(0,-Z1781))</x:f>
        <x:v>1428763.7699405635</x:v>
      </x:c>
      <x:c r="AB1781" s="52" t="n">
        <x:f>IF(OR(R1781="No",U1781*S1781=0),"",AA1781/(U1781*S1781))</x:f>
        <x:v>0.030460549311896182</x:v>
      </x:c>
      <x:c r="AC1781" s="54" t="n">
        <x:f>IF(OR(R1781="No",S1781-T1781*Assumptions!$B$9&lt;=0),"",AA1781/(Assumptions!$B$8*(S1781-T1781*Assumptions!$B$9)))</x:f>
        <x:v>99.32744893701108</x:v>
      </x:c>
      <x:c r="AD1781" s="52" t="n">
        <x:f>IF(OR(R1781="No",U1781*S1781=0),"",AA1781/(U1781*S1781))</x:f>
        <x:v>0.030460549311896182</x:v>
      </x:c>
      <x:c r="AE1781" s="50" t="str">
        <x:f>IF(R1781="No","No finance data",IF(AB1781&gt;=10%,"Severe",IF(AB1781&gt;=5%,"High",IF(AB1781&gt;=2%,"Moderate","Low"))))</x:f>
        <x:v>Moderate</x:v>
      </x:c>
      <x:c r="AF1781" s="60" t="n">
        <x:v>47.14516</x:v>
      </x:c>
      <x:c r="AG1781" s="60" t="n">
        <x:v>-122.440421</x:v>
      </x:c>
      <x:c r="AH1781" s="44" t="str">
        <x:v>Undergraduate tuition-contribution proxy only; not an audited total institutional budget.</x:v>
      </x:c>
    </x:row>
    <x:row r="1782">
      <x:c r="A1782" s="16" t="n">
        <x:v>236452</x:v>
      </x:c>
      <x:c r="B1782" s="16" t="str">
        <x:v>Saint Martin's University</x:v>
      </x:c>
      <x:c r="C1782" s="16" t="str">
        <x:v>WA</x:v>
      </x:c>
      <x:c r="D1782" s="16" t="str">
        <x:v>Private nonprofit</x:v>
      </x:c>
      <x:c r="E1782" s="34" t="n">
        <x:v>1213</x:v>
      </x:c>
      <x:c r="F1782" s="21" t="n">
        <x:v>0.7162</x:v>
      </x:c>
      <x:c r="G1782" s="16" t="str">
        <x:v>Regional</x:v>
      </x:c>
      <x:c r="H1782" s="36" t="n">
        <x:f>IF(G1782="National",Assumptions!$B$11,IF(G1782="Statewide",Assumptions!$B$12,Assumptions!$B$13))</x:f>
        <x:v>0.85</x:v>
      </x:c>
      <x:c r="I1782" s="21" t="n">
        <x:v>-0.05140388251908945</x:v>
      </x:c>
      <x:c r="J1782" s="21" t="n">
        <x:v>-0.033235991095578954</x:v>
      </x:c>
      <x:c r="K1782" s="21" t="n">
        <x:v>-0.11512315388850325</x:v>
      </x:c>
      <x:c r="L1782" s="36" t="n">
        <x:f>IF(Assumptions!$B$4=2030,I1782,IF(Assumptions!$B$4=2035,J1782,K1782))</x:f>
        <x:v>-0.033235991095578954</x:v>
      </x:c>
      <x:c r="M1782" s="36" t="n">
        <x:f>Assumptions!$B$19</x:f>
        <x:v>-0.04739891965741583</x:v>
      </x:c>
      <x:c r="N1782" s="52" t="n">
        <x:f>H1782*L1782+(1-H1782)*M1782+O1782</x:f>
        <x:v>-0.035360430379854486</x:v>
      </x:c>
      <x:c r="O1782" s="36" t="n">
        <x:f>Assumptions!$B$10</x:f>
        <x:v>0</x:v>
      </x:c>
      <x:c r="P1782" s="54" t="n">
        <x:f>E1782*(1+N1782)</x:f>
        <x:v>1170.1077979492366</x:v>
      </x:c>
      <x:c r="Q1782" s="54" t="n">
        <x:f>P1782-E1782</x:f>
        <x:v>-42.892202050763444</x:v>
      </x:c>
      <x:c r="R1782" s="16" t="str">
        <x:v>Yes</x:v>
      </x:c>
      <x:c r="S1782" s="56" t="n">
        <x:v>18814</x:v>
      </x:c>
      <x:c r="T1782" s="56" t="n">
        <x:v>8600</x:v>
      </x:c>
      <x:c r="U1782" s="40" t="n">
        <x:f>E1782*Assumptions!$B$8</x:f>
        <x:v>1031.05</x:v>
      </x:c>
      <x:c r="V1782" s="40" t="n">
        <x:f>P1782*Assumptions!$B$8</x:f>
        <x:v>994.5916282568511</x:v>
      </x:c>
      <x:c r="W1782" s="54" t="n">
        <x:f>V1782-U1782</x:f>
        <x:v>-36.45837174314886</x:v>
      </x:c>
      <x:c r="X1782" s="58" t="n">
        <x:f>IF(R1782="No","",W1782*S1782)</x:f>
        <x:v>-685927.8059756026</x:v>
      </x:c>
      <x:c r="Y1782" s="58" t="n">
        <x:f>IF(R1782="No","",W1782*T1782*Assumptions!$B$9)</x:f>
        <x:v>-94062.59909732406</x:v>
      </x:c>
      <x:c r="Z1782" s="58" t="n">
        <x:f>IF(R1782="No","",X1782-Y1782)</x:f>
        <x:v>-591865.2068782785</x:v>
      </x:c>
      <x:c r="AA1782" s="58" t="n">
        <x:f>IF(R1782="No","",MAX(0,-Z1782))</x:f>
        <x:v>591865.2068782785</x:v>
      </x:c>
      <x:c r="AB1782" s="52" t="n">
        <x:f>IF(OR(R1782="No",U1782*S1782=0),"",AA1782/(U1782*S1782))</x:f>
        <x:v>0.030511386562483044</x:v>
      </x:c>
      <x:c r="AC1782" s="54" t="n">
        <x:f>IF(OR(R1782="No",S1782-T1782*Assumptions!$B$9&lt;=0),"",AA1782/(Assumptions!$B$8*(S1782-T1782*Assumptions!$B$9)))</x:f>
        <x:v>42.89220205076336</x:v>
      </x:c>
      <x:c r="AD1782" s="52" t="n">
        <x:f>IF(OR(R1782="No",U1782*S1782=0),"",AA1782/(U1782*S1782))</x:f>
        <x:v>0.030511386562483044</x:v>
      </x:c>
      <x:c r="AE1782" s="50" t="str">
        <x:f>IF(R1782="No","No finance data",IF(AB1782&gt;=10%,"Severe",IF(AB1782&gt;=5%,"High",IF(AB1782&gt;=2%,"Moderate","Low"))))</x:f>
        <x:v>Moderate</x:v>
      </x:c>
      <x:c r="AF1782" s="60" t="n">
        <x:v>47.041068</x:v>
      </x:c>
      <x:c r="AG1782" s="60" t="n">
        <x:v>-122.816354</x:v>
      </x:c>
      <x:c r="AH1782" s="44" t="str">
        <x:v>Undergraduate tuition-contribution proxy only; not an audited total institutional budget.</x:v>
      </x:c>
    </x:row>
    <x:row r="1783">
      <x:c r="A1783" s="16" t="n">
        <x:v>236577</x:v>
      </x:c>
      <x:c r="B1783" s="16" t="str">
        <x:v>Seattle Pacific University</x:v>
      </x:c>
      <x:c r="C1783" s="16" t="str">
        <x:v>WA</x:v>
      </x:c>
      <x:c r="D1783" s="16" t="str">
        <x:v>Private nonprofit</x:v>
      </x:c>
      <x:c r="E1783" s="34" t="n">
        <x:v>3216</x:v>
      </x:c>
      <x:c r="F1783" s="21" t="n">
        <x:v>0.9195</x:v>
      </x:c>
      <x:c r="G1783" s="16" t="str">
        <x:v>Regional</x:v>
      </x:c>
      <x:c r="H1783" s="36" t="n">
        <x:f>IF(G1783="National",Assumptions!$B$11,IF(G1783="Statewide",Assumptions!$B$12,Assumptions!$B$13))</x:f>
        <x:v>0.85</x:v>
      </x:c>
      <x:c r="I1783" s="21" t="n">
        <x:v>-0.05140388251908945</x:v>
      </x:c>
      <x:c r="J1783" s="21" t="n">
        <x:v>-0.033235991095578954</x:v>
      </x:c>
      <x:c r="K1783" s="21" t="n">
        <x:v>-0.11512315388850325</x:v>
      </x:c>
      <x:c r="L1783" s="36" t="n">
        <x:f>IF(Assumptions!$B$4=2030,I1783,IF(Assumptions!$B$4=2035,J1783,K1783))</x:f>
        <x:v>-0.033235991095578954</x:v>
      </x:c>
      <x:c r="M1783" s="36" t="n">
        <x:f>Assumptions!$B$19</x:f>
        <x:v>-0.04739891965741583</x:v>
      </x:c>
      <x:c r="N1783" s="52" t="n">
        <x:f>H1783*L1783+(1-H1783)*M1783+O1783</x:f>
        <x:v>-0.035360430379854486</x:v>
      </x:c>
      <x:c r="O1783" s="36" t="n">
        <x:f>Assumptions!$B$10</x:f>
        <x:v>0</x:v>
      </x:c>
      <x:c r="P1783" s="54" t="n">
        <x:f>E1783*(1+N1783)</x:f>
        <x:v>3102.280855898388</x:v>
      </x:c>
      <x:c r="Q1783" s="54" t="n">
        <x:f>P1783-E1783</x:f>
        <x:v>-113.71914410161207</x:v>
      </x:c>
      <x:c r="R1783" s="16" t="str">
        <x:v>Yes</x:v>
      </x:c>
      <x:c r="S1783" s="56" t="n">
        <x:v>21214</x:v>
      </x:c>
      <x:c r="T1783" s="56" t="n">
        <x:v>13320</x:v>
      </x:c>
      <x:c r="U1783" s="40" t="n">
        <x:f>E1783*Assumptions!$B$8</x:f>
        <x:v>2733.6</x:v>
      </x:c>
      <x:c r="V1783" s="40" t="n">
        <x:f>P1783*Assumptions!$B$8</x:f>
        <x:v>2636.9387275136296</x:v>
      </x:c>
      <x:c r="W1783" s="54" t="n">
        <x:f>V1783-U1783</x:f>
        <x:v>-96.66127248637031</x:v>
      </x:c>
      <x:c r="X1783" s="58" t="n">
        <x:f>IF(R1783="No","",W1783*S1783)</x:f>
        <x:v>-2050572.2345258598</x:v>
      </x:c>
      <x:c r="Y1783" s="58" t="n">
        <x:f>IF(R1783="No","",W1783*T1783*Assumptions!$B$9)</x:f>
        <x:v>-386258.44485553575</x:v>
      </x:c>
      <x:c r="Z1783" s="58" t="n">
        <x:f>IF(R1783="No","",X1783-Y1783)</x:f>
        <x:v>-1664313.789670324</x:v>
      </x:c>
      <x:c r="AA1783" s="58" t="n">
        <x:f>IF(R1783="No","",MAX(0,-Z1783))</x:f>
        <x:v>1664313.789670324</x:v>
      </x:c>
      <x:c r="AB1783" s="52" t="n">
        <x:f>IF(OR(R1783="No",U1783*S1783=0),"",AA1783/(U1783*S1783))</x:f>
        <x:v>0.028699721423603993</x:v>
      </x:c>
      <x:c r="AC1783" s="54" t="n">
        <x:f>IF(OR(R1783="No",S1783-T1783*Assumptions!$B$9&lt;=0),"",AA1783/(Assumptions!$B$8*(S1783-T1783*Assumptions!$B$9)))</x:f>
        <x:v>113.71914410161213</x:v>
      </x:c>
      <x:c r="AD1783" s="52" t="n">
        <x:f>IF(OR(R1783="No",U1783*S1783=0),"",AA1783/(U1783*S1783))</x:f>
        <x:v>0.028699721423603993</x:v>
      </x:c>
      <x:c r="AE1783" s="50" t="str">
        <x:f>IF(R1783="No","No finance data",IF(AB1783&gt;=10%,"Severe",IF(AB1783&gt;=5%,"High",IF(AB1783&gt;=2%,"Moderate","Low"))))</x:f>
        <x:v>Moderate</x:v>
      </x:c>
      <x:c r="AF1783" s="60" t="n">
        <x:v>47.650214</x:v>
      </x:c>
      <x:c r="AG1783" s="60" t="n">
        <x:v>-122.361667</x:v>
      </x:c>
      <x:c r="AH1783" s="44" t="str">
        <x:v>Undergraduate tuition-contribution proxy only; not an audited total institutional budget.</x:v>
      </x:c>
    </x:row>
    <x:row r="1784">
      <x:c r="A1784" s="16" t="n">
        <x:v>236595</x:v>
      </x:c>
      <x:c r="B1784" s="16" t="str">
        <x:v>Seattle University</x:v>
      </x:c>
      <x:c r="C1784" s="16" t="str">
        <x:v>WA</x:v>
      </x:c>
      <x:c r="D1784" s="16" t="str">
        <x:v>Private nonprofit</x:v>
      </x:c>
      <x:c r="E1784" s="34" t="n">
        <x:v>4587</x:v>
      </x:c>
      <x:c r="F1784" s="21" t="n">
        <x:v>0.8212</x:v>
      </x:c>
      <x:c r="G1784" s="16" t="str">
        <x:v>Regional</x:v>
      </x:c>
      <x:c r="H1784" s="36" t="n">
        <x:f>IF(G1784="National",Assumptions!$B$11,IF(G1784="Statewide",Assumptions!$B$12,Assumptions!$B$13))</x:f>
        <x:v>0.85</x:v>
      </x:c>
      <x:c r="I1784" s="21" t="n">
        <x:v>-0.05140388251908945</x:v>
      </x:c>
      <x:c r="J1784" s="21" t="n">
        <x:v>-0.033235991095578954</x:v>
      </x:c>
      <x:c r="K1784" s="21" t="n">
        <x:v>-0.11512315388850325</x:v>
      </x:c>
      <x:c r="L1784" s="36" t="n">
        <x:f>IF(Assumptions!$B$4=2030,I1784,IF(Assumptions!$B$4=2035,J1784,K1784))</x:f>
        <x:v>-0.033235991095578954</x:v>
      </x:c>
      <x:c r="M1784" s="36" t="n">
        <x:f>Assumptions!$B$19</x:f>
        <x:v>-0.04739891965741583</x:v>
      </x:c>
      <x:c r="N1784" s="52" t="n">
        <x:f>H1784*L1784+(1-H1784)*M1784+O1784</x:f>
        <x:v>-0.035360430379854486</x:v>
      </x:c>
      <x:c r="O1784" s="36" t="n">
        <x:f>Assumptions!$B$10</x:f>
        <x:v>0</x:v>
      </x:c>
      <x:c r="P1784" s="54" t="n">
        <x:f>E1784*(1+N1784)</x:f>
        <x:v>4424.801705847607</x:v>
      </x:c>
      <x:c r="Q1784" s="54" t="n">
        <x:f>P1784-E1784</x:f>
        <x:v>-162.19829415239292</x:v>
      </x:c>
      <x:c r="R1784" s="16" t="str">
        <x:v>Yes</x:v>
      </x:c>
      <x:c r="S1784" s="56" t="n">
        <x:v>27243</x:v>
      </x:c>
      <x:c r="T1784" s="56" t="n">
        <x:v>14523</x:v>
      </x:c>
      <x:c r="U1784" s="40" t="n">
        <x:f>E1784*Assumptions!$B$8</x:f>
        <x:v>3898.95</x:v>
      </x:c>
      <x:c r="V1784" s="40" t="n">
        <x:f>P1784*Assumptions!$B$8</x:f>
        <x:v>3761.081449970466</x:v>
      </x:c>
      <x:c r="W1784" s="54" t="n">
        <x:f>V1784-U1784</x:f>
        <x:v>-137.8685500295337</x:v>
      </x:c>
      <x:c r="X1784" s="58" t="n">
        <x:f>IF(R1784="No","",W1784*S1784)</x:f>
        <x:v>-3755952.9084545868</x:v>
      </x:c>
      <x:c r="Y1784" s="58" t="n">
        <x:f>IF(R1784="No","",W1784*T1784*Assumptions!$B$9)</x:f>
        <x:v>-600679.4856236754</x:v>
      </x:c>
      <x:c r="Z1784" s="58" t="n">
        <x:f>IF(R1784="No","",X1784-Y1784)</x:f>
        <x:v>-3155273.4228309114</x:v>
      </x:c>
      <x:c r="AA1784" s="58" t="n">
        <x:f>IF(R1784="No","",MAX(0,-Z1784))</x:f>
        <x:v>3155273.4228309114</x:v>
      </x:c>
      <x:c r="AB1784" s="52" t="n">
        <x:f>IF(OR(R1784="No",U1784*S1784=0),"",AA1784/(U1784*S1784))</x:f>
        <x:v>0.029705331487589037</x:v>
      </x:c>
      <x:c r="AC1784" s="54" t="n">
        <x:f>IF(OR(R1784="No",S1784-T1784*Assumptions!$B$9&lt;=0),"",AA1784/(Assumptions!$B$8*(S1784-T1784*Assumptions!$B$9)))</x:f>
        <x:v>162.1982941523926</x:v>
      </x:c>
      <x:c r="AD1784" s="52" t="n">
        <x:f>IF(OR(R1784="No",U1784*S1784=0),"",AA1784/(U1784*S1784))</x:f>
        <x:v>0.029705331487589037</x:v>
      </x:c>
      <x:c r="AE1784" s="50" t="str">
        <x:f>IF(R1784="No","No finance data",IF(AB1784&gt;=10%,"Severe",IF(AB1784&gt;=5%,"High",IF(AB1784&gt;=2%,"Moderate","Low"))))</x:f>
        <x:v>Moderate</x:v>
      </x:c>
      <x:c r="AF1784" s="60" t="n">
        <x:v>47.608859</x:v>
      </x:c>
      <x:c r="AG1784" s="60" t="n">
        <x:v>-122.318851</x:v>
      </x:c>
      <x:c r="AH1784" s="44" t="str">
        <x:v>Undergraduate tuition-contribution proxy only; not an audited total institutional budget.</x:v>
      </x:c>
    </x:row>
    <x:row r="1785">
      <x:c r="A1785" s="16" t="n">
        <x:v>235167</x:v>
      </x:c>
      <x:c r="B1785" s="16" t="str">
        <x:v>The Evergreen State College</x:v>
      </x:c>
      <x:c r="C1785" s="16" t="str">
        <x:v>WA</x:v>
      </x:c>
      <x:c r="D1785" s="16" t="str">
        <x:v>Public</x:v>
      </x:c>
      <x:c r="E1785" s="34" t="n">
        <x:v>3821</x:v>
      </x:c>
      <x:c r="F1785" s="21" t="n">
        <x:v>0.9946</x:v>
      </x:c>
      <x:c r="G1785" s="16" t="str">
        <x:v>Regional</x:v>
      </x:c>
      <x:c r="H1785" s="36" t="n">
        <x:f>IF(G1785="National",Assumptions!$B$11,IF(G1785="Statewide",Assumptions!$B$12,Assumptions!$B$13))</x:f>
        <x:v>0.85</x:v>
      </x:c>
      <x:c r="I1785" s="21" t="n">
        <x:v>-0.05140388251908945</x:v>
      </x:c>
      <x:c r="J1785" s="21" t="n">
        <x:v>-0.033235991095578954</x:v>
      </x:c>
      <x:c r="K1785" s="21" t="n">
        <x:v>-0.11512315388850325</x:v>
      </x:c>
      <x:c r="L1785" s="36" t="n">
        <x:f>IF(Assumptions!$B$4=2030,I1785,IF(Assumptions!$B$4=2035,J1785,K1785))</x:f>
        <x:v>-0.033235991095578954</x:v>
      </x:c>
      <x:c r="M1785" s="36" t="n">
        <x:f>Assumptions!$B$19</x:f>
        <x:v>-0.04739891965741583</x:v>
      </x:c>
      <x:c r="N1785" s="52" t="n">
        <x:f>H1785*L1785+(1-H1785)*M1785+O1785</x:f>
        <x:v>-0.035360430379854486</x:v>
      </x:c>
      <x:c r="O1785" s="36" t="n">
        <x:f>Assumptions!$B$10</x:f>
        <x:v>0</x:v>
      </x:c>
      <x:c r="P1785" s="54" t="n">
        <x:f>E1785*(1+N1785)</x:f>
        <x:v>3685.8877955185762</x:v>
      </x:c>
      <x:c r="Q1785" s="54" t="n">
        <x:f>P1785-E1785</x:f>
        <x:v>-135.11220448142376</x:v>
      </x:c>
      <x:c r="R1785" s="16" t="str">
        <x:v>Yes</x:v>
      </x:c>
      <x:c r="S1785" s="56" t="n">
        <x:v>6958</x:v>
      </x:c>
      <x:c r="T1785" s="56" t="n">
        <x:v>10947</x:v>
      </x:c>
      <x:c r="U1785" s="40" t="n">
        <x:f>E1785*Assumptions!$B$8</x:f>
        <x:v>3247.85</x:v>
      </x:c>
      <x:c r="V1785" s="40" t="n">
        <x:f>P1785*Assumptions!$B$8</x:f>
        <x:v>3133.0046261907896</x:v>
      </x:c>
      <x:c r="W1785" s="54" t="n">
        <x:f>V1785-U1785</x:f>
        <x:v>-114.84537380921029</x:v>
      </x:c>
      <x:c r="X1785" s="58" t="n">
        <x:f>IF(R1785="No","",W1785*S1785)</x:f>
        <x:v>-799094.1109644852</x:v>
      </x:c>
      <x:c r="Y1785" s="58" t="n">
        <x:f>IF(R1785="No","",W1785*T1785*Assumptions!$B$9)</x:f>
        <x:v>-377163.6921268275</x:v>
      </x:c>
      <x:c r="Z1785" s="58" t="n">
        <x:f>IF(R1785="No","",X1785-Y1785)</x:f>
        <x:v>-421930.4188376577</x:v>
      </x:c>
      <x:c r="AA1785" s="58" t="n">
        <x:f>IF(R1785="No","",MAX(0,-Z1785))</x:f>
        <x:v>421930.4188376577</x:v>
      </x:c>
      <x:c r="AB1785" s="52" t="n">
        <x:f>IF(OR(R1785="No",U1785*S1785=0),"",AA1785/(U1785*S1785))</x:f>
        <x:v>0.018670693471191043</x:v>
      </x:c>
      <x:c r="AC1785" s="54" t="n">
        <x:f>IF(OR(R1785="No",S1785-T1785*Assumptions!$B$9&lt;=0),"",AA1785/(Assumptions!$B$8*(S1785-T1785*Assumptions!$B$9)))</x:f>
        <x:v>135.11220448142387</x:v>
      </x:c>
      <x:c r="AD1785" s="52" t="n">
        <x:f>IF(OR(R1785="No",U1785*S1785=0),"",AA1785/(U1785*S1785))</x:f>
        <x:v>0.018670693471191043</x:v>
      </x:c>
      <x:c r="AE1785" s="50" t="str">
        <x:f>IF(R1785="No","No finance data",IF(AB1785&gt;=10%,"Severe",IF(AB1785&gt;=5%,"High",IF(AB1785&gt;=2%,"Moderate","Low"))))</x:f>
        <x:v>Low</x:v>
      </x:c>
      <x:c r="AF1785" s="60" t="n">
        <x:v>47.07382</x:v>
      </x:c>
      <x:c r="AG1785" s="60" t="n">
        <x:v>-122.977492</x:v>
      </x:c>
      <x:c r="AH1785" s="44" t="str">
        <x:v>Undergraduate tuition-contribution proxy only; not an audited total institutional budget.</x:v>
      </x:c>
    </x:row>
    <x:row r="1786">
      <x:c r="A1786" s="16" t="n">
        <x:v>235769</x:v>
      </x:c>
      <x:c r="B1786" s="16" t="str">
        <x:v>Trinity Lutheran College</x:v>
      </x:c>
      <x:c r="C1786" s="16" t="str">
        <x:v>WA</x:v>
      </x:c>
      <x:c r="D1786" s="16" t="str">
        <x:v>Private nonprofit</x:v>
      </x:c>
      <x:c r="E1786" s="34" t="n">
        <x:v>208</x:v>
      </x:c>
      <x:c r="F1786" s="21"/>
      <x:c r="G1786" s="16" t="str">
        <x:v>Regional</x:v>
      </x:c>
      <x:c r="H1786" s="36" t="n">
        <x:f>IF(G1786="National",Assumptions!$B$11,IF(G1786="Statewide",Assumptions!$B$12,Assumptions!$B$13))</x:f>
        <x:v>0.85</x:v>
      </x:c>
      <x:c r="I1786" s="21" t="n">
        <x:v>-0.05140388251908945</x:v>
      </x:c>
      <x:c r="J1786" s="21" t="n">
        <x:v>-0.033235991095578954</x:v>
      </x:c>
      <x:c r="K1786" s="21" t="n">
        <x:v>-0.11512315388850325</x:v>
      </x:c>
      <x:c r="L1786" s="36" t="n">
        <x:f>IF(Assumptions!$B$4=2030,I1786,IF(Assumptions!$B$4=2035,J1786,K1786))</x:f>
        <x:v>-0.033235991095578954</x:v>
      </x:c>
      <x:c r="M1786" s="36" t="n">
        <x:f>Assumptions!$B$19</x:f>
        <x:v>-0.04739891965741583</x:v>
      </x:c>
      <x:c r="N1786" s="52" t="n">
        <x:f>H1786*L1786+(1-H1786)*M1786+O1786</x:f>
        <x:v>-0.035360430379854486</x:v>
      </x:c>
      <x:c r="O1786" s="36" t="n">
        <x:f>Assumptions!$B$10</x:f>
        <x:v>0</x:v>
      </x:c>
      <x:c r="P1786" s="54" t="n">
        <x:f>E1786*(1+N1786)</x:f>
        <x:v>200.64503048099027</x:v>
      </x:c>
      <x:c r="Q1786" s="54" t="n">
        <x:f>P1786-E1786</x:f>
        <x:v>-7.354969519009728</x:v>
      </x:c>
      <x:c r="R1786" s="16" t="str">
        <x:v>No</x:v>
      </x:c>
      <x:c r="S1786" s="56"/>
      <x:c r="T1786" s="56"/>
      <x:c r="U1786" s="40" t="n">
        <x:f>E1786*Assumptions!$B$8</x:f>
        <x:v>176.79999999999998</x:v>
      </x:c>
      <x:c r="V1786" s="40" t="n">
        <x:f>P1786*Assumptions!$B$8</x:f>
        <x:v>170.54827590884173</x:v>
      </x:c>
      <x:c r="W1786" s="54" t="n">
        <x:f>V1786-U1786</x:f>
        <x:v>-6.251724091158252</x:v>
      </x:c>
      <x:c r="X1786" s="58" t="str">
        <x:f>IF(R1786="No","",W1786*S1786)</x:f>
      </x:c>
      <x:c r="Y1786" s="58" t="str">
        <x:f>IF(R1786="No","",W1786*T1786*Assumptions!$B$9)</x:f>
      </x:c>
      <x:c r="Z1786" s="58" t="str">
        <x:f>IF(R1786="No","",X1786-Y1786)</x:f>
      </x:c>
      <x:c r="AA1786" s="58" t="str">
        <x:f>IF(R1786="No","",MAX(0,-Z1786))</x:f>
      </x:c>
      <x:c r="AB1786" s="52" t="str">
        <x:f>IF(OR(R1786="No",U1786*S1786=0),"",AA1786/(U1786*S1786))</x:f>
      </x:c>
      <x:c r="AC1786" s="54" t="str">
        <x:f>IF(OR(R1786="No",S1786-T1786*Assumptions!$B$9&lt;=0),"",AA1786/(Assumptions!$B$8*(S1786-T1786*Assumptions!$B$9)))</x:f>
      </x:c>
      <x:c r="AD1786" s="52" t="str">
        <x:f>IF(OR(R1786="No",U1786*S1786=0),"",AA1786/(U1786*S1786))</x:f>
      </x:c>
      <x:c r="AE1786" s="50" t="str">
        <x:f>IF(R1786="No","No finance data",IF(AB1786&gt;=10%,"Severe",IF(AB1786&gt;=5%,"High",IF(AB1786&gt;=2%,"Moderate","Low"))))</x:f>
        <x:v>No finance data</x:v>
      </x:c>
      <x:c r="AF1786" s="60"/>
      <x:c r="AG1786" s="60"/>
      <x:c r="AH1786" s="44" t="str">
        <x:v>Undergraduate tuition-contribution proxy only; not an audited total institutional budget.</x:v>
      </x:c>
    </x:row>
    <x:row r="1787">
      <x:c r="A1787" s="16" t="n">
        <x:v>236328</x:v>
      </x:c>
      <x:c r="B1787" s="16" t="str">
        <x:v>University of Puget Sound</x:v>
      </x:c>
      <x:c r="C1787" s="16" t="str">
        <x:v>WA</x:v>
      </x:c>
      <x:c r="D1787" s="16" t="str">
        <x:v>Private nonprofit</x:v>
      </x:c>
      <x:c r="E1787" s="34" t="n">
        <x:v>2476</x:v>
      </x:c>
      <x:c r="F1787" s="21" t="n">
        <x:v>0.883</x:v>
      </x:c>
      <x:c r="G1787" s="16" t="str">
        <x:v>Regional</x:v>
      </x:c>
      <x:c r="H1787" s="36" t="n">
        <x:f>IF(G1787="National",Assumptions!$B$11,IF(G1787="Statewide",Assumptions!$B$12,Assumptions!$B$13))</x:f>
        <x:v>0.85</x:v>
      </x:c>
      <x:c r="I1787" s="21" t="n">
        <x:v>-0.05140388251908945</x:v>
      </x:c>
      <x:c r="J1787" s="21" t="n">
        <x:v>-0.033235991095578954</x:v>
      </x:c>
      <x:c r="K1787" s="21" t="n">
        <x:v>-0.11512315388850325</x:v>
      </x:c>
      <x:c r="L1787" s="36" t="n">
        <x:f>IF(Assumptions!$B$4=2030,I1787,IF(Assumptions!$B$4=2035,J1787,K1787))</x:f>
        <x:v>-0.033235991095578954</x:v>
      </x:c>
      <x:c r="M1787" s="36" t="n">
        <x:f>Assumptions!$B$19</x:f>
        <x:v>-0.04739891965741583</x:v>
      </x:c>
      <x:c r="N1787" s="52" t="n">
        <x:f>H1787*L1787+(1-H1787)*M1787+O1787</x:f>
        <x:v>-0.035360430379854486</x:v>
      </x:c>
      <x:c r="O1787" s="36" t="n">
        <x:f>Assumptions!$B$10</x:f>
        <x:v>0</x:v>
      </x:c>
      <x:c r="P1787" s="54" t="n">
        <x:f>E1787*(1+N1787)</x:f>
        <x:v>2388.44757437948</x:v>
      </x:c>
      <x:c r="Q1787" s="54" t="n">
        <x:f>P1787-E1787</x:f>
        <x:v>-87.5524256205199</x:v>
      </x:c>
      <x:c r="R1787" s="16" t="str">
        <x:v>Yes</x:v>
      </x:c>
      <x:c r="S1787" s="56" t="n">
        <x:v>24622</x:v>
      </x:c>
      <x:c r="T1787" s="56" t="n">
        <x:v>18742</x:v>
      </x:c>
      <x:c r="U1787" s="40" t="n">
        <x:f>E1787*Assumptions!$B$8</x:f>
        <x:v>2104.6</x:v>
      </x:c>
      <x:c r="V1787" s="40" t="n">
        <x:f>P1787*Assumptions!$B$8</x:f>
        <x:v>2030.180438222558</x:v>
      </x:c>
      <x:c r="W1787" s="54" t="n">
        <x:f>V1787-U1787</x:f>
        <x:v>-74.41956177744191</x:v>
      </x:c>
      <x:c r="X1787" s="58" t="n">
        <x:f>IF(R1787="No","",W1787*S1787)</x:f>
        <x:v>-1832358.4500841748</x:v>
      </x:c>
      <x:c r="Y1787" s="58" t="n">
        <x:f>IF(R1787="No","",W1787*T1787*Assumptions!$B$9)</x:f>
        <x:v>-418431.42804984486</x:v>
      </x:c>
      <x:c r="Z1787" s="58" t="n">
        <x:f>IF(R1787="No","",X1787-Y1787)</x:f>
        <x:v>-1413927.0220343298</x:v>
      </x:c>
      <x:c r="AA1787" s="58" t="n">
        <x:f>IF(R1787="No","",MAX(0,-Z1787))</x:f>
        <x:v>1413927.0220343298</x:v>
      </x:c>
      <x:c r="AB1787" s="52" t="n">
        <x:f>IF(OR(R1787="No",U1787*S1787=0),"",AA1787/(U1787*S1787))</x:f>
        <x:v>0.02728563727394236</x:v>
      </x:c>
      <x:c r="AC1787" s="54" t="n">
        <x:f>IF(OR(R1787="No",S1787-T1787*Assumptions!$B$9&lt;=0),"",AA1787/(Assumptions!$B$8*(S1787-T1787*Assumptions!$B$9)))</x:f>
        <x:v>87.55242562051988</x:v>
      </x:c>
      <x:c r="AD1787" s="52" t="n">
        <x:f>IF(OR(R1787="No",U1787*S1787=0),"",AA1787/(U1787*S1787))</x:f>
        <x:v>0.02728563727394236</x:v>
      </x:c>
      <x:c r="AE1787" s="50" t="str">
        <x:f>IF(R1787="No","No finance data",IF(AB1787&gt;=10%,"Severe",IF(AB1787&gt;=5%,"High",IF(AB1787&gt;=2%,"Moderate","Low"))))</x:f>
        <x:v>Moderate</x:v>
      </x:c>
      <x:c r="AF1787" s="60" t="n">
        <x:v>47.26308</x:v>
      </x:c>
      <x:c r="AG1787" s="60" t="n">
        <x:v>-122.478982</x:v>
      </x:c>
      <x:c r="AH1787" s="44" t="str">
        <x:v>Undergraduate tuition-contribution proxy only; not an audited total institutional budget.</x:v>
      </x:c>
    </x:row>
    <x:row r="1788">
      <x:c r="A1788" s="16" t="n">
        <x:v>377555</x:v>
      </x:c>
      <x:c r="B1788" s="16" t="str">
        <x:v>University of Washington-Bothell Campus</x:v>
      </x:c>
      <x:c r="C1788" s="16" t="str">
        <x:v>WA</x:v>
      </x:c>
      <x:c r="D1788" s="16" t="str">
        <x:v>Public</x:v>
      </x:c>
      <x:c r="E1788" s="34" t="n">
        <x:v>4660</x:v>
      </x:c>
      <x:c r="F1788" s="21" t="n">
        <x:v>0.8302</x:v>
      </x:c>
      <x:c r="G1788" s="16" t="str">
        <x:v>Regional</x:v>
      </x:c>
      <x:c r="H1788" s="36" t="n">
        <x:f>IF(G1788="National",Assumptions!$B$11,IF(G1788="Statewide",Assumptions!$B$12,Assumptions!$B$13))</x:f>
        <x:v>0.85</x:v>
      </x:c>
      <x:c r="I1788" s="21" t="n">
        <x:v>-0.05140388251908945</x:v>
      </x:c>
      <x:c r="J1788" s="21" t="n">
        <x:v>-0.033235991095578954</x:v>
      </x:c>
      <x:c r="K1788" s="21" t="n">
        <x:v>-0.11512315388850325</x:v>
      </x:c>
      <x:c r="L1788" s="36" t="n">
        <x:f>IF(Assumptions!$B$4=2030,I1788,IF(Assumptions!$B$4=2035,J1788,K1788))</x:f>
        <x:v>-0.033235991095578954</x:v>
      </x:c>
      <x:c r="M1788" s="36" t="n">
        <x:f>Assumptions!$B$19</x:f>
        <x:v>-0.04739891965741583</x:v>
      </x:c>
      <x:c r="N1788" s="52" t="n">
        <x:f>H1788*L1788+(1-H1788)*M1788+O1788</x:f>
        <x:v>-0.035360430379854486</x:v>
      </x:c>
      <x:c r="O1788" s="36" t="n">
        <x:f>Assumptions!$B$10</x:f>
        <x:v>0</x:v>
      </x:c>
      <x:c r="P1788" s="54" t="n">
        <x:f>E1788*(1+N1788)</x:f>
        <x:v>4495.220394429878</x:v>
      </x:c>
      <x:c r="Q1788" s="54" t="n">
        <x:f>P1788-E1788</x:f>
        <x:v>-164.77960557012193</x:v>
      </x:c>
      <x:c r="R1788" s="16" t="str">
        <x:v>Yes</x:v>
      </x:c>
      <x:c r="S1788" s="56" t="n">
        <x:v>3394</x:v>
      </x:c>
      <x:c r="T1788" s="56" t="n">
        <x:v>5641</x:v>
      </x:c>
      <x:c r="U1788" s="40" t="n">
        <x:f>E1788*Assumptions!$B$8</x:f>
        <x:v>3961</x:v>
      </x:c>
      <x:c r="V1788" s="40" t="n">
        <x:f>P1788*Assumptions!$B$8</x:f>
        <x:v>3820.937335265396</x:v>
      </x:c>
      <x:c r="W1788" s="54" t="n">
        <x:f>V1788-U1788</x:f>
        <x:v>-140.0626647346039</x:v>
      </x:c>
      <x:c r="X1788" s="58" t="n">
        <x:f>IF(R1788="No","",W1788*S1788)</x:f>
        <x:v>-475372.68410924566</x:v>
      </x:c>
      <x:c r="Y1788" s="58" t="n">
        <x:f>IF(R1788="No","",W1788*T1788*Assumptions!$B$9)</x:f>
        <x:v>-237028.04753037018</x:v>
      </x:c>
      <x:c r="Z1788" s="58" t="n">
        <x:f>IF(R1788="No","",X1788-Y1788)</x:f>
        <x:v>-238344.63657887548</x:v>
      </x:c>
      <x:c r="AA1788" s="58" t="n">
        <x:f>IF(R1788="No","",MAX(0,-Z1788))</x:f>
        <x:v>238344.63657887548</x:v>
      </x:c>
      <x:c r="AB1788" s="52" t="n">
        <x:f>IF(OR(R1788="No",U1788*S1788=0),"",AA1788/(U1788*S1788))</x:f>
        <x:v>0.017729182197229965</x:v>
      </x:c>
      <x:c r="AC1788" s="54" t="n">
        <x:f>IF(OR(R1788="No",S1788-T1788*Assumptions!$B$9&lt;=0),"",AA1788/(Assumptions!$B$8*(S1788-T1788*Assumptions!$B$9)))</x:f>
        <x:v>164.77960557012224</x:v>
      </x:c>
      <x:c r="AD1788" s="52" t="n">
        <x:f>IF(OR(R1788="No",U1788*S1788=0),"",AA1788/(U1788*S1788))</x:f>
        <x:v>0.017729182197229965</x:v>
      </x:c>
      <x:c r="AE1788" s="50" t="str">
        <x:f>IF(R1788="No","No finance data",IF(AB1788&gt;=10%,"Severe",IF(AB1788&gt;=5%,"High",IF(AB1788&gt;=2%,"Moderate","Low"))))</x:f>
        <x:v>Low</x:v>
      </x:c>
      <x:c r="AF1788" s="60" t="n">
        <x:v>47.759773</x:v>
      </x:c>
      <x:c r="AG1788" s="60" t="n">
        <x:v>-122.191293</x:v>
      </x:c>
      <x:c r="AH1788" s="44" t="str">
        <x:v>Undergraduate tuition-contribution proxy only; not an audited total institutional budget.</x:v>
      </x:c>
    </x:row>
    <x:row r="1789">
      <x:c r="A1789" s="16" t="n">
        <x:v>236948</x:v>
      </x:c>
      <x:c r="B1789" s="16" t="str">
        <x:v>University of Washington-Seattle Campus</x:v>
      </x:c>
      <x:c r="C1789" s="16" t="str">
        <x:v>WA</x:v>
      </x:c>
      <x:c r="D1789" s="16" t="str">
        <x:v>Public</x:v>
      </x:c>
      <x:c r="E1789" s="34" t="n">
        <x:v>30022</x:v>
      </x:c>
      <x:c r="F1789" s="21" t="n">
        <x:v>0.5348</x:v>
      </x:c>
      <x:c r="G1789" s="16" t="str">
        <x:v>National</x:v>
      </x:c>
      <x:c r="H1789" s="36" t="n">
        <x:f>IF(G1789="National",Assumptions!$B$11,IF(G1789="Statewide",Assumptions!$B$12,Assumptions!$B$13))</x:f>
        <x:v>0.25</x:v>
      </x:c>
      <x:c r="I1789" s="21" t="n">
        <x:v>-0.05140388251908945</x:v>
      </x:c>
      <x:c r="J1789" s="21" t="n">
        <x:v>-0.033235991095578954</x:v>
      </x:c>
      <x:c r="K1789" s="21" t="n">
        <x:v>-0.11512315388850325</x:v>
      </x:c>
      <x:c r="L1789" s="36" t="n">
        <x:f>IF(Assumptions!$B$4=2030,I1789,IF(Assumptions!$B$4=2035,J1789,K1789))</x:f>
        <x:v>-0.033235991095578954</x:v>
      </x:c>
      <x:c r="M1789" s="36" t="n">
        <x:f>Assumptions!$B$19</x:f>
        <x:v>-0.04739891965741583</x:v>
      </x:c>
      <x:c r="N1789" s="52" t="n">
        <x:f>H1789*L1789+(1-H1789)*M1789+O1789</x:f>
        <x:v>-0.04385818751695661</x:v>
      </x:c>
      <x:c r="O1789" s="36" t="n">
        <x:f>Assumptions!$B$10</x:f>
        <x:v>0</x:v>
      </x:c>
      <x:c r="P1789" s="54" t="n">
        <x:f>E1789*(1+N1789)</x:f>
        <x:v>28705.28949436593</x:v>
      </x:c>
      <x:c r="Q1789" s="54" t="n">
        <x:f>P1789-E1789</x:f>
        <x:v>-1316.7105056340697</x:v>
      </x:c>
      <x:c r="R1789" s="16" t="str">
        <x:v>Yes</x:v>
      </x:c>
      <x:c r="S1789" s="56" t="n">
        <x:v>19472</x:v>
      </x:c>
      <x:c r="T1789" s="56" t="n">
        <x:v>32369</x:v>
      </x:c>
      <x:c r="U1789" s="40" t="n">
        <x:f>E1789*Assumptions!$B$8</x:f>
        <x:v>25518.7</x:v>
      </x:c>
      <x:c r="V1789" s="40" t="n">
        <x:f>P1789*Assumptions!$B$8</x:f>
        <x:v>24399.49607021104</x:v>
      </x:c>
      <x:c r="W1789" s="54" t="n">
        <x:f>V1789-U1789</x:f>
        <x:v>-1119.2039297889605</x:v>
      </x:c>
      <x:c r="X1789" s="58" t="n">
        <x:f>IF(R1789="No","",W1789*S1789)</x:f>
        <x:v>-21793138.92085064</x:v>
      </x:c>
      <x:c r="Y1789" s="58" t="n">
        <x:f>IF(R1789="No","",W1789*T1789*Assumptions!$B$9)</x:f>
        <x:v>-10868253.60100166</x:v>
      </x:c>
      <x:c r="Z1789" s="58" t="n">
        <x:f>IF(R1789="No","",X1789-Y1789)</x:f>
        <x:v>-10924885.319848979</x:v>
      </x:c>
      <x:c r="AA1789" s="58" t="n">
        <x:f>IF(R1789="No","",MAX(0,-Z1789))</x:f>
        <x:v>10924885.319848979</x:v>
      </x:c>
      <x:c r="AB1789" s="52" t="n">
        <x:f>IF(OR(R1789="No",U1789*S1789=0),"",AA1789/(U1789*S1789))</x:f>
        <x:v>0.021986078769991188</x:v>
      </x:c>
      <x:c r="AC1789" s="54" t="n">
        <x:f>IF(OR(R1789="No",S1789-T1789*Assumptions!$B$9&lt;=0),"",AA1789/(Assumptions!$B$8*(S1789-T1789*Assumptions!$B$9)))</x:f>
        <x:v>1316.7105056340708</x:v>
      </x:c>
      <x:c r="AD1789" s="52" t="n">
        <x:f>IF(OR(R1789="No",U1789*S1789=0),"",AA1789/(U1789*S1789))</x:f>
        <x:v>0.021986078769991188</x:v>
      </x:c>
      <x:c r="AE1789" s="50" t="str">
        <x:f>IF(R1789="No","No finance data",IF(AB1789&gt;=10%,"Severe",IF(AB1789&gt;=5%,"High",IF(AB1789&gt;=2%,"Moderate","Low"))))</x:f>
        <x:v>Moderate</x:v>
      </x:c>
      <x:c r="AF1789" s="60" t="n">
        <x:v>47.65538</x:v>
      </x:c>
      <x:c r="AG1789" s="60" t="n">
        <x:v>-122.30514</x:v>
      </x:c>
      <x:c r="AH1789" s="44" t="str">
        <x:v>Undergraduate tuition-contribution proxy only; not an audited total institutional budget.</x:v>
      </x:c>
    </x:row>
    <x:row r="1790">
      <x:c r="A1790" s="16" t="n">
        <x:v>377564</x:v>
      </x:c>
      <x:c r="B1790" s="16" t="str">
        <x:v>University of Washington-Tacoma Campus</x:v>
      </x:c>
      <x:c r="C1790" s="16" t="str">
        <x:v>WA</x:v>
      </x:c>
      <x:c r="D1790" s="16" t="str">
        <x:v>Public</x:v>
      </x:c>
      <x:c r="E1790" s="34" t="n">
        <x:v>3884</x:v>
      </x:c>
      <x:c r="F1790" s="21" t="n">
        <x:v>0.8289</x:v>
      </x:c>
      <x:c r="G1790" s="16" t="str">
        <x:v>Regional</x:v>
      </x:c>
      <x:c r="H1790" s="36" t="n">
        <x:f>IF(G1790="National",Assumptions!$B$11,IF(G1790="Statewide",Assumptions!$B$12,Assumptions!$B$13))</x:f>
        <x:v>0.85</x:v>
      </x:c>
      <x:c r="I1790" s="21" t="n">
        <x:v>-0.05140388251908945</x:v>
      </x:c>
      <x:c r="J1790" s="21" t="n">
        <x:v>-0.033235991095578954</x:v>
      </x:c>
      <x:c r="K1790" s="21" t="n">
        <x:v>-0.11512315388850325</x:v>
      </x:c>
      <x:c r="L1790" s="36" t="n">
        <x:f>IF(Assumptions!$B$4=2030,I1790,IF(Assumptions!$B$4=2035,J1790,K1790))</x:f>
        <x:v>-0.033235991095578954</x:v>
      </x:c>
      <x:c r="M1790" s="36" t="n">
        <x:f>Assumptions!$B$19</x:f>
        <x:v>-0.04739891965741583</x:v>
      </x:c>
      <x:c r="N1790" s="52" t="n">
        <x:f>H1790*L1790+(1-H1790)*M1790+O1790</x:f>
        <x:v>-0.035360430379854486</x:v>
      </x:c>
      <x:c r="O1790" s="36" t="n">
        <x:f>Assumptions!$B$10</x:f>
        <x:v>0</x:v>
      </x:c>
      <x:c r="P1790" s="54" t="n">
        <x:f>E1790*(1+N1790)</x:f>
        <x:v>3746.660088404645</x:v>
      </x:c>
      <x:c r="Q1790" s="54" t="n">
        <x:f>P1790-E1790</x:f>
        <x:v>-137.3399115953548</x:v>
      </x:c>
      <x:c r="R1790" s="16" t="str">
        <x:v>Yes</x:v>
      </x:c>
      <x:c r="S1790" s="56" t="n">
        <x:v>3974</x:v>
      </x:c>
      <x:c r="T1790" s="56" t="n">
        <x:v>6606</x:v>
      </x:c>
      <x:c r="U1790" s="40" t="n">
        <x:f>E1790*Assumptions!$B$8</x:f>
        <x:v>3301.4</x:v>
      </x:c>
      <x:c r="V1790" s="40" t="n">
        <x:f>P1790*Assumptions!$B$8</x:f>
        <x:v>3184.6610751439484</x:v>
      </x:c>
      <x:c r="W1790" s="54" t="n">
        <x:f>V1790-U1790</x:f>
        <x:v>-116.73892485605165</x:v>
      </x:c>
      <x:c r="X1790" s="58" t="n">
        <x:f>IF(R1790="No","",W1790*S1790)</x:f>
        <x:v>-463920.4873779493</x:v>
      </x:c>
      <x:c r="Y1790" s="58" t="n">
        <x:f>IF(R1790="No","",W1790*T1790*Assumptions!$B$9)</x:f>
        <x:v>-231353.20127972317</x:v>
      </x:c>
      <x:c r="Z1790" s="58" t="n">
        <x:f>IF(R1790="No","",X1790-Y1790)</x:f>
        <x:v>-232567.28609822612</x:v>
      </x:c>
      <x:c r="AA1790" s="58" t="n">
        <x:f>IF(R1790="No","",MAX(0,-Z1790))</x:f>
        <x:v>232567.28609822612</x:v>
      </x:c>
      <x:c r="AB1790" s="52" t="n">
        <x:f>IF(OR(R1790="No",U1790*S1790=0),"",AA1790/(U1790*S1790))</x:f>
        <x:v>0.01772648449993612</x:v>
      </x:c>
      <x:c r="AC1790" s="54" t="n">
        <x:f>IF(OR(R1790="No",S1790-T1790*Assumptions!$B$9&lt;=0),"",AA1790/(Assumptions!$B$8*(S1790-T1790*Assumptions!$B$9)))</x:f>
        <x:v>137.3399115953549</x:v>
      </x:c>
      <x:c r="AD1790" s="52" t="n">
        <x:f>IF(OR(R1790="No",U1790*S1790=0),"",AA1790/(U1790*S1790))</x:f>
        <x:v>0.01772648449993612</x:v>
      </x:c>
      <x:c r="AE1790" s="50" t="str">
        <x:f>IF(R1790="No","No finance data",IF(AB1790&gt;=10%,"Severe",IF(AB1790&gt;=5%,"High",IF(AB1790&gt;=2%,"Moderate","Low"))))</x:f>
        <x:v>Low</x:v>
      </x:c>
      <x:c r="AF1790" s="60" t="n">
        <x:v>47.244594</x:v>
      </x:c>
      <x:c r="AG1790" s="60" t="n">
        <x:v>-122.438541</x:v>
      </x:c>
      <x:c r="AH1790" s="44" t="str">
        <x:v>Undergraduate tuition-contribution proxy only; not an audited total institutional budget.</x:v>
      </x:c>
    </x:row>
    <x:row r="1791">
      <x:c r="A1791" s="16" t="n">
        <x:v>236896</x:v>
      </x:c>
      <x:c r="B1791" s="16" t="str">
        <x:v>Walla Walla University</x:v>
      </x:c>
      <x:c r="C1791" s="16" t="str">
        <x:v>WA</x:v>
      </x:c>
      <x:c r="D1791" s="16" t="str">
        <x:v>Private nonprofit</x:v>
      </x:c>
      <x:c r="E1791" s="34" t="n">
        <x:v>1624</x:v>
      </x:c>
      <x:c r="F1791" s="21"/>
      <x:c r="G1791" s="16" t="str">
        <x:v>Regional</x:v>
      </x:c>
      <x:c r="H1791" s="36" t="n">
        <x:f>IF(G1791="National",Assumptions!$B$11,IF(G1791="Statewide",Assumptions!$B$12,Assumptions!$B$13))</x:f>
        <x:v>0.85</x:v>
      </x:c>
      <x:c r="I1791" s="21" t="n">
        <x:v>-0.05140388251908945</x:v>
      </x:c>
      <x:c r="J1791" s="21" t="n">
        <x:v>-0.033235991095578954</x:v>
      </x:c>
      <x:c r="K1791" s="21" t="n">
        <x:v>-0.11512315388850325</x:v>
      </x:c>
      <x:c r="L1791" s="36" t="n">
        <x:f>IF(Assumptions!$B$4=2030,I1791,IF(Assumptions!$B$4=2035,J1791,K1791))</x:f>
        <x:v>-0.033235991095578954</x:v>
      </x:c>
      <x:c r="M1791" s="36" t="n">
        <x:f>Assumptions!$B$19</x:f>
        <x:v>-0.04739891965741583</x:v>
      </x:c>
      <x:c r="N1791" s="52" t="n">
        <x:f>H1791*L1791+(1-H1791)*M1791+O1791</x:f>
        <x:v>-0.035360430379854486</x:v>
      </x:c>
      <x:c r="O1791" s="36" t="n">
        <x:f>Assumptions!$B$10</x:f>
        <x:v>0</x:v>
      </x:c>
      <x:c r="P1791" s="54" t="n">
        <x:f>E1791*(1+N1791)</x:f>
        <x:v>1566.5746610631163</x:v>
      </x:c>
      <x:c r="Q1791" s="54" t="n">
        <x:f>P1791-E1791</x:f>
        <x:v>-57.42533893688369</x:v>
      </x:c>
      <x:c r="R1791" s="16" t="str">
        <x:v>Yes</x:v>
      </x:c>
      <x:c r="S1791" s="56" t="n">
        <x:v>7847</x:v>
      </x:c>
      <x:c r="T1791" s="56" t="n">
        <x:v>11454</x:v>
      </x:c>
      <x:c r="U1791" s="40" t="n">
        <x:f>E1791*Assumptions!$B$8</x:f>
        <x:v>1380.3999999999999</x:v>
      </x:c>
      <x:c r="V1791" s="40" t="n">
        <x:f>P1791*Assumptions!$B$8</x:f>
        <x:v>1331.5884619036487</x:v>
      </x:c>
      <x:c r="W1791" s="54" t="n">
        <x:f>V1791-U1791</x:f>
        <x:v>-48.811538096351114</x:v>
      </x:c>
      <x:c r="X1791" s="58" t="n">
        <x:f>IF(R1791="No","",W1791*S1791)</x:f>
        <x:v>-383024.1394420672</x:v>
      </x:c>
      <x:c r="Y1791" s="58" t="n">
        <x:f>IF(R1791="No","",W1791*T1791*Assumptions!$B$9)</x:f>
        <x:v>-167726.2072066817</x:v>
      </x:c>
      <x:c r="Z1791" s="58" t="n">
        <x:f>IF(R1791="No","",X1791-Y1791)</x:f>
        <x:v>-215297.9322353855</x:v>
      </x:c>
      <x:c r="AA1791" s="58" t="n">
        <x:f>IF(R1791="No","",MAX(0,-Z1791))</x:f>
        <x:v>215297.9322353855</x:v>
      </x:c>
      <x:c r="AB1791" s="52" t="n">
        <x:f>IF(OR(R1791="No",U1791*S1791=0),"",AA1791/(U1791*S1791))</x:f>
        <x:v>0.01987610377462242</x:v>
      </x:c>
      <x:c r="AC1791" s="54" t="n">
        <x:f>IF(OR(R1791="No",S1791-T1791*Assumptions!$B$9&lt;=0),"",AA1791/(Assumptions!$B$8*(S1791-T1791*Assumptions!$B$9)))</x:f>
        <x:v>57.42533893688367</x:v>
      </x:c>
      <x:c r="AD1791" s="52" t="n">
        <x:f>IF(OR(R1791="No",U1791*S1791=0),"",AA1791/(U1791*S1791))</x:f>
        <x:v>0.01987610377462242</x:v>
      </x:c>
      <x:c r="AE1791" s="50" t="str">
        <x:f>IF(R1791="No","No finance data",IF(AB1791&gt;=10%,"Severe",IF(AB1791&gt;=5%,"High",IF(AB1791&gt;=2%,"Moderate","Low"))))</x:f>
        <x:v>Low</x:v>
      </x:c>
      <x:c r="AF1791" s="60" t="n">
        <x:v>46.048088</x:v>
      </x:c>
      <x:c r="AG1791" s="60" t="n">
        <x:v>-118.389555</x:v>
      </x:c>
      <x:c r="AH1791" s="44" t="str">
        <x:v>Undergraduate tuition-contribution proxy only; not an audited total institutional budget.</x:v>
      </x:c>
    </x:row>
    <x:row r="1792">
      <x:c r="A1792" s="16" t="n">
        <x:v>236939</x:v>
      </x:c>
      <x:c r="B1792" s="16" t="str">
        <x:v>Washington State University</x:v>
      </x:c>
      <x:c r="C1792" s="16" t="str">
        <x:v>WA</x:v>
      </x:c>
      <x:c r="D1792" s="16" t="str">
        <x:v>Public</x:v>
      </x:c>
      <x:c r="E1792" s="34" t="n">
        <x:v>24100</x:v>
      </x:c>
      <x:c r="F1792" s="21" t="n">
        <x:v>0.8577</x:v>
      </x:c>
      <x:c r="G1792" s="16" t="str">
        <x:v>Statewide</x:v>
      </x:c>
      <x:c r="H1792" s="36" t="n">
        <x:f>IF(G1792="National",Assumptions!$B$11,IF(G1792="Statewide",Assumptions!$B$12,Assumptions!$B$13))</x:f>
        <x:v>0.6</x:v>
      </x:c>
      <x:c r="I1792" s="21" t="n">
        <x:v>-0.05140388251908945</x:v>
      </x:c>
      <x:c r="J1792" s="21" t="n">
        <x:v>-0.033235991095578954</x:v>
      </x:c>
      <x:c r="K1792" s="21" t="n">
        <x:v>-0.11512315388850325</x:v>
      </x:c>
      <x:c r="L1792" s="36" t="n">
        <x:f>IF(Assumptions!$B$4=2030,I1792,IF(Assumptions!$B$4=2035,J1792,K1792))</x:f>
        <x:v>-0.033235991095578954</x:v>
      </x:c>
      <x:c r="M1792" s="36" t="n">
        <x:f>Assumptions!$B$19</x:f>
        <x:v>-0.04739891965741583</x:v>
      </x:c>
      <x:c r="N1792" s="52" t="n">
        <x:f>H1792*L1792+(1-H1792)*M1792+O1792</x:f>
        <x:v>-0.038901162520313705</x:v>
      </x:c>
      <x:c r="O1792" s="36" t="n">
        <x:f>Assumptions!$B$10</x:f>
        <x:v>0</x:v>
      </x:c>
      <x:c r="P1792" s="54" t="n">
        <x:f>E1792*(1+N1792)</x:f>
        <x:v>23162.48198326044</x:v>
      </x:c>
      <x:c r="Q1792" s="54" t="n">
        <x:f>P1792-E1792</x:f>
        <x:v>-937.5180167395592</x:v>
      </x:c>
      <x:c r="R1792" s="16" t="str">
        <x:v>Yes</x:v>
      </x:c>
      <x:c r="S1792" s="56" t="n">
        <x:v>10674</x:v>
      </x:c>
      <x:c r="T1792" s="56" t="n">
        <x:v>9617</x:v>
      </x:c>
      <x:c r="U1792" s="40" t="n">
        <x:f>E1792*Assumptions!$B$8</x:f>
        <x:v>20485</x:v>
      </x:c>
      <x:c r="V1792" s="40" t="n">
        <x:f>P1792*Assumptions!$B$8</x:f>
        <x:v>19688.109685771375</x:v>
      </x:c>
      <x:c r="W1792" s="54" t="n">
        <x:f>V1792-U1792</x:f>
        <x:v>-796.8903142286254</x:v>
      </x:c>
      <x:c r="X1792" s="58" t="n">
        <x:f>IF(R1792="No","",W1792*S1792)</x:f>
        <x:v>-8506007.214076348</x:v>
      </x:c>
      <x:c r="Y1792" s="58" t="n">
        <x:f>IF(R1792="No","",W1792*T1792*Assumptions!$B$9)</x:f>
        <x:v>-2299108.245581007</x:v>
      </x:c>
      <x:c r="Z1792" s="58" t="n">
        <x:f>IF(R1792="No","",X1792-Y1792)</x:f>
        <x:v>-6206898.968495341</x:v>
      </x:c>
      <x:c r="AA1792" s="58" t="n">
        <x:f>IF(R1792="No","",MAX(0,-Z1792))</x:f>
        <x:v>6206898.968495341</x:v>
      </x:c>
      <x:c r="AB1792" s="52" t="n">
        <x:f>IF(OR(R1792="No",U1792*S1792=0),"",AA1792/(U1792*S1792))</x:f>
        <x:v>0.02838647786719797</x:v>
      </x:c>
      <x:c r="AC1792" s="54" t="n">
        <x:f>IF(OR(R1792="No",S1792-T1792*Assumptions!$B$9&lt;=0),"",AA1792/(Assumptions!$B$8*(S1792-T1792*Assumptions!$B$9)))</x:f>
        <x:v>937.5180167395595</x:v>
      </x:c>
      <x:c r="AD1792" s="52" t="n">
        <x:f>IF(OR(R1792="No",U1792*S1792=0),"",AA1792/(U1792*S1792))</x:f>
        <x:v>0.02838647786719797</x:v>
      </x:c>
      <x:c r="AE1792" s="50" t="str">
        <x:f>IF(R1792="No","No finance data",IF(AB1792&gt;=10%,"Severe",IF(AB1792&gt;=5%,"High",IF(AB1792&gt;=2%,"Moderate","Low"))))</x:f>
        <x:v>Moderate</x:v>
      </x:c>
      <x:c r="AF1792" s="60" t="n">
        <x:v>46.730448</x:v>
      </x:c>
      <x:c r="AG1792" s="60" t="n">
        <x:v>-117.158168</x:v>
      </x:c>
      <x:c r="AH1792" s="44" t="str">
        <x:v>Undergraduate tuition-contribution proxy only; not an audited total institutional budget.</x:v>
      </x:c>
    </x:row>
    <x:row r="1793">
      <x:c r="A1793" s="16" t="n">
        <x:v>237011</x:v>
      </x:c>
      <x:c r="B1793" s="16" t="str">
        <x:v>Western Washington University</x:v>
      </x:c>
      <x:c r="C1793" s="16" t="str">
        <x:v>WA</x:v>
      </x:c>
      <x:c r="D1793" s="16" t="str">
        <x:v>Public</x:v>
      </x:c>
      <x:c r="E1793" s="34" t="n">
        <x:v>14336</x:v>
      </x:c>
      <x:c r="F1793" s="21" t="n">
        <x:v>0.961</x:v>
      </x:c>
      <x:c r="G1793" s="16" t="str">
        <x:v>Statewide</x:v>
      </x:c>
      <x:c r="H1793" s="36" t="n">
        <x:f>IF(G1793="National",Assumptions!$B$11,IF(G1793="Statewide",Assumptions!$B$12,Assumptions!$B$13))</x:f>
        <x:v>0.6</x:v>
      </x:c>
      <x:c r="I1793" s="21" t="n">
        <x:v>-0.05140388251908945</x:v>
      </x:c>
      <x:c r="J1793" s="21" t="n">
        <x:v>-0.033235991095578954</x:v>
      </x:c>
      <x:c r="K1793" s="21" t="n">
        <x:v>-0.11512315388850325</x:v>
      </x:c>
      <x:c r="L1793" s="36" t="n">
        <x:f>IF(Assumptions!$B$4=2030,I1793,IF(Assumptions!$B$4=2035,J1793,K1793))</x:f>
        <x:v>-0.033235991095578954</x:v>
      </x:c>
      <x:c r="M1793" s="36" t="n">
        <x:f>Assumptions!$B$19</x:f>
        <x:v>-0.04739891965741583</x:v>
      </x:c>
      <x:c r="N1793" s="52" t="n">
        <x:f>H1793*L1793+(1-H1793)*M1793+O1793</x:f>
        <x:v>-0.038901162520313705</x:v>
      </x:c>
      <x:c r="O1793" s="36" t="n">
        <x:f>Assumptions!$B$10</x:f>
        <x:v>0</x:v>
      </x:c>
      <x:c r="P1793" s="54" t="n">
        <x:f>E1793*(1+N1793)</x:f>
        <x:v>13778.312934108782</x:v>
      </x:c>
      <x:c r="Q1793" s="54" t="n">
        <x:f>P1793-E1793</x:f>
        <x:v>-557.6870658912176</x:v>
      </x:c>
      <x:c r="R1793" s="16" t="str">
        <x:v>Yes</x:v>
      </x:c>
      <x:c r="S1793" s="56" t="n">
        <x:v>7758</x:v>
      </x:c>
      <x:c r="T1793" s="56" t="n">
        <x:v>11628</x:v>
      </x:c>
      <x:c r="U1793" s="40" t="n">
        <x:f>E1793*Assumptions!$B$8</x:f>
        <x:v>12185.6</x:v>
      </x:c>
      <x:c r="V1793" s="40" t="n">
        <x:f>P1793*Assumptions!$B$8</x:f>
        <x:v>11711.565993992464</x:v>
      </x:c>
      <x:c r="W1793" s="54" t="n">
        <x:f>V1793-U1793</x:f>
        <x:v>-474.03400600753594</x:v>
      </x:c>
      <x:c r="X1793" s="58" t="n">
        <x:f>IF(R1793="No","",W1793*S1793)</x:f>
        <x:v>-3677555.8186064637</x:v>
      </x:c>
      <x:c r="Y1793" s="58" t="n">
        <x:f>IF(R1793="No","",W1793*T1793*Assumptions!$B$9)</x:f>
        <x:v>-1653620.2265566883</x:v>
      </x:c>
      <x:c r="Z1793" s="58" t="n">
        <x:f>IF(R1793="No","",X1793-Y1793)</x:f>
        <x:v>-2023935.5920497754</x:v>
      </x:c>
      <x:c r="AA1793" s="58" t="n">
        <x:f>IF(R1793="No","",MAX(0,-Z1793))</x:f>
        <x:v>2023935.5920497754</x:v>
      </x:c>
      <x:c r="AB1793" s="52" t="n">
        <x:f>IF(OR(R1793="No",U1793*S1793=0),"",AA1793/(U1793*S1793))</x:f>
        <x:v>0.021409178073824676</x:v>
      </x:c>
      <x:c r="AC1793" s="54" t="n">
        <x:f>IF(OR(R1793="No",S1793-T1793*Assumptions!$B$9&lt;=0),"",AA1793/(Assumptions!$B$8*(S1793-T1793*Assumptions!$B$9)))</x:f>
        <x:v>557.6870658912187</x:v>
      </x:c>
      <x:c r="AD1793" s="52" t="n">
        <x:f>IF(OR(R1793="No",U1793*S1793=0),"",AA1793/(U1793*S1793))</x:f>
        <x:v>0.021409178073824676</x:v>
      </x:c>
      <x:c r="AE1793" s="50" t="str">
        <x:f>IF(R1793="No","No finance data",IF(AB1793&gt;=10%,"Severe",IF(AB1793&gt;=5%,"High",IF(AB1793&gt;=2%,"Moderate","Low"))))</x:f>
        <x:v>Moderate</x:v>
      </x:c>
      <x:c r="AF1793" s="60" t="n">
        <x:v>48.737812</x:v>
      </x:c>
      <x:c r="AG1793" s="60" t="n">
        <x:v>-122.485734</x:v>
      </x:c>
      <x:c r="AH1793" s="44" t="str">
        <x:v>Undergraduate tuition-contribution proxy only; not an audited total institutional budget.</x:v>
      </x:c>
    </x:row>
    <x:row r="1794">
      <x:c r="A1794" s="16" t="n">
        <x:v>237057</x:v>
      </x:c>
      <x:c r="B1794" s="16" t="str">
        <x:v>Whitman College</x:v>
      </x:c>
      <x:c r="C1794" s="16" t="str">
        <x:v>WA</x:v>
      </x:c>
      <x:c r="D1794" s="16" t="str">
        <x:v>Private nonprofit</x:v>
      </x:c>
      <x:c r="E1794" s="34" t="n">
        <x:v>1443</x:v>
      </x:c>
      <x:c r="F1794" s="21" t="n">
        <x:v>0.5895</x:v>
      </x:c>
      <x:c r="G1794" s="16" t="str">
        <x:v>Regional</x:v>
      </x:c>
      <x:c r="H1794" s="36" t="n">
        <x:f>IF(G1794="National",Assumptions!$B$11,IF(G1794="Statewide",Assumptions!$B$12,Assumptions!$B$13))</x:f>
        <x:v>0.85</x:v>
      </x:c>
      <x:c r="I1794" s="21" t="n">
        <x:v>-0.05140388251908945</x:v>
      </x:c>
      <x:c r="J1794" s="21" t="n">
        <x:v>-0.033235991095578954</x:v>
      </x:c>
      <x:c r="K1794" s="21" t="n">
        <x:v>-0.11512315388850325</x:v>
      </x:c>
      <x:c r="L1794" s="36" t="n">
        <x:f>IF(Assumptions!$B$4=2030,I1794,IF(Assumptions!$B$4=2035,J1794,K1794))</x:f>
        <x:v>-0.033235991095578954</x:v>
      </x:c>
      <x:c r="M1794" s="36" t="n">
        <x:f>Assumptions!$B$19</x:f>
        <x:v>-0.04739891965741583</x:v>
      </x:c>
      <x:c r="N1794" s="52" t="n">
        <x:f>H1794*L1794+(1-H1794)*M1794+O1794</x:f>
        <x:v>-0.035360430379854486</x:v>
      </x:c>
      <x:c r="O1794" s="36" t="n">
        <x:f>Assumptions!$B$10</x:f>
        <x:v>0</x:v>
      </x:c>
      <x:c r="P1794" s="54" t="n">
        <x:f>E1794*(1+N1794)</x:f>
        <x:v>1391.97489896187</x:v>
      </x:c>
      <x:c r="Q1794" s="54" t="n">
        <x:f>P1794-E1794</x:f>
        <x:v>-51.02510103813006</x:v>
      </x:c>
      <x:c r="R1794" s="16" t="str">
        <x:v>Yes</x:v>
      </x:c>
      <x:c r="S1794" s="56" t="n">
        <x:v>25008</x:v>
      </x:c>
      <x:c r="T1794" s="56" t="n">
        <x:v>20505</x:v>
      </x:c>
      <x:c r="U1794" s="40" t="n">
        <x:f>E1794*Assumptions!$B$8</x:f>
        <x:v>1226.55</x:v>
      </x:c>
      <x:c r="V1794" s="40" t="n">
        <x:f>P1794*Assumptions!$B$8</x:f>
        <x:v>1183.1786641175895</x:v>
      </x:c>
      <x:c r="W1794" s="54" t="n">
        <x:f>V1794-U1794</x:f>
        <x:v>-43.37133588241045</x:v>
      </x:c>
      <x:c r="X1794" s="58" t="n">
        <x:f>IF(R1794="No","",W1794*S1794)</x:f>
        <x:v>-1084630.3677473206</x:v>
      </x:c>
      <x:c r="Y1794" s="58" t="n">
        <x:f>IF(R1794="No","",W1794*T1794*Assumptions!$B$9)</x:f>
        <x:v>-266798.77268064785</x:v>
      </x:c>
      <x:c r="Z1794" s="58" t="n">
        <x:f>IF(R1794="No","",X1794-Y1794)</x:f>
        <x:v>-817831.5950666727</x:v>
      </x:c>
      <x:c r="AA1794" s="58" t="n">
        <x:f>IF(R1794="No","",MAX(0,-Z1794))</x:f>
        <x:v>817831.5950666727</x:v>
      </x:c>
      <x:c r="AB1794" s="52" t="n">
        <x:f>IF(OR(R1794="No",U1794*S1794=0),"",AA1794/(U1794*S1794))</x:f>
        <x:v>0.02666242624191159</x:v>
      </x:c>
      <x:c r="AC1794" s="54" t="n">
        <x:f>IF(OR(R1794="No",S1794-T1794*Assumptions!$B$9&lt;=0),"",AA1794/(Assumptions!$B$8*(S1794-T1794*Assumptions!$B$9)))</x:f>
        <x:v>51.02510103812994</x:v>
      </x:c>
      <x:c r="AD1794" s="52" t="n">
        <x:f>IF(OR(R1794="No",U1794*S1794=0),"",AA1794/(U1794*S1794))</x:f>
        <x:v>0.02666242624191159</x:v>
      </x:c>
      <x:c r="AE1794" s="50" t="str">
        <x:f>IF(R1794="No","No finance data",IF(AB1794&gt;=10%,"Severe",IF(AB1794&gt;=5%,"High",IF(AB1794&gt;=2%,"Moderate","Low"))))</x:f>
        <x:v>Moderate</x:v>
      </x:c>
      <x:c r="AF1794" s="60" t="n">
        <x:v>46.069815</x:v>
      </x:c>
      <x:c r="AG1794" s="60" t="n">
        <x:v>-118.331546</x:v>
      </x:c>
      <x:c r="AH1794" s="44" t="str">
        <x:v>Undergraduate tuition-contribution proxy only; not an audited total institutional budget.</x:v>
      </x:c>
    </x:row>
    <x:row r="1795">
      <x:c r="A1795" s="16" t="n">
        <x:v>237066</x:v>
      </x:c>
      <x:c r="B1795" s="16" t="str">
        <x:v>Whitworth University</x:v>
      </x:c>
      <x:c r="C1795" s="16" t="str">
        <x:v>WA</x:v>
      </x:c>
      <x:c r="D1795" s="16" t="str">
        <x:v>Private nonprofit</x:v>
      </x:c>
      <x:c r="E1795" s="34" t="n">
        <x:v>2320</x:v>
      </x:c>
      <x:c r="F1795" s="21" t="n">
        <x:v>0.9146</x:v>
      </x:c>
      <x:c r="G1795" s="16" t="str">
        <x:v>Regional</x:v>
      </x:c>
      <x:c r="H1795" s="36" t="n">
        <x:f>IF(G1795="National",Assumptions!$B$11,IF(G1795="Statewide",Assumptions!$B$12,Assumptions!$B$13))</x:f>
        <x:v>0.85</x:v>
      </x:c>
      <x:c r="I1795" s="21" t="n">
        <x:v>-0.05140388251908945</x:v>
      </x:c>
      <x:c r="J1795" s="21" t="n">
        <x:v>-0.033235991095578954</x:v>
      </x:c>
      <x:c r="K1795" s="21" t="n">
        <x:v>-0.11512315388850325</x:v>
      </x:c>
      <x:c r="L1795" s="36" t="n">
        <x:f>IF(Assumptions!$B$4=2030,I1795,IF(Assumptions!$B$4=2035,J1795,K1795))</x:f>
        <x:v>-0.033235991095578954</x:v>
      </x:c>
      <x:c r="M1795" s="36" t="n">
        <x:f>Assumptions!$B$19</x:f>
        <x:v>-0.04739891965741583</x:v>
      </x:c>
      <x:c r="N1795" s="52" t="n">
        <x:f>H1795*L1795+(1-H1795)*M1795+O1795</x:f>
        <x:v>-0.035360430379854486</x:v>
      </x:c>
      <x:c r="O1795" s="36" t="n">
        <x:f>Assumptions!$B$10</x:f>
        <x:v>0</x:v>
      </x:c>
      <x:c r="P1795" s="54" t="n">
        <x:f>E1795*(1+N1795)</x:f>
        <x:v>2237.9638015187375</x:v>
      </x:c>
      <x:c r="Q1795" s="54" t="n">
        <x:f>P1795-E1795</x:f>
        <x:v>-82.03619848126255</x:v>
      </x:c>
      <x:c r="R1795" s="16" t="str">
        <x:v>Yes</x:v>
      </x:c>
      <x:c r="S1795" s="56" t="n">
        <x:v>17979</x:v>
      </x:c>
      <x:c r="T1795" s="56" t="n">
        <x:v>10063</x:v>
      </x:c>
      <x:c r="U1795" s="40" t="n">
        <x:f>E1795*Assumptions!$B$8</x:f>
        <x:v>1972</x:v>
      </x:c>
      <x:c r="V1795" s="40" t="n">
        <x:f>P1795*Assumptions!$B$8</x:f>
        <x:v>1902.2692312909269</x:v>
      </x:c>
      <x:c r="W1795" s="54" t="n">
        <x:f>V1795-U1795</x:f>
        <x:v>-69.73076870907312</x:v>
      </x:c>
      <x:c r="X1795" s="58" t="n">
        <x:f>IF(R1795="No","",W1795*S1795)</x:f>
        <x:v>-1253689.4906204257</x:v>
      </x:c>
      <x:c r="Y1795" s="58" t="n">
        <x:f>IF(R1795="No","",W1795*T1795*Assumptions!$B$9)</x:f>
        <x:v>-210510.21765582083</x:v>
      </x:c>
      <x:c r="Z1795" s="58" t="n">
        <x:f>IF(R1795="No","",X1795-Y1795)</x:f>
        <x:v>-1043179.2729646049</x:v>
      </x:c>
      <x:c r="AA1795" s="58" t="n">
        <x:f>IF(R1795="No","",MAX(0,-Z1795))</x:f>
        <x:v>1043179.2729646049</x:v>
      </x:c>
      <x:c r="AB1795" s="52" t="n">
        <x:f>IF(OR(R1795="No",U1795*S1795=0),"",AA1795/(U1795*S1795))</x:f>
        <x:v>0.02942296982733532</x:v>
      </x:c>
      <x:c r="AC1795" s="54" t="n">
        <x:f>IF(OR(R1795="No",S1795-T1795*Assumptions!$B$9&lt;=0),"",AA1795/(Assumptions!$B$8*(S1795-T1795*Assumptions!$B$9)))</x:f>
        <x:v>82.0361984812625</x:v>
      </x:c>
      <x:c r="AD1795" s="52" t="n">
        <x:f>IF(OR(R1795="No",U1795*S1795=0),"",AA1795/(U1795*S1795))</x:f>
        <x:v>0.02942296982733532</x:v>
      </x:c>
      <x:c r="AE1795" s="50" t="str">
        <x:f>IF(R1795="No","No finance data",IF(AB1795&gt;=10%,"Severe",IF(AB1795&gt;=5%,"High",IF(AB1795&gt;=2%,"Moderate","Low"))))</x:f>
        <x:v>Moderate</x:v>
      </x:c>
      <x:c r="AF1795" s="60" t="n">
        <x:v>47.753358</x:v>
      </x:c>
      <x:c r="AG1795" s="60" t="n">
        <x:v>-117.416714</x:v>
      </x:c>
      <x:c r="AH1795" s="44" t="str">
        <x:v>Undergraduate tuition-contribution proxy only; not an audited total institutional budget.</x:v>
      </x:c>
    </x:row>
    <x:row r="1796">
      <x:c r="A1796" s="16" t="n">
        <x:v>475200</x:v>
      </x:c>
      <x:c r="B1796" s="16" t="str">
        <x:v>Whitworth University-Adult Degree Programs</x:v>
      </x:c>
      <x:c r="C1796" s="16" t="str">
        <x:v>WA</x:v>
      </x:c>
      <x:c r="D1796" s="16" t="str">
        <x:v>Private nonprofit</x:v>
      </x:c>
      <x:c r="E1796" s="34" t="n">
        <x:v>319</x:v>
      </x:c>
      <x:c r="F1796" s="21"/>
      <x:c r="G1796" s="16" t="str">
        <x:v>Regional</x:v>
      </x:c>
      <x:c r="H1796" s="36" t="n">
        <x:f>IF(G1796="National",Assumptions!$B$11,IF(G1796="Statewide",Assumptions!$B$12,Assumptions!$B$13))</x:f>
        <x:v>0.85</x:v>
      </x:c>
      <x:c r="I1796" s="21" t="n">
        <x:v>-0.05140388251908945</x:v>
      </x:c>
      <x:c r="J1796" s="21" t="n">
        <x:v>-0.033235991095578954</x:v>
      </x:c>
      <x:c r="K1796" s="21" t="n">
        <x:v>-0.11512315388850325</x:v>
      </x:c>
      <x:c r="L1796" s="36" t="n">
        <x:f>IF(Assumptions!$B$4=2030,I1796,IF(Assumptions!$B$4=2035,J1796,K1796))</x:f>
        <x:v>-0.033235991095578954</x:v>
      </x:c>
      <x:c r="M1796" s="36" t="n">
        <x:f>Assumptions!$B$19</x:f>
        <x:v>-0.04739891965741583</x:v>
      </x:c>
      <x:c r="N1796" s="52" t="n">
        <x:f>H1796*L1796+(1-H1796)*M1796+O1796</x:f>
        <x:v>-0.035360430379854486</x:v>
      </x:c>
      <x:c r="O1796" s="36" t="n">
        <x:f>Assumptions!$B$10</x:f>
        <x:v>0</x:v>
      </x:c>
      <x:c r="P1796" s="54" t="n">
        <x:f>E1796*(1+N1796)</x:f>
        <x:v>307.72002270882643</x:v>
      </x:c>
      <x:c r="Q1796" s="54" t="n">
        <x:f>P1796-E1796</x:f>
        <x:v>-11.279977291173566</x:v>
      </x:c>
      <x:c r="R1796" s="16" t="str">
        <x:v>No</x:v>
      </x:c>
      <x:c r="S1796" s="56"/>
      <x:c r="T1796" s="56"/>
      <x:c r="U1796" s="40" t="n">
        <x:f>E1796*Assumptions!$B$8</x:f>
        <x:v>271.15</x:v>
      </x:c>
      <x:c r="V1796" s="40" t="n">
        <x:f>P1796*Assumptions!$B$8</x:f>
        <x:v>261.56201930250245</x:v>
      </x:c>
      <x:c r="W1796" s="54" t="n">
        <x:f>V1796-U1796</x:f>
        <x:v>-9.587980697497528</x:v>
      </x:c>
      <x:c r="X1796" s="58" t="str">
        <x:f>IF(R1796="No","",W1796*S1796)</x:f>
      </x:c>
      <x:c r="Y1796" s="58" t="str">
        <x:f>IF(R1796="No","",W1796*T1796*Assumptions!$B$9)</x:f>
      </x:c>
      <x:c r="Z1796" s="58" t="str">
        <x:f>IF(R1796="No","",X1796-Y1796)</x:f>
      </x:c>
      <x:c r="AA1796" s="58" t="str">
        <x:f>IF(R1796="No","",MAX(0,-Z1796))</x:f>
      </x:c>
      <x:c r="AB1796" s="52" t="str">
        <x:f>IF(OR(R1796="No",U1796*S1796=0),"",AA1796/(U1796*S1796))</x:f>
      </x:c>
      <x:c r="AC1796" s="54" t="str">
        <x:f>IF(OR(R1796="No",S1796-T1796*Assumptions!$B$9&lt;=0),"",AA1796/(Assumptions!$B$8*(S1796-T1796*Assumptions!$B$9)))</x:f>
      </x:c>
      <x:c r="AD1796" s="52" t="str">
        <x:f>IF(OR(R1796="No",U1796*S1796=0),"",AA1796/(U1796*S1796))</x:f>
      </x:c>
      <x:c r="AE1796" s="50" t="str">
        <x:f>IF(R1796="No","No finance data",IF(AB1796&gt;=10%,"Severe",IF(AB1796&gt;=5%,"High",IF(AB1796&gt;=2%,"Moderate","Low"))))</x:f>
        <x:v>No finance data</x:v>
      </x:c>
      <x:c r="AF1796" s="60"/>
      <x:c r="AG1796" s="60"/>
      <x:c r="AH1796" s="44" t="str">
        <x:v>Undergraduate tuition-contribution proxy only; not an audited total institutional budget.</x:v>
      </x:c>
    </x:row>
    <x:row r="1797">
      <x:c r="A1797" s="16" t="n">
        <x:v>238193</x:v>
      </x:c>
      <x:c r="B1797" s="16" t="str">
        <x:v>Alverno College</x:v>
      </x:c>
      <x:c r="C1797" s="16" t="str">
        <x:v>WI</x:v>
      </x:c>
      <x:c r="D1797" s="16" t="str">
        <x:v>Private nonprofit</x:v>
      </x:c>
      <x:c r="E1797" s="34" t="n">
        <x:v>1528</x:v>
      </x:c>
      <x:c r="F1797" s="21" t="n">
        <x:v>0.9084</x:v>
      </x:c>
      <x:c r="G1797" s="16" t="str">
        <x:v>Regional</x:v>
      </x:c>
      <x:c r="H1797" s="36" t="n">
        <x:f>IF(G1797="National",Assumptions!$B$11,IF(G1797="Statewide",Assumptions!$B$12,Assumptions!$B$13))</x:f>
        <x:v>0.85</x:v>
      </x:c>
      <x:c r="I1797" s="21" t="n">
        <x:v>-0.06510674082707546</x:v>
      </x:c>
      <x:c r="J1797" s="21" t="n">
        <x:v>-0.08396158215429106</x:v>
      </x:c>
      <x:c r="K1797" s="21" t="n">
        <x:v>-0.16038417845708974</x:v>
      </x:c>
      <x:c r="L1797" s="36" t="n">
        <x:f>IF(Assumptions!$B$4=2030,I1797,IF(Assumptions!$B$4=2035,J1797,K1797))</x:f>
        <x:v>-0.08396158215429106</x:v>
      </x:c>
      <x:c r="M1797" s="36" t="n">
        <x:f>Assumptions!$B$19</x:f>
        <x:v>-0.04739891965741583</x:v>
      </x:c>
      <x:c r="N1797" s="52" t="n">
        <x:f>H1797*L1797+(1-H1797)*M1797+O1797</x:f>
        <x:v>-0.07847718277975978</x:v>
      </x:c>
      <x:c r="O1797" s="36" t="n">
        <x:f>Assumptions!$B$10</x:f>
        <x:v>0</x:v>
      </x:c>
      <x:c r="P1797" s="54" t="n">
        <x:f>E1797*(1+N1797)</x:f>
        <x:v>1408.0868647125271</x:v>
      </x:c>
      <x:c r="Q1797" s="54" t="n">
        <x:f>P1797-E1797</x:f>
        <x:v>-119.91313528747287</x:v>
      </x:c>
      <x:c r="R1797" s="16" t="str">
        <x:v>Yes</x:v>
      </x:c>
      <x:c r="S1797" s="56" t="n">
        <x:v>15667</x:v>
      </x:c>
      <x:c r="T1797" s="56" t="n">
        <x:v>8652</x:v>
      </x:c>
      <x:c r="U1797" s="40" t="n">
        <x:f>E1797*Assumptions!$B$8</x:f>
        <x:v>1298.8</x:v>
      </x:c>
      <x:c r="V1797" s="40" t="n">
        <x:f>P1797*Assumptions!$B$8</x:f>
        <x:v>1196.873835005648</x:v>
      </x:c>
      <x:c r="W1797" s="54" t="n">
        <x:f>V1797-U1797</x:f>
        <x:v>-101.9261649943519</x:v>
      </x:c>
      <x:c r="X1797" s="58" t="n">
        <x:f>IF(R1797="No","",W1797*S1797)</x:f>
        <x:v>-1596877.2269665112</x:v>
      </x:c>
      <x:c r="Y1797" s="58" t="n">
        <x:f>IF(R1797="No","",W1797*T1797*Assumptions!$B$9)</x:f>
        <x:v>-264559.55385933974</x:v>
      </x:c>
      <x:c r="Z1797" s="58" t="n">
        <x:f>IF(R1797="No","",X1797-Y1797)</x:f>
        <x:v>-1332317.6731071714</x:v>
      </x:c>
      <x:c r="AA1797" s="58" t="n">
        <x:f>IF(R1797="No","",MAX(0,-Z1797))</x:f>
        <x:v>1332317.6731071714</x:v>
      </x:c>
      <x:c r="AB1797" s="52" t="n">
        <x:f>IF(OR(R1797="No",U1797*S1797=0),"",AA1797/(U1797*S1797))</x:f>
        <x:v>0.06547562692202406</x:v>
      </x:c>
      <x:c r="AC1797" s="54" t="n">
        <x:f>IF(OR(R1797="No",S1797-T1797*Assumptions!$B$9&lt;=0),"",AA1797/(Assumptions!$B$8*(S1797-T1797*Assumptions!$B$9)))</x:f>
        <x:v>119.91313528747284</x:v>
      </x:c>
      <x:c r="AD1797" s="52" t="n">
        <x:f>IF(OR(R1797="No",U1797*S1797=0),"",AA1797/(U1797*S1797))</x:f>
        <x:v>0.06547562692202406</x:v>
      </x:c>
      <x:c r="AE1797" s="50" t="str">
        <x:f>IF(R1797="No","No finance data",IF(AB1797&gt;=10%,"Severe",IF(AB1797&gt;=5%,"High",IF(AB1797&gt;=2%,"Moderate","Low"))))</x:f>
        <x:v>High</x:v>
      </x:c>
      <x:c r="AF1797" s="60" t="n">
        <x:v>42.982842</x:v>
      </x:c>
      <x:c r="AG1797" s="60" t="n">
        <x:v>-87.965174</x:v>
      </x:c>
      <x:c r="AH1797" s="44" t="str">
        <x:v>Undergraduate tuition-contribution proxy only; not an audited total institutional budget.</x:v>
      </x:c>
    </x:row>
    <x:row r="1798">
      <x:c r="A1798" s="16" t="n">
        <x:v>238324</x:v>
      </x:c>
      <x:c r="B1798" s="16" t="str">
        <x:v>Bellin College</x:v>
      </x:c>
      <x:c r="C1798" s="16" t="str">
        <x:v>WI</x:v>
      </x:c>
      <x:c r="D1798" s="16" t="str">
        <x:v>Private nonprofit</x:v>
      </x:c>
      <x:c r="E1798" s="34" t="n">
        <x:v>318</x:v>
      </x:c>
      <x:c r="F1798" s="21"/>
      <x:c r="G1798" s="16" t="str">
        <x:v>Regional</x:v>
      </x:c>
      <x:c r="H1798" s="36" t="n">
        <x:f>IF(G1798="National",Assumptions!$B$11,IF(G1798="Statewide",Assumptions!$B$12,Assumptions!$B$13))</x:f>
        <x:v>0.85</x:v>
      </x:c>
      <x:c r="I1798" s="21" t="n">
        <x:v>-0.06510674082707546</x:v>
      </x:c>
      <x:c r="J1798" s="21" t="n">
        <x:v>-0.08396158215429106</x:v>
      </x:c>
      <x:c r="K1798" s="21" t="n">
        <x:v>-0.16038417845708974</x:v>
      </x:c>
      <x:c r="L1798" s="36" t="n">
        <x:f>IF(Assumptions!$B$4=2030,I1798,IF(Assumptions!$B$4=2035,J1798,K1798))</x:f>
        <x:v>-0.08396158215429106</x:v>
      </x:c>
      <x:c r="M1798" s="36" t="n">
        <x:f>Assumptions!$B$19</x:f>
        <x:v>-0.04739891965741583</x:v>
      </x:c>
      <x:c r="N1798" s="52" t="n">
        <x:f>H1798*L1798+(1-H1798)*M1798+O1798</x:f>
        <x:v>-0.07847718277975978</x:v>
      </x:c>
      <x:c r="O1798" s="36" t="n">
        <x:f>Assumptions!$B$10</x:f>
        <x:v>0</x:v>
      </x:c>
      <x:c r="P1798" s="54" t="n">
        <x:f>E1798*(1+N1798)</x:f>
        <x:v>293.0442558760364</x:v>
      </x:c>
      <x:c r="Q1798" s="54" t="n">
        <x:f>P1798-E1798</x:f>
        <x:v>-24.955744123963598</x:v>
      </x:c>
      <x:c r="R1798" s="16" t="str">
        <x:v>No</x:v>
      </x:c>
      <x:c r="S1798" s="56"/>
      <x:c r="T1798" s="56"/>
      <x:c r="U1798" s="40" t="n">
        <x:f>E1798*Assumptions!$B$8</x:f>
        <x:v>270.3</x:v>
      </x:c>
      <x:c r="V1798" s="40" t="n">
        <x:f>P1798*Assumptions!$B$8</x:f>
        <x:v>249.08761749463093</x:v>
      </x:c>
      <x:c r="W1798" s="54" t="n">
        <x:f>V1798-U1798</x:f>
        <x:v>-21.212382505369078</x:v>
      </x:c>
      <x:c r="X1798" s="58" t="str">
        <x:f>IF(R1798="No","",W1798*S1798)</x:f>
      </x:c>
      <x:c r="Y1798" s="58" t="str">
        <x:f>IF(R1798="No","",W1798*T1798*Assumptions!$B$9)</x:f>
      </x:c>
      <x:c r="Z1798" s="58" t="str">
        <x:f>IF(R1798="No","",X1798-Y1798)</x:f>
      </x:c>
      <x:c r="AA1798" s="58" t="str">
        <x:f>IF(R1798="No","",MAX(0,-Z1798))</x:f>
      </x:c>
      <x:c r="AB1798" s="52" t="str">
        <x:f>IF(OR(R1798="No",U1798*S1798=0),"",AA1798/(U1798*S1798))</x:f>
      </x:c>
      <x:c r="AC1798" s="54" t="str">
        <x:f>IF(OR(R1798="No",S1798-T1798*Assumptions!$B$9&lt;=0),"",AA1798/(Assumptions!$B$8*(S1798-T1798*Assumptions!$B$9)))</x:f>
      </x:c>
      <x:c r="AD1798" s="52" t="str">
        <x:f>IF(OR(R1798="No",U1798*S1798=0),"",AA1798/(U1798*S1798))</x:f>
      </x:c>
      <x:c r="AE1798" s="50" t="str">
        <x:f>IF(R1798="No","No finance data",IF(AB1798&gt;=10%,"Severe",IF(AB1798&gt;=5%,"High",IF(AB1798&gt;=2%,"Moderate","Low"))))</x:f>
        <x:v>No finance data</x:v>
      </x:c>
      <x:c r="AF1798" s="60"/>
      <x:c r="AG1798" s="60"/>
      <x:c r="AH1798" s="44" t="str">
        <x:v>Undergraduate tuition-contribution proxy only; not an audited total institutional budget.</x:v>
      </x:c>
    </x:row>
    <x:row r="1799">
      <x:c r="A1799" s="16" t="n">
        <x:v>238333</x:v>
      </x:c>
      <x:c r="B1799" s="16" t="str">
        <x:v>Beloit College</x:v>
      </x:c>
      <x:c r="C1799" s="16" t="str">
        <x:v>WI</x:v>
      </x:c>
      <x:c r="D1799" s="16" t="str">
        <x:v>Private nonprofit</x:v>
      </x:c>
      <x:c r="E1799" s="34" t="n">
        <x:v>1271</x:v>
      </x:c>
      <x:c r="F1799" s="21" t="n">
        <x:v>0.6728</x:v>
      </x:c>
      <x:c r="G1799" s="16" t="str">
        <x:v>Regional</x:v>
      </x:c>
      <x:c r="H1799" s="36" t="n">
        <x:f>IF(G1799="National",Assumptions!$B$11,IF(G1799="Statewide",Assumptions!$B$12,Assumptions!$B$13))</x:f>
        <x:v>0.85</x:v>
      </x:c>
      <x:c r="I1799" s="21" t="n">
        <x:v>-0.06510674082707546</x:v>
      </x:c>
      <x:c r="J1799" s="21" t="n">
        <x:v>-0.08396158215429106</x:v>
      </x:c>
      <x:c r="K1799" s="21" t="n">
        <x:v>-0.16038417845708974</x:v>
      </x:c>
      <x:c r="L1799" s="36" t="n">
        <x:f>IF(Assumptions!$B$4=2030,I1799,IF(Assumptions!$B$4=2035,J1799,K1799))</x:f>
        <x:v>-0.08396158215429106</x:v>
      </x:c>
      <x:c r="M1799" s="36" t="n">
        <x:f>Assumptions!$B$19</x:f>
        <x:v>-0.04739891965741583</x:v>
      </x:c>
      <x:c r="N1799" s="52" t="n">
        <x:f>H1799*L1799+(1-H1799)*M1799+O1799</x:f>
        <x:v>-0.07847718277975978</x:v>
      </x:c>
      <x:c r="O1799" s="36" t="n">
        <x:f>Assumptions!$B$10</x:f>
        <x:v>0</x:v>
      </x:c>
      <x:c r="P1799" s="54" t="n">
        <x:f>E1799*(1+N1799)</x:f>
        <x:v>1171.2555006869254</x:v>
      </x:c>
      <x:c r="Q1799" s="54" t="n">
        <x:f>P1799-E1799</x:f>
        <x:v>-99.74449931307458</x:v>
      </x:c>
      <x:c r="R1799" s="16" t="str">
        <x:v>Yes</x:v>
      </x:c>
      <x:c r="S1799" s="56" t="n">
        <x:v>12776</x:v>
      </x:c>
      <x:c r="T1799" s="56" t="n">
        <x:v>11192</x:v>
      </x:c>
      <x:c r="U1799" s="40" t="n">
        <x:f>E1799*Assumptions!$B$8</x:f>
        <x:v>1080.35</x:v>
      </x:c>
      <x:c r="V1799" s="40" t="n">
        <x:f>P1799*Assumptions!$B$8</x:f>
        <x:v>995.5671755838865</x:v>
      </x:c>
      <x:c r="W1799" s="54" t="n">
        <x:f>V1799-U1799</x:f>
        <x:v>-84.78282441611339</x:v>
      </x:c>
      <x:c r="X1799" s="58" t="n">
        <x:f>IF(R1799="No","",W1799*S1799)</x:f>
        <x:v>-1083185.3647402646</x:v>
      </x:c>
      <x:c r="Y1799" s="58" t="n">
        <x:f>IF(R1799="No","",W1799*T1799*Assumptions!$B$9)</x:f>
        <x:v>-284666.8112595423</x:v>
      </x:c>
      <x:c r="Z1799" s="58" t="n">
        <x:f>IF(R1799="No","",X1799-Y1799)</x:f>
        <x:v>-798518.5534807222</x:v>
      </x:c>
      <x:c r="AA1799" s="58" t="n">
        <x:f>IF(R1799="No","",MAX(0,-Z1799))</x:f>
        <x:v>798518.5534807222</x:v>
      </x:c>
      <x:c r="AB1799" s="52" t="n">
        <x:f>IF(OR(R1799="No",U1799*S1799=0),"",AA1799/(U1799*S1799))</x:f>
        <x:v>0.057852966366068306</x:v>
      </x:c>
      <x:c r="AC1799" s="54" t="n">
        <x:f>IF(OR(R1799="No",S1799-T1799*Assumptions!$B$9&lt;=0),"",AA1799/(Assumptions!$B$8*(S1799-T1799*Assumptions!$B$9)))</x:f>
        <x:v>99.74449931307457</x:v>
      </x:c>
      <x:c r="AD1799" s="52" t="n">
        <x:f>IF(OR(R1799="No",U1799*S1799=0),"",AA1799/(U1799*S1799))</x:f>
        <x:v>0.057852966366068306</x:v>
      </x:c>
      <x:c r="AE1799" s="50" t="str">
        <x:f>IF(R1799="No","No finance data",IF(AB1799&gt;=10%,"Severe",IF(AB1799&gt;=5%,"High",IF(AB1799&gt;=2%,"Moderate","Low"))))</x:f>
        <x:v>High</x:v>
      </x:c>
      <x:c r="AF1799" s="60" t="n">
        <x:v>42.504022</x:v>
      </x:c>
      <x:c r="AG1799" s="60" t="n">
        <x:v>-89.029285</x:v>
      </x:c>
      <x:c r="AH1799" s="44" t="str">
        <x:v>Undergraduate tuition-contribution proxy only; not an audited total institutional budget.</x:v>
      </x:c>
    </x:row>
    <x:row r="1800">
      <x:c r="A1800" s="16" t="n">
        <x:v>238430</x:v>
      </x:c>
      <x:c r="B1800" s="16" t="str">
        <x:v>Cardinal Stritch University</x:v>
      </x:c>
      <x:c r="C1800" s="16" t="str">
        <x:v>WI</x:v>
      </x:c>
      <x:c r="D1800" s="16" t="str">
        <x:v>Private nonprofit</x:v>
      </x:c>
      <x:c r="E1800" s="34" t="n">
        <x:v>1971</x:v>
      </x:c>
      <x:c r="F1800" s="21" t="n">
        <x:v>0.8891</x:v>
      </x:c>
      <x:c r="G1800" s="16" t="str">
        <x:v>Regional</x:v>
      </x:c>
      <x:c r="H1800" s="36" t="n">
        <x:f>IF(G1800="National",Assumptions!$B$11,IF(G1800="Statewide",Assumptions!$B$12,Assumptions!$B$13))</x:f>
        <x:v>0.85</x:v>
      </x:c>
      <x:c r="I1800" s="21" t="n">
        <x:v>-0.06510674082707546</x:v>
      </x:c>
      <x:c r="J1800" s="21" t="n">
        <x:v>-0.08396158215429106</x:v>
      </x:c>
      <x:c r="K1800" s="21" t="n">
        <x:v>-0.16038417845708974</x:v>
      </x:c>
      <x:c r="L1800" s="36" t="n">
        <x:f>IF(Assumptions!$B$4=2030,I1800,IF(Assumptions!$B$4=2035,J1800,K1800))</x:f>
        <x:v>-0.08396158215429106</x:v>
      </x:c>
      <x:c r="M1800" s="36" t="n">
        <x:f>Assumptions!$B$19</x:f>
        <x:v>-0.04739891965741583</x:v>
      </x:c>
      <x:c r="N1800" s="52" t="n">
        <x:f>H1800*L1800+(1-H1800)*M1800+O1800</x:f>
        <x:v>-0.07847718277975978</x:v>
      </x:c>
      <x:c r="O1800" s="36" t="n">
        <x:f>Assumptions!$B$10</x:f>
        <x:v>0</x:v>
      </x:c>
      <x:c r="P1800" s="54" t="n">
        <x:f>E1800*(1+N1800)</x:f>
        <x:v>1816.3214727410934</x:v>
      </x:c>
      <x:c r="Q1800" s="54" t="n">
        <x:f>P1800-E1800</x:f>
        <x:v>-154.67852725890657</x:v>
      </x:c>
      <x:c r="R1800" s="16" t="str">
        <x:v>Yes</x:v>
      </x:c>
      <x:c r="S1800" s="56" t="n">
        <x:v>15078</x:v>
      </x:c>
      <x:c r="T1800" s="56" t="n">
        <x:v>8756</x:v>
      </x:c>
      <x:c r="U1800" s="40" t="n">
        <x:f>E1800*Assumptions!$B$8</x:f>
        <x:v>1675.35</x:v>
      </x:c>
      <x:c r="V1800" s="40" t="n">
        <x:f>P1800*Assumptions!$B$8</x:f>
        <x:v>1543.8732518299294</x:v>
      </x:c>
      <x:c r="W1800" s="54" t="n">
        <x:f>V1800-U1800</x:f>
        <x:v>-131.47674817007055</x:v>
      </x:c>
      <x:c r="X1800" s="58" t="n">
        <x:f>IF(R1800="No","",W1800*S1800)</x:f>
        <x:v>-1982406.4089083239</x:v>
      </x:c>
      <x:c r="Y1800" s="58" t="n">
        <x:f>IF(R1800="No","",W1800*T1800*Assumptions!$B$9)</x:f>
        <x:v>-345363.1220931413</x:v>
      </x:c>
      <x:c r="Z1800" s="58" t="n">
        <x:f>IF(R1800="No","",X1800-Y1800)</x:f>
        <x:v>-1637043.2868151825</x:v>
      </x:c>
      <x:c r="AA1800" s="58" t="n">
        <x:f>IF(R1800="No","",MAX(0,-Z1800))</x:f>
        <x:v>1637043.2868151825</x:v>
      </x:c>
      <x:c r="AB1800" s="52" t="n">
        <x:f>IF(OR(R1800="No",U1800*S1800=0),"",AA1800/(U1800*S1800))</x:f>
        <x:v>0.06480535205115699</x:v>
      </x:c>
      <x:c r="AC1800" s="54" t="n">
        <x:f>IF(OR(R1800="No",S1800-T1800*Assumptions!$B$9&lt;=0),"",AA1800/(Assumptions!$B$8*(S1800-T1800*Assumptions!$B$9)))</x:f>
        <x:v>154.67852725890654</x:v>
      </x:c>
      <x:c r="AD1800" s="52" t="n">
        <x:f>IF(OR(R1800="No",U1800*S1800=0),"",AA1800/(U1800*S1800))</x:f>
        <x:v>0.06480535205115699</x:v>
      </x:c>
      <x:c r="AE1800" s="50" t="str">
        <x:f>IF(R1800="No","No finance data",IF(AB1800&gt;=10%,"Severe",IF(AB1800&gt;=5%,"High",IF(AB1800&gt;=2%,"Moderate","Low"))))</x:f>
        <x:v>High</x:v>
      </x:c>
      <x:c r="AF1800" s="60" t="n">
        <x:v>43.139752</x:v>
      </x:c>
      <x:c r="AG1800" s="60" t="n">
        <x:v>-87.909045</x:v>
      </x:c>
      <x:c r="AH1800" s="44" t="str">
        <x:v>Undergraduate tuition-contribution proxy only; not an audited total institutional budget.</x:v>
      </x:c>
    </x:row>
    <x:row r="1801">
      <x:c r="A1801" s="16" t="n">
        <x:v>238458</x:v>
      </x:c>
      <x:c r="B1801" s="16" t="str">
        <x:v>Carroll University</x:v>
      </x:c>
      <x:c r="C1801" s="16" t="str">
        <x:v>WI</x:v>
      </x:c>
      <x:c r="D1801" s="16" t="str">
        <x:v>Private nonprofit</x:v>
      </x:c>
      <x:c r="E1801" s="34" t="n">
        <x:v>2946</x:v>
      </x:c>
      <x:c r="F1801" s="21" t="n">
        <x:v>0.705</x:v>
      </x:c>
      <x:c r="G1801" s="16" t="str">
        <x:v>Regional</x:v>
      </x:c>
      <x:c r="H1801" s="36" t="n">
        <x:f>IF(G1801="National",Assumptions!$B$11,IF(G1801="Statewide",Assumptions!$B$12,Assumptions!$B$13))</x:f>
        <x:v>0.85</x:v>
      </x:c>
      <x:c r="I1801" s="21" t="n">
        <x:v>-0.06510674082707546</x:v>
      </x:c>
      <x:c r="J1801" s="21" t="n">
        <x:v>-0.08396158215429106</x:v>
      </x:c>
      <x:c r="K1801" s="21" t="n">
        <x:v>-0.16038417845708974</x:v>
      </x:c>
      <x:c r="L1801" s="36" t="n">
        <x:f>IF(Assumptions!$B$4=2030,I1801,IF(Assumptions!$B$4=2035,J1801,K1801))</x:f>
        <x:v>-0.08396158215429106</x:v>
      </x:c>
      <x:c r="M1801" s="36" t="n">
        <x:f>Assumptions!$B$19</x:f>
        <x:v>-0.04739891965741583</x:v>
      </x:c>
      <x:c r="N1801" s="52" t="n">
        <x:f>H1801*L1801+(1-H1801)*M1801+O1801</x:f>
        <x:v>-0.07847718277975978</x:v>
      </x:c>
      <x:c r="O1801" s="36" t="n">
        <x:f>Assumptions!$B$10</x:f>
        <x:v>0</x:v>
      </x:c>
      <x:c r="P1801" s="54" t="n">
        <x:f>E1801*(1+N1801)</x:f>
        <x:v>2714.8062195308275</x:v>
      </x:c>
      <x:c r="Q1801" s="54" t="n">
        <x:f>P1801-E1801</x:f>
        <x:v>-231.19378046917245</x:v>
      </x:c>
      <x:c r="R1801" s="16" t="str">
        <x:v>Yes</x:v>
      </x:c>
      <x:c r="S1801" s="56" t="n">
        <x:v>17001</x:v>
      </x:c>
      <x:c r="T1801" s="56" t="n">
        <x:v>7821</x:v>
      </x:c>
      <x:c r="U1801" s="40" t="n">
        <x:f>E1801*Assumptions!$B$8</x:f>
        <x:v>2504.1</x:v>
      </x:c>
      <x:c r="V1801" s="40" t="n">
        <x:f>P1801*Assumptions!$B$8</x:f>
        <x:v>2307.5852866012033</x:v>
      </x:c>
      <x:c r="W1801" s="54" t="n">
        <x:f>V1801-U1801</x:f>
        <x:v>-196.51471339879663</x:v>
      </x:c>
      <x:c r="X1801" s="58" t="n">
        <x:f>IF(R1801="No","",W1801*S1801)</x:f>
        <x:v>-3340946.6424929416</x:v>
      </x:c>
      <x:c r="Y1801" s="58" t="n">
        <x:f>IF(R1801="No","",W1801*T1801*Assumptions!$B$9)</x:f>
        <x:v>-461082.47204759653</x:v>
      </x:c>
      <x:c r="Z1801" s="58" t="n">
        <x:f>IF(R1801="No","",X1801-Y1801)</x:f>
        <x:v>-2879864.170445345</x:v>
      </x:c>
      <x:c r="AA1801" s="58" t="n">
        <x:f>IF(R1801="No","",MAX(0,-Z1801))</x:f>
        <x:v>2879864.170445345</x:v>
      </x:c>
      <x:c r="AB1801" s="52" t="n">
        <x:f>IF(OR(R1801="No",U1801*S1801=0),"",AA1801/(U1801*S1801))</x:f>
        <x:v>0.06764658375875222</x:v>
      </x:c>
      <x:c r="AC1801" s="54" t="n">
        <x:f>IF(OR(R1801="No",S1801-T1801*Assumptions!$B$9&lt;=0),"",AA1801/(Assumptions!$B$8*(S1801-T1801*Assumptions!$B$9)))</x:f>
        <x:v>231.19378046917248</x:v>
      </x:c>
      <x:c r="AD1801" s="52" t="n">
        <x:f>IF(OR(R1801="No",U1801*S1801=0),"",AA1801/(U1801*S1801))</x:f>
        <x:v>0.06764658375875222</x:v>
      </x:c>
      <x:c r="AE1801" s="50" t="str">
        <x:f>IF(R1801="No","No finance data",IF(AB1801&gt;=10%,"Severe",IF(AB1801&gt;=5%,"High",IF(AB1801&gt;=2%,"Moderate","Low"))))</x:f>
        <x:v>High</x:v>
      </x:c>
      <x:c r="AF1801" s="60" t="n">
        <x:v>43.004527</x:v>
      </x:c>
      <x:c r="AG1801" s="60" t="n">
        <x:v>-88.228114</x:v>
      </x:c>
      <x:c r="AH1801" s="44" t="str">
        <x:v>Undergraduate tuition-contribution proxy only; not an audited total institutional budget.</x:v>
      </x:c>
    </x:row>
    <x:row r="1802">
      <x:c r="A1802" s="16" t="n">
        <x:v>238476</x:v>
      </x:c>
      <x:c r="B1802" s="16" t="str">
        <x:v>Carthage College</x:v>
      </x:c>
      <x:c r="C1802" s="16" t="str">
        <x:v>WI</x:v>
      </x:c>
      <x:c r="D1802" s="16" t="str">
        <x:v>Private nonprofit</x:v>
      </x:c>
      <x:c r="E1802" s="34" t="n">
        <x:v>2862</x:v>
      </x:c>
      <x:c r="F1802" s="21" t="n">
        <x:v>0.7569</x:v>
      </x:c>
      <x:c r="G1802" s="16" t="str">
        <x:v>Regional</x:v>
      </x:c>
      <x:c r="H1802" s="36" t="n">
        <x:f>IF(G1802="National",Assumptions!$B$11,IF(G1802="Statewide",Assumptions!$B$12,Assumptions!$B$13))</x:f>
        <x:v>0.85</x:v>
      </x:c>
      <x:c r="I1802" s="21" t="n">
        <x:v>-0.06510674082707546</x:v>
      </x:c>
      <x:c r="J1802" s="21" t="n">
        <x:v>-0.08396158215429106</x:v>
      </x:c>
      <x:c r="K1802" s="21" t="n">
        <x:v>-0.16038417845708974</x:v>
      </x:c>
      <x:c r="L1802" s="36" t="n">
        <x:f>IF(Assumptions!$B$4=2030,I1802,IF(Assumptions!$B$4=2035,J1802,K1802))</x:f>
        <x:v>-0.08396158215429106</x:v>
      </x:c>
      <x:c r="M1802" s="36" t="n">
        <x:f>Assumptions!$B$19</x:f>
        <x:v>-0.04739891965741583</x:v>
      </x:c>
      <x:c r="N1802" s="52" t="n">
        <x:f>H1802*L1802+(1-H1802)*M1802+O1802</x:f>
        <x:v>-0.07847718277975978</x:v>
      </x:c>
      <x:c r="O1802" s="36" t="n">
        <x:f>Assumptions!$B$10</x:f>
        <x:v>0</x:v>
      </x:c>
      <x:c r="P1802" s="54" t="n">
        <x:f>E1802*(1+N1802)</x:f>
        <x:v>2637.3983028843277</x:v>
      </x:c>
      <x:c r="Q1802" s="54" t="n">
        <x:f>P1802-E1802</x:f>
        <x:v>-224.60169711567232</x:v>
      </x:c>
      <x:c r="R1802" s="16" t="str">
        <x:v>Yes</x:v>
      </x:c>
      <x:c r="S1802" s="56" t="n">
        <x:v>13619</x:v>
      </x:c>
      <x:c r="T1802" s="56" t="n">
        <x:v>9050</x:v>
      </x:c>
      <x:c r="U1802" s="40" t="n">
        <x:f>E1802*Assumptions!$B$8</x:f>
        <x:v>2432.7</x:v>
      </x:c>
      <x:c r="V1802" s="40" t="n">
        <x:f>P1802*Assumptions!$B$8</x:f>
        <x:v>2241.7885574516786</x:v>
      </x:c>
      <x:c r="W1802" s="54" t="n">
        <x:f>V1802-U1802</x:f>
        <x:v>-190.91144254832125</x:v>
      </x:c>
      <x:c r="X1802" s="58" t="n">
        <x:f>IF(R1802="No","",W1802*S1802)</x:f>
        <x:v>-2600022.936065587</x:v>
      </x:c>
      <x:c r="Y1802" s="58" t="n">
        <x:f>IF(R1802="No","",W1802*T1802*Assumptions!$B$9)</x:f>
        <x:v>-518324.5665186922</x:v>
      </x:c>
      <x:c r="Z1802" s="58" t="n">
        <x:f>IF(R1802="No","",X1802-Y1802)</x:f>
        <x:v>-2081698.369546895</x:v>
      </x:c>
      <x:c r="AA1802" s="58" t="n">
        <x:f>IF(R1802="No","",MAX(0,-Z1802))</x:f>
        <x:v>2081698.369546895</x:v>
      </x:c>
      <x:c r="AB1802" s="52" t="n">
        <x:f>IF(OR(R1802="No",U1802*S1802=0),"",AA1802/(U1802*S1802))</x:f>
        <x:v>0.06283245473459866</x:v>
      </x:c>
      <x:c r="AC1802" s="54" t="n">
        <x:f>IF(OR(R1802="No",S1802-T1802*Assumptions!$B$9&lt;=0),"",AA1802/(Assumptions!$B$8*(S1802-T1802*Assumptions!$B$9)))</x:f>
        <x:v>224.60169711567207</x:v>
      </x:c>
      <x:c r="AD1802" s="52" t="n">
        <x:f>IF(OR(R1802="No",U1802*S1802=0),"",AA1802/(U1802*S1802))</x:f>
        <x:v>0.06283245473459866</x:v>
      </x:c>
      <x:c r="AE1802" s="50" t="str">
        <x:f>IF(R1802="No","No finance data",IF(AB1802&gt;=10%,"Severe",IF(AB1802&gt;=5%,"High",IF(AB1802&gt;=2%,"Moderate","Low"))))</x:f>
        <x:v>High</x:v>
      </x:c>
      <x:c r="AF1802" s="60" t="n">
        <x:v>42.622969</x:v>
      </x:c>
      <x:c r="AG1802" s="60" t="n">
        <x:v>-87.820924</x:v>
      </x:c>
      <x:c r="AH1802" s="44" t="str">
        <x:v>Undergraduate tuition-contribution proxy only; not an audited total institutional budget.</x:v>
      </x:c>
    </x:row>
    <x:row r="1803">
      <x:c r="A1803" s="16" t="n">
        <x:v>238573</x:v>
      </x:c>
      <x:c r="B1803" s="16" t="str">
        <x:v>Columbia College of Nursing</x:v>
      </x:c>
      <x:c r="C1803" s="16" t="str">
        <x:v>WI</x:v>
      </x:c>
      <x:c r="D1803" s="16" t="str">
        <x:v>Private nonprofit</x:v>
      </x:c>
      <x:c r="E1803" s="34" t="n">
        <x:v>150</x:v>
      </x:c>
      <x:c r="F1803" s="21"/>
      <x:c r="G1803" s="16" t="str">
        <x:v>Regional</x:v>
      </x:c>
      <x:c r="H1803" s="36" t="n">
        <x:f>IF(G1803="National",Assumptions!$B$11,IF(G1803="Statewide",Assumptions!$B$12,Assumptions!$B$13))</x:f>
        <x:v>0.85</x:v>
      </x:c>
      <x:c r="I1803" s="21" t="n">
        <x:v>-0.06510674082707546</x:v>
      </x:c>
      <x:c r="J1803" s="21" t="n">
        <x:v>-0.08396158215429106</x:v>
      </x:c>
      <x:c r="K1803" s="21" t="n">
        <x:v>-0.16038417845708974</x:v>
      </x:c>
      <x:c r="L1803" s="36" t="n">
        <x:f>IF(Assumptions!$B$4=2030,I1803,IF(Assumptions!$B$4=2035,J1803,K1803))</x:f>
        <x:v>-0.08396158215429106</x:v>
      </x:c>
      <x:c r="M1803" s="36" t="n">
        <x:f>Assumptions!$B$19</x:f>
        <x:v>-0.04739891965741583</x:v>
      </x:c>
      <x:c r="N1803" s="52" t="n">
        <x:f>H1803*L1803+(1-H1803)*M1803+O1803</x:f>
        <x:v>-0.07847718277975978</x:v>
      </x:c>
      <x:c r="O1803" s="36" t="n">
        <x:f>Assumptions!$B$10</x:f>
        <x:v>0</x:v>
      </x:c>
      <x:c r="P1803" s="54" t="n">
        <x:f>E1803*(1+N1803)</x:f>
        <x:v>138.22842258303604</x:v>
      </x:c>
      <x:c r="Q1803" s="54" t="n">
        <x:f>P1803-E1803</x:f>
        <x:v>-11.771577416963964</x:v>
      </x:c>
      <x:c r="R1803" s="16" t="str">
        <x:v>No</x:v>
      </x:c>
      <x:c r="S1803" s="56"/>
      <x:c r="T1803" s="56"/>
      <x:c r="U1803" s="40" t="n">
        <x:f>E1803*Assumptions!$B$8</x:f>
        <x:v>127.5</x:v>
      </x:c>
      <x:c r="V1803" s="40" t="n">
        <x:f>P1803*Assumptions!$B$8</x:f>
        <x:v>117.49415919558062</x:v>
      </x:c>
      <x:c r="W1803" s="54" t="n">
        <x:f>V1803-U1803</x:f>
        <x:v>-10.005840804419378</x:v>
      </x:c>
      <x:c r="X1803" s="58" t="str">
        <x:f>IF(R1803="No","",W1803*S1803)</x:f>
      </x:c>
      <x:c r="Y1803" s="58" t="str">
        <x:f>IF(R1803="No","",W1803*T1803*Assumptions!$B$9)</x:f>
      </x:c>
      <x:c r="Z1803" s="58" t="str">
        <x:f>IF(R1803="No","",X1803-Y1803)</x:f>
      </x:c>
      <x:c r="AA1803" s="58" t="str">
        <x:f>IF(R1803="No","",MAX(0,-Z1803))</x:f>
      </x:c>
      <x:c r="AB1803" s="52" t="str">
        <x:f>IF(OR(R1803="No",U1803*S1803=0),"",AA1803/(U1803*S1803))</x:f>
      </x:c>
      <x:c r="AC1803" s="54" t="str">
        <x:f>IF(OR(R1803="No",S1803-T1803*Assumptions!$B$9&lt;=0),"",AA1803/(Assumptions!$B$8*(S1803-T1803*Assumptions!$B$9)))</x:f>
      </x:c>
      <x:c r="AD1803" s="52" t="str">
        <x:f>IF(OR(R1803="No",U1803*S1803=0),"",AA1803/(U1803*S1803))</x:f>
      </x:c>
      <x:c r="AE1803" s="50" t="str">
        <x:f>IF(R1803="No","No finance data",IF(AB1803&gt;=10%,"Severe",IF(AB1803&gt;=5%,"High",IF(AB1803&gt;=2%,"Moderate","Low"))))</x:f>
        <x:v>No finance data</x:v>
      </x:c>
      <x:c r="AF1803" s="60"/>
      <x:c r="AG1803" s="60"/>
      <x:c r="AH1803" s="44" t="str">
        <x:v>Undergraduate tuition-contribution proxy only; not an audited total institutional budget.</x:v>
      </x:c>
    </x:row>
    <x:row r="1804">
      <x:c r="A1804" s="16" t="n">
        <x:v>238616</x:v>
      </x:c>
      <x:c r="B1804" s="16" t="str">
        <x:v>Concordia University-Wisconsin</x:v>
      </x:c>
      <x:c r="C1804" s="16" t="str">
        <x:v>WI</x:v>
      </x:c>
      <x:c r="D1804" s="16" t="str">
        <x:v>Private nonprofit</x:v>
      </x:c>
      <x:c r="E1804" s="34" t="n">
        <x:v>4080</x:v>
      </x:c>
      <x:c r="F1804" s="21" t="n">
        <x:v>0.6859</x:v>
      </x:c>
      <x:c r="G1804" s="16" t="str">
        <x:v>Regional</x:v>
      </x:c>
      <x:c r="H1804" s="36" t="n">
        <x:f>IF(G1804="National",Assumptions!$B$11,IF(G1804="Statewide",Assumptions!$B$12,Assumptions!$B$13))</x:f>
        <x:v>0.85</x:v>
      </x:c>
      <x:c r="I1804" s="21" t="n">
        <x:v>-0.06510674082707546</x:v>
      </x:c>
      <x:c r="J1804" s="21" t="n">
        <x:v>-0.08396158215429106</x:v>
      </x:c>
      <x:c r="K1804" s="21" t="n">
        <x:v>-0.16038417845708974</x:v>
      </x:c>
      <x:c r="L1804" s="36" t="n">
        <x:f>IF(Assumptions!$B$4=2030,I1804,IF(Assumptions!$B$4=2035,J1804,K1804))</x:f>
        <x:v>-0.08396158215429106</x:v>
      </x:c>
      <x:c r="M1804" s="36" t="n">
        <x:f>Assumptions!$B$19</x:f>
        <x:v>-0.04739891965741583</x:v>
      </x:c>
      <x:c r="N1804" s="52" t="n">
        <x:f>H1804*L1804+(1-H1804)*M1804+O1804</x:f>
        <x:v>-0.07847718277975978</x:v>
      </x:c>
      <x:c r="O1804" s="36" t="n">
        <x:f>Assumptions!$B$10</x:f>
        <x:v>0</x:v>
      </x:c>
      <x:c r="P1804" s="54" t="n">
        <x:f>E1804*(1+N1804)</x:f>
        <x:v>3759.81309425858</x:v>
      </x:c>
      <x:c r="Q1804" s="54" t="n">
        <x:f>P1804-E1804</x:f>
        <x:v>-320.1869057414201</x:v>
      </x:c>
      <x:c r="R1804" s="16" t="str">
        <x:v>Yes</x:v>
      </x:c>
      <x:c r="S1804" s="56" t="n">
        <x:v>15259</x:v>
      </x:c>
      <x:c r="T1804" s="56" t="n">
        <x:v>9902</x:v>
      </x:c>
      <x:c r="U1804" s="40" t="n">
        <x:f>E1804*Assumptions!$B$8</x:f>
        <x:v>3468</x:v>
      </x:c>
      <x:c r="V1804" s="40" t="n">
        <x:f>P1804*Assumptions!$B$8</x:f>
        <x:v>3195.841130119793</x:v>
      </x:c>
      <x:c r="W1804" s="54" t="n">
        <x:f>V1804-U1804</x:f>
        <x:v>-272.158869880207</x:v>
      </x:c>
      <x:c r="X1804" s="58" t="n">
        <x:f>IF(R1804="No","",W1804*S1804)</x:f>
        <x:v>-4152872.195502079</x:v>
      </x:c>
      <x:c r="Y1804" s="58" t="n">
        <x:f>IF(R1804="No","",W1804*T1804*Assumptions!$B$9)</x:f>
        <x:v>-808475.138866143</x:v>
      </x:c>
      <x:c r="Z1804" s="58" t="n">
        <x:f>IF(R1804="No","",X1804-Y1804)</x:f>
        <x:v>-3344397.0566359363</x:v>
      </x:c>
      <x:c r="AA1804" s="58" t="n">
        <x:f>IF(R1804="No","",MAX(0,-Z1804))</x:f>
        <x:v>3344397.0566359363</x:v>
      </x:c>
      <x:c r="AB1804" s="52" t="n">
        <x:f>IF(OR(R1804="No",U1804*S1804=0),"",AA1804/(U1804*S1804))</x:f>
        <x:v>0.0631993585995675</x:v>
      </x:c>
      <x:c r="AC1804" s="54" t="n">
        <x:f>IF(OR(R1804="No",S1804-T1804*Assumptions!$B$9&lt;=0),"",AA1804/(Assumptions!$B$8*(S1804-T1804*Assumptions!$B$9)))</x:f>
        <x:v>320.18690574142005</x:v>
      </x:c>
      <x:c r="AD1804" s="52" t="n">
        <x:f>IF(OR(R1804="No",U1804*S1804=0),"",AA1804/(U1804*S1804))</x:f>
        <x:v>0.0631993585995675</x:v>
      </x:c>
      <x:c r="AE1804" s="50" t="str">
        <x:f>IF(R1804="No","No finance data",IF(AB1804&gt;=10%,"Severe",IF(AB1804&gt;=5%,"High",IF(AB1804&gt;=2%,"Moderate","Low"))))</x:f>
        <x:v>High</x:v>
      </x:c>
      <x:c r="AF1804" s="60" t="n">
        <x:v>43.253387</x:v>
      </x:c>
      <x:c r="AG1804" s="60" t="n">
        <x:v>-87.91552</x:v>
      </x:c>
      <x:c r="AH1804" s="44" t="str">
        <x:v>Undergraduate tuition-contribution proxy only; not an audited total institutional budget.</x:v>
      </x:c>
    </x:row>
    <x:row r="1805">
      <x:c r="A1805" s="16" t="n">
        <x:v>238661</x:v>
      </x:c>
      <x:c r="B1805" s="16" t="str">
        <x:v>Edgewood College</x:v>
      </x:c>
      <x:c r="C1805" s="16" t="str">
        <x:v>WI</x:v>
      </x:c>
      <x:c r="D1805" s="16" t="str">
        <x:v>Private nonprofit</x:v>
      </x:c>
      <x:c r="E1805" s="34" t="n">
        <x:v>1758</x:v>
      </x:c>
      <x:c r="F1805" s="21" t="n">
        <x:v>0.9549</x:v>
      </x:c>
      <x:c r="G1805" s="16" t="str">
        <x:v>Regional</x:v>
      </x:c>
      <x:c r="H1805" s="36" t="n">
        <x:f>IF(G1805="National",Assumptions!$B$11,IF(G1805="Statewide",Assumptions!$B$12,Assumptions!$B$13))</x:f>
        <x:v>0.85</x:v>
      </x:c>
      <x:c r="I1805" s="21" t="n">
        <x:v>-0.06510674082707546</x:v>
      </x:c>
      <x:c r="J1805" s="21" t="n">
        <x:v>-0.08396158215429106</x:v>
      </x:c>
      <x:c r="K1805" s="21" t="n">
        <x:v>-0.16038417845708974</x:v>
      </x:c>
      <x:c r="L1805" s="36" t="n">
        <x:f>IF(Assumptions!$B$4=2030,I1805,IF(Assumptions!$B$4=2035,J1805,K1805))</x:f>
        <x:v>-0.08396158215429106</x:v>
      </x:c>
      <x:c r="M1805" s="36" t="n">
        <x:f>Assumptions!$B$19</x:f>
        <x:v>-0.04739891965741583</x:v>
      </x:c>
      <x:c r="N1805" s="52" t="n">
        <x:f>H1805*L1805+(1-H1805)*M1805+O1805</x:f>
        <x:v>-0.07847718277975978</x:v>
      </x:c>
      <x:c r="O1805" s="36" t="n">
        <x:f>Assumptions!$B$10</x:f>
        <x:v>0</x:v>
      </x:c>
      <x:c r="P1805" s="54" t="n">
        <x:f>E1805*(1+N1805)</x:f>
        <x:v>1620.0371126731823</x:v>
      </x:c>
      <x:c r="Q1805" s="54" t="n">
        <x:f>P1805-E1805</x:f>
        <x:v>-137.96288732681774</x:v>
      </x:c>
      <x:c r="R1805" s="16" t="str">
        <x:v>Yes</x:v>
      </x:c>
      <x:c r="S1805" s="56" t="n">
        <x:v>19341</x:v>
      </x:c>
      <x:c r="T1805" s="56" t="n">
        <x:v>9396</x:v>
      </x:c>
      <x:c r="U1805" s="40" t="n">
        <x:f>E1805*Assumptions!$B$8</x:f>
        <x:v>1494.3</x:v>
      </x:c>
      <x:c r="V1805" s="40" t="n">
        <x:f>P1805*Assumptions!$B$8</x:f>
        <x:v>1377.031545772205</x:v>
      </x:c>
      <x:c r="W1805" s="54" t="n">
        <x:f>V1805-U1805</x:f>
        <x:v>-117.26845422779502</x:v>
      </x:c>
      <x:c r="X1805" s="58" t="n">
        <x:f>IF(R1805="No","",W1805*S1805)</x:f>
        <x:v>-2268089.173219783</x:v>
      </x:c>
      <x:c r="Y1805" s="58" t="n">
        <x:f>IF(R1805="No","",W1805*T1805*Assumptions!$B$9)</x:f>
        <x:v>-330556.31877730857</x:v>
      </x:c>
      <x:c r="Z1805" s="58" t="n">
        <x:f>IF(R1805="No","",X1805-Y1805)</x:f>
        <x:v>-1937532.8544424747</x:v>
      </x:c>
      <x:c r="AA1805" s="58" t="n">
        <x:f>IF(R1805="No","",MAX(0,-Z1805))</x:f>
        <x:v>1937532.8544424747</x:v>
      </x:c>
      <x:c r="AB1805" s="52" t="n">
        <x:f>IF(OR(R1805="No",U1805*S1805=0),"",AA1805/(U1805*S1805))</x:f>
        <x:v>0.06703974506611585</x:v>
      </x:c>
      <x:c r="AC1805" s="54" t="n">
        <x:f>IF(OR(R1805="No",S1805-T1805*Assumptions!$B$9&lt;=0),"",AA1805/(Assumptions!$B$8*(S1805-T1805*Assumptions!$B$9)))</x:f>
        <x:v>137.96288732681765</x:v>
      </x:c>
      <x:c r="AD1805" s="52" t="n">
        <x:f>IF(OR(R1805="No",U1805*S1805=0),"",AA1805/(U1805*S1805))</x:f>
        <x:v>0.06703974506611585</x:v>
      </x:c>
      <x:c r="AE1805" s="50" t="str">
        <x:f>IF(R1805="No","No finance data",IF(AB1805&gt;=10%,"Severe",IF(AB1805&gt;=5%,"High",IF(AB1805&gt;=2%,"Moderate","Low"))))</x:f>
        <x:v>High</x:v>
      </x:c>
      <x:c r="AF1805" s="60" t="n">
        <x:v>43.057059</x:v>
      </x:c>
      <x:c r="AG1805" s="60" t="n">
        <x:v>-89.422884</x:v>
      </x:c>
      <x:c r="AH1805" s="44" t="str">
        <x:v>Undergraduate tuition-contribution proxy only; not an audited total institutional budget.</x:v>
      </x:c>
    </x:row>
    <x:row r="1806">
      <x:c r="A1806" s="16" t="n">
        <x:v>238980</x:v>
      </x:c>
      <x:c r="B1806" s="16" t="str">
        <x:v>Lakeland University</x:v>
      </x:c>
      <x:c r="C1806" s="16" t="str">
        <x:v>WI</x:v>
      </x:c>
      <x:c r="D1806" s="16" t="str">
        <x:v>Private nonprofit</x:v>
      </x:c>
      <x:c r="E1806" s="34" t="n">
        <x:v>2196</x:v>
      </x:c>
      <x:c r="F1806" s="21" t="n">
        <x:v>0.8011</x:v>
      </x:c>
      <x:c r="G1806" s="16" t="str">
        <x:v>Regional</x:v>
      </x:c>
      <x:c r="H1806" s="36" t="n">
        <x:f>IF(G1806="National",Assumptions!$B$11,IF(G1806="Statewide",Assumptions!$B$12,Assumptions!$B$13))</x:f>
        <x:v>0.85</x:v>
      </x:c>
      <x:c r="I1806" s="21" t="n">
        <x:v>-0.06510674082707546</x:v>
      </x:c>
      <x:c r="J1806" s="21" t="n">
        <x:v>-0.08396158215429106</x:v>
      </x:c>
      <x:c r="K1806" s="21" t="n">
        <x:v>-0.16038417845708974</x:v>
      </x:c>
      <x:c r="L1806" s="36" t="n">
        <x:f>IF(Assumptions!$B$4=2030,I1806,IF(Assumptions!$B$4=2035,J1806,K1806))</x:f>
        <x:v>-0.08396158215429106</x:v>
      </x:c>
      <x:c r="M1806" s="36" t="n">
        <x:f>Assumptions!$B$19</x:f>
        <x:v>-0.04739891965741583</x:v>
      </x:c>
      <x:c r="N1806" s="52" t="n">
        <x:f>H1806*L1806+(1-H1806)*M1806+O1806</x:f>
        <x:v>-0.07847718277975978</x:v>
      </x:c>
      <x:c r="O1806" s="36" t="n">
        <x:f>Assumptions!$B$10</x:f>
        <x:v>0</x:v>
      </x:c>
      <x:c r="P1806" s="54" t="n">
        <x:f>E1806*(1+N1806)</x:f>
        <x:v>2023.6641066156476</x:v>
      </x:c>
      <x:c r="Q1806" s="54" t="n">
        <x:f>P1806-E1806</x:f>
        <x:v>-172.3358933843524</x:v>
      </x:c>
      <x:c r="R1806" s="16" t="str">
        <x:v>Yes</x:v>
      </x:c>
      <x:c r="S1806" s="56" t="n">
        <x:v>11695</x:v>
      </x:c>
      <x:c r="T1806" s="56" t="n">
        <x:v>5823</x:v>
      </x:c>
      <x:c r="U1806" s="40" t="n">
        <x:f>E1806*Assumptions!$B$8</x:f>
        <x:v>1866.6</x:v>
      </x:c>
      <x:c r="V1806" s="40" t="n">
        <x:f>P1806*Assumptions!$B$8</x:f>
        <x:v>1720.1144906233005</x:v>
      </x:c>
      <x:c r="W1806" s="54" t="n">
        <x:f>V1806-U1806</x:f>
        <x:v>-146.48550937669938</x:v>
      </x:c>
      <x:c r="X1806" s="58" t="n">
        <x:f>IF(R1806="No","",W1806*S1806)</x:f>
        <x:v>-1713148.0321604994</x:v>
      </x:c>
      <x:c r="Y1806" s="58" t="n">
        <x:f>IF(R1806="No","",W1806*T1806*Assumptions!$B$9)</x:f>
        <x:v>-255895.53633015614</x:v>
      </x:c>
      <x:c r="Z1806" s="58" t="n">
        <x:f>IF(R1806="No","",X1806-Y1806)</x:f>
        <x:v>-1457252.495830343</x:v>
      </x:c>
      <x:c r="AA1806" s="58" t="n">
        <x:f>IF(R1806="No","",MAX(0,-Z1806))</x:f>
        <x:v>1457252.495830343</x:v>
      </x:c>
      <x:c r="AB1806" s="52" t="n">
        <x:f>IF(OR(R1806="No",U1806*S1806=0),"",AA1806/(U1806*S1806))</x:f>
        <x:v>0.06675492620874965</x:v>
      </x:c>
      <x:c r="AC1806" s="54" t="n">
        <x:f>IF(OR(R1806="No",S1806-T1806*Assumptions!$B$9&lt;=0),"",AA1806/(Assumptions!$B$8*(S1806-T1806*Assumptions!$B$9)))</x:f>
        <x:v>172.3358933843522</x:v>
      </x:c>
      <x:c r="AD1806" s="52" t="n">
        <x:f>IF(OR(R1806="No",U1806*S1806=0),"",AA1806/(U1806*S1806))</x:f>
        <x:v>0.06675492620874965</x:v>
      </x:c>
      <x:c r="AE1806" s="50" t="str">
        <x:f>IF(R1806="No","No finance data",IF(AB1806&gt;=10%,"Severe",IF(AB1806&gt;=5%,"High",IF(AB1806&gt;=2%,"Moderate","Low"))))</x:f>
        <x:v>High</x:v>
      </x:c>
      <x:c r="AF1806" s="60" t="n">
        <x:v>43.841573</x:v>
      </x:c>
      <x:c r="AG1806" s="60" t="n">
        <x:v>-87.883414</x:v>
      </x:c>
      <x:c r="AH1806" s="44" t="str">
        <x:v>Undergraduate tuition-contribution proxy only; not an audited total institutional budget.</x:v>
      </x:c>
    </x:row>
    <x:row r="1807">
      <x:c r="A1807" s="16" t="n">
        <x:v>239017</x:v>
      </x:c>
      <x:c r="B1807" s="16" t="str">
        <x:v>Lawrence University</x:v>
      </x:c>
      <x:c r="C1807" s="16" t="str">
        <x:v>WI</x:v>
      </x:c>
      <x:c r="D1807" s="16" t="str">
        <x:v>Private nonprofit</x:v>
      </x:c>
      <x:c r="E1807" s="34" t="n">
        <x:v>1527</x:v>
      </x:c>
      <x:c r="F1807" s="21" t="n">
        <x:v>0.7496</x:v>
      </x:c>
      <x:c r="G1807" s="16" t="str">
        <x:v>Regional</x:v>
      </x:c>
      <x:c r="H1807" s="36" t="n">
        <x:f>IF(G1807="National",Assumptions!$B$11,IF(G1807="Statewide",Assumptions!$B$12,Assumptions!$B$13))</x:f>
        <x:v>0.85</x:v>
      </x:c>
      <x:c r="I1807" s="21" t="n">
        <x:v>-0.06510674082707546</x:v>
      </x:c>
      <x:c r="J1807" s="21" t="n">
        <x:v>-0.08396158215429106</x:v>
      </x:c>
      <x:c r="K1807" s="21" t="n">
        <x:v>-0.16038417845708974</x:v>
      </x:c>
      <x:c r="L1807" s="36" t="n">
        <x:f>IF(Assumptions!$B$4=2030,I1807,IF(Assumptions!$B$4=2035,J1807,K1807))</x:f>
        <x:v>-0.08396158215429106</x:v>
      </x:c>
      <x:c r="M1807" s="36" t="n">
        <x:f>Assumptions!$B$19</x:f>
        <x:v>-0.04739891965741583</x:v>
      </x:c>
      <x:c r="N1807" s="52" t="n">
        <x:f>H1807*L1807+(1-H1807)*M1807+O1807</x:f>
        <x:v>-0.07847718277975978</x:v>
      </x:c>
      <x:c r="O1807" s="36" t="n">
        <x:f>Assumptions!$B$10</x:f>
        <x:v>0</x:v>
      </x:c>
      <x:c r="P1807" s="54" t="n">
        <x:f>E1807*(1+N1807)</x:f>
        <x:v>1407.1653418953067</x:v>
      </x:c>
      <x:c r="Q1807" s="54" t="n">
        <x:f>P1807-E1807</x:f>
        <x:v>-119.83465810469329</x:v>
      </x:c>
      <x:c r="R1807" s="16" t="str">
        <x:v>Yes</x:v>
      </x:c>
      <x:c r="S1807" s="56" t="n">
        <x:v>17247</x:v>
      </x:c>
      <x:c r="T1807" s="56" t="n">
        <x:v>16712</x:v>
      </x:c>
      <x:c r="U1807" s="40" t="n">
        <x:f>E1807*Assumptions!$B$8</x:f>
        <x:v>1297.95</x:v>
      </x:c>
      <x:c r="V1807" s="40" t="n">
        <x:f>P1807*Assumptions!$B$8</x:f>
        <x:v>1196.0905406110107</x:v>
      </x:c>
      <x:c r="W1807" s="54" t="n">
        <x:f>V1807-U1807</x:f>
        <x:v>-101.85945938898931</x:v>
      </x:c>
      <x:c r="X1807" s="58" t="n">
        <x:f>IF(R1807="No","",W1807*S1807)</x:f>
        <x:v>-1756770.0960818985</x:v>
      </x:c>
      <x:c r="Y1807" s="58" t="n">
        <x:f>IF(R1807="No","",W1807*T1807*Assumptions!$B$9)</x:f>
        <x:v>-510682.5855926367</x:v>
      </x:c>
      <x:c r="Z1807" s="58" t="n">
        <x:f>IF(R1807="No","",X1807-Y1807)</x:f>
        <x:v>-1246087.5104892617</x:v>
      </x:c>
      <x:c r="AA1807" s="58" t="n">
        <x:f>IF(R1807="No","",MAX(0,-Z1807))</x:f>
        <x:v>1246087.5104892617</x:v>
      </x:c>
      <x:c r="AB1807" s="52" t="n">
        <x:f>IF(OR(R1807="No",U1807*S1807=0),"",AA1807/(U1807*S1807))</x:f>
        <x:v>0.05566433396056787</x:v>
      </x:c>
      <x:c r="AC1807" s="54" t="n">
        <x:f>IF(OR(R1807="No",S1807-T1807*Assumptions!$B$9&lt;=0),"",AA1807/(Assumptions!$B$8*(S1807-T1807*Assumptions!$B$9)))</x:f>
        <x:v>119.83465810469328</x:v>
      </x:c>
      <x:c r="AD1807" s="52" t="n">
        <x:f>IF(OR(R1807="No",U1807*S1807=0),"",AA1807/(U1807*S1807))</x:f>
        <x:v>0.05566433396056787</x:v>
      </x:c>
      <x:c r="AE1807" s="50" t="str">
        <x:f>IF(R1807="No","No finance data",IF(AB1807&gt;=10%,"Severe",IF(AB1807&gt;=5%,"High",IF(AB1807&gt;=2%,"Moderate","Low"))))</x:f>
        <x:v>High</x:v>
      </x:c>
      <x:c r="AF1807" s="60" t="n">
        <x:v>44.261323</x:v>
      </x:c>
      <x:c r="AG1807" s="60" t="n">
        <x:v>-88.397822</x:v>
      </x:c>
      <x:c r="AH1807" s="44" t="str">
        <x:v>Undergraduate tuition-contribution proxy only; not an audited total institutional budget.</x:v>
      </x:c>
    </x:row>
    <x:row r="1808">
      <x:c r="A1808" s="16" t="n">
        <x:v>239071</x:v>
      </x:c>
      <x:c r="B1808" s="16" t="str">
        <x:v>Maranatha Baptist University</x:v>
      </x:c>
      <x:c r="C1808" s="16" t="str">
        <x:v>WI</x:v>
      </x:c>
      <x:c r="D1808" s="16" t="str">
        <x:v>Private nonprofit</x:v>
      </x:c>
      <x:c r="E1808" s="34" t="n">
        <x:v>758</x:v>
      </x:c>
      <x:c r="F1808" s="21" t="n">
        <x:v>0.803</x:v>
      </x:c>
      <x:c r="G1808" s="16" t="str">
        <x:v>Regional</x:v>
      </x:c>
      <x:c r="H1808" s="36" t="n">
        <x:f>IF(G1808="National",Assumptions!$B$11,IF(G1808="Statewide",Assumptions!$B$12,Assumptions!$B$13))</x:f>
        <x:v>0.85</x:v>
      </x:c>
      <x:c r="I1808" s="21" t="n">
        <x:v>-0.06510674082707546</x:v>
      </x:c>
      <x:c r="J1808" s="21" t="n">
        <x:v>-0.08396158215429106</x:v>
      </x:c>
      <x:c r="K1808" s="21" t="n">
        <x:v>-0.16038417845708974</x:v>
      </x:c>
      <x:c r="L1808" s="36" t="n">
        <x:f>IF(Assumptions!$B$4=2030,I1808,IF(Assumptions!$B$4=2035,J1808,K1808))</x:f>
        <x:v>-0.08396158215429106</x:v>
      </x:c>
      <x:c r="M1808" s="36" t="n">
        <x:f>Assumptions!$B$19</x:f>
        <x:v>-0.04739891965741583</x:v>
      </x:c>
      <x:c r="N1808" s="52" t="n">
        <x:f>H1808*L1808+(1-H1808)*M1808+O1808</x:f>
        <x:v>-0.07847718277975978</x:v>
      </x:c>
      <x:c r="O1808" s="36" t="n">
        <x:f>Assumptions!$B$10</x:f>
        <x:v>0</x:v>
      </x:c>
      <x:c r="P1808" s="54" t="n">
        <x:f>E1808*(1+N1808)</x:f>
        <x:v>698.5142954529421</x:v>
      </x:c>
      <x:c r="Q1808" s="54" t="n">
        <x:f>P1808-E1808</x:f>
        <x:v>-59.485704547057935</x:v>
      </x:c>
      <x:c r="R1808" s="16" t="str">
        <x:v>Yes</x:v>
      </x:c>
      <x:c r="S1808" s="56" t="n">
        <x:v>11895</x:v>
      </x:c>
      <x:c r="T1808" s="56" t="n">
        <x:v>7729</x:v>
      </x:c>
      <x:c r="U1808" s="40" t="n">
        <x:f>E1808*Assumptions!$B$8</x:f>
        <x:v>644.3</x:v>
      </x:c>
      <x:c r="V1808" s="40" t="n">
        <x:f>P1808*Assumptions!$B$8</x:f>
        <x:v>593.7371511350008</x:v>
      </x:c>
      <x:c r="W1808" s="54" t="n">
        <x:f>V1808-U1808</x:f>
        <x:v>-50.56284886499918</x:v>
      </x:c>
      <x:c r="X1808" s="58" t="n">
        <x:f>IF(R1808="No","",W1808*S1808)</x:f>
        <x:v>-601445.0872491653</x:v>
      </x:c>
      <x:c r="Y1808" s="58" t="n">
        <x:f>IF(R1808="No","",W1808*T1808*Assumptions!$B$9)</x:f>
        <x:v>-117240.0776632736</x:v>
      </x:c>
      <x:c r="Z1808" s="58" t="n">
        <x:f>IF(R1808="No","",X1808-Y1808)</x:f>
        <x:v>-484205.0095858917</x:v>
      </x:c>
      <x:c r="AA1808" s="58" t="n">
        <x:f>IF(R1808="No","",MAX(0,-Z1808))</x:f>
        <x:v>484205.0095858917</x:v>
      </x:c>
      <x:c r="AB1808" s="52" t="n">
        <x:f>IF(OR(R1808="No",U1808*S1808=0),"",AA1808/(U1808*S1808))</x:f>
        <x:v>0.06317957506967743</x:v>
      </x:c>
      <x:c r="AC1808" s="54" t="n">
        <x:f>IF(OR(R1808="No",S1808-T1808*Assumptions!$B$9&lt;=0),"",AA1808/(Assumptions!$B$8*(S1808-T1808*Assumptions!$B$9)))</x:f>
        <x:v>59.485704547057864</x:v>
      </x:c>
      <x:c r="AD1808" s="52" t="n">
        <x:f>IF(OR(R1808="No",U1808*S1808=0),"",AA1808/(U1808*S1808))</x:f>
        <x:v>0.06317957506967743</x:v>
      </x:c>
      <x:c r="AE1808" s="50" t="str">
        <x:f>IF(R1808="No","No finance data",IF(AB1808&gt;=10%,"Severe",IF(AB1808&gt;=5%,"High",IF(AB1808&gt;=2%,"Moderate","Low"))))</x:f>
        <x:v>High</x:v>
      </x:c>
      <x:c r="AF1808" s="60" t="n">
        <x:v>43.195013</x:v>
      </x:c>
      <x:c r="AG1808" s="60" t="n">
        <x:v>-88.737016</x:v>
      </x:c>
      <x:c r="AH1808" s="44" t="str">
        <x:v>Undergraduate tuition-contribution proxy only; not an audited total institutional budget.</x:v>
      </x:c>
    </x:row>
    <x:row r="1809">
      <x:c r="A1809" s="16" t="n">
        <x:v>239080</x:v>
      </x:c>
      <x:c r="B1809" s="16" t="str">
        <x:v>Marian University</x:v>
      </x:c>
      <x:c r="C1809" s="16" t="str">
        <x:v>WI</x:v>
      </x:c>
      <x:c r="D1809" s="16" t="str">
        <x:v>Private nonprofit</x:v>
      </x:c>
      <x:c r="E1809" s="34" t="n">
        <x:v>1538</x:v>
      </x:c>
      <x:c r="F1809" s="21" t="n">
        <x:v>0.7627</x:v>
      </x:c>
      <x:c r="G1809" s="16" t="str">
        <x:v>Regional</x:v>
      </x:c>
      <x:c r="H1809" s="36" t="n">
        <x:f>IF(G1809="National",Assumptions!$B$11,IF(G1809="Statewide",Assumptions!$B$12,Assumptions!$B$13))</x:f>
        <x:v>0.85</x:v>
      </x:c>
      <x:c r="I1809" s="21" t="n">
        <x:v>-0.06510674082707546</x:v>
      </x:c>
      <x:c r="J1809" s="21" t="n">
        <x:v>-0.08396158215429106</x:v>
      </x:c>
      <x:c r="K1809" s="21" t="n">
        <x:v>-0.16038417845708974</x:v>
      </x:c>
      <x:c r="L1809" s="36" t="n">
        <x:f>IF(Assumptions!$B$4=2030,I1809,IF(Assumptions!$B$4=2035,J1809,K1809))</x:f>
        <x:v>-0.08396158215429106</x:v>
      </x:c>
      <x:c r="M1809" s="36" t="n">
        <x:f>Assumptions!$B$19</x:f>
        <x:v>-0.04739891965741583</x:v>
      </x:c>
      <x:c r="N1809" s="52" t="n">
        <x:f>H1809*L1809+(1-H1809)*M1809+O1809</x:f>
        <x:v>-0.07847718277975978</x:v>
      </x:c>
      <x:c r="O1809" s="36" t="n">
        <x:f>Assumptions!$B$10</x:f>
        <x:v>0</x:v>
      </x:c>
      <x:c r="P1809" s="54" t="n">
        <x:f>E1809*(1+N1809)</x:f>
        <x:v>1417.3020928847295</x:v>
      </x:c>
      <x:c r="Q1809" s="54" t="n">
        <x:f>P1809-E1809</x:f>
        <x:v>-120.69790711527048</x:v>
      </x:c>
      <x:c r="R1809" s="16" t="str">
        <x:v>Yes</x:v>
      </x:c>
      <x:c r="S1809" s="56" t="n">
        <x:v>14135</x:v>
      </x:c>
      <x:c r="T1809" s="56" t="n">
        <x:v>5052</x:v>
      </x:c>
      <x:c r="U1809" s="40" t="n">
        <x:f>E1809*Assumptions!$B$8</x:f>
        <x:v>1307.3</x:v>
      </x:c>
      <x:c r="V1809" s="40" t="n">
        <x:f>P1809*Assumptions!$B$8</x:f>
        <x:v>1204.7067789520202</x:v>
      </x:c>
      <x:c r="W1809" s="54" t="n">
        <x:f>V1809-U1809</x:f>
        <x:v>-102.5932210479798</x:v>
      </x:c>
      <x:c r="X1809" s="58" t="n">
        <x:f>IF(R1809="No","",W1809*S1809)</x:f>
        <x:v>-1450155.1795131944</x:v>
      </x:c>
      <x:c r="Y1809" s="58" t="n">
        <x:f>IF(R1809="No","",W1809*T1809*Assumptions!$B$9)</x:f>
        <x:v>-155490.28582031818</x:v>
      </x:c>
      <x:c r="Z1809" s="58" t="n">
        <x:f>IF(R1809="No","",X1809-Y1809)</x:f>
        <x:v>-1294664.8936928762</x:v>
      </x:c>
      <x:c r="AA1809" s="58" t="n">
        <x:f>IF(R1809="No","",MAX(0,-Z1809))</x:f>
        <x:v>1294664.8936928762</x:v>
      </x:c>
      <x:c r="AB1809" s="52" t="n">
        <x:f>IF(OR(R1809="No",U1809*S1809=0),"",AA1809/(U1809*S1809))</x:f>
        <x:v>0.07006260773759455</x:v>
      </x:c>
      <x:c r="AC1809" s="54" t="n">
        <x:f>IF(OR(R1809="No",S1809-T1809*Assumptions!$B$9&lt;=0),"",AA1809/(Assumptions!$B$8*(S1809-T1809*Assumptions!$B$9)))</x:f>
        <x:v>120.69790711527035</x:v>
      </x:c>
      <x:c r="AD1809" s="52" t="n">
        <x:f>IF(OR(R1809="No",U1809*S1809=0),"",AA1809/(U1809*S1809))</x:f>
        <x:v>0.07006260773759455</x:v>
      </x:c>
      <x:c r="AE1809" s="50" t="str">
        <x:f>IF(R1809="No","No finance data",IF(AB1809&gt;=10%,"Severe",IF(AB1809&gt;=5%,"High",IF(AB1809&gt;=2%,"Moderate","Low"))))</x:f>
        <x:v>High</x:v>
      </x:c>
      <x:c r="AF1809" s="60" t="n">
        <x:v>43.777411</x:v>
      </x:c>
      <x:c r="AG1809" s="60" t="n">
        <x:v>-88.420638</x:v>
      </x:c>
      <x:c r="AH1809" s="44" t="str">
        <x:v>Undergraduate tuition-contribution proxy only; not an audited total institutional budget.</x:v>
      </x:c>
    </x:row>
    <x:row r="1810">
      <x:c r="A1810" s="16" t="n">
        <x:v>239105</x:v>
      </x:c>
      <x:c r="B1810" s="16" t="str">
        <x:v>Marquette University</x:v>
      </x:c>
      <x:c r="C1810" s="16" t="str">
        <x:v>WI</x:v>
      </x:c>
      <x:c r="D1810" s="16" t="str">
        <x:v>Private nonprofit</x:v>
      </x:c>
      <x:c r="E1810" s="34" t="n">
        <x:v>8143</x:v>
      </x:c>
      <x:c r="F1810" s="21" t="n">
        <x:v>0.8626</x:v>
      </x:c>
      <x:c r="G1810" s="16" t="str">
        <x:v>Statewide</x:v>
      </x:c>
      <x:c r="H1810" s="36" t="n">
        <x:f>IF(G1810="National",Assumptions!$B$11,IF(G1810="Statewide",Assumptions!$B$12,Assumptions!$B$13))</x:f>
        <x:v>0.6</x:v>
      </x:c>
      <x:c r="I1810" s="21" t="n">
        <x:v>-0.06510674082707546</x:v>
      </x:c>
      <x:c r="J1810" s="21" t="n">
        <x:v>-0.08396158215429106</x:v>
      </x:c>
      <x:c r="K1810" s="21" t="n">
        <x:v>-0.16038417845708974</x:v>
      </x:c>
      <x:c r="L1810" s="36" t="n">
        <x:f>IF(Assumptions!$B$4=2030,I1810,IF(Assumptions!$B$4=2035,J1810,K1810))</x:f>
        <x:v>-0.08396158215429106</x:v>
      </x:c>
      <x:c r="M1810" s="36" t="n">
        <x:f>Assumptions!$B$19</x:f>
        <x:v>-0.04739891965741583</x:v>
      </x:c>
      <x:c r="N1810" s="52" t="n">
        <x:f>H1810*L1810+(1-H1810)*M1810+O1810</x:f>
        <x:v>-0.06933651715554097</x:v>
      </x:c>
      <x:c r="O1810" s="36" t="n">
        <x:f>Assumptions!$B$10</x:f>
        <x:v>0</x:v>
      </x:c>
      <x:c r="P1810" s="54" t="n">
        <x:f>E1810*(1+N1810)</x:f>
        <x:v>7578.392740802429</x:v>
      </x:c>
      <x:c r="Q1810" s="54" t="n">
        <x:f>P1810-E1810</x:f>
        <x:v>-564.6072591975708</x:v>
      </x:c>
      <x:c r="R1810" s="16" t="str">
        <x:v>Yes</x:v>
      </x:c>
      <x:c r="S1810" s="56" t="n">
        <x:v>23610</x:v>
      </x:c>
      <x:c r="T1810" s="56" t="n">
        <x:v>12956</x:v>
      </x:c>
      <x:c r="U1810" s="40" t="n">
        <x:f>E1810*Assumptions!$B$8</x:f>
        <x:v>6921.55</x:v>
      </x:c>
      <x:c r="V1810" s="40" t="n">
        <x:f>P1810*Assumptions!$B$8</x:f>
        <x:v>6441.633829682065</x:v>
      </x:c>
      <x:c r="W1810" s="54" t="n">
        <x:f>V1810-U1810</x:f>
        <x:v>-479.9161703179352</x:v>
      </x:c>
      <x:c r="X1810" s="58" t="n">
        <x:f>IF(R1810="No","",W1810*S1810)</x:f>
        <x:v>-11330820.78120645</x:v>
      </x:c>
      <x:c r="Y1810" s="58" t="n">
        <x:f>IF(R1810="No","",W1810*T1810*Assumptions!$B$9)</x:f>
        <x:v>-1865338.1707917505</x:v>
      </x:c>
      <x:c r="Z1810" s="58" t="n">
        <x:f>IF(R1810="No","",X1810-Y1810)</x:f>
        <x:v>-9465482.610414699</x:v>
      </x:c>
      <x:c r="AA1810" s="58" t="n">
        <x:f>IF(R1810="No","",MAX(0,-Z1810))</x:f>
        <x:v>9465482.610414699</x:v>
      </x:c>
      <x:c r="AB1810" s="52" t="n">
        <x:f>IF(OR(R1810="No",U1810*S1810=0),"",AA1810/(U1810*S1810))</x:f>
        <x:v>0.057921982006021486</x:v>
      </x:c>
      <x:c r="AC1810" s="54" t="n">
        <x:f>IF(OR(R1810="No",S1810-T1810*Assumptions!$B$9&lt;=0),"",AA1810/(Assumptions!$B$8*(S1810-T1810*Assumptions!$B$9)))</x:f>
        <x:v>564.6072591975708</x:v>
      </x:c>
      <x:c r="AD1810" s="52" t="n">
        <x:f>IF(OR(R1810="No",U1810*S1810=0),"",AA1810/(U1810*S1810))</x:f>
        <x:v>0.057921982006021486</x:v>
      </x:c>
      <x:c r="AE1810" s="50" t="str">
        <x:f>IF(R1810="No","No finance data",IF(AB1810&gt;=10%,"Severe",IF(AB1810&gt;=5%,"High",IF(AB1810&gt;=2%,"Moderate","Low"))))</x:f>
        <x:v>High</x:v>
      </x:c>
      <x:c r="AF1810" s="60" t="n">
        <x:v>43.03903</x:v>
      </x:c>
      <x:c r="AG1810" s="60" t="n">
        <x:v>-87.927961</x:v>
      </x:c>
      <x:c r="AH1810" s="44" t="str">
        <x:v>Undergraduate tuition-contribution proxy only; not an audited total institutional budget.</x:v>
      </x:c>
    </x:row>
    <x:row r="1811">
      <x:c r="A1811" s="16" t="n">
        <x:v>239309</x:v>
      </x:c>
      <x:c r="B1811" s="16" t="str">
        <x:v>Milwaukee Institute of Art &amp; Design</x:v>
      </x:c>
      <x:c r="C1811" s="16" t="str">
        <x:v>WI</x:v>
      </x:c>
      <x:c r="D1811" s="16" t="str">
        <x:v>Private nonprofit</x:v>
      </x:c>
      <x:c r="E1811" s="34" t="n">
        <x:v>624</x:v>
      </x:c>
      <x:c r="F1811" s="21" t="n">
        <x:v>0.6827</x:v>
      </x:c>
      <x:c r="G1811" s="16" t="str">
        <x:v>Regional</x:v>
      </x:c>
      <x:c r="H1811" s="36" t="n">
        <x:f>IF(G1811="National",Assumptions!$B$11,IF(G1811="Statewide",Assumptions!$B$12,Assumptions!$B$13))</x:f>
        <x:v>0.85</x:v>
      </x:c>
      <x:c r="I1811" s="21" t="n">
        <x:v>-0.06510674082707546</x:v>
      </x:c>
      <x:c r="J1811" s="21" t="n">
        <x:v>-0.08396158215429106</x:v>
      </x:c>
      <x:c r="K1811" s="21" t="n">
        <x:v>-0.16038417845708974</x:v>
      </x:c>
      <x:c r="L1811" s="36" t="n">
        <x:f>IF(Assumptions!$B$4=2030,I1811,IF(Assumptions!$B$4=2035,J1811,K1811))</x:f>
        <x:v>-0.08396158215429106</x:v>
      </x:c>
      <x:c r="M1811" s="36" t="n">
        <x:f>Assumptions!$B$19</x:f>
        <x:v>-0.04739891965741583</x:v>
      </x:c>
      <x:c r="N1811" s="52" t="n">
        <x:f>H1811*L1811+(1-H1811)*M1811+O1811</x:f>
        <x:v>-0.07847718277975978</x:v>
      </x:c>
      <x:c r="O1811" s="36" t="n">
        <x:f>Assumptions!$B$10</x:f>
        <x:v>0</x:v>
      </x:c>
      <x:c r="P1811" s="54" t="n">
        <x:f>E1811*(1+N1811)</x:f>
        <x:v>575.0302379454299</x:v>
      </x:c>
      <x:c r="Q1811" s="54" t="n">
        <x:f>P1811-E1811</x:f>
        <x:v>-48.96976205457008</x:v>
      </x:c>
      <x:c r="R1811" s="16" t="str">
        <x:v>Yes</x:v>
      </x:c>
      <x:c r="S1811" s="56" t="n">
        <x:v>20180</x:v>
      </x:c>
      <x:c r="T1811" s="56" t="n">
        <x:v>8734</x:v>
      </x:c>
      <x:c r="U1811" s="40" t="n">
        <x:f>E1811*Assumptions!$B$8</x:f>
        <x:v>530.4</x:v>
      </x:c>
      <x:c r="V1811" s="40" t="n">
        <x:f>P1811*Assumptions!$B$8</x:f>
        <x:v>488.7757022536154</x:v>
      </x:c>
      <x:c r="W1811" s="54" t="n">
        <x:f>V1811-U1811</x:f>
        <x:v>-41.62429774638457</x:v>
      </x:c>
      <x:c r="X1811" s="58" t="n">
        <x:f>IF(R1811="No","",W1811*S1811)</x:f>
        <x:v>-839978.3285220406</x:v>
      </x:c>
      <x:c r="Y1811" s="58" t="n">
        <x:f>IF(R1811="No","",W1811*T1811*Assumptions!$B$9)</x:f>
        <x:v>-109063.98495507684</x:v>
      </x:c>
      <x:c r="Z1811" s="58" t="n">
        <x:f>IF(R1811="No","",X1811-Y1811)</x:f>
        <x:v>-730914.3435669638</x:v>
      </x:c>
      <x:c r="AA1811" s="58" t="n">
        <x:f>IF(R1811="No","",MAX(0,-Z1811))</x:f>
        <x:v>730914.3435669638</x:v>
      </x:c>
      <x:c r="AB1811" s="52" t="n">
        <x:f>IF(OR(R1811="No",U1811*S1811=0),"",AA1811/(U1811*S1811))</x:f>
        <x:v>0.0682875933684849</x:v>
      </x:c>
      <x:c r="AC1811" s="54" t="n">
        <x:f>IF(OR(R1811="No",S1811-T1811*Assumptions!$B$9&lt;=0),"",AA1811/(Assumptions!$B$8*(S1811-T1811*Assumptions!$B$9)))</x:f>
        <x:v>48.96976205457009</x:v>
      </x:c>
      <x:c r="AD1811" s="52" t="n">
        <x:f>IF(OR(R1811="No",U1811*S1811=0),"",AA1811/(U1811*S1811))</x:f>
        <x:v>0.0682875933684849</x:v>
      </x:c>
      <x:c r="AE1811" s="50" t="str">
        <x:f>IF(R1811="No","No finance data",IF(AB1811&gt;=10%,"Severe",IF(AB1811&gt;=5%,"High",IF(AB1811&gt;=2%,"Moderate","Low"))))</x:f>
        <x:v>High</x:v>
      </x:c>
      <x:c r="AF1811" s="60" t="n">
        <x:v>43.030917</x:v>
      </x:c>
      <x:c r="AG1811" s="60" t="n">
        <x:v>-87.907925</x:v>
      </x:c>
      <x:c r="AH1811" s="44" t="str">
        <x:v>Undergraduate tuition-contribution proxy only; not an audited total institutional budget.</x:v>
      </x:c>
    </x:row>
    <x:row r="1812">
      <x:c r="A1812" s="16" t="n">
        <x:v>239318</x:v>
      </x:c>
      <x:c r="B1812" s="16" t="str">
        <x:v>Milwaukee School of Engineering</x:v>
      </x:c>
      <x:c r="C1812" s="16" t="str">
        <x:v>WI</x:v>
      </x:c>
      <x:c r="D1812" s="16" t="str">
        <x:v>Private nonprofit</x:v>
      </x:c>
      <x:c r="E1812" s="34" t="n">
        <x:v>2668</x:v>
      </x:c>
      <x:c r="F1812" s="21" t="n">
        <x:v>0.6672</x:v>
      </x:c>
      <x:c r="G1812" s="16" t="str">
        <x:v>Regional</x:v>
      </x:c>
      <x:c r="H1812" s="36" t="n">
        <x:f>IF(G1812="National",Assumptions!$B$11,IF(G1812="Statewide",Assumptions!$B$12,Assumptions!$B$13))</x:f>
        <x:v>0.85</x:v>
      </x:c>
      <x:c r="I1812" s="21" t="n">
        <x:v>-0.06510674082707546</x:v>
      </x:c>
      <x:c r="J1812" s="21" t="n">
        <x:v>-0.08396158215429106</x:v>
      </x:c>
      <x:c r="K1812" s="21" t="n">
        <x:v>-0.16038417845708974</x:v>
      </x:c>
      <x:c r="L1812" s="36" t="n">
        <x:f>IF(Assumptions!$B$4=2030,I1812,IF(Assumptions!$B$4=2035,J1812,K1812))</x:f>
        <x:v>-0.08396158215429106</x:v>
      </x:c>
      <x:c r="M1812" s="36" t="n">
        <x:f>Assumptions!$B$19</x:f>
        <x:v>-0.04739891965741583</x:v>
      </x:c>
      <x:c r="N1812" s="52" t="n">
        <x:f>H1812*L1812+(1-H1812)*M1812+O1812</x:f>
        <x:v>-0.07847718277975978</x:v>
      </x:c>
      <x:c r="O1812" s="36" t="n">
        <x:f>Assumptions!$B$10</x:f>
        <x:v>0</x:v>
      </x:c>
      <x:c r="P1812" s="54" t="n">
        <x:f>E1812*(1+N1812)</x:f>
        <x:v>2458.622876343601</x:v>
      </x:c>
      <x:c r="Q1812" s="54" t="n">
        <x:f>P1812-E1812</x:f>
        <x:v>-209.3771236563989</x:v>
      </x:c>
      <x:c r="R1812" s="16" t="str">
        <x:v>Yes</x:v>
      </x:c>
      <x:c r="S1812" s="56" t="n">
        <x:v>16452</x:v>
      </x:c>
      <x:c r="T1812" s="56" t="n">
        <x:v>13026</x:v>
      </x:c>
      <x:c r="U1812" s="40" t="n">
        <x:f>E1812*Assumptions!$B$8</x:f>
        <x:v>2267.7999999999997</x:v>
      </x:c>
      <x:c r="V1812" s="40" t="n">
        <x:f>P1812*Assumptions!$B$8</x:f>
        <x:v>2089.829444892061</x:v>
      </x:c>
      <x:c r="W1812" s="54" t="n">
        <x:f>V1812-U1812</x:f>
        <x:v>-177.9705551079387</x:v>
      </x:c>
      <x:c r="X1812" s="58" t="n">
        <x:f>IF(R1812="No","",W1812*S1812)</x:f>
        <x:v>-2927971.5726358076</x:v>
      </x:c>
      <x:c r="Y1812" s="58" t="n">
        <x:f>IF(R1812="No","",W1812*T1812*Assumptions!$B$9)</x:f>
        <x:v>-695473.3352508029</x:v>
      </x:c>
      <x:c r="Z1812" s="58" t="n">
        <x:f>IF(R1812="No","",X1812-Y1812)</x:f>
        <x:v>-2232498.2373850048</x:v>
      </x:c>
      <x:c r="AA1812" s="58" t="n">
        <x:f>IF(R1812="No","",MAX(0,-Z1812))</x:f>
        <x:v>2232498.2373850048</x:v>
      </x:c>
      <x:c r="AB1812" s="52" t="n">
        <x:f>IF(OR(R1812="No",U1812*S1812=0),"",AA1812/(U1812*S1812))</x:f>
        <x:v>0.05983670533830902</x:v>
      </x:c>
      <x:c r="AC1812" s="54" t="n">
        <x:f>IF(OR(R1812="No",S1812-T1812*Assumptions!$B$9&lt;=0),"",AA1812/(Assumptions!$B$8*(S1812-T1812*Assumptions!$B$9)))</x:f>
        <x:v>209.37712365639848</x:v>
      </x:c>
      <x:c r="AD1812" s="52" t="n">
        <x:f>IF(OR(R1812="No",U1812*S1812=0),"",AA1812/(U1812*S1812))</x:f>
        <x:v>0.05983670533830902</x:v>
      </x:c>
      <x:c r="AE1812" s="50" t="str">
        <x:f>IF(R1812="No","No finance data",IF(AB1812&gt;=10%,"Severe",IF(AB1812&gt;=5%,"High",IF(AB1812&gt;=2%,"Moderate","Low"))))</x:f>
        <x:v>High</x:v>
      </x:c>
      <x:c r="AF1812" s="60" t="n">
        <x:v>43.045364</x:v>
      </x:c>
      <x:c r="AG1812" s="60" t="n">
        <x:v>-87.907691</x:v>
      </x:c>
      <x:c r="AH1812" s="44" t="str">
        <x:v>Undergraduate tuition-contribution proxy only; not an audited total institutional budget.</x:v>
      </x:c>
    </x:row>
    <x:row r="1813">
      <x:c r="A1813" s="16" t="n">
        <x:v>239390</x:v>
      </x:c>
      <x:c r="B1813" s="16" t="str">
        <x:v>Mount Mary University</x:v>
      </x:c>
      <x:c r="C1813" s="16" t="str">
        <x:v>WI</x:v>
      </x:c>
      <x:c r="D1813" s="16" t="str">
        <x:v>Private nonprofit</x:v>
      </x:c>
      <x:c r="E1813" s="34" t="n">
        <x:v>735</x:v>
      </x:c>
      <x:c r="F1813" s="21" t="n">
        <x:v>0.6236</x:v>
      </x:c>
      <x:c r="G1813" s="16" t="str">
        <x:v>Regional</x:v>
      </x:c>
      <x:c r="H1813" s="36" t="n">
        <x:f>IF(G1813="National",Assumptions!$B$11,IF(G1813="Statewide",Assumptions!$B$12,Assumptions!$B$13))</x:f>
        <x:v>0.85</x:v>
      </x:c>
      <x:c r="I1813" s="21" t="n">
        <x:v>-0.06510674082707546</x:v>
      </x:c>
      <x:c r="J1813" s="21" t="n">
        <x:v>-0.08396158215429106</x:v>
      </x:c>
      <x:c r="K1813" s="21" t="n">
        <x:v>-0.16038417845708974</x:v>
      </x:c>
      <x:c r="L1813" s="36" t="n">
        <x:f>IF(Assumptions!$B$4=2030,I1813,IF(Assumptions!$B$4=2035,J1813,K1813))</x:f>
        <x:v>-0.08396158215429106</x:v>
      </x:c>
      <x:c r="M1813" s="36" t="n">
        <x:f>Assumptions!$B$19</x:f>
        <x:v>-0.04739891965741583</x:v>
      </x:c>
      <x:c r="N1813" s="52" t="n">
        <x:f>H1813*L1813+(1-H1813)*M1813+O1813</x:f>
        <x:v>-0.07847718277975978</x:v>
      </x:c>
      <x:c r="O1813" s="36" t="n">
        <x:f>Assumptions!$B$10</x:f>
        <x:v>0</x:v>
      </x:c>
      <x:c r="P1813" s="54" t="n">
        <x:f>E1813*(1+N1813)</x:f>
        <x:v>677.3192706568766</x:v>
      </x:c>
      <x:c r="Q1813" s="54" t="n">
        <x:f>P1813-E1813</x:f>
        <x:v>-57.6807293431234</x:v>
      </x:c>
      <x:c r="R1813" s="16" t="str">
        <x:v>Yes</x:v>
      </x:c>
      <x:c r="S1813" s="56" t="n">
        <x:v>16064</x:v>
      </x:c>
      <x:c r="T1813" s="56" t="n">
        <x:v>10326</x:v>
      </x:c>
      <x:c r="U1813" s="40" t="n">
        <x:f>E1813*Assumptions!$B$8</x:f>
        <x:v>624.75</x:v>
      </x:c>
      <x:c r="V1813" s="40" t="n">
        <x:f>P1813*Assumptions!$B$8</x:f>
        <x:v>575.7213800583451</x:v>
      </x:c>
      <x:c r="W1813" s="54" t="n">
        <x:f>V1813-U1813</x:f>
        <x:v>-49.02861994165494</x:v>
      </x:c>
      <x:c r="X1813" s="58" t="n">
        <x:f>IF(R1813="No","",W1813*S1813)</x:f>
        <x:v>-787595.7507427449</x:v>
      </x:c>
      <x:c r="Y1813" s="58" t="n">
        <x:f>IF(R1813="No","",W1813*T1813*Assumptions!$B$9)</x:f>
        <x:v>-151880.85885525867</x:v>
      </x:c>
      <x:c r="Z1813" s="58" t="n">
        <x:f>IF(R1813="No","",X1813-Y1813)</x:f>
        <x:v>-635714.8918874862</x:v>
      </x:c>
      <x:c r="AA1813" s="58" t="n">
        <x:f>IF(R1813="No","",MAX(0,-Z1813))</x:f>
        <x:v>635714.8918874862</x:v>
      </x:c>
      <x:c r="AB1813" s="52" t="n">
        <x:f>IF(OR(R1813="No",U1813*S1813=0),"",AA1813/(U1813*S1813))</x:f>
        <x:v>0.06334355374495278</x:v>
      </x:c>
      <x:c r="AC1813" s="54" t="n">
        <x:f>IF(OR(R1813="No",S1813-T1813*Assumptions!$B$9&lt;=0),"",AA1813/(Assumptions!$B$8*(S1813-T1813*Assumptions!$B$9)))</x:f>
        <x:v>57.68072934312345</x:v>
      </x:c>
      <x:c r="AD1813" s="52" t="n">
        <x:f>IF(OR(R1813="No",U1813*S1813=0),"",AA1813/(U1813*S1813))</x:f>
        <x:v>0.06334355374495278</x:v>
      </x:c>
      <x:c r="AE1813" s="50" t="str">
        <x:f>IF(R1813="No","No finance data",IF(AB1813&gt;=10%,"Severe",IF(AB1813&gt;=5%,"High",IF(AB1813&gt;=2%,"Moderate","Low"))))</x:f>
        <x:v>High</x:v>
      </x:c>
      <x:c r="AF1813" s="60" t="n">
        <x:v>43.072507</x:v>
      </x:c>
      <x:c r="AG1813" s="60" t="n">
        <x:v>-88.030732</x:v>
      </x:c>
      <x:c r="AH1813" s="44" t="str">
        <x:v>Undergraduate tuition-contribution proxy only; not an audited total institutional budget.</x:v>
      </x:c>
    </x:row>
    <x:row r="1814">
      <x:c r="A1814" s="16" t="n">
        <x:v>239512</x:v>
      </x:c>
      <x:c r="B1814" s="16" t="str">
        <x:v>Northland College</x:v>
      </x:c>
      <x:c r="C1814" s="16" t="str">
        <x:v>WI</x:v>
      </x:c>
      <x:c r="D1814" s="16" t="str">
        <x:v>Private nonprofit</x:v>
      </x:c>
      <x:c r="E1814" s="34" t="n">
        <x:v>518</x:v>
      </x:c>
      <x:c r="F1814" s="21" t="n">
        <x:v>0.5766</x:v>
      </x:c>
      <x:c r="G1814" s="16" t="str">
        <x:v>Regional</x:v>
      </x:c>
      <x:c r="H1814" s="36" t="n">
        <x:f>IF(G1814="National",Assumptions!$B$11,IF(G1814="Statewide",Assumptions!$B$12,Assumptions!$B$13))</x:f>
        <x:v>0.85</x:v>
      </x:c>
      <x:c r="I1814" s="21" t="n">
        <x:v>-0.06510674082707546</x:v>
      </x:c>
      <x:c r="J1814" s="21" t="n">
        <x:v>-0.08396158215429106</x:v>
      </x:c>
      <x:c r="K1814" s="21" t="n">
        <x:v>-0.16038417845708974</x:v>
      </x:c>
      <x:c r="L1814" s="36" t="n">
        <x:f>IF(Assumptions!$B$4=2030,I1814,IF(Assumptions!$B$4=2035,J1814,K1814))</x:f>
        <x:v>-0.08396158215429106</x:v>
      </x:c>
      <x:c r="M1814" s="36" t="n">
        <x:f>Assumptions!$B$19</x:f>
        <x:v>-0.04739891965741583</x:v>
      </x:c>
      <x:c r="N1814" s="52" t="n">
        <x:f>H1814*L1814+(1-H1814)*M1814+O1814</x:f>
        <x:v>-0.07847718277975978</x:v>
      </x:c>
      <x:c r="O1814" s="36" t="n">
        <x:f>Assumptions!$B$10</x:f>
        <x:v>0</x:v>
      </x:c>
      <x:c r="P1814" s="54" t="n">
        <x:f>E1814*(1+N1814)</x:f>
        <x:v>477.34881932008443</x:v>
      </x:c>
      <x:c r="Q1814" s="54" t="n">
        <x:f>P1814-E1814</x:f>
        <x:v>-40.65118067991557</x:v>
      </x:c>
      <x:c r="R1814" s="16" t="str">
        <x:v>Yes</x:v>
      </x:c>
      <x:c r="S1814" s="56" t="n">
        <x:v>13464</x:v>
      </x:c>
      <x:c r="T1814" s="56" t="n">
        <x:v>9706</x:v>
      </x:c>
      <x:c r="U1814" s="40" t="n">
        <x:f>E1814*Assumptions!$B$8</x:f>
        <x:v>440.3</x:v>
      </x:c>
      <x:c r="V1814" s="40" t="n">
        <x:f>P1814*Assumptions!$B$8</x:f>
        <x:v>405.74649642207174</x:v>
      </x:c>
      <x:c r="W1814" s="54" t="n">
        <x:f>V1814-U1814</x:f>
        <x:v>-34.55350357792827</x:v>
      </x:c>
      <x:c r="X1814" s="58" t="n">
        <x:f>IF(R1814="No","",W1814*S1814)</x:f>
        <x:v>-465228.3721732262</x:v>
      </x:c>
      <x:c r="Y1814" s="58" t="n">
        <x:f>IF(R1814="No","",W1814*T1814*Assumptions!$B$9)</x:f>
        <x:v>-100612.89171821153</x:v>
      </x:c>
      <x:c r="Z1814" s="58" t="n">
        <x:f>IF(R1814="No","",X1814-Y1814)</x:f>
        <x:v>-364615.4804550147</x:v>
      </x:c>
      <x:c r="AA1814" s="58" t="n">
        <x:f>IF(R1814="No","",MAX(0,-Z1814))</x:f>
        <x:v>364615.4804550147</x:v>
      </x:c>
      <x:c r="AB1814" s="52" t="n">
        <x:f>IF(OR(R1814="No",U1814*S1814=0),"",AA1814/(U1814*S1814))</x:f>
        <x:v>0.06150526798340627</x:v>
      </x:c>
      <x:c r="AC1814" s="54" t="n">
        <x:f>IF(OR(R1814="No",S1814-T1814*Assumptions!$B$9&lt;=0),"",AA1814/(Assumptions!$B$8*(S1814-T1814*Assumptions!$B$9)))</x:f>
        <x:v>40.651180679915605</x:v>
      </x:c>
      <x:c r="AD1814" s="52" t="n">
        <x:f>IF(OR(R1814="No",U1814*S1814=0),"",AA1814/(U1814*S1814))</x:f>
        <x:v>0.06150526798340627</x:v>
      </x:c>
      <x:c r="AE1814" s="50" t="str">
        <x:f>IF(R1814="No","No finance data",IF(AB1814&gt;=10%,"Severe",IF(AB1814&gt;=5%,"High",IF(AB1814&gt;=2%,"Moderate","Low"))))</x:f>
        <x:v>High</x:v>
      </x:c>
      <x:c r="AF1814" s="60" t="n">
        <x:v>46.579087</x:v>
      </x:c>
      <x:c r="AG1814" s="60" t="n">
        <x:v>-90.87476</x:v>
      </x:c>
      <x:c r="AH1814" s="44" t="str">
        <x:v>Undergraduate tuition-contribution proxy only; not an audited total institutional budget.</x:v>
      </x:c>
    </x:row>
    <x:row r="1815">
      <x:c r="A1815" s="16" t="n">
        <x:v>428259</x:v>
      </x:c>
      <x:c r="B1815" s="16" t="str">
        <x:v>Ottawa University-Milwaukee</x:v>
      </x:c>
      <x:c r="C1815" s="16" t="str">
        <x:v>WI</x:v>
      </x:c>
      <x:c r="D1815" s="16" t="str">
        <x:v>Private nonprofit</x:v>
      </x:c>
      <x:c r="E1815" s="34" t="n">
        <x:v>157</x:v>
      </x:c>
      <x:c r="F1815" s="21"/>
      <x:c r="G1815" s="16" t="str">
        <x:v>Regional</x:v>
      </x:c>
      <x:c r="H1815" s="36" t="n">
        <x:f>IF(G1815="National",Assumptions!$B$11,IF(G1815="Statewide",Assumptions!$B$12,Assumptions!$B$13))</x:f>
        <x:v>0.85</x:v>
      </x:c>
      <x:c r="I1815" s="21" t="n">
        <x:v>-0.06510674082707546</x:v>
      </x:c>
      <x:c r="J1815" s="21" t="n">
        <x:v>-0.08396158215429106</x:v>
      </x:c>
      <x:c r="K1815" s="21" t="n">
        <x:v>-0.16038417845708974</x:v>
      </x:c>
      <x:c r="L1815" s="36" t="n">
        <x:f>IF(Assumptions!$B$4=2030,I1815,IF(Assumptions!$B$4=2035,J1815,K1815))</x:f>
        <x:v>-0.08396158215429106</x:v>
      </x:c>
      <x:c r="M1815" s="36" t="n">
        <x:f>Assumptions!$B$19</x:f>
        <x:v>-0.04739891965741583</x:v>
      </x:c>
      <x:c r="N1815" s="52" t="n">
        <x:f>H1815*L1815+(1-H1815)*M1815+O1815</x:f>
        <x:v>-0.07847718277975978</x:v>
      </x:c>
      <x:c r="O1815" s="36" t="n">
        <x:f>Assumptions!$B$10</x:f>
        <x:v>0</x:v>
      </x:c>
      <x:c r="P1815" s="54" t="n">
        <x:f>E1815*(1+N1815)</x:f>
        <x:v>144.6790823035777</x:v>
      </x:c>
      <x:c r="Q1815" s="54" t="n">
        <x:f>P1815-E1815</x:f>
        <x:v>-12.320917696422299</x:v>
      </x:c>
      <x:c r="R1815" s="16" t="str">
        <x:v>No</x:v>
      </x:c>
      <x:c r="S1815" s="56"/>
      <x:c r="T1815" s="56"/>
      <x:c r="U1815" s="40" t="n">
        <x:f>E1815*Assumptions!$B$8</x:f>
        <x:v>133.45</x:v>
      </x:c>
      <x:c r="V1815" s="40" t="n">
        <x:f>P1815*Assumptions!$B$8</x:f>
        <x:v>122.97721995804105</x:v>
      </x:c>
      <x:c r="W1815" s="54" t="n">
        <x:f>V1815-U1815</x:f>
        <x:v>-10.472780041958941</x:v>
      </x:c>
      <x:c r="X1815" s="58" t="str">
        <x:f>IF(R1815="No","",W1815*S1815)</x:f>
      </x:c>
      <x:c r="Y1815" s="58" t="str">
        <x:f>IF(R1815="No","",W1815*T1815*Assumptions!$B$9)</x:f>
      </x:c>
      <x:c r="Z1815" s="58" t="str">
        <x:f>IF(R1815="No","",X1815-Y1815)</x:f>
      </x:c>
      <x:c r="AA1815" s="58" t="str">
        <x:f>IF(R1815="No","",MAX(0,-Z1815))</x:f>
      </x:c>
      <x:c r="AB1815" s="52" t="str">
        <x:f>IF(OR(R1815="No",U1815*S1815=0),"",AA1815/(U1815*S1815))</x:f>
      </x:c>
      <x:c r="AC1815" s="54" t="str">
        <x:f>IF(OR(R1815="No",S1815-T1815*Assumptions!$B$9&lt;=0),"",AA1815/(Assumptions!$B$8*(S1815-T1815*Assumptions!$B$9)))</x:f>
      </x:c>
      <x:c r="AD1815" s="52" t="str">
        <x:f>IF(OR(R1815="No",U1815*S1815=0),"",AA1815/(U1815*S1815))</x:f>
      </x:c>
      <x:c r="AE1815" s="50" t="str">
        <x:f>IF(R1815="No","No finance data",IF(AB1815&gt;=10%,"Severe",IF(AB1815&gt;=5%,"High",IF(AB1815&gt;=2%,"Moderate","Low"))))</x:f>
        <x:v>No finance data</x:v>
      </x:c>
      <x:c r="AF1815" s="60"/>
      <x:c r="AG1815" s="60"/>
      <x:c r="AH1815" s="44" t="str">
        <x:v>Undergraduate tuition-contribution proxy only; not an audited total institutional budget.</x:v>
      </x:c>
    </x:row>
    <x:row r="1816">
      <x:c r="A1816" s="16" t="n">
        <x:v>239628</x:v>
      </x:c>
      <x:c r="B1816" s="16" t="str">
        <x:v>Ripon College</x:v>
      </x:c>
      <x:c r="C1816" s="16" t="str">
        <x:v>WI</x:v>
      </x:c>
      <x:c r="D1816" s="16" t="str">
        <x:v>Private nonprofit</x:v>
      </x:c>
      <x:c r="E1816" s="34" t="n">
        <x:v>781</x:v>
      </x:c>
      <x:c r="F1816" s="21" t="n">
        <x:v>0.7977</x:v>
      </x:c>
      <x:c r="G1816" s="16" t="str">
        <x:v>Regional</x:v>
      </x:c>
      <x:c r="H1816" s="36" t="n">
        <x:f>IF(G1816="National",Assumptions!$B$11,IF(G1816="Statewide",Assumptions!$B$12,Assumptions!$B$13))</x:f>
        <x:v>0.85</x:v>
      </x:c>
      <x:c r="I1816" s="21" t="n">
        <x:v>-0.06510674082707546</x:v>
      </x:c>
      <x:c r="J1816" s="21" t="n">
        <x:v>-0.08396158215429106</x:v>
      </x:c>
      <x:c r="K1816" s="21" t="n">
        <x:v>-0.16038417845708974</x:v>
      </x:c>
      <x:c r="L1816" s="36" t="n">
        <x:f>IF(Assumptions!$B$4=2030,I1816,IF(Assumptions!$B$4=2035,J1816,K1816))</x:f>
        <x:v>-0.08396158215429106</x:v>
      </x:c>
      <x:c r="M1816" s="36" t="n">
        <x:f>Assumptions!$B$19</x:f>
        <x:v>-0.04739891965741583</x:v>
      </x:c>
      <x:c r="N1816" s="52" t="n">
        <x:f>H1816*L1816+(1-H1816)*M1816+O1816</x:f>
        <x:v>-0.07847718277975978</x:v>
      </x:c>
      <x:c r="O1816" s="36" t="n">
        <x:f>Assumptions!$B$10</x:f>
        <x:v>0</x:v>
      </x:c>
      <x:c r="P1816" s="54" t="n">
        <x:f>E1816*(1+N1816)</x:f>
        <x:v>719.7093202490076</x:v>
      </x:c>
      <x:c r="Q1816" s="54" t="n">
        <x:f>P1816-E1816</x:f>
        <x:v>-61.29067975099235</x:v>
      </x:c>
      <x:c r="R1816" s="16" t="str">
        <x:v>Yes</x:v>
      </x:c>
      <x:c r="S1816" s="56" t="n">
        <x:v>13178</x:v>
      </x:c>
      <x:c r="T1816" s="56" t="n">
        <x:v>11051</x:v>
      </x:c>
      <x:c r="U1816" s="40" t="n">
        <x:f>E1816*Assumptions!$B$8</x:f>
        <x:v>663.85</x:v>
      </x:c>
      <x:c r="V1816" s="40" t="n">
        <x:f>P1816*Assumptions!$B$8</x:f>
        <x:v>611.7529222116565</x:v>
      </x:c>
      <x:c r="W1816" s="54" t="n">
        <x:f>V1816-U1816</x:f>
        <x:v>-52.09707778834354</x:v>
      </x:c>
      <x:c r="X1816" s="58" t="n">
        <x:f>IF(R1816="No","",W1816*S1816)</x:f>
        <x:v>-686535.2910947911</x:v>
      </x:c>
      <x:c r="Y1816" s="58" t="n">
        <x:f>IF(R1816="No","",W1816*T1816*Assumptions!$B$9)</x:f>
        <x:v>-172717.44199169535</x:v>
      </x:c>
      <x:c r="Z1816" s="58" t="n">
        <x:f>IF(R1816="No","",X1816-Y1816)</x:f>
        <x:v>-513817.8491030958</x:v>
      </x:c>
      <x:c r="AA1816" s="58" t="n">
        <x:f>IF(R1816="No","",MAX(0,-Z1816))</x:f>
        <x:v>513817.8491030958</x:v>
      </x:c>
      <x:c r="AB1816" s="52" t="n">
        <x:f>IF(OR(R1816="No",U1816*S1816=0),"",AA1816/(U1816*S1816))</x:f>
        <x:v>0.058734019623762096</x:v>
      </x:c>
      <x:c r="AC1816" s="54" t="n">
        <x:f>IF(OR(R1816="No",S1816-T1816*Assumptions!$B$9&lt;=0),"",AA1816/(Assumptions!$B$8*(S1816-T1816*Assumptions!$B$9)))</x:f>
        <x:v>61.290679750992396</x:v>
      </x:c>
      <x:c r="AD1816" s="52" t="n">
        <x:f>IF(OR(R1816="No",U1816*S1816=0),"",AA1816/(U1816*S1816))</x:f>
        <x:v>0.058734019623762096</x:v>
      </x:c>
      <x:c r="AE1816" s="50" t="str">
        <x:f>IF(R1816="No","No finance data",IF(AB1816&gt;=10%,"Severe",IF(AB1816&gt;=5%,"High",IF(AB1816&gt;=2%,"Moderate","Low"))))</x:f>
        <x:v>High</x:v>
      </x:c>
      <x:c r="AF1816" s="60" t="n">
        <x:v>43.844135</x:v>
      </x:c>
      <x:c r="AG1816" s="60" t="n">
        <x:v>-88.842333</x:v>
      </x:c>
      <x:c r="AH1816" s="44" t="str">
        <x:v>Undergraduate tuition-contribution proxy only; not an audited total institutional budget.</x:v>
      </x:c>
    </x:row>
    <x:row r="1817">
      <x:c r="A1817" s="16" t="n">
        <x:v>239716</x:v>
      </x:c>
      <x:c r="B1817" s="16" t="str">
        <x:v>Saint Norbert College</x:v>
      </x:c>
      <x:c r="C1817" s="16" t="str">
        <x:v>WI</x:v>
      </x:c>
      <x:c r="D1817" s="16" t="str">
        <x:v>Private nonprofit</x:v>
      </x:c>
      <x:c r="E1817" s="34" t="n">
        <x:v>2052</x:v>
      </x:c>
      <x:c r="F1817" s="21" t="n">
        <x:v>0.8515</x:v>
      </x:c>
      <x:c r="G1817" s="16" t="str">
        <x:v>Regional</x:v>
      </x:c>
      <x:c r="H1817" s="36" t="n">
        <x:f>IF(G1817="National",Assumptions!$B$11,IF(G1817="Statewide",Assumptions!$B$12,Assumptions!$B$13))</x:f>
        <x:v>0.85</x:v>
      </x:c>
      <x:c r="I1817" s="21" t="n">
        <x:v>-0.06510674082707546</x:v>
      </x:c>
      <x:c r="J1817" s="21" t="n">
        <x:v>-0.08396158215429106</x:v>
      </x:c>
      <x:c r="K1817" s="21" t="n">
        <x:v>-0.16038417845708974</x:v>
      </x:c>
      <x:c r="L1817" s="36" t="n">
        <x:f>IF(Assumptions!$B$4=2030,I1817,IF(Assumptions!$B$4=2035,J1817,K1817))</x:f>
        <x:v>-0.08396158215429106</x:v>
      </x:c>
      <x:c r="M1817" s="36" t="n">
        <x:f>Assumptions!$B$19</x:f>
        <x:v>-0.04739891965741583</x:v>
      </x:c>
      <x:c r="N1817" s="52" t="n">
        <x:f>H1817*L1817+(1-H1817)*M1817+O1817</x:f>
        <x:v>-0.07847718277975978</x:v>
      </x:c>
      <x:c r="O1817" s="36" t="n">
        <x:f>Assumptions!$B$10</x:f>
        <x:v>0</x:v>
      </x:c>
      <x:c r="P1817" s="54" t="n">
        <x:f>E1817*(1+N1817)</x:f>
        <x:v>1890.964820935933</x:v>
      </x:c>
      <x:c r="Q1817" s="54" t="n">
        <x:f>P1817-E1817</x:f>
        <x:v>-161.03517906406705</x:v>
      </x:c>
      <x:c r="R1817" s="16" t="str">
        <x:v>Yes</x:v>
      </x:c>
      <x:c r="S1817" s="56" t="n">
        <x:v>20185</x:v>
      </x:c>
      <x:c r="T1817" s="56" t="n">
        <x:v>10400</x:v>
      </x:c>
      <x:c r="U1817" s="40" t="n">
        <x:f>E1817*Assumptions!$B$8</x:f>
        <x:v>1744.2</x:v>
      </x:c>
      <x:c r="V1817" s="40" t="n">
        <x:f>P1817*Assumptions!$B$8</x:f>
        <x:v>1607.320097795543</x:v>
      </x:c>
      <x:c r="W1817" s="54" t="n">
        <x:f>V1817-U1817</x:f>
        <x:v>-136.87990220445704</x:v>
      </x:c>
      <x:c r="X1817" s="58" t="n">
        <x:f>IF(R1817="No","",W1817*S1817)</x:f>
        <x:v>-2762920.825996965</x:v>
      </x:c>
      <x:c r="Y1817" s="58" t="n">
        <x:f>IF(R1817="No","",W1817*T1817*Assumptions!$B$9)</x:f>
        <x:v>-427065.2948779059</x:v>
      </x:c>
      <x:c r="Z1817" s="58" t="n">
        <x:f>IF(R1817="No","",X1817-Y1817)</x:f>
        <x:v>-2335855.5311190593</x:v>
      </x:c>
      <x:c r="AA1817" s="58" t="n">
        <x:f>IF(R1817="No","",MAX(0,-Z1817))</x:f>
        <x:v>2335855.5311190593</x:v>
      </x:c>
      <x:c r="AB1817" s="52" t="n">
        <x:f>IF(OR(R1817="No",U1817*S1817=0),"",AA1817/(U1817*S1817))</x:f>
        <x:v>0.06634694694756507</x:v>
      </x:c>
      <x:c r="AC1817" s="54" t="n">
        <x:f>IF(OR(R1817="No",S1817-T1817*Assumptions!$B$9&lt;=0),"",AA1817/(Assumptions!$B$8*(S1817-T1817*Assumptions!$B$9)))</x:f>
        <x:v>161.0351790640671</x:v>
      </x:c>
      <x:c r="AD1817" s="52" t="n">
        <x:f>IF(OR(R1817="No",U1817*S1817=0),"",AA1817/(U1817*S1817))</x:f>
        <x:v>0.06634694694756507</x:v>
      </x:c>
      <x:c r="AE1817" s="50" t="str">
        <x:f>IF(R1817="No","No finance data",IF(AB1817&gt;=10%,"Severe",IF(AB1817&gt;=5%,"High",IF(AB1817&gt;=2%,"Moderate","Low"))))</x:f>
        <x:v>High</x:v>
      </x:c>
      <x:c r="AF1817" s="60" t="n">
        <x:v>44.44483</x:v>
      </x:c>
      <x:c r="AG1817" s="60" t="n">
        <x:v>-88.067812</x:v>
      </x:c>
      <x:c r="AH1817" s="44" t="str">
        <x:v>Undergraduate tuition-contribution proxy only; not an audited total institutional budget.</x:v>
      </x:c>
    </x:row>
    <x:row r="1818">
      <x:c r="A1818" s="16" t="n">
        <x:v>239743</x:v>
      </x:c>
      <x:c r="B1818" s="16" t="str">
        <x:v>Silver Lake College of the Holy Family</x:v>
      </x:c>
      <x:c r="C1818" s="16" t="str">
        <x:v>WI</x:v>
      </x:c>
      <x:c r="D1818" s="16" t="str">
        <x:v>Private nonprofit</x:v>
      </x:c>
      <x:c r="E1818" s="34" t="n">
        <x:v>284</x:v>
      </x:c>
      <x:c r="F1818" s="21"/>
      <x:c r="G1818" s="16" t="str">
        <x:v>Regional</x:v>
      </x:c>
      <x:c r="H1818" s="36" t="n">
        <x:f>IF(G1818="National",Assumptions!$B$11,IF(G1818="Statewide",Assumptions!$B$12,Assumptions!$B$13))</x:f>
        <x:v>0.85</x:v>
      </x:c>
      <x:c r="I1818" s="21" t="n">
        <x:v>-0.06510674082707546</x:v>
      </x:c>
      <x:c r="J1818" s="21" t="n">
        <x:v>-0.08396158215429106</x:v>
      </x:c>
      <x:c r="K1818" s="21" t="n">
        <x:v>-0.16038417845708974</x:v>
      </x:c>
      <x:c r="L1818" s="36" t="n">
        <x:f>IF(Assumptions!$B$4=2030,I1818,IF(Assumptions!$B$4=2035,J1818,K1818))</x:f>
        <x:v>-0.08396158215429106</x:v>
      </x:c>
      <x:c r="M1818" s="36" t="n">
        <x:f>Assumptions!$B$19</x:f>
        <x:v>-0.04739891965741583</x:v>
      </x:c>
      <x:c r="N1818" s="52" t="n">
        <x:f>H1818*L1818+(1-H1818)*M1818+O1818</x:f>
        <x:v>-0.07847718277975978</x:v>
      </x:c>
      <x:c r="O1818" s="36" t="n">
        <x:f>Assumptions!$B$10</x:f>
        <x:v>0</x:v>
      </x:c>
      <x:c r="P1818" s="54" t="n">
        <x:f>E1818*(1+N1818)</x:f>
        <x:v>261.71248009054824</x:v>
      </x:c>
      <x:c r="Q1818" s="54" t="n">
        <x:f>P1818-E1818</x:f>
        <x:v>-22.28751990945176</x:v>
      </x:c>
      <x:c r="R1818" s="16" t="str">
        <x:v>No</x:v>
      </x:c>
      <x:c r="S1818" s="56"/>
      <x:c r="T1818" s="56"/>
      <x:c r="U1818" s="40" t="n">
        <x:f>E1818*Assumptions!$B$8</x:f>
        <x:v>241.4</x:v>
      </x:c>
      <x:c r="V1818" s="40" t="n">
        <x:f>P1818*Assumptions!$B$8</x:f>
        <x:v>222.455608076966</x:v>
      </x:c>
      <x:c r="W1818" s="54" t="n">
        <x:f>V1818-U1818</x:f>
        <x:v>-18.944391923034004</x:v>
      </x:c>
      <x:c r="X1818" s="58" t="str">
        <x:f>IF(R1818="No","",W1818*S1818)</x:f>
      </x:c>
      <x:c r="Y1818" s="58" t="str">
        <x:f>IF(R1818="No","",W1818*T1818*Assumptions!$B$9)</x:f>
      </x:c>
      <x:c r="Z1818" s="58" t="str">
        <x:f>IF(R1818="No","",X1818-Y1818)</x:f>
      </x:c>
      <x:c r="AA1818" s="58" t="str">
        <x:f>IF(R1818="No","",MAX(0,-Z1818))</x:f>
      </x:c>
      <x:c r="AB1818" s="52" t="str">
        <x:f>IF(OR(R1818="No",U1818*S1818=0),"",AA1818/(U1818*S1818))</x:f>
      </x:c>
      <x:c r="AC1818" s="54" t="str">
        <x:f>IF(OR(R1818="No",S1818-T1818*Assumptions!$B$9&lt;=0),"",AA1818/(Assumptions!$B$8*(S1818-T1818*Assumptions!$B$9)))</x:f>
      </x:c>
      <x:c r="AD1818" s="52" t="str">
        <x:f>IF(OR(R1818="No",U1818*S1818=0),"",AA1818/(U1818*S1818))</x:f>
      </x:c>
      <x:c r="AE1818" s="50" t="str">
        <x:f>IF(R1818="No","No finance data",IF(AB1818&gt;=10%,"Severe",IF(AB1818&gt;=5%,"High",IF(AB1818&gt;=2%,"Moderate","Low"))))</x:f>
        <x:v>No finance data</x:v>
      </x:c>
      <x:c r="AF1818" s="60"/>
      <x:c r="AG1818" s="60"/>
      <x:c r="AH1818" s="44" t="str">
        <x:v>Undergraduate tuition-contribution proxy only; not an audited total institutional budget.</x:v>
      </x:c>
    </x:row>
    <x:row r="1819">
      <x:c r="A1819" s="16" t="n">
        <x:v>240268</x:v>
      </x:c>
      <x:c r="B1819" s="16" t="str">
        <x:v>University of Wisconsin-Eau Claire</x:v>
      </x:c>
      <x:c r="C1819" s="16" t="str">
        <x:v>WI</x:v>
      </x:c>
      <x:c r="D1819" s="16" t="str">
        <x:v>Public</x:v>
      </x:c>
      <x:c r="E1819" s="34" t="n">
        <x:v>9844</x:v>
      </x:c>
      <x:c r="F1819" s="21" t="n">
        <x:v>0.7746</x:v>
      </x:c>
      <x:c r="G1819" s="16" t="str">
        <x:v>Statewide</x:v>
      </x:c>
      <x:c r="H1819" s="36" t="n">
        <x:f>IF(G1819="National",Assumptions!$B$11,IF(G1819="Statewide",Assumptions!$B$12,Assumptions!$B$13))</x:f>
        <x:v>0.6</x:v>
      </x:c>
      <x:c r="I1819" s="21" t="n">
        <x:v>-0.06510674082707546</x:v>
      </x:c>
      <x:c r="J1819" s="21" t="n">
        <x:v>-0.08396158215429106</x:v>
      </x:c>
      <x:c r="K1819" s="21" t="n">
        <x:v>-0.16038417845708974</x:v>
      </x:c>
      <x:c r="L1819" s="36" t="n">
        <x:f>IF(Assumptions!$B$4=2030,I1819,IF(Assumptions!$B$4=2035,J1819,K1819))</x:f>
        <x:v>-0.08396158215429106</x:v>
      </x:c>
      <x:c r="M1819" s="36" t="n">
        <x:f>Assumptions!$B$19</x:f>
        <x:v>-0.04739891965741583</x:v>
      </x:c>
      <x:c r="N1819" s="52" t="n">
        <x:f>H1819*L1819+(1-H1819)*M1819+O1819</x:f>
        <x:v>-0.06933651715554097</x:v>
      </x:c>
      <x:c r="O1819" s="36" t="n">
        <x:f>Assumptions!$B$10</x:f>
        <x:v>0</x:v>
      </x:c>
      <x:c r="P1819" s="54" t="n">
        <x:f>E1819*(1+N1819)</x:f>
        <x:v>9161.451325120854</x:v>
      </x:c>
      <x:c r="Q1819" s="54" t="n">
        <x:f>P1819-E1819</x:f>
        <x:v>-682.5486748791463</x:v>
      </x:c>
      <x:c r="R1819" s="16" t="str">
        <x:v>Yes</x:v>
      </x:c>
      <x:c r="S1819" s="56" t="n">
        <x:v>6528</x:v>
      </x:c>
      <x:c r="T1819" s="56" t="n">
        <x:v>7087</x:v>
      </x:c>
      <x:c r="U1819" s="40" t="n">
        <x:f>E1819*Assumptions!$B$8</x:f>
        <x:v>8367.4</x:v>
      </x:c>
      <x:c r="V1819" s="40" t="n">
        <x:f>P1819*Assumptions!$B$8</x:f>
        <x:v>7787.233626352725</x:v>
      </x:c>
      <x:c r="W1819" s="54" t="n">
        <x:f>V1819-U1819</x:f>
        <x:v>-580.1663736472747</x:v>
      </x:c>
      <x:c r="X1819" s="58" t="n">
        <x:f>IF(R1819="No","",W1819*S1819)</x:f>
        <x:v>-3787326.087169409</x:v>
      </x:c>
      <x:c r="Y1819" s="58" t="n">
        <x:f>IF(R1819="No","",W1819*T1819*Assumptions!$B$9)</x:f>
        <x:v>-1233491.7270114706</x:v>
      </x:c>
      <x:c r="Z1819" s="58" t="n">
        <x:f>IF(R1819="No","",X1819-Y1819)</x:f>
        <x:v>-2553834.360157938</x:v>
      </x:c>
      <x:c r="AA1819" s="58" t="n">
        <x:f>IF(R1819="No","",MAX(0,-Z1819))</x:f>
        <x:v>2553834.360157938</x:v>
      </x:c>
      <x:c r="AB1819" s="52" t="n">
        <x:f>IF(OR(R1819="No",U1819*S1819=0),"",AA1819/(U1819*S1819))</x:f>
        <x:v>0.046754352767612806</x:v>
      </x:c>
      <x:c r="AC1819" s="54" t="n">
        <x:f>IF(OR(R1819="No",S1819-T1819*Assumptions!$B$9&lt;=0),"",AA1819/(Assumptions!$B$8*(S1819-T1819*Assumptions!$B$9)))</x:f>
        <x:v>682.5486748791467</x:v>
      </x:c>
      <x:c r="AD1819" s="52" t="n">
        <x:f>IF(OR(R1819="No",U1819*S1819=0),"",AA1819/(U1819*S1819))</x:f>
        <x:v>0.046754352767612806</x:v>
      </x:c>
      <x:c r="AE1819" s="50" t="str">
        <x:f>IF(R1819="No","No finance data",IF(AB1819&gt;=10%,"Severe",IF(AB1819&gt;=5%,"High",IF(AB1819&gt;=2%,"Moderate","Low"))))</x:f>
        <x:v>Moderate</x:v>
      </x:c>
      <x:c r="AF1819" s="60" t="n">
        <x:v>44.798284</x:v>
      </x:c>
      <x:c r="AG1819" s="60" t="n">
        <x:v>-91.501906</x:v>
      </x:c>
      <x:c r="AH1819" s="44" t="str">
        <x:v>Undergraduate tuition-contribution proxy only; not an audited total institutional budget.</x:v>
      </x:c>
    </x:row>
    <x:row r="1820">
      <x:c r="A1820" s="16" t="n">
        <x:v>240277</x:v>
      </x:c>
      <x:c r="B1820" s="16" t="str">
        <x:v>University of Wisconsin-Green Bay</x:v>
      </x:c>
      <x:c r="C1820" s="16" t="str">
        <x:v>WI</x:v>
      </x:c>
      <x:c r="D1820" s="16" t="str">
        <x:v>Public</x:v>
      </x:c>
      <x:c r="E1820" s="34" t="n">
        <x:v>5502</x:v>
      </x:c>
      <x:c r="F1820" s="21" t="n">
        <x:v>0.9143</x:v>
      </x:c>
      <x:c r="G1820" s="16" t="str">
        <x:v>Statewide</x:v>
      </x:c>
      <x:c r="H1820" s="36" t="n">
        <x:f>IF(G1820="National",Assumptions!$B$11,IF(G1820="Statewide",Assumptions!$B$12,Assumptions!$B$13))</x:f>
        <x:v>0.6</x:v>
      </x:c>
      <x:c r="I1820" s="21" t="n">
        <x:v>-0.06510674082707546</x:v>
      </x:c>
      <x:c r="J1820" s="21" t="n">
        <x:v>-0.08396158215429106</x:v>
      </x:c>
      <x:c r="K1820" s="21" t="n">
        <x:v>-0.16038417845708974</x:v>
      </x:c>
      <x:c r="L1820" s="36" t="n">
        <x:f>IF(Assumptions!$B$4=2030,I1820,IF(Assumptions!$B$4=2035,J1820,K1820))</x:f>
        <x:v>-0.08396158215429106</x:v>
      </x:c>
      <x:c r="M1820" s="36" t="n">
        <x:f>Assumptions!$B$19</x:f>
        <x:v>-0.04739891965741583</x:v>
      </x:c>
      <x:c r="N1820" s="52" t="n">
        <x:f>H1820*L1820+(1-H1820)*M1820+O1820</x:f>
        <x:v>-0.06933651715554097</x:v>
      </x:c>
      <x:c r="O1820" s="36" t="n">
        <x:f>Assumptions!$B$10</x:f>
        <x:v>0</x:v>
      </x:c>
      <x:c r="P1820" s="54" t="n">
        <x:f>E1820*(1+N1820)</x:f>
        <x:v>5120.510482610213</x:v>
      </x:c>
      <x:c r="Q1820" s="54" t="n">
        <x:f>P1820-E1820</x:f>
        <x:v>-381.48951738978667</x:v>
      </x:c>
      <x:c r="R1820" s="16" t="str">
        <x:v>Yes</x:v>
      </x:c>
      <x:c r="S1820" s="56" t="n">
        <x:v>5330</x:v>
      </x:c>
      <x:c r="T1820" s="56" t="n">
        <x:v>6013</x:v>
      </x:c>
      <x:c r="U1820" s="40" t="n">
        <x:f>E1820*Assumptions!$B$8</x:f>
        <x:v>4676.7</x:v>
      </x:c>
      <x:c r="V1820" s="40" t="n">
        <x:f>P1820*Assumptions!$B$8</x:f>
        <x:v>4352.433910218681</x:v>
      </x:c>
      <x:c r="W1820" s="54" t="n">
        <x:f>V1820-U1820</x:f>
        <x:v>-324.26608978131844</x:v>
      </x:c>
      <x:c r="X1820" s="58" t="n">
        <x:f>IF(R1820="No","",W1820*S1820)</x:f>
        <x:v>-1728338.2585344273</x:v>
      </x:c>
      <x:c r="Y1820" s="58" t="n">
        <x:f>IF(R1820="No","",W1820*T1820*Assumptions!$B$9)</x:f>
        <x:v>-584943.5993565203</x:v>
      </x:c>
      <x:c r="Z1820" s="58" t="n">
        <x:f>IF(R1820="No","",X1820-Y1820)</x:f>
        <x:v>-1143394.6591779068</x:v>
      </x:c>
      <x:c r="AA1820" s="58" t="n">
        <x:f>IF(R1820="No","",MAX(0,-Z1820))</x:f>
        <x:v>1143394.6591779068</x:v>
      </x:c>
      <x:c r="AB1820" s="52" t="n">
        <x:f>IF(OR(R1820="No",U1820*S1820=0),"",AA1820/(U1820*S1820))</x:f>
        <x:v>0.04587007376025384</x:v>
      </x:c>
      <x:c r="AC1820" s="54" t="n">
        <x:f>IF(OR(R1820="No",S1820-T1820*Assumptions!$B$9&lt;=0),"",AA1820/(Assumptions!$B$8*(S1820-T1820*Assumptions!$B$9)))</x:f>
        <x:v>381.48951738978633</x:v>
      </x:c>
      <x:c r="AD1820" s="52" t="n">
        <x:f>IF(OR(R1820="No",U1820*S1820=0),"",AA1820/(U1820*S1820))</x:f>
        <x:v>0.04587007376025384</x:v>
      </x:c>
      <x:c r="AE1820" s="50" t="str">
        <x:f>IF(R1820="No","No finance data",IF(AB1820&gt;=10%,"Severe",IF(AB1820&gt;=5%,"High",IF(AB1820&gt;=2%,"Moderate","Low"))))</x:f>
        <x:v>Moderate</x:v>
      </x:c>
      <x:c r="AF1820" s="60" t="n">
        <x:v>44.532298</x:v>
      </x:c>
      <x:c r="AG1820" s="60" t="n">
        <x:v>-87.919973</x:v>
      </x:c>
      <x:c r="AH1820" s="44" t="str">
        <x:v>Undergraduate tuition-contribution proxy only; not an audited total institutional budget.</x:v>
      </x:c>
    </x:row>
    <x:row r="1821">
      <x:c r="A1821" s="16" t="n">
        <x:v>240329</x:v>
      </x:c>
      <x:c r="B1821" s="16" t="str">
        <x:v>University of Wisconsin-La Crosse</x:v>
      </x:c>
      <x:c r="C1821" s="16" t="str">
        <x:v>WI</x:v>
      </x:c>
      <x:c r="D1821" s="16" t="str">
        <x:v>Public</x:v>
      </x:c>
      <x:c r="E1821" s="34" t="n">
        <x:v>9462</x:v>
      </x:c>
      <x:c r="F1821" s="21" t="n">
        <x:v>0.7385</x:v>
      </x:c>
      <x:c r="G1821" s="16" t="str">
        <x:v>Statewide</x:v>
      </x:c>
      <x:c r="H1821" s="36" t="n">
        <x:f>IF(G1821="National",Assumptions!$B$11,IF(G1821="Statewide",Assumptions!$B$12,Assumptions!$B$13))</x:f>
        <x:v>0.6</x:v>
      </x:c>
      <x:c r="I1821" s="21" t="n">
        <x:v>-0.06510674082707546</x:v>
      </x:c>
      <x:c r="J1821" s="21" t="n">
        <x:v>-0.08396158215429106</x:v>
      </x:c>
      <x:c r="K1821" s="21" t="n">
        <x:v>-0.16038417845708974</x:v>
      </x:c>
      <x:c r="L1821" s="36" t="n">
        <x:f>IF(Assumptions!$B$4=2030,I1821,IF(Assumptions!$B$4=2035,J1821,K1821))</x:f>
        <x:v>-0.08396158215429106</x:v>
      </x:c>
      <x:c r="M1821" s="36" t="n">
        <x:f>Assumptions!$B$19</x:f>
        <x:v>-0.04739891965741583</x:v>
      </x:c>
      <x:c r="N1821" s="52" t="n">
        <x:f>H1821*L1821+(1-H1821)*M1821+O1821</x:f>
        <x:v>-0.06933651715554097</x:v>
      </x:c>
      <x:c r="O1821" s="36" t="n">
        <x:f>Assumptions!$B$10</x:f>
        <x:v>0</x:v>
      </x:c>
      <x:c r="P1821" s="54" t="n">
        <x:f>E1821*(1+N1821)</x:f>
        <x:v>8805.937874674271</x:v>
      </x:c>
      <x:c r="Q1821" s="54" t="n">
        <x:f>P1821-E1821</x:f>
        <x:v>-656.0621253257286</x:v>
      </x:c>
      <x:c r="R1821" s="16" t="str">
        <x:v>Yes</x:v>
      </x:c>
      <x:c r="S1821" s="56" t="n">
        <x:v>7177</x:v>
      </x:c>
      <x:c r="T1821" s="56" t="n">
        <x:v>7192</x:v>
      </x:c>
      <x:c r="U1821" s="40" t="n">
        <x:f>E1821*Assumptions!$B$8</x:f>
        <x:v>8042.7</x:v>
      </x:c>
      <x:c r="V1821" s="40" t="n">
        <x:f>P1821*Assumptions!$B$8</x:f>
        <x:v>7485.04719347313</x:v>
      </x:c>
      <x:c r="W1821" s="54" t="n">
        <x:f>V1821-U1821</x:f>
        <x:v>-557.6528065268694</x:v>
      </x:c>
      <x:c r="X1821" s="58" t="n">
        <x:f>IF(R1821="No","",W1821*S1821)</x:f>
        <x:v>-4002274.192443342</x:v>
      </x:c>
      <x:c r="Y1821" s="58" t="n">
        <x:f>IF(R1821="No","",W1821*T1821*Assumptions!$B$9)</x:f>
        <x:v>-1203191.6953623735</x:v>
      </x:c>
      <x:c r="Z1821" s="58" t="n">
        <x:f>IF(R1821="No","",X1821-Y1821)</x:f>
        <x:v>-2799082.4970809687</x:v>
      </x:c>
      <x:c r="AA1821" s="58" t="n">
        <x:f>IF(R1821="No","",MAX(0,-Z1821))</x:f>
        <x:v>2799082.4970809687</x:v>
      </x:c>
      <x:c r="AB1821" s="52" t="n">
        <x:f>IF(OR(R1821="No",U1821*S1821=0),"",AA1821/(U1821*S1821))</x:f>
        <x:v>0.04849208780974257</x:v>
      </x:c>
      <x:c r="AC1821" s="54" t="n">
        <x:f>IF(OR(R1821="No",S1821-T1821*Assumptions!$B$9&lt;=0),"",AA1821/(Assumptions!$B$8*(S1821-T1821*Assumptions!$B$9)))</x:f>
        <x:v>656.0621253257289</x:v>
      </x:c>
      <x:c r="AD1821" s="52" t="n">
        <x:f>IF(OR(R1821="No",U1821*S1821=0),"",AA1821/(U1821*S1821))</x:f>
        <x:v>0.04849208780974257</x:v>
      </x:c>
      <x:c r="AE1821" s="50" t="str">
        <x:f>IF(R1821="No","No finance data",IF(AB1821&gt;=10%,"Severe",IF(AB1821&gt;=5%,"High",IF(AB1821&gt;=2%,"Moderate","Low"))))</x:f>
        <x:v>Moderate</x:v>
      </x:c>
      <x:c r="AF1821" s="60" t="n">
        <x:v>43.81568</x:v>
      </x:c>
      <x:c r="AG1821" s="60" t="n">
        <x:v>-91.23186</x:v>
      </x:c>
      <x:c r="AH1821" s="44" t="str">
        <x:v>Undergraduate tuition-contribution proxy only; not an audited total institutional budget.</x:v>
      </x:c>
    </x:row>
    <x:row r="1822">
      <x:c r="A1822" s="16" t="n">
        <x:v>240444</x:v>
      </x:c>
      <x:c r="B1822" s="16" t="str">
        <x:v>University of Wisconsin-Madison</x:v>
      </x:c>
      <x:c r="C1822" s="16" t="str">
        <x:v>WI</x:v>
      </x:c>
      <x:c r="D1822" s="16" t="str">
        <x:v>Public</x:v>
      </x:c>
      <x:c r="E1822" s="34" t="n">
        <x:v>29579</x:v>
      </x:c>
      <x:c r="F1822" s="21" t="n">
        <x:v>0.6035</x:v>
      </x:c>
      <x:c r="G1822" s="16" t="str">
        <x:v>National</x:v>
      </x:c>
      <x:c r="H1822" s="36" t="n">
        <x:f>IF(G1822="National",Assumptions!$B$11,IF(G1822="Statewide",Assumptions!$B$12,Assumptions!$B$13))</x:f>
        <x:v>0.25</x:v>
      </x:c>
      <x:c r="I1822" s="21" t="n">
        <x:v>-0.06510674082707546</x:v>
      </x:c>
      <x:c r="J1822" s="21" t="n">
        <x:v>-0.08396158215429106</x:v>
      </x:c>
      <x:c r="K1822" s="21" t="n">
        <x:v>-0.16038417845708974</x:v>
      </x:c>
      <x:c r="L1822" s="36" t="n">
        <x:f>IF(Assumptions!$B$4=2030,I1822,IF(Assumptions!$B$4=2035,J1822,K1822))</x:f>
        <x:v>-0.08396158215429106</x:v>
      </x:c>
      <x:c r="M1822" s="36" t="n">
        <x:f>Assumptions!$B$19</x:f>
        <x:v>-0.04739891965741583</x:v>
      </x:c>
      <x:c r="N1822" s="52" t="n">
        <x:f>H1822*L1822+(1-H1822)*M1822+O1822</x:f>
        <x:v>-0.056539585281634636</x:v>
      </x:c>
      <x:c r="O1822" s="36" t="n">
        <x:f>Assumptions!$B$10</x:f>
        <x:v>0</x:v>
      </x:c>
      <x:c r="P1822" s="54" t="n">
        <x:f>E1822*(1+N1822)</x:f>
        <x:v>27906.61560695453</x:v>
      </x:c>
      <x:c r="Q1822" s="54" t="n">
        <x:f>P1822-E1822</x:f>
        <x:v>-1672.3843930454714</x:v>
      </x:c>
      <x:c r="R1822" s="16" t="str">
        <x:v>Yes</x:v>
      </x:c>
      <x:c r="S1822" s="56" t="n">
        <x:v>17049</x:v>
      </x:c>
      <x:c r="T1822" s="56" t="n">
        <x:v>18274</x:v>
      </x:c>
      <x:c r="U1822" s="40" t="n">
        <x:f>E1822*Assumptions!$B$8</x:f>
        <x:v>25142.149999999998</x:v>
      </x:c>
      <x:c r="V1822" s="40" t="n">
        <x:f>P1822*Assumptions!$B$8</x:f>
        <x:v>23720.62326591135</x:v>
      </x:c>
      <x:c r="W1822" s="54" t="n">
        <x:f>V1822-U1822</x:f>
        <x:v>-1421.5267340886494</x:v>
      </x:c>
      <x:c r="X1822" s="58" t="n">
        <x:f>IF(R1822="No","",W1822*S1822)</x:f>
        <x:v>-24235609.28947738</x:v>
      </x:c>
      <x:c r="Y1822" s="58" t="n">
        <x:f>IF(R1822="No","",W1822*T1822*Assumptions!$B$9)</x:f>
        <x:v>-7793093.861620793</x:v>
      </x:c>
      <x:c r="Z1822" s="58" t="n">
        <x:f>IF(R1822="No","",X1822-Y1822)</x:f>
        <x:v>-16442515.427856589</x:v>
      </x:c>
      <x:c r="AA1822" s="58" t="n">
        <x:f>IF(R1822="No","",MAX(0,-Z1822))</x:f>
        <x:v>16442515.427856589</x:v>
      </x:c>
      <x:c r="AB1822" s="52" t="n">
        <x:f>IF(OR(R1822="No",U1822*S1822=0),"",AA1822/(U1822*S1822))</x:f>
        <x:v>0.038358969736384016</x:v>
      </x:c>
      <x:c r="AC1822" s="54" t="n">
        <x:f>IF(OR(R1822="No",S1822-T1822*Assumptions!$B$9&lt;=0),"",AA1822/(Assumptions!$B$8*(S1822-T1822*Assumptions!$B$9)))</x:f>
        <x:v>1672.38439304547</x:v>
      </x:c>
      <x:c r="AD1822" s="52" t="n">
        <x:f>IF(OR(R1822="No",U1822*S1822=0),"",AA1822/(U1822*S1822))</x:f>
        <x:v>0.038358969736384016</x:v>
      </x:c>
      <x:c r="AE1822" s="50" t="str">
        <x:f>IF(R1822="No","No finance data",IF(AB1822&gt;=10%,"Severe",IF(AB1822&gt;=5%,"High",IF(AB1822&gt;=2%,"Moderate","Low"))))</x:f>
        <x:v>Moderate</x:v>
      </x:c>
      <x:c r="AF1822" s="60" t="n">
        <x:v>43.075409</x:v>
      </x:c>
      <x:c r="AG1822" s="60" t="n">
        <x:v>-89.404098</x:v>
      </x:c>
      <x:c r="AH1822" s="44" t="str">
        <x:v>Undergraduate tuition-contribution proxy only; not an audited total institutional budget.</x:v>
      </x:c>
    </x:row>
    <x:row r="1823">
      <x:c r="A1823" s="16" t="n">
        <x:v>240453</x:v>
      </x:c>
      <x:c r="B1823" s="16" t="str">
        <x:v>University of Wisconsin-Milwaukee</x:v>
      </x:c>
      <x:c r="C1823" s="16" t="str">
        <x:v>WI</x:v>
      </x:c>
      <x:c r="D1823" s="16" t="str">
        <x:v>Public</x:v>
      </x:c>
      <x:c r="E1823" s="34" t="n">
        <x:v>20921</x:v>
      </x:c>
      <x:c r="F1823" s="21" t="n">
        <x:v>0.8896</x:v>
      </x:c>
      <x:c r="G1823" s="16" t="str">
        <x:v>Statewide</x:v>
      </x:c>
      <x:c r="H1823" s="36" t="n">
        <x:f>IF(G1823="National",Assumptions!$B$11,IF(G1823="Statewide",Assumptions!$B$12,Assumptions!$B$13))</x:f>
        <x:v>0.6</x:v>
      </x:c>
      <x:c r="I1823" s="21" t="n">
        <x:v>-0.06510674082707546</x:v>
      </x:c>
      <x:c r="J1823" s="21" t="n">
        <x:v>-0.08396158215429106</x:v>
      </x:c>
      <x:c r="K1823" s="21" t="n">
        <x:v>-0.16038417845708974</x:v>
      </x:c>
      <x:c r="L1823" s="36" t="n">
        <x:f>IF(Assumptions!$B$4=2030,I1823,IF(Assumptions!$B$4=2035,J1823,K1823))</x:f>
        <x:v>-0.08396158215429106</x:v>
      </x:c>
      <x:c r="M1823" s="36" t="n">
        <x:f>Assumptions!$B$19</x:f>
        <x:v>-0.04739891965741583</x:v>
      </x:c>
      <x:c r="N1823" s="52" t="n">
        <x:f>H1823*L1823+(1-H1823)*M1823+O1823</x:f>
        <x:v>-0.06933651715554097</x:v>
      </x:c>
      <x:c r="O1823" s="36" t="n">
        <x:f>Assumptions!$B$10</x:f>
        <x:v>0</x:v>
      </x:c>
      <x:c r="P1823" s="54" t="n">
        <x:f>E1823*(1+N1823)</x:f>
        <x:v>19470.410724588928</x:v>
      </x:c>
      <x:c r="Q1823" s="54" t="n">
        <x:f>P1823-E1823</x:f>
        <x:v>-1450.5892754110719</x:v>
      </x:c>
      <x:c r="R1823" s="16" t="str">
        <x:v>Yes</x:v>
      </x:c>
      <x:c r="S1823" s="56" t="n">
        <x:v>8327</x:v>
      </x:c>
      <x:c r="T1823" s="56" t="n">
        <x:v>9015</x:v>
      </x:c>
      <x:c r="U1823" s="40" t="n">
        <x:f>E1823*Assumptions!$B$8</x:f>
        <x:v>17782.85</x:v>
      </x:c>
      <x:c r="V1823" s="40" t="n">
        <x:f>P1823*Assumptions!$B$8</x:f>
        <x:v>16549.84911590059</x:v>
      </x:c>
      <x:c r="W1823" s="54" t="n">
        <x:f>V1823-U1823</x:f>
        <x:v>-1233.0008840994087</x:v>
      </x:c>
      <x:c r="X1823" s="58" t="n">
        <x:f>IF(R1823="No","",W1823*S1823)</x:f>
        <x:v>-10267198.361895777</x:v>
      </x:c>
      <x:c r="Y1823" s="58" t="n">
        <x:f>IF(R1823="No","",W1823*T1823*Assumptions!$B$9)</x:f>
        <x:v>-3334650.891046851</x:v>
      </x:c>
      <x:c r="Z1823" s="58" t="n">
        <x:f>IF(R1823="No","",X1823-Y1823)</x:f>
        <x:v>-6932547.470848926</x:v>
      </x:c>
      <x:c r="AA1823" s="58" t="n">
        <x:f>IF(R1823="No","",MAX(0,-Z1823))</x:f>
        <x:v>6932547.470848926</x:v>
      </x:c>
      <x:c r="AB1823" s="52" t="n">
        <x:f>IF(OR(R1823="No",U1823*S1823=0),"",AA1823/(U1823*S1823))</x:f>
        <x:v>0.04681692899087645</x:v>
      </x:c>
      <x:c r="AC1823" s="54" t="n">
        <x:f>IF(OR(R1823="No",S1823-T1823*Assumptions!$B$9&lt;=0),"",AA1823/(Assumptions!$B$8*(S1823-T1823*Assumptions!$B$9)))</x:f>
        <x:v>1450.5892754110694</x:v>
      </x:c>
      <x:c r="AD1823" s="52" t="n">
        <x:f>IF(OR(R1823="No",U1823*S1823=0),"",AA1823/(U1823*S1823))</x:f>
        <x:v>0.04681692899087645</x:v>
      </x:c>
      <x:c r="AE1823" s="50" t="str">
        <x:f>IF(R1823="No","No finance data",IF(AB1823&gt;=10%,"Severe",IF(AB1823&gt;=5%,"High",IF(AB1823&gt;=2%,"Moderate","Low"))))</x:f>
        <x:v>Moderate</x:v>
      </x:c>
      <x:c r="AF1823" s="60" t="n">
        <x:v>43.076848</x:v>
      </x:c>
      <x:c r="AG1823" s="60" t="n">
        <x:v>-87.880488</x:v>
      </x:c>
      <x:c r="AH1823" s="44" t="str">
        <x:v>Undergraduate tuition-contribution proxy only; not an audited total institutional budget.</x:v>
      </x:c>
    </x:row>
    <x:row r="1824">
      <x:c r="A1824" s="16" t="n">
        <x:v>240365</x:v>
      </x:c>
      <x:c r="B1824" s="16" t="str">
        <x:v>University of Wisconsin-Oshkosh</x:v>
      </x:c>
      <x:c r="C1824" s="16" t="str">
        <x:v>WI</x:v>
      </x:c>
      <x:c r="D1824" s="16" t="str">
        <x:v>Public</x:v>
      </x:c>
      <x:c r="E1824" s="34" t="n">
        <x:v>9955</x:v>
      </x:c>
      <x:c r="F1824" s="21" t="n">
        <x:v>0.8989</x:v>
      </x:c>
      <x:c r="G1824" s="16" t="str">
        <x:v>Statewide</x:v>
      </x:c>
      <x:c r="H1824" s="36" t="n">
        <x:f>IF(G1824="National",Assumptions!$B$11,IF(G1824="Statewide",Assumptions!$B$12,Assumptions!$B$13))</x:f>
        <x:v>0.6</x:v>
      </x:c>
      <x:c r="I1824" s="21" t="n">
        <x:v>-0.06510674082707546</x:v>
      </x:c>
      <x:c r="J1824" s="21" t="n">
        <x:v>-0.08396158215429106</x:v>
      </x:c>
      <x:c r="K1824" s="21" t="n">
        <x:v>-0.16038417845708974</x:v>
      </x:c>
      <x:c r="L1824" s="36" t="n">
        <x:f>IF(Assumptions!$B$4=2030,I1824,IF(Assumptions!$B$4=2035,J1824,K1824))</x:f>
        <x:v>-0.08396158215429106</x:v>
      </x:c>
      <x:c r="M1824" s="36" t="n">
        <x:f>Assumptions!$B$19</x:f>
        <x:v>-0.04739891965741583</x:v>
      </x:c>
      <x:c r="N1824" s="52" t="n">
        <x:f>H1824*L1824+(1-H1824)*M1824+O1824</x:f>
        <x:v>-0.06933651715554097</x:v>
      </x:c>
      <x:c r="O1824" s="36" t="n">
        <x:f>Assumptions!$B$10</x:f>
        <x:v>0</x:v>
      </x:c>
      <x:c r="P1824" s="54" t="n">
        <x:f>E1824*(1+N1824)</x:f>
        <x:v>9264.75497171659</x:v>
      </x:c>
      <x:c r="Q1824" s="54" t="n">
        <x:f>P1824-E1824</x:f>
        <x:v>-690.2450282834106</x:v>
      </x:c>
      <x:c r="R1824" s="16" t="str">
        <x:v>Yes</x:v>
      </x:c>
      <x:c r="S1824" s="56" t="n">
        <x:v>6003</x:v>
      </x:c>
      <x:c r="T1824" s="56" t="n">
        <x:v>8233</x:v>
      </x:c>
      <x:c r="U1824" s="40" t="n">
        <x:f>E1824*Assumptions!$B$8</x:f>
        <x:v>8461.75</x:v>
      </x:c>
      <x:c r="V1824" s="40" t="n">
        <x:f>P1824*Assumptions!$B$8</x:f>
        <x:v>7875.0417259591</x:v>
      </x:c>
      <x:c r="W1824" s="54" t="n">
        <x:f>V1824-U1824</x:f>
        <x:v>-586.7082740408996</x:v>
      </x:c>
      <x:c r="X1824" s="58" t="n">
        <x:f>IF(R1824="No","",W1824*S1824)</x:f>
        <x:v>-3522009.7690675203</x:v>
      </x:c>
      <x:c r="Y1824" s="58" t="n">
        <x:f>IF(R1824="No","",W1824*T1824*Assumptions!$B$9)</x:f>
        <x:v>-1449110.7660536177</x:v>
      </x:c>
      <x:c r="Z1824" s="58" t="n">
        <x:f>IF(R1824="No","",X1824-Y1824)</x:f>
        <x:v>-2072899.0030139026</x:v>
      </x:c>
      <x:c r="AA1824" s="58" t="n">
        <x:f>IF(R1824="No","",MAX(0,-Z1824))</x:f>
        <x:v>2072899.0030139026</x:v>
      </x:c>
      <x:c r="AB1824" s="52" t="n">
        <x:f>IF(OR(R1824="No",U1824*S1824=0),"",AA1824/(U1824*S1824))</x:f>
        <x:v>0.04080840392507782</x:v>
      </x:c>
      <x:c r="AC1824" s="54" t="n">
        <x:f>IF(OR(R1824="No",S1824-T1824*Assumptions!$B$9&lt;=0),"",AA1824/(Assumptions!$B$8*(S1824-T1824*Assumptions!$B$9)))</x:f>
        <x:v>690.2450282834114</x:v>
      </x:c>
      <x:c r="AD1824" s="52" t="n">
        <x:f>IF(OR(R1824="No",U1824*S1824=0),"",AA1824/(U1824*S1824))</x:f>
        <x:v>0.04080840392507782</x:v>
      </x:c>
      <x:c r="AE1824" s="50" t="str">
        <x:f>IF(R1824="No","No finance data",IF(AB1824&gt;=10%,"Severe",IF(AB1824&gt;=5%,"High",IF(AB1824&gt;=2%,"Moderate","Low"))))</x:f>
        <x:v>Moderate</x:v>
      </x:c>
      <x:c r="AF1824" s="60" t="n">
        <x:v>44.026206</x:v>
      </x:c>
      <x:c r="AG1824" s="60" t="n">
        <x:v>-88.549369</x:v>
      </x:c>
      <x:c r="AH1824" s="44" t="str">
        <x:v>Undergraduate tuition-contribution proxy only; not an audited total institutional budget.</x:v>
      </x:c>
    </x:row>
    <x:row r="1825">
      <x:c r="A1825" s="16" t="n">
        <x:v>240374</x:v>
      </x:c>
      <x:c r="B1825" s="16" t="str">
        <x:v>University of Wisconsin-Parkside</x:v>
      </x:c>
      <x:c r="C1825" s="16" t="str">
        <x:v>WI</x:v>
      </x:c>
      <x:c r="D1825" s="16" t="str">
        <x:v>Public</x:v>
      </x:c>
      <x:c r="E1825" s="34" t="n">
        <x:v>4158</x:v>
      </x:c>
      <x:c r="F1825" s="21" t="n">
        <x:v>0.7497</x:v>
      </x:c>
      <x:c r="G1825" s="16" t="str">
        <x:v>Regional</x:v>
      </x:c>
      <x:c r="H1825" s="36" t="n">
        <x:f>IF(G1825="National",Assumptions!$B$11,IF(G1825="Statewide",Assumptions!$B$12,Assumptions!$B$13))</x:f>
        <x:v>0.85</x:v>
      </x:c>
      <x:c r="I1825" s="21" t="n">
        <x:v>-0.06510674082707546</x:v>
      </x:c>
      <x:c r="J1825" s="21" t="n">
        <x:v>-0.08396158215429106</x:v>
      </x:c>
      <x:c r="K1825" s="21" t="n">
        <x:v>-0.16038417845708974</x:v>
      </x:c>
      <x:c r="L1825" s="36" t="n">
        <x:f>IF(Assumptions!$B$4=2030,I1825,IF(Assumptions!$B$4=2035,J1825,K1825))</x:f>
        <x:v>-0.08396158215429106</x:v>
      </x:c>
      <x:c r="M1825" s="36" t="n">
        <x:f>Assumptions!$B$19</x:f>
        <x:v>-0.04739891965741583</x:v>
      </x:c>
      <x:c r="N1825" s="52" t="n">
        <x:f>H1825*L1825+(1-H1825)*M1825+O1825</x:f>
        <x:v>-0.07847718277975978</x:v>
      </x:c>
      <x:c r="O1825" s="36" t="n">
        <x:f>Assumptions!$B$10</x:f>
        <x:v>0</x:v>
      </x:c>
      <x:c r="P1825" s="54" t="n">
        <x:f>E1825*(1+N1825)</x:f>
        <x:v>3831.6918740017586</x:v>
      </x:c>
      <x:c r="Q1825" s="54" t="n">
        <x:f>P1825-E1825</x:f>
        <x:v>-326.3081259982414</x:v>
      </x:c>
      <x:c r="R1825" s="16" t="str">
        <x:v>Yes</x:v>
      </x:c>
      <x:c r="S1825" s="56" t="n">
        <x:v>6367</x:v>
      </x:c>
      <x:c r="T1825" s="56" t="n">
        <x:v>7102</x:v>
      </x:c>
      <x:c r="U1825" s="40" t="n">
        <x:f>E1825*Assumptions!$B$8</x:f>
        <x:v>3534.2999999999997</x:v>
      </x:c>
      <x:c r="V1825" s="40" t="n">
        <x:f>P1825*Assumptions!$B$8</x:f>
        <x:v>3256.9380929014947</x:v>
      </x:c>
      <x:c r="W1825" s="54" t="n">
        <x:f>V1825-U1825</x:f>
        <x:v>-277.36190709850507</x:v>
      </x:c>
      <x:c r="X1825" s="58" t="n">
        <x:f>IF(R1825="No","",W1825*S1825)</x:f>
        <x:v>-1765963.2624961818</x:v>
      </x:c>
      <x:c r="Y1825" s="58" t="n">
        <x:f>IF(R1825="No","",W1825*T1825*Assumptions!$B$9)</x:f>
        <x:v>-590947.2792640749</x:v>
      </x:c>
      <x:c r="Z1825" s="58" t="n">
        <x:f>IF(R1825="No","",X1825-Y1825)</x:f>
        <x:v>-1175015.983232107</x:v>
      </x:c>
      <x:c r="AA1825" s="58" t="n">
        <x:f>IF(R1825="No","",MAX(0,-Z1825))</x:f>
        <x:v>1175015.983232107</x:v>
      </x:c>
      <x:c r="AB1825" s="52" t="n">
        <x:f>IF(OR(R1825="No",U1825*S1825=0),"",AA1825/(U1825*S1825))</x:f>
        <x:v>0.05221623011279637</x:v>
      </x:c>
      <x:c r="AC1825" s="54" t="n">
        <x:f>IF(OR(R1825="No",S1825-T1825*Assumptions!$B$9&lt;=0),"",AA1825/(Assumptions!$B$8*(S1825-T1825*Assumptions!$B$9)))</x:f>
        <x:v>326.30812599824134</x:v>
      </x:c>
      <x:c r="AD1825" s="52" t="n">
        <x:f>IF(OR(R1825="No",U1825*S1825=0),"",AA1825/(U1825*S1825))</x:f>
        <x:v>0.05221623011279637</x:v>
      </x:c>
      <x:c r="AE1825" s="50" t="str">
        <x:f>IF(R1825="No","No finance data",IF(AB1825&gt;=10%,"Severe",IF(AB1825&gt;=5%,"High",IF(AB1825&gt;=2%,"Moderate","Low"))))</x:f>
        <x:v>High</x:v>
      </x:c>
      <x:c r="AF1825" s="60" t="n">
        <x:v>42.647718</x:v>
      </x:c>
      <x:c r="AG1825" s="60" t="n">
        <x:v>-87.855231</x:v>
      </x:c>
      <x:c r="AH1825" s="44" t="str">
        <x:v>Undergraduate tuition-contribution proxy only; not an audited total institutional budget.</x:v>
      </x:c>
    </x:row>
    <x:row r="1826">
      <x:c r="A1826" s="16" t="n">
        <x:v>240462</x:v>
      </x:c>
      <x:c r="B1826" s="16" t="str">
        <x:v>University of Wisconsin-Platteville</x:v>
      </x:c>
      <x:c r="C1826" s="16" t="str">
        <x:v>WI</x:v>
      </x:c>
      <x:c r="D1826" s="16" t="str">
        <x:v>Public</x:v>
      </x:c>
      <x:c r="E1826" s="34" t="n">
        <x:v>7785</x:v>
      </x:c>
      <x:c r="F1826" s="21" t="n">
        <x:v>0.8757</x:v>
      </x:c>
      <x:c r="G1826" s="16" t="str">
        <x:v>Statewide</x:v>
      </x:c>
      <x:c r="H1826" s="36" t="n">
        <x:f>IF(G1826="National",Assumptions!$B$11,IF(G1826="Statewide",Assumptions!$B$12,Assumptions!$B$13))</x:f>
        <x:v>0.6</x:v>
      </x:c>
      <x:c r="I1826" s="21" t="n">
        <x:v>-0.06510674082707546</x:v>
      </x:c>
      <x:c r="J1826" s="21" t="n">
        <x:v>-0.08396158215429106</x:v>
      </x:c>
      <x:c r="K1826" s="21" t="n">
        <x:v>-0.16038417845708974</x:v>
      </x:c>
      <x:c r="L1826" s="36" t="n">
        <x:f>IF(Assumptions!$B$4=2030,I1826,IF(Assumptions!$B$4=2035,J1826,K1826))</x:f>
        <x:v>-0.08396158215429106</x:v>
      </x:c>
      <x:c r="M1826" s="36" t="n">
        <x:f>Assumptions!$B$19</x:f>
        <x:v>-0.04739891965741583</x:v>
      </x:c>
      <x:c r="N1826" s="52" t="n">
        <x:f>H1826*L1826+(1-H1826)*M1826+O1826</x:f>
        <x:v>-0.06933651715554097</x:v>
      </x:c>
      <x:c r="O1826" s="36" t="n">
        <x:f>Assumptions!$B$10</x:f>
        <x:v>0</x:v>
      </x:c>
      <x:c r="P1826" s="54" t="n">
        <x:f>E1826*(1+N1826)</x:f>
        <x:v>7245.215213944113</x:v>
      </x:c>
      <x:c r="Q1826" s="54" t="n">
        <x:f>P1826-E1826</x:f>
        <x:v>-539.7847860558868</x:v>
      </x:c>
      <x:c r="R1826" s="16" t="str">
        <x:v>Yes</x:v>
      </x:c>
      <x:c r="S1826" s="56" t="n">
        <x:v>6207</x:v>
      </x:c>
      <x:c r="T1826" s="56" t="n">
        <x:v>6705</x:v>
      </x:c>
      <x:c r="U1826" s="40" t="n">
        <x:f>E1826*Assumptions!$B$8</x:f>
        <x:v>6617.25</x:v>
      </x:c>
      <x:c r="V1826" s="40" t="n">
        <x:f>P1826*Assumptions!$B$8</x:f>
        <x:v>6158.432931852496</x:v>
      </x:c>
      <x:c r="W1826" s="54" t="n">
        <x:f>V1826-U1826</x:f>
        <x:v>-458.81706814750396</x:v>
      </x:c>
      <x:c r="X1826" s="58" t="n">
        <x:f>IF(R1826="No","",W1826*S1826)</x:f>
        <x:v>-2847877.541991557</x:v>
      </x:c>
      <x:c r="Y1826" s="58" t="n">
        <x:f>IF(R1826="No","",W1826*T1826*Assumptions!$B$9)</x:f>
        <x:v>-922910.5325787042</x:v>
      </x:c>
      <x:c r="Z1826" s="58" t="n">
        <x:f>IF(R1826="No","",X1826-Y1826)</x:f>
        <x:v>-1924967.0094128528</x:v>
      </x:c>
      <x:c r="AA1826" s="58" t="n">
        <x:f>IF(R1826="No","",MAX(0,-Z1826))</x:f>
        <x:v>1924967.0094128528</x:v>
      </x:c>
      <x:c r="AB1826" s="52" t="n">
        <x:f>IF(OR(R1826="No",U1826*S1826=0),"",AA1826/(U1826*S1826))</x:f>
        <x:v>0.046866659855980736</x:v>
      </x:c>
      <x:c r="AC1826" s="54" t="n">
        <x:f>IF(OR(R1826="No",S1826-T1826*Assumptions!$B$9&lt;=0),"",AA1826/(Assumptions!$B$8*(S1826-T1826*Assumptions!$B$9)))</x:f>
        <x:v>539.784786055887</x:v>
      </x:c>
      <x:c r="AD1826" s="52" t="n">
        <x:f>IF(OR(R1826="No",U1826*S1826=0),"",AA1826/(U1826*S1826))</x:f>
        <x:v>0.046866659855980736</x:v>
      </x:c>
      <x:c r="AE1826" s="50" t="str">
        <x:f>IF(R1826="No","No finance data",IF(AB1826&gt;=10%,"Severe",IF(AB1826&gt;=5%,"High",IF(AB1826&gt;=2%,"Moderate","Low"))))</x:f>
        <x:v>Moderate</x:v>
      </x:c>
      <x:c r="AF1826" s="60" t="n">
        <x:v>42.733451</x:v>
      </x:c>
      <x:c r="AG1826" s="60" t="n">
        <x:v>-90.48622</x:v>
      </x:c>
      <x:c r="AH1826" s="44" t="str">
        <x:v>Undergraduate tuition-contribution proxy only; not an audited total institutional budget.</x:v>
      </x:c>
    </x:row>
    <x:row r="1827">
      <x:c r="A1827" s="16" t="n">
        <x:v>240471</x:v>
      </x:c>
      <x:c r="B1827" s="16" t="str">
        <x:v>University of Wisconsin-River Falls</x:v>
      </x:c>
      <x:c r="C1827" s="16" t="str">
        <x:v>WI</x:v>
      </x:c>
      <x:c r="D1827" s="16" t="str">
        <x:v>Public</x:v>
      </x:c>
      <x:c r="E1827" s="34" t="n">
        <x:v>5286</x:v>
      </x:c>
      <x:c r="F1827" s="21" t="n">
        <x:v>0.8624</x:v>
      </x:c>
      <x:c r="G1827" s="16" t="str">
        <x:v>Statewide</x:v>
      </x:c>
      <x:c r="H1827" s="36" t="n">
        <x:f>IF(G1827="National",Assumptions!$B$11,IF(G1827="Statewide",Assumptions!$B$12,Assumptions!$B$13))</x:f>
        <x:v>0.6</x:v>
      </x:c>
      <x:c r="I1827" s="21" t="n">
        <x:v>-0.06510674082707546</x:v>
      </x:c>
      <x:c r="J1827" s="21" t="n">
        <x:v>-0.08396158215429106</x:v>
      </x:c>
      <x:c r="K1827" s="21" t="n">
        <x:v>-0.16038417845708974</x:v>
      </x:c>
      <x:c r="L1827" s="36" t="n">
        <x:f>IF(Assumptions!$B$4=2030,I1827,IF(Assumptions!$B$4=2035,J1827,K1827))</x:f>
        <x:v>-0.08396158215429106</x:v>
      </x:c>
      <x:c r="M1827" s="36" t="n">
        <x:f>Assumptions!$B$19</x:f>
        <x:v>-0.04739891965741583</x:v>
      </x:c>
      <x:c r="N1827" s="52" t="n">
        <x:f>H1827*L1827+(1-H1827)*M1827+O1827</x:f>
        <x:v>-0.06933651715554097</x:v>
      </x:c>
      <x:c r="O1827" s="36" t="n">
        <x:f>Assumptions!$B$10</x:f>
        <x:v>0</x:v>
      </x:c>
      <x:c r="P1827" s="54" t="n">
        <x:f>E1827*(1+N1827)</x:f>
        <x:v>4919.4871703158105</x:v>
      </x:c>
      <x:c r="Q1827" s="54" t="n">
        <x:f>P1827-E1827</x:f>
        <x:v>-366.51282968418946</x:v>
      </x:c>
      <x:c r="R1827" s="16" t="str">
        <x:v>Yes</x:v>
      </x:c>
      <x:c r="S1827" s="56" t="n">
        <x:v>6034</x:v>
      </x:c>
      <x:c r="T1827" s="56" t="n">
        <x:v>7282</x:v>
      </x:c>
      <x:c r="U1827" s="40" t="n">
        <x:f>E1827*Assumptions!$B$8</x:f>
        <x:v>4493.099999999999</x:v>
      </x:c>
      <x:c r="V1827" s="40" t="n">
        <x:f>P1827*Assumptions!$B$8</x:f>
        <x:v>4181.564094768439</x:v>
      </x:c>
      <x:c r="W1827" s="54" t="n">
        <x:f>V1827-U1827</x:f>
        <x:v>-311.5359052315607</x:v>
      </x:c>
      <x:c r="X1827" s="58" t="n">
        <x:f>IF(R1827="No","",W1827*S1827)</x:f>
        <x:v>-1879807.6521672374</x:v>
      </x:c>
      <x:c r="Y1827" s="58" t="n">
        <x:f>IF(R1827="No","",W1827*T1827*Assumptions!$B$9)</x:f>
        <x:v>-680581.3385688675</x:v>
      </x:c>
      <x:c r="Z1827" s="58" t="n">
        <x:f>IF(R1827="No","",X1827-Y1827)</x:f>
        <x:v>-1199226.3135983697</x:v>
      </x:c>
      <x:c r="AA1827" s="58" t="n">
        <x:f>IF(R1827="No","",MAX(0,-Z1827))</x:f>
        <x:v>1199226.3135983697</x:v>
      </x:c>
      <x:c r="AB1827" s="52" t="n">
        <x:f>IF(OR(R1827="No",U1827*S1827=0),"",AA1827/(U1827*S1827))</x:f>
        <x:v>0.04423334258179301</x:v>
      </x:c>
      <x:c r="AC1827" s="54" t="n">
        <x:f>IF(OR(R1827="No",S1827-T1827*Assumptions!$B$9&lt;=0),"",AA1827/(Assumptions!$B$8*(S1827-T1827*Assumptions!$B$9)))</x:f>
        <x:v>366.51282968418906</x:v>
      </x:c>
      <x:c r="AD1827" s="52" t="n">
        <x:f>IF(OR(R1827="No",U1827*S1827=0),"",AA1827/(U1827*S1827))</x:f>
        <x:v>0.04423334258179301</x:v>
      </x:c>
      <x:c r="AE1827" s="50" t="str">
        <x:f>IF(R1827="No","No finance data",IF(AB1827&gt;=10%,"Severe",IF(AB1827&gt;=5%,"High",IF(AB1827&gt;=2%,"Moderate","Low"))))</x:f>
        <x:v>Moderate</x:v>
      </x:c>
      <x:c r="AF1827" s="60" t="n">
        <x:v>44.8534</x:v>
      </x:c>
      <x:c r="AG1827" s="60" t="n">
        <x:v>-92.622641</x:v>
      </x:c>
      <x:c r="AH1827" s="44" t="str">
        <x:v>Undergraduate tuition-contribution proxy only; not an audited total institutional budget.</x:v>
      </x:c>
    </x:row>
    <x:row r="1828">
      <x:c r="A1828" s="16" t="n">
        <x:v>240480</x:v>
      </x:c>
      <x:c r="B1828" s="16" t="str">
        <x:v>University of Wisconsin-Stevens Point</x:v>
      </x:c>
      <x:c r="C1828" s="16" t="str">
        <x:v>WI</x:v>
      </x:c>
      <x:c r="D1828" s="16" t="str">
        <x:v>Public</x:v>
      </x:c>
      <x:c r="E1828" s="34" t="n">
        <x:v>8733</x:v>
      </x:c>
      <x:c r="F1828" s="21" t="n">
        <x:v>0.9016</x:v>
      </x:c>
      <x:c r="G1828" s="16" t="str">
        <x:v>Statewide</x:v>
      </x:c>
      <x:c r="H1828" s="36" t="n">
        <x:f>IF(G1828="National",Assumptions!$B$11,IF(G1828="Statewide",Assumptions!$B$12,Assumptions!$B$13))</x:f>
        <x:v>0.6</x:v>
      </x:c>
      <x:c r="I1828" s="21" t="n">
        <x:v>-0.06510674082707546</x:v>
      </x:c>
      <x:c r="J1828" s="21" t="n">
        <x:v>-0.08396158215429106</x:v>
      </x:c>
      <x:c r="K1828" s="21" t="n">
        <x:v>-0.16038417845708974</x:v>
      </x:c>
      <x:c r="L1828" s="36" t="n">
        <x:f>IF(Assumptions!$B$4=2030,I1828,IF(Assumptions!$B$4=2035,J1828,K1828))</x:f>
        <x:v>-0.08396158215429106</x:v>
      </x:c>
      <x:c r="M1828" s="36" t="n">
        <x:f>Assumptions!$B$19</x:f>
        <x:v>-0.04739891965741583</x:v>
      </x:c>
      <x:c r="N1828" s="52" t="n">
        <x:f>H1828*L1828+(1-H1828)*M1828+O1828</x:f>
        <x:v>-0.06933651715554097</x:v>
      </x:c>
      <x:c r="O1828" s="36" t="n">
        <x:f>Assumptions!$B$10</x:f>
        <x:v>0</x:v>
      </x:c>
      <x:c r="P1828" s="54" t="n">
        <x:f>E1828*(1+N1828)</x:f>
        <x:v>8127.48419568066</x:v>
      </x:c>
      <x:c r="Q1828" s="54" t="n">
        <x:f>P1828-E1828</x:f>
        <x:v>-605.5158043193396</x:v>
      </x:c>
      <x:c r="R1828" s="16" t="str">
        <x:v>Yes</x:v>
      </x:c>
      <x:c r="S1828" s="56" t="n">
        <x:v>5039</x:v>
      </x:c>
      <x:c r="T1828" s="56" t="n">
        <x:v>7228</x:v>
      </x:c>
      <x:c r="U1828" s="40" t="n">
        <x:f>E1828*Assumptions!$B$8</x:f>
        <x:v>7423.05</x:v>
      </x:c>
      <x:c r="V1828" s="40" t="n">
        <x:f>P1828*Assumptions!$B$8</x:f>
        <x:v>6908.361566328561</x:v>
      </x:c>
      <x:c r="W1828" s="54" t="n">
        <x:f>V1828-U1828</x:f>
        <x:v>-514.6884336714393</x:v>
      </x:c>
      <x:c r="X1828" s="58" t="n">
        <x:f>IF(R1828="No","",W1828*S1828)</x:f>
        <x:v>-2593515.0172703825</x:v>
      </x:c>
      <x:c r="Y1828" s="58" t="n">
        <x:f>IF(R1828="No","",W1828*T1828*Assumptions!$B$9)</x:f>
        <x:v>-1116050.399573149</x:v>
      </x:c>
      <x:c r="Z1828" s="58" t="n">
        <x:f>IF(R1828="No","",X1828-Y1828)</x:f>
        <x:v>-1477464.6176972336</x:v>
      </x:c>
      <x:c r="AA1828" s="58" t="n">
        <x:f>IF(R1828="No","",MAX(0,-Z1828))</x:f>
        <x:v>1477464.6176972336</x:v>
      </x:c>
      <x:c r="AB1828" s="52" t="n">
        <x:f>IF(OR(R1828="No",U1828*S1828=0),"",AA1828/(U1828*S1828))</x:f>
        <x:v>0.03949938601839576</x:v>
      </x:c>
      <x:c r="AC1828" s="54" t="n">
        <x:f>IF(OR(R1828="No",S1828-T1828*Assumptions!$B$9&lt;=0),"",AA1828/(Assumptions!$B$8*(S1828-T1828*Assumptions!$B$9)))</x:f>
        <x:v>605.5158043193404</x:v>
      </x:c>
      <x:c r="AD1828" s="52" t="n">
        <x:f>IF(OR(R1828="No",U1828*S1828=0),"",AA1828/(U1828*S1828))</x:f>
        <x:v>0.03949938601839576</x:v>
      </x:c>
      <x:c r="AE1828" s="50" t="str">
        <x:f>IF(R1828="No","No finance data",IF(AB1828&gt;=10%,"Severe",IF(AB1828&gt;=5%,"High",IF(AB1828&gt;=2%,"Moderate","Low"))))</x:f>
        <x:v>Moderate</x:v>
      </x:c>
      <x:c r="AF1828" s="60" t="n">
        <x:v>44.529582</x:v>
      </x:c>
      <x:c r="AG1828" s="60" t="n">
        <x:v>-89.570934</x:v>
      </x:c>
      <x:c r="AH1828" s="44" t="str">
        <x:v>Undergraduate tuition-contribution proxy only; not an audited total institutional budget.</x:v>
      </x:c>
    </x:row>
    <x:row r="1829">
      <x:c r="A1829" s="16" t="n">
        <x:v>240417</x:v>
      </x:c>
      <x:c r="B1829" s="16" t="str">
        <x:v>University of Wisconsin-Stout</x:v>
      </x:c>
      <x:c r="C1829" s="16" t="str">
        <x:v>WI</x:v>
      </x:c>
      <x:c r="D1829" s="16" t="str">
        <x:v>Public</x:v>
      </x:c>
      <x:c r="E1829" s="34" t="n">
        <x:v>8220</x:v>
      </x:c>
      <x:c r="F1829" s="21" t="n">
        <x:v>0.9139</x:v>
      </x:c>
      <x:c r="G1829" s="16" t="str">
        <x:v>Statewide</x:v>
      </x:c>
      <x:c r="H1829" s="36" t="n">
        <x:f>IF(G1829="National",Assumptions!$B$11,IF(G1829="Statewide",Assumptions!$B$12,Assumptions!$B$13))</x:f>
        <x:v>0.6</x:v>
      </x:c>
      <x:c r="I1829" s="21" t="n">
        <x:v>-0.06510674082707546</x:v>
      </x:c>
      <x:c r="J1829" s="21" t="n">
        <x:v>-0.08396158215429106</x:v>
      </x:c>
      <x:c r="K1829" s="21" t="n">
        <x:v>-0.16038417845708974</x:v>
      </x:c>
      <x:c r="L1829" s="36" t="n">
        <x:f>IF(Assumptions!$B$4=2030,I1829,IF(Assumptions!$B$4=2035,J1829,K1829))</x:f>
        <x:v>-0.08396158215429106</x:v>
      </x:c>
      <x:c r="M1829" s="36" t="n">
        <x:f>Assumptions!$B$19</x:f>
        <x:v>-0.04739891965741583</x:v>
      </x:c>
      <x:c r="N1829" s="52" t="n">
        <x:f>H1829*L1829+(1-H1829)*M1829+O1829</x:f>
        <x:v>-0.06933651715554097</x:v>
      </x:c>
      <x:c r="O1829" s="36" t="n">
        <x:f>Assumptions!$B$10</x:f>
        <x:v>0</x:v>
      </x:c>
      <x:c r="P1829" s="54" t="n">
        <x:f>E1829*(1+N1829)</x:f>
        <x:v>7650.053828981453</x:v>
      </x:c>
      <x:c r="Q1829" s="54" t="n">
        <x:f>P1829-E1829</x:f>
        <x:v>-569.9461710185469</x:v>
      </x:c>
      <x:c r="R1829" s="16" t="str">
        <x:v>Yes</x:v>
      </x:c>
      <x:c r="S1829" s="56" t="n">
        <x:v>6390</x:v>
      </x:c>
      <x:c r="T1829" s="56" t="n">
        <x:v>7577</x:v>
      </x:c>
      <x:c r="U1829" s="40" t="n">
        <x:f>E1829*Assumptions!$B$8</x:f>
        <x:v>6987</x:v>
      </x:c>
      <x:c r="V1829" s="40" t="n">
        <x:f>P1829*Assumptions!$B$8</x:f>
        <x:v>6502.545754634235</x:v>
      </x:c>
      <x:c r="W1829" s="54" t="n">
        <x:f>V1829-U1829</x:f>
        <x:v>-484.454245365765</x:v>
      </x:c>
      <x:c r="X1829" s="58" t="n">
        <x:f>IF(R1829="No","",W1829*S1829)</x:f>
        <x:v>-3095662.6278872383</x:v>
      </x:c>
      <x:c r="Y1829" s="58" t="n">
        <x:f>IF(R1829="No","",W1829*T1829*Assumptions!$B$9)</x:f>
        <x:v>-1101212.9451409206</x:v>
      </x:c>
      <x:c r="Z1829" s="58" t="n">
        <x:f>IF(R1829="No","",X1829-Y1829)</x:f>
        <x:v>-1994449.6827463177</x:v>
      </x:c>
      <x:c r="AA1829" s="58" t="n">
        <x:f>IF(R1829="No","",MAX(0,-Z1829))</x:f>
        <x:v>1994449.6827463177</x:v>
      </x:c>
      <x:c r="AB1829" s="52" t="n">
        <x:f>IF(OR(R1829="No",U1829*S1829=0),"",AA1829/(U1829*S1829))</x:f>
        <x:v>0.044671597414342214</x:v>
      </x:c>
      <x:c r="AC1829" s="54" t="n">
        <x:f>IF(OR(R1829="No",S1829-T1829*Assumptions!$B$9&lt;=0),"",AA1829/(Assumptions!$B$8*(S1829-T1829*Assumptions!$B$9)))</x:f>
        <x:v>569.946171018547</x:v>
      </x:c>
      <x:c r="AD1829" s="52" t="n">
        <x:f>IF(OR(R1829="No",U1829*S1829=0),"",AA1829/(U1829*S1829))</x:f>
        <x:v>0.044671597414342214</x:v>
      </x:c>
      <x:c r="AE1829" s="50" t="str">
        <x:f>IF(R1829="No","No finance data",IF(AB1829&gt;=10%,"Severe",IF(AB1829&gt;=5%,"High",IF(AB1829&gt;=2%,"Moderate","Low"))))</x:f>
        <x:v>Moderate</x:v>
      </x:c>
      <x:c r="AF1829" s="60" t="n">
        <x:v>44.873187</x:v>
      </x:c>
      <x:c r="AG1829" s="60" t="n">
        <x:v>-91.926653</x:v>
      </x:c>
      <x:c r="AH1829" s="44" t="str">
        <x:v>Undergraduate tuition-contribution proxy only; not an audited total institutional budget.</x:v>
      </x:c>
    </x:row>
    <x:row r="1830">
      <x:c r="A1830" s="16" t="n">
        <x:v>240426</x:v>
      </x:c>
      <x:c r="B1830" s="16" t="str">
        <x:v>University of Wisconsin-Superior</x:v>
      </x:c>
      <x:c r="C1830" s="16" t="str">
        <x:v>WI</x:v>
      </x:c>
      <x:c r="D1830" s="16" t="str">
        <x:v>Public</x:v>
      </x:c>
      <x:c r="E1830" s="34" t="n">
        <x:v>2268</x:v>
      </x:c>
      <x:c r="F1830" s="21" t="n">
        <x:v>0.7623</x:v>
      </x:c>
      <x:c r="G1830" s="16" t="str">
        <x:v>Regional</x:v>
      </x:c>
      <x:c r="H1830" s="36" t="n">
        <x:f>IF(G1830="National",Assumptions!$B$11,IF(G1830="Statewide",Assumptions!$B$12,Assumptions!$B$13))</x:f>
        <x:v>0.85</x:v>
      </x:c>
      <x:c r="I1830" s="21" t="n">
        <x:v>-0.06510674082707546</x:v>
      </x:c>
      <x:c r="J1830" s="21" t="n">
        <x:v>-0.08396158215429106</x:v>
      </x:c>
      <x:c r="K1830" s="21" t="n">
        <x:v>-0.16038417845708974</x:v>
      </x:c>
      <x:c r="L1830" s="36" t="n">
        <x:f>IF(Assumptions!$B$4=2030,I1830,IF(Assumptions!$B$4=2035,J1830,K1830))</x:f>
        <x:v>-0.08396158215429106</x:v>
      </x:c>
      <x:c r="M1830" s="36" t="n">
        <x:f>Assumptions!$B$19</x:f>
        <x:v>-0.04739891965741583</x:v>
      </x:c>
      <x:c r="N1830" s="52" t="n">
        <x:f>H1830*L1830+(1-H1830)*M1830+O1830</x:f>
        <x:v>-0.07847718277975978</x:v>
      </x:c>
      <x:c r="O1830" s="36" t="n">
        <x:f>Assumptions!$B$10</x:f>
        <x:v>0</x:v>
      </x:c>
      <x:c r="P1830" s="54" t="n">
        <x:f>E1830*(1+N1830)</x:f>
        <x:v>2090.0137494555047</x:v>
      </x:c>
      <x:c r="Q1830" s="54" t="n">
        <x:f>P1830-E1830</x:f>
        <x:v>-177.9862505444953</x:v>
      </x:c>
      <x:c r="R1830" s="16" t="str">
        <x:v>Yes</x:v>
      </x:c>
      <x:c r="S1830" s="56" t="n">
        <x:v>6447</x:v>
      </x:c>
      <x:c r="T1830" s="56" t="n">
        <x:v>9114</x:v>
      </x:c>
      <x:c r="U1830" s="40" t="n">
        <x:f>E1830*Assumptions!$B$8</x:f>
        <x:v>1927.8</x:v>
      </x:c>
      <x:c r="V1830" s="40" t="n">
        <x:f>P1830*Assumptions!$B$8</x:f>
        <x:v>1776.511687037179</x:v>
      </x:c>
      <x:c r="W1830" s="54" t="n">
        <x:f>V1830-U1830</x:f>
        <x:v>-151.288312962821</x:v>
      </x:c>
      <x:c r="X1830" s="58" t="n">
        <x:f>IF(R1830="No","",W1830*S1830)</x:f>
        <x:v>-975355.753671307</x:v>
      </x:c>
      <x:c r="Y1830" s="58" t="n">
        <x:f>IF(R1830="No","",W1830*T1830*Assumptions!$B$9)</x:f>
        <x:v>-413652.50530294515</x:v>
      </x:c>
      <x:c r="Z1830" s="58" t="n">
        <x:f>IF(R1830="No","",X1830-Y1830)</x:f>
        <x:v>-561703.2483683618</x:v>
      </x:c>
      <x:c r="AA1830" s="58" t="n">
        <x:f>IF(R1830="No","",MAX(0,-Z1830))</x:f>
        <x:v>561703.2483683618</x:v>
      </x:c>
      <x:c r="AB1830" s="52" t="n">
        <x:f>IF(OR(R1830="No",U1830*S1830=0),"",AA1830/(U1830*S1830))</x:f>
        <x:v>0.045194677249060386</x:v>
      </x:c>
      <x:c r="AC1830" s="54" t="n">
        <x:f>IF(OR(R1830="No",S1830-T1830*Assumptions!$B$9&lt;=0),"",AA1830/(Assumptions!$B$8*(S1830-T1830*Assumptions!$B$9)))</x:f>
        <x:v>177.9862505444953</x:v>
      </x:c>
      <x:c r="AD1830" s="52" t="n">
        <x:f>IF(OR(R1830="No",U1830*S1830=0),"",AA1830/(U1830*S1830))</x:f>
        <x:v>0.045194677249060386</x:v>
      </x:c>
      <x:c r="AE1830" s="50" t="str">
        <x:f>IF(R1830="No","No finance data",IF(AB1830&gt;=10%,"Severe",IF(AB1830&gt;=5%,"High",IF(AB1830&gt;=2%,"Moderate","Low"))))</x:f>
        <x:v>Moderate</x:v>
      </x:c>
      <x:c r="AF1830" s="60" t="n">
        <x:v>46.717629</x:v>
      </x:c>
      <x:c r="AG1830" s="60" t="n">
        <x:v>-92.091007</x:v>
      </x:c>
      <x:c r="AH1830" s="44" t="str">
        <x:v>Undergraduate tuition-contribution proxy only; not an audited total institutional budget.</x:v>
      </x:c>
    </x:row>
    <x:row r="1831">
      <x:c r="A1831" s="16" t="n">
        <x:v>240189</x:v>
      </x:c>
      <x:c r="B1831" s="16" t="str">
        <x:v>University of Wisconsin-Whitewater</x:v>
      </x:c>
      <x:c r="C1831" s="16" t="str">
        <x:v>WI</x:v>
      </x:c>
      <x:c r="D1831" s="16" t="str">
        <x:v>Public</x:v>
      </x:c>
      <x:c r="E1831" s="34" t="n">
        <x:v>10614</x:v>
      </x:c>
      <x:c r="F1831" s="21" t="n">
        <x:v>0.8297</x:v>
      </x:c>
      <x:c r="G1831" s="16" t="str">
        <x:v>Statewide</x:v>
      </x:c>
      <x:c r="H1831" s="36" t="n">
        <x:f>IF(G1831="National",Assumptions!$B$11,IF(G1831="Statewide",Assumptions!$B$12,Assumptions!$B$13))</x:f>
        <x:v>0.6</x:v>
      </x:c>
      <x:c r="I1831" s="21" t="n">
        <x:v>-0.06510674082707546</x:v>
      </x:c>
      <x:c r="J1831" s="21" t="n">
        <x:v>-0.08396158215429106</x:v>
      </x:c>
      <x:c r="K1831" s="21" t="n">
        <x:v>-0.16038417845708974</x:v>
      </x:c>
      <x:c r="L1831" s="36" t="n">
        <x:f>IF(Assumptions!$B$4=2030,I1831,IF(Assumptions!$B$4=2035,J1831,K1831))</x:f>
        <x:v>-0.08396158215429106</x:v>
      </x:c>
      <x:c r="M1831" s="36" t="n">
        <x:f>Assumptions!$B$19</x:f>
        <x:v>-0.04739891965741583</x:v>
      </x:c>
      <x:c r="N1831" s="52" t="n">
        <x:f>H1831*L1831+(1-H1831)*M1831+O1831</x:f>
        <x:v>-0.06933651715554097</x:v>
      </x:c>
      <x:c r="O1831" s="36" t="n">
        <x:f>Assumptions!$B$10</x:f>
        <x:v>0</x:v>
      </x:c>
      <x:c r="P1831" s="54" t="n">
        <x:f>E1831*(1+N1831)</x:f>
        <x:v>9878.062206911087</x:v>
      </x:c>
      <x:c r="Q1831" s="54" t="n">
        <x:f>P1831-E1831</x:f>
        <x:v>-735.9377930889132</x:v>
      </x:c>
      <x:c r="R1831" s="16" t="str">
        <x:v>Yes</x:v>
      </x:c>
      <x:c r="S1831" s="56" t="n">
        <x:v>6714</x:v>
      </x:c>
      <x:c r="T1831" s="56" t="n">
        <x:v>6182</x:v>
      </x:c>
      <x:c r="U1831" s="40" t="n">
        <x:f>E1831*Assumptions!$B$8</x:f>
        <x:v>9021.9</x:v>
      </x:c>
      <x:c r="V1831" s="40" t="n">
        <x:f>P1831*Assumptions!$B$8</x:f>
        <x:v>8396.352875874423</x:v>
      </x:c>
      <x:c r="W1831" s="54" t="n">
        <x:f>V1831-U1831</x:f>
        <x:v>-625.5471241255764</x:v>
      </x:c>
      <x:c r="X1831" s="58" t="n">
        <x:f>IF(R1831="No","",W1831*S1831)</x:f>
        <x:v>-4199923.39137912</x:v>
      </x:c>
      <x:c r="Y1831" s="58" t="n">
        <x:f>IF(R1831="No","",W1831*T1831*Assumptions!$B$9)</x:f>
        <x:v>-1160139.6964032939</x:v>
      </x:c>
      <x:c r="Z1831" s="58" t="n">
        <x:f>IF(R1831="No","",X1831-Y1831)</x:f>
        <x:v>-3039783.694975826</x:v>
      </x:c>
      <x:c r="AA1831" s="58" t="n">
        <x:f>IF(R1831="No","",MAX(0,-Z1831))</x:f>
        <x:v>3039783.694975826</x:v>
      </x:c>
      <x:c r="AB1831" s="52" t="n">
        <x:f>IF(OR(R1831="No",U1831*S1831=0),"",AA1831/(U1831*S1831))</x:f>
        <x:v>0.05018377591087825</x:v>
      </x:c>
      <x:c r="AC1831" s="54" t="n">
        <x:f>IF(OR(R1831="No",S1831-T1831*Assumptions!$B$9&lt;=0),"",AA1831/(Assumptions!$B$8*(S1831-T1831*Assumptions!$B$9)))</x:f>
        <x:v>735.9377930889134</x:v>
      </x:c>
      <x:c r="AD1831" s="52" t="n">
        <x:f>IF(OR(R1831="No",U1831*S1831=0),"",AA1831/(U1831*S1831))</x:f>
        <x:v>0.05018377591087825</x:v>
      </x:c>
      <x:c r="AE1831" s="50" t="str">
        <x:f>IF(R1831="No","No finance data",IF(AB1831&gt;=10%,"Severe",IF(AB1831&gt;=5%,"High",IF(AB1831&gt;=2%,"Moderate","Low"))))</x:f>
        <x:v>High</x:v>
      </x:c>
      <x:c r="AF1831" s="60" t="n">
        <x:v>42.835563</x:v>
      </x:c>
      <x:c r="AG1831" s="60" t="n">
        <x:v>-88.742368</x:v>
      </x:c>
      <x:c r="AH1831" s="44" t="str">
        <x:v>Undergraduate tuition-contribution proxy only; not an audited total institutional budget.</x:v>
      </x:c>
    </x:row>
    <x:row r="1832">
      <x:c r="A1832" s="16" t="n">
        <x:v>240107</x:v>
      </x:c>
      <x:c r="B1832" s="16" t="str">
        <x:v>Viterbo University</x:v>
      </x:c>
      <x:c r="C1832" s="16" t="str">
        <x:v>WI</x:v>
      </x:c>
      <x:c r="D1832" s="16" t="str">
        <x:v>Private nonprofit</x:v>
      </x:c>
      <x:c r="E1832" s="34" t="n">
        <x:v>1852</x:v>
      </x:c>
      <x:c r="F1832" s="21" t="n">
        <x:v>0.7746</x:v>
      </x:c>
      <x:c r="G1832" s="16" t="str">
        <x:v>Regional</x:v>
      </x:c>
      <x:c r="H1832" s="36" t="n">
        <x:f>IF(G1832="National",Assumptions!$B$11,IF(G1832="Statewide",Assumptions!$B$12,Assumptions!$B$13))</x:f>
        <x:v>0.85</x:v>
      </x:c>
      <x:c r="I1832" s="21" t="n">
        <x:v>-0.06510674082707546</x:v>
      </x:c>
      <x:c r="J1832" s="21" t="n">
        <x:v>-0.08396158215429106</x:v>
      </x:c>
      <x:c r="K1832" s="21" t="n">
        <x:v>-0.16038417845708974</x:v>
      </x:c>
      <x:c r="L1832" s="36" t="n">
        <x:f>IF(Assumptions!$B$4=2030,I1832,IF(Assumptions!$B$4=2035,J1832,K1832))</x:f>
        <x:v>-0.08396158215429106</x:v>
      </x:c>
      <x:c r="M1832" s="36" t="n">
        <x:f>Assumptions!$B$19</x:f>
        <x:v>-0.04739891965741583</x:v>
      </x:c>
      <x:c r="N1832" s="52" t="n">
        <x:f>H1832*L1832+(1-H1832)*M1832+O1832</x:f>
        <x:v>-0.07847718277975978</x:v>
      </x:c>
      <x:c r="O1832" s="36" t="n">
        <x:f>Assumptions!$B$10</x:f>
        <x:v>0</x:v>
      </x:c>
      <x:c r="P1832" s="54" t="n">
        <x:f>E1832*(1+N1832)</x:f>
        <x:v>1706.660257491885</x:v>
      </x:c>
      <x:c r="Q1832" s="54" t="n">
        <x:f>P1832-E1832</x:f>
        <x:v>-145.33974250811502</x:v>
      </x:c>
      <x:c r="R1832" s="16" t="str">
        <x:v>Yes</x:v>
      </x:c>
      <x:c r="S1832" s="56" t="n">
        <x:v>16173</x:v>
      </x:c>
      <x:c r="T1832" s="56" t="n">
        <x:v>7773</x:v>
      </x:c>
      <x:c r="U1832" s="40" t="n">
        <x:f>E1832*Assumptions!$B$8</x:f>
        <x:v>1574.2</x:v>
      </x:c>
      <x:c r="V1832" s="40" t="n">
        <x:f>P1832*Assumptions!$B$8</x:f>
        <x:v>1450.6612188681022</x:v>
      </x:c>
      <x:c r="W1832" s="54" t="n">
        <x:f>V1832-U1832</x:f>
        <x:v>-123.53878113189785</x:v>
      </x:c>
      <x:c r="X1832" s="58" t="n">
        <x:f>IF(R1832="No","",W1832*S1832)</x:f>
        <x:v>-1997992.7072461839</x:v>
      </x:c>
      <x:c r="Y1832" s="58" t="n">
        <x:f>IF(R1832="No","",W1832*T1832*Assumptions!$B$9)</x:f>
        <x:v>-288080.0837214726</x:v>
      </x:c>
      <x:c r="Z1832" s="58" t="n">
        <x:f>IF(R1832="No","",X1832-Y1832)</x:f>
        <x:v>-1709912.6235247112</x:v>
      </x:c>
      <x:c r="AA1832" s="58" t="n">
        <x:f>IF(R1832="No","",MAX(0,-Z1832))</x:f>
        <x:v>1709912.6235247112</x:v>
      </x:c>
      <x:c r="AB1832" s="52" t="n">
        <x:f>IF(OR(R1832="No",U1832*S1832=0),"",AA1832/(U1832*S1832))</x:f>
        <x:v>0.06716196961435313</x:v>
      </x:c>
      <x:c r="AC1832" s="54" t="n">
        <x:f>IF(OR(R1832="No",S1832-T1832*Assumptions!$B$9&lt;=0),"",AA1832/(Assumptions!$B$8*(S1832-T1832*Assumptions!$B$9)))</x:f>
        <x:v>145.3397425081151</x:v>
      </x:c>
      <x:c r="AD1832" s="52" t="n">
        <x:f>IF(OR(R1832="No",U1832*S1832=0),"",AA1832/(U1832*S1832))</x:f>
        <x:v>0.06716196961435313</x:v>
      </x:c>
      <x:c r="AE1832" s="50" t="str">
        <x:f>IF(R1832="No","No finance data",IF(AB1832&gt;=10%,"Severe",IF(AB1832&gt;=5%,"High",IF(AB1832&gt;=2%,"Moderate","Low"))))</x:f>
        <x:v>High</x:v>
      </x:c>
      <x:c r="AF1832" s="60" t="n">
        <x:v>43.803133</x:v>
      </x:c>
      <x:c r="AG1832" s="60" t="n">
        <x:v>-91.244297</x:v>
      </x:c>
      <x:c r="AH1832" s="44" t="str">
        <x:v>Undergraduate tuition-contribution proxy only; not an audited total institutional budget.</x:v>
      </x:c>
    </x:row>
    <x:row r="1833">
      <x:c r="A1833" s="16" t="n">
        <x:v>240338</x:v>
      </x:c>
      <x:c r="B1833" s="16" t="str">
        <x:v>Wisconsin Lutheran College</x:v>
      </x:c>
      <x:c r="C1833" s="16" t="str">
        <x:v>WI</x:v>
      </x:c>
      <x:c r="D1833" s="16" t="str">
        <x:v>Private nonprofit</x:v>
      </x:c>
      <x:c r="E1833" s="34" t="n">
        <x:v>1056</x:v>
      </x:c>
      <x:c r="F1833" s="21" t="n">
        <x:v>0.9802</x:v>
      </x:c>
      <x:c r="G1833" s="16" t="str">
        <x:v>Regional</x:v>
      </x:c>
      <x:c r="H1833" s="36" t="n">
        <x:f>IF(G1833="National",Assumptions!$B$11,IF(G1833="Statewide",Assumptions!$B$12,Assumptions!$B$13))</x:f>
        <x:v>0.85</x:v>
      </x:c>
      <x:c r="I1833" s="21" t="n">
        <x:v>-0.06510674082707546</x:v>
      </x:c>
      <x:c r="J1833" s="21" t="n">
        <x:v>-0.08396158215429106</x:v>
      </x:c>
      <x:c r="K1833" s="21" t="n">
        <x:v>-0.16038417845708974</x:v>
      </x:c>
      <x:c r="L1833" s="36" t="n">
        <x:f>IF(Assumptions!$B$4=2030,I1833,IF(Assumptions!$B$4=2035,J1833,K1833))</x:f>
        <x:v>-0.08396158215429106</x:v>
      </x:c>
      <x:c r="M1833" s="36" t="n">
        <x:f>Assumptions!$B$19</x:f>
        <x:v>-0.04739891965741583</x:v>
      </x:c>
      <x:c r="N1833" s="52" t="n">
        <x:f>H1833*L1833+(1-H1833)*M1833+O1833</x:f>
        <x:v>-0.07847718277975978</x:v>
      </x:c>
      <x:c r="O1833" s="36" t="n">
        <x:f>Assumptions!$B$10</x:f>
        <x:v>0</x:v>
      </x:c>
      <x:c r="P1833" s="54" t="n">
        <x:f>E1833*(1+N1833)</x:f>
        <x:v>973.1280949845736</x:v>
      </x:c>
      <x:c r="Q1833" s="54" t="n">
        <x:f>P1833-E1833</x:f>
        <x:v>-82.87190501542636</x:v>
      </x:c>
      <x:c r="R1833" s="16" t="str">
        <x:v>Yes</x:v>
      </x:c>
      <x:c r="S1833" s="56" t="n">
        <x:v>12925</x:v>
      </x:c>
      <x:c r="T1833" s="56" t="n">
        <x:v>8640</x:v>
      </x:c>
      <x:c r="U1833" s="40" t="n">
        <x:f>E1833*Assumptions!$B$8</x:f>
        <x:v>897.6</x:v>
      </x:c>
      <x:c r="V1833" s="40" t="n">
        <x:f>P1833*Assumptions!$B$8</x:f>
        <x:v>827.1588807368876</x:v>
      </x:c>
      <x:c r="W1833" s="54" t="n">
        <x:f>V1833-U1833</x:f>
        <x:v>-70.44111926311245</x:v>
      </x:c>
      <x:c r="X1833" s="58" t="n">
        <x:f>IF(R1833="No","",W1833*S1833)</x:f>
        <x:v>-910451.4664757284</x:v>
      </x:c>
      <x:c r="Y1833" s="58" t="n">
        <x:f>IF(R1833="No","",W1833*T1833*Assumptions!$B$9)</x:f>
        <x:v>-182583.38112998745</x:v>
      </x:c>
      <x:c r="Z1833" s="58" t="n">
        <x:f>IF(R1833="No","",X1833-Y1833)</x:f>
        <x:v>-727868.085345741</x:v>
      </x:c>
      <x:c r="AA1833" s="58" t="n">
        <x:f>IF(R1833="No","",MAX(0,-Z1833))</x:f>
        <x:v>727868.085345741</x:v>
      </x:c>
      <x:c r="AB1833" s="52" t="n">
        <x:f>IF(OR(R1833="No",U1833*S1833=0),"",AA1833/(U1833*S1833))</x:f>
        <x:v>0.06273924407452679</x:v>
      </x:c>
      <x:c r="AC1833" s="54" t="n">
        <x:f>IF(OR(R1833="No",S1833-T1833*Assumptions!$B$9&lt;=0),"",AA1833/(Assumptions!$B$8*(S1833-T1833*Assumptions!$B$9)))</x:f>
        <x:v>82.87190501542642</x:v>
      </x:c>
      <x:c r="AD1833" s="52" t="n">
        <x:f>IF(OR(R1833="No",U1833*S1833=0),"",AA1833/(U1833*S1833))</x:f>
        <x:v>0.06273924407452679</x:v>
      </x:c>
      <x:c r="AE1833" s="50" t="str">
        <x:f>IF(R1833="No","No finance data",IF(AB1833&gt;=10%,"Severe",IF(AB1833&gt;=5%,"High",IF(AB1833&gt;=2%,"Moderate","Low"))))</x:f>
        <x:v>High</x:v>
      </x:c>
      <x:c r="AF1833" s="60" t="n">
        <x:v>43.036943</x:v>
      </x:c>
      <x:c r="AG1833" s="60" t="n">
        <x:v>-88.022718</x:v>
      </x:c>
      <x:c r="AH1833" s="44" t="str">
        <x:v>Undergraduate tuition-contribution proxy only; not an audited total institutional budget.</x:v>
      </x:c>
    </x:row>
    <x:row r="1834">
      <x:c r="A1834" s="16" t="n">
        <x:v>237118</x:v>
      </x:c>
      <x:c r="B1834" s="16" t="str">
        <x:v>Alderson Broaddus University</x:v>
      </x:c>
      <x:c r="C1834" s="16" t="str">
        <x:v>WV</x:v>
      </x:c>
      <x:c r="D1834" s="16" t="str">
        <x:v>Private nonprofit</x:v>
      </x:c>
      <x:c r="E1834" s="34" t="n">
        <x:v>1066</x:v>
      </x:c>
      <x:c r="F1834" s="21" t="n">
        <x:v>0.6653</x:v>
      </x:c>
      <x:c r="G1834" s="16" t="str">
        <x:v>Regional</x:v>
      </x:c>
      <x:c r="H1834" s="36" t="n">
        <x:f>IF(G1834="National",Assumptions!$B$11,IF(G1834="Statewide",Assumptions!$B$12,Assumptions!$B$13))</x:f>
        <x:v>0.85</x:v>
      </x:c>
      <x:c r="I1834" s="21" t="n">
        <x:v>-0.07307514983863528</x:v>
      </x:c>
      <x:c r="J1834" s="21" t="n">
        <x:v>-0.13024435223605346</x:v>
      </x:c>
      <x:c r="K1834" s="21" t="n">
        <x:v>-0.22844628861226368</x:v>
      </x:c>
      <x:c r="L1834" s="36" t="n">
        <x:f>IF(Assumptions!$B$4=2030,I1834,IF(Assumptions!$B$4=2035,J1834,K1834))</x:f>
        <x:v>-0.13024435223605346</x:v>
      </x:c>
      <x:c r="M1834" s="36" t="n">
        <x:f>Assumptions!$B$19</x:f>
        <x:v>-0.04739891965741583</x:v>
      </x:c>
      <x:c r="N1834" s="52" t="n">
        <x:f>H1834*L1834+(1-H1834)*M1834+O1834</x:f>
        <x:v>-0.11781753734925782</x:v>
      </x:c>
      <x:c r="O1834" s="36" t="n">
        <x:f>Assumptions!$B$10</x:f>
        <x:v>0</x:v>
      </x:c>
      <x:c r="P1834" s="54" t="n">
        <x:f>E1834*(1+N1834)</x:f>
        <x:v>940.4065051856911</x:v>
      </x:c>
      <x:c r="Q1834" s="54" t="n">
        <x:f>P1834-E1834</x:f>
        <x:v>-125.59349481430888</x:v>
      </x:c>
      <x:c r="R1834" s="16" t="str">
        <x:v>Yes</x:v>
      </x:c>
      <x:c r="S1834" s="56" t="n">
        <x:v>11355</x:v>
      </x:c>
      <x:c r="T1834" s="56" t="n">
        <x:v>10189</x:v>
      </x:c>
      <x:c r="U1834" s="40" t="n">
        <x:f>E1834*Assumptions!$B$8</x:f>
        <x:v>906.1</x:v>
      </x:c>
      <x:c r="V1834" s="40" t="n">
        <x:f>P1834*Assumptions!$B$8</x:f>
        <x:v>799.3455294078374</x:v>
      </x:c>
      <x:c r="W1834" s="54" t="n">
        <x:f>V1834-U1834</x:f>
        <x:v>-106.75447059216265</x:v>
      </x:c>
      <x:c r="X1834" s="58" t="n">
        <x:f>IF(R1834="No","",W1834*S1834)</x:f>
        <x:v>-1212197.013574007</x:v>
      </x:c>
      <x:c r="Y1834" s="58" t="n">
        <x:f>IF(R1834="No","",W1834*T1834*Assumptions!$B$9)</x:f>
        <x:v>-326316.3902590635</x:v>
      </x:c>
      <x:c r="Z1834" s="58" t="n">
        <x:f>IF(R1834="No","",X1834-Y1834)</x:f>
        <x:v>-885880.6233149434</x:v>
      </x:c>
      <x:c r="AA1834" s="58" t="n">
        <x:f>IF(R1834="No","",MAX(0,-Z1834))</x:f>
        <x:v>885880.6233149434</x:v>
      </x:c>
      <x:c r="AB1834" s="52" t="n">
        <x:f>IF(OR(R1834="No",U1834*S1834=0),"",AA1834/(U1834*S1834))</x:f>
        <x:v>0.08610174109954624</x:v>
      </x:c>
      <x:c r="AC1834" s="54" t="n">
        <x:f>IF(OR(R1834="No",S1834-T1834*Assumptions!$B$9&lt;=0),"",AA1834/(Assumptions!$B$8*(S1834-T1834*Assumptions!$B$9)))</x:f>
        <x:v>125.59349481430903</x:v>
      </x:c>
      <x:c r="AD1834" s="52" t="n">
        <x:f>IF(OR(R1834="No",U1834*S1834=0),"",AA1834/(U1834*S1834))</x:f>
        <x:v>0.08610174109954624</x:v>
      </x:c>
      <x:c r="AE1834" s="50" t="str">
        <x:f>IF(R1834="No","No finance data",IF(AB1834&gt;=10%,"Severe",IF(AB1834&gt;=5%,"High",IF(AB1834&gt;=2%,"Moderate","Low"))))</x:f>
        <x:v>High</x:v>
      </x:c>
      <x:c r="AF1834" s="60" t="n">
        <x:v>39.158067</x:v>
      </x:c>
      <x:c r="AG1834" s="60" t="n">
        <x:v>-80.047728</x:v>
      </x:c>
      <x:c r="AH1834" s="44" t="str">
        <x:v>Undergraduate tuition-contribution proxy only; not an audited total institutional budget.</x:v>
      </x:c>
    </x:row>
    <x:row r="1835">
      <x:c r="A1835" s="16" t="n">
        <x:v>237136</x:v>
      </x:c>
      <x:c r="B1835" s="16" t="str">
        <x:v>Appalachian Bible College</x:v>
      </x:c>
      <x:c r="C1835" s="16" t="str">
        <x:v>WV</x:v>
      </x:c>
      <x:c r="D1835" s="16" t="str">
        <x:v>Private nonprofit</x:v>
      </x:c>
      <x:c r="E1835" s="34" t="n">
        <x:v>173</x:v>
      </x:c>
      <x:c r="F1835" s="21"/>
      <x:c r="G1835" s="16" t="str">
        <x:v>Regional</x:v>
      </x:c>
      <x:c r="H1835" s="36" t="n">
        <x:f>IF(G1835="National",Assumptions!$B$11,IF(G1835="Statewide",Assumptions!$B$12,Assumptions!$B$13))</x:f>
        <x:v>0.85</x:v>
      </x:c>
      <x:c r="I1835" s="21" t="n">
        <x:v>-0.07307514983863528</x:v>
      </x:c>
      <x:c r="J1835" s="21" t="n">
        <x:v>-0.13024435223605346</x:v>
      </x:c>
      <x:c r="K1835" s="21" t="n">
        <x:v>-0.22844628861226368</x:v>
      </x:c>
      <x:c r="L1835" s="36" t="n">
        <x:f>IF(Assumptions!$B$4=2030,I1835,IF(Assumptions!$B$4=2035,J1835,K1835))</x:f>
        <x:v>-0.13024435223605346</x:v>
      </x:c>
      <x:c r="M1835" s="36" t="n">
        <x:f>Assumptions!$B$19</x:f>
        <x:v>-0.04739891965741583</x:v>
      </x:c>
      <x:c r="N1835" s="52" t="n">
        <x:f>H1835*L1835+(1-H1835)*M1835+O1835</x:f>
        <x:v>-0.11781753734925782</x:v>
      </x:c>
      <x:c r="O1835" s="36" t="n">
        <x:f>Assumptions!$B$10</x:f>
        <x:v>0</x:v>
      </x:c>
      <x:c r="P1835" s="54" t="n">
        <x:f>E1835*(1+N1835)</x:f>
        <x:v>152.6175660385784</x:v>
      </x:c>
      <x:c r="Q1835" s="54" t="n">
        <x:f>P1835-E1835</x:f>
        <x:v>-20.38243396142161</x:v>
      </x:c>
      <x:c r="R1835" s="16" t="str">
        <x:v>No</x:v>
      </x:c>
      <x:c r="S1835" s="56"/>
      <x:c r="T1835" s="56"/>
      <x:c r="U1835" s="40" t="n">
        <x:f>E1835*Assumptions!$B$8</x:f>
        <x:v>147.04999999999998</x:v>
      </x:c>
      <x:c r="V1835" s="40" t="n">
        <x:f>P1835*Assumptions!$B$8</x:f>
        <x:v>129.72493113279162</x:v>
      </x:c>
      <x:c r="W1835" s="54" t="n">
        <x:f>V1835-U1835</x:f>
        <x:v>-17.32506886720836</x:v>
      </x:c>
      <x:c r="X1835" s="58" t="str">
        <x:f>IF(R1835="No","",W1835*S1835)</x:f>
      </x:c>
      <x:c r="Y1835" s="58" t="str">
        <x:f>IF(R1835="No","",W1835*T1835*Assumptions!$B$9)</x:f>
      </x:c>
      <x:c r="Z1835" s="58" t="str">
        <x:f>IF(R1835="No","",X1835-Y1835)</x:f>
      </x:c>
      <x:c r="AA1835" s="58" t="str">
        <x:f>IF(R1835="No","",MAX(0,-Z1835))</x:f>
      </x:c>
      <x:c r="AB1835" s="52" t="str">
        <x:f>IF(OR(R1835="No",U1835*S1835=0),"",AA1835/(U1835*S1835))</x:f>
      </x:c>
      <x:c r="AC1835" s="54" t="str">
        <x:f>IF(OR(R1835="No",S1835-T1835*Assumptions!$B$9&lt;=0),"",AA1835/(Assumptions!$B$8*(S1835-T1835*Assumptions!$B$9)))</x:f>
      </x:c>
      <x:c r="AD1835" s="52" t="str">
        <x:f>IF(OR(R1835="No",U1835*S1835=0),"",AA1835/(U1835*S1835))</x:f>
      </x:c>
      <x:c r="AE1835" s="50" t="str">
        <x:f>IF(R1835="No","No finance data",IF(AB1835&gt;=10%,"Severe",IF(AB1835&gt;=5%,"High",IF(AB1835&gt;=2%,"Moderate","Low"))))</x:f>
        <x:v>No finance data</x:v>
      </x:c>
      <x:c r="AF1835" s="60"/>
      <x:c r="AG1835" s="60"/>
      <x:c r="AH1835" s="44" t="str">
        <x:v>Undergraduate tuition-contribution proxy only; not an audited total institutional budget.</x:v>
      </x:c>
    </x:row>
    <x:row r="1836">
      <x:c r="A1836" s="16" t="n">
        <x:v>237181</x:v>
      </x:c>
      <x:c r="B1836" s="16" t="str">
        <x:v>Bethany College</x:v>
      </x:c>
      <x:c r="C1836" s="16" t="str">
        <x:v>WV</x:v>
      </x:c>
      <x:c r="D1836" s="16" t="str">
        <x:v>Private nonprofit</x:v>
      </x:c>
      <x:c r="E1836" s="34" t="n">
        <x:v>700</x:v>
      </x:c>
      <x:c r="F1836" s="21" t="n">
        <x:v>0.7355</x:v>
      </x:c>
      <x:c r="G1836" s="16" t="str">
        <x:v>Regional</x:v>
      </x:c>
      <x:c r="H1836" s="36" t="n">
        <x:f>IF(G1836="National",Assumptions!$B$11,IF(G1836="Statewide",Assumptions!$B$12,Assumptions!$B$13))</x:f>
        <x:v>0.85</x:v>
      </x:c>
      <x:c r="I1836" s="21" t="n">
        <x:v>-0.07307514983863528</x:v>
      </x:c>
      <x:c r="J1836" s="21" t="n">
        <x:v>-0.13024435223605346</x:v>
      </x:c>
      <x:c r="K1836" s="21" t="n">
        <x:v>-0.22844628861226368</x:v>
      </x:c>
      <x:c r="L1836" s="36" t="n">
        <x:f>IF(Assumptions!$B$4=2030,I1836,IF(Assumptions!$B$4=2035,J1836,K1836))</x:f>
        <x:v>-0.13024435223605346</x:v>
      </x:c>
      <x:c r="M1836" s="36" t="n">
        <x:f>Assumptions!$B$19</x:f>
        <x:v>-0.04739891965741583</x:v>
      </x:c>
      <x:c r="N1836" s="52" t="n">
        <x:f>H1836*L1836+(1-H1836)*M1836+O1836</x:f>
        <x:v>-0.11781753734925782</x:v>
      </x:c>
      <x:c r="O1836" s="36" t="n">
        <x:f>Assumptions!$B$10</x:f>
        <x:v>0</x:v>
      </x:c>
      <x:c r="P1836" s="54" t="n">
        <x:f>E1836*(1+N1836)</x:f>
        <x:v>617.5277238555195</x:v>
      </x:c>
      <x:c r="Q1836" s="54" t="n">
        <x:f>P1836-E1836</x:f>
        <x:v>-82.47227614448047</x:v>
      </x:c>
      <x:c r="R1836" s="16" t="str">
        <x:v>Yes</x:v>
      </x:c>
      <x:c r="S1836" s="56" t="n">
        <x:v>7015</x:v>
      </x:c>
      <x:c r="T1836" s="56" t="n">
        <x:v>7352</x:v>
      </x:c>
      <x:c r="U1836" s="40" t="n">
        <x:f>E1836*Assumptions!$B$8</x:f>
        <x:v>595</x:v>
      </x:c>
      <x:c r="V1836" s="40" t="n">
        <x:f>P1836*Assumptions!$B$8</x:f>
        <x:v>524.8985652771916</x:v>
      </x:c>
      <x:c r="W1836" s="54" t="n">
        <x:f>V1836-U1836</x:f>
        <x:v>-70.10143472280845</x:v>
      </x:c>
      <x:c r="X1836" s="58" t="n">
        <x:f>IF(R1836="No","",W1836*S1836)</x:f>
        <x:v>-491761.5645805013</x:v>
      </x:c>
      <x:c r="Y1836" s="58" t="n">
        <x:f>IF(R1836="No","",W1836*T1836*Assumptions!$B$9)</x:f>
        <x:v>-154615.7244246263</x:v>
      </x:c>
      <x:c r="Z1836" s="58" t="n">
        <x:f>IF(R1836="No","",X1836-Y1836)</x:f>
        <x:v>-337145.84015587496</x:v>
      </x:c>
      <x:c r="AA1836" s="58" t="n">
        <x:f>IF(R1836="No","",MAX(0,-Z1836))</x:f>
        <x:v>337145.84015587496</x:v>
      </x:c>
      <x:c r="AB1836" s="52" t="n">
        <x:f>IF(OR(R1836="No",U1836*S1836=0),"",AA1836/(U1836*S1836))</x:f>
        <x:v>0.08077429281931874</x:v>
      </x:c>
      <x:c r="AC1836" s="54" t="n">
        <x:f>IF(OR(R1836="No",S1836-T1836*Assumptions!$B$9&lt;=0),"",AA1836/(Assumptions!$B$8*(S1836-T1836*Assumptions!$B$9)))</x:f>
        <x:v>82.47227614448053</x:v>
      </x:c>
      <x:c r="AD1836" s="52" t="n">
        <x:f>IF(OR(R1836="No",U1836*S1836=0),"",AA1836/(U1836*S1836))</x:f>
        <x:v>0.08077429281931874</x:v>
      </x:c>
      <x:c r="AE1836" s="50" t="str">
        <x:f>IF(R1836="No","No finance data",IF(AB1836&gt;=10%,"Severe",IF(AB1836&gt;=5%,"High",IF(AB1836&gt;=2%,"Moderate","Low"))))</x:f>
        <x:v>High</x:v>
      </x:c>
      <x:c r="AF1836" s="60" t="n">
        <x:v>40.205819</x:v>
      </x:c>
      <x:c r="AG1836" s="60" t="n">
        <x:v>-80.560056</x:v>
      </x:c>
      <x:c r="AH1836" s="44" t="str">
        <x:v>Undergraduate tuition-contribution proxy only; not an audited total institutional budget.</x:v>
      </x:c>
    </x:row>
    <x:row r="1837">
      <x:c r="A1837" s="16" t="n">
        <x:v>237215</x:v>
      </x:c>
      <x:c r="B1837" s="16" t="str">
        <x:v>Bluefield State College</x:v>
      </x:c>
      <x:c r="C1837" s="16" t="str">
        <x:v>WV</x:v>
      </x:c>
      <x:c r="D1837" s="16" t="str">
        <x:v>Public</x:v>
      </x:c>
      <x:c r="E1837" s="34" t="n">
        <x:v>1459</x:v>
      </x:c>
      <x:c r="F1837" s="21" t="n">
        <x:v>0.9686</x:v>
      </x:c>
      <x:c r="G1837" s="16" t="str">
        <x:v>Regional</x:v>
      </x:c>
      <x:c r="H1837" s="36" t="n">
        <x:f>IF(G1837="National",Assumptions!$B$11,IF(G1837="Statewide",Assumptions!$B$12,Assumptions!$B$13))</x:f>
        <x:v>0.85</x:v>
      </x:c>
      <x:c r="I1837" s="21" t="n">
        <x:v>-0.07307514983863528</x:v>
      </x:c>
      <x:c r="J1837" s="21" t="n">
        <x:v>-0.13024435223605346</x:v>
      </x:c>
      <x:c r="K1837" s="21" t="n">
        <x:v>-0.22844628861226368</x:v>
      </x:c>
      <x:c r="L1837" s="36" t="n">
        <x:f>IF(Assumptions!$B$4=2030,I1837,IF(Assumptions!$B$4=2035,J1837,K1837))</x:f>
        <x:v>-0.13024435223605346</x:v>
      </x:c>
      <x:c r="M1837" s="36" t="n">
        <x:f>Assumptions!$B$19</x:f>
        <x:v>-0.04739891965741583</x:v>
      </x:c>
      <x:c r="N1837" s="52" t="n">
        <x:f>H1837*L1837+(1-H1837)*M1837+O1837</x:f>
        <x:v>-0.11781753734925782</x:v>
      </x:c>
      <x:c r="O1837" s="36" t="n">
        <x:f>Assumptions!$B$10</x:f>
        <x:v>0</x:v>
      </x:c>
      <x:c r="P1837" s="54" t="n">
        <x:f>E1837*(1+N1837)</x:f>
        <x:v>1287.104213007433</x:v>
      </x:c>
      <x:c r="Q1837" s="54" t="n">
        <x:f>P1837-E1837</x:f>
        <x:v>-171.89578699256708</x:v>
      </x:c>
      <x:c r="R1837" s="16" t="str">
        <x:v>Yes</x:v>
      </x:c>
      <x:c r="S1837" s="56" t="n">
        <x:v>4784</x:v>
      </x:c>
      <x:c r="T1837" s="56" t="n">
        <x:v>6698</x:v>
      </x:c>
      <x:c r="U1837" s="40" t="n">
        <x:f>E1837*Assumptions!$B$8</x:f>
        <x:v>1240.1499999999999</x:v>
      </x:c>
      <x:c r="V1837" s="40" t="n">
        <x:f>P1837*Assumptions!$B$8</x:f>
        <x:v>1094.038581056318</x:v>
      </x:c>
      <x:c r="W1837" s="54" t="n">
        <x:f>V1837-U1837</x:f>
        <x:v>-146.11141894368188</x:v>
      </x:c>
      <x:c r="X1837" s="58" t="n">
        <x:f>IF(R1837="No","",W1837*S1837)</x:f>
        <x:v>-698997.0282265742</x:v>
      </x:c>
      <x:c r="Y1837" s="58" t="n">
        <x:f>IF(R1837="No","",W1837*T1837*Assumptions!$B$9)</x:f>
        <x:v>-293596.2852254344</x:v>
      </x:c>
      <x:c r="Z1837" s="58" t="n">
        <x:f>IF(R1837="No","",X1837-Y1837)</x:f>
        <x:v>-405400.7430011398</x:v>
      </x:c>
      <x:c r="AA1837" s="58" t="n">
        <x:f>IF(R1837="No","",MAX(0,-Z1837))</x:f>
        <x:v>405400.7430011398</x:v>
      </x:c>
      <x:c r="AB1837" s="52" t="n">
        <x:f>IF(OR(R1837="No",U1837*S1837=0),"",AA1837/(U1837*S1837))</x:f>
        <x:v>0.06833121637317106</x:v>
      </x:c>
      <x:c r="AC1837" s="54" t="n">
        <x:f>IF(OR(R1837="No",S1837-T1837*Assumptions!$B$9&lt;=0),"",AA1837/(Assumptions!$B$8*(S1837-T1837*Assumptions!$B$9)))</x:f>
        <x:v>171.8957869925669</x:v>
      </x:c>
      <x:c r="AD1837" s="52" t="n">
        <x:f>IF(OR(R1837="No",U1837*S1837=0),"",AA1837/(U1837*S1837))</x:f>
        <x:v>0.06833121637317106</x:v>
      </x:c>
      <x:c r="AE1837" s="50" t="str">
        <x:f>IF(R1837="No","No finance data",IF(AB1837&gt;=10%,"Severe",IF(AB1837&gt;=5%,"High",IF(AB1837&gt;=2%,"Moderate","Low"))))</x:f>
        <x:v>High</x:v>
      </x:c>
      <x:c r="AF1837" s="60" t="n">
        <x:v>37.265732</x:v>
      </x:c>
      <x:c r="AG1837" s="60" t="n">
        <x:v>-81.239037</x:v>
      </x:c>
      <x:c r="AH1837" s="44" t="str">
        <x:v>Undergraduate tuition-contribution proxy only; not an audited total institutional budget.</x:v>
      </x:c>
    </x:row>
    <x:row r="1838">
      <x:c r="A1838" s="16" t="n">
        <x:v>237330</x:v>
      </x:c>
      <x:c r="B1838" s="16" t="str">
        <x:v>Concord University</x:v>
      </x:c>
      <x:c r="C1838" s="16" t="str">
        <x:v>WV</x:v>
      </x:c>
      <x:c r="D1838" s="16" t="str">
        <x:v>Public</x:v>
      </x:c>
      <x:c r="E1838" s="34" t="n">
        <x:v>2113</x:v>
      </x:c>
      <x:c r="F1838" s="21" t="n">
        <x:v>0.9563</x:v>
      </x:c>
      <x:c r="G1838" s="16" t="str">
        <x:v>Regional</x:v>
      </x:c>
      <x:c r="H1838" s="36" t="n">
        <x:f>IF(G1838="National",Assumptions!$B$11,IF(G1838="Statewide",Assumptions!$B$12,Assumptions!$B$13))</x:f>
        <x:v>0.85</x:v>
      </x:c>
      <x:c r="I1838" s="21" t="n">
        <x:v>-0.07307514983863528</x:v>
      </x:c>
      <x:c r="J1838" s="21" t="n">
        <x:v>-0.13024435223605346</x:v>
      </x:c>
      <x:c r="K1838" s="21" t="n">
        <x:v>-0.22844628861226368</x:v>
      </x:c>
      <x:c r="L1838" s="36" t="n">
        <x:f>IF(Assumptions!$B$4=2030,I1838,IF(Assumptions!$B$4=2035,J1838,K1838))</x:f>
        <x:v>-0.13024435223605346</x:v>
      </x:c>
      <x:c r="M1838" s="36" t="n">
        <x:f>Assumptions!$B$19</x:f>
        <x:v>-0.04739891965741583</x:v>
      </x:c>
      <x:c r="N1838" s="52" t="n">
        <x:f>H1838*L1838+(1-H1838)*M1838+O1838</x:f>
        <x:v>-0.11781753734925782</x:v>
      </x:c>
      <x:c r="O1838" s="36" t="n">
        <x:f>Assumptions!$B$10</x:f>
        <x:v>0</x:v>
      </x:c>
      <x:c r="P1838" s="54" t="n">
        <x:f>E1838*(1+N1838)</x:f>
        <x:v>1864.0515435810182</x:v>
      </x:c>
      <x:c r="Q1838" s="54" t="n">
        <x:f>P1838-E1838</x:f>
        <x:v>-248.94845641898178</x:v>
      </x:c>
      <x:c r="R1838" s="16" t="str">
        <x:v>Yes</x:v>
      </x:c>
      <x:c r="S1838" s="56" t="n">
        <x:v>3776</x:v>
      </x:c>
      <x:c r="T1838" s="56" t="n">
        <x:v>5333</x:v>
      </x:c>
      <x:c r="U1838" s="40" t="n">
        <x:f>E1838*Assumptions!$B$8</x:f>
        <x:v>1796.05</x:v>
      </x:c>
      <x:c r="V1838" s="40" t="n">
        <x:f>P1838*Assumptions!$B$8</x:f>
        <x:v>1584.4438120438654</x:v>
      </x:c>
      <x:c r="W1838" s="54" t="n">
        <x:f>V1838-U1838</x:f>
        <x:v>-211.6061879561346</x:v>
      </x:c>
      <x:c r="X1838" s="58" t="n">
        <x:f>IF(R1838="No","",W1838*S1838)</x:f>
        <x:v>-799024.9657223643</x:v>
      </x:c>
      <x:c r="Y1838" s="58" t="n">
        <x:f>IF(R1838="No","",W1838*T1838*Assumptions!$B$9)</x:f>
        <x:v>-338548.7401110197</x:v>
      </x:c>
      <x:c r="Z1838" s="58" t="n">
        <x:f>IF(R1838="No","",X1838-Y1838)</x:f>
        <x:v>-460476.22561134456</x:v>
      </x:c>
      <x:c r="AA1838" s="58" t="n">
        <x:f>IF(R1838="No","",MAX(0,-Z1838))</x:f>
        <x:v>460476.22561134456</x:v>
      </x:c>
      <x:c r="AB1838" s="52" t="n">
        <x:f>IF(OR(R1838="No",U1838*S1838=0),"",AA1838/(U1838*S1838))</x:f>
        <x:v>0.06789797219960808</x:v>
      </x:c>
      <x:c r="AC1838" s="54" t="n">
        <x:f>IF(OR(R1838="No",S1838-T1838*Assumptions!$B$9&lt;=0),"",AA1838/(Assumptions!$B$8*(S1838-T1838*Assumptions!$B$9)))</x:f>
        <x:v>248.9484564189819</x:v>
      </x:c>
      <x:c r="AD1838" s="52" t="n">
        <x:f>IF(OR(R1838="No",U1838*S1838=0),"",AA1838/(U1838*S1838))</x:f>
        <x:v>0.06789797219960808</x:v>
      </x:c>
      <x:c r="AE1838" s="50" t="str">
        <x:f>IF(R1838="No","No finance data",IF(AB1838&gt;=10%,"Severe",IF(AB1838&gt;=5%,"High",IF(AB1838&gt;=2%,"Moderate","Low"))))</x:f>
        <x:v>High</x:v>
      </x:c>
      <x:c r="AF1838" s="60" t="n">
        <x:v>37.423723</x:v>
      </x:c>
      <x:c r="AG1838" s="60" t="n">
        <x:v>-81.006696</x:v>
      </x:c>
      <x:c r="AH1838" s="44" t="str">
        <x:v>Undergraduate tuition-contribution proxy only; not an audited total institutional budget.</x:v>
      </x:c>
    </x:row>
    <x:row r="1839">
      <x:c r="A1839" s="16" t="n">
        <x:v>237358</x:v>
      </x:c>
      <x:c r="B1839" s="16" t="str">
        <x:v>Davis &amp; Elkins College</x:v>
      </x:c>
      <x:c r="C1839" s="16" t="str">
        <x:v>WV</x:v>
      </x:c>
      <x:c r="D1839" s="16" t="str">
        <x:v>Private nonprofit</x:v>
      </x:c>
      <x:c r="E1839" s="34" t="n">
        <x:v>793</x:v>
      </x:c>
      <x:c r="F1839" s="21" t="n">
        <x:v>0.7761</x:v>
      </x:c>
      <x:c r="G1839" s="16" t="str">
        <x:v>Regional</x:v>
      </x:c>
      <x:c r="H1839" s="36" t="n">
        <x:f>IF(G1839="National",Assumptions!$B$11,IF(G1839="Statewide",Assumptions!$B$12,Assumptions!$B$13))</x:f>
        <x:v>0.85</x:v>
      </x:c>
      <x:c r="I1839" s="21" t="n">
        <x:v>-0.07307514983863528</x:v>
      </x:c>
      <x:c r="J1839" s="21" t="n">
        <x:v>-0.13024435223605346</x:v>
      </x:c>
      <x:c r="K1839" s="21" t="n">
        <x:v>-0.22844628861226368</x:v>
      </x:c>
      <x:c r="L1839" s="36" t="n">
        <x:f>IF(Assumptions!$B$4=2030,I1839,IF(Assumptions!$B$4=2035,J1839,K1839))</x:f>
        <x:v>-0.13024435223605346</x:v>
      </x:c>
      <x:c r="M1839" s="36" t="n">
        <x:f>Assumptions!$B$19</x:f>
        <x:v>-0.04739891965741583</x:v>
      </x:c>
      <x:c r="N1839" s="52" t="n">
        <x:f>H1839*L1839+(1-H1839)*M1839+O1839</x:f>
        <x:v>-0.11781753734925782</x:v>
      </x:c>
      <x:c r="O1839" s="36" t="n">
        <x:f>Assumptions!$B$10</x:f>
        <x:v>0</x:v>
      </x:c>
      <x:c r="P1839" s="54" t="n">
        <x:f>E1839*(1+N1839)</x:f>
        <x:v>699.5706928820385</x:v>
      </x:c>
      <x:c r="Q1839" s="54" t="n">
        <x:f>P1839-E1839</x:f>
        <x:v>-93.42930711796146</x:v>
      </x:c>
      <x:c r="R1839" s="16" t="str">
        <x:v>Yes</x:v>
      </x:c>
      <x:c r="S1839" s="56" t="n">
        <x:v>8833</x:v>
      </x:c>
      <x:c r="T1839" s="56" t="n">
        <x:v>8557</x:v>
      </x:c>
      <x:c r="U1839" s="40" t="n">
        <x:f>E1839*Assumptions!$B$8</x:f>
        <x:v>674.05</x:v>
      </x:c>
      <x:c r="V1839" s="40" t="n">
        <x:f>P1839*Assumptions!$B$8</x:f>
        <x:v>594.6350889497328</x:v>
      </x:c>
      <x:c r="W1839" s="54" t="n">
        <x:f>V1839-U1839</x:f>
        <x:v>-79.41491105026716</x:v>
      </x:c>
      <x:c r="X1839" s="58" t="n">
        <x:f>IF(R1839="No","",W1839*S1839)</x:f>
        <x:v>-701471.9093070099</x:v>
      </x:c>
      <x:c r="Y1839" s="58" t="n">
        <x:f>IF(R1839="No","",W1839*T1839*Assumptions!$B$9)</x:f>
        <x:v>-203866.01815714085</x:v>
      </x:c>
      <x:c r="Z1839" s="58" t="n">
        <x:f>IF(R1839="No","",X1839-Y1839)</x:f>
        <x:v>-497605.8911498691</x:v>
      </x:c>
      <x:c r="AA1839" s="58" t="n">
        <x:f>IF(R1839="No","",MAX(0,-Z1839))</x:f>
        <x:v>497605.8911498691</x:v>
      </x:c>
      <x:c r="AB1839" s="52" t="n">
        <x:f>IF(OR(R1839="No",U1839*S1839=0),"",AA1839/(U1839*S1839))</x:f>
        <x:v>0.0835766905102133</x:v>
      </x:c>
      <x:c r="AC1839" s="54" t="n">
        <x:f>IF(OR(R1839="No",S1839-T1839*Assumptions!$B$9&lt;=0),"",AA1839/(Assumptions!$B$8*(S1839-T1839*Assumptions!$B$9)))</x:f>
        <x:v>93.42930711796139</x:v>
      </x:c>
      <x:c r="AD1839" s="52" t="n">
        <x:f>IF(OR(R1839="No",U1839*S1839=0),"",AA1839/(U1839*S1839))</x:f>
        <x:v>0.0835766905102133</x:v>
      </x:c>
      <x:c r="AE1839" s="50" t="str">
        <x:f>IF(R1839="No","No finance data",IF(AB1839&gt;=10%,"Severe",IF(AB1839&gt;=5%,"High",IF(AB1839&gt;=2%,"Moderate","Low"))))</x:f>
        <x:v>High</x:v>
      </x:c>
      <x:c r="AF1839" s="60" t="n">
        <x:v>38.931232</x:v>
      </x:c>
      <x:c r="AG1839" s="60" t="n">
        <x:v>-79.846022</x:v>
      </x:c>
      <x:c r="AH1839" s="44" t="str">
        <x:v>Undergraduate tuition-contribution proxy only; not an audited total institutional budget.</x:v>
      </x:c>
    </x:row>
    <x:row r="1840">
      <x:c r="A1840" s="16" t="n">
        <x:v>237367</x:v>
      </x:c>
      <x:c r="B1840" s="16" t="str">
        <x:v>Fairmont State University</x:v>
      </x:c>
      <x:c r="C1840" s="16" t="str">
        <x:v>WV</x:v>
      </x:c>
      <x:c r="D1840" s="16" t="str">
        <x:v>Public</x:v>
      </x:c>
      <x:c r="E1840" s="34" t="n">
        <x:v>3672</x:v>
      </x:c>
      <x:c r="F1840" s="21" t="n">
        <x:v>0.9875</x:v>
      </x:c>
      <x:c r="G1840" s="16" t="str">
        <x:v>Regional</x:v>
      </x:c>
      <x:c r="H1840" s="36" t="n">
        <x:f>IF(G1840="National",Assumptions!$B$11,IF(G1840="Statewide",Assumptions!$B$12,Assumptions!$B$13))</x:f>
        <x:v>0.85</x:v>
      </x:c>
      <x:c r="I1840" s="21" t="n">
        <x:v>-0.07307514983863528</x:v>
      </x:c>
      <x:c r="J1840" s="21" t="n">
        <x:v>-0.13024435223605346</x:v>
      </x:c>
      <x:c r="K1840" s="21" t="n">
        <x:v>-0.22844628861226368</x:v>
      </x:c>
      <x:c r="L1840" s="36" t="n">
        <x:f>IF(Assumptions!$B$4=2030,I1840,IF(Assumptions!$B$4=2035,J1840,K1840))</x:f>
        <x:v>-0.13024435223605346</x:v>
      </x:c>
      <x:c r="M1840" s="36" t="n">
        <x:f>Assumptions!$B$19</x:f>
        <x:v>-0.04739891965741583</x:v>
      </x:c>
      <x:c r="N1840" s="52" t="n">
        <x:f>H1840*L1840+(1-H1840)*M1840+O1840</x:f>
        <x:v>-0.11781753734925782</x:v>
      </x:c>
      <x:c r="O1840" s="36" t="n">
        <x:f>Assumptions!$B$10</x:f>
        <x:v>0</x:v>
      </x:c>
      <x:c r="P1840" s="54" t="n">
        <x:f>E1840*(1+N1840)</x:f>
        <x:v>3239.3740028535253</x:v>
      </x:c>
      <x:c r="Q1840" s="54" t="n">
        <x:f>P1840-E1840</x:f>
        <x:v>-432.6259971464747</x:v>
      </x:c>
      <x:c r="R1840" s="16" t="str">
        <x:v>Yes</x:v>
      </x:c>
      <x:c r="S1840" s="56" t="n">
        <x:v>4262</x:v>
      </x:c>
      <x:c r="T1840" s="56" t="n">
        <x:v>6979</x:v>
      </x:c>
      <x:c r="U1840" s="40" t="n">
        <x:f>E1840*Assumptions!$B$8</x:f>
        <x:v>3121.2</x:v>
      </x:c>
      <x:c r="V1840" s="40" t="n">
        <x:f>P1840*Assumptions!$B$8</x:f>
        <x:v>2753.4679024254965</x:v>
      </x:c>
      <x:c r="W1840" s="54" t="n">
        <x:f>V1840-U1840</x:f>
        <x:v>-367.7320975745033</x:v>
      </x:c>
      <x:c r="X1840" s="58" t="n">
        <x:f>IF(R1840="No","",W1840*S1840)</x:f>
        <x:v>-1567274.199862533</x:v>
      </x:c>
      <x:c r="Y1840" s="58" t="n">
        <x:f>IF(R1840="No","",W1840*T1840*Assumptions!$B$9)</x:f>
        <x:v>-769920.6926917377</x:v>
      </x:c>
      <x:c r="Z1840" s="58" t="n">
        <x:f>IF(R1840="No","",X1840-Y1840)</x:f>
        <x:v>-797353.5071707953</x:v>
      </x:c>
      <x:c r="AA1840" s="58" t="n">
        <x:f>IF(R1840="No","",MAX(0,-Z1840))</x:f>
        <x:v>797353.5071707953</x:v>
      </x:c>
      <x:c r="AB1840" s="52" t="n">
        <x:f>IF(OR(R1840="No",U1840*S1840=0),"",AA1840/(U1840*S1840))</x:f>
        <x:v>0.059939879454339644</x:v>
      </x:c>
      <x:c r="AC1840" s="54" t="n">
        <x:f>IF(OR(R1840="No",S1840-T1840*Assumptions!$B$9&lt;=0),"",AA1840/(Assumptions!$B$8*(S1840-T1840*Assumptions!$B$9)))</x:f>
        <x:v>432.6259971464744</x:v>
      </x:c>
      <x:c r="AD1840" s="52" t="n">
        <x:f>IF(OR(R1840="No",U1840*S1840=0),"",AA1840/(U1840*S1840))</x:f>
        <x:v>0.059939879454339644</x:v>
      </x:c>
      <x:c r="AE1840" s="50" t="str">
        <x:f>IF(R1840="No","No finance data",IF(AB1840&gt;=10%,"Severe",IF(AB1840&gt;=5%,"High",IF(AB1840&gt;=2%,"Moderate","Low"))))</x:f>
        <x:v>High</x:v>
      </x:c>
      <x:c r="AF1840" s="60" t="n">
        <x:v>39.483079</x:v>
      </x:c>
      <x:c r="AG1840" s="60" t="n">
        <x:v>-80.162433</x:v>
      </x:c>
      <x:c r="AH1840" s="44" t="str">
        <x:v>Undergraduate tuition-contribution proxy only; not an audited total institutional budget.</x:v>
      </x:c>
    </x:row>
    <x:row r="1841">
      <x:c r="A1841" s="16" t="n">
        <x:v>237385</x:v>
      </x:c>
      <x:c r="B1841" s="16" t="str">
        <x:v>Glenville State College</x:v>
      </x:c>
      <x:c r="C1841" s="16" t="str">
        <x:v>WV</x:v>
      </x:c>
      <x:c r="D1841" s="16" t="str">
        <x:v>Public</x:v>
      </x:c>
      <x:c r="E1841" s="34" t="n">
        <x:v>1243</x:v>
      </x:c>
      <x:c r="F1841" s="21"/>
      <x:c r="G1841" s="16" t="str">
        <x:v>Regional</x:v>
      </x:c>
      <x:c r="H1841" s="36" t="n">
        <x:f>IF(G1841="National",Assumptions!$B$11,IF(G1841="Statewide",Assumptions!$B$12,Assumptions!$B$13))</x:f>
        <x:v>0.85</x:v>
      </x:c>
      <x:c r="I1841" s="21" t="n">
        <x:v>-0.07307514983863528</x:v>
      </x:c>
      <x:c r="J1841" s="21" t="n">
        <x:v>-0.13024435223605346</x:v>
      </x:c>
      <x:c r="K1841" s="21" t="n">
        <x:v>-0.22844628861226368</x:v>
      </x:c>
      <x:c r="L1841" s="36" t="n">
        <x:f>IF(Assumptions!$B$4=2030,I1841,IF(Assumptions!$B$4=2035,J1841,K1841))</x:f>
        <x:v>-0.13024435223605346</x:v>
      </x:c>
      <x:c r="M1841" s="36" t="n">
        <x:f>Assumptions!$B$19</x:f>
        <x:v>-0.04739891965741583</x:v>
      </x:c>
      <x:c r="N1841" s="52" t="n">
        <x:f>H1841*L1841+(1-H1841)*M1841+O1841</x:f>
        <x:v>-0.11781753734925782</x:v>
      </x:c>
      <x:c r="O1841" s="36" t="n">
        <x:f>Assumptions!$B$10</x:f>
        <x:v>0</x:v>
      </x:c>
      <x:c r="P1841" s="54" t="n">
        <x:f>E1841*(1+N1841)</x:f>
        <x:v>1096.5528010748726</x:v>
      </x:c>
      <x:c r="Q1841" s="54" t="n">
        <x:f>P1841-E1841</x:f>
        <x:v>-146.4471989251274</x:v>
      </x:c>
      <x:c r="R1841" s="16" t="str">
        <x:v>Yes</x:v>
      </x:c>
      <x:c r="S1841" s="56" t="n">
        <x:v>5073</x:v>
      </x:c>
      <x:c r="T1841" s="56" t="n">
        <x:v>6239</x:v>
      </x:c>
      <x:c r="U1841" s="40" t="n">
        <x:f>E1841*Assumptions!$B$8</x:f>
        <x:v>1056.55</x:v>
      </x:c>
      <x:c r="V1841" s="40" t="n">
        <x:f>P1841*Assumptions!$B$8</x:f>
        <x:v>932.0698809136417</x:v>
      </x:c>
      <x:c r="W1841" s="54" t="n">
        <x:f>V1841-U1841</x:f>
        <x:v>-124.48011908635829</x:v>
      </x:c>
      <x:c r="X1841" s="58" t="n">
        <x:f>IF(R1841="No","",W1841*S1841)</x:f>
        <x:v>-631487.6441250956</x:v>
      </x:c>
      <x:c r="Y1841" s="58" t="n">
        <x:f>IF(R1841="No","",W1841*T1841*Assumptions!$B$9)</x:f>
        <x:v>-232989.4388939368</x:v>
      </x:c>
      <x:c r="Z1841" s="58" t="n">
        <x:f>IF(R1841="No","",X1841-Y1841)</x:f>
        <x:v>-398498.20523115876</x:v>
      </x:c>
      <x:c r="AA1841" s="58" t="n">
        <x:f>IF(R1841="No","",MAX(0,-Z1841))</x:f>
        <x:v>398498.20523115876</x:v>
      </x:c>
      <x:c r="AB1841" s="52" t="n">
        <x:f>IF(OR(R1841="No",U1841*S1841=0),"",AA1841/(U1841*S1841))</x:f>
        <x:v>0.07434837025747662</x:v>
      </x:c>
      <x:c r="AC1841" s="54" t="n">
        <x:f>IF(OR(R1841="No",S1841-T1841*Assumptions!$B$9&lt;=0),"",AA1841/(Assumptions!$B$8*(S1841-T1841*Assumptions!$B$9)))</x:f>
        <x:v>146.4471989251274</x:v>
      </x:c>
      <x:c r="AD1841" s="52" t="n">
        <x:f>IF(OR(R1841="No",U1841*S1841=0),"",AA1841/(U1841*S1841))</x:f>
        <x:v>0.07434837025747662</x:v>
      </x:c>
      <x:c r="AE1841" s="50" t="str">
        <x:f>IF(R1841="No","No finance data",IF(AB1841&gt;=10%,"Severe",IF(AB1841&gt;=5%,"High",IF(AB1841&gt;=2%,"Moderate","Low"))))</x:f>
        <x:v>High</x:v>
      </x:c>
      <x:c r="AF1841" s="60" t="n">
        <x:v>38.93547</x:v>
      </x:c>
      <x:c r="AG1841" s="60" t="n">
        <x:v>-80.834295</x:v>
      </x:c>
      <x:c r="AH1841" s="44" t="str">
        <x:v>Undergraduate tuition-contribution proxy only; not an audited total institutional budget.</x:v>
      </x:c>
    </x:row>
    <x:row r="1842">
      <x:c r="A1842" s="16" t="n">
        <x:v>237525</x:v>
      </x:c>
      <x:c r="B1842" s="16" t="str">
        <x:v>Marshall University</x:v>
      </x:c>
      <x:c r="C1842" s="16" t="str">
        <x:v>WV</x:v>
      </x:c>
      <x:c r="D1842" s="16" t="str">
        <x:v>Public</x:v>
      </x:c>
      <x:c r="E1842" s="34" t="n">
        <x:v>8780</x:v>
      </x:c>
      <x:c r="F1842" s="21" t="n">
        <x:v>0.978</x:v>
      </x:c>
      <x:c r="G1842" s="16" t="str">
        <x:v>Statewide</x:v>
      </x:c>
      <x:c r="H1842" s="36" t="n">
        <x:f>IF(G1842="National",Assumptions!$B$11,IF(G1842="Statewide",Assumptions!$B$12,Assumptions!$B$13))</x:f>
        <x:v>0.6</x:v>
      </x:c>
      <x:c r="I1842" s="21" t="n">
        <x:v>-0.07307514983863528</x:v>
      </x:c>
      <x:c r="J1842" s="21" t="n">
        <x:v>-0.13024435223605346</x:v>
      </x:c>
      <x:c r="K1842" s="21" t="n">
        <x:v>-0.22844628861226368</x:v>
      </x:c>
      <x:c r="L1842" s="36" t="n">
        <x:f>IF(Assumptions!$B$4=2030,I1842,IF(Assumptions!$B$4=2035,J1842,K1842))</x:f>
        <x:v>-0.13024435223605346</x:v>
      </x:c>
      <x:c r="M1842" s="36" t="n">
        <x:f>Assumptions!$B$19</x:f>
        <x:v>-0.04739891965741583</x:v>
      </x:c>
      <x:c r="N1842" s="52" t="n">
        <x:f>H1842*L1842+(1-H1842)*M1842+O1842</x:f>
        <x:v>-0.09710617920459841</x:v>
      </x:c>
      <x:c r="O1842" s="36" t="n">
        <x:f>Assumptions!$B$10</x:f>
        <x:v>0</x:v>
      </x:c>
      <x:c r="P1842" s="54" t="n">
        <x:f>E1842*(1+N1842)</x:f>
        <x:v>7927.407746583626</x:v>
      </x:c>
      <x:c r="Q1842" s="54" t="n">
        <x:f>P1842-E1842</x:f>
        <x:v>-852.5922534163738</x:v>
      </x:c>
      <x:c r="R1842" s="16" t="str">
        <x:v>Yes</x:v>
      </x:c>
      <x:c r="S1842" s="56" t="n">
        <x:v>7323</x:v>
      </x:c>
      <x:c r="T1842" s="56" t="n">
        <x:v>10643</x:v>
      </x:c>
      <x:c r="U1842" s="40" t="n">
        <x:f>E1842*Assumptions!$B$8</x:f>
        <x:v>7463</x:v>
      </x:c>
      <x:c r="V1842" s="40" t="n">
        <x:f>P1842*Assumptions!$B$8</x:f>
        <x:v>6738.2965845960825</x:v>
      </x:c>
      <x:c r="W1842" s="54" t="n">
        <x:f>V1842-U1842</x:f>
        <x:v>-724.7034154039175</x:v>
      </x:c>
      <x:c r="X1842" s="58" t="n">
        <x:f>IF(R1842="No","",W1842*S1842)</x:f>
        <x:v>-5307003.111002888</x:v>
      </x:c>
      <x:c r="Y1842" s="58" t="n">
        <x:f>IF(R1842="No","",W1842*T1842*Assumptions!$B$9)</x:f>
        <x:v>-2313905.535043168</x:v>
      </x:c>
      <x:c r="Z1842" s="58" t="n">
        <x:f>IF(R1842="No","",X1842-Y1842)</x:f>
        <x:v>-2993097.5759597197</x:v>
      </x:c>
      <x:c r="AA1842" s="58" t="n">
        <x:f>IF(R1842="No","",MAX(0,-Z1842))</x:f>
        <x:v>2993097.5759597197</x:v>
      </x:c>
      <x:c r="AB1842" s="52" t="n">
        <x:f>IF(OR(R1842="No",U1842*S1842=0),"",AA1842/(U1842*S1842))</x:f>
        <x:v>0.054766930319938775</x:v>
      </x:c>
      <x:c r="AC1842" s="54" t="n">
        <x:f>IF(OR(R1842="No",S1842-T1842*Assumptions!$B$9&lt;=0),"",AA1842/(Assumptions!$B$8*(S1842-T1842*Assumptions!$B$9)))</x:f>
        <x:v>852.5922534163735</x:v>
      </x:c>
      <x:c r="AD1842" s="52" t="n">
        <x:f>IF(OR(R1842="No",U1842*S1842=0),"",AA1842/(U1842*S1842))</x:f>
        <x:v>0.054766930319938775</x:v>
      </x:c>
      <x:c r="AE1842" s="50" t="str">
        <x:f>IF(R1842="No","No finance data",IF(AB1842&gt;=10%,"Severe",IF(AB1842&gt;=5%,"High",IF(AB1842&gt;=2%,"Moderate","Low"))))</x:f>
        <x:v>High</x:v>
      </x:c>
      <x:c r="AF1842" s="60" t="n">
        <x:v>38.422482</x:v>
      </x:c>
      <x:c r="AG1842" s="60" t="n">
        <x:v>-82.428964</x:v>
      </x:c>
      <x:c r="AH1842" s="44" t="str">
        <x:v>Undergraduate tuition-contribution proxy only; not an audited total institutional budget.</x:v>
      </x:c>
    </x:row>
    <x:row r="1843">
      <x:c r="A1843" s="16" t="n">
        <x:v>237640</x:v>
      </x:c>
      <x:c r="B1843" s="16" t="str">
        <x:v>Ohio Valley University</x:v>
      </x:c>
      <x:c r="C1843" s="16" t="str">
        <x:v>WV</x:v>
      </x:c>
      <x:c r="D1843" s="16" t="str">
        <x:v>Private nonprofit</x:v>
      </x:c>
      <x:c r="E1843" s="34" t="n">
        <x:v>399</x:v>
      </x:c>
      <x:c r="F1843" s="21"/>
      <x:c r="G1843" s="16" t="str">
        <x:v>Regional</x:v>
      </x:c>
      <x:c r="H1843" s="36" t="n">
        <x:f>IF(G1843="National",Assumptions!$B$11,IF(G1843="Statewide",Assumptions!$B$12,Assumptions!$B$13))</x:f>
        <x:v>0.85</x:v>
      </x:c>
      <x:c r="I1843" s="21" t="n">
        <x:v>-0.07307514983863528</x:v>
      </x:c>
      <x:c r="J1843" s="21" t="n">
        <x:v>-0.13024435223605346</x:v>
      </x:c>
      <x:c r="K1843" s="21" t="n">
        <x:v>-0.22844628861226368</x:v>
      </x:c>
      <x:c r="L1843" s="36" t="n">
        <x:f>IF(Assumptions!$B$4=2030,I1843,IF(Assumptions!$B$4=2035,J1843,K1843))</x:f>
        <x:v>-0.13024435223605346</x:v>
      </x:c>
      <x:c r="M1843" s="36" t="n">
        <x:f>Assumptions!$B$19</x:f>
        <x:v>-0.04739891965741583</x:v>
      </x:c>
      <x:c r="N1843" s="52" t="n">
        <x:f>H1843*L1843+(1-H1843)*M1843+O1843</x:f>
        <x:v>-0.11781753734925782</x:v>
      </x:c>
      <x:c r="O1843" s="36" t="n">
        <x:f>Assumptions!$B$10</x:f>
        <x:v>0</x:v>
      </x:c>
      <x:c r="P1843" s="54" t="n">
        <x:f>E1843*(1+N1843)</x:f>
        <x:v>351.9908025976461</x:v>
      </x:c>
      <x:c r="Q1843" s="54" t="n">
        <x:f>P1843-E1843</x:f>
        <x:v>-47.00919740235389</x:v>
      </x:c>
      <x:c r="R1843" s="16" t="str">
        <x:v>No</x:v>
      </x:c>
      <x:c r="S1843" s="56"/>
      <x:c r="T1843" s="56"/>
      <x:c r="U1843" s="40" t="n">
        <x:f>E1843*Assumptions!$B$8</x:f>
        <x:v>339.15</x:v>
      </x:c>
      <x:c r="V1843" s="40" t="n">
        <x:f>P1843*Assumptions!$B$8</x:f>
        <x:v>299.19218220799917</x:v>
      </x:c>
      <x:c r="W1843" s="54" t="n">
        <x:f>V1843-U1843</x:f>
        <x:v>-39.95781779200081</x:v>
      </x:c>
      <x:c r="X1843" s="58" t="str">
        <x:f>IF(R1843="No","",W1843*S1843)</x:f>
      </x:c>
      <x:c r="Y1843" s="58" t="str">
        <x:f>IF(R1843="No","",W1843*T1843*Assumptions!$B$9)</x:f>
      </x:c>
      <x:c r="Z1843" s="58" t="str">
        <x:f>IF(R1843="No","",X1843-Y1843)</x:f>
      </x:c>
      <x:c r="AA1843" s="58" t="str">
        <x:f>IF(R1843="No","",MAX(0,-Z1843))</x:f>
      </x:c>
      <x:c r="AB1843" s="52" t="str">
        <x:f>IF(OR(R1843="No",U1843*S1843=0),"",AA1843/(U1843*S1843))</x:f>
      </x:c>
      <x:c r="AC1843" s="54" t="str">
        <x:f>IF(OR(R1843="No",S1843-T1843*Assumptions!$B$9&lt;=0),"",AA1843/(Assumptions!$B$8*(S1843-T1843*Assumptions!$B$9)))</x:f>
      </x:c>
      <x:c r="AD1843" s="52" t="str">
        <x:f>IF(OR(R1843="No",U1843*S1843=0),"",AA1843/(U1843*S1843))</x:f>
      </x:c>
      <x:c r="AE1843" s="50" t="str">
        <x:f>IF(R1843="No","No finance data",IF(AB1843&gt;=10%,"Severe",IF(AB1843&gt;=5%,"High",IF(AB1843&gt;=2%,"Moderate","Low"))))</x:f>
        <x:v>No finance data</x:v>
      </x:c>
      <x:c r="AF1843" s="60"/>
      <x:c r="AG1843" s="60"/>
      <x:c r="AH1843" s="44" t="str">
        <x:v>Undergraduate tuition-contribution proxy only; not an audited total institutional budget.</x:v>
      </x:c>
    </x:row>
    <x:row r="1844">
      <x:c r="A1844" s="16" t="n">
        <x:v>237792</x:v>
      </x:c>
      <x:c r="B1844" s="16" t="str">
        <x:v>Shepherd University</x:v>
      </x:c>
      <x:c r="C1844" s="16" t="str">
        <x:v>WV</x:v>
      </x:c>
      <x:c r="D1844" s="16" t="str">
        <x:v>Public</x:v>
      </x:c>
      <x:c r="E1844" s="34" t="n">
        <x:v>3320</x:v>
      </x:c>
      <x:c r="F1844" s="21" t="n">
        <x:v>0.9641</x:v>
      </x:c>
      <x:c r="G1844" s="16" t="str">
        <x:v>Regional</x:v>
      </x:c>
      <x:c r="H1844" s="36" t="n">
        <x:f>IF(G1844="National",Assumptions!$B$11,IF(G1844="Statewide",Assumptions!$B$12,Assumptions!$B$13))</x:f>
        <x:v>0.85</x:v>
      </x:c>
      <x:c r="I1844" s="21" t="n">
        <x:v>-0.07307514983863528</x:v>
      </x:c>
      <x:c r="J1844" s="21" t="n">
        <x:v>-0.13024435223605346</x:v>
      </x:c>
      <x:c r="K1844" s="21" t="n">
        <x:v>-0.22844628861226368</x:v>
      </x:c>
      <x:c r="L1844" s="36" t="n">
        <x:f>IF(Assumptions!$B$4=2030,I1844,IF(Assumptions!$B$4=2035,J1844,K1844))</x:f>
        <x:v>-0.13024435223605346</x:v>
      </x:c>
      <x:c r="M1844" s="36" t="n">
        <x:f>Assumptions!$B$19</x:f>
        <x:v>-0.04739891965741583</x:v>
      </x:c>
      <x:c r="N1844" s="52" t="n">
        <x:f>H1844*L1844+(1-H1844)*M1844+O1844</x:f>
        <x:v>-0.11781753734925782</x:v>
      </x:c>
      <x:c r="O1844" s="36" t="n">
        <x:f>Assumptions!$B$10</x:f>
        <x:v>0</x:v>
      </x:c>
      <x:c r="P1844" s="54" t="n">
        <x:f>E1844*(1+N1844)</x:f>
        <x:v>2928.845776000464</x:v>
      </x:c>
      <x:c r="Q1844" s="54" t="n">
        <x:f>P1844-E1844</x:f>
        <x:v>-391.15422399953604</x:v>
      </x:c>
      <x:c r="R1844" s="16" t="str">
        <x:v>Yes</x:v>
      </x:c>
      <x:c r="S1844" s="56" t="n">
        <x:v>4926</x:v>
      </x:c>
      <x:c r="T1844" s="56" t="n">
        <x:v>7447</x:v>
      </x:c>
      <x:c r="U1844" s="40" t="n">
        <x:f>E1844*Assumptions!$B$8</x:f>
        <x:v>2822</x:v>
      </x:c>
      <x:c r="V1844" s="40" t="n">
        <x:f>P1844*Assumptions!$B$8</x:f>
        <x:v>2489.518909600394</x:v>
      </x:c>
      <x:c r="W1844" s="54" t="n">
        <x:f>V1844-U1844</x:f>
        <x:v>-332.4810903996058</x:v>
      </x:c>
      <x:c r="X1844" s="58" t="n">
        <x:f>IF(R1844="No","",W1844*S1844)</x:f>
        <x:v>-1637801.8513084583</x:v>
      </x:c>
      <x:c r="Y1844" s="58" t="n">
        <x:f>IF(R1844="No","",W1844*T1844*Assumptions!$B$9)</x:f>
        <x:v>-742796.0040617593</x:v>
      </x:c>
      <x:c r="Z1844" s="58" t="n">
        <x:f>IF(R1844="No","",X1844-Y1844)</x:f>
        <x:v>-895005.8472466989</x:v>
      </x:c>
      <x:c r="AA1844" s="58" t="n">
        <x:f>IF(R1844="No","",MAX(0,-Z1844))</x:f>
        <x:v>895005.8472466989</x:v>
      </x:c>
      <x:c r="AB1844" s="52" t="n">
        <x:f>IF(OR(R1844="No",U1844*S1844=0),"",AA1844/(U1844*S1844))</x:f>
        <x:v>0.06438348128105306</x:v>
      </x:c>
      <x:c r="AC1844" s="54" t="n">
        <x:f>IF(OR(R1844="No",S1844-T1844*Assumptions!$B$9&lt;=0),"",AA1844/(Assumptions!$B$8*(S1844-T1844*Assumptions!$B$9)))</x:f>
        <x:v>391.1542239995362</x:v>
      </x:c>
      <x:c r="AD1844" s="52" t="n">
        <x:f>IF(OR(R1844="No",U1844*S1844=0),"",AA1844/(U1844*S1844))</x:f>
        <x:v>0.06438348128105306</x:v>
      </x:c>
      <x:c r="AE1844" s="50" t="str">
        <x:f>IF(R1844="No","No finance data",IF(AB1844&gt;=10%,"Severe",IF(AB1844&gt;=5%,"High",IF(AB1844&gt;=2%,"Moderate","Low"))))</x:f>
        <x:v>High</x:v>
      </x:c>
      <x:c r="AF1844" s="60" t="n">
        <x:v>39.433071</x:v>
      </x:c>
      <x:c r="AG1844" s="60" t="n">
        <x:v>-77.804101</x:v>
      </x:c>
      <x:c r="AH1844" s="44" t="str">
        <x:v>Undergraduate tuition-contribution proxy only; not an audited total institutional budget.</x:v>
      </x:c>
    </x:row>
    <x:row r="1845">
      <x:c r="A1845" s="16" t="n">
        <x:v>237312</x:v>
      </x:c>
      <x:c r="B1845" s="16" t="str">
        <x:v>University of Charleston</x:v>
      </x:c>
      <x:c r="C1845" s="16" t="str">
        <x:v>WV</x:v>
      </x:c>
      <x:c r="D1845" s="16" t="str">
        <x:v>Private nonprofit</x:v>
      </x:c>
      <x:c r="E1845" s="34" t="n">
        <x:v>1706</x:v>
      </x:c>
      <x:c r="F1845" s="21" t="n">
        <x:v>0.6971</x:v>
      </x:c>
      <x:c r="G1845" s="16" t="str">
        <x:v>Regional</x:v>
      </x:c>
      <x:c r="H1845" s="36" t="n">
        <x:f>IF(G1845="National",Assumptions!$B$11,IF(G1845="Statewide",Assumptions!$B$12,Assumptions!$B$13))</x:f>
        <x:v>0.85</x:v>
      </x:c>
      <x:c r="I1845" s="21" t="n">
        <x:v>-0.07307514983863528</x:v>
      </x:c>
      <x:c r="J1845" s="21" t="n">
        <x:v>-0.13024435223605346</x:v>
      </x:c>
      <x:c r="K1845" s="21" t="n">
        <x:v>-0.22844628861226368</x:v>
      </x:c>
      <x:c r="L1845" s="36" t="n">
        <x:f>IF(Assumptions!$B$4=2030,I1845,IF(Assumptions!$B$4=2035,J1845,K1845))</x:f>
        <x:v>-0.13024435223605346</x:v>
      </x:c>
      <x:c r="M1845" s="36" t="n">
        <x:f>Assumptions!$B$19</x:f>
        <x:v>-0.04739891965741583</x:v>
      </x:c>
      <x:c r="N1845" s="52" t="n">
        <x:f>H1845*L1845+(1-H1845)*M1845+O1845</x:f>
        <x:v>-0.11781753734925782</x:v>
      </x:c>
      <x:c r="O1845" s="36" t="n">
        <x:f>Assumptions!$B$10</x:f>
        <x:v>0</x:v>
      </x:c>
      <x:c r="P1845" s="54" t="n">
        <x:f>E1845*(1+N1845)</x:f>
        <x:v>1505.0032812821662</x:v>
      </x:c>
      <x:c r="Q1845" s="54" t="n">
        <x:f>P1845-E1845</x:f>
        <x:v>-200.9967187178338</x:v>
      </x:c>
      <x:c r="R1845" s="16" t="str">
        <x:v>Yes</x:v>
      </x:c>
      <x:c r="S1845" s="56" t="n">
        <x:v>11234</x:v>
      </x:c>
      <x:c r="T1845" s="56" t="n">
        <x:v>6209</x:v>
      </x:c>
      <x:c r="U1845" s="40" t="n">
        <x:f>E1845*Assumptions!$B$8</x:f>
        <x:v>1450.1</x:v>
      </x:c>
      <x:c r="V1845" s="40" t="n">
        <x:f>P1845*Assumptions!$B$8</x:f>
        <x:v>1279.2527890898411</x:v>
      </x:c>
      <x:c r="W1845" s="54" t="n">
        <x:f>V1845-U1845</x:f>
        <x:v>-170.84721091015876</x:v>
      </x:c>
      <x:c r="X1845" s="58" t="n">
        <x:f>IF(R1845="No","",W1845*S1845)</x:f>
        <x:v>-1919297.5673647237</x:v>
      </x:c>
      <x:c r="Y1845" s="58" t="n">
        <x:f>IF(R1845="No","",W1845*T1845*Assumptions!$B$9)</x:f>
        <x:v>-318237.09976235277</x:v>
      </x:c>
      <x:c r="Z1845" s="58" t="n">
        <x:f>IF(R1845="No","",X1845-Y1845)</x:f>
        <x:v>-1601060.4676023708</x:v>
      </x:c>
      <x:c r="AA1845" s="58" t="n">
        <x:f>IF(R1845="No","",MAX(0,-Z1845))</x:f>
        <x:v>1601060.4676023708</x:v>
      </x:c>
      <x:c r="AB1845" s="52" t="n">
        <x:f>IF(OR(R1845="No",U1845*S1845=0),"",AA1845/(U1845*S1845))</x:f>
        <x:v>0.09828231153294462</x:v>
      </x:c>
      <x:c r="AC1845" s="54" t="n">
        <x:f>IF(OR(R1845="No",S1845-T1845*Assumptions!$B$9&lt;=0),"",AA1845/(Assumptions!$B$8*(S1845-T1845*Assumptions!$B$9)))</x:f>
        <x:v>200.99671871783386</x:v>
      </x:c>
      <x:c r="AD1845" s="52" t="n">
        <x:f>IF(OR(R1845="No",U1845*S1845=0),"",AA1845/(U1845*S1845))</x:f>
        <x:v>0.09828231153294462</x:v>
      </x:c>
      <x:c r="AE1845" s="50" t="str">
        <x:f>IF(R1845="No","No finance data",IF(AB1845&gt;=10%,"Severe",IF(AB1845&gt;=5%,"High",IF(AB1845&gt;=2%,"Moderate","Low"))))</x:f>
        <x:v>High</x:v>
      </x:c>
      <x:c r="AF1845" s="60" t="n">
        <x:v>38.333367</x:v>
      </x:c>
      <x:c r="AG1845" s="60" t="n">
        <x:v>-81.616244</x:v>
      </x:c>
      <x:c r="AH1845" s="44" t="str">
        <x:v>Undergraduate tuition-contribution proxy only; not an audited total institutional budget.</x:v>
      </x:c>
    </x:row>
    <x:row r="1846">
      <x:c r="A1846" s="16" t="n">
        <x:v>237932</x:v>
      </x:c>
      <x:c r="B1846" s="16" t="str">
        <x:v>West Liberty University</x:v>
      </x:c>
      <x:c r="C1846" s="16" t="str">
        <x:v>WV</x:v>
      </x:c>
      <x:c r="D1846" s="16" t="str">
        <x:v>Public</x:v>
      </x:c>
      <x:c r="E1846" s="34" t="n">
        <x:v>2014</x:v>
      </x:c>
      <x:c r="F1846" s="21" t="n">
        <x:v>0.7385</x:v>
      </x:c>
      <x:c r="G1846" s="16" t="str">
        <x:v>Regional</x:v>
      </x:c>
      <x:c r="H1846" s="36" t="n">
        <x:f>IF(G1846="National",Assumptions!$B$11,IF(G1846="Statewide",Assumptions!$B$12,Assumptions!$B$13))</x:f>
        <x:v>0.85</x:v>
      </x:c>
      <x:c r="I1846" s="21" t="n">
        <x:v>-0.07307514983863528</x:v>
      </x:c>
      <x:c r="J1846" s="21" t="n">
        <x:v>-0.13024435223605346</x:v>
      </x:c>
      <x:c r="K1846" s="21" t="n">
        <x:v>-0.22844628861226368</x:v>
      </x:c>
      <x:c r="L1846" s="36" t="n">
        <x:f>IF(Assumptions!$B$4=2030,I1846,IF(Assumptions!$B$4=2035,J1846,K1846))</x:f>
        <x:v>-0.13024435223605346</x:v>
      </x:c>
      <x:c r="M1846" s="36" t="n">
        <x:f>Assumptions!$B$19</x:f>
        <x:v>-0.04739891965741583</x:v>
      </x:c>
      <x:c r="N1846" s="52" t="n">
        <x:f>H1846*L1846+(1-H1846)*M1846+O1846</x:f>
        <x:v>-0.11781753734925782</x:v>
      </x:c>
      <x:c r="O1846" s="36" t="n">
        <x:f>Assumptions!$B$10</x:f>
        <x:v>0</x:v>
      </x:c>
      <x:c r="P1846" s="54" t="n">
        <x:f>E1846*(1+N1846)</x:f>
        <x:v>1776.7154797785947</x:v>
      </x:c>
      <x:c r="Q1846" s="54" t="n">
        <x:f>P1846-E1846</x:f>
        <x:v>-237.28452022140527</x:v>
      </x:c>
      <x:c r="R1846" s="16" t="str">
        <x:v>Yes</x:v>
      </x:c>
      <x:c r="S1846" s="56" t="n">
        <x:v>6894</x:v>
      </x:c>
      <x:c r="T1846" s="56" t="n">
        <x:v>5607</x:v>
      </x:c>
      <x:c r="U1846" s="40" t="n">
        <x:f>E1846*Assumptions!$B$8</x:f>
        <x:v>1711.8999999999999</x:v>
      </x:c>
      <x:c r="V1846" s="40" t="n">
        <x:f>P1846*Assumptions!$B$8</x:f>
        <x:v>1510.2081578118054</x:v>
      </x:c>
      <x:c r="W1846" s="54" t="n">
        <x:f>V1846-U1846</x:f>
        <x:v>-201.6918421881944</x:v>
      </x:c>
      <x:c r="X1846" s="58" t="n">
        <x:f>IF(R1846="No","",W1846*S1846)</x:f>
        <x:v>-1390463.5600454123</x:v>
      </x:c>
      <x:c r="Y1846" s="58" t="n">
        <x:f>IF(R1846="No","",W1846*T1846*Assumptions!$B$9)</x:f>
        <x:v>-339265.8477447618</x:v>
      </x:c>
      <x:c r="Z1846" s="58" t="n">
        <x:f>IF(R1846="No","",X1846-Y1846)</x:f>
        <x:v>-1051197.7123006505</x:v>
      </x:c>
      <x:c r="AA1846" s="58" t="n">
        <x:f>IF(R1846="No","",MAX(0,-Z1846))</x:f>
        <x:v>1051197.7123006505</x:v>
      </x:c>
      <x:c r="AB1846" s="52" t="n">
        <x:f>IF(OR(R1846="No",U1846*S1846=0),"",AA1846/(U1846*S1846))</x:f>
        <x:v>0.08907067347122088</x:v>
      </x:c>
      <x:c r="AC1846" s="54" t="n">
        <x:f>IF(OR(R1846="No",S1846-T1846*Assumptions!$B$9&lt;=0),"",AA1846/(Assumptions!$B$8*(S1846-T1846*Assumptions!$B$9)))</x:f>
        <x:v>237.28452022140522</x:v>
      </x:c>
      <x:c r="AD1846" s="52" t="n">
        <x:f>IF(OR(R1846="No",U1846*S1846=0),"",AA1846/(U1846*S1846))</x:f>
        <x:v>0.08907067347122088</x:v>
      </x:c>
      <x:c r="AE1846" s="50" t="str">
        <x:f>IF(R1846="No","No finance data",IF(AB1846&gt;=10%,"Severe",IF(AB1846&gt;=5%,"High",IF(AB1846&gt;=2%,"Moderate","Low"))))</x:f>
        <x:v>High</x:v>
      </x:c>
      <x:c r="AF1846" s="60" t="n">
        <x:v>40.164417</x:v>
      </x:c>
      <x:c r="AG1846" s="60" t="n">
        <x:v>-80.602256</x:v>
      </x:c>
      <x:c r="AH1846" s="44" t="str">
        <x:v>Undergraduate tuition-contribution proxy only; not an audited total institutional budget.</x:v>
      </x:c>
    </x:row>
    <x:row r="1847">
      <x:c r="A1847" s="16" t="n">
        <x:v>237899</x:v>
      </x:c>
      <x:c r="B1847" s="16" t="str">
        <x:v>West Virginia State University</x:v>
      </x:c>
      <x:c r="C1847" s="16" t="str">
        <x:v>WV</x:v>
      </x:c>
      <x:c r="D1847" s="16" t="str">
        <x:v>Public</x:v>
      </x:c>
      <x:c r="E1847" s="34" t="n">
        <x:v>2033</x:v>
      </x:c>
      <x:c r="F1847" s="21" t="n">
        <x:v>0.9655</x:v>
      </x:c>
      <x:c r="G1847" s="16" t="str">
        <x:v>Regional</x:v>
      </x:c>
      <x:c r="H1847" s="36" t="n">
        <x:f>IF(G1847="National",Assumptions!$B$11,IF(G1847="Statewide",Assumptions!$B$12,Assumptions!$B$13))</x:f>
        <x:v>0.85</x:v>
      </x:c>
      <x:c r="I1847" s="21" t="n">
        <x:v>-0.07307514983863528</x:v>
      </x:c>
      <x:c r="J1847" s="21" t="n">
        <x:v>-0.13024435223605346</x:v>
      </x:c>
      <x:c r="K1847" s="21" t="n">
        <x:v>-0.22844628861226368</x:v>
      </x:c>
      <x:c r="L1847" s="36" t="n">
        <x:f>IF(Assumptions!$B$4=2030,I1847,IF(Assumptions!$B$4=2035,J1847,K1847))</x:f>
        <x:v>-0.13024435223605346</x:v>
      </x:c>
      <x:c r="M1847" s="36" t="n">
        <x:f>Assumptions!$B$19</x:f>
        <x:v>-0.04739891965741583</x:v>
      </x:c>
      <x:c r="N1847" s="52" t="n">
        <x:f>H1847*L1847+(1-H1847)*M1847+O1847</x:f>
        <x:v>-0.11781753734925782</x:v>
      </x:c>
      <x:c r="O1847" s="36" t="n">
        <x:f>Assumptions!$B$10</x:f>
        <x:v>0</x:v>
      </x:c>
      <x:c r="P1847" s="54" t="n">
        <x:f>E1847*(1+N1847)</x:f>
        <x:v>1793.476946568959</x:v>
      </x:c>
      <x:c r="Q1847" s="54" t="n">
        <x:f>P1847-E1847</x:f>
        <x:v>-239.52305343104103</x:v>
      </x:c>
      <x:c r="R1847" s="16" t="str">
        <x:v>Yes</x:v>
      </x:c>
      <x:c r="S1847" s="56" t="n">
        <x:v>4645</x:v>
      </x:c>
      <x:c r="T1847" s="56" t="n">
        <x:v>7434</x:v>
      </x:c>
      <x:c r="U1847" s="40" t="n">
        <x:f>E1847*Assumptions!$B$8</x:f>
        <x:v>1728.05</x:v>
      </x:c>
      <x:c r="V1847" s="40" t="n">
        <x:f>P1847*Assumptions!$B$8</x:f>
        <x:v>1524.455404583615</x:v>
      </x:c>
      <x:c r="W1847" s="54" t="n">
        <x:f>V1847-U1847</x:f>
        <x:v>-203.5945954163849</x:v>
      </x:c>
      <x:c r="X1847" s="58" t="n">
        <x:f>IF(R1847="No","",W1847*S1847)</x:f>
        <x:v>-945696.8957091079</x:v>
      </x:c>
      <x:c r="Y1847" s="58" t="n">
        <x:f>IF(R1847="No","",W1847*T1847*Assumptions!$B$9)</x:f>
        <x:v>-454056.6666976216</x:v>
      </x:c>
      <x:c r="Z1847" s="58" t="n">
        <x:f>IF(R1847="No","",X1847-Y1847)</x:f>
        <x:v>-491640.2290114863</x:v>
      </x:c>
      <x:c r="AA1847" s="58" t="n">
        <x:f>IF(R1847="No","",MAX(0,-Z1847))</x:f>
        <x:v>491640.2290114863</x:v>
      </x:c>
      <x:c r="AB1847" s="52" t="n">
        <x:f>IF(OR(R1847="No",U1847*S1847=0),"",AA1847/(U1847*S1847))</x:f>
        <x:v>0.06124990079461522</x:v>
      </x:c>
      <x:c r="AC1847" s="54" t="n">
        <x:f>IF(OR(R1847="No",S1847-T1847*Assumptions!$B$9&lt;=0),"",AA1847/(Assumptions!$B$8*(S1847-T1847*Assumptions!$B$9)))</x:f>
        <x:v>239.5230534310411</x:v>
      </x:c>
      <x:c r="AD1847" s="52" t="n">
        <x:f>IF(OR(R1847="No",U1847*S1847=0),"",AA1847/(U1847*S1847))</x:f>
        <x:v>0.06124990079461522</x:v>
      </x:c>
      <x:c r="AE1847" s="50" t="str">
        <x:f>IF(R1847="No","No finance data",IF(AB1847&gt;=10%,"Severe",IF(AB1847&gt;=5%,"High",IF(AB1847&gt;=2%,"Moderate","Low"))))</x:f>
        <x:v>High</x:v>
      </x:c>
      <x:c r="AF1847" s="60" t="n">
        <x:v>38.380541</x:v>
      </x:c>
      <x:c r="AG1847" s="60" t="n">
        <x:v>-81.765034</x:v>
      </x:c>
      <x:c r="AH1847" s="44" t="str">
        <x:v>Undergraduate tuition-contribution proxy only; not an audited total institutional budget.</x:v>
      </x:c>
    </x:row>
    <x:row r="1848">
      <x:c r="A1848" s="16" t="n">
        <x:v>238032</x:v>
      </x:c>
      <x:c r="B1848" s="16" t="str">
        <x:v>West Virginia University</x:v>
      </x:c>
      <x:c r="C1848" s="16" t="str">
        <x:v>WV</x:v>
      </x:c>
      <x:c r="D1848" s="16" t="str">
        <x:v>Public</x:v>
      </x:c>
      <x:c r="E1848" s="34" t="n">
        <x:v>21580</x:v>
      </x:c>
      <x:c r="F1848" s="21" t="n">
        <x:v>0.8982</x:v>
      </x:c>
      <x:c r="G1848" s="16" t="str">
        <x:v>Statewide</x:v>
      </x:c>
      <x:c r="H1848" s="36" t="n">
        <x:f>IF(G1848="National",Assumptions!$B$11,IF(G1848="Statewide",Assumptions!$B$12,Assumptions!$B$13))</x:f>
        <x:v>0.6</x:v>
      </x:c>
      <x:c r="I1848" s="21" t="n">
        <x:v>-0.07307514983863528</x:v>
      </x:c>
      <x:c r="J1848" s="21" t="n">
        <x:v>-0.13024435223605346</x:v>
      </x:c>
      <x:c r="K1848" s="21" t="n">
        <x:v>-0.22844628861226368</x:v>
      </x:c>
      <x:c r="L1848" s="36" t="n">
        <x:f>IF(Assumptions!$B$4=2030,I1848,IF(Assumptions!$B$4=2035,J1848,K1848))</x:f>
        <x:v>-0.13024435223605346</x:v>
      </x:c>
      <x:c r="M1848" s="36" t="n">
        <x:f>Assumptions!$B$19</x:f>
        <x:v>-0.04739891965741583</x:v>
      </x:c>
      <x:c r="N1848" s="52" t="n">
        <x:f>H1848*L1848+(1-H1848)*M1848+O1848</x:f>
        <x:v>-0.09710617920459841</x:v>
      </x:c>
      <x:c r="O1848" s="36" t="n">
        <x:f>Assumptions!$B$10</x:f>
        <x:v>0</x:v>
      </x:c>
      <x:c r="P1848" s="54" t="n">
        <x:f>E1848*(1+N1848)</x:f>
        <x:v>19484.448652764768</x:v>
      </x:c>
      <x:c r="Q1848" s="54" t="n">
        <x:f>P1848-E1848</x:f>
        <x:v>-2095.5513472352322</x:v>
      </x:c>
      <x:c r="R1848" s="16" t="str">
        <x:v>Yes</x:v>
      </x:c>
      <x:c r="S1848" s="56" t="n">
        <x:v>13457</x:v>
      </x:c>
      <x:c r="T1848" s="56" t="n">
        <x:v>11207</x:v>
      </x:c>
      <x:c r="U1848" s="40" t="n">
        <x:f>E1848*Assumptions!$B$8</x:f>
        <x:v>18343</x:v>
      </x:c>
      <x:c r="V1848" s="40" t="n">
        <x:f>P1848*Assumptions!$B$8</x:f>
        <x:v>16561.781354850053</x:v>
      </x:c>
      <x:c r="W1848" s="54" t="n">
        <x:f>V1848-U1848</x:f>
        <x:v>-1781.2186451499474</x:v>
      </x:c>
      <x:c r="X1848" s="58" t="n">
        <x:f>IF(R1848="No","",W1848*S1848)</x:f>
        <x:v>-23969859.307782844</x:v>
      </x:c>
      <x:c r="Y1848" s="58" t="n">
        <x:f>IF(R1848="No","",W1848*T1848*Assumptions!$B$9)</x:f>
        <x:v>-5988635.206858638</x:v>
      </x:c>
      <x:c r="Z1848" s="58" t="n">
        <x:f>IF(R1848="No","",X1848-Y1848)</x:f>
        <x:v>-17981224.100924205</x:v>
      </x:c>
      <x:c r="AA1848" s="58" t="n">
        <x:f>IF(R1848="No","",MAX(0,-Z1848))</x:f>
        <x:v>17981224.100924205</x:v>
      </x:c>
      <x:c r="AB1848" s="52" t="n">
        <x:f>IF(OR(R1848="No",U1848*S1848=0),"",AA1848/(U1848*S1848))</x:f>
        <x:v>0.07284514887809318</x:v>
      </x:c>
      <x:c r="AC1848" s="54" t="n">
        <x:f>IF(OR(R1848="No",S1848-T1848*Assumptions!$B$9&lt;=0),"",AA1848/(Assumptions!$B$8*(S1848-T1848*Assumptions!$B$9)))</x:f>
        <x:v>2095.5513472352327</x:v>
      </x:c>
      <x:c r="AD1848" s="52" t="n">
        <x:f>IF(OR(R1848="No",U1848*S1848=0),"",AA1848/(U1848*S1848))</x:f>
        <x:v>0.07284514887809318</x:v>
      </x:c>
      <x:c r="AE1848" s="50" t="str">
        <x:f>IF(R1848="No","No finance data",IF(AB1848&gt;=10%,"Severe",IF(AB1848&gt;=5%,"High",IF(AB1848&gt;=2%,"Moderate","Low"))))</x:f>
        <x:v>High</x:v>
      </x:c>
      <x:c r="AF1848" s="60" t="n">
        <x:v>39.634371</x:v>
      </x:c>
      <x:c r="AG1848" s="60" t="n">
        <x:v>-79.954391</x:v>
      </x:c>
      <x:c r="AH1848" s="44" t="str">
        <x:v>Undergraduate tuition-contribution proxy only; not an audited total institutional budget.</x:v>
      </x:c>
    </x:row>
    <x:row r="1849">
      <x:c r="A1849" s="16" t="n">
        <x:v>237950</x:v>
      </x:c>
      <x:c r="B1849" s="16" t="str">
        <x:v>West Virginia University Institute of Technology</x:v>
      </x:c>
      <x:c r="C1849" s="16" t="str">
        <x:v>WV</x:v>
      </x:c>
      <x:c r="D1849" s="16" t="str">
        <x:v>Public</x:v>
      </x:c>
      <x:c r="E1849" s="34" t="n">
        <x:v>1116</x:v>
      </x:c>
      <x:c r="F1849" s="21" t="n">
        <x:v>0.6641</x:v>
      </x:c>
      <x:c r="G1849" s="16" t="str">
        <x:v>Regional</x:v>
      </x:c>
      <x:c r="H1849" s="36" t="n">
        <x:f>IF(G1849="National",Assumptions!$B$11,IF(G1849="Statewide",Assumptions!$B$12,Assumptions!$B$13))</x:f>
        <x:v>0.85</x:v>
      </x:c>
      <x:c r="I1849" s="21" t="n">
        <x:v>-0.07307514983863528</x:v>
      </x:c>
      <x:c r="J1849" s="21" t="n">
        <x:v>-0.13024435223605346</x:v>
      </x:c>
      <x:c r="K1849" s="21" t="n">
        <x:v>-0.22844628861226368</x:v>
      </x:c>
      <x:c r="L1849" s="36" t="n">
        <x:f>IF(Assumptions!$B$4=2030,I1849,IF(Assumptions!$B$4=2035,J1849,K1849))</x:f>
        <x:v>-0.13024435223605346</x:v>
      </x:c>
      <x:c r="M1849" s="36" t="n">
        <x:f>Assumptions!$B$19</x:f>
        <x:v>-0.04739891965741583</x:v>
      </x:c>
      <x:c r="N1849" s="52" t="n">
        <x:f>H1849*L1849+(1-H1849)*M1849+O1849</x:f>
        <x:v>-0.11781753734925782</x:v>
      </x:c>
      <x:c r="O1849" s="36" t="n">
        <x:f>Assumptions!$B$10</x:f>
        <x:v>0</x:v>
      </x:c>
      <x:c r="P1849" s="54" t="n">
        <x:f>E1849*(1+N1849)</x:f>
        <x:v>984.5156283182283</x:v>
      </x:c>
      <x:c r="Q1849" s="54" t="n">
        <x:f>P1849-E1849</x:f>
        <x:v>-131.48437168177168</x:v>
      </x:c>
      <x:c r="R1849" s="16" t="str">
        <x:v>Yes</x:v>
      </x:c>
      <x:c r="S1849" s="56" t="n">
        <x:v>5828</x:v>
      </x:c>
      <x:c r="T1849" s="56" t="n">
        <x:v>4854</x:v>
      </x:c>
      <x:c r="U1849" s="40" t="n">
        <x:f>E1849*Assumptions!$B$8</x:f>
        <x:v>948.6</x:v>
      </x:c>
      <x:c r="V1849" s="40" t="n">
        <x:f>P1849*Assumptions!$B$8</x:f>
        <x:v>836.8382840704941</x:v>
      </x:c>
      <x:c r="W1849" s="54" t="n">
        <x:f>V1849-U1849</x:f>
        <x:v>-111.76171592950595</x:v>
      </x:c>
      <x:c r="X1849" s="58" t="n">
        <x:f>IF(R1849="No","",W1849*S1849)</x:f>
        <x:v>-651347.2804371607</x:v>
      </x:c>
      <x:c r="Y1849" s="58" t="n">
        <x:f>IF(R1849="No","",W1849*T1849*Assumptions!$B$9)</x:f>
        <x:v>-162747.4107365466</x:v>
      </x:c>
      <x:c r="Z1849" s="58" t="n">
        <x:f>IF(R1849="No","",X1849-Y1849)</x:f>
        <x:v>-488599.86970061413</x:v>
      </x:c>
      <x:c r="AA1849" s="58" t="n">
        <x:f>IF(R1849="No","",MAX(0,-Z1849))</x:f>
        <x:v>488599.86970061413</x:v>
      </x:c>
      <x:c r="AB1849" s="52" t="n">
        <x:f>IF(OR(R1849="No",U1849*S1849=0),"",AA1849/(U1849*S1849))</x:f>
        <x:v>0.08837932563203248</x:v>
      </x:c>
      <x:c r="AC1849" s="54" t="n">
        <x:f>IF(OR(R1849="No",S1849-T1849*Assumptions!$B$9&lt;=0),"",AA1849/(Assumptions!$B$8*(S1849-T1849*Assumptions!$B$9)))</x:f>
        <x:v>131.4843716817717</x:v>
      </x:c>
      <x:c r="AD1849" s="52" t="n">
        <x:f>IF(OR(R1849="No",U1849*S1849=0),"",AA1849/(U1849*S1849))</x:f>
        <x:v>0.08837932563203248</x:v>
      </x:c>
      <x:c r="AE1849" s="50" t="str">
        <x:f>IF(R1849="No","No finance data",IF(AB1849&gt;=10%,"Severe",IF(AB1849&gt;=5%,"High",IF(AB1849&gt;=2%,"Moderate","Low"))))</x:f>
        <x:v>High</x:v>
      </x:c>
      <x:c r="AF1849" s="60" t="n">
        <x:v>37.775924</x:v>
      </x:c>
      <x:c r="AG1849" s="60" t="n">
        <x:v>-81.184072</x:v>
      </x:c>
      <x:c r="AH1849" s="44" t="str">
        <x:v>Undergraduate tuition-contribution proxy only; not an audited total institutional budget.</x:v>
      </x:c>
    </x:row>
    <x:row r="1850">
      <x:c r="A1850" s="16" t="n">
        <x:v>237969</x:v>
      </x:c>
      <x:c r="B1850" s="16" t="str">
        <x:v>West Virginia Wesleyan College</x:v>
      </x:c>
      <x:c r="C1850" s="16" t="str">
        <x:v>WV</x:v>
      </x:c>
      <x:c r="D1850" s="16" t="str">
        <x:v>Private nonprofit</x:v>
      </x:c>
      <x:c r="E1850" s="34" t="n">
        <x:v>1371</x:v>
      </x:c>
      <x:c r="F1850" s="21" t="n">
        <x:v>0.8443</x:v>
      </x:c>
      <x:c r="G1850" s="16" t="str">
        <x:v>Regional</x:v>
      </x:c>
      <x:c r="H1850" s="36" t="n">
        <x:f>IF(G1850="National",Assumptions!$B$11,IF(G1850="Statewide",Assumptions!$B$12,Assumptions!$B$13))</x:f>
        <x:v>0.85</x:v>
      </x:c>
      <x:c r="I1850" s="21" t="n">
        <x:v>-0.07307514983863528</x:v>
      </x:c>
      <x:c r="J1850" s="21" t="n">
        <x:v>-0.13024435223605346</x:v>
      </x:c>
      <x:c r="K1850" s="21" t="n">
        <x:v>-0.22844628861226368</x:v>
      </x:c>
      <x:c r="L1850" s="36" t="n">
        <x:f>IF(Assumptions!$B$4=2030,I1850,IF(Assumptions!$B$4=2035,J1850,K1850))</x:f>
        <x:v>-0.13024435223605346</x:v>
      </x:c>
      <x:c r="M1850" s="36" t="n">
        <x:f>Assumptions!$B$19</x:f>
        <x:v>-0.04739891965741583</x:v>
      </x:c>
      <x:c r="N1850" s="52" t="n">
        <x:f>H1850*L1850+(1-H1850)*M1850+O1850</x:f>
        <x:v>-0.11781753734925782</x:v>
      </x:c>
      <x:c r="O1850" s="36" t="n">
        <x:f>Assumptions!$B$10</x:f>
        <x:v>0</x:v>
      </x:c>
      <x:c r="P1850" s="54" t="n">
        <x:f>E1850*(1+N1850)</x:f>
        <x:v>1209.4721562941675</x:v>
      </x:c>
      <x:c r="Q1850" s="54" t="n">
        <x:f>P1850-E1850</x:f>
        <x:v>-161.52784370583254</x:v>
      </x:c>
      <x:c r="R1850" s="16" t="str">
        <x:v>Yes</x:v>
      </x:c>
      <x:c r="S1850" s="56" t="n">
        <x:v>12850</x:v>
      </x:c>
      <x:c r="T1850" s="56" t="n">
        <x:v>7537</x:v>
      </x:c>
      <x:c r="U1850" s="40" t="n">
        <x:f>E1850*Assumptions!$B$8</x:f>
        <x:v>1165.35</x:v>
      </x:c>
      <x:c r="V1850" s="40" t="n">
        <x:f>P1850*Assumptions!$B$8</x:f>
        <x:v>1028.0513328500424</x:v>
      </x:c>
      <x:c r="W1850" s="54" t="n">
        <x:f>V1850-U1850</x:f>
        <x:v>-137.2986671499575</x:v>
      </x:c>
      <x:c r="X1850" s="58" t="n">
        <x:f>IF(R1850="No","",W1850*S1850)</x:f>
        <x:v>-1764287.872876954</x:v>
      </x:c>
      <x:c r="Y1850" s="58" t="n">
        <x:f>IF(R1850="No","",W1850*T1850*Assumptions!$B$9)</x:f>
        <x:v>-310446.0162927689</x:v>
      </x:c>
      <x:c r="Z1850" s="58" t="n">
        <x:f>IF(R1850="No","",X1850-Y1850)</x:f>
        <x:v>-1453841.8565841853</x:v>
      </x:c>
      <x:c r="AA1850" s="58" t="n">
        <x:f>IF(R1850="No","",MAX(0,-Z1850))</x:f>
        <x:v>1453841.8565841853</x:v>
      </x:c>
      <x:c r="AB1850" s="52" t="n">
        <x:f>IF(OR(R1850="No",U1850*S1850=0),"",AA1850/(U1850*S1850))</x:f>
        <x:v>0.09708623511576309</x:v>
      </x:c>
      <x:c r="AC1850" s="54" t="n">
        <x:f>IF(OR(R1850="No",S1850-T1850*Assumptions!$B$9&lt;=0),"",AA1850/(Assumptions!$B$8*(S1850-T1850*Assumptions!$B$9)))</x:f>
        <x:v>161.5278437058324</x:v>
      </x:c>
      <x:c r="AD1850" s="52" t="n">
        <x:f>IF(OR(R1850="No",U1850*S1850=0),"",AA1850/(U1850*S1850))</x:f>
        <x:v>0.09708623511576309</x:v>
      </x:c>
      <x:c r="AE1850" s="50" t="str">
        <x:f>IF(R1850="No","No finance data",IF(AB1850&gt;=10%,"Severe",IF(AB1850&gt;=5%,"High",IF(AB1850&gt;=2%,"Moderate","Low"))))</x:f>
        <x:v>High</x:v>
      </x:c>
      <x:c r="AF1850" s="60" t="n">
        <x:v>38.990661</x:v>
      </x:c>
      <x:c r="AG1850" s="60" t="n">
        <x:v>-80.218969</x:v>
      </x:c>
      <x:c r="AH1850" s="44" t="str">
        <x:v>Undergraduate tuition-contribution proxy only; not an audited total institutional budget.</x:v>
      </x:c>
    </x:row>
    <x:row r="1851">
      <x:c r="A1851" s="16" t="n">
        <x:v>238078</x:v>
      </x:c>
      <x:c r="B1851" s="16" t="str">
        <x:v>Wheeling Jesuit University</x:v>
      </x:c>
      <x:c r="C1851" s="16" t="str">
        <x:v>WV</x:v>
      </x:c>
      <x:c r="D1851" s="16" t="str">
        <x:v>Private nonprofit</x:v>
      </x:c>
      <x:c r="E1851" s="34" t="n">
        <x:v>1024</x:v>
      </x:c>
      <x:c r="F1851" s="21" t="n">
        <x:v>0.7807</x:v>
      </x:c>
      <x:c r="G1851" s="16" t="str">
        <x:v>Regional</x:v>
      </x:c>
      <x:c r="H1851" s="36" t="n">
        <x:f>IF(G1851="National",Assumptions!$B$11,IF(G1851="Statewide",Assumptions!$B$12,Assumptions!$B$13))</x:f>
        <x:v>0.85</x:v>
      </x:c>
      <x:c r="I1851" s="21" t="n">
        <x:v>-0.07307514983863528</x:v>
      </x:c>
      <x:c r="J1851" s="21" t="n">
        <x:v>-0.13024435223605346</x:v>
      </x:c>
      <x:c r="K1851" s="21" t="n">
        <x:v>-0.22844628861226368</x:v>
      </x:c>
      <x:c r="L1851" s="36" t="n">
        <x:f>IF(Assumptions!$B$4=2030,I1851,IF(Assumptions!$B$4=2035,J1851,K1851))</x:f>
        <x:v>-0.13024435223605346</x:v>
      </x:c>
      <x:c r="M1851" s="36" t="n">
        <x:f>Assumptions!$B$19</x:f>
        <x:v>-0.04739891965741583</x:v>
      </x:c>
      <x:c r="N1851" s="52" t="n">
        <x:f>H1851*L1851+(1-H1851)*M1851+O1851</x:f>
        <x:v>-0.11781753734925782</x:v>
      </x:c>
      <x:c r="O1851" s="36" t="n">
        <x:f>Assumptions!$B$10</x:f>
        <x:v>0</x:v>
      </x:c>
      <x:c r="P1851" s="54" t="n">
        <x:f>E1851*(1+N1851)</x:f>
        <x:v>903.35484175436</x:v>
      </x:c>
      <x:c r="Q1851" s="54" t="n">
        <x:f>P1851-E1851</x:f>
        <x:v>-120.64515824564</x:v>
      </x:c>
      <x:c r="R1851" s="16" t="str">
        <x:v>Yes</x:v>
      </x:c>
      <x:c r="S1851" s="56" t="n">
        <x:v>12879</x:v>
      </x:c>
      <x:c r="T1851" s="56" t="n">
        <x:v>7746</x:v>
      </x:c>
      <x:c r="U1851" s="40" t="n">
        <x:f>E1851*Assumptions!$B$8</x:f>
        <x:v>870.4</x:v>
      </x:c>
      <x:c r="V1851" s="40" t="n">
        <x:f>P1851*Assumptions!$B$8</x:f>
        <x:v>767.851615491206</x:v>
      </x:c>
      <x:c r="W1851" s="54" t="n">
        <x:f>V1851-U1851</x:f>
        <x:v>-102.54838450879402</x:v>
      </x:c>
      <x:c r="X1851" s="58" t="n">
        <x:f>IF(R1851="No","",W1851*S1851)</x:f>
        <x:v>-1320720.6440887582</x:v>
      </x:c>
      <x:c r="Y1851" s="58" t="n">
        <x:f>IF(R1851="No","",W1851*T1851*Assumptions!$B$9)</x:f>
        <x:v>-238301.9359215355</x:v>
      </x:c>
      <x:c r="Z1851" s="58" t="n">
        <x:f>IF(R1851="No","",X1851-Y1851)</x:f>
        <x:v>-1082418.7081672226</x:v>
      </x:c>
      <x:c r="AA1851" s="58" t="n">
        <x:f>IF(R1851="No","",MAX(0,-Z1851))</x:f>
        <x:v>1082418.7081672226</x:v>
      </x:c>
      <x:c r="AB1851" s="52" t="n">
        <x:f>IF(OR(R1851="No",U1851*S1851=0),"",AA1851/(U1851*S1851))</x:f>
        <x:v>0.09655933459343786</x:v>
      </x:c>
      <x:c r="AC1851" s="54" t="n">
        <x:f>IF(OR(R1851="No",S1851-T1851*Assumptions!$B$9&lt;=0),"",AA1851/(Assumptions!$B$8*(S1851-T1851*Assumptions!$B$9)))</x:f>
        <x:v>120.64515824564002</x:v>
      </x:c>
      <x:c r="AD1851" s="52" t="n">
        <x:f>IF(OR(R1851="No",U1851*S1851=0),"",AA1851/(U1851*S1851))</x:f>
        <x:v>0.09655933459343786</x:v>
      </x:c>
      <x:c r="AE1851" s="50" t="str">
        <x:f>IF(R1851="No","No finance data",IF(AB1851&gt;=10%,"Severe",IF(AB1851&gt;=5%,"High",IF(AB1851&gt;=2%,"Moderate","Low"))))</x:f>
        <x:v>High</x:v>
      </x:c>
      <x:c r="AF1851" s="60" t="n">
        <x:v>40.070873</x:v>
      </x:c>
      <x:c r="AG1851" s="60" t="n">
        <x:v>-80.690804</x:v>
      </x:c>
      <x:c r="AH1851" s="44" t="str">
        <x:v>Undergraduate tuition-contribution proxy only; not an audited total institutional budget.</x:v>
      </x:c>
    </x:row>
    <x:row r="1852">
      <x:c r="A1852" s="16" t="n">
        <x:v>240727</x:v>
      </x:c>
      <x:c r="B1852" s="16" t="str">
        <x:v>University of Wyoming</x:v>
      </x:c>
      <x:c r="C1852" s="16" t="str">
        <x:v>WY</x:v>
      </x:c>
      <x:c r="D1852" s="16" t="str">
        <x:v>Public</x:v>
      </x:c>
      <x:c r="E1852" s="34" t="n">
        <x:v>9842</x:v>
      </x:c>
      <x:c r="F1852" s="21" t="n">
        <x:v>0.9678</x:v>
      </x:c>
      <x:c r="G1852" s="16" t="str">
        <x:v>Statewide</x:v>
      </x:c>
      <x:c r="H1852" s="36" t="n">
        <x:f>IF(G1852="National",Assumptions!$B$11,IF(G1852="Statewide",Assumptions!$B$12,Assumptions!$B$13))</x:f>
        <x:v>0.6</x:v>
      </x:c>
      <x:c r="I1852" s="21" t="n">
        <x:v>-0.06167119348138683</x:v>
      </x:c>
      <x:c r="J1852" s="21" t="n">
        <x:v>-0.12669755552005113</x:v>
      </x:c>
      <x:c r="K1852" s="21" t="n">
        <x:v>-0.24764339351334075</x:v>
      </x:c>
      <x:c r="L1852" s="36" t="n">
        <x:f>IF(Assumptions!$B$4=2030,I1852,IF(Assumptions!$B$4=2035,J1852,K1852))</x:f>
        <x:v>-0.12669755552005113</x:v>
      </x:c>
      <x:c r="M1852" s="36" t="n">
        <x:f>Assumptions!$B$19</x:f>
        <x:v>-0.04739891965741583</x:v>
      </x:c>
      <x:c r="N1852" s="52" t="n">
        <x:f>H1852*L1852+(1-H1852)*M1852+O1852</x:f>
        <x:v>-0.09497810117499701</x:v>
      </x:c>
      <x:c r="O1852" s="36" t="n">
        <x:f>Assumptions!$B$10</x:f>
        <x:v>0</x:v>
      </x:c>
      <x:c r="P1852" s="54" t="n">
        <x:f>E1852*(1+N1852)</x:f>
        <x:v>8907.225528235678</x:v>
      </x:c>
      <x:c r="Q1852" s="54" t="n">
        <x:f>P1852-E1852</x:f>
        <x:v>-934.7744717643218</x:v>
      </x:c>
      <x:c r="R1852" s="16" t="str">
        <x:v>Yes</x:v>
      </x:c>
      <x:c r="S1852" s="56" t="n">
        <x:v>6490</x:v>
      </x:c>
      <x:c r="T1852" s="56" t="n">
        <x:v>16662</x:v>
      </x:c>
      <x:c r="U1852" s="40" t="n">
        <x:f>E1852*Assumptions!$B$8</x:f>
        <x:v>8365.699999999999</x:v>
      </x:c>
      <x:c r="V1852" s="40" t="n">
        <x:f>P1852*Assumptions!$B$8</x:f>
        <x:v>7571.141699000326</x:v>
      </x:c>
      <x:c r="W1852" s="54" t="n">
        <x:f>V1852-U1852</x:f>
        <x:v>-794.5583009996726</x:v>
      </x:c>
      <x:c r="X1852" s="58" t="n">
        <x:f>IF(R1852="No","",W1852*S1852)</x:f>
        <x:v>-5156683.373487875</x:v>
      </x:c>
      <x:c r="Y1852" s="58" t="n">
        <x:f>IF(R1852="No","",W1852*T1852*Assumptions!$B$9)</x:f>
        <x:v>-3971679.123376963</x:v>
      </x:c>
      <x:c r="Z1852" s="58" t="n">
        <x:f>IF(R1852="No","",X1852-Y1852)</x:f>
        <x:v>-1185004.2501109117</x:v>
      </x:c>
      <x:c r="AA1852" s="58" t="n">
        <x:f>IF(R1852="No","",MAX(0,-Z1852))</x:f>
        <x:v>1185004.2501109117</x:v>
      </x:c>
      <x:c r="AB1852" s="52" t="n">
        <x:f>IF(OR(R1852="No",U1852*S1852=0),"",AA1852/(U1852*S1852))</x:f>
        <x:v>0.021825938380953865</x:v>
      </x:c>
      <x:c r="AC1852" s="54" t="n">
        <x:f>IF(OR(R1852="No",S1852-T1852*Assumptions!$B$9&lt;=0),"",AA1852/(Assumptions!$B$8*(S1852-T1852*Assumptions!$B$9)))</x:f>
        <x:v>934.7744717643203</x:v>
      </x:c>
      <x:c r="AD1852" s="52" t="n">
        <x:f>IF(OR(R1852="No",U1852*S1852=0),"",AA1852/(U1852*S1852))</x:f>
        <x:v>0.021825938380953865</x:v>
      </x:c>
      <x:c r="AE1852" s="50" t="str">
        <x:f>IF(R1852="No","No finance data",IF(AB1852&gt;=10%,"Severe",IF(AB1852&gt;=5%,"High",IF(AB1852&gt;=2%,"Moderate","Low"))))</x:f>
        <x:v>Moderate</x:v>
      </x:c>
      <x:c r="AF1852" s="60" t="n">
        <x:v>41.311773</x:v>
      </x:c>
      <x:c r="AG1852" s="60" t="n">
        <x:v>-105.57931</x:v>
      </x:c>
      <x:c r="AH1852" s="44" t="str">
        <x:v>Undergraduate tuition-contribution proxy only; not an audited total institutional budget.</x:v>
      </x:c>
    </x:row>
  </x:sheetData>
  <x:mergeCells>
    <x:mergeCell ref="A1:AH1"/>
    <x:mergeCell ref="A2:AH2"/>
  </x:mergeCells>
  <x:conditionalFormatting sqref="AA4:AA1852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{71B8AF2F-5DC0-5AA5-273A-1AAF2D15B329}</x14:id>
        </x:ext>
      </x:extLst>
    </x:cfRule>
  </x:conditionalFormatting>
  <x:conditionalFormatting sqref="AB4:AB1852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910e8b22eb14fe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1B8AF2F-5DC0-5AA5-273A-1AAF2D15B329}">
            <x14:dataBar gradient="1">
              <x14:cfvo type="min"/>
              <x14:cfvo type="max"/>
              <x14:fillColor rgb="FF4472C4"/>
            </x14:dataBar>
          </x14:cfRule>
          <xm:sqref>AA4:AA1852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20" hidden="0" customWidth="1"/>
    <x:col min="4" max="4" width="50" hidden="0" customWidth="1"/>
  </x:cols>
  <x:sheetData>
    <x:row r="1">
      <x:c r="A1" s="3" t="str">
        <x:v>Data Dictionary and Interpretation</x:v>
      </x:c>
      <x:c r="B1" s="3"/>
      <x:c r="C1" s="3"/>
      <x:c r="D1" s="3"/>
    </x:row>
    <x:row r="3">
      <x:c r="A3" s="10" t="str">
        <x:v>Field / concept</x:v>
      </x:c>
      <x:c r="B3" s="10" t="str">
        <x:v>Definition</x:v>
      </x:c>
      <x:c r="C3" s="10" t="str">
        <x:v>Status</x:v>
      </x:c>
      <x:c r="D3" s="10" t="str">
        <x:v>Important limitation</x:v>
      </x:c>
    </x:row>
    <x:row r="4">
      <x:c r="A4" s="30" t="str">
        <x:v>Projected high-school graduates</x:v>
      </x:c>
      <x:c r="B4" s="30" t="str">
        <x:v>WICHE state projection allocated to counties using Phase 2 demographic cohorts</x:v>
      </x:c>
      <x:c r="C4" s="30" t="str">
        <x:v>Source/model input</x:v>
      </x:c>
      <x:c r="D4" s="30" t="str">
        <x:v>Not an independent school-grade survival forecast</x:v>
      </x:c>
    </x:row>
    <x:row r="5">
      <x:c r="A5" s="30" t="str">
        <x:v>Likely college entrants</x:v>
      </x:c>
      <x:c r="B5" s="30" t="str">
        <x:v>Projected graduates × college-going assumption</x:v>
      </x:c>
      <x:c r="C5" s="30" t="str">
        <x:v>Formula</x:v>
      </x:c>
      <x:c r="D5" s="30" t="str">
        <x:v>National behavior assumption applied uniformly</x:v>
      </x:c>
    </x:row>
    <x:row r="6">
      <x:c r="A6" s="30" t="str">
        <x:v>Likely four-year entrants</x:v>
      </x:c>
      <x:c r="B6" s="30" t="str">
        <x:v>Likely college entrants × four-year share assumption</x:v>
      </x:c>
      <x:c r="C6" s="30" t="str">
        <x:v>Formula</x:v>
      </x:c>
      <x:c r="D6" s="30" t="str">
        <x:v>Does not measure institution-specific academic eligibility</x:v>
      </x:c>
    </x:row>
    <x:row r="7">
      <x:c r="A7" s="30" t="str">
        <x:v>Market scope proxy</x:v>
      </x:c>
      <x:c r="B7" s="30" t="str">
        <x:v>Heuristic National / Statewide / Regional institution classification</x:v>
      </x:c>
      <x:c r="C7" s="30" t="str">
        <x:v>Model assumption</x:v>
      </x:c>
      <x:c r="D7" s="30" t="str">
        <x:v>Not based on actual applicant-origin files</x:v>
      </x:c>
    </x:row>
    <x:row r="8">
      <x:c r="A8" s="30" t="str">
        <x:v>Blended market change</x:v>
      </x:c>
      <x:c r="B8" s="30" t="str">
        <x:v>Weighted state and national graduate-pool change plus market-share scenario</x:v>
      </x:c>
      <x:c r="C8" s="30" t="str">
        <x:v>Formula</x:v>
      </x:c>
      <x:c r="D8" s="30" t="str">
        <x:v>Assumes other demand drivers are unchanged</x:v>
      </x:c>
    </x:row>
    <x:row r="9">
      <x:c r="A9" s="30" t="str">
        <x:v>Net tuition revenue / FTE</x:v>
      </x:c>
      <x:c r="B9" s="30" t="str">
        <x:v>Scorecard net tuition revenue per full-time-equivalent student</x:v>
      </x:c>
      <x:c r="C9" s="30" t="str">
        <x:v>Older source input</x:v>
      </x:c>
      <x:c r="D9" s="30" t="str">
        <x:v>May include graduate students</x:v>
      </x:c>
    </x:row>
    <x:row r="10">
      <x:c r="A10" s="30" t="str">
        <x:v>Instructional expense / FTE</x:v>
      </x:c>
      <x:c r="B10" s="30" t="str">
        <x:v>Scorecard instructional expenditure per full-time-equivalent student</x:v>
      </x:c>
      <x:c r="C10" s="30" t="str">
        <x:v>Older source input</x:v>
      </x:c>
      <x:c r="D10" s="30" t="str">
        <x:v>Not total institutional expense</x:v>
      </x:c>
    </x:row>
    <x:row r="11">
      <x:c r="A11" s="30" t="str">
        <x:v>Funding gap proxy</x:v>
      </x:c>
      <x:c r="B11" s="30" t="str">
        <x:v>Modeled tuition decline remaining after adjustable instructional-cost change</x:v>
      </x:c>
      <x:c r="C11" s="30" t="str">
        <x:v>Formula</x:v>
      </x:c>
      <x:c r="D11" s="30" t="str">
        <x:v>Not an audited operating deficit or cash requirement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2" hidden="0" customWidth="1"/>
    <x:col min="3" max="3" width="30" hidden="0" customWidth="1"/>
    <x:col min="4" max="4" width="55" hidden="0" customWidth="1"/>
    <x:col min="5" max="5" width="48" hidden="0" customWidth="1"/>
  </x:cols>
  <x:sheetData>
    <x:row r="1">
      <x:c r="A1" s="3" t="str">
        <x:v>Sources and Data Vintages</x:v>
      </x:c>
      <x:c r="B1" s="3"/>
      <x:c r="C1" s="3"/>
      <x:c r="D1" s="3"/>
      <x:c r="E1" s="3"/>
    </x:row>
    <x:row r="3">
      <x:c r="A3" s="10" t="str">
        <x:v>Source</x:v>
      </x:c>
      <x:c r="B3" s="10" t="str">
        <x:v>Use</x:v>
      </x:c>
      <x:c r="C3" s="10" t="str">
        <x:v>Vintage</x:v>
      </x:c>
      <x:c r="D3" s="10" t="str">
        <x:v>URL</x:v>
      </x:c>
      <x:c r="E3" s="10" t="str">
        <x:v>Local file</x:v>
      </x:c>
    </x:row>
    <x:row r="4">
      <x:c r="A4" s="30" t="str">
        <x:v>WICHE Knocking at the College Door, 11th Edition</x:v>
      </x:c>
      <x:c r="B4" s="30" t="str">
        <x:v>State high-school graduate projections</x:v>
      </x:c>
      <x:c r="C4" s="30" t="str">
        <x:v>11th edition; projections through 2041</x:v>
      </x:c>
      <x:c r="D4" s="94" t="str">
        <x:v>https://www.wiche.edu/knocking/data/</x:v>
      </x:c>
      <x:c r="E4" s="30" t="str">
        <x:v>sources/raw/wiche/wiche_knocking_11th.xlsx</x:v>
      </x:c>
    </x:row>
    <x:row r="5">
      <x:c r="A5" s="30" t="str">
        <x:v>U.S. Census Bureau Vintage 2025 county single-year age estimates</x:v>
      </x:c>
      <x:c r="B5" s="30" t="str">
        <x:v>County allocation of future graduate cohorts</x:v>
      </x:c>
      <x:c r="C5" s="30" t="str">
        <x:v>2020-2025</x:v>
      </x:c>
      <x:c r="D5" s="94" t="str">
        <x:v>https://www.census.gov/data/tables/time-series/demo/popest/2020s-counties-detail.html</x:v>
      </x:c>
      <x:c r="E5" s="30" t="str">
        <x:v>sources/raw/census_single_age/</x:v>
      </x:c>
    </x:row>
    <x:row r="6">
      <x:c r="A6" s="30" t="str">
        <x:v>BLS College Enrollment and Work Activity of Recent High School and College Graduates</x:v>
      </x:c>
      <x:c r="B6" s="30" t="str">
        <x:v>62.8% college-going assumption and approximately two-thirds four-year share</x:v>
      </x:c>
      <x:c r="C6" s="30" t="str">
        <x:v>October 2024 outcomes; released April 22, 2025</x:v>
      </x:c>
      <x:c r="D6" s="94" t="str">
        <x:v>https://www.bls.gov/news.release/hsgec.htm</x:v>
      </x:c>
      <x:c r="E6" s="30" t="str">
        <x:v>External source; assumptions documented in outputs</x:v>
      </x:c>
    </x:row>
    <x:row r="7">
      <x:c r="A7" s="30" t="str">
        <x:v>College Scorecard elements snapshot</x:v>
      </x:c>
      <x:c r="B7" s="30" t="str">
        <x:v>Institution location, control and undergraduate enrollment</x:v>
      </x:c>
      <x:c r="C7" s="30" t="str">
        <x:v>Dataset mirror updated March 25, 2024</x:v>
      </x:c>
      <x:c r="D7" s="94" t="str">
        <x:v>https://catalog.data.gov/dataset/most-recent-cohorts-scorecard-elements</x:v>
      </x:c>
      <x:c r="E7" s="30" t="str">
        <x:v>sources/raw/scorecard/scorecard_elements_march_2024.csv</x:v>
      </x:c>
    </x:row>
    <x:row r="8">
      <x:c r="A8" s="30" t="str">
        <x:v>Processed College Scorecard institution snapshot</x:v>
      </x:c>
      <x:c r="B8" s="30" t="str">
        <x:v>Net tuition revenue per FTE, instructional expenditure per FTE and admission rate</x:v>
      </x:c>
      <x:c r="C8" s="30" t="str">
        <x:v>Source file dated April 20, 2022</x:v>
      </x:c>
      <x:c r="D8" s="94" t="str">
        <x:v>https://github.com/LastMileNow/opendata</x:v>
      </x:c>
      <x:c r="E8" s="30" t="str">
        <x:v>sources/raw/scorecard/scorecard_finance_snapshot_april_2022.csv</x:v>
      </x:c>
    </x:row>
    <x:row r="9">
      <x:c r="A9" s="30" t="str">
        <x:v>Official College Scorecard Data Home</x:v>
      </x:c>
      <x:c r="B9" s="30" t="str">
        <x:v>Current-release reference and variable documentation</x:v>
      </x:c>
      <x:c r="C9" s="30" t="str">
        <x:v>Updated June 10, 2026</x:v>
      </x:c>
      <x:c r="D9" s="94" t="str">
        <x:v>https://collegescorecard.ed.gov/data/</x:v>
      </x:c>
      <x:c r="E9" s="30" t="str">
        <x:v>Current 2026 archive not ingested in this build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32dd317b6864972"/>
  </x:tableParts>
</x:worksheet>
</file>